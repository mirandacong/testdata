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0" yWindow="180" windowWidth="18945" windowHeight="7245" tabRatio="902"/>
  </bookViews>
  <sheets>
    <sheet name="ImportantDisclosures" sheetId="94" r:id="rId1"/>
    <sheet name="TOC" sheetId="14" r:id="rId2"/>
    <sheet name="P&amp;L" sheetId="3" r:id="rId3"/>
    <sheet name="__FDSCACHE__" sheetId="5" state="veryHidden" r:id="rId4"/>
    <sheet name="ALGN" sheetId="4" r:id="rId5"/>
    <sheet name="UnitBuild" sheetId="47" r:id="rId6"/>
    <sheet name="MW-Cache" sheetId="13" state="veryHidden" r:id="rId7"/>
    <sheet name="Bal Sht" sheetId="1" r:id="rId8"/>
    <sheet name="Cash Flow" sheetId="2" r:id="rId9"/>
    <sheet name="DCF" sheetId="10" r:id="rId10"/>
    <sheet name="IndexInformation" sheetId="95" r:id="rId11"/>
    <sheet name="ModPubIndex" sheetId="96" r:id="rId12"/>
  </sheets>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s>
  <definedNames>
    <definedName name="__FDS_HYPERLINK_TOGGLE_STATE__" hidden="1">"ON"</definedName>
    <definedName name="__FDS_UNIQUE_RANGE_ID_GENERATOR_COUNTER" hidden="1">63</definedName>
    <definedName name="__FDS_USED_FOR_REUSING_RANGE_IDS_RECYCLE" localSheetId="9">{1,1}</definedName>
    <definedName name="_12__123Graph_ACHART_30" hidden="1">[1]Menu!$D$11:$M$11</definedName>
    <definedName name="_13__123Graph_ALIQUIDS" hidden="1">[2]P!$S$78:$AL$78</definedName>
    <definedName name="_17__123Graph_Aｸﾞﾗﾌ_1" hidden="1">[3]ｾｸﾞﾒﾝﾄ!$E$164:$I$164</definedName>
    <definedName name="_18__123Graph_Aｸﾞﾗﾌ_2" hidden="1">[3]単独!$AR$14:$AR$18</definedName>
    <definedName name="_1Q_01E">"_01"</definedName>
    <definedName name="_22__123Graph_BCHART_111" hidden="1">[1]Menu!$D$24:$M$24</definedName>
    <definedName name="_23__123Graph_BCHART_112" hidden="1">[1]Menu!$D$18:$M$18</definedName>
    <definedName name="_24__123Graph_BCHART_26" hidden="1">[1]Menu!$D$88:$M$88</definedName>
    <definedName name="_29__123Graph_Bｸﾞﾗﾌ_1" hidden="1">[3]ｾｸﾞﾒﾝﾄ!$E$165:$I$165</definedName>
    <definedName name="_30__123Graph_CCHART_111" hidden="1">[1]Menu!$D$25:$M$25</definedName>
    <definedName name="_31__123Graph_CCHART_112" hidden="1">[1]Menu!$D$19:$M$19</definedName>
    <definedName name="_32__123Graph_CCHART_26" hidden="1">[1]Menu!$D$92:$M$92</definedName>
    <definedName name="_33__123Graph_CCHART_30" hidden="1">[1]Menu!$D$12:$M$12</definedName>
    <definedName name="_37__123Graph_DCHART_112" hidden="1">[1]Menu!$D$16:$M$16</definedName>
    <definedName name="_38__123Graph_Dｸﾞﾗﾌ_1" hidden="1">[3]ｾｸﾞﾒﾝﾄ!$E$167:$I$167</definedName>
    <definedName name="_46__123Graph_XCHART_112" hidden="1">[1]Menu!$AF$15:$AO$15</definedName>
    <definedName name="_47__123Graph_XCHART_30" hidden="1">[1]Menu!$AF$15:$AO$15</definedName>
    <definedName name="_48__123Graph_XLIQUIDS" hidden="1">[2]P!$R$29:$AK$29</definedName>
    <definedName name="_49__123Graph_XR_M_MARG" hidden="1">[2]P!$R$29:$AK$29</definedName>
    <definedName name="_5__123Graph_ACHART_111" hidden="1">[1]Menu!$D$23:$M$23</definedName>
    <definedName name="_6__123Graph_ACHART_112" hidden="1">[1]Menu!$D$17:$M$17</definedName>
    <definedName name="_7__123Graph_ACHART_26" hidden="1">[1]Menu!$D$83:$M$83</definedName>
    <definedName name="_a1" localSheetId="9" hidden="1">{"comp1",#N/A,FALSE,"COMPS";"footnotes",#N/A,FALSE,"COMPS"}</definedName>
    <definedName name="_a1" localSheetId="1" hidden="1">{"comp1",#N/A,FALSE,"COMPS";"footnotes",#N/A,FALSE,"COMPS"}</definedName>
    <definedName name="_a1" hidden="1">{"comp1",#N/A,FALSE,"COMPS";"footnotes",#N/A,FALSE,"COMPS"}</definedName>
    <definedName name="_aa1" localSheetId="9" hidden="1">{#N/A,#N/A,TRUE,"Pro Forma";#N/A,#N/A,TRUE,"PF_Bal";#N/A,#N/A,TRUE,"PF_INC";#N/A,#N/A,TRUE,"CBE";#N/A,#N/A,TRUE,"SWK"}</definedName>
    <definedName name="_aa1" localSheetId="1" hidden="1">{#N/A,#N/A,TRUE,"Pro Forma";#N/A,#N/A,TRUE,"PF_Bal";#N/A,#N/A,TRUE,"PF_INC";#N/A,#N/A,TRUE,"CBE";#N/A,#N/A,TRUE,"SWK"}</definedName>
    <definedName name="_aa1" hidden="1">{#N/A,#N/A,TRUE,"Pro Forma";#N/A,#N/A,TRUE,"PF_Bal";#N/A,#N/A,TRUE,"PF_INC";#N/A,#N/A,TRUE,"CBE";#N/A,#N/A,TRUE,"SWK"}</definedName>
    <definedName name="_ab1" localSheetId="9" hidden="1">{"comp1",#N/A,FALSE,"COMPS";"footnotes",#N/A,FALSE,"COMPS"}</definedName>
    <definedName name="_ab1" localSheetId="1" hidden="1">{"comp1",#N/A,FALSE,"COMPS";"footnotes",#N/A,FALSE,"COMPS"}</definedName>
    <definedName name="_ab1" hidden="1">{"comp1",#N/A,FALSE,"COMPS";"footnotes",#N/A,FALSE,"COMPS"}</definedName>
    <definedName name="_ae1" localSheetId="9" hidden="1">{#N/A,#N/A,FALSE,"Calc";#N/A,#N/A,FALSE,"Sensitivity";#N/A,#N/A,FALSE,"LT Earn.Dil.";#N/A,#N/A,FALSE,"Dil. AVP"}</definedName>
    <definedName name="_ae1" localSheetId="1" hidden="1">{#N/A,#N/A,FALSE,"Calc";#N/A,#N/A,FALSE,"Sensitivity";#N/A,#N/A,FALSE,"LT Earn.Dil.";#N/A,#N/A,FALSE,"Dil. AVP"}</definedName>
    <definedName name="_ae1" hidden="1">{#N/A,#N/A,FALSE,"Calc";#N/A,#N/A,FALSE,"Sensitivity";#N/A,#N/A,FALSE,"LT Earn.Dil.";#N/A,#N/A,FALSE,"Dil. AVP"}</definedName>
    <definedName name="_af1" hidden="1">"c1455"</definedName>
    <definedName name="_af10" hidden="1">"c2141"</definedName>
    <definedName name="_af11" hidden="1">"c1382"</definedName>
    <definedName name="_af12" hidden="1">"c1385"</definedName>
    <definedName name="_af13" hidden="1">"c1435"</definedName>
    <definedName name="_af14" hidden="1">"c1436"</definedName>
    <definedName name="_af15" hidden="1">"c1424"</definedName>
    <definedName name="_af16" hidden="1">"c1345"</definedName>
    <definedName name="_af18" hidden="1">"c1438"</definedName>
    <definedName name="_af19" localSheetId="9">{"Client Name or Project Name"}</definedName>
    <definedName name="_af19" localSheetId="1">{"Client Name or Project Name"}</definedName>
    <definedName name="_af19">{"Client Name or Project Name"}</definedName>
    <definedName name="_af2" hidden="1">"c1352"</definedName>
    <definedName name="_af20" localSheetId="9">{"Client Name or Project Name"}</definedName>
    <definedName name="_af20" localSheetId="1">{"Client Name or Project Name"}</definedName>
    <definedName name="_af20">{"Client Name or Project Name"}</definedName>
    <definedName name="_af21" localSheetId="9">{"Client Name or Project Name"}</definedName>
    <definedName name="_af21" localSheetId="1">{"Client Name or Project Name"}</definedName>
    <definedName name="_af21">{"Client Name or Project Name"}</definedName>
    <definedName name="_af22" localSheetId="9">{"Client Name or Project Name"}</definedName>
    <definedName name="_af22" localSheetId="1">{"Client Name or Project Name"}</definedName>
    <definedName name="_af22">{"Client Name or Project Name"}</definedName>
    <definedName name="_af23" localSheetId="9">{126}</definedName>
    <definedName name="_af23" localSheetId="1">{126}</definedName>
    <definedName name="_af23">{126}</definedName>
    <definedName name="_af24" localSheetId="9">{1}</definedName>
    <definedName name="_af24" localSheetId="1">{1}</definedName>
    <definedName name="_af24">{1}</definedName>
    <definedName name="_af25" localSheetId="9">{0}</definedName>
    <definedName name="_af25" localSheetId="1">{0}</definedName>
    <definedName name="_af25">{0}</definedName>
    <definedName name="_af26" localSheetId="9">{126}</definedName>
    <definedName name="_af26" localSheetId="1">{126}</definedName>
    <definedName name="_af26">{126}</definedName>
    <definedName name="_af27" localSheetId="9">{"Client Name or Project Name"}</definedName>
    <definedName name="_af27" localSheetId="1">{"Client Name or Project Name"}</definedName>
    <definedName name="_af27">{"Client Name or Project Name"}</definedName>
    <definedName name="_af28" localSheetId="9">{"Client Name or Project Name"}</definedName>
    <definedName name="_af28" localSheetId="1">{"Client Name or Project Name"}</definedName>
    <definedName name="_af28">{"Client Name or Project Name"}</definedName>
    <definedName name="_af3" hidden="1">"c1353"</definedName>
    <definedName name="_af30" localSheetId="9">{"Client Name or Project Name"}</definedName>
    <definedName name="_af30" localSheetId="1">{"Client Name or Project Name"}</definedName>
    <definedName name="_af30">{"Client Name or Project Name"}</definedName>
    <definedName name="_af31" localSheetId="9">{"Client Name or Project Name"}</definedName>
    <definedName name="_af31" localSheetId="1">{"Client Name or Project Name"}</definedName>
    <definedName name="_af31">{"Client Name or Project Name"}</definedName>
    <definedName name="_af32" localSheetId="9">{"Client Name or Project Name"}</definedName>
    <definedName name="_af32" localSheetId="1">{"Client Name or Project Name"}</definedName>
    <definedName name="_af32">{"Client Name or Project Name"}</definedName>
    <definedName name="_af33" localSheetId="9">{"Client Name or Project Name"}</definedName>
    <definedName name="_af33" localSheetId="1">{"Client Name or Project Name"}</definedName>
    <definedName name="_af33">{"Client Name or Project Name"}</definedName>
    <definedName name="_af34" localSheetId="9">{"Client Name or Project Name"}</definedName>
    <definedName name="_af34" localSheetId="1">{"Client Name or Project Name"}</definedName>
    <definedName name="_af34">{"Client Name or Project Name"}</definedName>
    <definedName name="_af35" localSheetId="9">{"Client Name or Project Name"}</definedName>
    <definedName name="_af35" localSheetId="1">{"Client Name or Project Name"}</definedName>
    <definedName name="_af35">{"Client Name or Project Name"}</definedName>
    <definedName name="_af36" localSheetId="9">{"Client Name or Project Name"}</definedName>
    <definedName name="_af36" localSheetId="1">{"Client Name or Project Name"}</definedName>
    <definedName name="_af36">{"Client Name or Project Name"}</definedName>
    <definedName name="_af37" localSheetId="9" hidden="1">{"Client is",#N/A,FALSE,"Client"}</definedName>
    <definedName name="_af37" localSheetId="1" hidden="1">{"Client is",#N/A,FALSE,"Client"}</definedName>
    <definedName name="_af37" hidden="1">{"Client is",#N/A,FALSE,"Client"}</definedName>
    <definedName name="_af38" localSheetId="9" hidden="1">{TRUE,TRUE,-1.25,-15.5,456.75,279.75,FALSE,FALSE,TRUE,TRUE,0,1,18,1,199,6,3,4,TRUE,TRUE,3,TRUE,1,TRUE,100,"Swvu.cash.","ACwvu.cash.",1,FALSE,FALSE,0.511811023622047,0.511811023622047,0.511811023622047,0.511811023622047,1,"","",FALSE,FALSE,FALSE,FALSE,1,#N/A,1,1,#DIV/0!,FALSE,"Rwvu.cash.",#N/A,FALSE,FALSE}</definedName>
    <definedName name="_af38" localSheetId="1" hidden="1">{TRUE,TRUE,-1.25,-15.5,456.75,279.75,FALSE,FALSE,TRUE,TRUE,0,1,18,1,199,6,3,4,TRUE,TRUE,3,TRUE,1,TRUE,100,"Swvu.cash.","ACwvu.cash.",1,FALSE,FALSE,0.511811023622047,0.511811023622047,0.511811023622047,0.511811023622047,1,"","",FALSE,FALSE,FALSE,FALSE,1,#N/A,1,1,#DIV/0!,FALSE,"Rwvu.cash.",#N/A,FALSE,FALSE}</definedName>
    <definedName name="_af38" hidden="1">{TRUE,TRUE,-1.25,-15.5,456.75,279.75,FALSE,FALSE,TRUE,TRUE,0,1,18,1,199,6,3,4,TRUE,TRUE,3,TRUE,1,TRUE,100,"Swvu.cash.","ACwvu.cash.",1,FALSE,FALSE,0.511811023622047,0.511811023622047,0.511811023622047,0.511811023622047,1,"","",FALSE,FALSE,FALSE,FALSE,1,#N/A,1,1,#DIV/0!,FALSE,"Rwvu.cash.",#N/A,FALSE,FALSE}</definedName>
    <definedName name="_af39" localSheetId="9" hidden="1">{TRUE,TRUE,-1.25,-15.5,456.75,279.75,FALSE,FALSE,TRUE,TRUE,0,1,21,1,127,6,3,4,TRUE,TRUE,3,TRUE,1,TRUE,100,"Swvu.profits.","ACwvu.profits.",1,FALSE,FALSE,0.511811023622047,0.511811023622047,0.511811023622047,0.511811023622047,1,"","",FALSE,FALSE,FALSE,FALSE,1,#N/A,1,1,#DIV/0!,FALSE,"Rwvu.profits.",#N/A,FALSE,FALSE}</definedName>
    <definedName name="_af39"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_af39" hidden="1">{TRUE,TRUE,-1.25,-15.5,456.75,279.75,FALSE,FALSE,TRUE,TRUE,0,1,21,1,127,6,3,4,TRUE,TRUE,3,TRUE,1,TRUE,100,"Swvu.profits.","ACwvu.profits.",1,FALSE,FALSE,0.511811023622047,0.511811023622047,0.511811023622047,0.511811023622047,1,"","",FALSE,FALSE,FALSE,FALSE,1,#N/A,1,1,#DIV/0!,FALSE,"Rwvu.profits.",#N/A,FALSE,FALSE}</definedName>
    <definedName name="_af4" hidden="1">"c1354"</definedName>
    <definedName name="_af40" localSheetId="9" hidden="1">{TRUE,TRUE,-1.25,-15.5,456.75,279.75,FALSE,FALSE,TRUE,TRUE,0,1,8,1,4,6,3,4,TRUE,TRUE,3,TRUE,1,TRUE,100,"Swvu.turnover.","ACwvu.turnover.",1,FALSE,FALSE,0.511811023622047,0.511811023622047,0.511811023622047,0.511811023622047,1,"","",FALSE,FALSE,FALSE,FALSE,1,#N/A,1,1,#DIV/0!,FALSE,"Rwvu.turnover.",#N/A,FALSE,FALSE}</definedName>
    <definedName name="_af40"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_af40" hidden="1">{TRUE,TRUE,-1.25,-15.5,456.75,279.75,FALSE,FALSE,TRUE,TRUE,0,1,8,1,4,6,3,4,TRUE,TRUE,3,TRUE,1,TRUE,100,"Swvu.turnover.","ACwvu.turnover.",1,FALSE,FALSE,0.511811023622047,0.511811023622047,0.511811023622047,0.511811023622047,1,"","",FALSE,FALSE,FALSE,FALSE,1,#N/A,1,1,#DIV/0!,FALSE,"Rwvu.turnover.",#N/A,FALSE,FALSE}</definedName>
    <definedName name="_af5" hidden="1">"c1411"</definedName>
    <definedName name="_af6" hidden="1">"c1431"</definedName>
    <definedName name="_af7" hidden="1">"c1433"</definedName>
    <definedName name="_af8" hidden="1">"c1434"</definedName>
    <definedName name="_af9" hidden="1">"c1432"</definedName>
    <definedName name="_am1" localSheetId="9" hidden="1">{#N/A,#N/A,TRUE,"Pro Forma";#N/A,#N/A,TRUE,"PF_Bal";#N/A,#N/A,TRUE,"PF_INC";#N/A,#N/A,TRUE,"CBE";#N/A,#N/A,TRUE,"SWK"}</definedName>
    <definedName name="_am1" localSheetId="1" hidden="1">{#N/A,#N/A,TRUE,"Pro Forma";#N/A,#N/A,TRUE,"PF_Bal";#N/A,#N/A,TRUE,"PF_INC";#N/A,#N/A,TRUE,"CBE";#N/A,#N/A,TRUE,"SWK"}</definedName>
    <definedName name="_am1" hidden="1">{#N/A,#N/A,TRUE,"Pro Forma";#N/A,#N/A,TRUE,"PF_Bal";#N/A,#N/A,TRUE,"PF_INC";#N/A,#N/A,TRUE,"CBE";#N/A,#N/A,TRUE,"SWK"}</definedName>
    <definedName name="_as1" localSheetId="9" hidden="1">{"comp1",#N/A,FALSE,"COMPS";"footnotes",#N/A,FALSE,"COMPS"}</definedName>
    <definedName name="_as1" localSheetId="1" hidden="1">{"comp1",#N/A,FALSE,"COMPS";"footnotes",#N/A,FALSE,"COMPS"}</definedName>
    <definedName name="_as1" hidden="1">{"comp1",#N/A,FALSE,"COMPS";"footnotes",#N/A,FALSE,"COMPS"}</definedName>
    <definedName name="_ASM1" localSheetId="9">{9}</definedName>
    <definedName name="_ASM1" localSheetId="1">{9}</definedName>
    <definedName name="_ASM1">{9}</definedName>
    <definedName name="_ASM2" localSheetId="9">{9}</definedName>
    <definedName name="_ASM2" localSheetId="1">{9}</definedName>
    <definedName name="_ASM2">{9}</definedName>
    <definedName name="_bdm.02E29E7B1053433EA3CCCBE4E5141596.edm" hidden="1">[4]Sheet1!$A:$IV</definedName>
    <definedName name="_bdm.0547398355AC46BDB47E3B73D10EFAA0.edm" hidden="1">DCF!$1:$1048576</definedName>
    <definedName name="_bdm.1FA1EA4928474E39A964CD31B4925C1B.edm" localSheetId="9" hidden="1">DCF!$Y$98:$AE$106</definedName>
    <definedName name="_bdm.21CB355A730E4A3E8FF89B9CB3AF3F4A.edm" localSheetId="9" hidden="1">DCF!$B$6:$U$94</definedName>
    <definedName name="_bdm.223314273BA64E3D939EF28E672D4650.edm" localSheetId="9" hidden="1">DCF!$B$2:$U$99</definedName>
    <definedName name="_bdm.2FA0EE5AE5514F50A07EFA3D3CEEADBA.edm" localSheetId="9" hidden="1">DCF!$B$6:$U$94</definedName>
    <definedName name="_bdm.34406407ED504FAFB4AC3DDA52276CE6.edm" hidden="1">'P&amp;L'!$1:$1048576</definedName>
    <definedName name="_bdm.4E2F5F9671314555A5308D97E8000978.edm" hidden="1">ALGN!$1:$1048576</definedName>
    <definedName name="_bdm.6023B6A2B13941968DF0DC243B02D387.edm" localSheetId="7" hidden="1">'Bal Sht'!$A$3:$AQ$40</definedName>
    <definedName name="_bdm.67334265AEC6415FB4709A32F371ACAD.edm" localSheetId="9" hidden="1">DCF!$B$6:$U$99</definedName>
    <definedName name="_bdm.753720708F4E49EF81947C8197250064.edm" localSheetId="8" hidden="1">'Cash Flow'!$A$3:$AP$49</definedName>
    <definedName name="_bdm.77DB60DFCA2F48EA80C3F5BA2123822C.edm" localSheetId="4" hidden="1">ALGN!$B$3:$AQ$59</definedName>
    <definedName name="_bdm.8B4CBCB425F1439B82E5548DB1DB04B8.edm" localSheetId="9" hidden="1">DCF!$Z$99:$AE$105</definedName>
    <definedName name="_bdm.8EC904E777CD4E3DAE858140CE694651.edm" localSheetId="9" hidden="1">DCF!$B$6:$I$94</definedName>
    <definedName name="_bdm.94E331A19E0D4A21B0B6E9EA7CCCC01D.edm" localSheetId="9" hidden="1">DCF!$B$6:$T$94</definedName>
    <definedName name="_bdm.986331F7AF134D18B529CFCA4FFF9173.edm" localSheetId="8" hidden="1">'Cash Flow'!$A$3:$AP$54</definedName>
    <definedName name="_bdm.A6F9ED261415487F8B27F2CE76547529.edm" localSheetId="9" hidden="1">DCF!$Y$98:$AF$106</definedName>
    <definedName name="_bdm.A99FE46EB67F4A098F0997FDF24122D9.edm" localSheetId="9" hidden="1">DCF!$Y$98:$AE$105</definedName>
    <definedName name="_bdm.B5364B4C4A0140238F8C69876681A1AE.edm" localSheetId="9" hidden="1">DCF!$B$6:$H$89</definedName>
    <definedName name="_bdm.B72542FFCB61432A85A2038B54814FC6.edm" localSheetId="9" hidden="1">DCF!$D$99:$AD$105</definedName>
    <definedName name="_bdm.B9B24F21CDD44AC3B20584735E6017AF.edm" localSheetId="9" hidden="1">DCF!$B$6:$V$89</definedName>
    <definedName name="_bdm.BF12B45D2CCE4B74B12C4B11A8868F58.edm" localSheetId="9" hidden="1">DCF!$B$6:$U$94</definedName>
    <definedName name="_bdm.C42D70A052A744C094950489EDB72FD1.edm" localSheetId="2" hidden="1">'P&amp;L'!$B$3:$AQ$73</definedName>
    <definedName name="_bdm.D99B56F140524AC48E533ED4110AF777.edm" hidden="1">'Cash Flow'!$1:$1048576</definedName>
    <definedName name="_bdm.E038077EC92C47338F5D9784A7687C86.edm" hidden="1">'Bal Sht'!$1:$1048576</definedName>
    <definedName name="_bdm.FF025D50702948C2899137588FA5041B.edm" localSheetId="9" hidden="1">DCF!$B$6:$U$99</definedName>
    <definedName name="_DCFCalculation" localSheetId="9">DCF!$B$6:$U$60</definedName>
    <definedName name="_f1" localSheetId="9" hidden="1">{"assumption cash",#N/A,TRUE,"Merger";"has gets cash",#N/A,TRUE,"Merger";"accretion dilution",#N/A,TRUE,"Merger";"comparison credit stats",#N/A,TRUE,"Merger";"pf credit stats",#N/A,TRUE,"Merger";"pf sheets",#N/A,TRUE,"Merger"}</definedName>
    <definedName name="_f1" localSheetId="1" hidden="1">{"assumption cash",#N/A,TRUE,"Merger";"has gets cash",#N/A,TRUE,"Merger";"accretion dilution",#N/A,TRUE,"Merger";"comparison credit stats",#N/A,TRUE,"Merger";"pf credit stats",#N/A,TRUE,"Merger";"pf sheets",#N/A,TRUE,"Merger"}</definedName>
    <definedName name="_f1" hidden="1">{"assumption cash",#N/A,TRUE,"Merger";"has gets cash",#N/A,TRUE,"Merger";"accretion dilution",#N/A,TRUE,"Merger";"comparison credit stats",#N/A,TRUE,"Merger";"pf credit stats",#N/A,TRUE,"Merger";"pf sheets",#N/A,TRUE,"Merger"}</definedName>
    <definedName name="_ik1" localSheetId="9" hidden="1">{"casespecific",#N/A,FALSE,"Assumptions"}</definedName>
    <definedName name="_ik1" localSheetId="1" hidden="1">{"casespecific",#N/A,FALSE,"Assumptions"}</definedName>
    <definedName name="_ik1" hidden="1">{"casespecific",#N/A,FALSE,"Assumptions"}</definedName>
    <definedName name="_Order1" localSheetId="9" hidden="1">0</definedName>
    <definedName name="_Order1" localSheetId="1" hidden="1">0</definedName>
    <definedName name="_Order1" hidden="1">255</definedName>
    <definedName name="_Order2" hidden="1">0</definedName>
    <definedName name="_P1">[5]Bio!$A$5:$S$293</definedName>
    <definedName name="_P2">[5]Bio!$A$5:$P$293</definedName>
    <definedName name="_ppp1" localSheetId="9">{"Client Name or Project Name"}</definedName>
    <definedName name="_ppp1" localSheetId="1">{"Client Name or Project Name"}</definedName>
    <definedName name="_ppp1">{"Client Name or Project Name"}</definedName>
    <definedName name="_rb10" localSheetId="9">{"Client Name or Project Name"}</definedName>
    <definedName name="_rb10" localSheetId="1">{"Client Name or Project Name"}</definedName>
    <definedName name="_rb10">{"Client Name or Project Name"}</definedName>
    <definedName name="_rb12" localSheetId="9">{9}</definedName>
    <definedName name="_rb12" localSheetId="1">{9}</definedName>
    <definedName name="_rb12">{9}</definedName>
    <definedName name="_rb13" localSheetId="9" hidden="1">{"'Breakup 01 Euro'!$A$3:$I$30"}</definedName>
    <definedName name="_rb13" localSheetId="1" hidden="1">{"'Breakup 01 Euro'!$A$3:$I$30"}</definedName>
    <definedName name="_rb13" hidden="1">{"'Breakup 01 Euro'!$A$3:$I$30"}</definedName>
    <definedName name="_rb15" hidden="1">"c1449"</definedName>
    <definedName name="_rb16" hidden="1">"c1343"</definedName>
    <definedName name="_rb17" hidden="1">"c1341"</definedName>
    <definedName name="_rb18" hidden="1">"c1340"</definedName>
    <definedName name="_rb19" hidden="1">"c1344"</definedName>
    <definedName name="_rb20" hidden="1">"c1342"</definedName>
    <definedName name="_rb21" hidden="1">"c1591"</definedName>
    <definedName name="_rb22" hidden="1">"c1346"</definedName>
    <definedName name="_rb23" hidden="1">"c2133"</definedName>
    <definedName name="_rb24" hidden="1">"c1349"</definedName>
    <definedName name="_rb25" hidden="1">"c1350"</definedName>
    <definedName name="_rb26" hidden="1">"c1458"</definedName>
    <definedName name="_rb27" hidden="1">"c116"</definedName>
    <definedName name="_rb28" hidden="1">"c1351"</definedName>
    <definedName name="_rb29" hidden="1">"c1355"</definedName>
    <definedName name="_rb30" hidden="1">"c1357"</definedName>
    <definedName name="_rb31" hidden="1">"c1358"</definedName>
    <definedName name="_rb32" hidden="1">"c1359"</definedName>
    <definedName name="_rb33" hidden="1">"c1362"</definedName>
    <definedName name="_rb34" hidden="1">"c1363"</definedName>
    <definedName name="_rb35" hidden="1">"c1364"</definedName>
    <definedName name="_rb36" hidden="1">"c1365"</definedName>
    <definedName name="_rb37" hidden="1">"c1447"</definedName>
    <definedName name="_rb38" hidden="1">"c1356"</definedName>
    <definedName name="_rb39" hidden="1">"c1360"</definedName>
    <definedName name="_rb40" hidden="1">"c1361"</definedName>
    <definedName name="_rb41" hidden="1">"c1520"</definedName>
    <definedName name="_rb42" hidden="1">"c1367"</definedName>
    <definedName name="_rb43" hidden="1">"c1366"</definedName>
    <definedName name="_rb44" hidden="1">"c1369"</definedName>
    <definedName name="_rb45" hidden="1">"c1370"</definedName>
    <definedName name="_rb46" hidden="1">"c1371"</definedName>
    <definedName name="_rb47" hidden="1">"c1348"</definedName>
    <definedName name="_rb48" hidden="1">"c1451"</definedName>
    <definedName name="_rb49" hidden="1">"c1390"</definedName>
    <definedName name="_rb5" localSheetId="9">{9}</definedName>
    <definedName name="_rb5" localSheetId="1">{9}</definedName>
    <definedName name="_rb5">{9}</definedName>
    <definedName name="_rb50" hidden="1">"c1428"</definedName>
    <definedName name="_rb51" hidden="1">"c1426"</definedName>
    <definedName name="_rb52" hidden="1">"c1427"</definedName>
    <definedName name="_rb53" hidden="1">"c1429"</definedName>
    <definedName name="_rb54" hidden="1">"c1897"</definedName>
    <definedName name="_rb55" hidden="1">"c1459"</definedName>
    <definedName name="_rb56" hidden="1">"c1405"</definedName>
    <definedName name="_rb57" hidden="1">"c1406"</definedName>
    <definedName name="_rb58" hidden="1">"c1376"</definedName>
    <definedName name="_rb59" hidden="1">"c1377"</definedName>
    <definedName name="_rb60" hidden="1">"c1380"</definedName>
    <definedName name="_rb61" hidden="1">"c1446"</definedName>
    <definedName name="_rb62" hidden="1">"c1378"</definedName>
    <definedName name="_rb63" hidden="1">"c1395"</definedName>
    <definedName name="_rb64" hidden="1">"c1396"</definedName>
    <definedName name="_rb65" hidden="1">"c1375"</definedName>
    <definedName name="_rb66" hidden="1">"c1407"</definedName>
    <definedName name="_rb67" hidden="1">"c1383"</definedName>
    <definedName name="_rb68" hidden="1">"c1393"</definedName>
    <definedName name="_rb69" hidden="1">"c1384"</definedName>
    <definedName name="_rb70" hidden="1">"c1391"</definedName>
    <definedName name="_rb71" hidden="1">"c1386"</definedName>
    <definedName name="_rb72" hidden="1">"c1387"</definedName>
    <definedName name="_rb73" hidden="1">"c1388"</definedName>
    <definedName name="_rb74" hidden="1">"c1389"</definedName>
    <definedName name="_rb75" hidden="1">"c1437"</definedName>
    <definedName name="_rb76" hidden="1">"c1394"</definedName>
    <definedName name="_rb77" hidden="1">"c1368"</definedName>
    <definedName name="_rb78" hidden="1">"c1397"</definedName>
    <definedName name="_rb79" hidden="1">"c1398"</definedName>
    <definedName name="_rb8" localSheetId="9">{9}</definedName>
    <definedName name="_rb8" localSheetId="1">{9}</definedName>
    <definedName name="_rb8">{9}</definedName>
    <definedName name="_rb9" localSheetId="9">{9}</definedName>
    <definedName name="_rb9" localSheetId="1">{9}</definedName>
    <definedName name="_rb9">{9}</definedName>
    <definedName name="_Regression_Int" hidden="1">1</definedName>
    <definedName name="_rt1" hidden="1">"c1392"</definedName>
    <definedName name="_rt10" hidden="1">"c1409"</definedName>
    <definedName name="_rt11" hidden="1">"c1453"</definedName>
    <definedName name="_rt12" hidden="1">"c1410"</definedName>
    <definedName name="_rt14" hidden="1">"c2128"</definedName>
    <definedName name="_rt15" hidden="1">"c1457"</definedName>
    <definedName name="_rt16" hidden="1">"c1414"</definedName>
    <definedName name="_rt17" hidden="1">"c1416"</definedName>
    <definedName name="_rt18" hidden="1">"c1415"</definedName>
    <definedName name="_rt19" hidden="1">"c1418"</definedName>
    <definedName name="_rt2" hidden="1">"c1399"</definedName>
    <definedName name="_rt20" hidden="1">"c1412"</definedName>
    <definedName name="_rt21" hidden="1">"c1413"</definedName>
    <definedName name="_rt22" hidden="1">"c1452"</definedName>
    <definedName name="_rt24" hidden="1">"c1379"</definedName>
    <definedName name="_rt25" hidden="1">"c1402"</definedName>
    <definedName name="_rt26" hidden="1">"c1417"</definedName>
    <definedName name="_rt27" hidden="1">"c1419"</definedName>
    <definedName name="_rt28" hidden="1">"c1420"</definedName>
    <definedName name="_rt29" hidden="1">"c1421"</definedName>
    <definedName name="_rt3" hidden="1">"c1400"</definedName>
    <definedName name="_rt30" hidden="1">"c1422"</definedName>
    <definedName name="_rt31" hidden="1">"c1347"</definedName>
    <definedName name="_rt32" hidden="1">"c1425"</definedName>
    <definedName name="_rt4" hidden="1">"c1401"</definedName>
    <definedName name="_rt5" hidden="1">"c1423"</definedName>
    <definedName name="_rt6" hidden="1">"c1448"</definedName>
    <definedName name="_rt7" hidden="1">"c1403"</definedName>
    <definedName name="_rt8" hidden="1">"c1404"</definedName>
    <definedName name="_rt9" hidden="1">"c1408"</definedName>
    <definedName name="_t1" localSheetId="9" hidden="1">{"Client is",#N/A,FALSE,"Client"}</definedName>
    <definedName name="_t1" localSheetId="1" hidden="1">{"Client is",#N/A,FALSE,"Client"}</definedName>
    <definedName name="_t1" hidden="1">{"Client is",#N/A,FALSE,"Client"}</definedName>
    <definedName name="AdditionalInstructions">IndexInformation!$B$42</definedName>
    <definedName name="Address" localSheetId="0">ImportantDisclosures!$A$2:$A$2</definedName>
    <definedName name="af" hidden="1">"c1430"</definedName>
    <definedName name="AllTables" localSheetId="9">{9}</definedName>
    <definedName name="AllTables" localSheetId="1">{9}</definedName>
    <definedName name="AllTables">{9}</definedName>
    <definedName name="alltables1" localSheetId="9">{9}</definedName>
    <definedName name="alltables1" localSheetId="1">{9}</definedName>
    <definedName name="alltables1">{9}</definedName>
    <definedName name="ANA" localSheetId="11">ModPubIndex!$A$7</definedName>
    <definedName name="anscount" hidden="1">1</definedName>
    <definedName name="ASM" localSheetId="9">{9}</definedName>
    <definedName name="ASM" localSheetId="1">{9}</definedName>
    <definedName name="ASM">{9}</definedName>
    <definedName name="ASMM2" localSheetId="9">{9}</definedName>
    <definedName name="ASMM2" localSheetId="1">{9}</definedName>
    <definedName name="ASMM2">{9}</definedName>
    <definedName name="Australia">[6]Fitbit_Model!$B$12</definedName>
    <definedName name="Authors" localSheetId="0">ImportantDisclosures!$A$7</definedName>
    <definedName name="Authors" localSheetId="10">IndexInformation!$B$18</definedName>
    <definedName name="BRO" localSheetId="11">ModPubIndex!$A$1</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hina">[6]Fitbit_Model!$B$22</definedName>
    <definedName name="ChoiceOfChem" localSheetId="9">{"Client Name or Project Name"}</definedName>
    <definedName name="ChoiceOfChem" localSheetId="1">{"Client Name or Project Name"}</definedName>
    <definedName name="ChoiceOfChem">{"Client Name or Project Name"}</definedName>
    <definedName name="Choices_Wrapper" localSheetId="9">DCF!Choices_Wrapper</definedName>
    <definedName name="Choices_Wrapper" localSheetId="1">TOC!Choices_Wrapper</definedName>
    <definedName name="Choices_Wrapper">[0]!Choices_Wrapper</definedName>
    <definedName name="copy" localSheetId="9">{9}</definedName>
    <definedName name="copy" localSheetId="1">{9}</definedName>
    <definedName name="copy">{9}</definedName>
    <definedName name="copy2" localSheetId="9">{9}</definedName>
    <definedName name="copy2" localSheetId="1">{9}</definedName>
    <definedName name="copy2">{9}</definedName>
    <definedName name="CopyrightStamp">ImportantDisclosures!$A$27</definedName>
    <definedName name="COU" localSheetId="11">ModPubIndex!$A$5</definedName>
    <definedName name="CQEnd" localSheetId="10">IndexInformation!$B$31</definedName>
    <definedName name="Currency" localSheetId="10">IndexInformation!$B$24</definedName>
    <definedName name="CurrentStockPrice" localSheetId="10">IndexInformation!$B$23</definedName>
    <definedName name="CurrQtrEPS" localSheetId="10">IndexInformation!$B$29</definedName>
    <definedName name="CurrYearEPS" localSheetId="10">IndexInformation!$B$11</definedName>
    <definedName name="CurrYearTotalRevenue" localSheetId="10">IndexInformation!$B$10</definedName>
    <definedName name="CurrYearTotalRevenueActual" localSheetId="10">IndexInformation!$B$32</definedName>
    <definedName name="CUSIP" localSheetId="10">IndexInformation!$B$20</definedName>
    <definedName name="CYEnd" localSheetId="10">IndexInformation!$B$30</definedName>
    <definedName name="_xlnm.Database" localSheetId="9">DCF!_xlnm.Database</definedName>
    <definedName name="_xlnm.Database" localSheetId="1">TOC!_xlnm.Database</definedName>
    <definedName name="_xlnm.Database">[0]!_xlnm.Database</definedName>
    <definedName name="Date" localSheetId="0">ImportantDisclosures!$A$8</definedName>
    <definedName name="Deleted" localSheetId="10">IndexInformation!$B$27</definedName>
    <definedName name="Description" localSheetId="10">IndexInformation!$B$7</definedName>
    <definedName name="DEVELOPMENT">5</definedName>
    <definedName name="Discipline" localSheetId="10">IndexInformation!$B$3</definedName>
    <definedName name="DISCIPLINE" localSheetId="11">ModPubIndex!$A$12</definedName>
    <definedName name="DisclosuresText">ImportantDisclosures!$A$22</definedName>
    <definedName name="Distribution" localSheetId="10">IndexInformation!$B$26</definedName>
    <definedName name="DistTable" localSheetId="0">ImportantDisclosures!#REF!</definedName>
    <definedName name="DistTablePreamble" localSheetId="0">ImportantDisclosures!#REF!</definedName>
    <definedName name="DOCDAT" localSheetId="11">ModPubIndex!$A$2</definedName>
    <definedName name="DOCTIME" localSheetId="11">ModPubIndex!$A$3</definedName>
    <definedName name="DocType" localSheetId="10">IndexInformation!$B$5</definedName>
    <definedName name="DYNO">"TARGET"</definedName>
    <definedName name="EMAIL_ALERT" localSheetId="11">ModPubIndex!$A$10</definedName>
    <definedName name="EmailAlert" localSheetId="10">IndexInformation!$B$28</definedName>
    <definedName name="ev.Calculation" hidden="1">-4135</definedName>
    <definedName name="ev.Initialized" hidden="1">FALSE</definedName>
    <definedName name="Exhibit_4">"QSALES1"</definedName>
    <definedName name="FINCriteriaType">1</definedName>
    <definedName name="FiveYearGrowthRate" localSheetId="10">IndexInformation!$B$16</definedName>
    <definedName name="fmv_04" localSheetId="9">{"Client Name or Project Name"}</definedName>
    <definedName name="fmv_04" localSheetId="1">{"Client Name or Project Name"}</definedName>
    <definedName name="fmv_04">{"Client Name or Project Name"}</definedName>
    <definedName name="FollowingYearEPS" localSheetId="10">IndexInformation!$B$15</definedName>
    <definedName name="FollowingYearTotalRevenue" localSheetId="10">IndexInformation!$B$14</definedName>
    <definedName name="FollowingYearTotalRevenueActual" localSheetId="10">IndexInformation!$B$34</definedName>
    <definedName name="France">[6]Fitbit_Model!$B$9</definedName>
    <definedName name="Germany">[6]Fitbit_Model!$B$8</definedName>
    <definedName name="guidance1" localSheetId="9">{9}</definedName>
    <definedName name="guidance1" localSheetId="1">{9}</definedName>
    <definedName name="guidance1">{9}</definedName>
    <definedName name="GwthDecay_Rate">[6]Fitbit_Model!$C$27</definedName>
    <definedName name="HL" localSheetId="11">ModPubIndex!$A$8</definedName>
    <definedName name="hn.ModelVersion" hidden="1">1</definedName>
    <definedName name="hn.NoUpload" hidden="1">0</definedName>
    <definedName name="HTML_CodePage" hidden="1">1252</definedName>
    <definedName name="HTML_Control" localSheetId="9" hidden="1">{"'Breakup 01 Euro'!$A$3:$I$30"}</definedName>
    <definedName name="HTML_Control" localSheetId="1" hidden="1">{"'Breakup 01 Euro'!$A$3:$I$30"}</definedName>
    <definedName name="HTML_Control" hidden="1">{"'Breakup 01 Euro'!$A$3:$I$30"}</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ND" localSheetId="11">ModPubIndex!$A$9</definedName>
    <definedName name="India">[6]Fitbit_Model!$B$13</definedName>
    <definedName name="Indonesia">[6]Fitbit_Model!$B$15</definedName>
    <definedName name="Industry" localSheetId="0">ImportantDisclosures!$A$12</definedName>
    <definedName name="IndustryId">IndexInformation!$B$40</definedName>
    <definedName name="IndustryRating" localSheetId="0">ImportantDisclosures!$A$13</definedName>
    <definedName name="IQ" hidden="1">"c413"</definedName>
    <definedName name="Italy">[6]Fitbit_Model!$B$11</definedName>
    <definedName name="Japan">[6]Fitbit_Model!$B$21</definedName>
    <definedName name="KeepVersions" localSheetId="10">IndexInformation!$B$8</definedName>
    <definedName name="Korea">[6]Fitbit_Model!$B$18</definedName>
    <definedName name="LanguageCode">IndexInformation!$B$38</definedName>
    <definedName name="LastCell" localSheetId="0">ImportantDisclosures!$A$22</definedName>
    <definedName name="limcount" hidden="1">1</definedName>
    <definedName name="Linking_11">'P&amp;L'!$B$5:$CG$73</definedName>
    <definedName name="Linking_12">DCF!$B$6:$S$71</definedName>
    <definedName name="Linking_22">DCF!$B$7:$S$101</definedName>
    <definedName name="Linking_24">DCF!$B$7:$P$92</definedName>
    <definedName name="Linking_25">DCF!$B$6:$P$92</definedName>
    <definedName name="Linking_26">DCF!$B$6:$O$92</definedName>
    <definedName name="Linking_3">#N/A</definedName>
    <definedName name="Linking_30">DCF!$B$7:$O$113</definedName>
    <definedName name="Linking_38">DCF!$B$6:$O$104</definedName>
    <definedName name="Linking_6">DCF!$B$6:$S$80</definedName>
    <definedName name="Linking_7">ALGN!$B$4:$CG$68</definedName>
    <definedName name="Linking_8">'P&amp;L'!$B$5:$CA$73</definedName>
    <definedName name="Linking_9">#N/A</definedName>
    <definedName name="Linking_Range_23">ALGN!$B$3:$BC$59</definedName>
    <definedName name="Linking_Range_24">'Bal Sht'!$A$3:$BC$40</definedName>
    <definedName name="Linking_Range_25">'Cash Flow'!$A$3:$BB$55</definedName>
    <definedName name="Linking_Range_28">DCF!$B$6:$I$89</definedName>
    <definedName name="Linking_Range_3">'P&amp;L'!$B$3:$AX$73</definedName>
    <definedName name="Linking_Range_31">ALGN!$B$3:$BD$59</definedName>
    <definedName name="Linking_Range_32">'P&amp;L'!$B$3:$BC$73</definedName>
    <definedName name="Linking_Range_39">'P&amp;L'!$A$3:$BI$73</definedName>
    <definedName name="Linking_Range_4">ALGN!$B$3:$AW$59</definedName>
    <definedName name="Linking_Range_40">ALGN!$B$3:$BI$59</definedName>
    <definedName name="Linking_Range_42">[7]Catalysts!$B$349:$E$377</definedName>
    <definedName name="Linking_Range_43">'P&amp;L'!$B$3:$BI$73</definedName>
    <definedName name="Linking_Range_44">'P&amp;L'!$B$3:$BU$73</definedName>
    <definedName name="Linking_Range_45">ALGN!$B$3:$BU$59</definedName>
    <definedName name="Linking_Range_46">'P&amp;L'!$A$5:$BI$43</definedName>
    <definedName name="Linking_Range_47">ALGN!$B$4:$BI$59</definedName>
    <definedName name="Linking_Range_48">'Bal Sht'!$A$5:$BI$40</definedName>
    <definedName name="Linking_Range_49">'Cash Flow'!$A$5:$BH$49</definedName>
    <definedName name="Linking_Range_5">'Bal Sht'!$A$3:$AW$40</definedName>
    <definedName name="Linking_Range_50">[7]Catalysts!$B$134:$T$170</definedName>
    <definedName name="Linking_Range_51">[7]Catalysts!$B$172:$S$198</definedName>
    <definedName name="Linking_Range_52">[7]Catalysts!$B$172:$T$198</definedName>
    <definedName name="Linking_Range_53">[7]Catalysts!$B$60:$R$80</definedName>
    <definedName name="Linking_Range_54">[7]Catalysts!$B$60:$T$131</definedName>
    <definedName name="Linking_Range_55">[7]Catalysts!$B$221:$T$256</definedName>
    <definedName name="Linking_Range_56">[7]Catalysts!$B$221:$T$257</definedName>
    <definedName name="Linking_Range_57">[7]Catalysts!$B$3:$T$55</definedName>
    <definedName name="Linking_Range_58">[7]Catalysts!$B$200:$T$219</definedName>
    <definedName name="Linking_Range_6">'Cash Flow'!$A$3:$AV$49</definedName>
    <definedName name="Linking_Range_60">DCF!$B$7:$S$89</definedName>
    <definedName name="Linking_Range_61">'P&amp;L'!$B$3:$CG$73</definedName>
    <definedName name="Linking_Range_62">ALGN!$B$3:$CG$68</definedName>
    <definedName name="Linking_Range_63">'Bal Sht'!$A$3:$CG$40</definedName>
    <definedName name="Linking_Range_64">'Cash Flow'!$A$3:$CF$49</definedName>
    <definedName name="Linking_Range_65">DCF!$B$7:$O$89</definedName>
    <definedName name="Linking_Range_66">'P&amp;L'!$B$4:$CG$73</definedName>
    <definedName name="Linking_Range_67">DCF!$B$7:$T$89</definedName>
    <definedName name="Linking_Range_69">'P&amp;L'!$B$3:$CH$73</definedName>
    <definedName name="Linking_Range_70">'P&amp;L'!$B$5:$BU$43</definedName>
    <definedName name="Linking_Range_71">ALGN!$A$4:$BU$59</definedName>
    <definedName name="Linking_Range_72">'Bal Sht'!$A$5:$BU$40</definedName>
    <definedName name="Linking_Range_73">'Cash Flow'!$A$5:$BT$49</definedName>
    <definedName name="Linking_Range_74">'P&amp;L'!$B$5:$BO$43</definedName>
    <definedName name="Linking_Range_75">ALGN!$B$4:$BO$59</definedName>
    <definedName name="Linking_Range_76">'Bal Sht'!$A$5:$BO$81</definedName>
    <definedName name="Linking_Range_77">'Cash Flow'!$A$5:$BN$55</definedName>
    <definedName name="Linking_Range_78">'P&amp;L'!$B$5:$BO$73</definedName>
    <definedName name="Linking_Range_80">'Bal Sht'!$A$5:$BO$87</definedName>
    <definedName name="MacroVersion" localSheetId="10">IndexInformation!$B$1</definedName>
    <definedName name="Malaysia">[6]Fitbit_Model!$B$16</definedName>
    <definedName name="ModelPrice" localSheetId="0">ImportantDisclosures!$A$14</definedName>
    <definedName name="MonitorRow">1</definedName>
    <definedName name="Multiplier" localSheetId="10">IndexInformation!$B$35</definedName>
    <definedName name="NetIncome" localSheetId="9">{"Client Name or Project Name"}</definedName>
    <definedName name="NetIncome" localSheetId="1">{"Client Name or Project Name"}</definedName>
    <definedName name="NetIncome">{"Client Name or Project Name"}</definedName>
    <definedName name="newDCF" localSheetId="9">{"Client Name or Project Name"}</definedName>
    <definedName name="newDCF" localSheetId="1">{"Client Name or Project Name"}</definedName>
    <definedName name="newDCF">{"Client Name or Project Name"}</definedName>
    <definedName name="newname14" localSheetId="9">{9}</definedName>
    <definedName name="newname14" localSheetId="1">{9}</definedName>
    <definedName name="newname14">{9}</definedName>
    <definedName name="newname18" localSheetId="9">{9}</definedName>
    <definedName name="newname18" localSheetId="1">{9}</definedName>
    <definedName name="newname18">{9}</definedName>
    <definedName name="newname19" localSheetId="9">{9}</definedName>
    <definedName name="newname19" localSheetId="1">{9}</definedName>
    <definedName name="newname19">{9}</definedName>
    <definedName name="newname20" localSheetId="9">{"Client Name or Project Name"}</definedName>
    <definedName name="newname20" localSheetId="1">{"Client Name or Project Name"}</definedName>
    <definedName name="newname20">{"Client Name or Project Name"}</definedName>
    <definedName name="newname22" localSheetId="9">{9}</definedName>
    <definedName name="newname22" localSheetId="1">{9}</definedName>
    <definedName name="newname22">{9}</definedName>
    <definedName name="newname23" localSheetId="9" hidden="1">{"'Breakup 01 Euro'!$A$3:$I$30"}</definedName>
    <definedName name="newname23" localSheetId="1" hidden="1">{"'Breakup 01 Euro'!$A$3:$I$30"}</definedName>
    <definedName name="newname23" hidden="1">{"'Breakup 01 Euro'!$A$3:$I$30"}</definedName>
    <definedName name="newname25" hidden="1">39244.4711574074</definedName>
    <definedName name="newname26" localSheetId="9">{"Client Name or Project Name"}</definedName>
    <definedName name="newname26" localSheetId="1">{"Client Name or Project Name"}</definedName>
    <definedName name="newname26">{"Client Name or Project Name"}</definedName>
    <definedName name="newname28" localSheetId="9">{"Client Name or Project Name"}</definedName>
    <definedName name="newname28" localSheetId="1">{"Client Name or Project Name"}</definedName>
    <definedName name="newname28">{"Client Name or Project Name"}</definedName>
    <definedName name="newname29" localSheetId="9">{"Client Name or Project Name"}</definedName>
    <definedName name="newname29" localSheetId="1">{"Client Name or Project Name"}</definedName>
    <definedName name="newname29">{"Client Name or Project Name"}</definedName>
    <definedName name="newname30" localSheetId="9">{"Client Name or Project Name"}</definedName>
    <definedName name="newname30" localSheetId="1">{"Client Name or Project Name"}</definedName>
    <definedName name="newname30">{"Client Name or Project Name"}</definedName>
    <definedName name="newname31" localSheetId="9">{126}</definedName>
    <definedName name="newname31" localSheetId="1">{126}</definedName>
    <definedName name="newname31">{126}</definedName>
    <definedName name="newname32" localSheetId="9">{1}</definedName>
    <definedName name="newname32" localSheetId="1">{1}</definedName>
    <definedName name="newname32">{1}</definedName>
    <definedName name="newname33" localSheetId="9">{0}</definedName>
    <definedName name="newname33" localSheetId="1">{0}</definedName>
    <definedName name="newname33">{0}</definedName>
    <definedName name="newname34" localSheetId="9">{126}</definedName>
    <definedName name="newname34" localSheetId="1">{126}</definedName>
    <definedName name="newname34">{126}</definedName>
    <definedName name="newname35" localSheetId="9">{"Client Name or Project Name"}</definedName>
    <definedName name="newname35" localSheetId="1">{"Client Name or Project Name"}</definedName>
    <definedName name="newname35">{"Client Name or Project Name"}</definedName>
    <definedName name="newname36" localSheetId="9">{"Client Name or Project Name"}</definedName>
    <definedName name="newname36" localSheetId="1">{"Client Name or Project Name"}</definedName>
    <definedName name="newname36">{"Client Name or Project Name"}</definedName>
    <definedName name="newname37" localSheetId="9">{"Client Name or Project Name"}</definedName>
    <definedName name="newname37" localSheetId="1">{"Client Name or Project Name"}</definedName>
    <definedName name="newname37">{"Client Name or Project Name"}</definedName>
    <definedName name="newname38" localSheetId="9">{"Client Name or Project Name"}</definedName>
    <definedName name="newname38" localSheetId="1">{"Client Name or Project Name"}</definedName>
    <definedName name="newname38">{"Client Name or Project Name"}</definedName>
    <definedName name="newname39" localSheetId="9">{"Client Name or Project Name"}</definedName>
    <definedName name="newname39" localSheetId="1">{"Client Name or Project Name"}</definedName>
    <definedName name="newname39">{"Client Name or Project Name"}</definedName>
    <definedName name="newname40" localSheetId="9">{"Client Name or Project Name"}</definedName>
    <definedName name="newname40" localSheetId="1">{"Client Name or Project Name"}</definedName>
    <definedName name="newname40">{"Client Name or Project Name"}</definedName>
    <definedName name="newname41" localSheetId="9">{"Client Name or Project Name"}</definedName>
    <definedName name="newname41" localSheetId="1">{"Client Name or Project Name"}</definedName>
    <definedName name="newname41">{"Client Name or Project Name"}</definedName>
    <definedName name="newname42" localSheetId="9">{"Client Name or Project Name"}</definedName>
    <definedName name="newname42" localSheetId="1">{"Client Name or Project Name"}</definedName>
    <definedName name="newname42">{"Client Name or Project Name"}</definedName>
    <definedName name="newname43" localSheetId="9">{"Client Name or Project Name"}</definedName>
    <definedName name="newname43" localSheetId="1">{"Client Name or Project Name"}</definedName>
    <definedName name="newname43">{"Client Name or Project Name"}</definedName>
    <definedName name="newProjectName" localSheetId="9">{"Client Name or Project Name"}</definedName>
    <definedName name="newProjectName" localSheetId="1">{"Client Name or Project Name"}</definedName>
    <definedName name="newProjectName">{"Client Name or Project Name"}</definedName>
    <definedName name="NewProjName" localSheetId="9">{"Client Name or Project Name"}</definedName>
    <definedName name="NewProjName" localSheetId="1">{"Client Name or Project Name"}</definedName>
    <definedName name="NewProjName">{"Client Name or Project Name"}</definedName>
    <definedName name="newstone" localSheetId="9">{"Client Name or Project Name"}</definedName>
    <definedName name="newstone" localSheetId="1">{"Client Name or Project Name"}</definedName>
    <definedName name="newstone">{"Client Name or Project Name"}</definedName>
    <definedName name="NextYearEPS" localSheetId="10">IndexInformation!$B$13</definedName>
    <definedName name="NextYearTotalRevenue" localSheetId="10">IndexInformation!$B$12</definedName>
    <definedName name="NextYearTotalRevenueActual" localSheetId="10">IndexInformation!$B$33</definedName>
    <definedName name="NoIdeaWhatToDo" localSheetId="9">{"Client Name or Project Name"}</definedName>
    <definedName name="NoIdeaWhatToDo" localSheetId="1">{"Client Name or Project Name"}</definedName>
    <definedName name="NoIdeaWhatToDo">{"Client Name or Project Name"}</definedName>
    <definedName name="num" localSheetId="9">{126}</definedName>
    <definedName name="num" localSheetId="1">{126}</definedName>
    <definedName name="num">{126}</definedName>
    <definedName name="NumCUSIP" localSheetId="9">{1}</definedName>
    <definedName name="NumCUSIP" localSheetId="1">{1}</definedName>
    <definedName name="NumCUSIP">{1}</definedName>
    <definedName name="NumCUSIPMissing" localSheetId="9">{0}</definedName>
    <definedName name="NumCUSIPMissing" localSheetId="1">{0}</definedName>
    <definedName name="NumCUSIPMissing">{0}</definedName>
    <definedName name="NumInst" localSheetId="9">{126}</definedName>
    <definedName name="NumInst" localSheetId="1">{126}</definedName>
    <definedName name="NumInst">{126}</definedName>
    <definedName name="NVCURR">[8]I!$B$1:$U$51</definedName>
    <definedName name="ObjectType">IndexInformation!$B$37</definedName>
    <definedName name="Offset_Ht">[6]Fitbit_Model!$C$25</definedName>
    <definedName name="Offset_Spacer">[6]Fitbit_Model!$C$26</definedName>
    <definedName name="over_15_years">0.1</definedName>
    <definedName name="PANA" localSheetId="11">ModPubIndex!$A$11</definedName>
    <definedName name="PathName" localSheetId="10">IndexInformation!$B$25</definedName>
    <definedName name="Philippines">[6]Fitbit_Model!$B$14</definedName>
    <definedName name="PPP" localSheetId="9">{"Client Name or Project Name"}</definedName>
    <definedName name="PPP" localSheetId="1">{"Client Name or Project Name"}</definedName>
    <definedName name="PPP">{"Client Name or Project Name"}</definedName>
    <definedName name="_xlnm.Print_Area" localSheetId="2">'P&amp;L'!$A$1:$BU$199</definedName>
    <definedName name="_xlnm.Print_Area" localSheetId="5">UnitBuild!$A$1:$CG$159</definedName>
    <definedName name="_xlnm.Print_Area">"Formula removed, name can be deleted."</definedName>
    <definedName name="_xlnm.Print_Titles">"Formula removed, name can be deleted."</definedName>
    <definedName name="PRODUCT" localSheetId="11">ModPubIndex!$A$6</definedName>
    <definedName name="ProjectName" localSheetId="9">{"EMC Financial Projections"}</definedName>
    <definedName name="ProjectName" localSheetId="1">{"Client Name or Project Name"}</definedName>
    <definedName name="ProjectName">{"Client Name or Project Name"}</definedName>
    <definedName name="ProjectName_Options" localSheetId="9">{"Client Name or Project Name"}</definedName>
    <definedName name="ProjectName_Options" localSheetId="1">{"Client Name or Project Name"}</definedName>
    <definedName name="ProjectName_Options">{"Client Name or Project Name"}</definedName>
    <definedName name="ProjectName2" localSheetId="9">{"Client Name or Project Name"}</definedName>
    <definedName name="ProjectName2" localSheetId="1">{"Client Name or Project Name"}</definedName>
    <definedName name="ProjectName2">{"Client Name or Project Name"}</definedName>
    <definedName name="projectnamez" localSheetId="9">{"Client Name or Project Name"}</definedName>
    <definedName name="projectnamez" localSheetId="1">{"Client Name or Project Name"}</definedName>
    <definedName name="projectnamez">{"Client Name or Project Name"}</definedName>
    <definedName name="PSYM" localSheetId="11">ModPubIndex!$A$4</definedName>
    <definedName name="PUB_UserID" hidden="1">"MAYERX"</definedName>
    <definedName name="PublishDate" localSheetId="10">IndexInformation!$B$2</definedName>
    <definedName name="qqq" localSheetId="9">{9}</definedName>
    <definedName name="qqq" localSheetId="1">{9}</definedName>
    <definedName name="qqq">{9}</definedName>
    <definedName name="Rating" localSheetId="10">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10">IndexInformation!$B$4</definedName>
    <definedName name="RIC" localSheetId="10">IndexInformation!$B$21</definedName>
    <definedName name="SecondROI" localSheetId="9">{"Client Name or Project Name"}</definedName>
    <definedName name="SecondROI" localSheetId="1">{"Client Name or Project Name"}</definedName>
    <definedName name="SecondROI">{"Client Name or Project Name"}</definedName>
    <definedName name="SECSettlement" localSheetId="0">ImportantDisclosures!#REF!</definedName>
    <definedName name="SEDOL" localSheetId="10">IndexInformation!$B$22</definedName>
    <definedName name="sencount" hidden="1">2</definedName>
    <definedName name="Singapore">[6]Fitbit_Model!$B$19</definedName>
    <definedName name="SourceDefined" localSheetId="0">ImportantDisclosures!$A$19</definedName>
    <definedName name="Space">"          "</definedName>
    <definedName name="Spaces">"      "</definedName>
    <definedName name="Spain">[6]Fitbit_Model!$B$10</definedName>
    <definedName name="Stand1" localSheetId="9">{"Client Name or Project Name"}</definedName>
    <definedName name="Stand1" localSheetId="1">{"Client Name or Project Name"}</definedName>
    <definedName name="Stand1">{"Client Name or Project Name"}</definedName>
    <definedName name="state" localSheetId="9">{"Client Name or Project Name"}</definedName>
    <definedName name="state" localSheetId="1">{"Client Name or Project Name"}</definedName>
    <definedName name="state">{"Client Name or Project Name"}</definedName>
    <definedName name="States" localSheetId="9">{"Client Name or Project Name"}</definedName>
    <definedName name="States" localSheetId="1">{"Client Name or Project Name"}</definedName>
    <definedName name="States">{"Client Name or Project Name"}</definedName>
    <definedName name="StockRating" localSheetId="0">ImportantDisclosures!$A$11</definedName>
    <definedName name="SubjectCode" localSheetId="10">IndexInformation!$B$6</definedName>
    <definedName name="SubmitterUserId">IndexInformation!$B$39</definedName>
    <definedName name="SUPPRESSED" localSheetId="11">ModPubIndex!$A$13</definedName>
    <definedName name="Table_16">"GENEYE"</definedName>
    <definedName name="Taiwan">[6]Fitbit_Model!$B$17</definedName>
    <definedName name="TargetPrice" localSheetId="0">ImportantDisclosures!$A$15</definedName>
    <definedName name="TemplateRegion">IndexInformation!$B$36</definedName>
    <definedName name="Thailand">[6]Fitbit_Model!$B$20</definedName>
    <definedName name="Ticker" localSheetId="0">ImportantDisclosures!$A$10</definedName>
    <definedName name="TickerRegion">IndexInformation!$B$41</definedName>
    <definedName name="Tickers" localSheetId="10">IndexInformation!$B$19</definedName>
    <definedName name="UK">[6]Fitbit_Model!$B$7</definedName>
    <definedName name="UpdateReason" localSheetId="10">IndexInformation!$B$17</definedName>
    <definedName name="US">[6]Fitbit_Model!$B$6</definedName>
    <definedName name="USRegDisclosures" localSheetId="0">ImportantDisclosures!#REF!</definedName>
    <definedName name="Validation">"MAM"</definedName>
    <definedName name="Version">"June 29, 2004"</definedName>
    <definedName name="WeeksLead">[6]Fitbit_Model!$C$29</definedName>
    <definedName name="WeeksOut">[6]Fitbit_Model!$C$24</definedName>
  </definedNames>
  <calcPr calcId="145621"/>
</workbook>
</file>

<file path=xl/calcChain.xml><?xml version="1.0" encoding="utf-8"?>
<calcChain xmlns="http://schemas.openxmlformats.org/spreadsheetml/2006/main">
  <c r="BR46" i="47" l="1"/>
  <c r="BX46" i="47"/>
  <c r="CD46" i="47" s="1"/>
  <c r="BT47" i="47"/>
  <c r="BR47" i="47"/>
  <c r="CF46" i="47"/>
  <c r="CE46" i="47"/>
  <c r="CC46" i="47"/>
  <c r="BZ46" i="47"/>
  <c r="BY46" i="47"/>
  <c r="BW46" i="47"/>
  <c r="BT46" i="47"/>
  <c r="BS46" i="47"/>
  <c r="CG45" i="47"/>
  <c r="CF45" i="47"/>
  <c r="CE45" i="47"/>
  <c r="CD45" i="47"/>
  <c r="CC45" i="47"/>
  <c r="BZ45" i="47"/>
  <c r="BY45" i="47"/>
  <c r="BX45" i="47"/>
  <c r="BW45" i="47"/>
  <c r="BT45" i="47"/>
  <c r="BS45" i="47"/>
  <c r="BR45" i="47"/>
  <c r="CG46" i="47" l="1"/>
  <c r="BX77" i="47"/>
  <c r="BY77" i="47" s="1"/>
  <c r="BZ77" i="47" s="1"/>
  <c r="BQ99" i="47"/>
  <c r="BQ102" i="47" s="1"/>
  <c r="BQ103" i="47" s="1"/>
  <c r="BQ104" i="47" s="1"/>
  <c r="BQ97" i="47"/>
  <c r="BQ15" i="4" s="1"/>
  <c r="BQ94" i="47"/>
  <c r="BQ95" i="47" s="1"/>
  <c r="BQ18" i="3"/>
  <c r="BS47" i="47"/>
  <c r="BS174" i="47"/>
  <c r="BT174" i="47" s="1"/>
  <c r="BR174" i="47"/>
  <c r="BQ156" i="47"/>
  <c r="BQ152" i="47"/>
  <c r="BQ149" i="47"/>
  <c r="BQ150" i="47" s="1"/>
  <c r="BQ136" i="47"/>
  <c r="BQ144" i="47"/>
  <c r="BQ142" i="47"/>
  <c r="BQ138" i="47"/>
  <c r="BQ139" i="47" s="1"/>
  <c r="BQ46" i="47"/>
  <c r="BQ48" i="47" s="1"/>
  <c r="BQ42" i="47"/>
  <c r="BQ35" i="47"/>
  <c r="BQ86" i="4"/>
  <c r="BQ81" i="4"/>
  <c r="BQ75" i="4"/>
  <c r="BQ95" i="4"/>
  <c r="BQ92" i="4"/>
  <c r="BQ173" i="3"/>
  <c r="BQ34" i="47"/>
  <c r="BQ32" i="47"/>
  <c r="BQ31" i="47"/>
  <c r="BQ44" i="4"/>
  <c r="BQ39" i="4" s="1"/>
  <c r="BQ54" i="4"/>
  <c r="BQ52" i="4"/>
  <c r="BQ51" i="4"/>
  <c r="BQ47" i="4"/>
  <c r="BQ37" i="4"/>
  <c r="BQ32" i="4"/>
  <c r="BQ31" i="4"/>
  <c r="BQ30" i="4" s="1"/>
  <c r="BQ27" i="4"/>
  <c r="BQ22" i="4"/>
  <c r="BQ17" i="4"/>
  <c r="BQ12" i="4"/>
  <c r="BQ10" i="4"/>
  <c r="BQ10" i="47"/>
  <c r="BQ11" i="47" s="1"/>
  <c r="BQ12" i="47" s="1"/>
  <c r="BQ17" i="47"/>
  <c r="BQ18" i="47" s="1"/>
  <c r="BQ14" i="47"/>
  <c r="BQ15" i="47" s="1"/>
  <c r="BQ42" i="3"/>
  <c r="BQ28" i="3"/>
  <c r="BQ15" i="3"/>
  <c r="BQ12" i="3" s="1"/>
  <c r="BQ78" i="3"/>
  <c r="BQ69" i="3"/>
  <c r="BQ65" i="3"/>
  <c r="BQ60" i="3"/>
  <c r="BQ53" i="3"/>
  <c r="BQ48" i="3"/>
  <c r="BQ46" i="3"/>
  <c r="BQ40" i="3"/>
  <c r="BQ31" i="3"/>
  <c r="BQ14" i="3"/>
  <c r="BQ47" i="3" s="1"/>
  <c r="BQ10" i="3"/>
  <c r="BQ16" i="3" s="1"/>
  <c r="BQ148" i="47" l="1"/>
  <c r="BQ151" i="47" s="1"/>
  <c r="BQ16" i="4"/>
  <c r="BQ11" i="4"/>
  <c r="BQ153" i="47"/>
  <c r="BQ98" i="47"/>
  <c r="BQ100" i="47"/>
  <c r="BQ50" i="3"/>
  <c r="BQ19" i="3"/>
  <c r="BQ51" i="3" s="1"/>
  <c r="BQ143" i="47"/>
  <c r="BQ145" i="47" s="1"/>
  <c r="BQ87" i="4"/>
  <c r="BQ50" i="4"/>
  <c r="BQ49" i="3"/>
  <c r="BQ13" i="3"/>
  <c r="BI208" i="47"/>
  <c r="BI209" i="47" s="1"/>
  <c r="BI206" i="47"/>
  <c r="BI207" i="47"/>
  <c r="BO204" i="47"/>
  <c r="BO205" i="47" s="1"/>
  <c r="BI204" i="47"/>
  <c r="BI205" i="47" s="1"/>
  <c r="BO195" i="47"/>
  <c r="BO194" i="47"/>
  <c r="BO193" i="47"/>
  <c r="BI195" i="47"/>
  <c r="BI194" i="47"/>
  <c r="BI193" i="47"/>
  <c r="BI198" i="47"/>
  <c r="BO198" i="47"/>
  <c r="BO201" i="47"/>
  <c r="BO202" i="47" s="1"/>
  <c r="BO200" i="47"/>
  <c r="BO199" i="47"/>
  <c r="BQ159" i="47" l="1"/>
  <c r="BQ157" i="47" s="1"/>
  <c r="BQ155" i="47"/>
  <c r="BQ154" i="47"/>
  <c r="BQ101" i="47"/>
  <c r="BQ20" i="4"/>
  <c r="BQ21" i="4" s="1"/>
  <c r="BQ160" i="47" l="1"/>
  <c r="CD94" i="47" l="1"/>
  <c r="CE94" i="47" s="1"/>
  <c r="CF94" i="47" s="1"/>
  <c r="BX94" i="47"/>
  <c r="BY94" i="47" s="1"/>
  <c r="BZ94" i="47" s="1"/>
  <c r="BA71" i="47" l="1"/>
  <c r="AZ71" i="47"/>
  <c r="AY71" i="47"/>
  <c r="BL72" i="47" l="1"/>
  <c r="BM72" i="47" s="1"/>
  <c r="BN72" i="47" s="1"/>
  <c r="AQ122" i="4"/>
  <c r="AW122" i="4"/>
  <c r="BI122" i="4"/>
  <c r="BC122" i="4"/>
  <c r="BO122" i="4"/>
  <c r="BY20" i="47" l="1"/>
  <c r="CG163" i="47" l="1"/>
  <c r="CA163" i="47"/>
  <c r="BU163" i="47"/>
  <c r="BO163" i="47"/>
  <c r="BX168" i="47" l="1"/>
  <c r="BY168" i="47" s="1"/>
  <c r="CE19" i="47"/>
  <c r="CD19" i="47"/>
  <c r="CC19" i="47"/>
  <c r="G47" i="47" l="1"/>
  <c r="G46" i="47"/>
  <c r="G45" i="47"/>
  <c r="M47" i="47"/>
  <c r="M46" i="47"/>
  <c r="M45" i="47"/>
  <c r="S47" i="47"/>
  <c r="S46" i="47"/>
  <c r="S45" i="47"/>
  <c r="Y47" i="47"/>
  <c r="Y46" i="47"/>
  <c r="Y45" i="47"/>
  <c r="AE47" i="47"/>
  <c r="AE46" i="47"/>
  <c r="AE45" i="47"/>
  <c r="AK47" i="47"/>
  <c r="AK46" i="47"/>
  <c r="AK45" i="47"/>
  <c r="AQ47" i="47"/>
  <c r="AQ46" i="47"/>
  <c r="AQ45" i="47"/>
  <c r="AW47" i="47"/>
  <c r="BC47" i="47"/>
  <c r="BC46" i="47"/>
  <c r="BC45" i="47"/>
  <c r="BI47" i="47"/>
  <c r="BI46" i="47"/>
  <c r="BI45" i="47"/>
  <c r="BO47" i="47"/>
  <c r="BO45" i="47"/>
  <c r="CD92" i="1" l="1"/>
  <c r="CE92" i="1" s="1"/>
  <c r="CF92" i="1" s="1"/>
  <c r="BX92" i="1"/>
  <c r="BY92" i="1" s="1"/>
  <c r="BZ92" i="1" s="1"/>
  <c r="BN135" i="1" l="1"/>
  <c r="BN130" i="1"/>
  <c r="BO126" i="1"/>
  <c r="BN122" i="1"/>
  <c r="BO113" i="1"/>
  <c r="BO112" i="1"/>
  <c r="BM101" i="1"/>
  <c r="BM99" i="1"/>
  <c r="BM98" i="1"/>
  <c r="BM94" i="1"/>
  <c r="BM92" i="1"/>
  <c r="BM90" i="1"/>
  <c r="BN101" i="1"/>
  <c r="BN99" i="1"/>
  <c r="BN98" i="1"/>
  <c r="BN94" i="1"/>
  <c r="BN92" i="1"/>
  <c r="BN90" i="1"/>
  <c r="BN54" i="1"/>
  <c r="BN52" i="1"/>
  <c r="BN30" i="1"/>
  <c r="BN21" i="1"/>
  <c r="BM96" i="2"/>
  <c r="BM93" i="2"/>
  <c r="BN87" i="2"/>
  <c r="BM87" i="2"/>
  <c r="BL87" i="2"/>
  <c r="BK87" i="2"/>
  <c r="BJ87" i="2"/>
  <c r="BM85" i="2"/>
  <c r="BL85" i="2"/>
  <c r="BK85" i="2"/>
  <c r="BJ85" i="2"/>
  <c r="BM73" i="2"/>
  <c r="BN72" i="2"/>
  <c r="BL72" i="2"/>
  <c r="BJ61" i="2"/>
  <c r="BN53" i="1" l="1"/>
  <c r="BN118" i="47" l="1"/>
  <c r="BN117" i="47"/>
  <c r="BO117" i="47" s="1"/>
  <c r="BN116" i="47"/>
  <c r="BO116" i="47" s="1"/>
  <c r="BM126" i="47"/>
  <c r="BL126" i="47"/>
  <c r="BK126" i="47"/>
  <c r="BM124" i="47"/>
  <c r="BL124" i="47"/>
  <c r="BK124" i="47"/>
  <c r="BM122" i="47"/>
  <c r="BL122" i="47"/>
  <c r="BK122" i="47"/>
  <c r="BM119" i="47"/>
  <c r="BM131" i="47" s="1"/>
  <c r="BN144" i="47"/>
  <c r="BM144" i="47"/>
  <c r="BL144" i="47"/>
  <c r="BK144" i="47"/>
  <c r="BN142" i="47"/>
  <c r="BM142" i="47"/>
  <c r="BL142" i="47"/>
  <c r="BK142" i="47"/>
  <c r="BO137" i="47"/>
  <c r="BO135" i="47"/>
  <c r="BN70" i="4"/>
  <c r="BO190" i="3"/>
  <c r="BO144" i="47" l="1"/>
  <c r="BM129" i="47"/>
  <c r="BM121" i="47"/>
  <c r="BM130" i="47"/>
  <c r="BN119" i="47"/>
  <c r="BO118" i="47"/>
  <c r="BO142" i="47"/>
  <c r="BO85" i="4"/>
  <c r="BN75" i="4"/>
  <c r="BN81" i="4" s="1"/>
  <c r="BN86" i="4" l="1"/>
  <c r="BN87" i="4" s="1"/>
  <c r="BN131" i="47"/>
  <c r="BN130" i="47"/>
  <c r="BN129" i="47"/>
  <c r="BM132" i="47"/>
  <c r="BN121" i="47"/>
  <c r="BN132" i="47" l="1"/>
  <c r="BX50" i="3"/>
  <c r="CD50" i="3" s="1"/>
  <c r="BW50" i="3"/>
  <c r="CC50" i="3" s="1"/>
  <c r="BW51" i="3"/>
  <c r="CC51" i="3" s="1"/>
  <c r="CD158" i="47"/>
  <c r="CE158" i="47" s="1"/>
  <c r="CF158" i="47" s="1"/>
  <c r="BR49" i="3" l="1"/>
  <c r="BS49" i="3" s="1"/>
  <c r="BT49" i="3" s="1"/>
  <c r="BW49" i="3" l="1"/>
  <c r="BX49" i="3" s="1"/>
  <c r="BY49" i="3" s="1"/>
  <c r="BZ49" i="3" s="1"/>
  <c r="CC49" i="3" s="1"/>
  <c r="CD49" i="3" s="1"/>
  <c r="CE49" i="3" s="1"/>
  <c r="CF49" i="3" s="1"/>
  <c r="BN15" i="3" l="1"/>
  <c r="BN14" i="3"/>
  <c r="BT158" i="47"/>
  <c r="BN136" i="47"/>
  <c r="BN138" i="47" s="1"/>
  <c r="BN152" i="47"/>
  <c r="BN149" i="47"/>
  <c r="BN150" i="47" s="1"/>
  <c r="BN95" i="4"/>
  <c r="BN92" i="4"/>
  <c r="BN44" i="4"/>
  <c r="BN39" i="4" s="1"/>
  <c r="BN54" i="4"/>
  <c r="BN52" i="4"/>
  <c r="BN51" i="4"/>
  <c r="BN47" i="4"/>
  <c r="BN37" i="4"/>
  <c r="BN32" i="4"/>
  <c r="BN31" i="4"/>
  <c r="BN27" i="4"/>
  <c r="BN22" i="4"/>
  <c r="BN17" i="4"/>
  <c r="BN12" i="4"/>
  <c r="BN99" i="47"/>
  <c r="BN46" i="47"/>
  <c r="BN10" i="47"/>
  <c r="BN54" i="47" s="1"/>
  <c r="BN60" i="47"/>
  <c r="BN58" i="47"/>
  <c r="BN55" i="47"/>
  <c r="BN42" i="47"/>
  <c r="BN34" i="47"/>
  <c r="BN32" i="47"/>
  <c r="BN31" i="47"/>
  <c r="BN17" i="47"/>
  <c r="BN14" i="47"/>
  <c r="BN35" i="3"/>
  <c r="BN65" i="3"/>
  <c r="BN78" i="3"/>
  <c r="BN69" i="3"/>
  <c r="BN60" i="3"/>
  <c r="BN53" i="3"/>
  <c r="BN40" i="3"/>
  <c r="BN31" i="3"/>
  <c r="BN10" i="3"/>
  <c r="BN16" i="3" s="1"/>
  <c r="BN48" i="47" l="1"/>
  <c r="BN56" i="47"/>
  <c r="BN153" i="47"/>
  <c r="BN50" i="4"/>
  <c r="BT44" i="4"/>
  <c r="BN57" i="47"/>
  <c r="BN59" i="47" s="1"/>
  <c r="BN30" i="4"/>
  <c r="BN102" i="47"/>
  <c r="BN22" i="47"/>
  <c r="BN11" i="47"/>
  <c r="BN46" i="3"/>
  <c r="BN47" i="3"/>
  <c r="BN61" i="47" l="1"/>
  <c r="BN109" i="47"/>
  <c r="BN35" i="47"/>
  <c r="BO191" i="47" l="1"/>
  <c r="BO190" i="47"/>
  <c r="BO189" i="47"/>
  <c r="BI191" i="47" l="1"/>
  <c r="BI190" i="47"/>
  <c r="BI189" i="47"/>
  <c r="BI199" i="47"/>
  <c r="BI201" i="47"/>
  <c r="BI200" i="47" l="1"/>
  <c r="BI202" i="47"/>
  <c r="C65" i="10" l="1"/>
  <c r="BX72" i="47"/>
  <c r="BY72" i="47" s="1"/>
  <c r="BZ72" i="47" s="1"/>
  <c r="AB164" i="1" l="1"/>
  <c r="AC164" i="1"/>
  <c r="AD164" i="1"/>
  <c r="AG164" i="1"/>
  <c r="AH164" i="1"/>
  <c r="AI164" i="1"/>
  <c r="AJ164" i="1"/>
  <c r="AM164" i="1"/>
  <c r="AN164" i="1"/>
  <c r="AO164" i="1"/>
  <c r="AP164" i="1"/>
  <c r="AS164" i="1"/>
  <c r="AT164" i="1"/>
  <c r="AU164" i="1"/>
  <c r="AV164" i="1"/>
  <c r="AY164" i="1"/>
  <c r="AZ164" i="1"/>
  <c r="BA164" i="1"/>
  <c r="BB164" i="1"/>
  <c r="BE164" i="1"/>
  <c r="BF164" i="1"/>
  <c r="BG164" i="1"/>
  <c r="BH164" i="1"/>
  <c r="BK164" i="1"/>
  <c r="BL164" i="1"/>
  <c r="BM164" i="1"/>
  <c r="CD53" i="1" l="1"/>
  <c r="CE53" i="1" s="1"/>
  <c r="CF53" i="1" s="1"/>
  <c r="BX97" i="47" l="1"/>
  <c r="BY97" i="47" s="1"/>
  <c r="BZ97" i="47" s="1"/>
  <c r="CC21" i="47"/>
  <c r="CD21" i="47"/>
  <c r="CD128" i="1"/>
  <c r="CE128" i="1" s="1"/>
  <c r="CF128" i="1" s="1"/>
  <c r="BX128" i="1"/>
  <c r="BY128" i="1" s="1"/>
  <c r="BZ128" i="1" s="1"/>
  <c r="BR128" i="1"/>
  <c r="BS128" i="1" s="1"/>
  <c r="BT128" i="1" s="1"/>
  <c r="BL19" i="1"/>
  <c r="BM19" i="1"/>
  <c r="BM130" i="1" s="1"/>
  <c r="BN125" i="1" s="1"/>
  <c r="BL96" i="2"/>
  <c r="BL93" i="2"/>
  <c r="BL8" i="2"/>
  <c r="BR118" i="1"/>
  <c r="BS118" i="1" s="1"/>
  <c r="BT118" i="1" s="1"/>
  <c r="BM142" i="1"/>
  <c r="BM135" i="1"/>
  <c r="BN133" i="1" s="1"/>
  <c r="BN134" i="1" s="1"/>
  <c r="CD94" i="1"/>
  <c r="CE94" i="1" s="1"/>
  <c r="CF94" i="1" s="1"/>
  <c r="BX94" i="1"/>
  <c r="BY94" i="1" s="1"/>
  <c r="BZ94" i="1" s="1"/>
  <c r="BR94" i="1"/>
  <c r="BS94" i="1" s="1"/>
  <c r="BT94" i="1" s="1"/>
  <c r="BM122" i="1"/>
  <c r="BM54" i="1"/>
  <c r="BM52" i="1"/>
  <c r="BM30" i="1"/>
  <c r="BL21" i="1"/>
  <c r="BM21" i="1"/>
  <c r="BM28" i="1"/>
  <c r="BM73" i="1" s="1"/>
  <c r="BM14" i="1"/>
  <c r="BM72" i="1" l="1"/>
  <c r="BM75" i="1"/>
  <c r="BM74" i="1"/>
  <c r="BM53" i="1"/>
  <c r="BM32" i="1"/>
  <c r="BM22" i="1"/>
  <c r="CE21" i="47" l="1"/>
  <c r="BL166" i="1" l="1"/>
  <c r="BK166" i="1"/>
  <c r="BH166" i="1"/>
  <c r="BG166" i="1"/>
  <c r="BF166" i="1"/>
  <c r="BE166" i="1"/>
  <c r="BB166" i="1"/>
  <c r="BA166" i="1"/>
  <c r="AZ166" i="1"/>
  <c r="AY166" i="1"/>
  <c r="AV166" i="1"/>
  <c r="AU166" i="1"/>
  <c r="AT166" i="1"/>
  <c r="AS166" i="1"/>
  <c r="AP166" i="1"/>
  <c r="AO166" i="1"/>
  <c r="AN166" i="1"/>
  <c r="AM166" i="1"/>
  <c r="AJ166" i="1"/>
  <c r="AI166" i="1"/>
  <c r="AH166" i="1"/>
  <c r="AG166" i="1"/>
  <c r="AD166" i="1"/>
  <c r="AC166" i="1"/>
  <c r="AB166" i="1"/>
  <c r="AA166" i="1"/>
  <c r="X166" i="1"/>
  <c r="W166" i="1"/>
  <c r="V166" i="1"/>
  <c r="U166" i="1"/>
  <c r="R166" i="1"/>
  <c r="Q166" i="1"/>
  <c r="P166" i="1"/>
  <c r="O166" i="1"/>
  <c r="L166" i="1"/>
  <c r="K166" i="1"/>
  <c r="J166" i="1"/>
  <c r="I166" i="1"/>
  <c r="BL165" i="1"/>
  <c r="BK165" i="1"/>
  <c r="BH165" i="1"/>
  <c r="BG165" i="1"/>
  <c r="BF165" i="1"/>
  <c r="BE165" i="1"/>
  <c r="BB165" i="1"/>
  <c r="BA165" i="1"/>
  <c r="AZ165" i="1"/>
  <c r="AY165" i="1"/>
  <c r="AV165" i="1"/>
  <c r="AU165" i="1"/>
  <c r="AT165" i="1"/>
  <c r="AS165" i="1"/>
  <c r="AP165" i="1"/>
  <c r="AO165" i="1"/>
  <c r="AN165" i="1"/>
  <c r="AM165" i="1"/>
  <c r="AJ165" i="1"/>
  <c r="AI165" i="1"/>
  <c r="AH165" i="1"/>
  <c r="AG165" i="1"/>
  <c r="AD165" i="1"/>
  <c r="AC165" i="1"/>
  <c r="AB165" i="1"/>
  <c r="AA165" i="1"/>
  <c r="X165" i="1"/>
  <c r="W165" i="1"/>
  <c r="V165" i="1"/>
  <c r="U165" i="1"/>
  <c r="R165" i="1"/>
  <c r="Q165" i="1"/>
  <c r="P165" i="1"/>
  <c r="O165" i="1"/>
  <c r="L165" i="1"/>
  <c r="K165" i="1"/>
  <c r="J165" i="1"/>
  <c r="I165" i="1"/>
  <c r="CG159" i="1"/>
  <c r="CF159" i="1"/>
  <c r="CE159" i="1"/>
  <c r="CD159" i="1"/>
  <c r="CC159" i="1"/>
  <c r="CA159" i="1"/>
  <c r="BZ159" i="1"/>
  <c r="BY159" i="1"/>
  <c r="BX159" i="1"/>
  <c r="BW159" i="1"/>
  <c r="BU159" i="1"/>
  <c r="BT159" i="1"/>
  <c r="BS159" i="1"/>
  <c r="BR159" i="1"/>
  <c r="BQ159" i="1"/>
  <c r="BO159" i="1"/>
  <c r="BN159" i="1"/>
  <c r="BM159" i="1"/>
  <c r="BL159" i="1"/>
  <c r="BK159" i="1"/>
  <c r="BI159" i="1"/>
  <c r="BH159" i="1"/>
  <c r="BG159" i="1"/>
  <c r="BF159" i="1"/>
  <c r="BE159" i="1"/>
  <c r="BC159" i="1"/>
  <c r="BB159" i="1"/>
  <c r="BA159" i="1"/>
  <c r="AZ159" i="1"/>
  <c r="AY159" i="1"/>
  <c r="AW159" i="1"/>
  <c r="AV159" i="1"/>
  <c r="AU159" i="1"/>
  <c r="AT159" i="1"/>
  <c r="AS159" i="1"/>
  <c r="AQ159" i="1"/>
  <c r="AP159" i="1"/>
  <c r="AO159" i="1"/>
  <c r="AN159" i="1"/>
  <c r="AM159" i="1"/>
  <c r="AK159" i="1"/>
  <c r="AJ159" i="1"/>
  <c r="AI159" i="1"/>
  <c r="AH159" i="1"/>
  <c r="AG159" i="1"/>
  <c r="AE159" i="1"/>
  <c r="AD159" i="1"/>
  <c r="AC159" i="1"/>
  <c r="AB159" i="1"/>
  <c r="AA159" i="1"/>
  <c r="Y159" i="1"/>
  <c r="X159" i="1"/>
  <c r="W159" i="1"/>
  <c r="V159" i="1"/>
  <c r="U159" i="1"/>
  <c r="S159" i="1"/>
  <c r="R159" i="1"/>
  <c r="Q159" i="1"/>
  <c r="P159" i="1"/>
  <c r="O159" i="1"/>
  <c r="M159" i="1"/>
  <c r="L159" i="1"/>
  <c r="K159" i="1"/>
  <c r="J159" i="1"/>
  <c r="I159" i="1"/>
  <c r="AU156" i="1"/>
  <c r="AT156" i="1"/>
  <c r="AS156" i="1"/>
  <c r="AP156" i="1"/>
  <c r="AO156" i="1"/>
  <c r="AN156" i="1"/>
  <c r="AM156" i="1"/>
  <c r="AJ156" i="1"/>
  <c r="AI156" i="1"/>
  <c r="AH156" i="1"/>
  <c r="AG156" i="1"/>
  <c r="AD156" i="1"/>
  <c r="AC156" i="1"/>
  <c r="AB156" i="1"/>
  <c r="AA156" i="1"/>
  <c r="X156" i="1"/>
  <c r="W156" i="1"/>
  <c r="V156" i="1"/>
  <c r="U156" i="1"/>
  <c r="R156" i="1"/>
  <c r="Q156" i="1"/>
  <c r="P156" i="1"/>
  <c r="O156" i="1"/>
  <c r="L156" i="1"/>
  <c r="K156" i="1"/>
  <c r="J156" i="1"/>
  <c r="I156" i="1"/>
  <c r="BL155" i="1"/>
  <c r="BK155" i="1"/>
  <c r="BH155" i="1"/>
  <c r="BG155" i="1"/>
  <c r="BF155" i="1"/>
  <c r="BE155" i="1"/>
  <c r="BB155" i="1"/>
  <c r="BA155" i="1"/>
  <c r="AZ155" i="1"/>
  <c r="AY155" i="1"/>
  <c r="AV155" i="1"/>
  <c r="AU155" i="1"/>
  <c r="AT155" i="1"/>
  <c r="AS155" i="1"/>
  <c r="AP155" i="1"/>
  <c r="AO155" i="1"/>
  <c r="AN155" i="1"/>
  <c r="AM155" i="1"/>
  <c r="AJ155" i="1"/>
  <c r="AI155" i="1"/>
  <c r="AH155" i="1"/>
  <c r="AG155" i="1"/>
  <c r="AD155" i="1"/>
  <c r="AC155" i="1"/>
  <c r="AB155" i="1"/>
  <c r="AA155" i="1"/>
  <c r="X155" i="1"/>
  <c r="W155" i="1"/>
  <c r="V155" i="1"/>
  <c r="U155" i="1"/>
  <c r="R155" i="1"/>
  <c r="Q155" i="1"/>
  <c r="P155" i="1"/>
  <c r="O155" i="1"/>
  <c r="L155" i="1"/>
  <c r="K155" i="1"/>
  <c r="J155" i="1"/>
  <c r="I155" i="1"/>
  <c r="F166" i="1"/>
  <c r="E166" i="1"/>
  <c r="D166" i="1"/>
  <c r="F165" i="1"/>
  <c r="E165" i="1"/>
  <c r="D165" i="1"/>
  <c r="G159" i="1"/>
  <c r="F159" i="1"/>
  <c r="E159" i="1"/>
  <c r="D159" i="1"/>
  <c r="F156" i="1"/>
  <c r="E156" i="1"/>
  <c r="D156" i="1"/>
  <c r="F155" i="1"/>
  <c r="E155" i="1"/>
  <c r="D155" i="1"/>
  <c r="C166" i="1"/>
  <c r="C165" i="1"/>
  <c r="C159" i="1"/>
  <c r="C156" i="1"/>
  <c r="C155" i="1"/>
  <c r="CD111" i="1" l="1"/>
  <c r="CE111" i="1" s="1"/>
  <c r="CF111" i="1" s="1"/>
  <c r="BY47" i="47" l="1"/>
  <c r="CE47" i="47" s="1"/>
  <c r="BZ47" i="47" l="1"/>
  <c r="CF47" i="47" s="1"/>
  <c r="BX47" i="47"/>
  <c r="CD47" i="47" s="1"/>
  <c r="BW47" i="47"/>
  <c r="BM99" i="47"/>
  <c r="BM102" i="47" s="1"/>
  <c r="BM152" i="47"/>
  <c r="BM149" i="47"/>
  <c r="BM150" i="47" s="1"/>
  <c r="BM136" i="47"/>
  <c r="BM138" i="47" s="1"/>
  <c r="BM46" i="47"/>
  <c r="BM10" i="47"/>
  <c r="BM22" i="47" s="1"/>
  <c r="BN25" i="47" s="1"/>
  <c r="BM42" i="47"/>
  <c r="BM34" i="47"/>
  <c r="BM32" i="47"/>
  <c r="BM31" i="47"/>
  <c r="BM17" i="47"/>
  <c r="BM14" i="47"/>
  <c r="BM75" i="4"/>
  <c r="BM81" i="4" s="1"/>
  <c r="BM70" i="4"/>
  <c r="BM44" i="4"/>
  <c r="BM95" i="4"/>
  <c r="BM92" i="4"/>
  <c r="BM69" i="4"/>
  <c r="BM52" i="4"/>
  <c r="BM54" i="4"/>
  <c r="BM51" i="4"/>
  <c r="BM47" i="4"/>
  <c r="BM37" i="4"/>
  <c r="BM32" i="4"/>
  <c r="BM31" i="4"/>
  <c r="BM15" i="3"/>
  <c r="BM48" i="3" s="1"/>
  <c r="BM78" i="3"/>
  <c r="BM69" i="3"/>
  <c r="BM65" i="3"/>
  <c r="BM60" i="3"/>
  <c r="BM53" i="3"/>
  <c r="BM40" i="3"/>
  <c r="BM31" i="3"/>
  <c r="BM14" i="3"/>
  <c r="BM10" i="3"/>
  <c r="BM16" i="3" s="1"/>
  <c r="BM86" i="4" l="1"/>
  <c r="BM87" i="4" s="1"/>
  <c r="BM35" i="47" s="1"/>
  <c r="BN143" i="47"/>
  <c r="BN145" i="47" s="1"/>
  <c r="CA47" i="47"/>
  <c r="BU47" i="47"/>
  <c r="BM39" i="4"/>
  <c r="BM60" i="4" s="1"/>
  <c r="BS44" i="4"/>
  <c r="BM148" i="47"/>
  <c r="BM151" i="47" s="1"/>
  <c r="BM146" i="1"/>
  <c r="CC47" i="47"/>
  <c r="CG47" i="47" s="1"/>
  <c r="BM48" i="47"/>
  <c r="BN51" i="47" s="1"/>
  <c r="BM30" i="4"/>
  <c r="BM153" i="47"/>
  <c r="BM11" i="47"/>
  <c r="BM183" i="47"/>
  <c r="BM181" i="47" s="1"/>
  <c r="BM50" i="4"/>
  <c r="BM49" i="3"/>
  <c r="BM12" i="3"/>
  <c r="BM13" i="3"/>
  <c r="BM159" i="47" l="1"/>
  <c r="BM160" i="47" s="1"/>
  <c r="BM109" i="47"/>
  <c r="BM154" i="47"/>
  <c r="BM155" i="47"/>
  <c r="BX158" i="47" l="1"/>
  <c r="BY158" i="47" s="1"/>
  <c r="BZ158" i="47" s="1"/>
  <c r="BX17" i="47"/>
  <c r="BY17" i="47" s="1"/>
  <c r="BZ17" i="47" s="1"/>
  <c r="BU187" i="3"/>
  <c r="BT183" i="3"/>
  <c r="BS183" i="3"/>
  <c r="BR183" i="3"/>
  <c r="BQ183" i="3"/>
  <c r="BU181" i="3"/>
  <c r="BU179" i="3"/>
  <c r="BU183" i="3" l="1"/>
  <c r="BL142" i="1" l="1"/>
  <c r="BL135" i="1"/>
  <c r="BM133" i="1" s="1"/>
  <c r="BM134" i="1" s="1"/>
  <c r="BL130" i="1"/>
  <c r="BM125" i="1" s="1"/>
  <c r="BL122" i="1"/>
  <c r="BL101" i="1"/>
  <c r="BL99" i="1"/>
  <c r="BL98" i="1"/>
  <c r="BL94" i="1"/>
  <c r="BL92" i="1"/>
  <c r="BL90" i="1"/>
  <c r="BL56" i="1"/>
  <c r="BL154" i="1" s="1"/>
  <c r="BL54" i="1"/>
  <c r="BL52" i="1"/>
  <c r="BL46" i="1"/>
  <c r="BL47" i="1" s="1"/>
  <c r="BL30" i="1"/>
  <c r="BL156" i="1" s="1"/>
  <c r="BK72" i="2"/>
  <c r="BJ72" i="2"/>
  <c r="BK44" i="2"/>
  <c r="BK41" i="2"/>
  <c r="BM41" i="2" s="1"/>
  <c r="BK40" i="2"/>
  <c r="BK38" i="2"/>
  <c r="BK36" i="2"/>
  <c r="BK29" i="2"/>
  <c r="BK28" i="2"/>
  <c r="BK24" i="2"/>
  <c r="BK23" i="2"/>
  <c r="BK22" i="2"/>
  <c r="BK21" i="2"/>
  <c r="BK20" i="2"/>
  <c r="BK19" i="2"/>
  <c r="BK11" i="2"/>
  <c r="BK10" i="2"/>
  <c r="BK9" i="2"/>
  <c r="BK45" i="2"/>
  <c r="BK39" i="2"/>
  <c r="BK37" i="2"/>
  <c r="BK30" i="2"/>
  <c r="BK15" i="2"/>
  <c r="BM15" i="2" s="1"/>
  <c r="BK14" i="2"/>
  <c r="BK13" i="2"/>
  <c r="BK12" i="2"/>
  <c r="BL119" i="47"/>
  <c r="BL130" i="47" l="1"/>
  <c r="BL131" i="47"/>
  <c r="BL129" i="47"/>
  <c r="BL37" i="2"/>
  <c r="BM37" i="2" s="1"/>
  <c r="BL20" i="2"/>
  <c r="BM20" i="2" s="1"/>
  <c r="BL14" i="2"/>
  <c r="BM14" i="2" s="1"/>
  <c r="BK61" i="2"/>
  <c r="BL11" i="2"/>
  <c r="BM11" i="2" s="1"/>
  <c r="BL21" i="2"/>
  <c r="BM21" i="2" s="1"/>
  <c r="BL36" i="2"/>
  <c r="BM36" i="2" s="1"/>
  <c r="BL44" i="2"/>
  <c r="BM44" i="2" s="1"/>
  <c r="BL13" i="2"/>
  <c r="BM13" i="2" s="1"/>
  <c r="BL24" i="2"/>
  <c r="BM24" i="2" s="1"/>
  <c r="BL38" i="2"/>
  <c r="BL83" i="2" s="1"/>
  <c r="BL82" i="2" s="1"/>
  <c r="BL45" i="2"/>
  <c r="BM45" i="2" s="1"/>
  <c r="BL22" i="2"/>
  <c r="BM22" i="2" s="1"/>
  <c r="BL30" i="2"/>
  <c r="BM30" i="2" s="1"/>
  <c r="BL9" i="2"/>
  <c r="BM9" i="2" s="1"/>
  <c r="BL19" i="2"/>
  <c r="BM19" i="2" s="1"/>
  <c r="BL23" i="2"/>
  <c r="BM23" i="2" s="1"/>
  <c r="BL40" i="2"/>
  <c r="BM40" i="2" s="1"/>
  <c r="BL117" i="1"/>
  <c r="BL10" i="2"/>
  <c r="BM10" i="2" s="1"/>
  <c r="BN117" i="1" s="1"/>
  <c r="BL100" i="1"/>
  <c r="BL39" i="2"/>
  <c r="BM100" i="1" s="1"/>
  <c r="BL110" i="1"/>
  <c r="BL111" i="1" s="1"/>
  <c r="BL28" i="2"/>
  <c r="BM28" i="2" s="1"/>
  <c r="BN110" i="1" s="1"/>
  <c r="BN111" i="1" s="1"/>
  <c r="BL138" i="1"/>
  <c r="BL29" i="2"/>
  <c r="BM138" i="1" s="1"/>
  <c r="BL127" i="1"/>
  <c r="BL12" i="2"/>
  <c r="BM12" i="2" s="1"/>
  <c r="BN127" i="1" s="1"/>
  <c r="BL53" i="1"/>
  <c r="BL121" i="47"/>
  <c r="BL132" i="47" l="1"/>
  <c r="BL18" i="2"/>
  <c r="BN128" i="1"/>
  <c r="BN129" i="1"/>
  <c r="BL88" i="2"/>
  <c r="BL89" i="2"/>
  <c r="BL90" i="2"/>
  <c r="BL42" i="2"/>
  <c r="BL61" i="2"/>
  <c r="BM29" i="2"/>
  <c r="BM39" i="2"/>
  <c r="BK89" i="2"/>
  <c r="BK88" i="2"/>
  <c r="BK90" i="2"/>
  <c r="BM38" i="2"/>
  <c r="CD97" i="47"/>
  <c r="CE97" i="47" s="1"/>
  <c r="CF97" i="47" s="1"/>
  <c r="BM61" i="2" l="1"/>
  <c r="BN100" i="1"/>
  <c r="BL152" i="47"/>
  <c r="BL149" i="47"/>
  <c r="BL150" i="47" s="1"/>
  <c r="BL136" i="47"/>
  <c r="BL46" i="47"/>
  <c r="BL75" i="4"/>
  <c r="BL60" i="47"/>
  <c r="BL58" i="47"/>
  <c r="BL55" i="47"/>
  <c r="BL99" i="47"/>
  <c r="BL102" i="47" s="1"/>
  <c r="CD176" i="47"/>
  <c r="CE176" i="47" s="1"/>
  <c r="CF176" i="47" s="1"/>
  <c r="BX176" i="47"/>
  <c r="BY176" i="47" s="1"/>
  <c r="BZ176" i="47" s="1"/>
  <c r="BR176" i="47"/>
  <c r="BS176" i="47" s="1"/>
  <c r="BT176" i="47" s="1"/>
  <c r="BN176" i="47"/>
  <c r="BL10" i="47"/>
  <c r="BL22" i="47" s="1"/>
  <c r="BL42" i="47"/>
  <c r="BL34" i="47"/>
  <c r="BL32" i="47"/>
  <c r="BL31" i="47"/>
  <c r="BL17" i="47"/>
  <c r="BL14" i="47"/>
  <c r="BL44" i="4"/>
  <c r="BL109" i="4"/>
  <c r="BL95" i="4"/>
  <c r="BL92" i="4"/>
  <c r="BL54" i="4"/>
  <c r="BL51" i="4"/>
  <c r="BL31" i="4"/>
  <c r="BL53" i="3"/>
  <c r="BL40" i="3"/>
  <c r="BL31" i="3"/>
  <c r="BL15" i="3"/>
  <c r="BL12" i="3" s="1"/>
  <c r="BL14" i="3"/>
  <c r="BL47" i="3" s="1"/>
  <c r="BL10" i="3"/>
  <c r="BL16" i="3" s="1"/>
  <c r="BL49" i="3" s="1"/>
  <c r="BL81" i="4" l="1"/>
  <c r="BL86" i="4"/>
  <c r="BL87" i="4" s="1"/>
  <c r="BL109" i="47" s="1"/>
  <c r="BL48" i="47"/>
  <c r="BM51" i="47" s="1"/>
  <c r="BO46" i="47"/>
  <c r="BL143" i="47"/>
  <c r="BL145" i="47" s="1"/>
  <c r="BM143" i="47"/>
  <c r="BM145" i="47" s="1"/>
  <c r="BL146" i="1"/>
  <c r="BL57" i="47"/>
  <c r="BL59" i="47" s="1"/>
  <c r="BL183" i="47"/>
  <c r="BL181" i="47" s="1"/>
  <c r="BL54" i="47"/>
  <c r="BL56" i="47" s="1"/>
  <c r="BL48" i="3"/>
  <c r="BL148" i="47"/>
  <c r="BL151" i="47" s="1"/>
  <c r="BL153" i="47"/>
  <c r="BL138" i="47"/>
  <c r="BL11" i="47"/>
  <c r="BL39" i="4"/>
  <c r="BL13" i="3"/>
  <c r="BL61" i="47" l="1"/>
  <c r="BU46" i="47"/>
  <c r="CA46" i="47"/>
  <c r="BL159" i="47"/>
  <c r="BL160" i="47" s="1"/>
  <c r="BL155" i="47"/>
  <c r="BL154" i="47"/>
  <c r="AJ83" i="47" l="1"/>
  <c r="AI83" i="47"/>
  <c r="AH83" i="47"/>
  <c r="AG83" i="47"/>
  <c r="AD83" i="47"/>
  <c r="AC83" i="47"/>
  <c r="AB83" i="47"/>
  <c r="AA83" i="47"/>
  <c r="X83" i="47"/>
  <c r="W83" i="47"/>
  <c r="V83" i="47"/>
  <c r="U83" i="47"/>
  <c r="R83" i="47"/>
  <c r="Q83" i="47"/>
  <c r="P83" i="47"/>
  <c r="O83" i="47"/>
  <c r="L83" i="47"/>
  <c r="K83" i="47"/>
  <c r="J83" i="47"/>
  <c r="I83" i="47"/>
  <c r="BQ78" i="47"/>
  <c r="BN78" i="47"/>
  <c r="BM78" i="47"/>
  <c r="BL78" i="47"/>
  <c r="BK78" i="47"/>
  <c r="BH78" i="47"/>
  <c r="BG78" i="47"/>
  <c r="BF78" i="47"/>
  <c r="BE78" i="47"/>
  <c r="BB78" i="47"/>
  <c r="BA78" i="47"/>
  <c r="AZ78" i="47"/>
  <c r="AY78" i="47"/>
  <c r="AJ78" i="47"/>
  <c r="AI78" i="47"/>
  <c r="AH78" i="47"/>
  <c r="AG78" i="47"/>
  <c r="AD78" i="47"/>
  <c r="AC78" i="47"/>
  <c r="AB78" i="47"/>
  <c r="AA78" i="47"/>
  <c r="X78" i="47"/>
  <c r="W78" i="47"/>
  <c r="V78" i="47"/>
  <c r="U78" i="47"/>
  <c r="R78" i="47"/>
  <c r="Q78" i="47"/>
  <c r="P78" i="47"/>
  <c r="O78" i="47"/>
  <c r="L78" i="47"/>
  <c r="K78" i="47"/>
  <c r="J78" i="47"/>
  <c r="I78" i="47"/>
  <c r="BN73" i="47"/>
  <c r="BM73" i="47"/>
  <c r="BL73" i="47"/>
  <c r="BK73" i="47"/>
  <c r="AJ73" i="47"/>
  <c r="AI73" i="47"/>
  <c r="AH73" i="47"/>
  <c r="AG73" i="47"/>
  <c r="AD73" i="47"/>
  <c r="AC73" i="47"/>
  <c r="AB73" i="47"/>
  <c r="AA73" i="47"/>
  <c r="X73" i="47"/>
  <c r="W73" i="47"/>
  <c r="V73" i="47"/>
  <c r="U73" i="47"/>
  <c r="R73" i="47"/>
  <c r="Q73" i="47"/>
  <c r="P73" i="47"/>
  <c r="BN68" i="47"/>
  <c r="BM68" i="47"/>
  <c r="BL68" i="47"/>
  <c r="BK68" i="47"/>
  <c r="BH68" i="47"/>
  <c r="BG68" i="47"/>
  <c r="BF68" i="47"/>
  <c r="BE68" i="47"/>
  <c r="BW78" i="47" l="1"/>
  <c r="CC77" i="47"/>
  <c r="BR78" i="47"/>
  <c r="BM27" i="4"/>
  <c r="BG27" i="4"/>
  <c r="BF27" i="4"/>
  <c r="AY24" i="4"/>
  <c r="AY26" i="4" s="1"/>
  <c r="AZ24" i="4"/>
  <c r="BK99" i="47"/>
  <c r="AV76" i="47"/>
  <c r="BB76" i="47" s="1"/>
  <c r="AU76" i="47"/>
  <c r="BA76" i="47" s="1"/>
  <c r="AT76" i="47"/>
  <c r="AZ76" i="47" s="1"/>
  <c r="AS76" i="47"/>
  <c r="AY76" i="47" s="1"/>
  <c r="AV10" i="47"/>
  <c r="AV13" i="47"/>
  <c r="AV71" i="47"/>
  <c r="BB71" i="47" s="1"/>
  <c r="BS78" i="47" l="1"/>
  <c r="BX78" i="47"/>
  <c r="BQ73" i="47"/>
  <c r="CD77" i="47"/>
  <c r="CC78" i="47"/>
  <c r="BT78" i="47"/>
  <c r="BW96" i="47"/>
  <c r="CC96" i="47" s="1"/>
  <c r="BY78" i="47" l="1"/>
  <c r="BR96" i="47"/>
  <c r="BX96" i="47" s="1"/>
  <c r="CD96" i="47" s="1"/>
  <c r="BZ78" i="47"/>
  <c r="CE77" i="47"/>
  <c r="CD78" i="47"/>
  <c r="BR73" i="47"/>
  <c r="BX53" i="1"/>
  <c r="BY53" i="1" s="1"/>
  <c r="BZ53" i="1" s="1"/>
  <c r="BS94" i="47"/>
  <c r="BT94" i="47" s="1"/>
  <c r="AP29" i="47"/>
  <c r="AV29" i="47"/>
  <c r="CD67" i="47"/>
  <c r="CE67" i="47" s="1"/>
  <c r="CF67" i="47" s="1"/>
  <c r="BT73" i="47" l="1"/>
  <c r="BS73" i="47"/>
  <c r="CF77" i="47"/>
  <c r="CF78" i="47" s="1"/>
  <c r="CE78" i="47"/>
  <c r="BW93" i="47"/>
  <c r="BW99" i="47" l="1"/>
  <c r="CC93" i="47"/>
  <c r="CC99" i="47" s="1"/>
  <c r="CC100" i="47" l="1"/>
  <c r="CC102" i="47"/>
  <c r="BW100" i="47"/>
  <c r="BW102" i="47"/>
  <c r="BW103" i="47" s="1"/>
  <c r="CC103" i="47" l="1"/>
  <c r="F34" i="10" l="1"/>
  <c r="G34" i="10" s="1"/>
  <c r="H34" i="10" s="1"/>
  <c r="I34" i="10" s="1"/>
  <c r="J34" i="10" s="1"/>
  <c r="K34" i="10" s="1"/>
  <c r="L34" i="10" s="1"/>
  <c r="M34" i="10" s="1"/>
  <c r="N34" i="10" s="1"/>
  <c r="BR53" i="1" l="1"/>
  <c r="BK54" i="1"/>
  <c r="BH54" i="1"/>
  <c r="BG54" i="1"/>
  <c r="BF54" i="1"/>
  <c r="BE54" i="1"/>
  <c r="BB54" i="1"/>
  <c r="BA54" i="1"/>
  <c r="AZ54" i="1"/>
  <c r="AY54" i="1"/>
  <c r="AV54" i="1"/>
  <c r="AU54" i="1"/>
  <c r="AT54" i="1"/>
  <c r="AS54" i="1"/>
  <c r="AP54" i="1"/>
  <c r="AO54" i="1"/>
  <c r="AN54" i="1"/>
  <c r="AM54" i="1"/>
  <c r="AJ54" i="1"/>
  <c r="AI54" i="1"/>
  <c r="AH54" i="1"/>
  <c r="AG54" i="1"/>
  <c r="AD54" i="1"/>
  <c r="AC54" i="1"/>
  <c r="AB54" i="1"/>
  <c r="AA54" i="1"/>
  <c r="W54" i="1"/>
  <c r="V54" i="1"/>
  <c r="U54" i="1"/>
  <c r="Q54" i="1"/>
  <c r="P54" i="1"/>
  <c r="O54" i="1"/>
  <c r="K54" i="1"/>
  <c r="J54" i="1"/>
  <c r="I54" i="1"/>
  <c r="BK52" i="1"/>
  <c r="BH52" i="1"/>
  <c r="BG52" i="1"/>
  <c r="BF52" i="1"/>
  <c r="BE52" i="1"/>
  <c r="BB52" i="1"/>
  <c r="BA52" i="1"/>
  <c r="AZ52" i="1"/>
  <c r="AY52" i="1"/>
  <c r="AV52" i="1"/>
  <c r="AU52" i="1"/>
  <c r="AT52" i="1"/>
  <c r="AS52" i="1"/>
  <c r="AP52" i="1"/>
  <c r="AO52" i="1"/>
  <c r="AN52" i="1"/>
  <c r="AM52" i="1"/>
  <c r="AJ52" i="1"/>
  <c r="AI52" i="1"/>
  <c r="AH52" i="1"/>
  <c r="AG52" i="1"/>
  <c r="AD52" i="1"/>
  <c r="AC52" i="1"/>
  <c r="AB52" i="1"/>
  <c r="CG56" i="1"/>
  <c r="CF56" i="1"/>
  <c r="CE56" i="1"/>
  <c r="CD56" i="1"/>
  <c r="CC56" i="1"/>
  <c r="CA56" i="1"/>
  <c r="BZ56" i="1"/>
  <c r="BY56" i="1"/>
  <c r="BX56" i="1"/>
  <c r="BW56" i="1"/>
  <c r="BU56" i="1"/>
  <c r="BT56" i="1"/>
  <c r="BS56" i="1"/>
  <c r="BR56" i="1"/>
  <c r="BQ56" i="1"/>
  <c r="BO56" i="1"/>
  <c r="BN56" i="1"/>
  <c r="BM56" i="1"/>
  <c r="BL58" i="1"/>
  <c r="BK56" i="1"/>
  <c r="BI56" i="1"/>
  <c r="BH56" i="1"/>
  <c r="BG56" i="1"/>
  <c r="BF56" i="1"/>
  <c r="BE56" i="1"/>
  <c r="BC56" i="1"/>
  <c r="BB56" i="1"/>
  <c r="BA56" i="1"/>
  <c r="AZ56" i="1"/>
  <c r="AY56" i="1"/>
  <c r="AW56" i="1"/>
  <c r="AV56" i="1"/>
  <c r="AU56" i="1"/>
  <c r="AT56" i="1"/>
  <c r="AS56" i="1"/>
  <c r="AQ56" i="1"/>
  <c r="AP56" i="1"/>
  <c r="AO56" i="1"/>
  <c r="AN56" i="1"/>
  <c r="AM56" i="1"/>
  <c r="AJ56" i="1"/>
  <c r="AI56" i="1"/>
  <c r="AH56" i="1"/>
  <c r="AG56" i="1"/>
  <c r="AE56" i="1"/>
  <c r="AD56" i="1"/>
  <c r="AC56" i="1"/>
  <c r="AB56" i="1"/>
  <c r="AA56" i="1"/>
  <c r="Z56" i="1"/>
  <c r="Y56" i="1"/>
  <c r="X56" i="1"/>
  <c r="W56" i="1"/>
  <c r="V56" i="1"/>
  <c r="U56" i="1"/>
  <c r="T56" i="1"/>
  <c r="S56" i="1"/>
  <c r="R56" i="1"/>
  <c r="Q56" i="1"/>
  <c r="P56" i="1"/>
  <c r="O56" i="1"/>
  <c r="N56" i="1"/>
  <c r="M56" i="1"/>
  <c r="L56" i="1"/>
  <c r="K56" i="1"/>
  <c r="J56" i="1"/>
  <c r="I56" i="1"/>
  <c r="H56" i="1"/>
  <c r="G56" i="1"/>
  <c r="G154" i="1" s="1"/>
  <c r="F56" i="1"/>
  <c r="F154" i="1" s="1"/>
  <c r="E56" i="1"/>
  <c r="E154" i="1" s="1"/>
  <c r="D56" i="1"/>
  <c r="D154" i="1" s="1"/>
  <c r="C56" i="1"/>
  <c r="C154" i="1" s="1"/>
  <c r="B56" i="1"/>
  <c r="AK56" i="1"/>
  <c r="J58" i="1" l="1"/>
  <c r="J154" i="1"/>
  <c r="R58" i="1"/>
  <c r="R154" i="1"/>
  <c r="V58" i="1"/>
  <c r="V154" i="1"/>
  <c r="AD58" i="1"/>
  <c r="AD154" i="1"/>
  <c r="AI58" i="1"/>
  <c r="AI154" i="1"/>
  <c r="AO58" i="1"/>
  <c r="AO154" i="1"/>
  <c r="AT58" i="1"/>
  <c r="AT154" i="1"/>
  <c r="AY58" i="1"/>
  <c r="AY154" i="1"/>
  <c r="BC58" i="1"/>
  <c r="BC154" i="1"/>
  <c r="BH58" i="1"/>
  <c r="BH154" i="1"/>
  <c r="BM58" i="1"/>
  <c r="BM154" i="1"/>
  <c r="BR58" i="1"/>
  <c r="BR154" i="1"/>
  <c r="BW58" i="1"/>
  <c r="BW154" i="1"/>
  <c r="CA58" i="1"/>
  <c r="CA154" i="1"/>
  <c r="CF58" i="1"/>
  <c r="CF154" i="1"/>
  <c r="K58" i="1"/>
  <c r="K154" i="1"/>
  <c r="O58" i="1"/>
  <c r="O154" i="1"/>
  <c r="S58" i="1"/>
  <c r="S154" i="1"/>
  <c r="W58" i="1"/>
  <c r="W154" i="1"/>
  <c r="AA58" i="1"/>
  <c r="AA154" i="1"/>
  <c r="AE58" i="1"/>
  <c r="AE154" i="1"/>
  <c r="AJ58" i="1"/>
  <c r="AJ154" i="1"/>
  <c r="AP58" i="1"/>
  <c r="AP154" i="1"/>
  <c r="AU58" i="1"/>
  <c r="AU154" i="1"/>
  <c r="AZ58" i="1"/>
  <c r="AZ154" i="1"/>
  <c r="BE58" i="1"/>
  <c r="BE154" i="1"/>
  <c r="BI58" i="1"/>
  <c r="BI154" i="1"/>
  <c r="BN58" i="1"/>
  <c r="BN154" i="1"/>
  <c r="BS58" i="1"/>
  <c r="BS154" i="1"/>
  <c r="BX58" i="1"/>
  <c r="BX154" i="1"/>
  <c r="CC58" i="1"/>
  <c r="CC154" i="1"/>
  <c r="CG58" i="1"/>
  <c r="CG154" i="1"/>
  <c r="L58" i="1"/>
  <c r="L154" i="1"/>
  <c r="P58" i="1"/>
  <c r="P154" i="1"/>
  <c r="X58" i="1"/>
  <c r="X154" i="1"/>
  <c r="AB58" i="1"/>
  <c r="AB154" i="1"/>
  <c r="AG58" i="1"/>
  <c r="AG154" i="1"/>
  <c r="AM58" i="1"/>
  <c r="AM154" i="1"/>
  <c r="AQ58" i="1"/>
  <c r="AQ154" i="1"/>
  <c r="AV58" i="1"/>
  <c r="AV154" i="1"/>
  <c r="BA58" i="1"/>
  <c r="BA154" i="1"/>
  <c r="BF58" i="1"/>
  <c r="BF154" i="1"/>
  <c r="BK58" i="1"/>
  <c r="BK154" i="1"/>
  <c r="BO58" i="1"/>
  <c r="BO154" i="1"/>
  <c r="BT58" i="1"/>
  <c r="BT154" i="1"/>
  <c r="BY58" i="1"/>
  <c r="BY154" i="1"/>
  <c r="CD58" i="1"/>
  <c r="CD154" i="1"/>
  <c r="AK58" i="1"/>
  <c r="AK154" i="1"/>
  <c r="I58" i="1"/>
  <c r="I154" i="1"/>
  <c r="M58" i="1"/>
  <c r="M154" i="1"/>
  <c r="Q58" i="1"/>
  <c r="Q154" i="1"/>
  <c r="U58" i="1"/>
  <c r="U154" i="1"/>
  <c r="Y58" i="1"/>
  <c r="Y154" i="1"/>
  <c r="AC58" i="1"/>
  <c r="AC154" i="1"/>
  <c r="AH58" i="1"/>
  <c r="AH154" i="1"/>
  <c r="AN58" i="1"/>
  <c r="AN154" i="1"/>
  <c r="AS58" i="1"/>
  <c r="AS154" i="1"/>
  <c r="AW58" i="1"/>
  <c r="AW154" i="1"/>
  <c r="BB58" i="1"/>
  <c r="BB154" i="1"/>
  <c r="BG58" i="1"/>
  <c r="BG154" i="1"/>
  <c r="BQ58" i="1"/>
  <c r="BQ154" i="1"/>
  <c r="BU58" i="1"/>
  <c r="BU154" i="1"/>
  <c r="BZ58" i="1"/>
  <c r="BZ154" i="1"/>
  <c r="CE58" i="1"/>
  <c r="CE154" i="1"/>
  <c r="AC53" i="1"/>
  <c r="AG53" i="1"/>
  <c r="AI53" i="1"/>
  <c r="AM53" i="1"/>
  <c r="AO53" i="1"/>
  <c r="AS53" i="1"/>
  <c r="AU53" i="1"/>
  <c r="AY53" i="1"/>
  <c r="BA53" i="1"/>
  <c r="BE53" i="1"/>
  <c r="BG53" i="1"/>
  <c r="BK53" i="1"/>
  <c r="AB53" i="1"/>
  <c r="AD53" i="1"/>
  <c r="AH53" i="1"/>
  <c r="AJ53" i="1"/>
  <c r="AN53" i="1"/>
  <c r="AP53" i="1"/>
  <c r="AT53" i="1"/>
  <c r="AV53" i="1"/>
  <c r="AZ53" i="1"/>
  <c r="BB53" i="1"/>
  <c r="BF53" i="1"/>
  <c r="BH53" i="1"/>
  <c r="BS53" i="1"/>
  <c r="BT53" i="1" l="1"/>
  <c r="CF19" i="47" l="1"/>
  <c r="BT19" i="47" l="1"/>
  <c r="BU20" i="47"/>
  <c r="CG20" i="47" l="1"/>
  <c r="BZ19" i="47"/>
  <c r="CF20" i="47" s="1"/>
  <c r="BS180" i="47"/>
  <c r="BT180" i="47" s="1"/>
  <c r="BZ20" i="47" l="1"/>
  <c r="CF21" i="47" s="1"/>
  <c r="C103" i="10"/>
  <c r="C98" i="10"/>
  <c r="BW180" i="47" l="1"/>
  <c r="BX180" i="47" s="1"/>
  <c r="BY180" i="47" s="1"/>
  <c r="BZ180" i="47" s="1"/>
  <c r="CD180" i="47" s="1"/>
  <c r="CE180" i="47" s="1"/>
  <c r="CF180" i="47" s="1"/>
  <c r="BK142" i="1" l="1"/>
  <c r="BK138" i="1"/>
  <c r="BK135" i="1"/>
  <c r="BL133" i="1" s="1"/>
  <c r="BL134" i="1" s="1"/>
  <c r="BK130" i="1"/>
  <c r="BL125" i="1" s="1"/>
  <c r="BK127" i="1"/>
  <c r="BK117" i="1"/>
  <c r="BK110" i="1"/>
  <c r="BK100" i="1"/>
  <c r="BO100" i="1" s="1"/>
  <c r="BK99" i="1"/>
  <c r="BK94" i="1"/>
  <c r="BK92" i="1"/>
  <c r="BK90" i="1"/>
  <c r="BK46" i="1"/>
  <c r="BK30" i="1"/>
  <c r="BK156" i="1" s="1"/>
  <c r="BK21" i="1"/>
  <c r="BK17" i="1"/>
  <c r="BK122" i="1" s="1"/>
  <c r="BJ96" i="2"/>
  <c r="BJ93" i="2"/>
  <c r="BJ83" i="2"/>
  <c r="BJ82" i="2" s="1"/>
  <c r="BJ70" i="2"/>
  <c r="BJ69" i="2"/>
  <c r="BJ68" i="2"/>
  <c r="BJ32" i="2"/>
  <c r="BJ31" i="2"/>
  <c r="BJ16" i="2"/>
  <c r="BJ42" i="2"/>
  <c r="BK119" i="47"/>
  <c r="BK69" i="2" l="1"/>
  <c r="BL69" i="2" s="1"/>
  <c r="BL79" i="2" s="1"/>
  <c r="BK70" i="2"/>
  <c r="BL70" i="2" s="1"/>
  <c r="BM70" i="2" s="1"/>
  <c r="BN70" i="2" s="1"/>
  <c r="BJ79" i="2"/>
  <c r="BK16" i="2"/>
  <c r="BL16" i="2" s="1"/>
  <c r="BK31" i="2"/>
  <c r="BL31" i="2" s="1"/>
  <c r="BK32" i="2"/>
  <c r="BL32" i="2" s="1"/>
  <c r="BM32" i="2" s="1"/>
  <c r="BK68" i="2"/>
  <c r="BL68" i="2" s="1"/>
  <c r="BM68" i="2" s="1"/>
  <c r="BK130" i="47"/>
  <c r="BK131" i="47"/>
  <c r="BK129" i="47"/>
  <c r="BO119" i="47"/>
  <c r="BK111" i="1"/>
  <c r="BJ90" i="2"/>
  <c r="BJ89" i="2"/>
  <c r="BJ88" i="2"/>
  <c r="BL129" i="1"/>
  <c r="BL128" i="1"/>
  <c r="BK47" i="1"/>
  <c r="BK121" i="47"/>
  <c r="BM69" i="2" l="1"/>
  <c r="BN69" i="2" s="1"/>
  <c r="BK132" i="47"/>
  <c r="BM31" i="2"/>
  <c r="BL33" i="2"/>
  <c r="BM16" i="2"/>
  <c r="BL25" i="2"/>
  <c r="BN68" i="2"/>
  <c r="BO130" i="47"/>
  <c r="BO131" i="47"/>
  <c r="BO129" i="47"/>
  <c r="CA20" i="47"/>
  <c r="CA167" i="47"/>
  <c r="CA164" i="47" s="1"/>
  <c r="BU167" i="47"/>
  <c r="BU164" i="47" s="1"/>
  <c r="BL53" i="2" l="1"/>
  <c r="BM85" i="1"/>
  <c r="BO132" i="47"/>
  <c r="BL47" i="2"/>
  <c r="BM84" i="1" s="1"/>
  <c r="CG167" i="47"/>
  <c r="CG164" i="47" s="1"/>
  <c r="BM86" i="1" l="1"/>
  <c r="BL54" i="2"/>
  <c r="BL55" i="2" l="1"/>
  <c r="BM87" i="1"/>
  <c r="BW16" i="47" l="1"/>
  <c r="BK183" i="3" l="1"/>
  <c r="BL183" i="3"/>
  <c r="BM183" i="3"/>
  <c r="BN183" i="3"/>
  <c r="BR84" i="2" l="1"/>
  <c r="BX84" i="2" s="1"/>
  <c r="CD84" i="2" s="1"/>
  <c r="BN103" i="2"/>
  <c r="BN102" i="2"/>
  <c r="BH103" i="2"/>
  <c r="BH102" i="2"/>
  <c r="BB103" i="2"/>
  <c r="BB102" i="2"/>
  <c r="AV103" i="2"/>
  <c r="AV102" i="2"/>
  <c r="AP103" i="2"/>
  <c r="AP102" i="2"/>
  <c r="BG96" i="2"/>
  <c r="BF96" i="2"/>
  <c r="BE96" i="2"/>
  <c r="BD96" i="2"/>
  <c r="BG93" i="2"/>
  <c r="BF93" i="2"/>
  <c r="BE93" i="2"/>
  <c r="BD93" i="2"/>
  <c r="BA96" i="2"/>
  <c r="AZ96" i="2"/>
  <c r="AY96" i="2"/>
  <c r="BA93" i="2"/>
  <c r="AZ93" i="2"/>
  <c r="AY93" i="2"/>
  <c r="AX93" i="2"/>
  <c r="AU96" i="2"/>
  <c r="AT96" i="2"/>
  <c r="AS96" i="2"/>
  <c r="AR96" i="2"/>
  <c r="AU95" i="2"/>
  <c r="AT95" i="2"/>
  <c r="AS95" i="2"/>
  <c r="AR95" i="2"/>
  <c r="AU94" i="2"/>
  <c r="AT94" i="2"/>
  <c r="AS94" i="2"/>
  <c r="AR94" i="2"/>
  <c r="AU93" i="2"/>
  <c r="AT93" i="2"/>
  <c r="AS93" i="2"/>
  <c r="AR93" i="2"/>
  <c r="AO96" i="2"/>
  <c r="AN96" i="2"/>
  <c r="AM96" i="2"/>
  <c r="AL96" i="2"/>
  <c r="AO95" i="2"/>
  <c r="AN95" i="2"/>
  <c r="AM95" i="2"/>
  <c r="AL95" i="2"/>
  <c r="AO94" i="2"/>
  <c r="AN94" i="2"/>
  <c r="AM94" i="2"/>
  <c r="AL94" i="2"/>
  <c r="AO93" i="2"/>
  <c r="AN93" i="2"/>
  <c r="AM93" i="2"/>
  <c r="AL93" i="2"/>
  <c r="AF98" i="2"/>
  <c r="AI96" i="2"/>
  <c r="AH96" i="2"/>
  <c r="AG96" i="2"/>
  <c r="AF96" i="2"/>
  <c r="AI95" i="2"/>
  <c r="AH95" i="2"/>
  <c r="AG95" i="2"/>
  <c r="AF95" i="2"/>
  <c r="AI94" i="2"/>
  <c r="AH94" i="2"/>
  <c r="AG94" i="2"/>
  <c r="AF94" i="2"/>
  <c r="AI93" i="2"/>
  <c r="AH93" i="2"/>
  <c r="AG93" i="2"/>
  <c r="AF93" i="2"/>
  <c r="Z98" i="2"/>
  <c r="AB96" i="2"/>
  <c r="AA96" i="2"/>
  <c r="Z96" i="2"/>
  <c r="AC94" i="2"/>
  <c r="AB94" i="2"/>
  <c r="AA94" i="2"/>
  <c r="Z93" i="2"/>
  <c r="T98" i="2"/>
  <c r="V96" i="2"/>
  <c r="U96" i="2"/>
  <c r="T96" i="2"/>
  <c r="V95" i="2"/>
  <c r="U95" i="2"/>
  <c r="T95" i="2"/>
  <c r="V94" i="2"/>
  <c r="U94" i="2"/>
  <c r="T94" i="2"/>
  <c r="W93" i="2"/>
  <c r="V93" i="2"/>
  <c r="U93" i="2"/>
  <c r="T93" i="2"/>
  <c r="N98" i="2"/>
  <c r="P96" i="2"/>
  <c r="O96" i="2"/>
  <c r="N96" i="2"/>
  <c r="P95" i="2"/>
  <c r="O95" i="2"/>
  <c r="N95" i="2"/>
  <c r="P94" i="2"/>
  <c r="O94" i="2"/>
  <c r="N94" i="2"/>
  <c r="Q93" i="2"/>
  <c r="P93" i="2"/>
  <c r="O93" i="2"/>
  <c r="N93" i="2"/>
  <c r="H98" i="2"/>
  <c r="J96" i="2"/>
  <c r="I96" i="2"/>
  <c r="H96" i="2"/>
  <c r="J95" i="2"/>
  <c r="I95" i="2"/>
  <c r="H95" i="2"/>
  <c r="J94" i="2"/>
  <c r="I94" i="2"/>
  <c r="H94" i="2"/>
  <c r="J93" i="2"/>
  <c r="I93" i="2"/>
  <c r="H93" i="2"/>
  <c r="D96" i="2"/>
  <c r="C96" i="2"/>
  <c r="B96" i="2"/>
  <c r="D95" i="2"/>
  <c r="C95" i="2"/>
  <c r="D94" i="2"/>
  <c r="C94" i="2"/>
  <c r="B94" i="2"/>
  <c r="D93" i="2"/>
  <c r="C93" i="2"/>
  <c r="B93" i="2"/>
  <c r="CF87" i="2"/>
  <c r="CE87" i="2"/>
  <c r="CD87" i="2"/>
  <c r="CC87" i="2"/>
  <c r="CB87" i="2"/>
  <c r="BZ87" i="2"/>
  <c r="BY87" i="2"/>
  <c r="BX87" i="2"/>
  <c r="BW87" i="2"/>
  <c r="BV87" i="2"/>
  <c r="BT87" i="2"/>
  <c r="BS87" i="2"/>
  <c r="BR87" i="2"/>
  <c r="BQ87" i="2"/>
  <c r="BP87" i="2"/>
  <c r="BH87" i="2"/>
  <c r="BG87" i="2"/>
  <c r="BF87" i="2"/>
  <c r="BE87" i="2"/>
  <c r="BD87" i="2"/>
  <c r="BB87" i="2"/>
  <c r="BA87" i="2"/>
  <c r="AZ87" i="2"/>
  <c r="AY87" i="2"/>
  <c r="AX87" i="2"/>
  <c r="AV87" i="2"/>
  <c r="AU87" i="2"/>
  <c r="AT87" i="2"/>
  <c r="AS87" i="2"/>
  <c r="AR87" i="2"/>
  <c r="AP87" i="2"/>
  <c r="AO87" i="2"/>
  <c r="AN87" i="2"/>
  <c r="AM87" i="2"/>
  <c r="AL87" i="2"/>
  <c r="AJ87" i="2"/>
  <c r="AI87" i="2"/>
  <c r="AH87" i="2"/>
  <c r="AG87" i="2"/>
  <c r="AF87" i="2"/>
  <c r="AD87" i="2"/>
  <c r="AC87" i="2"/>
  <c r="AB87" i="2"/>
  <c r="AA87" i="2"/>
  <c r="Z87" i="2"/>
  <c r="X87" i="2"/>
  <c r="W87" i="2"/>
  <c r="V87" i="2"/>
  <c r="U87" i="2"/>
  <c r="T87" i="2"/>
  <c r="R87" i="2"/>
  <c r="Q87" i="2"/>
  <c r="P87" i="2"/>
  <c r="O87" i="2"/>
  <c r="N87" i="2"/>
  <c r="L87" i="2"/>
  <c r="K87" i="2"/>
  <c r="J87" i="2"/>
  <c r="I87" i="2"/>
  <c r="H87" i="2"/>
  <c r="F87" i="2"/>
  <c r="E87" i="2"/>
  <c r="D87" i="2"/>
  <c r="C87" i="2"/>
  <c r="B87" i="2"/>
  <c r="CF83" i="2"/>
  <c r="BZ83" i="2"/>
  <c r="BT83" i="2"/>
  <c r="BG85" i="2"/>
  <c r="BF85" i="2"/>
  <c r="BE85" i="2"/>
  <c r="BD85" i="2"/>
  <c r="AG85" i="2"/>
  <c r="AF85" i="2"/>
  <c r="AA85" i="2"/>
  <c r="Z85" i="2"/>
  <c r="X85" i="2"/>
  <c r="W85" i="2"/>
  <c r="V85" i="2"/>
  <c r="U85" i="2"/>
  <c r="T85" i="2"/>
  <c r="R85" i="2"/>
  <c r="Q85" i="2"/>
  <c r="P85" i="2"/>
  <c r="O85" i="2"/>
  <c r="N85" i="2"/>
  <c r="L85" i="2"/>
  <c r="K85" i="2"/>
  <c r="J85" i="2"/>
  <c r="I85" i="2"/>
  <c r="H85" i="2"/>
  <c r="BH84" i="2"/>
  <c r="BB84" i="2"/>
  <c r="BQ84" i="2"/>
  <c r="BW84" i="2" s="1"/>
  <c r="CC84" i="2" s="1"/>
  <c r="BH85" i="2" l="1"/>
  <c r="AL97" i="2"/>
  <c r="AL98" i="2" s="1"/>
  <c r="AR97" i="2"/>
  <c r="AR98" i="2" s="1"/>
  <c r="AH97" i="2"/>
  <c r="AH98" i="2" s="1"/>
  <c r="AM97" i="2"/>
  <c r="AM98" i="2" s="1"/>
  <c r="AF97" i="2"/>
  <c r="AF99" i="2" s="1"/>
  <c r="AI97" i="2"/>
  <c r="AI98" i="2" s="1"/>
  <c r="AN97" i="2"/>
  <c r="AN98" i="2" s="1"/>
  <c r="AT97" i="2"/>
  <c r="AT98" i="2" s="1"/>
  <c r="J97" i="2"/>
  <c r="N97" i="2"/>
  <c r="N99" i="2" s="1"/>
  <c r="AO97" i="2"/>
  <c r="AO98" i="2" s="1"/>
  <c r="AU97" i="2"/>
  <c r="AU98" i="2" s="1"/>
  <c r="P97" i="2"/>
  <c r="I97" i="2"/>
  <c r="D97" i="2"/>
  <c r="H97" i="2"/>
  <c r="H99" i="2" s="1"/>
  <c r="T97" i="2"/>
  <c r="T99" i="2" s="1"/>
  <c r="V97" i="2"/>
  <c r="BS84" i="2"/>
  <c r="BY84" i="2" s="1"/>
  <c r="CE84" i="2" s="1"/>
  <c r="BP84" i="2"/>
  <c r="U97" i="2"/>
  <c r="C97" i="2"/>
  <c r="AS97" i="2"/>
  <c r="AS98" i="2" s="1"/>
  <c r="AG97" i="2"/>
  <c r="O97" i="2"/>
  <c r="BM83" i="2"/>
  <c r="BK83" i="2"/>
  <c r="BK82" i="2" s="1"/>
  <c r="BD83" i="2"/>
  <c r="BD82" i="2" s="1"/>
  <c r="AX83" i="2"/>
  <c r="AX82" i="2" s="1"/>
  <c r="AR83" i="2"/>
  <c r="AM84" i="2"/>
  <c r="AS84" i="2" s="1"/>
  <c r="AY85" i="2" s="1"/>
  <c r="AL84" i="2"/>
  <c r="AR84" i="2" s="1"/>
  <c r="AL83" i="2"/>
  <c r="AF83" i="2"/>
  <c r="AF82" i="2" s="1"/>
  <c r="AC84" i="2"/>
  <c r="AI84" i="2" s="1"/>
  <c r="AO84" i="2" s="1"/>
  <c r="AU84" i="2" s="1"/>
  <c r="BA85" i="2" s="1"/>
  <c r="AB84" i="2"/>
  <c r="AH84" i="2" s="1"/>
  <c r="AN84" i="2" s="1"/>
  <c r="AT84" i="2" s="1"/>
  <c r="AZ85" i="2" s="1"/>
  <c r="AC83" i="2"/>
  <c r="AB83" i="2"/>
  <c r="AA83" i="2"/>
  <c r="AA82" i="2" s="1"/>
  <c r="Z83" i="2"/>
  <c r="Z82" i="2" s="1"/>
  <c r="T83" i="2"/>
  <c r="T82" i="2" s="1"/>
  <c r="N83" i="2"/>
  <c r="N82" i="2" s="1"/>
  <c r="H83" i="2"/>
  <c r="H82" i="2" s="1"/>
  <c r="B83" i="2"/>
  <c r="B82" i="2" s="1"/>
  <c r="AF79" i="2"/>
  <c r="Z79" i="2"/>
  <c r="T79" i="2"/>
  <c r="N79" i="2"/>
  <c r="H79" i="2"/>
  <c r="B79" i="2"/>
  <c r="AF77" i="2"/>
  <c r="Z77" i="2"/>
  <c r="T77" i="2"/>
  <c r="N77" i="2"/>
  <c r="H77" i="2"/>
  <c r="B76" i="2"/>
  <c r="B75" i="2"/>
  <c r="AG73" i="2"/>
  <c r="AF73" i="2"/>
  <c r="AA73" i="2"/>
  <c r="Z73" i="2"/>
  <c r="X73" i="2"/>
  <c r="W73" i="2"/>
  <c r="V73" i="2"/>
  <c r="U73" i="2"/>
  <c r="T73" i="2"/>
  <c r="R73" i="2"/>
  <c r="Q73" i="2"/>
  <c r="P73" i="2"/>
  <c r="O73" i="2"/>
  <c r="N73" i="2"/>
  <c r="L73" i="2"/>
  <c r="K73" i="2"/>
  <c r="J73" i="2"/>
  <c r="I73" i="2"/>
  <c r="H73" i="2"/>
  <c r="BH72" i="2"/>
  <c r="BN73" i="2" s="1"/>
  <c r="BF72" i="2"/>
  <c r="BL73" i="2" s="1"/>
  <c r="BE72" i="2"/>
  <c r="BD72" i="2"/>
  <c r="BJ73" i="2" s="1"/>
  <c r="BB72" i="2"/>
  <c r="AZ72" i="2"/>
  <c r="BA73" i="2" s="1"/>
  <c r="AY72" i="2"/>
  <c r="AX72" i="2"/>
  <c r="AV72" i="2"/>
  <c r="AT72" i="2"/>
  <c r="AU73" i="2" s="1"/>
  <c r="AS72" i="2"/>
  <c r="AR72" i="2"/>
  <c r="B71" i="2"/>
  <c r="C67" i="2" s="1"/>
  <c r="AG70" i="2"/>
  <c r="AG69" i="2"/>
  <c r="AG68" i="2"/>
  <c r="AM68" i="2" s="1"/>
  <c r="AC72" i="2"/>
  <c r="AI72" i="2" s="1"/>
  <c r="AO72" i="2" s="1"/>
  <c r="AB72" i="2"/>
  <c r="AB79" i="2" s="1"/>
  <c r="AA70" i="2"/>
  <c r="AA69" i="2"/>
  <c r="AA68" i="2"/>
  <c r="AR70" i="2"/>
  <c r="AS70" i="2" s="1"/>
  <c r="AT70" i="2" s="1"/>
  <c r="AR69" i="2"/>
  <c r="AS69" i="2" s="1"/>
  <c r="AT69" i="2" s="1"/>
  <c r="AM72" i="2"/>
  <c r="AL72" i="2"/>
  <c r="AL68" i="2"/>
  <c r="BS72" i="2"/>
  <c r="BY72" i="2" s="1"/>
  <c r="CE72" i="2" s="1"/>
  <c r="BR72" i="2"/>
  <c r="BX72" i="2" s="1"/>
  <c r="CD72" i="2" s="1"/>
  <c r="BP72" i="2"/>
  <c r="BV72" i="2" s="1"/>
  <c r="BP68" i="2"/>
  <c r="BV68" i="2" s="1"/>
  <c r="BD70" i="2"/>
  <c r="BE70" i="2" s="1"/>
  <c r="BD69" i="2"/>
  <c r="BD68" i="2"/>
  <c r="BE68" i="2" s="1"/>
  <c r="AX70" i="2"/>
  <c r="AY70" i="2" s="1"/>
  <c r="AX69" i="2"/>
  <c r="AY69" i="2" s="1"/>
  <c r="AX68" i="2"/>
  <c r="AY68" i="2" s="1"/>
  <c r="AZ68" i="2" s="1"/>
  <c r="AS68" i="2"/>
  <c r="AR67" i="2"/>
  <c r="U70" i="2"/>
  <c r="V70" i="2" s="1"/>
  <c r="U69" i="2"/>
  <c r="U68" i="2"/>
  <c r="O70" i="2"/>
  <c r="P70" i="2" s="1"/>
  <c r="O69" i="2"/>
  <c r="O68" i="2"/>
  <c r="P68" i="2" s="1"/>
  <c r="Q68" i="2" s="1"/>
  <c r="I70" i="2"/>
  <c r="I69" i="2"/>
  <c r="J69" i="2" s="1"/>
  <c r="I68" i="2"/>
  <c r="C70" i="2"/>
  <c r="C69" i="2"/>
  <c r="C68" i="2"/>
  <c r="D68" i="2" s="1"/>
  <c r="F67" i="2"/>
  <c r="BE61" i="2"/>
  <c r="BK62" i="2" s="1"/>
  <c r="BD61" i="2"/>
  <c r="BJ62" i="2" s="1"/>
  <c r="AX61" i="2"/>
  <c r="AT61" i="2"/>
  <c r="AR61" i="2"/>
  <c r="AL61" i="2"/>
  <c r="AH61" i="2"/>
  <c r="AG61" i="2"/>
  <c r="AF61" i="2"/>
  <c r="AC61" i="2"/>
  <c r="AB61" i="2"/>
  <c r="AA61" i="2"/>
  <c r="Z61" i="2"/>
  <c r="T61" i="2"/>
  <c r="N61" i="2"/>
  <c r="H61" i="2"/>
  <c r="B61" i="2"/>
  <c r="F48" i="2"/>
  <c r="CF45" i="2"/>
  <c r="CF44" i="2"/>
  <c r="BZ45" i="2"/>
  <c r="BZ44" i="2"/>
  <c r="BT45" i="2"/>
  <c r="BT44" i="2"/>
  <c r="BN45" i="2"/>
  <c r="BN44" i="2"/>
  <c r="AP45" i="2"/>
  <c r="AJ45" i="2"/>
  <c r="AD45" i="2"/>
  <c r="H45" i="2"/>
  <c r="B45" i="2"/>
  <c r="C45" i="2" s="1"/>
  <c r="BE45" i="2"/>
  <c r="BF45" i="2" s="1"/>
  <c r="BE44" i="2"/>
  <c r="BF44" i="2" s="1"/>
  <c r="AY45" i="2"/>
  <c r="AZ45" i="2" s="1"/>
  <c r="AY44" i="2"/>
  <c r="AZ44" i="2" s="1"/>
  <c r="AS45" i="2"/>
  <c r="AT45" i="2" s="1"/>
  <c r="AS44" i="2"/>
  <c r="AT44" i="2" s="1"/>
  <c r="AM44" i="2"/>
  <c r="AN44" i="2" s="1"/>
  <c r="AO44" i="2" s="1"/>
  <c r="AH44" i="2"/>
  <c r="AI44" i="2" s="1"/>
  <c r="AJ44" i="2" s="1"/>
  <c r="AA44" i="2"/>
  <c r="AC44" i="2" s="1"/>
  <c r="AD44" i="2" s="1"/>
  <c r="U45" i="2"/>
  <c r="V45" i="2" s="1"/>
  <c r="U44" i="2"/>
  <c r="V44" i="2" s="1"/>
  <c r="O45" i="2"/>
  <c r="P45" i="2" s="1"/>
  <c r="O44" i="2"/>
  <c r="P44" i="2" s="1"/>
  <c r="K45" i="2"/>
  <c r="I44" i="2"/>
  <c r="C44" i="2"/>
  <c r="BD42" i="2"/>
  <c r="AX42" i="2"/>
  <c r="AR42" i="2"/>
  <c r="AL42" i="2"/>
  <c r="AF42" i="2"/>
  <c r="AC42" i="2"/>
  <c r="AB42" i="2"/>
  <c r="Z42" i="2"/>
  <c r="T42" i="2"/>
  <c r="N42" i="2"/>
  <c r="B42" i="2"/>
  <c r="CF41" i="2"/>
  <c r="CF40" i="2"/>
  <c r="BZ41" i="2"/>
  <c r="BZ40" i="2"/>
  <c r="BT41" i="2"/>
  <c r="BT40" i="2"/>
  <c r="BH41" i="2"/>
  <c r="AD41" i="2"/>
  <c r="AD39" i="2"/>
  <c r="AD38" i="2"/>
  <c r="AD83" i="2" s="1"/>
  <c r="AD37" i="2"/>
  <c r="X41" i="2"/>
  <c r="R41" i="2"/>
  <c r="L41" i="2"/>
  <c r="F41" i="2"/>
  <c r="BN40" i="2"/>
  <c r="BN38" i="2"/>
  <c r="BN83" i="2" s="1"/>
  <c r="BN37" i="2"/>
  <c r="BE40" i="2"/>
  <c r="AS41" i="2"/>
  <c r="AS40" i="2"/>
  <c r="AT40" i="2" s="1"/>
  <c r="AH41" i="2"/>
  <c r="AI41" i="2" s="1"/>
  <c r="AJ41" i="2" s="1"/>
  <c r="AG40" i="2"/>
  <c r="AH40" i="2" s="1"/>
  <c r="AI40" i="2" s="1"/>
  <c r="AA40" i="2"/>
  <c r="AD40" i="2" s="1"/>
  <c r="H40" i="2"/>
  <c r="H42" i="2" s="1"/>
  <c r="AS39" i="2"/>
  <c r="AS61" i="2" s="1"/>
  <c r="AS38" i="2"/>
  <c r="AS83" i="2" s="1"/>
  <c r="AS37" i="2"/>
  <c r="AS36" i="2"/>
  <c r="AT36" i="2" s="1"/>
  <c r="CB38" i="2"/>
  <c r="BV38" i="2"/>
  <c r="BV83" i="2" s="1"/>
  <c r="BP38" i="2"/>
  <c r="BP83" i="2" s="1"/>
  <c r="BE38" i="2"/>
  <c r="BE83" i="2" s="1"/>
  <c r="BE82" i="2" s="1"/>
  <c r="AM41" i="2"/>
  <c r="AN41" i="2" s="1"/>
  <c r="AM40" i="2"/>
  <c r="AN40" i="2" s="1"/>
  <c r="AO40" i="2" s="1"/>
  <c r="AM39" i="2"/>
  <c r="AM61" i="2" s="1"/>
  <c r="AM38" i="2"/>
  <c r="AG38" i="2"/>
  <c r="CF37" i="2"/>
  <c r="BZ37" i="2"/>
  <c r="BT37" i="2"/>
  <c r="BF39" i="2"/>
  <c r="BF61" i="2" s="1"/>
  <c r="BL62" i="2" s="1"/>
  <c r="BF37" i="2"/>
  <c r="BG37" i="2" s="1"/>
  <c r="BE36" i="2"/>
  <c r="BF36" i="2" s="1"/>
  <c r="AY41" i="2"/>
  <c r="AY40" i="2"/>
  <c r="AY39" i="2"/>
  <c r="AY61" i="2" s="1"/>
  <c r="AY38" i="2"/>
  <c r="AY37" i="2"/>
  <c r="AY36" i="2"/>
  <c r="AZ36" i="2" s="1"/>
  <c r="AN37" i="2"/>
  <c r="AO37" i="2" s="1"/>
  <c r="AM36" i="2"/>
  <c r="AI39" i="2"/>
  <c r="AJ39" i="2" s="1"/>
  <c r="AI37" i="2"/>
  <c r="AJ37" i="2" s="1"/>
  <c r="AG36" i="2"/>
  <c r="AA36" i="2"/>
  <c r="U40" i="2"/>
  <c r="V40" i="2" s="1"/>
  <c r="U39" i="2"/>
  <c r="U38" i="2"/>
  <c r="U37" i="2"/>
  <c r="U36" i="2"/>
  <c r="O40" i="2"/>
  <c r="P40" i="2" s="1"/>
  <c r="O39" i="2"/>
  <c r="P39" i="2" s="1"/>
  <c r="P61" i="2" s="1"/>
  <c r="O38" i="2"/>
  <c r="O37" i="2"/>
  <c r="P37" i="2" s="1"/>
  <c r="O36" i="2"/>
  <c r="O79" i="2" s="1"/>
  <c r="I39" i="2"/>
  <c r="I38" i="2"/>
  <c r="I37" i="2"/>
  <c r="I36" i="2"/>
  <c r="J36" i="2" s="1"/>
  <c r="C40" i="2"/>
  <c r="C39" i="2"/>
  <c r="D39" i="2" s="1"/>
  <c r="D61" i="2" s="1"/>
  <c r="C38" i="2"/>
  <c r="C83" i="2" s="1"/>
  <c r="C82" i="2" s="1"/>
  <c r="C37" i="2"/>
  <c r="D37" i="2" s="1"/>
  <c r="C36" i="2"/>
  <c r="C79" i="2" s="1"/>
  <c r="AC33" i="2"/>
  <c r="AB33" i="2"/>
  <c r="Z33" i="2"/>
  <c r="T33" i="2"/>
  <c r="CF32" i="2"/>
  <c r="CF30" i="2"/>
  <c r="CF29" i="2"/>
  <c r="BZ32" i="2"/>
  <c r="BZ30" i="2"/>
  <c r="BZ29" i="2"/>
  <c r="BT32" i="2"/>
  <c r="BT30" i="2"/>
  <c r="BT29" i="2"/>
  <c r="BN32" i="2"/>
  <c r="BN30" i="2"/>
  <c r="BN29" i="2"/>
  <c r="AA32" i="2"/>
  <c r="AD32" i="2" s="1"/>
  <c r="AA31" i="2"/>
  <c r="AD31" i="2" s="1"/>
  <c r="AA30" i="2"/>
  <c r="AD30" i="2" s="1"/>
  <c r="AA29" i="2"/>
  <c r="AD29" i="2" s="1"/>
  <c r="AA28" i="2"/>
  <c r="AD28" i="2" s="1"/>
  <c r="BE32" i="2"/>
  <c r="BD31" i="2"/>
  <c r="BE31" i="2" s="1"/>
  <c r="BF31" i="2" s="1"/>
  <c r="BG31" i="2" s="1"/>
  <c r="BH31" i="2" s="1"/>
  <c r="AX31" i="2"/>
  <c r="AX33" i="2" s="1"/>
  <c r="AS32" i="2"/>
  <c r="AR31" i="2"/>
  <c r="AR33" i="2" s="1"/>
  <c r="AL31" i="2"/>
  <c r="AL33" i="2" s="1"/>
  <c r="AF31" i="2"/>
  <c r="AG31" i="2" s="1"/>
  <c r="AH31" i="2" s="1"/>
  <c r="AI31" i="2" s="1"/>
  <c r="N31" i="2"/>
  <c r="H32" i="2"/>
  <c r="H31" i="2"/>
  <c r="I31" i="2" s="1"/>
  <c r="B31" i="2"/>
  <c r="B33" i="2" s="1"/>
  <c r="AS30" i="2"/>
  <c r="AS29" i="2"/>
  <c r="AS28" i="2"/>
  <c r="AT28" i="2" s="1"/>
  <c r="AG32" i="2"/>
  <c r="AH32" i="2" s="1"/>
  <c r="AI32" i="2" s="1"/>
  <c r="AG30" i="2"/>
  <c r="BF30" i="2"/>
  <c r="BG30" i="2" s="1"/>
  <c r="BF29" i="2"/>
  <c r="BE28" i="2"/>
  <c r="AY32" i="2"/>
  <c r="AY30" i="2"/>
  <c r="AY29" i="2"/>
  <c r="AY28" i="2"/>
  <c r="AM32" i="2"/>
  <c r="AN32" i="2" s="1"/>
  <c r="AO32" i="2" s="1"/>
  <c r="AP32" i="2" s="1"/>
  <c r="AM30" i="2"/>
  <c r="AN30" i="2" s="1"/>
  <c r="AO30" i="2" s="1"/>
  <c r="AP30" i="2" s="1"/>
  <c r="AM29" i="2"/>
  <c r="AN29" i="2" s="1"/>
  <c r="AM28" i="2"/>
  <c r="AN28" i="2" s="1"/>
  <c r="AO28" i="2" s="1"/>
  <c r="AI29" i="2"/>
  <c r="AJ29" i="2" s="1"/>
  <c r="AG28" i="2"/>
  <c r="U32" i="2"/>
  <c r="U31" i="2"/>
  <c r="V31" i="2" s="1"/>
  <c r="U30" i="2"/>
  <c r="V30" i="2" s="1"/>
  <c r="U29" i="2"/>
  <c r="V29" i="2" s="1"/>
  <c r="U28" i="2"/>
  <c r="O32" i="2"/>
  <c r="P32" i="2" s="1"/>
  <c r="O30" i="2"/>
  <c r="O29" i="2"/>
  <c r="O28" i="2"/>
  <c r="I30" i="2"/>
  <c r="J30" i="2" s="1"/>
  <c r="I29" i="2"/>
  <c r="I28" i="2"/>
  <c r="J28" i="2" s="1"/>
  <c r="C32" i="2"/>
  <c r="D32" i="2" s="1"/>
  <c r="C30" i="2"/>
  <c r="D30" i="2" s="1"/>
  <c r="C29" i="2"/>
  <c r="C28" i="2"/>
  <c r="D28" i="2" s="1"/>
  <c r="AA24" i="2"/>
  <c r="AD24" i="2" s="1"/>
  <c r="AA23" i="2"/>
  <c r="AD23" i="2" s="1"/>
  <c r="AA22" i="2"/>
  <c r="AD22" i="2" s="1"/>
  <c r="AA21" i="2"/>
  <c r="AD21" i="2" s="1"/>
  <c r="AA20" i="2"/>
  <c r="AD20" i="2" s="1"/>
  <c r="AA19" i="2"/>
  <c r="BE24" i="2"/>
  <c r="BE23" i="2"/>
  <c r="BF23" i="2" s="1"/>
  <c r="BE22" i="2"/>
  <c r="BF22" i="2" s="1"/>
  <c r="BE21" i="2"/>
  <c r="BE20" i="2"/>
  <c r="BE19" i="2"/>
  <c r="BD18" i="2"/>
  <c r="AY24" i="2"/>
  <c r="AY23" i="2"/>
  <c r="AY22" i="2"/>
  <c r="AZ22" i="2" s="1"/>
  <c r="BA22" i="2" s="1"/>
  <c r="AY21" i="2"/>
  <c r="AZ21" i="2" s="1"/>
  <c r="AY20" i="2"/>
  <c r="AZ20" i="2" s="1"/>
  <c r="AY19" i="2"/>
  <c r="AX18" i="2"/>
  <c r="AS24" i="2"/>
  <c r="AS23" i="2"/>
  <c r="AT23" i="2" s="1"/>
  <c r="AS22" i="2"/>
  <c r="AT22" i="2" s="1"/>
  <c r="AS21" i="2"/>
  <c r="AT21" i="2" s="1"/>
  <c r="AS20" i="2"/>
  <c r="AS19" i="2"/>
  <c r="AR18" i="2"/>
  <c r="AM24" i="2"/>
  <c r="AN24" i="2" s="1"/>
  <c r="AO24" i="2" s="1"/>
  <c r="AM23" i="2"/>
  <c r="AN23" i="2" s="1"/>
  <c r="AO23" i="2" s="1"/>
  <c r="AM22" i="2"/>
  <c r="AN22" i="2" s="1"/>
  <c r="AO22" i="2" s="1"/>
  <c r="AP22" i="2" s="1"/>
  <c r="AM21" i="2"/>
  <c r="AM20" i="2"/>
  <c r="AN20" i="2" s="1"/>
  <c r="AO20" i="2" s="1"/>
  <c r="AM19" i="2"/>
  <c r="AN19" i="2" s="1"/>
  <c r="AO19" i="2" s="1"/>
  <c r="AP19" i="2" s="1"/>
  <c r="AL18" i="2"/>
  <c r="AG24" i="2"/>
  <c r="AH24" i="2" s="1"/>
  <c r="AI24" i="2" s="1"/>
  <c r="AJ24" i="2" s="1"/>
  <c r="AG23" i="2"/>
  <c r="AH23" i="2" s="1"/>
  <c r="AG22" i="2"/>
  <c r="AH22" i="2" s="1"/>
  <c r="AI22" i="2" s="1"/>
  <c r="AG21" i="2"/>
  <c r="AG20" i="2"/>
  <c r="AH20" i="2" s="1"/>
  <c r="AI20" i="2" s="1"/>
  <c r="AJ20" i="2" s="1"/>
  <c r="AG19" i="2"/>
  <c r="AF18" i="2"/>
  <c r="AC18" i="2"/>
  <c r="AB18" i="2"/>
  <c r="Z18" i="2"/>
  <c r="U24" i="2"/>
  <c r="V24" i="2" s="1"/>
  <c r="U23" i="2"/>
  <c r="V23" i="2" s="1"/>
  <c r="U22" i="2"/>
  <c r="U21" i="2"/>
  <c r="V21" i="2" s="1"/>
  <c r="U20" i="2"/>
  <c r="U19" i="2"/>
  <c r="T18" i="2"/>
  <c r="O24" i="2"/>
  <c r="O23" i="2"/>
  <c r="P23" i="2" s="1"/>
  <c r="O22" i="2"/>
  <c r="P22" i="2" s="1"/>
  <c r="O21" i="2"/>
  <c r="O20" i="2"/>
  <c r="O19" i="2"/>
  <c r="N18" i="2"/>
  <c r="I24" i="2"/>
  <c r="I23" i="2"/>
  <c r="I22" i="2"/>
  <c r="I21" i="2"/>
  <c r="J21" i="2" s="1"/>
  <c r="I20" i="2"/>
  <c r="J20" i="2" s="1"/>
  <c r="I19" i="2"/>
  <c r="H18" i="2"/>
  <c r="C24" i="2"/>
  <c r="D24" i="2" s="1"/>
  <c r="E24" i="2" s="1"/>
  <c r="C23" i="2"/>
  <c r="D23" i="2" s="1"/>
  <c r="C22" i="2"/>
  <c r="C21" i="2"/>
  <c r="D21" i="2" s="1"/>
  <c r="C20" i="2"/>
  <c r="C19" i="2"/>
  <c r="D19" i="2" s="1"/>
  <c r="B18" i="2"/>
  <c r="CF16" i="2"/>
  <c r="CF15" i="2"/>
  <c r="CF14" i="2"/>
  <c r="CF13" i="2"/>
  <c r="BZ16" i="2"/>
  <c r="BZ15" i="2"/>
  <c r="BZ14" i="2"/>
  <c r="BZ13" i="2"/>
  <c r="BT16" i="2"/>
  <c r="BT15" i="2"/>
  <c r="BT14" i="2"/>
  <c r="BT13" i="2"/>
  <c r="BN16" i="2"/>
  <c r="BN15" i="2"/>
  <c r="BN14" i="2"/>
  <c r="BN13" i="2"/>
  <c r="BD16" i="2"/>
  <c r="BE16" i="2" s="1"/>
  <c r="AL16" i="2"/>
  <c r="AM16" i="2" s="1"/>
  <c r="AN16" i="2" s="1"/>
  <c r="AO16" i="2" s="1"/>
  <c r="AD16" i="2"/>
  <c r="AD15" i="2"/>
  <c r="AS16" i="2"/>
  <c r="AT16" i="2" s="1"/>
  <c r="AS15" i="2"/>
  <c r="BF14" i="2"/>
  <c r="BG14" i="2" s="1"/>
  <c r="BF13" i="2"/>
  <c r="BF12" i="2"/>
  <c r="BG12" i="2" s="1"/>
  <c r="BH12" i="2" s="1"/>
  <c r="BF8" i="2"/>
  <c r="AS14" i="2"/>
  <c r="AS13" i="2"/>
  <c r="AS12" i="2"/>
  <c r="AT12" i="2" s="1"/>
  <c r="AS11" i="2"/>
  <c r="AT11" i="2" s="1"/>
  <c r="AU11" i="2" s="1"/>
  <c r="AS10" i="2"/>
  <c r="AT10" i="2" s="1"/>
  <c r="AS9" i="2"/>
  <c r="AS8" i="2"/>
  <c r="AG14" i="2"/>
  <c r="AH14" i="2" s="1"/>
  <c r="AI14" i="2" s="1"/>
  <c r="AG13" i="2"/>
  <c r="AH13" i="2" s="1"/>
  <c r="AI13" i="2" s="1"/>
  <c r="AG12" i="2"/>
  <c r="AH12" i="2" s="1"/>
  <c r="AG11" i="2"/>
  <c r="AG98" i="2" s="1"/>
  <c r="AG10" i="2"/>
  <c r="AH10" i="2" s="1"/>
  <c r="AG9" i="2"/>
  <c r="AH9" i="2" s="1"/>
  <c r="AI9" i="2" s="1"/>
  <c r="AJ9" i="2" s="1"/>
  <c r="AA14" i="2"/>
  <c r="AD14" i="2" s="1"/>
  <c r="AA13" i="2"/>
  <c r="AD13" i="2" s="1"/>
  <c r="AA12" i="2"/>
  <c r="AD12" i="2" s="1"/>
  <c r="AA11" i="2"/>
  <c r="AA10" i="2"/>
  <c r="AD10" i="2" s="1"/>
  <c r="AA9" i="2"/>
  <c r="AD9" i="2" s="1"/>
  <c r="AT8" i="2"/>
  <c r="BE11" i="2"/>
  <c r="BF11" i="2" s="1"/>
  <c r="BG11" i="2" s="1"/>
  <c r="BE10" i="2"/>
  <c r="BF10" i="2" s="1"/>
  <c r="BE9" i="2"/>
  <c r="BF9" i="2" s="1"/>
  <c r="BG9" i="2" s="1"/>
  <c r="BE8" i="2"/>
  <c r="B11" i="2"/>
  <c r="BJ8" i="2"/>
  <c r="BG15" i="2"/>
  <c r="BH15" i="2" s="1"/>
  <c r="BG8" i="2"/>
  <c r="BD8" i="2"/>
  <c r="AY16" i="2"/>
  <c r="AY15" i="2"/>
  <c r="AZ15" i="2" s="1"/>
  <c r="AY14" i="2"/>
  <c r="AY13" i="2"/>
  <c r="AZ13" i="2" s="1"/>
  <c r="AY12" i="2"/>
  <c r="AZ12" i="2" s="1"/>
  <c r="AY11" i="2"/>
  <c r="AZ11" i="2" s="1"/>
  <c r="AY10" i="2"/>
  <c r="AY9" i="2"/>
  <c r="AZ9" i="2" s="1"/>
  <c r="BA8" i="2"/>
  <c r="AZ8" i="2"/>
  <c r="AY8" i="2"/>
  <c r="AX8" i="2"/>
  <c r="AR8" i="2"/>
  <c r="AM15" i="2"/>
  <c r="AN15" i="2" s="1"/>
  <c r="AO15" i="2" s="1"/>
  <c r="AP15" i="2" s="1"/>
  <c r="AM14" i="2"/>
  <c r="AN14" i="2" s="1"/>
  <c r="AO14" i="2" s="1"/>
  <c r="AM13" i="2"/>
  <c r="AN13" i="2" s="1"/>
  <c r="AO13" i="2" s="1"/>
  <c r="AP13" i="2" s="1"/>
  <c r="AM12" i="2"/>
  <c r="AN12" i="2" s="1"/>
  <c r="AM11" i="2"/>
  <c r="AN11" i="2" s="1"/>
  <c r="AO11" i="2" s="1"/>
  <c r="AP11" i="2" s="1"/>
  <c r="AM10" i="2"/>
  <c r="AM9" i="2"/>
  <c r="AN9" i="2" s="1"/>
  <c r="AO9" i="2" s="1"/>
  <c r="AP9" i="2" s="1"/>
  <c r="AN8" i="2"/>
  <c r="AL8" i="2"/>
  <c r="AM8" i="2" s="1"/>
  <c r="AH16" i="2"/>
  <c r="AI16" i="2" s="1"/>
  <c r="AH15" i="2"/>
  <c r="AF8" i="2"/>
  <c r="U16" i="2"/>
  <c r="V16" i="2" s="1"/>
  <c r="U15" i="2"/>
  <c r="V15" i="2" s="1"/>
  <c r="U14" i="2"/>
  <c r="V14" i="2" s="1"/>
  <c r="U13" i="2"/>
  <c r="V13" i="2" s="1"/>
  <c r="U12" i="2"/>
  <c r="V12" i="2" s="1"/>
  <c r="U11" i="2"/>
  <c r="U98" i="2" s="1"/>
  <c r="U10" i="2"/>
  <c r="V10" i="2" s="1"/>
  <c r="U9" i="2"/>
  <c r="O16" i="2"/>
  <c r="P16" i="2" s="1"/>
  <c r="Q16" i="2" s="1"/>
  <c r="O15" i="2"/>
  <c r="O14" i="2"/>
  <c r="P14" i="2" s="1"/>
  <c r="O13" i="2"/>
  <c r="O12" i="2"/>
  <c r="P12" i="2" s="1"/>
  <c r="O11" i="2"/>
  <c r="O10" i="2"/>
  <c r="P10" i="2" s="1"/>
  <c r="O9" i="2"/>
  <c r="I16" i="2"/>
  <c r="I15" i="2"/>
  <c r="J15" i="2" s="1"/>
  <c r="I14" i="2"/>
  <c r="I13" i="2"/>
  <c r="J13" i="2" s="1"/>
  <c r="K13" i="2" s="1"/>
  <c r="L13" i="2" s="1"/>
  <c r="I12" i="2"/>
  <c r="J12" i="2" s="1"/>
  <c r="I11" i="2"/>
  <c r="I98" i="2" s="1"/>
  <c r="I10" i="2"/>
  <c r="J10" i="2" s="1"/>
  <c r="I9" i="2"/>
  <c r="J9" i="2" s="1"/>
  <c r="C16" i="2"/>
  <c r="D16" i="2" s="1"/>
  <c r="E16" i="2" s="1"/>
  <c r="F16" i="2" s="1"/>
  <c r="C15" i="2"/>
  <c r="C14" i="2"/>
  <c r="D14" i="2" s="1"/>
  <c r="E14" i="2" s="1"/>
  <c r="F14" i="2" s="1"/>
  <c r="C13" i="2"/>
  <c r="C12" i="2"/>
  <c r="D12" i="2" s="1"/>
  <c r="E12" i="2" s="1"/>
  <c r="F12" i="2" s="1"/>
  <c r="C10" i="2"/>
  <c r="D10" i="2" s="1"/>
  <c r="E10" i="2" s="1"/>
  <c r="F10" i="2" s="1"/>
  <c r="C9" i="2"/>
  <c r="CB5" i="2"/>
  <c r="BV5" i="2"/>
  <c r="BP5" i="2"/>
  <c r="BJ5" i="2"/>
  <c r="BD5" i="2"/>
  <c r="AX5" i="2"/>
  <c r="AR5" i="2"/>
  <c r="AL5" i="2"/>
  <c r="AF5" i="2"/>
  <c r="AC6" i="2"/>
  <c r="AB6" i="2"/>
  <c r="AA6" i="2"/>
  <c r="Z6" i="2"/>
  <c r="W6" i="2"/>
  <c r="V6" i="2"/>
  <c r="U6" i="2"/>
  <c r="T6" i="2"/>
  <c r="Q6" i="2"/>
  <c r="P6" i="2"/>
  <c r="O6" i="2"/>
  <c r="N6" i="2"/>
  <c r="K6" i="2"/>
  <c r="J6" i="2"/>
  <c r="I6" i="2"/>
  <c r="H6" i="2"/>
  <c r="E6" i="2"/>
  <c r="D6" i="2"/>
  <c r="C6" i="2"/>
  <c r="B6" i="2"/>
  <c r="AT79" i="2" l="1"/>
  <c r="BD79" i="2"/>
  <c r="AM31" i="2"/>
  <c r="AN31" i="2" s="1"/>
  <c r="AO31" i="2" s="1"/>
  <c r="L45" i="2"/>
  <c r="AY31" i="2"/>
  <c r="AZ31" i="2" s="1"/>
  <c r="BH73" i="2"/>
  <c r="AS31" i="2"/>
  <c r="AT31" i="2" s="1"/>
  <c r="AR79" i="2"/>
  <c r="BG73" i="2"/>
  <c r="AR71" i="2"/>
  <c r="AS67" i="2" s="1"/>
  <c r="AS71" i="2" s="1"/>
  <c r="AT67" i="2" s="1"/>
  <c r="C31" i="2"/>
  <c r="D31" i="2" s="1"/>
  <c r="BE69" i="2"/>
  <c r="BF69" i="2" s="1"/>
  <c r="BF79" i="2" s="1"/>
  <c r="AT73" i="2"/>
  <c r="BE73" i="2"/>
  <c r="BK73" i="2"/>
  <c r="AV67" i="2"/>
  <c r="AC82" i="2"/>
  <c r="AB82" i="2"/>
  <c r="AJ14" i="2"/>
  <c r="AU12" i="2"/>
  <c r="AV12" i="2" s="1"/>
  <c r="AS18" i="2"/>
  <c r="AS25" i="2" s="1"/>
  <c r="AS53" i="2" s="1"/>
  <c r="AA42" i="2"/>
  <c r="O77" i="2"/>
  <c r="AL82" i="2"/>
  <c r="BQ61" i="2"/>
  <c r="BW61" i="2" s="1"/>
  <c r="BN41" i="2"/>
  <c r="BM82" i="2"/>
  <c r="BG10" i="2"/>
  <c r="BH10" i="2" s="1"/>
  <c r="C71" i="2"/>
  <c r="D67" i="2" s="1"/>
  <c r="W14" i="2"/>
  <c r="X14" i="2" s="1"/>
  <c r="AU21" i="2"/>
  <c r="AV21" i="2" s="1"/>
  <c r="AA18" i="2"/>
  <c r="D38" i="2"/>
  <c r="D83" i="2" s="1"/>
  <c r="D82" i="2" s="1"/>
  <c r="BW38" i="2"/>
  <c r="BW83" i="2" s="1"/>
  <c r="BW82" i="2" s="1"/>
  <c r="AP98" i="2"/>
  <c r="E23" i="2"/>
  <c r="F23" i="2" s="1"/>
  <c r="AP14" i="2"/>
  <c r="Q45" i="2"/>
  <c r="R45" i="2" s="1"/>
  <c r="AH11" i="2"/>
  <c r="AI11" i="2" s="1"/>
  <c r="AJ11" i="2" s="1"/>
  <c r="BA15" i="2"/>
  <c r="BB15" i="2" s="1"/>
  <c r="BG13" i="2"/>
  <c r="BH13" i="2" s="1"/>
  <c r="I18" i="2"/>
  <c r="E39" i="2"/>
  <c r="E61" i="2" s="1"/>
  <c r="AT9" i="2"/>
  <c r="AU9" i="2" s="1"/>
  <c r="AZ24" i="2"/>
  <c r="BA24" i="2" s="1"/>
  <c r="BB24" i="2" s="1"/>
  <c r="AJ32" i="2"/>
  <c r="V9" i="2"/>
  <c r="W9" i="2" s="1"/>
  <c r="AP24" i="2"/>
  <c r="BB22" i="2"/>
  <c r="AM42" i="2"/>
  <c r="J44" i="2"/>
  <c r="K44" i="2" s="1"/>
  <c r="L44" i="2" s="1"/>
  <c r="C76" i="2"/>
  <c r="BA13" i="2"/>
  <c r="BB13" i="2" s="1"/>
  <c r="AT19" i="2"/>
  <c r="AU19" i="2" s="1"/>
  <c r="AV19" i="2" s="1"/>
  <c r="W29" i="2"/>
  <c r="X29" i="2" s="1"/>
  <c r="AZ30" i="2"/>
  <c r="BA30" i="2" s="1"/>
  <c r="AU39" i="2"/>
  <c r="AU61" i="2" s="1"/>
  <c r="BQ38" i="2"/>
  <c r="BQ83" i="2" s="1"/>
  <c r="BQ82" i="2" s="1"/>
  <c r="J29" i="2"/>
  <c r="K29" i="2" s="1"/>
  <c r="L29" i="2" s="1"/>
  <c r="J37" i="2"/>
  <c r="K37" i="2" s="1"/>
  <c r="W16" i="2"/>
  <c r="X16" i="2" s="1"/>
  <c r="BH14" i="2"/>
  <c r="AU23" i="2"/>
  <c r="AV23" i="2" s="1"/>
  <c r="AG33" i="2"/>
  <c r="AP37" i="2"/>
  <c r="AZ39" i="2"/>
  <c r="AZ61" i="2" s="1"/>
  <c r="AZ62" i="2" s="1"/>
  <c r="AU40" i="2"/>
  <c r="AV40" i="2" s="1"/>
  <c r="BA44" i="2"/>
  <c r="BB44" i="2" s="1"/>
  <c r="Q70" i="2"/>
  <c r="R70" i="2" s="1"/>
  <c r="Q10" i="2"/>
  <c r="R10" i="2" s="1"/>
  <c r="R16" i="2"/>
  <c r="W10" i="2"/>
  <c r="X10" i="2" s="1"/>
  <c r="W12" i="2"/>
  <c r="X12" i="2" s="1"/>
  <c r="AJ16" i="2"/>
  <c r="BA9" i="2"/>
  <c r="BB9" i="2" s="1"/>
  <c r="BA11" i="2"/>
  <c r="BB11" i="2" s="1"/>
  <c r="K15" i="2"/>
  <c r="L15" i="2" s="1"/>
  <c r="AN10" i="2"/>
  <c r="AO10" i="2" s="1"/>
  <c r="BH9" i="2"/>
  <c r="AA98" i="2"/>
  <c r="AD11" i="2"/>
  <c r="BF16" i="2"/>
  <c r="BG16" i="2" s="1"/>
  <c r="E19" i="2"/>
  <c r="F19" i="2" s="1"/>
  <c r="K20" i="2"/>
  <c r="L20" i="2" s="1"/>
  <c r="J22" i="2"/>
  <c r="K22" i="2" s="1"/>
  <c r="L22" i="2" s="1"/>
  <c r="J24" i="2"/>
  <c r="K24" i="2" s="1"/>
  <c r="L24" i="2" s="1"/>
  <c r="P19" i="2"/>
  <c r="Q19" i="2" s="1"/>
  <c r="R19" i="2" s="1"/>
  <c r="Q22" i="2"/>
  <c r="R22" i="2" s="1"/>
  <c r="V22" i="2"/>
  <c r="W22" i="2" s="1"/>
  <c r="AJ22" i="2"/>
  <c r="BE18" i="2"/>
  <c r="BE25" i="2" s="1"/>
  <c r="BE53" i="2" s="1"/>
  <c r="BF19" i="2"/>
  <c r="BG19" i="2" s="1"/>
  <c r="BH19" i="2" s="1"/>
  <c r="Q32" i="2"/>
  <c r="R32" i="2" s="1"/>
  <c r="AZ28" i="2"/>
  <c r="BA28" i="2" s="1"/>
  <c r="AH30" i="2"/>
  <c r="AI30" i="2" s="1"/>
  <c r="W40" i="2"/>
  <c r="X40" i="2" s="1"/>
  <c r="AP40" i="2"/>
  <c r="AJ40" i="2"/>
  <c r="O42" i="2"/>
  <c r="AY42" i="2"/>
  <c r="W45" i="2"/>
  <c r="X45" i="2" s="1"/>
  <c r="AU44" i="2"/>
  <c r="AV44" i="2" s="1"/>
  <c r="BA45" i="2"/>
  <c r="BB45" i="2" s="1"/>
  <c r="AI61" i="2"/>
  <c r="AI62" i="2" s="1"/>
  <c r="D70" i="2"/>
  <c r="J68" i="2"/>
  <c r="J77" i="2" s="1"/>
  <c r="V69" i="2"/>
  <c r="AD72" i="2"/>
  <c r="AD73" i="2" s="1"/>
  <c r="I77" i="2"/>
  <c r="AR82" i="2"/>
  <c r="AU16" i="2"/>
  <c r="AV16" i="2" s="1"/>
  <c r="C18" i="2"/>
  <c r="AD19" i="2"/>
  <c r="AD18" i="2" s="1"/>
  <c r="AD33" i="2"/>
  <c r="D36" i="2"/>
  <c r="D79" i="2" s="1"/>
  <c r="P36" i="2"/>
  <c r="Q36" i="2" s="1"/>
  <c r="Q40" i="2"/>
  <c r="R40" i="2" s="1"/>
  <c r="AN36" i="2"/>
  <c r="AO36" i="2" s="1"/>
  <c r="AZ37" i="2"/>
  <c r="BF38" i="2"/>
  <c r="BF83" i="2" s="1"/>
  <c r="BF82" i="2" s="1"/>
  <c r="BG39" i="2"/>
  <c r="BG61" i="2" s="1"/>
  <c r="BM62" i="2" s="1"/>
  <c r="AT38" i="2"/>
  <c r="AT83" i="2" s="1"/>
  <c r="AT82" i="2" s="1"/>
  <c r="AT41" i="2"/>
  <c r="AU69" i="2"/>
  <c r="AU79" i="2" s="1"/>
  <c r="AU70" i="2"/>
  <c r="AV70" i="2" s="1"/>
  <c r="AH72" i="2"/>
  <c r="BN84" i="2"/>
  <c r="BN85" i="2" s="1"/>
  <c r="AV98" i="2"/>
  <c r="N62" i="2"/>
  <c r="AX62" i="2"/>
  <c r="BG44" i="2"/>
  <c r="BH44" i="2" s="1"/>
  <c r="AL62" i="2"/>
  <c r="BB8" i="2"/>
  <c r="AM62" i="2"/>
  <c r="I99" i="2"/>
  <c r="U99" i="2"/>
  <c r="AF62" i="2"/>
  <c r="BH8" i="2"/>
  <c r="AG62" i="2"/>
  <c r="AO8" i="2"/>
  <c r="AP8" i="2" s="1"/>
  <c r="AH62" i="2"/>
  <c r="BD25" i="2"/>
  <c r="BD53" i="2" s="1"/>
  <c r="BP82" i="2"/>
  <c r="U33" i="2"/>
  <c r="V28" i="2"/>
  <c r="W28" i="2" s="1"/>
  <c r="O18" i="2"/>
  <c r="P20" i="2"/>
  <c r="Q20" i="2" s="1"/>
  <c r="AI23" i="2"/>
  <c r="AJ23" i="2" s="1"/>
  <c r="AY18" i="2"/>
  <c r="AY25" i="2" s="1"/>
  <c r="AY53" i="2" s="1"/>
  <c r="AZ19" i="2"/>
  <c r="E30" i="2"/>
  <c r="F30" i="2" s="1"/>
  <c r="AO12" i="2"/>
  <c r="AP12" i="2" s="1"/>
  <c r="D9" i="2"/>
  <c r="E9" i="2" s="1"/>
  <c r="U18" i="2"/>
  <c r="V20" i="2"/>
  <c r="W15" i="2"/>
  <c r="X15" i="2" s="1"/>
  <c r="F24" i="2"/>
  <c r="BF32" i="2"/>
  <c r="BG32" i="2" s="1"/>
  <c r="AI10" i="2"/>
  <c r="AJ10" i="2" s="1"/>
  <c r="B98" i="2"/>
  <c r="C11" i="2"/>
  <c r="C98" i="2" s="1"/>
  <c r="C99" i="2" s="1"/>
  <c r="U77" i="2"/>
  <c r="AA77" i="2"/>
  <c r="V68" i="2"/>
  <c r="AT68" i="2"/>
  <c r="AU68" i="2" s="1"/>
  <c r="AV68" i="2" s="1"/>
  <c r="AV11" i="2"/>
  <c r="AO29" i="2"/>
  <c r="AP29" i="2" s="1"/>
  <c r="AU28" i="2"/>
  <c r="AV28" i="2" s="1"/>
  <c r="BF21" i="2"/>
  <c r="BG21" i="2" s="1"/>
  <c r="BH21" i="2" s="1"/>
  <c r="D40" i="2"/>
  <c r="AA79" i="2"/>
  <c r="J14" i="2"/>
  <c r="O98" i="2"/>
  <c r="O99" i="2" s="1"/>
  <c r="P11" i="2"/>
  <c r="P98" i="2" s="1"/>
  <c r="P99" i="2" s="1"/>
  <c r="Q14" i="2"/>
  <c r="R14" i="2" s="1"/>
  <c r="AI15" i="2"/>
  <c r="AJ15" i="2" s="1"/>
  <c r="AZ16" i="2"/>
  <c r="BA16" i="2" s="1"/>
  <c r="BB16" i="2" s="1"/>
  <c r="BA20" i="2"/>
  <c r="BB20" i="2" s="1"/>
  <c r="AZ23" i="2"/>
  <c r="BA23" i="2" s="1"/>
  <c r="BB23" i="2" s="1"/>
  <c r="P30" i="2"/>
  <c r="Q30" i="2" s="1"/>
  <c r="C42" i="2"/>
  <c r="AU36" i="2"/>
  <c r="AS42" i="2"/>
  <c r="D15" i="2"/>
  <c r="E15" i="2" s="1"/>
  <c r="AU13" i="2"/>
  <c r="AV13" i="2" s="1"/>
  <c r="AZ14" i="2"/>
  <c r="BA14" i="2" s="1"/>
  <c r="AJ13" i="2"/>
  <c r="AU14" i="2"/>
  <c r="AV14" i="2" s="1"/>
  <c r="AT15" i="2"/>
  <c r="AU15" i="2" s="1"/>
  <c r="D22" i="2"/>
  <c r="E22" i="2" s="1"/>
  <c r="J23" i="2"/>
  <c r="K23" i="2" s="1"/>
  <c r="P21" i="2"/>
  <c r="AH21" i="2"/>
  <c r="AI21" i="2" s="1"/>
  <c r="AP23" i="2"/>
  <c r="AT24" i="2"/>
  <c r="E28" i="2"/>
  <c r="AH28" i="2"/>
  <c r="AP28" i="2"/>
  <c r="AU29" i="2"/>
  <c r="AV29" i="2" s="1"/>
  <c r="AT32" i="2"/>
  <c r="BH37" i="2"/>
  <c r="AU37" i="2"/>
  <c r="AV37" i="2" s="1"/>
  <c r="AD36" i="2"/>
  <c r="AD42" i="2" s="1"/>
  <c r="BG45" i="2"/>
  <c r="BH45" i="2" s="1"/>
  <c r="D13" i="2"/>
  <c r="E13" i="2" s="1"/>
  <c r="F13" i="2" s="1"/>
  <c r="K9" i="2"/>
  <c r="L9" i="2" s="1"/>
  <c r="P9" i="2"/>
  <c r="Q9" i="2" s="1"/>
  <c r="R9" i="2" s="1"/>
  <c r="Q12" i="2"/>
  <c r="R12" i="2" s="1"/>
  <c r="V11" i="2"/>
  <c r="V98" i="2" s="1"/>
  <c r="V99" i="2" s="1"/>
  <c r="W13" i="2"/>
  <c r="X13" i="2" s="1"/>
  <c r="AI12" i="2"/>
  <c r="AJ12" i="2" s="1"/>
  <c r="AZ10" i="2"/>
  <c r="BA10" i="2" s="1"/>
  <c r="BB10" i="2" s="1"/>
  <c r="BA12" i="2"/>
  <c r="BB12" i="2" s="1"/>
  <c r="AP16" i="2"/>
  <c r="J19" i="2"/>
  <c r="K19" i="2" s="1"/>
  <c r="K21" i="2"/>
  <c r="L21" i="2" s="1"/>
  <c r="W24" i="2"/>
  <c r="X24" i="2" s="1"/>
  <c r="AL25" i="2"/>
  <c r="AL53" i="2" s="1"/>
  <c r="BG23" i="2"/>
  <c r="BH23" i="2" s="1"/>
  <c r="E32" i="2"/>
  <c r="F32" i="2" s="1"/>
  <c r="W30" i="2"/>
  <c r="X30" i="2" s="1"/>
  <c r="U79" i="2"/>
  <c r="U42" i="2"/>
  <c r="V36" i="2"/>
  <c r="W36" i="2" s="1"/>
  <c r="K12" i="2"/>
  <c r="L12" i="2" s="1"/>
  <c r="AU22" i="2"/>
  <c r="AV22" i="2" s="1"/>
  <c r="BA21" i="2"/>
  <c r="BB21" i="2" s="1"/>
  <c r="AU30" i="2"/>
  <c r="AV30" i="2" s="1"/>
  <c r="AG18" i="2"/>
  <c r="AH19" i="2"/>
  <c r="AM18" i="2"/>
  <c r="AM25" i="2" s="1"/>
  <c r="AM53" i="2" s="1"/>
  <c r="AP20" i="2"/>
  <c r="AG83" i="2"/>
  <c r="AG82" i="2" s="1"/>
  <c r="AH38" i="2"/>
  <c r="BD62" i="2"/>
  <c r="P15" i="2"/>
  <c r="Q15" i="2" s="1"/>
  <c r="R15" i="2" s="1"/>
  <c r="AG8" i="2"/>
  <c r="AH8" i="2" s="1"/>
  <c r="AI8" i="2" s="1"/>
  <c r="K30" i="2"/>
  <c r="L30" i="2" s="1"/>
  <c r="K10" i="2"/>
  <c r="L10" i="2" s="1"/>
  <c r="J16" i="2"/>
  <c r="K16" i="2" s="1"/>
  <c r="P13" i="2"/>
  <c r="Q13" i="2" s="1"/>
  <c r="AU10" i="2"/>
  <c r="AV10" i="2" s="1"/>
  <c r="D20" i="2"/>
  <c r="Q23" i="2"/>
  <c r="R23" i="2" s="1"/>
  <c r="AN21" i="2"/>
  <c r="AO21" i="2" s="1"/>
  <c r="AO18" i="2" s="1"/>
  <c r="AR25" i="2"/>
  <c r="AR53" i="2" s="1"/>
  <c r="AT20" i="2"/>
  <c r="AU20" i="2" s="1"/>
  <c r="BF20" i="2"/>
  <c r="BG20" i="2" s="1"/>
  <c r="K28" i="2"/>
  <c r="L28" i="2" s="1"/>
  <c r="P28" i="2"/>
  <c r="W31" i="2"/>
  <c r="X31" i="2" s="1"/>
  <c r="BG29" i="2"/>
  <c r="BH29" i="2" s="1"/>
  <c r="I83" i="2"/>
  <c r="I82" i="2" s="1"/>
  <c r="J38" i="2"/>
  <c r="Q37" i="2"/>
  <c r="AZ40" i="2"/>
  <c r="BA40" i="2" s="1"/>
  <c r="BB40" i="2" s="1"/>
  <c r="AZ29" i="2"/>
  <c r="BA29" i="2" s="1"/>
  <c r="BB29" i="2" s="1"/>
  <c r="N33" i="2"/>
  <c r="I61" i="2"/>
  <c r="O83" i="2"/>
  <c r="O82" i="2" s="1"/>
  <c r="P38" i="2"/>
  <c r="P83" i="2" s="1"/>
  <c r="P82" i="2" s="1"/>
  <c r="U83" i="2"/>
  <c r="U82" i="2" s="1"/>
  <c r="AG79" i="2"/>
  <c r="AG42" i="2"/>
  <c r="AY83" i="2"/>
  <c r="AY82" i="2" s="1"/>
  <c r="D44" i="2"/>
  <c r="BH11" i="2"/>
  <c r="W23" i="2"/>
  <c r="X23" i="2" s="1"/>
  <c r="O31" i="2"/>
  <c r="P31" i="2" s="1"/>
  <c r="AZ32" i="2"/>
  <c r="BA32" i="2" s="1"/>
  <c r="BH30" i="2"/>
  <c r="AF33" i="2"/>
  <c r="AJ31" i="2"/>
  <c r="E37" i="2"/>
  <c r="I79" i="2"/>
  <c r="K36" i="2"/>
  <c r="L36" i="2" s="1"/>
  <c r="J39" i="2"/>
  <c r="K39" i="2" s="1"/>
  <c r="K61" i="2" s="1"/>
  <c r="V38" i="2"/>
  <c r="V83" i="2" s="1"/>
  <c r="V82" i="2" s="1"/>
  <c r="AH36" i="2"/>
  <c r="AZ38" i="2"/>
  <c r="BA38" i="2" s="1"/>
  <c r="AN39" i="2"/>
  <c r="AO41" i="2"/>
  <c r="AP41" i="2" s="1"/>
  <c r="H62" i="2"/>
  <c r="BE62" i="2"/>
  <c r="AY62" i="2"/>
  <c r="W21" i="2"/>
  <c r="X21" i="2" s="1"/>
  <c r="J79" i="2"/>
  <c r="BA36" i="2"/>
  <c r="BB36" i="2" s="1"/>
  <c r="AZ41" i="2"/>
  <c r="BA41" i="2" s="1"/>
  <c r="AF25" i="2"/>
  <c r="AF53" i="2" s="1"/>
  <c r="AF54" i="2" s="1"/>
  <c r="AF55" i="2" s="1"/>
  <c r="AX25" i="2"/>
  <c r="AX53" i="2" s="1"/>
  <c r="U61" i="2"/>
  <c r="V39" i="2"/>
  <c r="V61" i="2" s="1"/>
  <c r="CB83" i="2"/>
  <c r="CC38" i="2"/>
  <c r="CC83" i="2" s="1"/>
  <c r="CC82" i="2" s="1"/>
  <c r="W70" i="2"/>
  <c r="X70" i="2" s="1"/>
  <c r="AY79" i="2"/>
  <c r="AZ69" i="2"/>
  <c r="AZ79" i="2" s="1"/>
  <c r="J11" i="2"/>
  <c r="AG99" i="2"/>
  <c r="AJ98" i="2"/>
  <c r="E21" i="2"/>
  <c r="F21" i="2" s="1"/>
  <c r="P24" i="2"/>
  <c r="Q24" i="2" s="1"/>
  <c r="V19" i="2"/>
  <c r="BG22" i="2"/>
  <c r="BH22" i="2" s="1"/>
  <c r="BF24" i="2"/>
  <c r="BG24" i="2" s="1"/>
  <c r="D29" i="2"/>
  <c r="P29" i="2"/>
  <c r="V32" i="2"/>
  <c r="BE33" i="2"/>
  <c r="BF28" i="2"/>
  <c r="I32" i="2"/>
  <c r="J32" i="2" s="1"/>
  <c r="AA33" i="2"/>
  <c r="I40" i="2"/>
  <c r="I42" i="2" s="1"/>
  <c r="BF40" i="2"/>
  <c r="W44" i="2"/>
  <c r="AU45" i="2"/>
  <c r="AV45" i="2" s="1"/>
  <c r="J70" i="2"/>
  <c r="AS82" i="2"/>
  <c r="BE42" i="2"/>
  <c r="Q44" i="2"/>
  <c r="R44" i="2" s="1"/>
  <c r="F45" i="2"/>
  <c r="AP44" i="2"/>
  <c r="E68" i="2"/>
  <c r="AZ70" i="2"/>
  <c r="BA70" i="2" s="1"/>
  <c r="H33" i="2"/>
  <c r="J31" i="2"/>
  <c r="K31" i="2" s="1"/>
  <c r="C61" i="2"/>
  <c r="AM83" i="2"/>
  <c r="AM82" i="2" s="1"/>
  <c r="AN38" i="2"/>
  <c r="AR62" i="2"/>
  <c r="AY73" i="2"/>
  <c r="AS73" i="2"/>
  <c r="BD33" i="2"/>
  <c r="O61" i="2"/>
  <c r="Q39" i="2"/>
  <c r="V37" i="2"/>
  <c r="W37" i="2" s="1"/>
  <c r="T62" i="2"/>
  <c r="AS62" i="2"/>
  <c r="BB73" i="2"/>
  <c r="BG36" i="2"/>
  <c r="BH36" i="2" s="1"/>
  <c r="K69" i="2"/>
  <c r="BF68" i="2"/>
  <c r="BR68" i="2" s="1"/>
  <c r="BX68" i="2" s="1"/>
  <c r="CD68" i="2" s="1"/>
  <c r="AX85" i="2"/>
  <c r="AV84" i="2"/>
  <c r="Z62" i="2"/>
  <c r="P69" i="2"/>
  <c r="Q69" i="2" s="1"/>
  <c r="CB68" i="2"/>
  <c r="AX73" i="2"/>
  <c r="AX79" i="2"/>
  <c r="BF73" i="2"/>
  <c r="C75" i="2"/>
  <c r="D69" i="2"/>
  <c r="BA68" i="2"/>
  <c r="BB68" i="2" s="1"/>
  <c r="AZ73" i="2"/>
  <c r="BF70" i="2"/>
  <c r="AG77" i="2"/>
  <c r="AS79" i="2"/>
  <c r="R68" i="2"/>
  <c r="CB72" i="2"/>
  <c r="BD73" i="2"/>
  <c r="AD84" i="2"/>
  <c r="AD85" i="2" s="1"/>
  <c r="AJ84" i="2"/>
  <c r="BT84" i="2"/>
  <c r="BV84" i="2"/>
  <c r="BV82" i="2" s="1"/>
  <c r="AP84" i="2"/>
  <c r="AM33" i="2" l="1"/>
  <c r="AU31" i="2"/>
  <c r="AV31" i="2" s="1"/>
  <c r="AT33" i="2"/>
  <c r="AY33" i="2"/>
  <c r="AY47" i="2" s="1"/>
  <c r="F39" i="2"/>
  <c r="F61" i="2" s="1"/>
  <c r="AS33" i="2"/>
  <c r="AS47" i="2" s="1"/>
  <c r="AV76" i="2"/>
  <c r="BG69" i="2"/>
  <c r="BG79" i="2" s="1"/>
  <c r="BE79" i="2"/>
  <c r="D33" i="2"/>
  <c r="E31" i="2"/>
  <c r="F31" i="2" s="1"/>
  <c r="P79" i="2"/>
  <c r="C33" i="2"/>
  <c r="AV69" i="2"/>
  <c r="AV75" i="2" s="1"/>
  <c r="AT71" i="2"/>
  <c r="AU67" i="2" s="1"/>
  <c r="AU71" i="2" s="1"/>
  <c r="D76" i="2"/>
  <c r="P77" i="2"/>
  <c r="E70" i="2"/>
  <c r="F70" i="2" s="1"/>
  <c r="F76" i="2" s="1"/>
  <c r="AU38" i="2"/>
  <c r="AU83" i="2" s="1"/>
  <c r="AU82" i="2" s="1"/>
  <c r="BG38" i="2"/>
  <c r="BG83" i="2" s="1"/>
  <c r="BG82" i="2" s="1"/>
  <c r="W38" i="2"/>
  <c r="W83" i="2" s="1"/>
  <c r="W82" i="2" s="1"/>
  <c r="AV79" i="2"/>
  <c r="D71" i="2"/>
  <c r="E67" i="2" s="1"/>
  <c r="AV39" i="2"/>
  <c r="AV61" i="2" s="1"/>
  <c r="BN82" i="2"/>
  <c r="AO25" i="2"/>
  <c r="AO53" i="2" s="1"/>
  <c r="AO54" i="2" s="1"/>
  <c r="AO55" i="2" s="1"/>
  <c r="BH32" i="2"/>
  <c r="X9" i="2"/>
  <c r="AP85" i="2"/>
  <c r="L37" i="2"/>
  <c r="BF62" i="2"/>
  <c r="BX38" i="2"/>
  <c r="BX83" i="2" s="1"/>
  <c r="BX82" i="2" s="1"/>
  <c r="D42" i="2"/>
  <c r="BR38" i="2"/>
  <c r="BR83" i="2" s="1"/>
  <c r="BR82" i="2" s="1"/>
  <c r="BB30" i="2"/>
  <c r="E38" i="2"/>
  <c r="E83" i="2" s="1"/>
  <c r="E82" i="2" s="1"/>
  <c r="R13" i="2"/>
  <c r="AV9" i="2"/>
  <c r="J18" i="2"/>
  <c r="AT42" i="2"/>
  <c r="AJ85" i="2"/>
  <c r="BE47" i="2"/>
  <c r="W11" i="2"/>
  <c r="Q11" i="2"/>
  <c r="Q98" i="2" s="1"/>
  <c r="D11" i="2"/>
  <c r="D98" i="2" s="1"/>
  <c r="D99" i="2" s="1"/>
  <c r="K68" i="2"/>
  <c r="Q77" i="2" s="1"/>
  <c r="BA39" i="2"/>
  <c r="BA61" i="2" s="1"/>
  <c r="BA62" i="2" s="1"/>
  <c r="AX47" i="2"/>
  <c r="BA83" i="2"/>
  <c r="BA82" i="2" s="1"/>
  <c r="BB38" i="2"/>
  <c r="BB83" i="2" s="1"/>
  <c r="BB82" i="2" s="1"/>
  <c r="Q79" i="2"/>
  <c r="R36" i="2"/>
  <c r="R79" i="2" s="1"/>
  <c r="K32" i="2"/>
  <c r="L32" i="2" s="1"/>
  <c r="E29" i="2"/>
  <c r="F29" i="2" s="1"/>
  <c r="BB41" i="2"/>
  <c r="K18" i="2"/>
  <c r="X36" i="2"/>
  <c r="X79" i="2" s="1"/>
  <c r="AJ21" i="2"/>
  <c r="F15" i="2"/>
  <c r="AN33" i="2"/>
  <c r="W68" i="2"/>
  <c r="X68" i="2" s="1"/>
  <c r="X77" i="2" s="1"/>
  <c r="AZ18" i="2"/>
  <c r="AZ25" i="2" s="1"/>
  <c r="AZ53" i="2" s="1"/>
  <c r="AS54" i="2"/>
  <c r="AS55" i="2" s="1"/>
  <c r="BE54" i="2"/>
  <c r="BE55" i="2" s="1"/>
  <c r="BH39" i="2"/>
  <c r="E36" i="2"/>
  <c r="E79" i="2" s="1"/>
  <c r="W69" i="2"/>
  <c r="X69" i="2" s="1"/>
  <c r="AP10" i="2"/>
  <c r="BB70" i="2"/>
  <c r="W39" i="2"/>
  <c r="W61" i="2" s="1"/>
  <c r="AC62" i="2" s="1"/>
  <c r="W32" i="2"/>
  <c r="W33" i="2" s="1"/>
  <c r="AX54" i="2"/>
  <c r="AX55" i="2" s="1"/>
  <c r="Q31" i="2"/>
  <c r="R31" i="2" s="1"/>
  <c r="AR54" i="2"/>
  <c r="AR55" i="2" s="1"/>
  <c r="AM54" i="2"/>
  <c r="AM55" i="2" s="1"/>
  <c r="AL54" i="2"/>
  <c r="AL55" i="2" s="1"/>
  <c r="BA31" i="2"/>
  <c r="BB31" i="2" s="1"/>
  <c r="K14" i="2"/>
  <c r="L14" i="2" s="1"/>
  <c r="AY54" i="2"/>
  <c r="AY55" i="2" s="1"/>
  <c r="BD54" i="2"/>
  <c r="BD55" i="2" s="1"/>
  <c r="AJ72" i="2"/>
  <c r="AJ73" i="2" s="1"/>
  <c r="AH79" i="2"/>
  <c r="AN72" i="2"/>
  <c r="AP72" i="2" s="1"/>
  <c r="AU41" i="2"/>
  <c r="BA37" i="2"/>
  <c r="BB37" i="2" s="1"/>
  <c r="AP36" i="2"/>
  <c r="AJ30" i="2"/>
  <c r="X22" i="2"/>
  <c r="BH16" i="2"/>
  <c r="BD47" i="2"/>
  <c r="AM47" i="2"/>
  <c r="K62" i="2"/>
  <c r="AV20" i="2"/>
  <c r="BB77" i="2"/>
  <c r="BG18" i="2"/>
  <c r="BG25" i="2" s="1"/>
  <c r="AV77" i="2"/>
  <c r="AN83" i="2"/>
  <c r="AN82" i="2" s="1"/>
  <c r="AO38" i="2"/>
  <c r="AP38" i="2" s="1"/>
  <c r="AN42" i="2"/>
  <c r="L79" i="2"/>
  <c r="P33" i="2"/>
  <c r="F68" i="2"/>
  <c r="AN61" i="2"/>
  <c r="AO39" i="2"/>
  <c r="AG25" i="2"/>
  <c r="AG53" i="2" s="1"/>
  <c r="AG54" i="2" s="1"/>
  <c r="AG55" i="2" s="1"/>
  <c r="AU32" i="2"/>
  <c r="AU33" i="2" s="1"/>
  <c r="AH33" i="2"/>
  <c r="AI28" i="2"/>
  <c r="AI33" i="2" s="1"/>
  <c r="D18" i="2"/>
  <c r="F22" i="2"/>
  <c r="F9" i="2"/>
  <c r="BZ84" i="2"/>
  <c r="CB84" i="2"/>
  <c r="CF84" i="2" s="1"/>
  <c r="AL47" i="2"/>
  <c r="X37" i="2"/>
  <c r="K70" i="2"/>
  <c r="BF33" i="2"/>
  <c r="J98" i="2"/>
  <c r="J99" i="2" s="1"/>
  <c r="K11" i="2"/>
  <c r="K98" i="2" s="1"/>
  <c r="AN18" i="2"/>
  <c r="AN25" i="2" s="1"/>
  <c r="AN53" i="2" s="1"/>
  <c r="AZ83" i="2"/>
  <c r="AZ82" i="2" s="1"/>
  <c r="AZ42" i="2"/>
  <c r="E44" i="2"/>
  <c r="F44" i="2" s="1"/>
  <c r="Q38" i="2"/>
  <c r="Q83" i="2" s="1"/>
  <c r="Q82" i="2" s="1"/>
  <c r="AP21" i="2"/>
  <c r="AP18" i="2" s="1"/>
  <c r="AJ8" i="2"/>
  <c r="AV15" i="2"/>
  <c r="BA19" i="2"/>
  <c r="BA18" i="2" s="1"/>
  <c r="BA25" i="2" s="1"/>
  <c r="BA53" i="2" s="1"/>
  <c r="R20" i="2"/>
  <c r="X28" i="2"/>
  <c r="BT85" i="2"/>
  <c r="BT82" i="2"/>
  <c r="BG70" i="2"/>
  <c r="BH70" i="2" s="1"/>
  <c r="R69" i="2"/>
  <c r="L69" i="2"/>
  <c r="Q61" i="2"/>
  <c r="R39" i="2"/>
  <c r="R61" i="2" s="1"/>
  <c r="BR61" i="2"/>
  <c r="BG40" i="2"/>
  <c r="BH40" i="2" s="1"/>
  <c r="BG28" i="2"/>
  <c r="BG33" i="2" s="1"/>
  <c r="CD38" i="2"/>
  <c r="V62" i="2"/>
  <c r="AB62" i="2"/>
  <c r="J83" i="2"/>
  <c r="J82" i="2" s="1"/>
  <c r="K38" i="2"/>
  <c r="I33" i="2"/>
  <c r="AH83" i="2"/>
  <c r="AH82" i="2" s="1"/>
  <c r="AI38" i="2"/>
  <c r="AI83" i="2" s="1"/>
  <c r="AI82" i="2" s="1"/>
  <c r="E20" i="2"/>
  <c r="E18" i="2" s="1"/>
  <c r="F28" i="2"/>
  <c r="E40" i="2"/>
  <c r="W20" i="2"/>
  <c r="X20" i="2" s="1"/>
  <c r="L23" i="2"/>
  <c r="AV85" i="2"/>
  <c r="BB85" i="2"/>
  <c r="L16" i="2"/>
  <c r="O62" i="2"/>
  <c r="V18" i="2"/>
  <c r="AH42" i="2"/>
  <c r="AI36" i="2"/>
  <c r="Q28" i="2"/>
  <c r="R28" i="2" s="1"/>
  <c r="BB14" i="2"/>
  <c r="P42" i="2"/>
  <c r="BF42" i="2"/>
  <c r="CC61" i="2"/>
  <c r="AF47" i="2"/>
  <c r="R37" i="2"/>
  <c r="V79" i="2"/>
  <c r="V42" i="2"/>
  <c r="BB32" i="2"/>
  <c r="Q21" i="2"/>
  <c r="R21" i="2" s="1"/>
  <c r="AP31" i="2"/>
  <c r="AP33" i="2" s="1"/>
  <c r="J33" i="2"/>
  <c r="BP61" i="2"/>
  <c r="BH24" i="2"/>
  <c r="D75" i="2"/>
  <c r="E69" i="2"/>
  <c r="BQ68" i="2"/>
  <c r="BG68" i="2"/>
  <c r="BS61" i="2"/>
  <c r="X44" i="2"/>
  <c r="BA69" i="2"/>
  <c r="U62" i="2"/>
  <c r="AA62" i="2"/>
  <c r="Q29" i="2"/>
  <c r="R29" i="2" s="1"/>
  <c r="W19" i="2"/>
  <c r="J61" i="2"/>
  <c r="L39" i="2"/>
  <c r="L61" i="2" s="1"/>
  <c r="I62" i="2"/>
  <c r="BF18" i="2"/>
  <c r="BF25" i="2" s="1"/>
  <c r="BF53" i="2" s="1"/>
  <c r="BH20" i="2"/>
  <c r="O33" i="2"/>
  <c r="BB28" i="2"/>
  <c r="AV36" i="2"/>
  <c r="AO33" i="2"/>
  <c r="AU24" i="2"/>
  <c r="AU18" i="2" s="1"/>
  <c r="AB68" i="2"/>
  <c r="V77" i="2"/>
  <c r="L31" i="2"/>
  <c r="AR47" i="2"/>
  <c r="J40" i="2"/>
  <c r="K40" i="2" s="1"/>
  <c r="AZ33" i="2"/>
  <c r="R24" i="2"/>
  <c r="K79" i="2"/>
  <c r="AD82" i="2"/>
  <c r="AT18" i="2"/>
  <c r="AT25" i="2" s="1"/>
  <c r="AT53" i="2" s="1"/>
  <c r="L19" i="2"/>
  <c r="AI19" i="2"/>
  <c r="AH18" i="2"/>
  <c r="AH25" i="2" s="1"/>
  <c r="AH53" i="2" s="1"/>
  <c r="AH54" i="2" s="1"/>
  <c r="AH55" i="2" s="1"/>
  <c r="W79" i="2"/>
  <c r="F37" i="2"/>
  <c r="R30" i="2"/>
  <c r="P18" i="2"/>
  <c r="V33" i="2"/>
  <c r="AV71" i="2" l="1"/>
  <c r="AX67" i="2" s="1"/>
  <c r="BB67" i="2" s="1"/>
  <c r="BA33" i="2"/>
  <c r="E75" i="2"/>
  <c r="BH69" i="2"/>
  <c r="E76" i="2"/>
  <c r="K33" i="2"/>
  <c r="BH79" i="2"/>
  <c r="AU42" i="2"/>
  <c r="AI42" i="2"/>
  <c r="X38" i="2"/>
  <c r="X83" i="2" s="1"/>
  <c r="X82" i="2" s="1"/>
  <c r="BH18" i="2"/>
  <c r="BH25" i="2" s="1"/>
  <c r="R38" i="2"/>
  <c r="R83" i="2" s="1"/>
  <c r="R82" i="2" s="1"/>
  <c r="BH38" i="2"/>
  <c r="BH83" i="2" s="1"/>
  <c r="BH82" i="2" s="1"/>
  <c r="AP25" i="2"/>
  <c r="AP53" i="2" s="1"/>
  <c r="AV38" i="2"/>
  <c r="AV83" i="2" s="1"/>
  <c r="AV82" i="2" s="1"/>
  <c r="AV32" i="2"/>
  <c r="AV33" i="2" s="1"/>
  <c r="W42" i="2"/>
  <c r="X39" i="2"/>
  <c r="X61" i="2" s="1"/>
  <c r="X62" i="2" s="1"/>
  <c r="R11" i="2"/>
  <c r="R98" i="2" s="1"/>
  <c r="BS38" i="2"/>
  <c r="BS83" i="2" s="1"/>
  <c r="BS82" i="2" s="1"/>
  <c r="W18" i="2"/>
  <c r="E33" i="2"/>
  <c r="BY38" i="2"/>
  <c r="BY83" i="2" s="1"/>
  <c r="BY82" i="2" s="1"/>
  <c r="E42" i="2"/>
  <c r="F36" i="2"/>
  <c r="F79" i="2" s="1"/>
  <c r="F38" i="2"/>
  <c r="F83" i="2" s="1"/>
  <c r="F82" i="2" s="1"/>
  <c r="F69" i="2"/>
  <c r="F75" i="2" s="1"/>
  <c r="F33" i="2"/>
  <c r="BA42" i="2"/>
  <c r="BA47" i="2" s="1"/>
  <c r="W77" i="2"/>
  <c r="K77" i="2"/>
  <c r="BB39" i="2"/>
  <c r="BB42" i="2" s="1"/>
  <c r="L18" i="2"/>
  <c r="AJ36" i="2"/>
  <c r="AC68" i="2"/>
  <c r="AI68" i="2" s="1"/>
  <c r="AO68" i="2" s="1"/>
  <c r="W98" i="2"/>
  <c r="X11" i="2"/>
  <c r="X98" i="2" s="1"/>
  <c r="BG62" i="2"/>
  <c r="L68" i="2"/>
  <c r="R77" i="2" s="1"/>
  <c r="E11" i="2"/>
  <c r="E98" i="2" s="1"/>
  <c r="W62" i="2"/>
  <c r="AG47" i="2"/>
  <c r="BB33" i="2"/>
  <c r="BF54" i="2"/>
  <c r="BF55" i="2" s="1"/>
  <c r="L33" i="2"/>
  <c r="Q18" i="2"/>
  <c r="Q42" i="2"/>
  <c r="AP73" i="2"/>
  <c r="AV73" i="2"/>
  <c r="AV41" i="2"/>
  <c r="AT54" i="2"/>
  <c r="AT55" i="2" s="1"/>
  <c r="X19" i="2"/>
  <c r="X18" i="2" s="1"/>
  <c r="BA54" i="2"/>
  <c r="BA55" i="2" s="1"/>
  <c r="AN54" i="2"/>
  <c r="AN55" i="2" s="1"/>
  <c r="AZ54" i="2"/>
  <c r="AZ55" i="2" s="1"/>
  <c r="X32" i="2"/>
  <c r="X33" i="2" s="1"/>
  <c r="CB82" i="2"/>
  <c r="BB19" i="2"/>
  <c r="BB18" i="2" s="1"/>
  <c r="BB25" i="2" s="1"/>
  <c r="L40" i="2"/>
  <c r="AJ28" i="2"/>
  <c r="AJ33" i="2" s="1"/>
  <c r="K83" i="2"/>
  <c r="K82" i="2" s="1"/>
  <c r="L38" i="2"/>
  <c r="F40" i="2"/>
  <c r="AV24" i="2"/>
  <c r="AV18" i="2" s="1"/>
  <c r="BG42" i="2"/>
  <c r="BG47" i="2" s="1"/>
  <c r="BA79" i="2"/>
  <c r="BB79" i="2" s="1"/>
  <c r="BB69" i="2"/>
  <c r="BW68" i="2"/>
  <c r="BF47" i="2"/>
  <c r="L11" i="2"/>
  <c r="L98" i="2" s="1"/>
  <c r="AT47" i="2"/>
  <c r="F20" i="2"/>
  <c r="F18" i="2" s="1"/>
  <c r="BH68" i="2"/>
  <c r="BH77" i="2" s="1"/>
  <c r="J62" i="2"/>
  <c r="P62" i="2"/>
  <c r="J42" i="2"/>
  <c r="Q33" i="2"/>
  <c r="CD83" i="2"/>
  <c r="CD82" i="2" s="1"/>
  <c r="CE38" i="2"/>
  <c r="CE83" i="2" s="1"/>
  <c r="CE82" i="2" s="1"/>
  <c r="BX61" i="2"/>
  <c r="R18" i="2"/>
  <c r="K42" i="2"/>
  <c r="AH68" i="2"/>
  <c r="BY61" i="2"/>
  <c r="BV61" i="2"/>
  <c r="AJ38" i="2"/>
  <c r="AJ83" i="2" s="1"/>
  <c r="AJ82" i="2" s="1"/>
  <c r="R62" i="2"/>
  <c r="AZ47" i="2"/>
  <c r="BH28" i="2"/>
  <c r="BH33" i="2" s="1"/>
  <c r="CF85" i="2"/>
  <c r="CF82" i="2"/>
  <c r="AO61" i="2"/>
  <c r="AP39" i="2"/>
  <c r="AP42" i="2" s="1"/>
  <c r="AN47" i="2"/>
  <c r="L70" i="2"/>
  <c r="AI18" i="2"/>
  <c r="AI25" i="2" s="1"/>
  <c r="AI53" i="2" s="1"/>
  <c r="AI54" i="2" s="1"/>
  <c r="AI55" i="2" s="1"/>
  <c r="AJ19" i="2"/>
  <c r="AJ18" i="2" s="1"/>
  <c r="AJ25" i="2" s="1"/>
  <c r="AP83" i="2"/>
  <c r="AP82" i="2" s="1"/>
  <c r="L62" i="2"/>
  <c r="R33" i="2"/>
  <c r="AH47" i="2"/>
  <c r="Q62" i="2"/>
  <c r="BZ85" i="2"/>
  <c r="BZ82" i="2"/>
  <c r="AN62" i="2"/>
  <c r="AT62" i="2"/>
  <c r="AO83" i="2"/>
  <c r="AO82" i="2" s="1"/>
  <c r="AO42" i="2"/>
  <c r="AO47" i="2" s="1"/>
  <c r="BG53" i="2"/>
  <c r="E71" i="2"/>
  <c r="AX71" i="2" l="1"/>
  <c r="AY67" i="2" s="1"/>
  <c r="AY71" i="2" s="1"/>
  <c r="AZ67" i="2" s="1"/>
  <c r="AZ71" i="2" s="1"/>
  <c r="BA67" i="2" s="1"/>
  <c r="BA71" i="2" s="1"/>
  <c r="AV42" i="2"/>
  <c r="R42" i="2"/>
  <c r="F42" i="2"/>
  <c r="BH42" i="2"/>
  <c r="BH47" i="2" s="1"/>
  <c r="AP47" i="2"/>
  <c r="L77" i="2"/>
  <c r="X42" i="2"/>
  <c r="F11" i="2"/>
  <c r="F98" i="2" s="1"/>
  <c r="F71" i="2"/>
  <c r="H67" i="2" s="1"/>
  <c r="H71" i="2" s="1"/>
  <c r="I67" i="2" s="1"/>
  <c r="AD68" i="2"/>
  <c r="AD77" i="2" s="1"/>
  <c r="BG54" i="2"/>
  <c r="BG55" i="2" s="1"/>
  <c r="BB75" i="2"/>
  <c r="CB61" i="2"/>
  <c r="AO62" i="2"/>
  <c r="AU62" i="2"/>
  <c r="AI47" i="2"/>
  <c r="AJ42" i="2"/>
  <c r="AJ47" i="2" s="1"/>
  <c r="BB53" i="2"/>
  <c r="BB47" i="2"/>
  <c r="CE61" i="2"/>
  <c r="AJ53" i="2"/>
  <c r="CD61" i="2"/>
  <c r="BS68" i="2"/>
  <c r="BN77" i="2"/>
  <c r="BB71" i="2"/>
  <c r="BD67" i="2" s="1"/>
  <c r="BB76" i="2"/>
  <c r="BH53" i="2"/>
  <c r="L83" i="2"/>
  <c r="L82" i="2" s="1"/>
  <c r="L42" i="2"/>
  <c r="AN68" i="2"/>
  <c r="AJ68" i="2"/>
  <c r="CC68" i="2"/>
  <c r="H76" i="2" l="1"/>
  <c r="H75" i="2"/>
  <c r="L67" i="2"/>
  <c r="L71" i="2" s="1"/>
  <c r="N67" i="2" s="1"/>
  <c r="BY68" i="2"/>
  <c r="BT68" i="2"/>
  <c r="BT77" i="2" s="1"/>
  <c r="L76" i="2"/>
  <c r="I75" i="2"/>
  <c r="I71" i="2"/>
  <c r="J67" i="2" s="1"/>
  <c r="I76" i="2"/>
  <c r="BD71" i="2"/>
  <c r="BE67" i="2" s="1"/>
  <c r="BE71" i="2" s="1"/>
  <c r="BF67" i="2" s="1"/>
  <c r="BF71" i="2" s="1"/>
  <c r="BG67" i="2" s="1"/>
  <c r="BG71" i="2" s="1"/>
  <c r="BH67" i="2"/>
  <c r="AP77" i="2"/>
  <c r="AJ77" i="2"/>
  <c r="L75" i="2" l="1"/>
  <c r="CE68" i="2"/>
  <c r="CF68" i="2" s="1"/>
  <c r="BZ68" i="2"/>
  <c r="BZ77" i="2" s="1"/>
  <c r="N75" i="2"/>
  <c r="N71" i="2"/>
  <c r="O67" i="2" s="1"/>
  <c r="N76" i="2"/>
  <c r="R67" i="2"/>
  <c r="J71" i="2"/>
  <c r="K67" i="2" s="1"/>
  <c r="J75" i="2"/>
  <c r="J76" i="2"/>
  <c r="BH71" i="2"/>
  <c r="BJ67" i="2" s="1"/>
  <c r="BJ71" i="2" s="1"/>
  <c r="BH76" i="2"/>
  <c r="BH75" i="2"/>
  <c r="K71" i="2" l="1"/>
  <c r="K75" i="2"/>
  <c r="K76" i="2"/>
  <c r="R71" i="2"/>
  <c r="T67" i="2" s="1"/>
  <c r="R76" i="2"/>
  <c r="R75" i="2"/>
  <c r="CF77" i="2"/>
  <c r="O71" i="2"/>
  <c r="P67" i="2" s="1"/>
  <c r="O75" i="2"/>
  <c r="O76" i="2"/>
  <c r="BN67" i="2"/>
  <c r="BN71" i="2" s="1"/>
  <c r="T76" i="2" l="1"/>
  <c r="T71" i="2"/>
  <c r="U67" i="2" s="1"/>
  <c r="T75" i="2"/>
  <c r="X67" i="2"/>
  <c r="P71" i="2"/>
  <c r="Q67" i="2" s="1"/>
  <c r="P76" i="2"/>
  <c r="P75" i="2"/>
  <c r="BK67" i="2"/>
  <c r="X71" i="2" l="1"/>
  <c r="Z67" i="2" s="1"/>
  <c r="X75" i="2"/>
  <c r="X76" i="2"/>
  <c r="U71" i="2"/>
  <c r="V67" i="2" s="1"/>
  <c r="U76" i="2"/>
  <c r="U75" i="2"/>
  <c r="Q71" i="2"/>
  <c r="Q76" i="2"/>
  <c r="Q75" i="2"/>
  <c r="BK71" i="2" l="1"/>
  <c r="BL67" i="2" s="1"/>
  <c r="BL71" i="2" s="1"/>
  <c r="Z76" i="2"/>
  <c r="AD67" i="2"/>
  <c r="Z71" i="2"/>
  <c r="AA67" i="2" s="1"/>
  <c r="Z75" i="2"/>
  <c r="V71" i="2"/>
  <c r="W67" i="2" s="1"/>
  <c r="V76" i="2"/>
  <c r="V75" i="2"/>
  <c r="W71" i="2" l="1"/>
  <c r="W75" i="2"/>
  <c r="W76" i="2"/>
  <c r="AA71" i="2"/>
  <c r="AB67" i="2" s="1"/>
  <c r="AA75" i="2"/>
  <c r="AA76" i="2"/>
  <c r="AB70" i="2" l="1"/>
  <c r="BM67" i="2"/>
  <c r="BM71" i="2" s="1"/>
  <c r="BN76" i="2" l="1"/>
  <c r="AB71" i="2"/>
  <c r="AC67" i="2" s="1"/>
  <c r="BM79" i="2" l="1"/>
  <c r="BN75" i="2"/>
  <c r="AC69" i="2"/>
  <c r="AC70" i="2"/>
  <c r="AD70" i="2" s="1"/>
  <c r="AD76" i="2" s="1"/>
  <c r="AC79" i="2" l="1"/>
  <c r="AD69" i="2"/>
  <c r="AC71" i="2"/>
  <c r="BP67" i="2"/>
  <c r="BN36" i="2" l="1"/>
  <c r="BT67" i="2"/>
  <c r="BP70" i="2"/>
  <c r="BP69" i="2"/>
  <c r="AD75" i="2"/>
  <c r="AD79" i="2"/>
  <c r="AD71" i="2"/>
  <c r="AF67" i="2" s="1"/>
  <c r="BP71" i="2" l="1"/>
  <c r="BQ67" i="2" s="1"/>
  <c r="BQ69" i="2" s="1"/>
  <c r="BP79" i="2"/>
  <c r="AF71" i="2"/>
  <c r="AG67" i="2" s="1"/>
  <c r="AJ67" i="2"/>
  <c r="AF76" i="2"/>
  <c r="AF75" i="2"/>
  <c r="BQ70" i="2" l="1"/>
  <c r="BQ71" i="2" s="1"/>
  <c r="BR67" i="2" s="1"/>
  <c r="BP36" i="2"/>
  <c r="AG71" i="2"/>
  <c r="AH67" i="2" s="1"/>
  <c r="AG76" i="2"/>
  <c r="AG75" i="2"/>
  <c r="BR69" i="2" l="1"/>
  <c r="BR79" i="2" s="1"/>
  <c r="BR70" i="2"/>
  <c r="AH70" i="2"/>
  <c r="BR71" i="2" l="1"/>
  <c r="BS67" i="2" s="1"/>
  <c r="BS70" i="2" s="1"/>
  <c r="BT70" i="2" s="1"/>
  <c r="BT76" i="2" s="1"/>
  <c r="BR36" i="2"/>
  <c r="AH71" i="2"/>
  <c r="AI67" i="2" s="1"/>
  <c r="BS69" i="2" l="1"/>
  <c r="BS79" i="2" s="1"/>
  <c r="AI69" i="2"/>
  <c r="AI70" i="2"/>
  <c r="AJ70" i="2" s="1"/>
  <c r="AJ76" i="2" s="1"/>
  <c r="BS71" i="2" l="1"/>
  <c r="BT69" i="2"/>
  <c r="BT75" i="2" s="1"/>
  <c r="BS36" i="2"/>
  <c r="AI79" i="2"/>
  <c r="AJ79" i="2" s="1"/>
  <c r="AJ69" i="2"/>
  <c r="AI71" i="2"/>
  <c r="BT71" i="2" l="1"/>
  <c r="BV67" i="2" s="1"/>
  <c r="BV70" i="2" s="1"/>
  <c r="AJ75" i="2"/>
  <c r="AJ71" i="2"/>
  <c r="AL67" i="2" s="1"/>
  <c r="BV69" i="2" l="1"/>
  <c r="BV79" i="2" s="1"/>
  <c r="BZ67" i="2"/>
  <c r="AL70" i="2"/>
  <c r="AL69" i="2"/>
  <c r="AP67" i="2"/>
  <c r="BV71" i="2" l="1"/>
  <c r="BW67" i="2" s="1"/>
  <c r="BW70" i="2" s="1"/>
  <c r="AL71" i="2"/>
  <c r="AM67" i="2" s="1"/>
  <c r="AM70" i="2" s="1"/>
  <c r="BW69" i="2"/>
  <c r="BW71" i="2" s="1"/>
  <c r="BX67" i="2" s="1"/>
  <c r="BV36" i="2"/>
  <c r="AL79" i="2"/>
  <c r="AM69" i="2" l="1"/>
  <c r="AM79" i="2" s="1"/>
  <c r="BX69" i="2"/>
  <c r="BX70" i="2"/>
  <c r="AM71" i="2" l="1"/>
  <c r="AN67" i="2" s="1"/>
  <c r="AN70" i="2" s="1"/>
  <c r="BX79" i="2"/>
  <c r="BX71" i="2"/>
  <c r="BY67" i="2" s="1"/>
  <c r="AN69" i="2" l="1"/>
  <c r="AN71" i="2" s="1"/>
  <c r="AO67" i="2" s="1"/>
  <c r="BY69" i="2"/>
  <c r="BY70" i="2"/>
  <c r="BZ70" i="2" s="1"/>
  <c r="BZ76" i="2" s="1"/>
  <c r="BX36" i="2"/>
  <c r="AN79" i="2" l="1"/>
  <c r="BY79" i="2"/>
  <c r="BZ69" i="2"/>
  <c r="BY71" i="2"/>
  <c r="AO69" i="2"/>
  <c r="AO70" i="2"/>
  <c r="AP70" i="2" s="1"/>
  <c r="AP76" i="2" s="1"/>
  <c r="AO71" i="2" l="1"/>
  <c r="BZ75" i="2"/>
  <c r="BZ71" i="2"/>
  <c r="CB67" i="2" s="1"/>
  <c r="BY36" i="2"/>
  <c r="AO79" i="2"/>
  <c r="AP79" i="2" s="1"/>
  <c r="AP69" i="2"/>
  <c r="AP75" i="2" l="1"/>
  <c r="AP71" i="2"/>
  <c r="CB70" i="2"/>
  <c r="CF67" i="2"/>
  <c r="CB69" i="2"/>
  <c r="CB79" i="2" l="1"/>
  <c r="CB71" i="2"/>
  <c r="CC67" i="2" s="1"/>
  <c r="CB36" i="2" l="1"/>
  <c r="CC69" i="2"/>
  <c r="CC70" i="2"/>
  <c r="CC71" i="2" l="1"/>
  <c r="CD67" i="2" s="1"/>
  <c r="CD69" i="2" s="1"/>
  <c r="CD79" i="2" s="1"/>
  <c r="CD36" i="2" s="1"/>
  <c r="CD70" i="2" l="1"/>
  <c r="CD71" i="2" s="1"/>
  <c r="CE67" i="2" s="1"/>
  <c r="CE69" i="2" l="1"/>
  <c r="CE70" i="2"/>
  <c r="CF70" i="2" s="1"/>
  <c r="CF76" i="2" s="1"/>
  <c r="CE79" i="2" l="1"/>
  <c r="CF69" i="2"/>
  <c r="CE71" i="2"/>
  <c r="CF75" i="2" l="1"/>
  <c r="CF71" i="2"/>
  <c r="CE36" i="2"/>
  <c r="BK15" i="3" l="1"/>
  <c r="BK148" i="47" s="1"/>
  <c r="BK14" i="3"/>
  <c r="BK152" i="47"/>
  <c r="BK149" i="47"/>
  <c r="BK150" i="47" s="1"/>
  <c r="BQ66" i="3" l="1"/>
  <c r="BK153" i="47"/>
  <c r="BK151" i="47"/>
  <c r="BW73" i="47"/>
  <c r="BZ44" i="4"/>
  <c r="CF44" i="4" s="1"/>
  <c r="BY44" i="4"/>
  <c r="CE44" i="4" s="1"/>
  <c r="BX44" i="4"/>
  <c r="CD44" i="4" s="1"/>
  <c r="BU45" i="47" l="1"/>
  <c r="CC73" i="47"/>
  <c r="BK154" i="47"/>
  <c r="BK159" i="47"/>
  <c r="BK160" i="47" s="1"/>
  <c r="BK155" i="47"/>
  <c r="BK92" i="4"/>
  <c r="BK75" i="4"/>
  <c r="BO75" i="4" s="1"/>
  <c r="BK95" i="4"/>
  <c r="BQ96" i="4" s="1"/>
  <c r="BQ97" i="4" s="1"/>
  <c r="BK31" i="4"/>
  <c r="BK136" i="47"/>
  <c r="BK60" i="47"/>
  <c r="BK58" i="47"/>
  <c r="BK57" i="47"/>
  <c r="BK55" i="47"/>
  <c r="BK54" i="47"/>
  <c r="BK48" i="47"/>
  <c r="BK22" i="47"/>
  <c r="BK17" i="47"/>
  <c r="BK14" i="47"/>
  <c r="BK11" i="47"/>
  <c r="BK34" i="47"/>
  <c r="BK32" i="47"/>
  <c r="BK31" i="47"/>
  <c r="BK44" i="4"/>
  <c r="BQ46" i="4" s="1"/>
  <c r="BQ45" i="4" s="1"/>
  <c r="BK54" i="4"/>
  <c r="BQ55" i="4" s="1"/>
  <c r="BQ56" i="4" s="1"/>
  <c r="BK10" i="3"/>
  <c r="BK78" i="3"/>
  <c r="BK53" i="3"/>
  <c r="BK46" i="3"/>
  <c r="BK40" i="3"/>
  <c r="BK31" i="3"/>
  <c r="BK47" i="3"/>
  <c r="BO92" i="4" l="1"/>
  <c r="BQ93" i="4"/>
  <c r="BK81" i="4"/>
  <c r="BK86" i="4"/>
  <c r="BK87" i="4" s="1"/>
  <c r="BL51" i="47"/>
  <c r="BO136" i="47"/>
  <c r="BO138" i="47" s="1"/>
  <c r="BK143" i="47"/>
  <c r="BL25" i="47"/>
  <c r="BK146" i="1"/>
  <c r="CA45" i="47"/>
  <c r="BK59" i="47"/>
  <c r="BK86" i="47"/>
  <c r="BK156" i="47" s="1"/>
  <c r="BK183" i="47"/>
  <c r="BK181" i="47" s="1"/>
  <c r="BK56" i="47"/>
  <c r="BK61" i="47"/>
  <c r="BK46" i="4"/>
  <c r="BW44" i="4"/>
  <c r="BK16" i="3"/>
  <c r="BK13" i="3" s="1"/>
  <c r="BK138" i="47"/>
  <c r="BK39" i="4"/>
  <c r="BQ41" i="4" l="1"/>
  <c r="BK109" i="47"/>
  <c r="BQ88" i="4"/>
  <c r="BQ40" i="4"/>
  <c r="BQ42" i="4" s="1"/>
  <c r="BO86" i="4"/>
  <c r="BO87" i="4" s="1"/>
  <c r="BO143" i="47"/>
  <c r="BO145" i="47" s="1"/>
  <c r="BK145" i="47"/>
  <c r="BK49" i="3"/>
  <c r="CC44" i="4"/>
  <c r="CG44" i="4" s="1"/>
  <c r="CA44" i="4"/>
  <c r="BR92" i="1" l="1"/>
  <c r="BS92" i="1" s="1"/>
  <c r="BT92" i="1" s="1"/>
  <c r="BI142" i="1" l="1"/>
  <c r="BH142" i="1"/>
  <c r="BH135" i="1"/>
  <c r="BH130" i="1"/>
  <c r="BI126" i="1"/>
  <c r="BH122" i="1"/>
  <c r="BH101" i="1"/>
  <c r="BH99" i="1"/>
  <c r="BH98" i="1"/>
  <c r="BH94" i="1"/>
  <c r="BH92" i="1"/>
  <c r="BH90" i="1"/>
  <c r="BH46" i="1"/>
  <c r="BH39" i="1"/>
  <c r="BH30" i="1"/>
  <c r="BH156" i="1" s="1"/>
  <c r="BH28" i="1"/>
  <c r="BH21" i="1"/>
  <c r="BH14" i="1"/>
  <c r="BH22" i="1" l="1"/>
  <c r="BH32" i="1"/>
  <c r="BH103" i="1"/>
  <c r="BH104" i="1" s="1"/>
  <c r="BH161" i="1"/>
  <c r="BH40" i="1"/>
  <c r="BH69" i="1" s="1"/>
  <c r="BH47" i="1"/>
  <c r="BH72" i="1"/>
  <c r="BH73" i="1"/>
  <c r="BH74" i="1"/>
  <c r="BH75" i="1"/>
  <c r="BH48" i="1" l="1"/>
  <c r="BH169" i="1"/>
  <c r="BH167" i="1"/>
  <c r="BH118" i="47"/>
  <c r="BH117" i="47"/>
  <c r="BH116" i="47"/>
  <c r="BH148" i="3"/>
  <c r="BI116" i="47" l="1"/>
  <c r="BO122" i="47" s="1"/>
  <c r="BN122" i="47"/>
  <c r="BI117" i="47"/>
  <c r="BO124" i="47" s="1"/>
  <c r="BN124" i="47"/>
  <c r="BI118" i="47"/>
  <c r="BO126" i="47" s="1"/>
  <c r="BN126" i="47"/>
  <c r="BI167" i="1"/>
  <c r="BI169" i="1"/>
  <c r="BH119" i="47"/>
  <c r="BH129" i="47" s="1"/>
  <c r="BH121" i="47" l="1"/>
  <c r="BH131" i="47"/>
  <c r="BH130" i="47"/>
  <c r="BH132" i="47" l="1"/>
  <c r="BI137" i="47"/>
  <c r="BH127" i="1" l="1"/>
  <c r="BH117" i="1" l="1"/>
  <c r="BI138" i="1" l="1"/>
  <c r="BH138" i="1"/>
  <c r="BH100" i="1"/>
  <c r="BH113" i="1"/>
  <c r="BI113" i="1" s="1"/>
  <c r="BH112" i="1" l="1"/>
  <c r="BI112" i="1" s="1"/>
  <c r="BG90" i="2"/>
  <c r="BG88" i="2"/>
  <c r="BG89" i="2"/>
  <c r="BH90" i="2"/>
  <c r="BH88" i="2"/>
  <c r="BH89" i="2"/>
  <c r="BH110" i="1"/>
  <c r="BH111" i="1" l="1"/>
  <c r="BO179" i="3" l="1"/>
  <c r="BO181" i="3"/>
  <c r="BH149" i="47"/>
  <c r="BH150" i="47" s="1"/>
  <c r="BH152" i="47"/>
  <c r="BO183" i="3" l="1"/>
  <c r="BH153" i="47"/>
  <c r="BE152" i="47" l="1"/>
  <c r="BF152" i="47"/>
  <c r="BG152" i="47"/>
  <c r="BH44" i="4"/>
  <c r="BG44" i="4"/>
  <c r="BM46" i="4" s="1"/>
  <c r="BM45" i="4" s="1"/>
  <c r="BX182" i="47"/>
  <c r="BY182" i="47" s="1"/>
  <c r="BZ182" i="47" s="1"/>
  <c r="CC182" i="47" s="1"/>
  <c r="CD182" i="47" s="1"/>
  <c r="CE182" i="47" s="1"/>
  <c r="CF182" i="47" s="1"/>
  <c r="BH95" i="4"/>
  <c r="BN96" i="4" s="1"/>
  <c r="BN97" i="4" s="1"/>
  <c r="BH92" i="4"/>
  <c r="BI85" i="4"/>
  <c r="BI29" i="4"/>
  <c r="BH93" i="4" l="1"/>
  <c r="BN93" i="4"/>
  <c r="BH39" i="4"/>
  <c r="BN46" i="4"/>
  <c r="BN45" i="4" s="1"/>
  <c r="BN40" i="4" s="1"/>
  <c r="BK157" i="47"/>
  <c r="BR168" i="47"/>
  <c r="BR167" i="47" s="1"/>
  <c r="BQ167" i="47"/>
  <c r="BK182" i="47" l="1"/>
  <c r="BQ158" i="47"/>
  <c r="BN41" i="4"/>
  <c r="BN42" i="4" s="1"/>
  <c r="BW167" i="47"/>
  <c r="BX167" i="47"/>
  <c r="CD167" i="47" l="1"/>
  <c r="CC167" i="47"/>
  <c r="BS167" i="47"/>
  <c r="BT167" i="47" s="1"/>
  <c r="BY167" i="47" l="1"/>
  <c r="BZ167" i="47" s="1"/>
  <c r="BZ168" i="47" s="1"/>
  <c r="BR111" i="1"/>
  <c r="BS111" i="1" s="1"/>
  <c r="BT111" i="1" s="1"/>
  <c r="BX111" i="1" s="1"/>
  <c r="BY111" i="1" s="1"/>
  <c r="BZ111" i="1" s="1"/>
  <c r="BH53" i="3"/>
  <c r="BH46" i="3"/>
  <c r="CE167" i="47" l="1"/>
  <c r="CF167" i="47" s="1"/>
  <c r="CF168" i="47" s="1"/>
  <c r="CD17" i="47"/>
  <c r="CE17" i="47" s="1"/>
  <c r="CC16" i="47"/>
  <c r="CD11" i="47"/>
  <c r="CD14" i="47"/>
  <c r="BX11" i="47"/>
  <c r="BY11" i="47" s="1"/>
  <c r="BZ11" i="47" s="1"/>
  <c r="BX14" i="47"/>
  <c r="BY14" i="47" l="1"/>
  <c r="BY73" i="47" s="1"/>
  <c r="BX73" i="47"/>
  <c r="CF17" i="47"/>
  <c r="CE11" i="47"/>
  <c r="CE14" i="47"/>
  <c r="CE73" i="47" s="1"/>
  <c r="CD73" i="47" l="1"/>
  <c r="BZ14" i="47"/>
  <c r="BZ73" i="47" s="1"/>
  <c r="CF11" i="47"/>
  <c r="CF14" i="47"/>
  <c r="CF73" i="47" l="1"/>
  <c r="BH75" i="4"/>
  <c r="BH54" i="4"/>
  <c r="BH142" i="47"/>
  <c r="BH143" i="47"/>
  <c r="BH144" i="47"/>
  <c r="BH138" i="47"/>
  <c r="BN139" i="47" s="1"/>
  <c r="BH10" i="3"/>
  <c r="BH16" i="3"/>
  <c r="BH15" i="3"/>
  <c r="BN55" i="4" l="1"/>
  <c r="BN56" i="4" s="1"/>
  <c r="BH146" i="1"/>
  <c r="BH148" i="47"/>
  <c r="BH151" i="47" s="1"/>
  <c r="BH48" i="3"/>
  <c r="BH49" i="3"/>
  <c r="BH145" i="47"/>
  <c r="BH86" i="4"/>
  <c r="BH87" i="4" s="1"/>
  <c r="BH81" i="4"/>
  <c r="BH109" i="47" l="1"/>
  <c r="BN110" i="47" s="1"/>
  <c r="BN88" i="4"/>
  <c r="BH154" i="47"/>
  <c r="BH159" i="47"/>
  <c r="BH160" i="47" s="1"/>
  <c r="BH155" i="47"/>
  <c r="BR16" i="47" l="1"/>
  <c r="BS16" i="47"/>
  <c r="BT16" i="47"/>
  <c r="BT10" i="47"/>
  <c r="BZ10" i="47" s="1"/>
  <c r="CF10" i="47" s="1"/>
  <c r="BR13" i="47"/>
  <c r="BT13" i="47"/>
  <c r="BR10" i="47"/>
  <c r="BX10" i="47" s="1"/>
  <c r="CD10" i="47" s="1"/>
  <c r="BW10" i="47"/>
  <c r="CC10" i="47" s="1"/>
  <c r="BS10" i="47"/>
  <c r="BY10" i="47" s="1"/>
  <c r="CE10" i="47" s="1"/>
  <c r="BS13" i="47"/>
  <c r="BR22" i="47" l="1"/>
  <c r="BQ22" i="47"/>
  <c r="BT22" i="47"/>
  <c r="BS22" i="47"/>
  <c r="BZ16" i="47"/>
  <c r="BY16" i="47"/>
  <c r="BX16" i="47"/>
  <c r="BY13" i="47"/>
  <c r="BW13" i="47"/>
  <c r="BW22" i="47" s="1"/>
  <c r="BZ13" i="47"/>
  <c r="BX13" i="47"/>
  <c r="BX22" i="47" l="1"/>
  <c r="BY22" i="47"/>
  <c r="BZ22" i="47"/>
  <c r="CF16" i="47"/>
  <c r="CE16" i="47"/>
  <c r="CD16" i="47"/>
  <c r="CD13" i="47"/>
  <c r="CF13" i="47"/>
  <c r="CC13" i="47"/>
  <c r="CC22" i="47" s="1"/>
  <c r="CE13" i="47"/>
  <c r="CE22" i="47" l="1"/>
  <c r="CF22" i="47"/>
  <c r="CD22" i="47"/>
  <c r="BE173" i="3"/>
  <c r="BB173" i="3"/>
  <c r="BA173" i="3"/>
  <c r="BO172" i="3"/>
  <c r="BI172" i="3"/>
  <c r="BG173" i="3"/>
  <c r="BW78" i="1" l="1"/>
  <c r="CC78" i="1" s="1"/>
  <c r="BR78" i="1"/>
  <c r="BS78" i="1" s="1"/>
  <c r="BT78" i="1" s="1"/>
  <c r="BZ78" i="1" s="1"/>
  <c r="CF78" i="1" s="1"/>
  <c r="L12" i="10"/>
  <c r="M12" i="10" s="1"/>
  <c r="N12" i="10" s="1"/>
  <c r="BY78" i="1" l="1"/>
  <c r="CE78" i="1" s="1"/>
  <c r="BX78" i="1"/>
  <c r="CD78" i="1" s="1"/>
  <c r="BG183" i="3" l="1"/>
  <c r="BG202" i="3"/>
  <c r="BG191" i="3" l="1"/>
  <c r="BG166" i="3" s="1"/>
  <c r="BG136" i="47"/>
  <c r="BG142" i="1" l="1"/>
  <c r="BG135" i="1"/>
  <c r="BH133" i="1" s="1"/>
  <c r="BH134" i="1" s="1"/>
  <c r="BG130" i="1"/>
  <c r="BH125" i="1" s="1"/>
  <c r="BG122" i="1"/>
  <c r="BG101" i="1"/>
  <c r="BG99" i="1"/>
  <c r="BG98" i="1"/>
  <c r="BG94" i="1"/>
  <c r="BG92" i="1"/>
  <c r="BG90" i="1"/>
  <c r="BG39" i="1"/>
  <c r="BG30" i="1"/>
  <c r="BG156" i="1" s="1"/>
  <c r="BG21" i="1"/>
  <c r="BG138" i="1"/>
  <c r="BG127" i="1"/>
  <c r="BG144" i="47"/>
  <c r="BG126" i="47"/>
  <c r="BG124" i="47"/>
  <c r="BM125" i="47" s="1"/>
  <c r="BG122" i="47"/>
  <c r="BM123" i="47" s="1"/>
  <c r="BG119" i="47"/>
  <c r="BF144" i="47"/>
  <c r="BF126" i="47"/>
  <c r="BF124" i="47"/>
  <c r="BL125" i="47" s="1"/>
  <c r="BF122" i="47"/>
  <c r="BL123" i="47" s="1"/>
  <c r="BF119" i="47"/>
  <c r="BF130" i="47" s="1"/>
  <c r="BG54" i="4"/>
  <c r="BG146" i="1" s="1"/>
  <c r="BG103" i="1" l="1"/>
  <c r="BG104" i="1" s="1"/>
  <c r="BG161" i="1"/>
  <c r="BM55" i="4"/>
  <c r="BF90" i="2"/>
  <c r="BF88" i="2"/>
  <c r="BF89" i="2"/>
  <c r="BH129" i="1"/>
  <c r="BH128" i="1"/>
  <c r="BG131" i="47"/>
  <c r="BG100" i="1"/>
  <c r="BG130" i="47"/>
  <c r="BG121" i="47"/>
  <c r="BG129" i="47"/>
  <c r="BF131" i="47"/>
  <c r="BF121" i="47"/>
  <c r="BF129" i="47"/>
  <c r="BF132" i="47" l="1"/>
  <c r="BH97" i="1"/>
  <c r="BH102" i="1" s="1"/>
  <c r="BG167" i="1"/>
  <c r="BH168" i="1" s="1"/>
  <c r="BG169" i="1"/>
  <c r="BM56" i="4"/>
  <c r="BG132" i="47"/>
  <c r="BH170" i="1" l="1"/>
  <c r="O9" i="10" l="1"/>
  <c r="F8" i="10"/>
  <c r="G8" i="10" s="1"/>
  <c r="H8" i="10" s="1"/>
  <c r="I8" i="10" s="1"/>
  <c r="J8" i="10" s="1"/>
  <c r="K8" i="10" s="1"/>
  <c r="L8" i="10" s="1"/>
  <c r="M8" i="10" s="1"/>
  <c r="N8" i="10" s="1"/>
  <c r="F7" i="10"/>
  <c r="G7" i="10" s="1"/>
  <c r="H7" i="10" s="1"/>
  <c r="I7" i="10" s="1"/>
  <c r="J7" i="10" s="1"/>
  <c r="K7" i="10" s="1"/>
  <c r="L7" i="10" s="1"/>
  <c r="M7" i="10" s="1"/>
  <c r="N7" i="10" s="1"/>
  <c r="J100" i="1"/>
  <c r="E100" i="1"/>
  <c r="CG138" i="1"/>
  <c r="AB138" i="1"/>
  <c r="AB110" i="1"/>
  <c r="AB111" i="1" s="1"/>
  <c r="BF110" i="1"/>
  <c r="BF111" i="1" s="1"/>
  <c r="AN138" i="1"/>
  <c r="AN110" i="1"/>
  <c r="AN111" i="1" s="1"/>
  <c r="J138" i="1"/>
  <c r="AB117" i="1"/>
  <c r="BG117" i="1"/>
  <c r="CG142" i="1"/>
  <c r="CF142" i="1"/>
  <c r="CE142" i="1"/>
  <c r="CD142" i="1"/>
  <c r="CC142" i="1"/>
  <c r="CA142" i="1"/>
  <c r="BZ142" i="1"/>
  <c r="BY142" i="1"/>
  <c r="BX142" i="1"/>
  <c r="BW142" i="1"/>
  <c r="BU142" i="1"/>
  <c r="BT142" i="1"/>
  <c r="BS142" i="1"/>
  <c r="BR142" i="1"/>
  <c r="BQ142" i="1"/>
  <c r="BO142" i="1"/>
  <c r="BN142" i="1"/>
  <c r="BF142" i="1"/>
  <c r="BE142" i="1"/>
  <c r="BC142" i="1"/>
  <c r="BB142" i="1"/>
  <c r="BA142" i="1"/>
  <c r="AZ142" i="1"/>
  <c r="AY142" i="1"/>
  <c r="AW142" i="1"/>
  <c r="AV142" i="1"/>
  <c r="AU142" i="1"/>
  <c r="AT142" i="1"/>
  <c r="AS142" i="1"/>
  <c r="AQ142" i="1"/>
  <c r="AP142" i="1"/>
  <c r="AO142" i="1"/>
  <c r="AN142" i="1"/>
  <c r="AM142" i="1"/>
  <c r="AK142" i="1"/>
  <c r="AJ142" i="1"/>
  <c r="AI142" i="1"/>
  <c r="AH142" i="1"/>
  <c r="AG142" i="1"/>
  <c r="AE142" i="1"/>
  <c r="AD142" i="1"/>
  <c r="AC142" i="1"/>
  <c r="AB142" i="1"/>
  <c r="AA142" i="1"/>
  <c r="Y142" i="1"/>
  <c r="X142" i="1"/>
  <c r="W142" i="1"/>
  <c r="V142" i="1"/>
  <c r="U142" i="1"/>
  <c r="S142" i="1"/>
  <c r="R142" i="1"/>
  <c r="Q142" i="1"/>
  <c r="P142" i="1"/>
  <c r="O142" i="1"/>
  <c r="M142" i="1"/>
  <c r="L142" i="1"/>
  <c r="K142" i="1"/>
  <c r="J142" i="1"/>
  <c r="I142" i="1"/>
  <c r="G142" i="1"/>
  <c r="F142" i="1"/>
  <c r="E142" i="1"/>
  <c r="D142" i="1"/>
  <c r="C142" i="1"/>
  <c r="CF138" i="1"/>
  <c r="CE138" i="1"/>
  <c r="CD138" i="1"/>
  <c r="CC138" i="1"/>
  <c r="CA138" i="1"/>
  <c r="BZ138" i="1"/>
  <c r="BY138" i="1"/>
  <c r="BX138" i="1"/>
  <c r="BW138" i="1"/>
  <c r="BT138" i="1"/>
  <c r="BS138" i="1"/>
  <c r="BR138" i="1"/>
  <c r="BQ138" i="1"/>
  <c r="BN138" i="1"/>
  <c r="BF138" i="1"/>
  <c r="BE138" i="1"/>
  <c r="AY138" i="1"/>
  <c r="AU138" i="1"/>
  <c r="AS138" i="1"/>
  <c r="AM138" i="1"/>
  <c r="AI138" i="1"/>
  <c r="AH138" i="1"/>
  <c r="AG138" i="1"/>
  <c r="AD138" i="1"/>
  <c r="AC138" i="1"/>
  <c r="AA138" i="1"/>
  <c r="V138" i="1"/>
  <c r="U138" i="1"/>
  <c r="O138" i="1"/>
  <c r="I138" i="1"/>
  <c r="C138" i="1"/>
  <c r="F135" i="1"/>
  <c r="E135" i="1"/>
  <c r="D135" i="1"/>
  <c r="C135" i="1"/>
  <c r="C134" i="1" s="1"/>
  <c r="BF135" i="1"/>
  <c r="BG133" i="1" s="1"/>
  <c r="BG134" i="1" s="1"/>
  <c r="BE135" i="1"/>
  <c r="BB135" i="1"/>
  <c r="BA135" i="1"/>
  <c r="AZ135" i="1"/>
  <c r="BA133" i="1" s="1"/>
  <c r="AY135" i="1"/>
  <c r="AZ133" i="1" s="1"/>
  <c r="AV135" i="1"/>
  <c r="AU135" i="1"/>
  <c r="AV133" i="1" s="1"/>
  <c r="AT135" i="1"/>
  <c r="AS135" i="1"/>
  <c r="AT133" i="1" s="1"/>
  <c r="AP135" i="1"/>
  <c r="AO135" i="1"/>
  <c r="AP133" i="1" s="1"/>
  <c r="AN135" i="1"/>
  <c r="AM135" i="1"/>
  <c r="AJ135" i="1"/>
  <c r="AI135" i="1"/>
  <c r="AJ133" i="1" s="1"/>
  <c r="AH135" i="1"/>
  <c r="AI133" i="1" s="1"/>
  <c r="AG135" i="1"/>
  <c r="AH133" i="1" s="1"/>
  <c r="AD135" i="1"/>
  <c r="AC135" i="1"/>
  <c r="AB135" i="1"/>
  <c r="AC133" i="1" s="1"/>
  <c r="AA135" i="1"/>
  <c r="AB133" i="1" s="1"/>
  <c r="X135" i="1"/>
  <c r="W135" i="1"/>
  <c r="V135" i="1"/>
  <c r="U135" i="1"/>
  <c r="V133" i="1" s="1"/>
  <c r="R135" i="1"/>
  <c r="Q135" i="1"/>
  <c r="R133" i="1" s="1"/>
  <c r="P135" i="1"/>
  <c r="O135" i="1"/>
  <c r="L135" i="1"/>
  <c r="K135" i="1"/>
  <c r="L133" i="1" s="1"/>
  <c r="J135" i="1"/>
  <c r="I135" i="1"/>
  <c r="J133" i="1" s="1"/>
  <c r="G133" i="1"/>
  <c r="BF130" i="1"/>
  <c r="BG125" i="1" s="1"/>
  <c r="BE130" i="1"/>
  <c r="CG129" i="1"/>
  <c r="CA129" i="1"/>
  <c r="BU129" i="1"/>
  <c r="BF127" i="1"/>
  <c r="BE127" i="1"/>
  <c r="BB130" i="1"/>
  <c r="BA130" i="1"/>
  <c r="BB125" i="1" s="1"/>
  <c r="AZ130" i="1"/>
  <c r="AY130" i="1"/>
  <c r="AZ125" i="1" s="1"/>
  <c r="AY127" i="1"/>
  <c r="AV130" i="1"/>
  <c r="AU130" i="1"/>
  <c r="AV125" i="1" s="1"/>
  <c r="AT130" i="1"/>
  <c r="AS130" i="1"/>
  <c r="AS127" i="1"/>
  <c r="AP130" i="1"/>
  <c r="AO130" i="1"/>
  <c r="AP125" i="1" s="1"/>
  <c r="AN130" i="1"/>
  <c r="AO125" i="1" s="1"/>
  <c r="AM130" i="1"/>
  <c r="AN125" i="1" s="1"/>
  <c r="AM127" i="1"/>
  <c r="AJ130" i="1"/>
  <c r="AI130" i="1"/>
  <c r="AH130" i="1"/>
  <c r="AG130" i="1"/>
  <c r="AG127" i="1"/>
  <c r="AD130" i="1"/>
  <c r="AC130" i="1"/>
  <c r="AD125" i="1" s="1"/>
  <c r="AB130" i="1"/>
  <c r="AA130" i="1"/>
  <c r="AB125" i="1" s="1"/>
  <c r="AD127" i="1"/>
  <c r="AC127" i="1"/>
  <c r="AA127" i="1"/>
  <c r="X130" i="1"/>
  <c r="W130" i="1"/>
  <c r="X125" i="1" s="1"/>
  <c r="V130" i="1"/>
  <c r="U130" i="1"/>
  <c r="V127" i="1"/>
  <c r="U127" i="1"/>
  <c r="R130" i="1"/>
  <c r="Q130" i="1"/>
  <c r="R125" i="1" s="1"/>
  <c r="P130" i="1"/>
  <c r="Q125" i="1" s="1"/>
  <c r="O130" i="1"/>
  <c r="P125" i="1" s="1"/>
  <c r="P127" i="1"/>
  <c r="O127" i="1"/>
  <c r="L130" i="1"/>
  <c r="K130" i="1"/>
  <c r="J130" i="1"/>
  <c r="I130" i="1"/>
  <c r="J127" i="1"/>
  <c r="I127" i="1"/>
  <c r="F130" i="1"/>
  <c r="E130" i="1"/>
  <c r="F125" i="1" s="1"/>
  <c r="D130" i="1"/>
  <c r="C130" i="1"/>
  <c r="D125" i="1" s="1"/>
  <c r="C127" i="1"/>
  <c r="BC126" i="1"/>
  <c r="AW126" i="1"/>
  <c r="AQ126" i="1"/>
  <c r="AK126" i="1"/>
  <c r="AE126" i="1"/>
  <c r="Y126" i="1"/>
  <c r="S126" i="1"/>
  <c r="M126" i="1"/>
  <c r="G126" i="1"/>
  <c r="G125" i="1"/>
  <c r="BF122" i="1"/>
  <c r="BE122" i="1"/>
  <c r="BB122" i="1"/>
  <c r="BA122" i="1"/>
  <c r="AZ122" i="1"/>
  <c r="AY122" i="1"/>
  <c r="AV122" i="1"/>
  <c r="AU122" i="1"/>
  <c r="AT122" i="1"/>
  <c r="AS122" i="1"/>
  <c r="AP122" i="1"/>
  <c r="AO122" i="1"/>
  <c r="AN122" i="1"/>
  <c r="AM122" i="1"/>
  <c r="AJ122" i="1"/>
  <c r="AI122" i="1"/>
  <c r="AH122" i="1"/>
  <c r="AG122" i="1"/>
  <c r="AD122" i="1"/>
  <c r="AC122" i="1"/>
  <c r="AB122" i="1"/>
  <c r="AA122" i="1"/>
  <c r="X122" i="1"/>
  <c r="W122" i="1"/>
  <c r="V122" i="1"/>
  <c r="U122" i="1"/>
  <c r="R122" i="1"/>
  <c r="Q122" i="1"/>
  <c r="P122" i="1"/>
  <c r="O122" i="1"/>
  <c r="L122" i="1"/>
  <c r="K122" i="1"/>
  <c r="J122" i="1"/>
  <c r="I122" i="1"/>
  <c r="F122" i="1"/>
  <c r="E122" i="1"/>
  <c r="D122" i="1"/>
  <c r="C122" i="1"/>
  <c r="G116" i="1"/>
  <c r="CG119" i="1"/>
  <c r="CA119" i="1"/>
  <c r="BU119" i="1"/>
  <c r="C117" i="1"/>
  <c r="C118" i="1" s="1"/>
  <c r="BE117" i="1"/>
  <c r="AY117" i="1"/>
  <c r="AS117" i="1"/>
  <c r="AM117" i="1"/>
  <c r="AG117" i="1"/>
  <c r="AD117" i="1"/>
  <c r="AC117" i="1"/>
  <c r="AA117" i="1"/>
  <c r="U117" i="1"/>
  <c r="O117" i="1"/>
  <c r="I117" i="1"/>
  <c r="Y112" i="1"/>
  <c r="S112" i="1"/>
  <c r="M112" i="1"/>
  <c r="G112" i="1"/>
  <c r="G109" i="1"/>
  <c r="AE113" i="1"/>
  <c r="AE112" i="1"/>
  <c r="CF113" i="1"/>
  <c r="CE113" i="1"/>
  <c r="CD113" i="1"/>
  <c r="CC113" i="1"/>
  <c r="BZ113" i="1"/>
  <c r="BY113" i="1"/>
  <c r="BX113" i="1"/>
  <c r="BW113" i="1"/>
  <c r="BT113" i="1"/>
  <c r="BS113" i="1"/>
  <c r="BR113" i="1"/>
  <c r="BQ113" i="1"/>
  <c r="C110" i="1"/>
  <c r="C114" i="1" s="1"/>
  <c r="BE110" i="1"/>
  <c r="AY110" i="1"/>
  <c r="AY111" i="1" s="1"/>
  <c r="AT110" i="1"/>
  <c r="AT111" i="1" s="1"/>
  <c r="AS110" i="1"/>
  <c r="AS111" i="1" s="1"/>
  <c r="AM110" i="1"/>
  <c r="AG110" i="1"/>
  <c r="AG111" i="1" s="1"/>
  <c r="AD110" i="1"/>
  <c r="AD111" i="1" s="1"/>
  <c r="AC110" i="1"/>
  <c r="AC111" i="1" s="1"/>
  <c r="AA110" i="1"/>
  <c r="U110" i="1"/>
  <c r="O110" i="1"/>
  <c r="O111" i="1" s="1"/>
  <c r="I110" i="1"/>
  <c r="I111" i="1" s="1"/>
  <c r="CG102" i="1"/>
  <c r="CA102" i="1"/>
  <c r="BU102" i="1"/>
  <c r="C100" i="1"/>
  <c r="BF101" i="1"/>
  <c r="BF100" i="1"/>
  <c r="BE100" i="1"/>
  <c r="BF99" i="1"/>
  <c r="BE99" i="1"/>
  <c r="BF98" i="1"/>
  <c r="BB101" i="1"/>
  <c r="BA101" i="1"/>
  <c r="AZ101" i="1"/>
  <c r="AZ100" i="1"/>
  <c r="AY100" i="1"/>
  <c r="BB99" i="1"/>
  <c r="BA99" i="1"/>
  <c r="AZ99" i="1"/>
  <c r="AY99" i="1"/>
  <c r="BB98" i="1"/>
  <c r="BA98" i="1"/>
  <c r="AZ98" i="1"/>
  <c r="AV101" i="1"/>
  <c r="AU101" i="1"/>
  <c r="AT101" i="1"/>
  <c r="AU100" i="1"/>
  <c r="AS100" i="1"/>
  <c r="AU99" i="1"/>
  <c r="AT99" i="1"/>
  <c r="AS99" i="1"/>
  <c r="AV98" i="1"/>
  <c r="AU98" i="1"/>
  <c r="AT98" i="1"/>
  <c r="AP101" i="1"/>
  <c r="AO101" i="1"/>
  <c r="AN101" i="1"/>
  <c r="AM100" i="1"/>
  <c r="AP99" i="1"/>
  <c r="AO99" i="1"/>
  <c r="AN99" i="1"/>
  <c r="AM99" i="1"/>
  <c r="AP98" i="1"/>
  <c r="AO98" i="1"/>
  <c r="AN98" i="1"/>
  <c r="AJ101" i="1"/>
  <c r="AI101" i="1"/>
  <c r="AH101" i="1"/>
  <c r="AJ100" i="1"/>
  <c r="AI100" i="1"/>
  <c r="AH100" i="1"/>
  <c r="AG100" i="1"/>
  <c r="AJ99" i="1"/>
  <c r="AI99" i="1"/>
  <c r="AH99" i="1"/>
  <c r="AG99" i="1"/>
  <c r="AJ98" i="1"/>
  <c r="AI98" i="1"/>
  <c r="AH98" i="1"/>
  <c r="AD101" i="1"/>
  <c r="AC101" i="1"/>
  <c r="AB101" i="1"/>
  <c r="AD100" i="1"/>
  <c r="AC100" i="1"/>
  <c r="AB100" i="1"/>
  <c r="AA100" i="1"/>
  <c r="AD99" i="1"/>
  <c r="AD98" i="1"/>
  <c r="AC98" i="1"/>
  <c r="AB98" i="1"/>
  <c r="X101" i="1"/>
  <c r="W101" i="1"/>
  <c r="V101" i="1"/>
  <c r="V100" i="1"/>
  <c r="U100" i="1"/>
  <c r="X98" i="1"/>
  <c r="W98" i="1"/>
  <c r="V98" i="1"/>
  <c r="R101" i="1"/>
  <c r="Q101" i="1"/>
  <c r="P101" i="1"/>
  <c r="O100" i="1"/>
  <c r="R98" i="1"/>
  <c r="Q98" i="1"/>
  <c r="P98" i="1"/>
  <c r="L101" i="1"/>
  <c r="K101" i="1"/>
  <c r="J101" i="1"/>
  <c r="I100" i="1"/>
  <c r="L98" i="1"/>
  <c r="K98" i="1"/>
  <c r="J98" i="1"/>
  <c r="F101" i="1"/>
  <c r="E101" i="1"/>
  <c r="D101" i="1"/>
  <c r="F98" i="1"/>
  <c r="E98" i="1"/>
  <c r="D98" i="1"/>
  <c r="G97" i="1"/>
  <c r="BF94" i="1"/>
  <c r="BE94" i="1"/>
  <c r="BF92" i="1"/>
  <c r="BE92" i="1"/>
  <c r="BF90" i="1"/>
  <c r="BE90" i="1"/>
  <c r="BB94" i="1"/>
  <c r="BA94" i="1"/>
  <c r="AZ94" i="1"/>
  <c r="AY94" i="1"/>
  <c r="BB92" i="1"/>
  <c r="BB90" i="1"/>
  <c r="BA90" i="1"/>
  <c r="AZ90" i="1"/>
  <c r="AY90" i="1"/>
  <c r="AV94" i="1"/>
  <c r="AU94" i="1"/>
  <c r="AT94" i="1"/>
  <c r="AS94" i="1"/>
  <c r="AU92" i="1"/>
  <c r="AT92" i="1"/>
  <c r="AS92" i="1"/>
  <c r="AV90" i="1"/>
  <c r="AU90" i="1"/>
  <c r="AT90" i="1"/>
  <c r="AS90" i="1"/>
  <c r="AP94" i="1"/>
  <c r="AO94" i="1"/>
  <c r="AN94" i="1"/>
  <c r="AM94" i="1"/>
  <c r="AP92" i="1"/>
  <c r="AO92" i="1"/>
  <c r="AN92" i="1"/>
  <c r="AM92" i="1"/>
  <c r="AP90" i="1"/>
  <c r="AO90" i="1"/>
  <c r="AN90" i="1"/>
  <c r="AM90" i="1"/>
  <c r="AJ94" i="1"/>
  <c r="AI94" i="1"/>
  <c r="AH94" i="1"/>
  <c r="AG94" i="1"/>
  <c r="AJ92" i="1"/>
  <c r="AI92" i="1"/>
  <c r="AH92" i="1"/>
  <c r="AG92" i="1"/>
  <c r="AJ90" i="1"/>
  <c r="AI90" i="1"/>
  <c r="AH90" i="1"/>
  <c r="AG90" i="1"/>
  <c r="AD94" i="1"/>
  <c r="AC94" i="1"/>
  <c r="AB94" i="1"/>
  <c r="AA94" i="1"/>
  <c r="AD92" i="1"/>
  <c r="AC92" i="1"/>
  <c r="AB92" i="1"/>
  <c r="AA92" i="1"/>
  <c r="AD90" i="1"/>
  <c r="AC90" i="1"/>
  <c r="AB90" i="1"/>
  <c r="X94" i="1"/>
  <c r="W94" i="1"/>
  <c r="V94" i="1"/>
  <c r="U94" i="1"/>
  <c r="X92" i="1"/>
  <c r="W92" i="1"/>
  <c r="V92" i="1"/>
  <c r="U92" i="1"/>
  <c r="R94" i="1"/>
  <c r="Q94" i="1"/>
  <c r="P94" i="1"/>
  <c r="O94" i="1"/>
  <c r="R92" i="1"/>
  <c r="Q92" i="1"/>
  <c r="P92" i="1"/>
  <c r="O92" i="1"/>
  <c r="L94" i="1"/>
  <c r="K94" i="1"/>
  <c r="J94" i="1"/>
  <c r="I94" i="1"/>
  <c r="L92" i="1"/>
  <c r="K92" i="1"/>
  <c r="J92" i="1"/>
  <c r="I92" i="1"/>
  <c r="E94" i="1"/>
  <c r="D94" i="1"/>
  <c r="E92" i="1"/>
  <c r="D92" i="1"/>
  <c r="C92" i="1"/>
  <c r="BE46" i="1"/>
  <c r="BB46" i="1"/>
  <c r="BA46" i="1"/>
  <c r="AZ46" i="1"/>
  <c r="AY46" i="1"/>
  <c r="AV46" i="1"/>
  <c r="AU46" i="1"/>
  <c r="AT46" i="1"/>
  <c r="AS46" i="1"/>
  <c r="AP46" i="1"/>
  <c r="AO46" i="1"/>
  <c r="AN46" i="1"/>
  <c r="AM46" i="1"/>
  <c r="AJ46" i="1"/>
  <c r="AI46" i="1"/>
  <c r="AH46" i="1"/>
  <c r="AH47" i="1" s="1"/>
  <c r="AG46" i="1"/>
  <c r="AD46" i="1"/>
  <c r="AD47" i="1" s="1"/>
  <c r="AC46" i="1"/>
  <c r="AC47" i="1" s="1"/>
  <c r="AB46" i="1"/>
  <c r="AB47" i="1" s="1"/>
  <c r="BF39" i="1"/>
  <c r="BF161" i="1" s="1"/>
  <c r="BE39" i="1"/>
  <c r="BB39" i="1"/>
  <c r="BA39" i="1"/>
  <c r="AZ39" i="1"/>
  <c r="AZ161" i="1" s="1"/>
  <c r="AY39" i="1"/>
  <c r="AV39" i="1"/>
  <c r="AV161" i="1" s="1"/>
  <c r="AU39" i="1"/>
  <c r="AT39" i="1"/>
  <c r="AS39" i="1"/>
  <c r="AP39" i="1"/>
  <c r="AP161" i="1" s="1"/>
  <c r="AO39" i="1"/>
  <c r="AN39" i="1"/>
  <c r="AM39" i="1"/>
  <c r="AJ39" i="1"/>
  <c r="AJ161" i="1" s="1"/>
  <c r="AI39" i="1"/>
  <c r="AH39" i="1"/>
  <c r="AH161" i="1" s="1"/>
  <c r="AG39" i="1"/>
  <c r="AD39" i="1"/>
  <c r="AD161" i="1" s="1"/>
  <c r="AC39" i="1"/>
  <c r="AB39" i="1"/>
  <c r="AB161" i="1" s="1"/>
  <c r="AA39" i="1"/>
  <c r="X39" i="1"/>
  <c r="X161" i="1" s="1"/>
  <c r="W39" i="1"/>
  <c r="V39" i="1"/>
  <c r="V161" i="1" s="1"/>
  <c r="U39" i="1"/>
  <c r="R39" i="1"/>
  <c r="Q39" i="1"/>
  <c r="P39" i="1"/>
  <c r="O39" i="1"/>
  <c r="L39" i="1"/>
  <c r="K39" i="1"/>
  <c r="J39" i="1"/>
  <c r="J161" i="1" s="1"/>
  <c r="I39" i="1"/>
  <c r="F39" i="1"/>
  <c r="F161" i="1" s="1"/>
  <c r="E39" i="1"/>
  <c r="D39" i="1"/>
  <c r="C39" i="1"/>
  <c r="C161" i="1" s="1"/>
  <c r="BC38" i="1"/>
  <c r="BC37" i="1"/>
  <c r="BC36" i="1"/>
  <c r="BC35" i="1"/>
  <c r="AW38" i="1"/>
  <c r="AW37" i="1"/>
  <c r="AW36" i="1"/>
  <c r="AW35" i="1"/>
  <c r="AQ38" i="1"/>
  <c r="AQ37" i="1"/>
  <c r="AQ36" i="1"/>
  <c r="AQ35" i="1"/>
  <c r="AK38" i="1"/>
  <c r="AK37" i="1"/>
  <c r="AK36" i="1"/>
  <c r="AK35" i="1"/>
  <c r="AE38" i="1"/>
  <c r="AE37" i="1"/>
  <c r="AE36" i="1"/>
  <c r="AE35" i="1"/>
  <c r="Y38" i="1"/>
  <c r="Y37" i="1"/>
  <c r="Y36" i="1"/>
  <c r="Y35" i="1"/>
  <c r="S38" i="1"/>
  <c r="S37" i="1"/>
  <c r="S36" i="1"/>
  <c r="S35" i="1"/>
  <c r="M38" i="1"/>
  <c r="M37" i="1"/>
  <c r="M36" i="1"/>
  <c r="M35" i="1"/>
  <c r="G38" i="1"/>
  <c r="G37" i="1"/>
  <c r="G36" i="1"/>
  <c r="G35" i="1"/>
  <c r="BF30" i="1"/>
  <c r="BE30" i="1"/>
  <c r="BB30" i="1"/>
  <c r="BA30" i="1"/>
  <c r="AZ30" i="1"/>
  <c r="AY30" i="1"/>
  <c r="AV30" i="1"/>
  <c r="AV156" i="1" s="1"/>
  <c r="AQ30" i="1"/>
  <c r="AK30" i="1"/>
  <c r="AE30" i="1"/>
  <c r="Y30" i="1"/>
  <c r="S30" i="1"/>
  <c r="M30" i="1"/>
  <c r="G30" i="1"/>
  <c r="BF28" i="1"/>
  <c r="BE28" i="1"/>
  <c r="BB28" i="1"/>
  <c r="BA28" i="1"/>
  <c r="AZ28" i="1"/>
  <c r="AY28" i="1"/>
  <c r="AV28" i="1"/>
  <c r="AU28" i="1"/>
  <c r="AT28" i="1"/>
  <c r="AS28" i="1"/>
  <c r="AP28" i="1"/>
  <c r="AO28" i="1"/>
  <c r="AN28" i="1"/>
  <c r="AM28" i="1"/>
  <c r="AJ28" i="1"/>
  <c r="AI28" i="1"/>
  <c r="AH28" i="1"/>
  <c r="AG28" i="1"/>
  <c r="AD28" i="1"/>
  <c r="AC28" i="1"/>
  <c r="AB28" i="1"/>
  <c r="AA28" i="1"/>
  <c r="X28" i="1"/>
  <c r="W28" i="1"/>
  <c r="V28" i="1"/>
  <c r="U28" i="1"/>
  <c r="R28" i="1"/>
  <c r="Q28" i="1"/>
  <c r="P28" i="1"/>
  <c r="O28" i="1"/>
  <c r="L28" i="1"/>
  <c r="K28" i="1"/>
  <c r="J28" i="1"/>
  <c r="I28" i="1"/>
  <c r="F28" i="1"/>
  <c r="E28" i="1"/>
  <c r="D28" i="1"/>
  <c r="BC27" i="1"/>
  <c r="BC26" i="1"/>
  <c r="BC25" i="1"/>
  <c r="AW27" i="1"/>
  <c r="AW26" i="1"/>
  <c r="AW25" i="1"/>
  <c r="AQ27" i="1"/>
  <c r="AQ26" i="1"/>
  <c r="AQ25" i="1"/>
  <c r="AK27" i="1"/>
  <c r="AK26" i="1"/>
  <c r="AK25" i="1"/>
  <c r="AE27" i="1"/>
  <c r="AE26" i="1"/>
  <c r="AE25" i="1"/>
  <c r="Y27" i="1"/>
  <c r="Y26" i="1"/>
  <c r="Y25" i="1"/>
  <c r="S27" i="1"/>
  <c r="S26" i="1"/>
  <c r="S25" i="1"/>
  <c r="M27" i="1"/>
  <c r="M26" i="1"/>
  <c r="M25" i="1"/>
  <c r="G27" i="1"/>
  <c r="G26" i="1"/>
  <c r="G25" i="1"/>
  <c r="C27" i="1"/>
  <c r="BC21" i="1"/>
  <c r="BC20" i="1"/>
  <c r="BC155" i="1" s="1"/>
  <c r="BC19" i="1"/>
  <c r="BC18" i="1"/>
  <c r="BC17" i="1"/>
  <c r="BC16" i="1"/>
  <c r="AW21" i="1"/>
  <c r="AW20" i="1"/>
  <c r="AW155" i="1" s="1"/>
  <c r="AW19" i="1"/>
  <c r="AW18" i="1"/>
  <c r="AW17" i="1"/>
  <c r="AW16" i="1"/>
  <c r="AQ21" i="1"/>
  <c r="AQ20" i="1"/>
  <c r="AQ155" i="1" s="1"/>
  <c r="AQ19" i="1"/>
  <c r="AQ18" i="1"/>
  <c r="AQ17" i="1"/>
  <c r="AQ16" i="1"/>
  <c r="AK21" i="1"/>
  <c r="AK20" i="1"/>
  <c r="AK155" i="1" s="1"/>
  <c r="AK19" i="1"/>
  <c r="AK18" i="1"/>
  <c r="AK17" i="1"/>
  <c r="AK16" i="1"/>
  <c r="AE21" i="1"/>
  <c r="AE20" i="1"/>
  <c r="AE155" i="1" s="1"/>
  <c r="AE19" i="1"/>
  <c r="AE18" i="1"/>
  <c r="AE17" i="1"/>
  <c r="AE16" i="1"/>
  <c r="Y21" i="1"/>
  <c r="Y20" i="1"/>
  <c r="Y155" i="1" s="1"/>
  <c r="Y19" i="1"/>
  <c r="Y18" i="1"/>
  <c r="Y17" i="1"/>
  <c r="Y16" i="1"/>
  <c r="S21" i="1"/>
  <c r="S20" i="1"/>
  <c r="S155" i="1" s="1"/>
  <c r="S19" i="1"/>
  <c r="S18" i="1"/>
  <c r="S17" i="1"/>
  <c r="S16" i="1"/>
  <c r="M21" i="1"/>
  <c r="M20" i="1"/>
  <c r="M155" i="1" s="1"/>
  <c r="M19" i="1"/>
  <c r="M18" i="1"/>
  <c r="M17" i="1"/>
  <c r="M16" i="1"/>
  <c r="G21" i="1"/>
  <c r="G20" i="1"/>
  <c r="G155" i="1" s="1"/>
  <c r="G19" i="1"/>
  <c r="G18" i="1"/>
  <c r="G17" i="1"/>
  <c r="G16" i="1"/>
  <c r="BE14" i="1"/>
  <c r="BB14" i="1"/>
  <c r="AU14" i="1"/>
  <c r="AT14" i="1"/>
  <c r="AS14" i="1"/>
  <c r="AP14" i="1"/>
  <c r="AO14" i="1"/>
  <c r="AN14" i="1"/>
  <c r="AM14" i="1"/>
  <c r="AJ14" i="1"/>
  <c r="AI14" i="1"/>
  <c r="AH14" i="1"/>
  <c r="AG14" i="1"/>
  <c r="AD14" i="1"/>
  <c r="AC14" i="1"/>
  <c r="AB14" i="1"/>
  <c r="BC13" i="1"/>
  <c r="BC12" i="1"/>
  <c r="BC11" i="1"/>
  <c r="BC10" i="1"/>
  <c r="BC9" i="1"/>
  <c r="BC8" i="1"/>
  <c r="BC164" i="1" s="1"/>
  <c r="BA13" i="1"/>
  <c r="AZ13" i="1"/>
  <c r="AY13" i="1"/>
  <c r="AV13" i="1"/>
  <c r="AQ13" i="1"/>
  <c r="AQ12" i="1"/>
  <c r="AQ11" i="1"/>
  <c r="AQ10" i="1"/>
  <c r="AQ9" i="1"/>
  <c r="AQ8" i="1"/>
  <c r="AQ164" i="1" s="1"/>
  <c r="AK13" i="1"/>
  <c r="AK12" i="1"/>
  <c r="AK11" i="1"/>
  <c r="AK10" i="1"/>
  <c r="AK9" i="1"/>
  <c r="AK8" i="1"/>
  <c r="AK164" i="1" s="1"/>
  <c r="AE13" i="1"/>
  <c r="AE12" i="1"/>
  <c r="AE11" i="1"/>
  <c r="AE10" i="1"/>
  <c r="AE9" i="1"/>
  <c r="AE8" i="1"/>
  <c r="AE164" i="1" s="1"/>
  <c r="Y13" i="1"/>
  <c r="Y12" i="1"/>
  <c r="Y11" i="1"/>
  <c r="Y10" i="1"/>
  <c r="Y9" i="1"/>
  <c r="S13" i="1"/>
  <c r="S12" i="1"/>
  <c r="S11" i="1"/>
  <c r="S10" i="1"/>
  <c r="S9" i="1"/>
  <c r="M13" i="1"/>
  <c r="M12" i="1"/>
  <c r="M11" i="1"/>
  <c r="M10" i="1"/>
  <c r="M9" i="1"/>
  <c r="G13" i="1"/>
  <c r="G12" i="1"/>
  <c r="G11" i="1"/>
  <c r="G10" i="1"/>
  <c r="G9" i="1"/>
  <c r="AW12" i="1"/>
  <c r="AW11" i="1"/>
  <c r="AW10" i="1"/>
  <c r="AW9" i="1"/>
  <c r="AW8" i="1"/>
  <c r="AW164" i="1" s="1"/>
  <c r="AA10" i="1"/>
  <c r="BF9" i="1"/>
  <c r="CC5" i="1"/>
  <c r="BW5" i="1"/>
  <c r="BQ5" i="1"/>
  <c r="BK5" i="1"/>
  <c r="AY5" i="1"/>
  <c r="AS5" i="1"/>
  <c r="AM5" i="1"/>
  <c r="AG5" i="1"/>
  <c r="AD6" i="1"/>
  <c r="AC6" i="1"/>
  <c r="AB6" i="1"/>
  <c r="AA6" i="1"/>
  <c r="X6" i="1"/>
  <c r="W6" i="1"/>
  <c r="V6" i="1"/>
  <c r="U6" i="1"/>
  <c r="R6" i="1"/>
  <c r="Q6" i="1"/>
  <c r="P6" i="1"/>
  <c r="O6" i="1"/>
  <c r="L6" i="1"/>
  <c r="K6" i="1"/>
  <c r="J6" i="1"/>
  <c r="I6" i="1"/>
  <c r="F6" i="1"/>
  <c r="E6" i="1"/>
  <c r="D6" i="1"/>
  <c r="C6" i="1"/>
  <c r="BH169" i="47"/>
  <c r="AQ150" i="47"/>
  <c r="AN149" i="47"/>
  <c r="AN150" i="47" s="1"/>
  <c r="BE149" i="47"/>
  <c r="AM149" i="47"/>
  <c r="BG149" i="47"/>
  <c r="BF149" i="47"/>
  <c r="BB149" i="47"/>
  <c r="BB150" i="47" s="1"/>
  <c r="BA149" i="47"/>
  <c r="BA150" i="47" s="1"/>
  <c r="AZ149" i="47"/>
  <c r="AZ150" i="47" s="1"/>
  <c r="AY149" i="47"/>
  <c r="AV149" i="47"/>
  <c r="AV150" i="47" s="1"/>
  <c r="AU149" i="47"/>
  <c r="AU150" i="47" s="1"/>
  <c r="AT149" i="47"/>
  <c r="AT150" i="47" s="1"/>
  <c r="AS149" i="47"/>
  <c r="AS150" i="47" s="1"/>
  <c r="AP149" i="47"/>
  <c r="AO149" i="47"/>
  <c r="AJ149" i="47"/>
  <c r="AJ150" i="47" s="1"/>
  <c r="AI149" i="47"/>
  <c r="AI150" i="47" s="1"/>
  <c r="AH149" i="47"/>
  <c r="AH150" i="47" s="1"/>
  <c r="AG149" i="47"/>
  <c r="AG150" i="47" s="1"/>
  <c r="AG148" i="47"/>
  <c r="AD149" i="47"/>
  <c r="AD150" i="47" s="1"/>
  <c r="AC149" i="47"/>
  <c r="AC150" i="47" s="1"/>
  <c r="AB149" i="47"/>
  <c r="AB150" i="47" s="1"/>
  <c r="AE148" i="47"/>
  <c r="K149" i="47"/>
  <c r="K150" i="47" s="1"/>
  <c r="BE144" i="47"/>
  <c r="BI144" i="47" s="1"/>
  <c r="BB144" i="47"/>
  <c r="BA144" i="47"/>
  <c r="AZ144" i="47"/>
  <c r="AY144" i="47"/>
  <c r="AV144" i="47"/>
  <c r="AU144" i="47"/>
  <c r="AT144" i="47"/>
  <c r="AS144" i="47"/>
  <c r="AU142" i="47"/>
  <c r="AT142" i="47"/>
  <c r="AS142" i="47"/>
  <c r="AP144" i="47"/>
  <c r="AO144" i="47"/>
  <c r="AN144" i="47"/>
  <c r="AM144" i="47"/>
  <c r="AP143" i="47"/>
  <c r="AO143" i="47"/>
  <c r="AN143" i="47"/>
  <c r="AM143" i="47"/>
  <c r="AP142" i="47"/>
  <c r="AO142" i="47"/>
  <c r="AN142" i="47"/>
  <c r="AM142" i="47"/>
  <c r="AJ144" i="47"/>
  <c r="AI144" i="47"/>
  <c r="AH144" i="47"/>
  <c r="AG144" i="47"/>
  <c r="AJ143" i="47"/>
  <c r="AI143" i="47"/>
  <c r="AG143" i="47"/>
  <c r="AJ142" i="47"/>
  <c r="AI142" i="47"/>
  <c r="AH142" i="47"/>
  <c r="AG142" i="47"/>
  <c r="AD144" i="47"/>
  <c r="AC144" i="47"/>
  <c r="AB144" i="47"/>
  <c r="AA144" i="47"/>
  <c r="AD143" i="47"/>
  <c r="AC143" i="47"/>
  <c r="AB143" i="47"/>
  <c r="AA143" i="47"/>
  <c r="AD142" i="47"/>
  <c r="AC142" i="47"/>
  <c r="AB142" i="47"/>
  <c r="AA142" i="47"/>
  <c r="X144" i="47"/>
  <c r="W144" i="47"/>
  <c r="V144" i="47"/>
  <c r="U144" i="47"/>
  <c r="X143" i="47"/>
  <c r="W143" i="47"/>
  <c r="V143" i="47"/>
  <c r="U143" i="47"/>
  <c r="X142" i="47"/>
  <c r="W142" i="47"/>
  <c r="V142" i="47"/>
  <c r="U142" i="47"/>
  <c r="R144" i="47"/>
  <c r="Q144" i="47"/>
  <c r="P144" i="47"/>
  <c r="O144" i="47"/>
  <c r="R143" i="47"/>
  <c r="Q143" i="47"/>
  <c r="P143" i="47"/>
  <c r="O143" i="47"/>
  <c r="R142" i="47"/>
  <c r="Q142" i="47"/>
  <c r="P142" i="47"/>
  <c r="O142" i="47"/>
  <c r="L144" i="47"/>
  <c r="K144" i="47"/>
  <c r="J144" i="47"/>
  <c r="I144" i="47"/>
  <c r="L143" i="47"/>
  <c r="K143" i="47"/>
  <c r="J143" i="47"/>
  <c r="I143" i="47"/>
  <c r="L142" i="47"/>
  <c r="K142" i="47"/>
  <c r="J142" i="47"/>
  <c r="I142" i="47"/>
  <c r="F144" i="47"/>
  <c r="E144" i="47"/>
  <c r="D144" i="47"/>
  <c r="F143" i="47"/>
  <c r="E143" i="47"/>
  <c r="D143" i="47"/>
  <c r="F142" i="47"/>
  <c r="E142" i="47"/>
  <c r="D142" i="47"/>
  <c r="AP138" i="47"/>
  <c r="AO138" i="47"/>
  <c r="AN138" i="47"/>
  <c r="AM138" i="47"/>
  <c r="AJ138" i="47"/>
  <c r="AI138" i="47"/>
  <c r="AG138" i="47"/>
  <c r="AD138" i="47"/>
  <c r="AC138" i="47"/>
  <c r="AB138" i="47"/>
  <c r="AA138" i="47"/>
  <c r="X138" i="47"/>
  <c r="W138" i="47"/>
  <c r="V138" i="47"/>
  <c r="U138" i="47"/>
  <c r="R138" i="47"/>
  <c r="Q138" i="47"/>
  <c r="P138" i="47"/>
  <c r="O138" i="47"/>
  <c r="L138" i="47"/>
  <c r="K138" i="47"/>
  <c r="J138" i="47"/>
  <c r="I138" i="47"/>
  <c r="F138" i="47"/>
  <c r="E138" i="47"/>
  <c r="D138" i="47"/>
  <c r="C138" i="47"/>
  <c r="BC137" i="47"/>
  <c r="AW137" i="47"/>
  <c r="AW135" i="47"/>
  <c r="AQ137" i="47"/>
  <c r="AQ136" i="47"/>
  <c r="AQ135" i="47"/>
  <c r="AK137" i="47"/>
  <c r="AK135" i="47"/>
  <c r="AE137" i="47"/>
  <c r="AE136" i="47"/>
  <c r="AE135" i="47"/>
  <c r="Y137" i="47"/>
  <c r="Y136" i="47"/>
  <c r="Y135" i="47"/>
  <c r="S137" i="47"/>
  <c r="S136" i="47"/>
  <c r="S135" i="47"/>
  <c r="M137" i="47"/>
  <c r="M136" i="47"/>
  <c r="M135" i="47"/>
  <c r="G137" i="47"/>
  <c r="G136" i="47"/>
  <c r="G135" i="47"/>
  <c r="B137" i="47"/>
  <c r="B144" i="47" s="1"/>
  <c r="B136" i="47"/>
  <c r="B143" i="47" s="1"/>
  <c r="B135" i="47"/>
  <c r="B142" i="47" s="1"/>
  <c r="AV136" i="47"/>
  <c r="AU136" i="47"/>
  <c r="AT136" i="47"/>
  <c r="AS136" i="47"/>
  <c r="AH136" i="47"/>
  <c r="AH138" i="47" s="1"/>
  <c r="BE126" i="47"/>
  <c r="BE124" i="47"/>
  <c r="BK125" i="47" s="1"/>
  <c r="BE122" i="47"/>
  <c r="BK123" i="47" s="1"/>
  <c r="K126" i="47"/>
  <c r="J126" i="47"/>
  <c r="I126" i="47"/>
  <c r="F126" i="47"/>
  <c r="K124" i="47"/>
  <c r="J124" i="47"/>
  <c r="I124" i="47"/>
  <c r="F124" i="47"/>
  <c r="F122" i="47"/>
  <c r="F118" i="47"/>
  <c r="F117" i="47"/>
  <c r="G117" i="47" s="1"/>
  <c r="F116" i="47"/>
  <c r="G116" i="47" s="1"/>
  <c r="BA126" i="47"/>
  <c r="AZ126" i="47"/>
  <c r="AY126" i="47"/>
  <c r="BA124" i="47"/>
  <c r="BG125" i="47" s="1"/>
  <c r="AZ124" i="47"/>
  <c r="BF125" i="47" s="1"/>
  <c r="AY124" i="47"/>
  <c r="BA122" i="47"/>
  <c r="BG123" i="47" s="1"/>
  <c r="AZ122" i="47"/>
  <c r="BF123" i="47" s="1"/>
  <c r="AY122" i="47"/>
  <c r="AU126" i="47"/>
  <c r="AT126" i="47"/>
  <c r="AS126" i="47"/>
  <c r="AU124" i="47"/>
  <c r="AT124" i="47"/>
  <c r="AS124" i="47"/>
  <c r="AU122" i="47"/>
  <c r="AT122" i="47"/>
  <c r="AS122" i="47"/>
  <c r="AO126" i="47"/>
  <c r="AN126" i="47"/>
  <c r="AM126" i="47"/>
  <c r="AO124" i="47"/>
  <c r="AN124" i="47"/>
  <c r="AM124" i="47"/>
  <c r="AO122" i="47"/>
  <c r="AN122" i="47"/>
  <c r="AM122" i="47"/>
  <c r="AI126" i="47"/>
  <c r="AH126" i="47"/>
  <c r="AG126" i="47"/>
  <c r="AI124" i="47"/>
  <c r="AH124" i="47"/>
  <c r="AG124" i="47"/>
  <c r="AI122" i="47"/>
  <c r="AH122" i="47"/>
  <c r="AG122" i="47"/>
  <c r="AC126" i="47"/>
  <c r="AB126" i="47"/>
  <c r="AA126" i="47"/>
  <c r="AC124" i="47"/>
  <c r="AB124" i="47"/>
  <c r="AA124" i="47"/>
  <c r="AC122" i="47"/>
  <c r="AA122" i="47"/>
  <c r="BE119" i="47"/>
  <c r="BA119" i="47"/>
  <c r="BA121" i="47" s="1"/>
  <c r="AZ119" i="47"/>
  <c r="AY119" i="47"/>
  <c r="AU119" i="47"/>
  <c r="AT119" i="47"/>
  <c r="AS119" i="47"/>
  <c r="AO119" i="47"/>
  <c r="AN119" i="47"/>
  <c r="AM119" i="47"/>
  <c r="AI119" i="47"/>
  <c r="AH119" i="47"/>
  <c r="AG119" i="47"/>
  <c r="AG130" i="47" s="1"/>
  <c r="AC119" i="47"/>
  <c r="AB119" i="47"/>
  <c r="AA119" i="47"/>
  <c r="W126" i="47"/>
  <c r="V126" i="47"/>
  <c r="U126" i="47"/>
  <c r="W124" i="47"/>
  <c r="V124" i="47"/>
  <c r="U124" i="47"/>
  <c r="W122" i="47"/>
  <c r="U122" i="47"/>
  <c r="W119" i="47"/>
  <c r="U119" i="47"/>
  <c r="Q126" i="47"/>
  <c r="P126" i="47"/>
  <c r="O126" i="47"/>
  <c r="Q124" i="47"/>
  <c r="P124" i="47"/>
  <c r="O124" i="47"/>
  <c r="Q122" i="47"/>
  <c r="P122" i="47"/>
  <c r="O122" i="47"/>
  <c r="Q119" i="47"/>
  <c r="Q130" i="47" s="1"/>
  <c r="P119" i="47"/>
  <c r="O119" i="47"/>
  <c r="K122" i="47"/>
  <c r="J122" i="47"/>
  <c r="I122" i="47"/>
  <c r="K119" i="47"/>
  <c r="J119" i="47"/>
  <c r="I119" i="47"/>
  <c r="E119" i="47"/>
  <c r="D119" i="47"/>
  <c r="C119" i="47"/>
  <c r="BB118" i="47"/>
  <c r="BB117" i="47"/>
  <c r="BB116" i="47"/>
  <c r="AV118" i="47"/>
  <c r="AV117" i="47"/>
  <c r="AW117" i="47" s="1"/>
  <c r="AV116" i="47"/>
  <c r="AP118" i="47"/>
  <c r="AQ118" i="47" s="1"/>
  <c r="AP117" i="47"/>
  <c r="AP116" i="47"/>
  <c r="AJ118" i="47"/>
  <c r="AJ117" i="47"/>
  <c r="AJ116" i="47"/>
  <c r="AD118" i="47"/>
  <c r="AE118" i="47" s="1"/>
  <c r="AD117" i="47"/>
  <c r="AD116" i="47"/>
  <c r="AE116" i="47" s="1"/>
  <c r="X118" i="47"/>
  <c r="Y118" i="47" s="1"/>
  <c r="X117" i="47"/>
  <c r="V116" i="47"/>
  <c r="R118" i="47"/>
  <c r="S118" i="47" s="1"/>
  <c r="R117" i="47"/>
  <c r="S117" i="47" s="1"/>
  <c r="R116" i="47"/>
  <c r="S116" i="47" s="1"/>
  <c r="L118" i="47"/>
  <c r="L117" i="47"/>
  <c r="M117" i="47" s="1"/>
  <c r="L116" i="47"/>
  <c r="M116" i="47" s="1"/>
  <c r="B109" i="47"/>
  <c r="B107" i="47"/>
  <c r="AD107" i="47"/>
  <c r="AC107" i="47"/>
  <c r="AB107" i="47"/>
  <c r="AA107" i="47"/>
  <c r="X107" i="47"/>
  <c r="W107" i="47"/>
  <c r="V107" i="47"/>
  <c r="U107" i="47"/>
  <c r="R107" i="47"/>
  <c r="Q107" i="47"/>
  <c r="P107" i="47"/>
  <c r="O107" i="47"/>
  <c r="B105" i="47"/>
  <c r="CC104" i="47"/>
  <c r="M103" i="47"/>
  <c r="L103" i="47"/>
  <c r="K103" i="47"/>
  <c r="J103" i="47"/>
  <c r="I103" i="47"/>
  <c r="AD102" i="47"/>
  <c r="AC102" i="47"/>
  <c r="AB102" i="47"/>
  <c r="AA102" i="47"/>
  <c r="X102" i="47"/>
  <c r="W102" i="47"/>
  <c r="V102" i="47"/>
  <c r="U102" i="47"/>
  <c r="R102" i="47"/>
  <c r="Q102" i="47"/>
  <c r="P102" i="47"/>
  <c r="O102" i="47"/>
  <c r="M100" i="47"/>
  <c r="L100" i="47"/>
  <c r="K100" i="47"/>
  <c r="J100" i="47"/>
  <c r="I100" i="47"/>
  <c r="AD99" i="47"/>
  <c r="AC99" i="47"/>
  <c r="AB99" i="47"/>
  <c r="AA99" i="47"/>
  <c r="X99" i="47"/>
  <c r="W99" i="47"/>
  <c r="V99" i="47"/>
  <c r="U99" i="47"/>
  <c r="R99" i="47"/>
  <c r="Q99" i="47"/>
  <c r="P99" i="47"/>
  <c r="O99" i="47"/>
  <c r="CF98" i="47"/>
  <c r="CE98" i="47"/>
  <c r="CD98" i="47"/>
  <c r="CC98" i="47"/>
  <c r="BZ98" i="47"/>
  <c r="BY98" i="47"/>
  <c r="BX98" i="47"/>
  <c r="BW98" i="47"/>
  <c r="AD96" i="47"/>
  <c r="AC96" i="47"/>
  <c r="AB96" i="47"/>
  <c r="AA96" i="47"/>
  <c r="X96" i="47"/>
  <c r="W96" i="47"/>
  <c r="V96" i="47"/>
  <c r="U96" i="47"/>
  <c r="R96" i="47"/>
  <c r="Q96" i="47"/>
  <c r="P96" i="47"/>
  <c r="O96" i="47"/>
  <c r="CF95" i="47"/>
  <c r="CE95" i="47"/>
  <c r="CD95" i="47"/>
  <c r="CC95" i="47"/>
  <c r="BZ95" i="47"/>
  <c r="BY95" i="47"/>
  <c r="BX95" i="47"/>
  <c r="BW95" i="47"/>
  <c r="AV102" i="47"/>
  <c r="AU102" i="47"/>
  <c r="AS102" i="47"/>
  <c r="AU96" i="47"/>
  <c r="AT96" i="47"/>
  <c r="AS96" i="47"/>
  <c r="AP107" i="47"/>
  <c r="AO107" i="47"/>
  <c r="AN107" i="47"/>
  <c r="AM107" i="47"/>
  <c r="AP102" i="47"/>
  <c r="AO102" i="47"/>
  <c r="AN102" i="47"/>
  <c r="AM102" i="47"/>
  <c r="AP99" i="47"/>
  <c r="AO99" i="47"/>
  <c r="AN99" i="47"/>
  <c r="AM99" i="47"/>
  <c r="AP96" i="47"/>
  <c r="AO96" i="47"/>
  <c r="AN96" i="47"/>
  <c r="AM96" i="47"/>
  <c r="AP93" i="47"/>
  <c r="AO93" i="47"/>
  <c r="AN93" i="47"/>
  <c r="AM93" i="47"/>
  <c r="AJ107" i="47"/>
  <c r="AI107" i="47"/>
  <c r="AH107" i="47"/>
  <c r="AG107" i="47"/>
  <c r="AJ102" i="47"/>
  <c r="AI102" i="47"/>
  <c r="AH102" i="47"/>
  <c r="AG102" i="47"/>
  <c r="AJ99" i="47"/>
  <c r="AI99" i="47"/>
  <c r="AH99" i="47"/>
  <c r="AG99" i="47"/>
  <c r="AJ96" i="47"/>
  <c r="AI96" i="47"/>
  <c r="AH96" i="47"/>
  <c r="AG96" i="47"/>
  <c r="AJ93" i="47"/>
  <c r="AI93" i="47"/>
  <c r="AH93" i="47"/>
  <c r="AG93" i="47"/>
  <c r="AD93" i="47"/>
  <c r="AC93" i="47"/>
  <c r="AB93" i="47"/>
  <c r="AA93" i="47"/>
  <c r="X93" i="47"/>
  <c r="W93" i="47"/>
  <c r="V93" i="47"/>
  <c r="U93" i="47"/>
  <c r="R93" i="47"/>
  <c r="Q93" i="47"/>
  <c r="P93" i="47"/>
  <c r="O93" i="47"/>
  <c r="AP86" i="47"/>
  <c r="AP156" i="47" s="1"/>
  <c r="AO86" i="47"/>
  <c r="AO75" i="47" s="1"/>
  <c r="AN86" i="47"/>
  <c r="AN70" i="47" s="1"/>
  <c r="AM86" i="47"/>
  <c r="AM80" i="47" s="1"/>
  <c r="AJ86" i="47"/>
  <c r="AJ156" i="47" s="1"/>
  <c r="AI86" i="47"/>
  <c r="AI75" i="47" s="1"/>
  <c r="AH86" i="47"/>
  <c r="AH80" i="47" s="1"/>
  <c r="AG86" i="47"/>
  <c r="AG80" i="47" s="1"/>
  <c r="AD86" i="47"/>
  <c r="AD156" i="47" s="1"/>
  <c r="AC86" i="47"/>
  <c r="AC156" i="47" s="1"/>
  <c r="AB86" i="47"/>
  <c r="AB85" i="47" s="1"/>
  <c r="AA86" i="47"/>
  <c r="AA70" i="47" s="1"/>
  <c r="X86" i="47"/>
  <c r="X80" i="47" s="1"/>
  <c r="W86" i="47"/>
  <c r="V86" i="47"/>
  <c r="V70" i="47" s="1"/>
  <c r="U86" i="47"/>
  <c r="U156" i="47" s="1"/>
  <c r="R86" i="47"/>
  <c r="R156" i="47" s="1"/>
  <c r="Q86" i="47"/>
  <c r="Q156" i="47" s="1"/>
  <c r="P86" i="47"/>
  <c r="P85" i="47" s="1"/>
  <c r="O86" i="47"/>
  <c r="O156" i="47" s="1"/>
  <c r="AV82" i="47"/>
  <c r="AU82" i="47"/>
  <c r="AT82" i="47"/>
  <c r="AS82" i="47"/>
  <c r="AP82" i="47"/>
  <c r="AO82" i="47"/>
  <c r="AN82" i="47"/>
  <c r="AM82" i="47"/>
  <c r="AJ82" i="47"/>
  <c r="AI82" i="47"/>
  <c r="AH82" i="47"/>
  <c r="AG82" i="47"/>
  <c r="AD82" i="47"/>
  <c r="AC82" i="47"/>
  <c r="AB82" i="47"/>
  <c r="AA82" i="47"/>
  <c r="X82" i="47"/>
  <c r="W82" i="47"/>
  <c r="V82" i="47"/>
  <c r="U82" i="47"/>
  <c r="R82" i="47"/>
  <c r="Q82" i="47"/>
  <c r="P82" i="47"/>
  <c r="O82" i="47"/>
  <c r="L82" i="47"/>
  <c r="K82" i="47"/>
  <c r="J82" i="47"/>
  <c r="I82" i="47"/>
  <c r="AW81" i="47"/>
  <c r="AQ81" i="47"/>
  <c r="AK81" i="47"/>
  <c r="AE81" i="47"/>
  <c r="Y81" i="47"/>
  <c r="S81" i="47"/>
  <c r="M81" i="47"/>
  <c r="G81" i="47"/>
  <c r="AP77" i="47"/>
  <c r="AO77" i="47"/>
  <c r="AN77" i="47"/>
  <c r="AM77" i="47"/>
  <c r="AJ77" i="47"/>
  <c r="AI77" i="47"/>
  <c r="AH77" i="47"/>
  <c r="AG77" i="47"/>
  <c r="AD77" i="47"/>
  <c r="AC77" i="47"/>
  <c r="AB77" i="47"/>
  <c r="AA77" i="47"/>
  <c r="X77" i="47"/>
  <c r="W77" i="47"/>
  <c r="V77" i="47"/>
  <c r="U77" i="47"/>
  <c r="R77" i="47"/>
  <c r="Q77" i="47"/>
  <c r="P77" i="47"/>
  <c r="O77" i="47"/>
  <c r="L77" i="47"/>
  <c r="K77" i="47"/>
  <c r="J77" i="47"/>
  <c r="I77" i="47"/>
  <c r="AQ76" i="47"/>
  <c r="AK76" i="47"/>
  <c r="AE76" i="47"/>
  <c r="Y76" i="47"/>
  <c r="S76" i="47"/>
  <c r="S99" i="47" s="1"/>
  <c r="S100" i="47" s="1"/>
  <c r="M76" i="47"/>
  <c r="G76" i="47"/>
  <c r="AU72" i="47"/>
  <c r="AT72" i="47"/>
  <c r="AS72" i="47"/>
  <c r="AP72" i="47"/>
  <c r="AO72" i="47"/>
  <c r="AN72" i="47"/>
  <c r="AM72" i="47"/>
  <c r="AJ72" i="47"/>
  <c r="AI72" i="47"/>
  <c r="AH72" i="47"/>
  <c r="AG72" i="47"/>
  <c r="AD72" i="47"/>
  <c r="AC72" i="47"/>
  <c r="AB72" i="47"/>
  <c r="AA72" i="47"/>
  <c r="X72" i="47"/>
  <c r="W72" i="47"/>
  <c r="V72" i="47"/>
  <c r="U72" i="47"/>
  <c r="CC68" i="47"/>
  <c r="AQ71" i="47"/>
  <c r="AK71" i="47"/>
  <c r="AE71" i="47"/>
  <c r="Y71" i="47"/>
  <c r="S71" i="47"/>
  <c r="F71" i="47"/>
  <c r="E71" i="47"/>
  <c r="D71" i="47"/>
  <c r="C71" i="47"/>
  <c r="L71" i="47"/>
  <c r="K71" i="47"/>
  <c r="J71" i="47"/>
  <c r="I71" i="47"/>
  <c r="CF68" i="47"/>
  <c r="CE68" i="47"/>
  <c r="CD68" i="47"/>
  <c r="BZ68" i="47"/>
  <c r="BY68" i="47"/>
  <c r="BX68" i="47"/>
  <c r="BW68" i="47"/>
  <c r="AJ68" i="47"/>
  <c r="AI68" i="47"/>
  <c r="AH68" i="47"/>
  <c r="AG68" i="47"/>
  <c r="AD68" i="47"/>
  <c r="AC68" i="47"/>
  <c r="AB68" i="47"/>
  <c r="AA68" i="47"/>
  <c r="X68" i="47"/>
  <c r="W68" i="47"/>
  <c r="V68" i="47"/>
  <c r="U68" i="47"/>
  <c r="R68" i="47"/>
  <c r="Q68" i="47"/>
  <c r="P68" i="47"/>
  <c r="AP67" i="47"/>
  <c r="AO67" i="47"/>
  <c r="AN67" i="47"/>
  <c r="AM67" i="47"/>
  <c r="AJ67" i="47"/>
  <c r="AI67" i="47"/>
  <c r="AH67" i="47"/>
  <c r="AG67" i="47"/>
  <c r="AD67" i="47"/>
  <c r="AC67" i="47"/>
  <c r="AB67" i="47"/>
  <c r="AA67" i="47"/>
  <c r="X67" i="47"/>
  <c r="W67" i="47"/>
  <c r="V67" i="47"/>
  <c r="U67" i="47"/>
  <c r="AQ66" i="47"/>
  <c r="AK66" i="47"/>
  <c r="AE66" i="47"/>
  <c r="Y66" i="47"/>
  <c r="S66" i="47"/>
  <c r="S93" i="47" s="1"/>
  <c r="L66" i="47"/>
  <c r="K66" i="47"/>
  <c r="Q67" i="47" s="1"/>
  <c r="J66" i="47"/>
  <c r="P67" i="47" s="1"/>
  <c r="I66" i="47"/>
  <c r="F66" i="47"/>
  <c r="E66" i="47"/>
  <c r="D66" i="47"/>
  <c r="C66" i="47"/>
  <c r="AD60" i="47"/>
  <c r="AC60" i="47"/>
  <c r="AB60" i="47"/>
  <c r="AA60" i="47"/>
  <c r="X60" i="47"/>
  <c r="W60" i="47"/>
  <c r="V60" i="47"/>
  <c r="U60" i="47"/>
  <c r="R60" i="47"/>
  <c r="Q60" i="47"/>
  <c r="P60" i="47"/>
  <c r="O60" i="47"/>
  <c r="AP60" i="47"/>
  <c r="AO60" i="47"/>
  <c r="AN60" i="47"/>
  <c r="AM60" i="47"/>
  <c r="AO59" i="47"/>
  <c r="AJ60" i="47"/>
  <c r="AI60" i="47"/>
  <c r="AH60" i="47"/>
  <c r="AG60" i="47"/>
  <c r="AV60" i="47"/>
  <c r="AU60" i="47"/>
  <c r="AT60" i="47"/>
  <c r="AS60" i="47"/>
  <c r="AV58" i="47"/>
  <c r="AV59" i="47" s="1"/>
  <c r="AU58" i="47"/>
  <c r="AT58" i="47"/>
  <c r="AS58" i="47"/>
  <c r="AQ58" i="47"/>
  <c r="AQ55" i="47"/>
  <c r="AK58" i="47"/>
  <c r="AK55" i="47"/>
  <c r="AP57" i="47"/>
  <c r="AN57" i="47"/>
  <c r="AM57" i="47"/>
  <c r="AD57" i="47"/>
  <c r="AC57" i="47"/>
  <c r="AB57" i="47"/>
  <c r="AA57" i="47"/>
  <c r="X57" i="47"/>
  <c r="W57" i="47"/>
  <c r="V57" i="47"/>
  <c r="U57" i="47"/>
  <c r="R57" i="47"/>
  <c r="Q57" i="47"/>
  <c r="P57" i="47"/>
  <c r="O57" i="47"/>
  <c r="AO56" i="47"/>
  <c r="AJ57" i="47"/>
  <c r="AI57" i="47"/>
  <c r="AH57" i="47"/>
  <c r="AG57" i="47"/>
  <c r="AV55" i="47"/>
  <c r="AV56" i="47" s="1"/>
  <c r="AU55" i="47"/>
  <c r="AT55" i="47"/>
  <c r="AS55" i="47"/>
  <c r="CF60" i="47"/>
  <c r="CE60" i="47"/>
  <c r="CD60" i="47"/>
  <c r="CC60" i="47"/>
  <c r="CF58" i="47"/>
  <c r="CE58" i="47"/>
  <c r="CD58" i="47"/>
  <c r="CC58" i="47"/>
  <c r="CF57" i="47"/>
  <c r="CE57" i="47"/>
  <c r="CD57" i="47"/>
  <c r="CC57" i="47"/>
  <c r="CF55" i="47"/>
  <c r="CE55" i="47"/>
  <c r="CD55" i="47"/>
  <c r="CC55" i="47"/>
  <c r="CF54" i="47"/>
  <c r="CE54" i="47"/>
  <c r="CD54" i="47"/>
  <c r="CC54" i="47"/>
  <c r="BZ60" i="47"/>
  <c r="BY60" i="47"/>
  <c r="BX60" i="47"/>
  <c r="BW60" i="47"/>
  <c r="BZ58" i="47"/>
  <c r="BY58" i="47"/>
  <c r="BX58" i="47"/>
  <c r="BW58" i="47"/>
  <c r="BZ57" i="47"/>
  <c r="BY57" i="47"/>
  <c r="BX57" i="47"/>
  <c r="BW57" i="47"/>
  <c r="BZ55" i="47"/>
  <c r="BY55" i="47"/>
  <c r="BX55" i="47"/>
  <c r="BW55" i="47"/>
  <c r="BZ54" i="47"/>
  <c r="BY54" i="47"/>
  <c r="BX54" i="47"/>
  <c r="BW54" i="47"/>
  <c r="BT60" i="47"/>
  <c r="BS60" i="47"/>
  <c r="BR60" i="47"/>
  <c r="BQ60" i="47"/>
  <c r="BT58" i="47"/>
  <c r="BS58" i="47"/>
  <c r="BR58" i="47"/>
  <c r="BQ58" i="47"/>
  <c r="BT57" i="47"/>
  <c r="BS57" i="47"/>
  <c r="BR57" i="47"/>
  <c r="BT55" i="47"/>
  <c r="BS55" i="47"/>
  <c r="BR55" i="47"/>
  <c r="BQ55" i="47"/>
  <c r="BT54" i="47"/>
  <c r="BS54" i="47"/>
  <c r="BR54" i="47"/>
  <c r="BQ54" i="47"/>
  <c r="BM60" i="47"/>
  <c r="BM58" i="47"/>
  <c r="BM55" i="47"/>
  <c r="BH60" i="47"/>
  <c r="BG60" i="47"/>
  <c r="BF60" i="47"/>
  <c r="BE60" i="47"/>
  <c r="BH58" i="47"/>
  <c r="BG58" i="47"/>
  <c r="BF58" i="47"/>
  <c r="BE58" i="47"/>
  <c r="BH57" i="47"/>
  <c r="BG57" i="47"/>
  <c r="BF57" i="47"/>
  <c r="BE57" i="47"/>
  <c r="BH55" i="47"/>
  <c r="BG55" i="47"/>
  <c r="BF55" i="47"/>
  <c r="BE55" i="47"/>
  <c r="BH54" i="47"/>
  <c r="BG54" i="47"/>
  <c r="BF54" i="47"/>
  <c r="BE54" i="47"/>
  <c r="BB60" i="47"/>
  <c r="BA60" i="47"/>
  <c r="AZ60" i="47"/>
  <c r="AY60" i="47"/>
  <c r="BB58" i="47"/>
  <c r="BA58" i="47"/>
  <c r="AZ58" i="47"/>
  <c r="AY58" i="47"/>
  <c r="BB57" i="47"/>
  <c r="BA57" i="47"/>
  <c r="AZ57" i="47"/>
  <c r="AY57" i="47"/>
  <c r="BB55" i="47"/>
  <c r="BA55" i="47"/>
  <c r="AZ55" i="47"/>
  <c r="AY55" i="47"/>
  <c r="BB54" i="47"/>
  <c r="BA54" i="47"/>
  <c r="AZ54" i="47"/>
  <c r="AY54" i="47"/>
  <c r="AP54" i="47"/>
  <c r="AN54" i="47"/>
  <c r="AM54" i="47"/>
  <c r="AJ54" i="47"/>
  <c r="AI54" i="47"/>
  <c r="AH54" i="47"/>
  <c r="AG54" i="47"/>
  <c r="AD54" i="47"/>
  <c r="AC54" i="47"/>
  <c r="AB54" i="47"/>
  <c r="AA54" i="47"/>
  <c r="X54" i="47"/>
  <c r="W54" i="47"/>
  <c r="V54" i="47"/>
  <c r="U54" i="47"/>
  <c r="R54" i="47"/>
  <c r="Q54" i="47"/>
  <c r="P54" i="47"/>
  <c r="O54" i="47"/>
  <c r="CF48" i="47"/>
  <c r="CE48" i="47"/>
  <c r="CD48" i="47"/>
  <c r="CC48" i="47"/>
  <c r="BZ48" i="47"/>
  <c r="BY48" i="47"/>
  <c r="BX48" i="47"/>
  <c r="BW48" i="47"/>
  <c r="BT48" i="47"/>
  <c r="BS48" i="47"/>
  <c r="BR48" i="47"/>
  <c r="BH48" i="47"/>
  <c r="BN49" i="47" s="1"/>
  <c r="BG48" i="47"/>
  <c r="BM49" i="47" s="1"/>
  <c r="BF48" i="47"/>
  <c r="BL49" i="47" s="1"/>
  <c r="BE48" i="47"/>
  <c r="BB48" i="47"/>
  <c r="BA48" i="47"/>
  <c r="AZ48" i="47"/>
  <c r="AY48" i="47"/>
  <c r="AP48" i="47"/>
  <c r="AO48" i="47"/>
  <c r="AN48" i="47"/>
  <c r="AM48" i="47"/>
  <c r="AJ48" i="47"/>
  <c r="AI48" i="47"/>
  <c r="AH48" i="47"/>
  <c r="AG48" i="47"/>
  <c r="AD48" i="47"/>
  <c r="AC48" i="47"/>
  <c r="AB48" i="47"/>
  <c r="AA48" i="47"/>
  <c r="X48" i="47"/>
  <c r="W48" i="47"/>
  <c r="V48" i="47"/>
  <c r="U48" i="47"/>
  <c r="R48" i="47"/>
  <c r="Q48" i="47"/>
  <c r="P48" i="47"/>
  <c r="O48" i="47"/>
  <c r="L48" i="47"/>
  <c r="K48" i="47"/>
  <c r="J48" i="47"/>
  <c r="I48" i="47"/>
  <c r="F48" i="47"/>
  <c r="E48" i="47"/>
  <c r="D48" i="47"/>
  <c r="C48" i="47"/>
  <c r="AU46" i="47"/>
  <c r="AT46" i="47"/>
  <c r="AS46" i="47"/>
  <c r="BG42" i="47"/>
  <c r="BF42" i="47"/>
  <c r="BE42" i="47"/>
  <c r="BB42" i="47"/>
  <c r="BA42" i="47"/>
  <c r="AZ42" i="47"/>
  <c r="AY42" i="47"/>
  <c r="AV42" i="47"/>
  <c r="AU42" i="47"/>
  <c r="AT42" i="47"/>
  <c r="AS42" i="47"/>
  <c r="AP42" i="47"/>
  <c r="AO42" i="47"/>
  <c r="AN42" i="47"/>
  <c r="AM42" i="47"/>
  <c r="AJ42" i="47"/>
  <c r="AI42" i="47"/>
  <c r="AH42" i="47"/>
  <c r="AG42" i="47"/>
  <c r="AD42" i="47"/>
  <c r="AC42" i="47"/>
  <c r="AB42" i="47"/>
  <c r="AA42" i="47"/>
  <c r="X42" i="47"/>
  <c r="W42" i="47"/>
  <c r="V42" i="47"/>
  <c r="U42" i="47"/>
  <c r="R42" i="47"/>
  <c r="Q42" i="47"/>
  <c r="P42" i="47"/>
  <c r="O42" i="47"/>
  <c r="AJ37" i="47"/>
  <c r="AI37" i="47"/>
  <c r="AH37" i="47"/>
  <c r="AG37" i="47"/>
  <c r="AD37" i="47"/>
  <c r="AC37" i="47"/>
  <c r="AB37" i="47"/>
  <c r="AA37" i="47"/>
  <c r="X37" i="47"/>
  <c r="W37" i="47"/>
  <c r="V37" i="47"/>
  <c r="U37" i="47"/>
  <c r="R37" i="47"/>
  <c r="Q37" i="47"/>
  <c r="P37" i="47"/>
  <c r="O37" i="47"/>
  <c r="BG34" i="47"/>
  <c r="BF34" i="47"/>
  <c r="BE34" i="47"/>
  <c r="BB34" i="47"/>
  <c r="BA34" i="47"/>
  <c r="AZ34" i="47"/>
  <c r="AY34" i="47"/>
  <c r="AV34" i="47"/>
  <c r="AU34" i="47"/>
  <c r="AT34" i="47"/>
  <c r="AS34" i="47"/>
  <c r="AP34" i="47"/>
  <c r="AO34" i="47"/>
  <c r="AN34" i="47"/>
  <c r="AM34" i="47"/>
  <c r="AJ34" i="47"/>
  <c r="AI34" i="47"/>
  <c r="AH34" i="47"/>
  <c r="AG34" i="47"/>
  <c r="AD34" i="47"/>
  <c r="AC34" i="47"/>
  <c r="AB34" i="47"/>
  <c r="AA34" i="47"/>
  <c r="X34" i="47"/>
  <c r="W34" i="47"/>
  <c r="V34" i="47"/>
  <c r="U34" i="47"/>
  <c r="S33" i="47"/>
  <c r="S30" i="47"/>
  <c r="M33" i="47"/>
  <c r="M30" i="47"/>
  <c r="AQ33" i="47"/>
  <c r="AQ30" i="47"/>
  <c r="AK33" i="47"/>
  <c r="AK30" i="47"/>
  <c r="AE33" i="47"/>
  <c r="AE30" i="47"/>
  <c r="Y33" i="47"/>
  <c r="Y30" i="47"/>
  <c r="G33" i="47"/>
  <c r="BG32" i="47"/>
  <c r="BF32" i="47"/>
  <c r="BE32" i="47"/>
  <c r="BG31" i="47"/>
  <c r="BF31" i="47"/>
  <c r="BE31" i="47"/>
  <c r="BB32" i="47"/>
  <c r="BA32" i="47"/>
  <c r="AZ32" i="47"/>
  <c r="AY32" i="47"/>
  <c r="AV32" i="47"/>
  <c r="AU32" i="47"/>
  <c r="AT32" i="47"/>
  <c r="AS32" i="47"/>
  <c r="G30" i="47"/>
  <c r="BU16" i="47"/>
  <c r="BU13" i="47"/>
  <c r="BU10" i="47"/>
  <c r="CE25" i="47"/>
  <c r="CC25" i="47"/>
  <c r="BW25" i="47"/>
  <c r="CE18" i="47"/>
  <c r="BQ25" i="47"/>
  <c r="BH22" i="47"/>
  <c r="BN23" i="47" s="1"/>
  <c r="BG22" i="47"/>
  <c r="BF22" i="47"/>
  <c r="BL23" i="47" s="1"/>
  <c r="BE22" i="47"/>
  <c r="BH17" i="47"/>
  <c r="BN18" i="47" s="1"/>
  <c r="BG17" i="47"/>
  <c r="BM18" i="47" s="1"/>
  <c r="BF17" i="47"/>
  <c r="BL18" i="47" s="1"/>
  <c r="BE17" i="47"/>
  <c r="BK18" i="47" s="1"/>
  <c r="BB22" i="47"/>
  <c r="BB86" i="47" s="1"/>
  <c r="BA22" i="47"/>
  <c r="BA86" i="47" s="1"/>
  <c r="AZ22" i="47"/>
  <c r="AZ86" i="47" s="1"/>
  <c r="AY22" i="47"/>
  <c r="BB17" i="47"/>
  <c r="BA17" i="47"/>
  <c r="AZ17" i="47"/>
  <c r="AY17" i="47"/>
  <c r="AV17" i="47"/>
  <c r="AU17" i="47"/>
  <c r="AT17" i="47"/>
  <c r="AS17" i="47"/>
  <c r="AP22" i="47"/>
  <c r="AP4" i="47" s="1"/>
  <c r="AO22" i="47"/>
  <c r="AN22" i="47"/>
  <c r="AM22" i="47"/>
  <c r="AP17" i="47"/>
  <c r="AO17" i="47"/>
  <c r="AN17" i="47"/>
  <c r="AM17" i="47"/>
  <c r="AJ22" i="47"/>
  <c r="AI22" i="47"/>
  <c r="AI38" i="47" s="1"/>
  <c r="AH22" i="47"/>
  <c r="AH4" i="47" s="1"/>
  <c r="AG22" i="47"/>
  <c r="AG4" i="47" s="1"/>
  <c r="AJ17" i="47"/>
  <c r="AI17" i="47"/>
  <c r="AH17" i="47"/>
  <c r="AG17" i="47"/>
  <c r="AD22" i="47"/>
  <c r="AC22" i="47"/>
  <c r="AB22" i="47"/>
  <c r="AA22" i="47"/>
  <c r="AA4" i="47" s="1"/>
  <c r="AD17" i="47"/>
  <c r="AC17" i="47"/>
  <c r="AB17" i="47"/>
  <c r="AA17" i="47"/>
  <c r="X22" i="47"/>
  <c r="W22" i="47"/>
  <c r="W4" i="47" s="1"/>
  <c r="V22" i="47"/>
  <c r="U22" i="47"/>
  <c r="U4" i="47" s="1"/>
  <c r="X17" i="47"/>
  <c r="W17" i="47"/>
  <c r="V17" i="47"/>
  <c r="U17" i="47"/>
  <c r="R22" i="47"/>
  <c r="R4" i="47" s="1"/>
  <c r="Q22" i="47"/>
  <c r="Q4" i="47" s="1"/>
  <c r="P22" i="47"/>
  <c r="O22" i="47"/>
  <c r="O4" i="47" s="1"/>
  <c r="CG16" i="47"/>
  <c r="CG13" i="47"/>
  <c r="CG10" i="47"/>
  <c r="CA16" i="47"/>
  <c r="CA13" i="47"/>
  <c r="CA10" i="47"/>
  <c r="BO16" i="47"/>
  <c r="BO109" i="47" s="1"/>
  <c r="BI16" i="47"/>
  <c r="BI13" i="47"/>
  <c r="BI10" i="47"/>
  <c r="BC16" i="47"/>
  <c r="BC13" i="47"/>
  <c r="BC10" i="47"/>
  <c r="AW16" i="47"/>
  <c r="AQ16" i="47"/>
  <c r="AQ13" i="47"/>
  <c r="AQ10" i="47"/>
  <c r="AK16" i="47"/>
  <c r="AK13" i="47"/>
  <c r="AK10" i="47"/>
  <c r="AK54" i="47" s="1"/>
  <c r="AE16" i="47"/>
  <c r="AE13" i="47"/>
  <c r="AE10" i="47"/>
  <c r="AE54" i="47" s="1"/>
  <c r="Y16" i="47"/>
  <c r="S16" i="47"/>
  <c r="S13" i="47"/>
  <c r="S10" i="47"/>
  <c r="S54" i="47" s="1"/>
  <c r="F16" i="47"/>
  <c r="E16" i="47"/>
  <c r="D16" i="47"/>
  <c r="C16" i="47"/>
  <c r="CF15" i="47"/>
  <c r="BH14" i="47"/>
  <c r="BN15" i="47" s="1"/>
  <c r="BG14" i="47"/>
  <c r="BM15" i="47" s="1"/>
  <c r="BF14" i="47"/>
  <c r="BL15" i="47" s="1"/>
  <c r="BE14" i="47"/>
  <c r="BK15" i="47" s="1"/>
  <c r="AP14" i="47"/>
  <c r="AO14" i="47"/>
  <c r="AN14" i="47"/>
  <c r="AM14" i="47"/>
  <c r="AJ14" i="47"/>
  <c r="AI14" i="47"/>
  <c r="AH14" i="47"/>
  <c r="AG14" i="47"/>
  <c r="AD14" i="47"/>
  <c r="AC14" i="47"/>
  <c r="AB14" i="47"/>
  <c r="AA14" i="47"/>
  <c r="X14" i="47"/>
  <c r="W14" i="47"/>
  <c r="V14" i="47"/>
  <c r="U14" i="47"/>
  <c r="Y13" i="47"/>
  <c r="Y10" i="47"/>
  <c r="Y54" i="47" s="1"/>
  <c r="F13" i="47"/>
  <c r="E13" i="47"/>
  <c r="D13" i="47"/>
  <c r="C13" i="47"/>
  <c r="BH11" i="47"/>
  <c r="BN12" i="47" s="1"/>
  <c r="BG11" i="47"/>
  <c r="BM12" i="47" s="1"/>
  <c r="BF11" i="47"/>
  <c r="BL12" i="47" s="1"/>
  <c r="BE11" i="47"/>
  <c r="BK12" i="47" s="1"/>
  <c r="AP11" i="47"/>
  <c r="AO11" i="47"/>
  <c r="AN11" i="47"/>
  <c r="AM11" i="47"/>
  <c r="AJ11" i="47"/>
  <c r="AI11" i="47"/>
  <c r="AH11" i="47"/>
  <c r="AG11" i="47"/>
  <c r="AD11" i="47"/>
  <c r="AC11" i="47"/>
  <c r="AB11" i="47"/>
  <c r="AA11" i="47"/>
  <c r="X11" i="47"/>
  <c r="W11" i="47"/>
  <c r="V11" i="47"/>
  <c r="U11" i="47"/>
  <c r="AT13" i="47"/>
  <c r="AS13" i="47"/>
  <c r="AU10" i="47"/>
  <c r="AT10" i="47"/>
  <c r="AS10" i="47"/>
  <c r="L16" i="47"/>
  <c r="L42" i="47" s="1"/>
  <c r="K16" i="47"/>
  <c r="J16" i="47"/>
  <c r="I16" i="47"/>
  <c r="L13" i="47"/>
  <c r="K13" i="47"/>
  <c r="Q14" i="47" s="1"/>
  <c r="J13" i="47"/>
  <c r="I13" i="47"/>
  <c r="L10" i="47"/>
  <c r="K10" i="47"/>
  <c r="J10" i="47"/>
  <c r="I10" i="47"/>
  <c r="F10" i="47"/>
  <c r="E10" i="47"/>
  <c r="E54" i="47" s="1"/>
  <c r="D10" i="47"/>
  <c r="D54" i="47" s="1"/>
  <c r="C10" i="47"/>
  <c r="L7" i="47"/>
  <c r="K7" i="47"/>
  <c r="J7" i="47"/>
  <c r="I7" i="47"/>
  <c r="R7" i="47"/>
  <c r="Q7" i="47"/>
  <c r="P7" i="47"/>
  <c r="O7" i="47"/>
  <c r="CG2" i="47"/>
  <c r="CC1" i="47"/>
  <c r="BW1" i="47"/>
  <c r="BQ1" i="47"/>
  <c r="BK1" i="47"/>
  <c r="BE1" i="47"/>
  <c r="AY1" i="47"/>
  <c r="AS1" i="47"/>
  <c r="AM1" i="47"/>
  <c r="AG1" i="47"/>
  <c r="AA1" i="47"/>
  <c r="CF109" i="4"/>
  <c r="CE109" i="4"/>
  <c r="CD109" i="4"/>
  <c r="CC109" i="4"/>
  <c r="BZ109" i="4"/>
  <c r="BY109" i="4"/>
  <c r="BX109" i="4"/>
  <c r="BW109" i="4"/>
  <c r="BT109" i="4"/>
  <c r="BS109" i="4"/>
  <c r="BR109" i="4"/>
  <c r="BQ109" i="4"/>
  <c r="BN109" i="4"/>
  <c r="BM109" i="4"/>
  <c r="BM58" i="4" s="1"/>
  <c r="BK109" i="4"/>
  <c r="BH109" i="4"/>
  <c r="BG109" i="4"/>
  <c r="BF109" i="4"/>
  <c r="BE109" i="4"/>
  <c r="BB109" i="4"/>
  <c r="BA109" i="4"/>
  <c r="AZ109" i="4"/>
  <c r="AY109" i="4"/>
  <c r="AV109" i="4"/>
  <c r="AU109" i="4"/>
  <c r="AT109" i="4"/>
  <c r="AI109" i="4"/>
  <c r="AH109" i="4"/>
  <c r="AG109" i="4"/>
  <c r="AD109" i="4"/>
  <c r="AC109" i="4"/>
  <c r="AB109" i="4"/>
  <c r="AA109" i="4"/>
  <c r="X109" i="4"/>
  <c r="W109" i="4"/>
  <c r="V109" i="4"/>
  <c r="U109" i="4"/>
  <c r="R109" i="4"/>
  <c r="Q109" i="4"/>
  <c r="P109" i="4"/>
  <c r="O109" i="4"/>
  <c r="L109" i="4"/>
  <c r="K109" i="4"/>
  <c r="J109" i="4"/>
  <c r="I109" i="4"/>
  <c r="AN106" i="4"/>
  <c r="AS103" i="4"/>
  <c r="AS102" i="4"/>
  <c r="AJ100" i="4"/>
  <c r="AJ109" i="4" s="1"/>
  <c r="F96" i="4"/>
  <c r="E96" i="4"/>
  <c r="D96" i="4"/>
  <c r="C96" i="4"/>
  <c r="BG95" i="4"/>
  <c r="BM96" i="4" s="1"/>
  <c r="BM97" i="4" s="1"/>
  <c r="BF95" i="4"/>
  <c r="BL96" i="4" s="1"/>
  <c r="BE95" i="4"/>
  <c r="BB95" i="4"/>
  <c r="BH96" i="4" s="1"/>
  <c r="BA95" i="4"/>
  <c r="AZ95" i="4"/>
  <c r="AY95" i="4"/>
  <c r="AV95" i="4"/>
  <c r="AU95" i="4"/>
  <c r="AT95" i="4"/>
  <c r="AS95" i="4"/>
  <c r="BB93" i="4"/>
  <c r="BA93" i="4"/>
  <c r="AZ93" i="4"/>
  <c r="AY93" i="4"/>
  <c r="AV93" i="4"/>
  <c r="AU93" i="4"/>
  <c r="AT93" i="4"/>
  <c r="AS93" i="4"/>
  <c r="AP93" i="4"/>
  <c r="AO93" i="4"/>
  <c r="AN93" i="4"/>
  <c r="AM93" i="4"/>
  <c r="AJ93" i="4"/>
  <c r="AI93" i="4"/>
  <c r="AH93" i="4"/>
  <c r="AG93" i="4"/>
  <c r="BG92" i="4"/>
  <c r="BM93" i="4" s="1"/>
  <c r="BF92" i="4"/>
  <c r="BL93" i="4" s="1"/>
  <c r="BE92" i="4"/>
  <c r="BK93" i="4" s="1"/>
  <c r="BC92" i="4"/>
  <c r="AW92" i="4"/>
  <c r="AQ92" i="4"/>
  <c r="AK92" i="4"/>
  <c r="AE92" i="4"/>
  <c r="X92" i="4"/>
  <c r="W92" i="4"/>
  <c r="V92" i="4"/>
  <c r="U92" i="4"/>
  <c r="R92" i="4"/>
  <c r="Q92" i="4"/>
  <c r="P92" i="4"/>
  <c r="O92" i="4"/>
  <c r="L92" i="4"/>
  <c r="K92" i="4"/>
  <c r="J92" i="4"/>
  <c r="I92" i="4"/>
  <c r="F92" i="4"/>
  <c r="E92" i="4"/>
  <c r="D92" i="4"/>
  <c r="C92" i="4"/>
  <c r="AV87" i="4"/>
  <c r="AU87" i="4"/>
  <c r="AT87" i="4"/>
  <c r="AS87" i="4"/>
  <c r="AP87" i="4"/>
  <c r="AO87" i="4"/>
  <c r="AN87" i="4"/>
  <c r="AM87" i="4"/>
  <c r="AJ87" i="4"/>
  <c r="AI87" i="4"/>
  <c r="AI109" i="47" s="1"/>
  <c r="AH87" i="4"/>
  <c r="AG87" i="4"/>
  <c r="AD87" i="4"/>
  <c r="AC87" i="4"/>
  <c r="AB87" i="4"/>
  <c r="AB109" i="47" s="1"/>
  <c r="AA87" i="4"/>
  <c r="X87" i="4"/>
  <c r="X109" i="47" s="1"/>
  <c r="W87" i="4"/>
  <c r="V87" i="4"/>
  <c r="V109" i="47" s="1"/>
  <c r="U87" i="4"/>
  <c r="R87" i="4"/>
  <c r="Q87" i="4"/>
  <c r="P87" i="4"/>
  <c r="O87" i="4"/>
  <c r="L87" i="4"/>
  <c r="K87" i="4"/>
  <c r="J87" i="4"/>
  <c r="I87" i="4"/>
  <c r="F87" i="4"/>
  <c r="E87" i="4"/>
  <c r="D87" i="4"/>
  <c r="C87" i="4"/>
  <c r="AW86" i="4"/>
  <c r="AW85" i="4"/>
  <c r="AQ86" i="4"/>
  <c r="AQ85" i="4"/>
  <c r="AK86" i="4"/>
  <c r="AK85" i="4"/>
  <c r="AE86" i="4"/>
  <c r="AE85" i="4"/>
  <c r="Y86" i="4"/>
  <c r="Y85" i="4"/>
  <c r="S86" i="4"/>
  <c r="S85" i="4"/>
  <c r="M86" i="4"/>
  <c r="M85" i="4"/>
  <c r="G86" i="4"/>
  <c r="G85" i="4"/>
  <c r="BC85" i="4"/>
  <c r="AP80" i="4"/>
  <c r="AO80" i="4"/>
  <c r="AN80" i="4"/>
  <c r="AM80" i="4"/>
  <c r="AJ80" i="4"/>
  <c r="AI80" i="4"/>
  <c r="AH80" i="4"/>
  <c r="AG80" i="4"/>
  <c r="AD80" i="4"/>
  <c r="AC80" i="4"/>
  <c r="AB80" i="4"/>
  <c r="AA80" i="4"/>
  <c r="X80" i="4"/>
  <c r="W80" i="4"/>
  <c r="V80" i="4"/>
  <c r="U80" i="4"/>
  <c r="R80" i="4"/>
  <c r="Q80" i="4"/>
  <c r="P80" i="4"/>
  <c r="O80" i="4"/>
  <c r="L80" i="4"/>
  <c r="K80" i="4"/>
  <c r="J80" i="4"/>
  <c r="I80" i="4"/>
  <c r="AQ79" i="4"/>
  <c r="AK79" i="4"/>
  <c r="AE79" i="4"/>
  <c r="Y79" i="4"/>
  <c r="S79" i="4"/>
  <c r="M79" i="4"/>
  <c r="G79" i="4"/>
  <c r="AJ76" i="4"/>
  <c r="AI76" i="4"/>
  <c r="AI105" i="47" s="1"/>
  <c r="AH76" i="4"/>
  <c r="AG76" i="4"/>
  <c r="AG105" i="47" s="1"/>
  <c r="AD76" i="4"/>
  <c r="AC76" i="4"/>
  <c r="AB76" i="4"/>
  <c r="AA76" i="4"/>
  <c r="AA81" i="4" s="1"/>
  <c r="X76" i="4"/>
  <c r="X105" i="47" s="1"/>
  <c r="W76" i="4"/>
  <c r="V76" i="4"/>
  <c r="V105" i="47" s="1"/>
  <c r="U76" i="4"/>
  <c r="R76" i="4"/>
  <c r="Q76" i="4"/>
  <c r="Q105" i="47" s="1"/>
  <c r="P76" i="4"/>
  <c r="O76" i="4"/>
  <c r="O105" i="47" s="1"/>
  <c r="L76" i="4"/>
  <c r="K76" i="4"/>
  <c r="J76" i="4"/>
  <c r="I76" i="4"/>
  <c r="I81" i="4" s="1"/>
  <c r="F76" i="4"/>
  <c r="E76" i="4"/>
  <c r="D76" i="4"/>
  <c r="C76" i="4"/>
  <c r="C81" i="4" s="1"/>
  <c r="AW75" i="4"/>
  <c r="AQ75" i="4"/>
  <c r="AK75" i="4"/>
  <c r="AK74" i="4"/>
  <c r="AE75" i="4"/>
  <c r="AE74" i="4"/>
  <c r="Y75" i="4"/>
  <c r="Y74" i="4"/>
  <c r="S75" i="4"/>
  <c r="S74" i="4"/>
  <c r="M75" i="4"/>
  <c r="M74" i="4"/>
  <c r="G75" i="4"/>
  <c r="G74" i="4"/>
  <c r="BG75" i="4"/>
  <c r="BF75" i="4"/>
  <c r="BB75" i="4"/>
  <c r="BA75" i="4"/>
  <c r="AZ75" i="4"/>
  <c r="AZ81" i="4" s="1"/>
  <c r="AY75" i="4"/>
  <c r="AP74" i="4"/>
  <c r="AP76" i="4" s="1"/>
  <c r="AO74" i="4"/>
  <c r="AO76" i="4" s="1"/>
  <c r="AN74" i="4"/>
  <c r="AN37" i="47" s="1"/>
  <c r="AM74" i="4"/>
  <c r="AM76" i="4" s="1"/>
  <c r="BE54" i="4"/>
  <c r="F56" i="4"/>
  <c r="E56" i="4"/>
  <c r="D56" i="4"/>
  <c r="C56" i="4"/>
  <c r="CF27" i="4"/>
  <c r="BX52" i="4"/>
  <c r="BX51" i="4" s="1"/>
  <c r="BT47" i="4"/>
  <c r="BS12" i="4"/>
  <c r="BR52" i="4"/>
  <c r="BR51" i="4" s="1"/>
  <c r="BF54" i="4"/>
  <c r="BB54" i="4"/>
  <c r="BA54" i="4"/>
  <c r="BA146" i="1" s="1"/>
  <c r="AZ54" i="4"/>
  <c r="AZ146" i="1" s="1"/>
  <c r="AY54" i="4"/>
  <c r="AV54" i="4"/>
  <c r="AU54" i="4"/>
  <c r="AU146" i="1" s="1"/>
  <c r="AT54" i="4"/>
  <c r="AS54" i="4"/>
  <c r="AS146" i="1" s="1"/>
  <c r="AP54" i="4"/>
  <c r="AO54" i="4"/>
  <c r="AN54" i="4"/>
  <c r="AM54" i="4"/>
  <c r="AJ54" i="4"/>
  <c r="AI54" i="4"/>
  <c r="AH54" i="4"/>
  <c r="AG54" i="4"/>
  <c r="AD54" i="4"/>
  <c r="AC54" i="4"/>
  <c r="AB54" i="4"/>
  <c r="AB146" i="1" s="1"/>
  <c r="AA54" i="4"/>
  <c r="AA146" i="1" s="1"/>
  <c r="X54" i="4"/>
  <c r="X146" i="1" s="1"/>
  <c r="W54" i="4"/>
  <c r="W146" i="1" s="1"/>
  <c r="V54" i="4"/>
  <c r="V146" i="1" s="1"/>
  <c r="U54" i="4"/>
  <c r="U146" i="1" s="1"/>
  <c r="R58" i="4"/>
  <c r="Q58" i="4"/>
  <c r="P58" i="4"/>
  <c r="O58" i="4"/>
  <c r="R54" i="4"/>
  <c r="R146" i="1" s="1"/>
  <c r="Q54" i="4"/>
  <c r="Q146" i="1" s="1"/>
  <c r="P54" i="4"/>
  <c r="O54" i="4"/>
  <c r="L58" i="4"/>
  <c r="K58" i="4"/>
  <c r="J58" i="4"/>
  <c r="I58" i="4"/>
  <c r="L54" i="4"/>
  <c r="K54" i="4"/>
  <c r="J54" i="4"/>
  <c r="J146" i="1" s="1"/>
  <c r="I54" i="4"/>
  <c r="E54" i="4"/>
  <c r="D54" i="4"/>
  <c r="C54" i="4"/>
  <c r="BT52" i="4"/>
  <c r="BT51" i="4" s="1"/>
  <c r="BG52" i="4"/>
  <c r="BF52" i="4"/>
  <c r="BF51" i="4"/>
  <c r="AP51" i="4"/>
  <c r="AO51" i="4"/>
  <c r="AN51" i="4"/>
  <c r="AM51" i="4"/>
  <c r="AJ51" i="4"/>
  <c r="AI51" i="4"/>
  <c r="AI50" i="4" s="1"/>
  <c r="AH51" i="4"/>
  <c r="AH50" i="4" s="1"/>
  <c r="BE49" i="4"/>
  <c r="BB49" i="4"/>
  <c r="BB39" i="4" s="1"/>
  <c r="BA49" i="4"/>
  <c r="BG51" i="4" s="1"/>
  <c r="AY49" i="4"/>
  <c r="AV49" i="4"/>
  <c r="AU49" i="4"/>
  <c r="AS49" i="4"/>
  <c r="AS39" i="4" s="1"/>
  <c r="AQ49" i="4"/>
  <c r="AK49" i="4"/>
  <c r="AE49" i="4"/>
  <c r="AE51" i="4" s="1"/>
  <c r="BG47" i="4"/>
  <c r="BF47" i="4"/>
  <c r="BH46" i="4"/>
  <c r="BE46" i="4"/>
  <c r="BB46" i="4"/>
  <c r="BA46" i="4"/>
  <c r="AY46" i="4"/>
  <c r="AV46" i="4"/>
  <c r="AU46" i="4"/>
  <c r="AS46" i="4"/>
  <c r="AP46" i="4"/>
  <c r="AO46" i="4"/>
  <c r="AN46" i="4"/>
  <c r="AM46" i="4"/>
  <c r="AJ46" i="4"/>
  <c r="AI46" i="4"/>
  <c r="AH46" i="4"/>
  <c r="BR46" i="4"/>
  <c r="BF44" i="4"/>
  <c r="BC44" i="4"/>
  <c r="AT44" i="4"/>
  <c r="AQ44" i="4"/>
  <c r="AK44" i="4"/>
  <c r="AE44" i="4"/>
  <c r="BG39" i="4"/>
  <c r="AZ39" i="4"/>
  <c r="AP39" i="4"/>
  <c r="AO39" i="4"/>
  <c r="AN39" i="4"/>
  <c r="AM39" i="4"/>
  <c r="AM10" i="3" s="1"/>
  <c r="AJ39" i="4"/>
  <c r="AJ10" i="3" s="1"/>
  <c r="AI39" i="4"/>
  <c r="AH39" i="4"/>
  <c r="AG39" i="4"/>
  <c r="AD39" i="4"/>
  <c r="AD63" i="3" s="1"/>
  <c r="AC39" i="4"/>
  <c r="AB39" i="4"/>
  <c r="AB10" i="3" s="1"/>
  <c r="BG37" i="4"/>
  <c r="S29" i="4"/>
  <c r="M29" i="4"/>
  <c r="BG32" i="4"/>
  <c r="BF32" i="4"/>
  <c r="BG31" i="4"/>
  <c r="BG107" i="3" s="1"/>
  <c r="BF31" i="4"/>
  <c r="BF107" i="3" s="1"/>
  <c r="BF88" i="3" s="1"/>
  <c r="BE31" i="4"/>
  <c r="BE107" i="3" s="1"/>
  <c r="AU31" i="4"/>
  <c r="AU107" i="3" s="1"/>
  <c r="AU88" i="3" s="1"/>
  <c r="AT31" i="4"/>
  <c r="AS31" i="4"/>
  <c r="AS107" i="3" s="1"/>
  <c r="BB31" i="4"/>
  <c r="BB107" i="3" s="1"/>
  <c r="BB88" i="3" s="1"/>
  <c r="BA31" i="4"/>
  <c r="AZ31" i="4"/>
  <c r="AZ107" i="3" s="1"/>
  <c r="AZ137" i="3" s="1"/>
  <c r="AY31" i="4"/>
  <c r="AY107" i="3" s="1"/>
  <c r="AY88" i="3" s="1"/>
  <c r="AW29" i="4"/>
  <c r="AP31" i="4"/>
  <c r="AP107" i="3" s="1"/>
  <c r="AP137" i="3" s="1"/>
  <c r="AO31" i="4"/>
  <c r="AO107" i="3" s="1"/>
  <c r="AO88" i="3" s="1"/>
  <c r="AN31" i="4"/>
  <c r="AN107" i="3" s="1"/>
  <c r="AN137" i="3" s="1"/>
  <c r="AM31" i="4"/>
  <c r="AM107" i="3" s="1"/>
  <c r="AM122" i="3" s="1"/>
  <c r="AJ31" i="4"/>
  <c r="AJ107" i="3" s="1"/>
  <c r="AJ88" i="3" s="1"/>
  <c r="AI31" i="4"/>
  <c r="AI122" i="3" s="1"/>
  <c r="AH31" i="4"/>
  <c r="BC29" i="4"/>
  <c r="AQ29" i="4"/>
  <c r="AK29" i="4"/>
  <c r="AA29" i="4"/>
  <c r="X29" i="4"/>
  <c r="W29" i="4"/>
  <c r="V29" i="4"/>
  <c r="U29" i="4"/>
  <c r="G29" i="4"/>
  <c r="Y24" i="4"/>
  <c r="S26" i="4"/>
  <c r="AV26" i="4"/>
  <c r="AV106" i="3" s="1"/>
  <c r="AV87" i="3" s="1"/>
  <c r="AU26" i="4"/>
  <c r="AU106" i="3" s="1"/>
  <c r="AU87" i="3" s="1"/>
  <c r="AS26" i="4"/>
  <c r="AS106" i="3" s="1"/>
  <c r="AS121" i="3" s="1"/>
  <c r="AP26" i="4"/>
  <c r="AP106" i="3" s="1"/>
  <c r="AO26" i="4"/>
  <c r="AO106" i="3" s="1"/>
  <c r="AO87" i="3" s="1"/>
  <c r="AN26" i="4"/>
  <c r="AN106" i="3" s="1"/>
  <c r="AM26" i="4"/>
  <c r="AM106" i="3" s="1"/>
  <c r="AM136" i="3" s="1"/>
  <c r="AJ26" i="4"/>
  <c r="AJ106" i="3" s="1"/>
  <c r="AI26" i="4"/>
  <c r="AI121" i="3" s="1"/>
  <c r="AH26" i="4"/>
  <c r="AH136" i="3" s="1"/>
  <c r="AG26" i="4"/>
  <c r="AG136" i="3" s="1"/>
  <c r="AD26" i="4"/>
  <c r="AD136" i="3" s="1"/>
  <c r="AC26" i="4"/>
  <c r="AB26" i="4"/>
  <c r="AA26" i="4"/>
  <c r="AA121" i="3" s="1"/>
  <c r="AT24" i="4"/>
  <c r="AQ24" i="4"/>
  <c r="AK24" i="4"/>
  <c r="AE24" i="4"/>
  <c r="Y19" i="4"/>
  <c r="S21" i="4"/>
  <c r="AY21" i="4"/>
  <c r="AY105" i="3" s="1"/>
  <c r="AY120" i="3" s="1"/>
  <c r="AS21" i="4"/>
  <c r="AS105" i="3" s="1"/>
  <c r="AS86" i="3" s="1"/>
  <c r="AP21" i="4"/>
  <c r="AP105" i="3" s="1"/>
  <c r="AP120" i="3" s="1"/>
  <c r="AO21" i="4"/>
  <c r="AO105" i="3" s="1"/>
  <c r="AN21" i="4"/>
  <c r="AN105" i="3" s="1"/>
  <c r="AM21" i="4"/>
  <c r="AM105" i="3" s="1"/>
  <c r="AJ21" i="4"/>
  <c r="AJ105" i="3" s="1"/>
  <c r="AJ86" i="3" s="1"/>
  <c r="AI21" i="4"/>
  <c r="AI135" i="3" s="1"/>
  <c r="AH21" i="4"/>
  <c r="AH120" i="3" s="1"/>
  <c r="AG21" i="4"/>
  <c r="AG135" i="3" s="1"/>
  <c r="AD21" i="4"/>
  <c r="AD135" i="3" s="1"/>
  <c r="AC21" i="4"/>
  <c r="AC120" i="3" s="1"/>
  <c r="AB21" i="4"/>
  <c r="AB135" i="3" s="1"/>
  <c r="AA21" i="4"/>
  <c r="AA120" i="3" s="1"/>
  <c r="BG22" i="4"/>
  <c r="BF22" i="4"/>
  <c r="AV19" i="4"/>
  <c r="AU19" i="4"/>
  <c r="AT19" i="4"/>
  <c r="AT21" i="4" s="1"/>
  <c r="AQ19" i="4"/>
  <c r="AK19" i="4"/>
  <c r="AE19" i="4"/>
  <c r="Y14" i="4"/>
  <c r="S16" i="4"/>
  <c r="M16" i="4"/>
  <c r="BB16" i="4"/>
  <c r="BB104" i="3" s="1"/>
  <c r="BB85" i="3" s="1"/>
  <c r="BA16" i="4"/>
  <c r="BA104" i="3" s="1"/>
  <c r="BA85" i="3" s="1"/>
  <c r="AZ16" i="4"/>
  <c r="AY16" i="4"/>
  <c r="AY104" i="3" s="1"/>
  <c r="AY85" i="3" s="1"/>
  <c r="AV16" i="4"/>
  <c r="AV104" i="3" s="1"/>
  <c r="AU16" i="4"/>
  <c r="AT16" i="4"/>
  <c r="AT104" i="3" s="1"/>
  <c r="AS16" i="4"/>
  <c r="AS104" i="3" s="1"/>
  <c r="AS134" i="3" s="1"/>
  <c r="AP16" i="4"/>
  <c r="AP104" i="3" s="1"/>
  <c r="AP85" i="3" s="1"/>
  <c r="AO16" i="4"/>
  <c r="AO104" i="3" s="1"/>
  <c r="AN16" i="4"/>
  <c r="AN104" i="3" s="1"/>
  <c r="AN85" i="3" s="1"/>
  <c r="AM16" i="4"/>
  <c r="AM104" i="3" s="1"/>
  <c r="AM134" i="3" s="1"/>
  <c r="AJ16" i="4"/>
  <c r="AJ104" i="3" s="1"/>
  <c r="AI16" i="4"/>
  <c r="AI104" i="3" s="1"/>
  <c r="AI85" i="3" s="1"/>
  <c r="AH16" i="4"/>
  <c r="AH119" i="3" s="1"/>
  <c r="AG16" i="4"/>
  <c r="AG104" i="3" s="1"/>
  <c r="AG85" i="3" s="1"/>
  <c r="AD16" i="4"/>
  <c r="AD134" i="3" s="1"/>
  <c r="AC16" i="4"/>
  <c r="AC119" i="3" s="1"/>
  <c r="AB16" i="4"/>
  <c r="AA16" i="4"/>
  <c r="AA134" i="3" s="1"/>
  <c r="CD15" i="4"/>
  <c r="CC15" i="4"/>
  <c r="BZ15" i="4"/>
  <c r="BY15" i="4"/>
  <c r="BX15" i="4"/>
  <c r="BW15" i="4"/>
  <c r="BT15" i="4"/>
  <c r="BS15" i="4"/>
  <c r="BR15" i="4"/>
  <c r="BG17" i="4"/>
  <c r="BF17" i="4"/>
  <c r="BC14" i="4"/>
  <c r="AW14" i="4"/>
  <c r="AQ14" i="4"/>
  <c r="AK14" i="4"/>
  <c r="AE14" i="4"/>
  <c r="Y9" i="4"/>
  <c r="S11" i="4"/>
  <c r="M11" i="4"/>
  <c r="AP11" i="4"/>
  <c r="AP103" i="3" s="1"/>
  <c r="AP133" i="3" s="1"/>
  <c r="AO11" i="4"/>
  <c r="AO103" i="3" s="1"/>
  <c r="AN11" i="4"/>
  <c r="AN103" i="3" s="1"/>
  <c r="AN118" i="3" s="1"/>
  <c r="AM11" i="4"/>
  <c r="AM103" i="3" s="1"/>
  <c r="AM84" i="3" s="1"/>
  <c r="AJ11" i="4"/>
  <c r="AI11" i="4"/>
  <c r="AI133" i="3" s="1"/>
  <c r="AH11" i="4"/>
  <c r="AH103" i="3" s="1"/>
  <c r="AH84" i="3" s="1"/>
  <c r="AG11" i="4"/>
  <c r="AG118" i="3" s="1"/>
  <c r="AD11" i="4"/>
  <c r="AD118" i="3" s="1"/>
  <c r="AC11" i="4"/>
  <c r="AB11" i="4"/>
  <c r="AB133" i="3" s="1"/>
  <c r="AA11" i="4"/>
  <c r="AA133" i="3" s="1"/>
  <c r="CF10" i="4"/>
  <c r="CE10" i="4"/>
  <c r="CD10" i="4"/>
  <c r="CC10" i="4"/>
  <c r="BZ10" i="4"/>
  <c r="BY10" i="4"/>
  <c r="BX10" i="4"/>
  <c r="BW10" i="4"/>
  <c r="BT10" i="4"/>
  <c r="BS10" i="4"/>
  <c r="BR10" i="4"/>
  <c r="BG12" i="4"/>
  <c r="BF12" i="4"/>
  <c r="BC9" i="4"/>
  <c r="AS9" i="4"/>
  <c r="AY11" i="4" s="1"/>
  <c r="AY103" i="3" s="1"/>
  <c r="AY84" i="3" s="1"/>
  <c r="AQ9" i="4"/>
  <c r="AK9" i="4"/>
  <c r="AE9" i="4"/>
  <c r="CG5" i="4"/>
  <c r="CC4" i="4"/>
  <c r="BW4" i="4"/>
  <c r="BQ4" i="4"/>
  <c r="BK4" i="4"/>
  <c r="BE4" i="4"/>
  <c r="AY152" i="47"/>
  <c r="AY4" i="4"/>
  <c r="AS4" i="4"/>
  <c r="AP6" i="4"/>
  <c r="AO6" i="4"/>
  <c r="AN6" i="4"/>
  <c r="AM6" i="4"/>
  <c r="AM4" i="4"/>
  <c r="AJ6" i="4"/>
  <c r="AI6" i="4"/>
  <c r="AH6" i="4"/>
  <c r="AG6" i="4"/>
  <c r="AG4" i="4"/>
  <c r="AD6" i="4"/>
  <c r="AC6" i="4"/>
  <c r="AB6" i="4"/>
  <c r="AA4" i="4"/>
  <c r="BC197" i="3"/>
  <c r="BC198" i="3" s="1"/>
  <c r="BC199" i="3" s="1"/>
  <c r="BH191" i="3"/>
  <c r="BH166" i="3" s="1"/>
  <c r="BF191" i="3"/>
  <c r="BF166" i="3" s="1"/>
  <c r="BE191" i="3"/>
  <c r="BE166" i="3" s="1"/>
  <c r="BI190" i="3"/>
  <c r="BC190" i="3"/>
  <c r="BO187" i="3"/>
  <c r="BI187" i="3"/>
  <c r="BC187" i="3"/>
  <c r="BH183" i="3"/>
  <c r="BF183" i="3"/>
  <c r="BE183" i="3"/>
  <c r="BB183" i="3"/>
  <c r="BA183" i="3"/>
  <c r="AZ183" i="3"/>
  <c r="AY183" i="3"/>
  <c r="BI181" i="3"/>
  <c r="BC181" i="3"/>
  <c r="BI179" i="3"/>
  <c r="BC179" i="3"/>
  <c r="AU173" i="3"/>
  <c r="AW172" i="3"/>
  <c r="CG166" i="3"/>
  <c r="CG163" i="3"/>
  <c r="CG162" i="3"/>
  <c r="CA166" i="3"/>
  <c r="CA163" i="3"/>
  <c r="CA162" i="3"/>
  <c r="BU166" i="3"/>
  <c r="BU163" i="3"/>
  <c r="BU162" i="3"/>
  <c r="AW166" i="3"/>
  <c r="AW165" i="3"/>
  <c r="AW164" i="3"/>
  <c r="AW162" i="3"/>
  <c r="CF165" i="3"/>
  <c r="CE165" i="3"/>
  <c r="CD165" i="3"/>
  <c r="CC165" i="3"/>
  <c r="CF164" i="3"/>
  <c r="CE164" i="3"/>
  <c r="CD164" i="3"/>
  <c r="CC164" i="3"/>
  <c r="CF163" i="3"/>
  <c r="CE163" i="3"/>
  <c r="CD163" i="3"/>
  <c r="CC163" i="3"/>
  <c r="BZ165" i="3"/>
  <c r="BY165" i="3"/>
  <c r="BX165" i="3"/>
  <c r="BW165" i="3"/>
  <c r="BZ164" i="3"/>
  <c r="BY164" i="3"/>
  <c r="BX164" i="3"/>
  <c r="BW164" i="3"/>
  <c r="BZ163" i="3"/>
  <c r="BY163" i="3"/>
  <c r="BX163" i="3"/>
  <c r="BW163" i="3"/>
  <c r="BT163" i="3"/>
  <c r="BS163" i="3"/>
  <c r="BR163" i="3"/>
  <c r="BO162" i="3"/>
  <c r="BI162" i="3"/>
  <c r="BC162" i="3"/>
  <c r="AA151" i="3"/>
  <c r="AA150" i="3"/>
  <c r="AB150" i="3" s="1"/>
  <c r="X151" i="3"/>
  <c r="W151" i="3"/>
  <c r="V151" i="3"/>
  <c r="U151" i="3"/>
  <c r="X150" i="3"/>
  <c r="W150" i="3"/>
  <c r="V150" i="3"/>
  <c r="U150" i="3"/>
  <c r="R151" i="3"/>
  <c r="Q151" i="3"/>
  <c r="P151" i="3"/>
  <c r="O151" i="3"/>
  <c r="R150" i="3"/>
  <c r="Q150" i="3"/>
  <c r="P150" i="3"/>
  <c r="O150" i="3"/>
  <c r="L151" i="3"/>
  <c r="K151" i="3"/>
  <c r="J151" i="3"/>
  <c r="I151" i="3"/>
  <c r="L150" i="3"/>
  <c r="K150" i="3"/>
  <c r="J150" i="3"/>
  <c r="I150" i="3"/>
  <c r="F151" i="3"/>
  <c r="E151" i="3"/>
  <c r="D151" i="3"/>
  <c r="C151" i="3"/>
  <c r="F150" i="3"/>
  <c r="E150" i="3"/>
  <c r="D150" i="3"/>
  <c r="C150" i="3"/>
  <c r="AG151" i="3"/>
  <c r="AH151" i="3" s="1"/>
  <c r="AI151" i="3" s="1"/>
  <c r="AG150" i="3"/>
  <c r="AH150" i="3" s="1"/>
  <c r="G149" i="3"/>
  <c r="F148" i="3"/>
  <c r="G148" i="3" s="1"/>
  <c r="I147" i="3" s="1"/>
  <c r="M147" i="3" s="1"/>
  <c r="E148" i="3"/>
  <c r="F147" i="3" s="1"/>
  <c r="D148" i="3"/>
  <c r="E147" i="3" s="1"/>
  <c r="C148" i="3"/>
  <c r="D147" i="3" s="1"/>
  <c r="BB148" i="3"/>
  <c r="BC148" i="3" s="1"/>
  <c r="BE147" i="3" s="1"/>
  <c r="BI147" i="3" s="1"/>
  <c r="BA148" i="3"/>
  <c r="BB147" i="3" s="1"/>
  <c r="AZ148" i="3"/>
  <c r="BA147" i="3" s="1"/>
  <c r="AY148" i="3"/>
  <c r="AZ147" i="3" s="1"/>
  <c r="AV148" i="3"/>
  <c r="AW148" i="3" s="1"/>
  <c r="AY147" i="3" s="1"/>
  <c r="BC147" i="3" s="1"/>
  <c r="AU148" i="3"/>
  <c r="AV147" i="3" s="1"/>
  <c r="AT148" i="3"/>
  <c r="AU147" i="3" s="1"/>
  <c r="AS148" i="3"/>
  <c r="AT147" i="3" s="1"/>
  <c r="AP148" i="3"/>
  <c r="AQ148" i="3" s="1"/>
  <c r="AS147" i="3" s="1"/>
  <c r="AW147" i="3" s="1"/>
  <c r="AO148" i="3"/>
  <c r="AP147" i="3" s="1"/>
  <c r="AN148" i="3"/>
  <c r="AO147" i="3" s="1"/>
  <c r="AJ148" i="3"/>
  <c r="AK148" i="3" s="1"/>
  <c r="AM147" i="3" s="1"/>
  <c r="AI148" i="3"/>
  <c r="AJ147" i="3" s="1"/>
  <c r="AH148" i="3"/>
  <c r="AI147" i="3" s="1"/>
  <c r="AB148" i="3"/>
  <c r="AC147" i="3" s="1"/>
  <c r="AA148" i="3"/>
  <c r="AB147" i="3" s="1"/>
  <c r="Y149" i="3"/>
  <c r="X148" i="3"/>
  <c r="Y148" i="3" s="1"/>
  <c r="AA147" i="3" s="1"/>
  <c r="AE147" i="3" s="1"/>
  <c r="W148" i="3"/>
  <c r="X147" i="3" s="1"/>
  <c r="V148" i="3"/>
  <c r="W147" i="3" s="1"/>
  <c r="U148" i="3"/>
  <c r="V147" i="3" s="1"/>
  <c r="S149" i="3"/>
  <c r="R148" i="3"/>
  <c r="S148" i="3" s="1"/>
  <c r="U147" i="3" s="1"/>
  <c r="Y147" i="3" s="1"/>
  <c r="Q148" i="3"/>
  <c r="R147" i="3" s="1"/>
  <c r="P148" i="3"/>
  <c r="Q147" i="3" s="1"/>
  <c r="O148" i="3"/>
  <c r="P147" i="3" s="1"/>
  <c r="M149" i="3"/>
  <c r="L148" i="3"/>
  <c r="M148" i="3" s="1"/>
  <c r="O147" i="3" s="1"/>
  <c r="S147" i="3" s="1"/>
  <c r="K148" i="3"/>
  <c r="L147" i="3" s="1"/>
  <c r="J148" i="3"/>
  <c r="K147" i="3" s="1"/>
  <c r="I148" i="3"/>
  <c r="J147" i="3" s="1"/>
  <c r="G147" i="3"/>
  <c r="BE132" i="3"/>
  <c r="BE117" i="3"/>
  <c r="BQ113" i="3"/>
  <c r="BQ94" i="3" s="1"/>
  <c r="BQ112" i="3"/>
  <c r="BQ142" i="3" s="1"/>
  <c r="BN113" i="3"/>
  <c r="BN143" i="3" s="1"/>
  <c r="BM113" i="3"/>
  <c r="BM143" i="3" s="1"/>
  <c r="BL113" i="3"/>
  <c r="BL143" i="3" s="1"/>
  <c r="BK113" i="3"/>
  <c r="BK143" i="3" s="1"/>
  <c r="BH113" i="3"/>
  <c r="BH143" i="3" s="1"/>
  <c r="BE102" i="3"/>
  <c r="BE83" i="3" s="1"/>
  <c r="BG78" i="3"/>
  <c r="BF78" i="3"/>
  <c r="BE78" i="3"/>
  <c r="BB78" i="3"/>
  <c r="BA78" i="3"/>
  <c r="AZ78" i="3"/>
  <c r="AY78" i="3"/>
  <c r="AU78" i="3"/>
  <c r="AT78" i="3"/>
  <c r="AS78" i="3"/>
  <c r="AP78" i="3"/>
  <c r="AO78" i="3"/>
  <c r="AN78" i="3"/>
  <c r="AM78" i="3"/>
  <c r="AJ78" i="3"/>
  <c r="AI78" i="3"/>
  <c r="AH78" i="3"/>
  <c r="AG78" i="3"/>
  <c r="AD78" i="3"/>
  <c r="BC77" i="3"/>
  <c r="BC99" i="1" s="1"/>
  <c r="AV77" i="3"/>
  <c r="AU8" i="2" s="1"/>
  <c r="CG76" i="3"/>
  <c r="CA76" i="3"/>
  <c r="AC76" i="3"/>
  <c r="AB76" i="3"/>
  <c r="AA76" i="3"/>
  <c r="W76" i="3"/>
  <c r="V76" i="3"/>
  <c r="U76" i="3"/>
  <c r="Q76" i="3"/>
  <c r="P76" i="3"/>
  <c r="O76" i="3"/>
  <c r="K76" i="3"/>
  <c r="L76" i="3" s="1"/>
  <c r="M76" i="3" s="1"/>
  <c r="G76" i="3"/>
  <c r="B71" i="3"/>
  <c r="B70" i="3"/>
  <c r="B66" i="3"/>
  <c r="B65" i="3"/>
  <c r="AI69" i="3"/>
  <c r="AH69" i="3"/>
  <c r="AG69" i="3"/>
  <c r="AJ67" i="3"/>
  <c r="AI67" i="3"/>
  <c r="AH67" i="3"/>
  <c r="AG65" i="3"/>
  <c r="AC69" i="3"/>
  <c r="AB69" i="3"/>
  <c r="AA69" i="3"/>
  <c r="AC67" i="3"/>
  <c r="AB67" i="3"/>
  <c r="AA65" i="3"/>
  <c r="W69" i="3"/>
  <c r="V69" i="3"/>
  <c r="U69" i="3"/>
  <c r="W68" i="3"/>
  <c r="V68" i="3"/>
  <c r="U68" i="3"/>
  <c r="W67" i="3"/>
  <c r="V67" i="3"/>
  <c r="U67" i="3"/>
  <c r="X65" i="3"/>
  <c r="W65" i="3"/>
  <c r="V65" i="3"/>
  <c r="U65" i="3"/>
  <c r="Q69" i="3"/>
  <c r="P69" i="3"/>
  <c r="O69" i="3"/>
  <c r="Q68" i="3"/>
  <c r="P68" i="3"/>
  <c r="O68" i="3"/>
  <c r="Q67" i="3"/>
  <c r="P67" i="3"/>
  <c r="O67" i="3"/>
  <c r="Q65" i="3"/>
  <c r="P65" i="3"/>
  <c r="O65" i="3"/>
  <c r="K69" i="3"/>
  <c r="J69" i="3"/>
  <c r="I69" i="3"/>
  <c r="K68" i="3"/>
  <c r="J68" i="3"/>
  <c r="K67" i="3"/>
  <c r="J67" i="3"/>
  <c r="I67" i="3"/>
  <c r="K65" i="3"/>
  <c r="J65" i="3"/>
  <c r="I65" i="3"/>
  <c r="AA60" i="3"/>
  <c r="BG69" i="3"/>
  <c r="BF69" i="3"/>
  <c r="BG65" i="3"/>
  <c r="BF65" i="3"/>
  <c r="BE65" i="3"/>
  <c r="BG60" i="3"/>
  <c r="BG82" i="3" s="1"/>
  <c r="BF60" i="3"/>
  <c r="BE60" i="3"/>
  <c r="BB69" i="3"/>
  <c r="BA69" i="3"/>
  <c r="AZ69" i="3"/>
  <c r="BB65" i="3"/>
  <c r="BA65" i="3"/>
  <c r="AZ65" i="3"/>
  <c r="AY65" i="3"/>
  <c r="BB60" i="3"/>
  <c r="BB82" i="3" s="1"/>
  <c r="BA60" i="3"/>
  <c r="BA82" i="3" s="1"/>
  <c r="AZ60" i="3"/>
  <c r="AZ82" i="3" s="1"/>
  <c r="AY60" i="3"/>
  <c r="AY82" i="3" s="1"/>
  <c r="AV69" i="3"/>
  <c r="AU69" i="3"/>
  <c r="AT69" i="3"/>
  <c r="AS69" i="3"/>
  <c r="AV68" i="3"/>
  <c r="AU68" i="3"/>
  <c r="AT68" i="3"/>
  <c r="AS68" i="3"/>
  <c r="AV67" i="3"/>
  <c r="AU67" i="3"/>
  <c r="AT67" i="3"/>
  <c r="AS67" i="3"/>
  <c r="AV65" i="3"/>
  <c r="AU65" i="3"/>
  <c r="AT65" i="3"/>
  <c r="AS65" i="3"/>
  <c r="AV60" i="3"/>
  <c r="AV82" i="3" s="1"/>
  <c r="AU60" i="3"/>
  <c r="AU82" i="3" s="1"/>
  <c r="AT60" i="3"/>
  <c r="AT82" i="3" s="1"/>
  <c r="AS60" i="3"/>
  <c r="AS82" i="3" s="1"/>
  <c r="AP69" i="3"/>
  <c r="AO69" i="3"/>
  <c r="AN69" i="3"/>
  <c r="AM69" i="3"/>
  <c r="AP68" i="3"/>
  <c r="AO68" i="3"/>
  <c r="AN68" i="3"/>
  <c r="AM68" i="3"/>
  <c r="AP67" i="3"/>
  <c r="AO67" i="3"/>
  <c r="AN67" i="3"/>
  <c r="AM67" i="3"/>
  <c r="AP65" i="3"/>
  <c r="AO65" i="3"/>
  <c r="AN65" i="3"/>
  <c r="AM65" i="3"/>
  <c r="AP60" i="3"/>
  <c r="AP82" i="3" s="1"/>
  <c r="AO60" i="3"/>
  <c r="AO82" i="3" s="1"/>
  <c r="AN60" i="3"/>
  <c r="AN82" i="3" s="1"/>
  <c r="AM60" i="3"/>
  <c r="AM82" i="3" s="1"/>
  <c r="AJ60" i="3"/>
  <c r="AI60" i="3"/>
  <c r="AI82" i="3" s="1"/>
  <c r="AH60" i="3"/>
  <c r="AH82" i="3" s="1"/>
  <c r="AG60" i="3"/>
  <c r="AG82" i="3" s="1"/>
  <c r="AD60" i="3"/>
  <c r="AD82" i="3" s="1"/>
  <c r="AC60" i="3"/>
  <c r="AC82" i="3" s="1"/>
  <c r="AB60" i="3"/>
  <c r="AB82" i="3" s="1"/>
  <c r="X60" i="3"/>
  <c r="X82" i="3" s="1"/>
  <c r="W60" i="3"/>
  <c r="W82" i="3" s="1"/>
  <c r="V60" i="3"/>
  <c r="V82" i="3" s="1"/>
  <c r="U60" i="3"/>
  <c r="R60" i="3"/>
  <c r="Q60" i="3"/>
  <c r="P60" i="3"/>
  <c r="O60" i="3"/>
  <c r="O82" i="3" s="1"/>
  <c r="K60" i="3"/>
  <c r="K82" i="3" s="1"/>
  <c r="J60" i="3"/>
  <c r="I60" i="3"/>
  <c r="I82" i="3" s="1"/>
  <c r="B54" i="3"/>
  <c r="CG52" i="3"/>
  <c r="CA52" i="3"/>
  <c r="BR53" i="3"/>
  <c r="BO52" i="3"/>
  <c r="BI52" i="3"/>
  <c r="BG53" i="3"/>
  <c r="BF53" i="3"/>
  <c r="BE53" i="3"/>
  <c r="BB53" i="3"/>
  <c r="BA53" i="3"/>
  <c r="AZ53" i="3"/>
  <c r="AV53" i="3"/>
  <c r="AU53" i="3"/>
  <c r="AT53" i="3"/>
  <c r="AS53" i="3"/>
  <c r="AJ53" i="3"/>
  <c r="AI53" i="3"/>
  <c r="AH53" i="3"/>
  <c r="AG53" i="3"/>
  <c r="AC53" i="3"/>
  <c r="AB53" i="3"/>
  <c r="AA53" i="3"/>
  <c r="W53" i="3"/>
  <c r="V53" i="3"/>
  <c r="U53" i="3"/>
  <c r="Q53" i="3"/>
  <c r="P53" i="3"/>
  <c r="O53" i="3"/>
  <c r="K53" i="3"/>
  <c r="J53" i="3"/>
  <c r="I53" i="3"/>
  <c r="E53" i="3"/>
  <c r="D53" i="3"/>
  <c r="C53" i="3"/>
  <c r="BU52" i="3"/>
  <c r="BC52" i="3"/>
  <c r="AY52" i="3"/>
  <c r="AY46" i="3"/>
  <c r="AW52" i="3"/>
  <c r="AD50" i="3"/>
  <c r="AC50" i="3"/>
  <c r="AB50" i="3"/>
  <c r="W51" i="3"/>
  <c r="V51" i="3"/>
  <c r="U51" i="3"/>
  <c r="W50" i="3"/>
  <c r="W141" i="3" s="1"/>
  <c r="V50" i="3"/>
  <c r="U50" i="3"/>
  <c r="Q51" i="3"/>
  <c r="P51" i="3"/>
  <c r="O51" i="3"/>
  <c r="Q50" i="3"/>
  <c r="P50" i="3"/>
  <c r="O50" i="3"/>
  <c r="K51" i="3"/>
  <c r="J51" i="3"/>
  <c r="I51" i="3"/>
  <c r="K50" i="3"/>
  <c r="J50" i="3"/>
  <c r="I50" i="3"/>
  <c r="E51" i="3"/>
  <c r="D51" i="3"/>
  <c r="E50" i="3"/>
  <c r="D50" i="3"/>
  <c r="C50" i="3"/>
  <c r="B49" i="3"/>
  <c r="B48" i="3"/>
  <c r="AA46" i="3"/>
  <c r="BG46" i="3"/>
  <c r="BF46" i="3"/>
  <c r="BE46" i="3"/>
  <c r="BB46" i="3"/>
  <c r="BA46" i="3"/>
  <c r="AZ46" i="3"/>
  <c r="AV51" i="3"/>
  <c r="AU51" i="3"/>
  <c r="AT51" i="3"/>
  <c r="AS51" i="3"/>
  <c r="AV50" i="3"/>
  <c r="AU50" i="3"/>
  <c r="AT50" i="3"/>
  <c r="AS50" i="3"/>
  <c r="AV46" i="3"/>
  <c r="AU46" i="3"/>
  <c r="AT46" i="3"/>
  <c r="AS46" i="3"/>
  <c r="AP53" i="3"/>
  <c r="AO53" i="3"/>
  <c r="AN53" i="3"/>
  <c r="AM53" i="3"/>
  <c r="AP52" i="3"/>
  <c r="AO52" i="3"/>
  <c r="AN52" i="3"/>
  <c r="AP50" i="3"/>
  <c r="AO50" i="3"/>
  <c r="AN50" i="3"/>
  <c r="AM50" i="3"/>
  <c r="AP46" i="3"/>
  <c r="AO46" i="3"/>
  <c r="AN46" i="3"/>
  <c r="AM46" i="3"/>
  <c r="AJ51" i="3"/>
  <c r="AI51" i="3"/>
  <c r="AH51" i="3"/>
  <c r="AG51" i="3"/>
  <c r="AJ50" i="3"/>
  <c r="AI50" i="3"/>
  <c r="AH50" i="3"/>
  <c r="AG50" i="3"/>
  <c r="AJ46" i="3"/>
  <c r="AI46" i="3"/>
  <c r="AH46" i="3"/>
  <c r="AG46" i="3"/>
  <c r="X46" i="3"/>
  <c r="W46" i="3"/>
  <c r="V46" i="3"/>
  <c r="U46" i="3"/>
  <c r="R46" i="3"/>
  <c r="Q46" i="3"/>
  <c r="P46" i="3"/>
  <c r="O46" i="3"/>
  <c r="K46" i="3"/>
  <c r="J46" i="3"/>
  <c r="I46" i="3"/>
  <c r="E46" i="3"/>
  <c r="D46" i="3"/>
  <c r="C46" i="3"/>
  <c r="BC42" i="3"/>
  <c r="BC39" i="3"/>
  <c r="AW42" i="3"/>
  <c r="AQ42" i="3"/>
  <c r="AQ39" i="3"/>
  <c r="AK42" i="3"/>
  <c r="AK39" i="3"/>
  <c r="AE42" i="3"/>
  <c r="AE39" i="3"/>
  <c r="Y42" i="3"/>
  <c r="S42" i="3"/>
  <c r="M42" i="3"/>
  <c r="G42" i="3"/>
  <c r="BG40" i="3"/>
  <c r="BF40" i="3"/>
  <c r="BE40" i="3"/>
  <c r="BB40" i="3"/>
  <c r="BA40" i="3"/>
  <c r="AZ40" i="3"/>
  <c r="AY40" i="3"/>
  <c r="AW40" i="3"/>
  <c r="AV40" i="3"/>
  <c r="AU40" i="3"/>
  <c r="AT40" i="3"/>
  <c r="AS40" i="3"/>
  <c r="AP40" i="3"/>
  <c r="AO40" i="3"/>
  <c r="AN40" i="3"/>
  <c r="AM40" i="3"/>
  <c r="AJ40" i="3"/>
  <c r="AI40" i="3"/>
  <c r="AH40" i="3"/>
  <c r="AG40" i="3"/>
  <c r="AD40" i="3"/>
  <c r="AC40" i="3"/>
  <c r="AB40" i="3"/>
  <c r="AA40" i="3"/>
  <c r="Y40" i="3"/>
  <c r="X40" i="3"/>
  <c r="W40" i="3"/>
  <c r="V40" i="3"/>
  <c r="U40" i="3"/>
  <c r="R40" i="3"/>
  <c r="P40" i="3"/>
  <c r="O40" i="3"/>
  <c r="M40" i="3"/>
  <c r="L40" i="3"/>
  <c r="K40" i="3"/>
  <c r="J40" i="3"/>
  <c r="I40" i="3"/>
  <c r="G40" i="3"/>
  <c r="F40" i="3"/>
  <c r="E40" i="3"/>
  <c r="D40" i="3"/>
  <c r="C40" i="3"/>
  <c r="BC35" i="3"/>
  <c r="AW35" i="3"/>
  <c r="AK35" i="3"/>
  <c r="F35" i="3"/>
  <c r="AP35" i="3"/>
  <c r="AD35" i="3"/>
  <c r="AC35" i="3"/>
  <c r="AB35" i="3"/>
  <c r="AA35" i="3"/>
  <c r="W35" i="3"/>
  <c r="V35" i="3"/>
  <c r="U35" i="3"/>
  <c r="Q35" i="3"/>
  <c r="P35" i="3"/>
  <c r="O35" i="3"/>
  <c r="K35" i="3"/>
  <c r="BG31" i="3"/>
  <c r="BB31" i="3"/>
  <c r="BA31" i="3"/>
  <c r="AZ31" i="3"/>
  <c r="AY31" i="3"/>
  <c r="AV31" i="3"/>
  <c r="AU31" i="3"/>
  <c r="AT31" i="3"/>
  <c r="AS31" i="3"/>
  <c r="AP31" i="3"/>
  <c r="AO31" i="3"/>
  <c r="AN31" i="3"/>
  <c r="AM31" i="3"/>
  <c r="AJ31" i="3"/>
  <c r="AI31" i="3"/>
  <c r="AH31" i="3"/>
  <c r="AG31" i="3"/>
  <c r="AD31" i="3"/>
  <c r="AC31" i="3"/>
  <c r="AB31" i="3"/>
  <c r="AA31" i="3"/>
  <c r="W31" i="3"/>
  <c r="V31" i="3"/>
  <c r="U31" i="3"/>
  <c r="Q31" i="3"/>
  <c r="P31" i="3"/>
  <c r="O31" i="3"/>
  <c r="K31" i="3"/>
  <c r="J31" i="3"/>
  <c r="I31" i="3"/>
  <c r="E31" i="3"/>
  <c r="D31" i="3"/>
  <c r="C31" i="3"/>
  <c r="BF29" i="3"/>
  <c r="BF31" i="3" s="1"/>
  <c r="BE29" i="3"/>
  <c r="BE31" i="3" s="1"/>
  <c r="BC28" i="3"/>
  <c r="AW28" i="3"/>
  <c r="AW54" i="1" s="1"/>
  <c r="AQ28" i="3"/>
  <c r="AK28" i="3"/>
  <c r="AE28" i="3"/>
  <c r="AE54" i="1" s="1"/>
  <c r="X28" i="3"/>
  <c r="X54" i="1" s="1"/>
  <c r="R28" i="3"/>
  <c r="L28" i="3"/>
  <c r="L54" i="1" s="1"/>
  <c r="F28" i="3"/>
  <c r="AV21" i="3"/>
  <c r="AU21" i="3"/>
  <c r="AU93" i="1" s="1"/>
  <c r="AT21" i="3"/>
  <c r="AS21" i="3"/>
  <c r="AP21" i="3"/>
  <c r="AO21" i="3"/>
  <c r="AN21" i="3"/>
  <c r="AM21" i="3"/>
  <c r="AJ21" i="3"/>
  <c r="AI21" i="3"/>
  <c r="AH21" i="3"/>
  <c r="AG21" i="3"/>
  <c r="W21" i="3"/>
  <c r="V21" i="3"/>
  <c r="U21" i="3"/>
  <c r="Q21" i="3"/>
  <c r="P21" i="3"/>
  <c r="O21" i="3"/>
  <c r="K21" i="3"/>
  <c r="J21" i="3"/>
  <c r="I21" i="3"/>
  <c r="E21" i="3"/>
  <c r="D21" i="3"/>
  <c r="AY20" i="3"/>
  <c r="AY19" i="3"/>
  <c r="AX95" i="2" s="1"/>
  <c r="AY18" i="3"/>
  <c r="AX94" i="2" s="1"/>
  <c r="AW20" i="3"/>
  <c r="AW19" i="3"/>
  <c r="AW18" i="3"/>
  <c r="AQ20" i="3"/>
  <c r="AQ19" i="3"/>
  <c r="AQ18" i="3"/>
  <c r="AK20" i="3"/>
  <c r="AK19" i="3"/>
  <c r="AK18" i="3"/>
  <c r="AD20" i="3"/>
  <c r="AD19" i="3"/>
  <c r="AC19" i="3"/>
  <c r="AB19" i="3"/>
  <c r="AA19" i="3"/>
  <c r="C19" i="3"/>
  <c r="BE19" i="3"/>
  <c r="BE18" i="3"/>
  <c r="BB19" i="3"/>
  <c r="BA95" i="2" s="1"/>
  <c r="BA19" i="3"/>
  <c r="AZ95" i="2" s="1"/>
  <c r="AZ19" i="3"/>
  <c r="AY95" i="2" s="1"/>
  <c r="BB18" i="3"/>
  <c r="BA94" i="2" s="1"/>
  <c r="BA18" i="3"/>
  <c r="AZ94" i="2" s="1"/>
  <c r="AZ18" i="3"/>
  <c r="AY94" i="2" s="1"/>
  <c r="AA18" i="3"/>
  <c r="X20" i="3"/>
  <c r="W96" i="2" s="1"/>
  <c r="X19" i="3"/>
  <c r="W95" i="2" s="1"/>
  <c r="X18" i="3"/>
  <c r="W94" i="2" s="1"/>
  <c r="R20" i="3"/>
  <c r="Q96" i="2" s="1"/>
  <c r="R19" i="3"/>
  <c r="Q95" i="2" s="1"/>
  <c r="R18" i="3"/>
  <c r="Q94" i="2" s="1"/>
  <c r="L20" i="3"/>
  <c r="K96" i="2" s="1"/>
  <c r="L19" i="3"/>
  <c r="K95" i="2" s="1"/>
  <c r="L18" i="3"/>
  <c r="K94" i="2" s="1"/>
  <c r="F20" i="3"/>
  <c r="E96" i="2" s="1"/>
  <c r="F18" i="3"/>
  <c r="E94" i="2" s="1"/>
  <c r="S16" i="3"/>
  <c r="S15" i="3"/>
  <c r="S13" i="3"/>
  <c r="S11" i="3"/>
  <c r="R93" i="2" s="1"/>
  <c r="S10" i="3"/>
  <c r="S9" i="3"/>
  <c r="S8" i="3"/>
  <c r="S6" i="3"/>
  <c r="R6" i="2" s="1"/>
  <c r="AA14" i="3"/>
  <c r="AG14" i="3"/>
  <c r="X16" i="3"/>
  <c r="W16" i="3"/>
  <c r="V16" i="3"/>
  <c r="U16" i="3"/>
  <c r="X15" i="3"/>
  <c r="W15" i="3"/>
  <c r="V15" i="3"/>
  <c r="U15" i="3"/>
  <c r="X14" i="3"/>
  <c r="W14" i="3"/>
  <c r="W47" i="3" s="1"/>
  <c r="V14" i="3"/>
  <c r="U14" i="3"/>
  <c r="R14" i="3"/>
  <c r="Q14" i="3"/>
  <c r="P14" i="3"/>
  <c r="O14" i="3"/>
  <c r="K14" i="3"/>
  <c r="J14" i="3"/>
  <c r="I14" i="3"/>
  <c r="E14" i="3"/>
  <c r="D14" i="3"/>
  <c r="C14" i="3"/>
  <c r="Y13" i="3"/>
  <c r="Y11" i="3"/>
  <c r="X93" i="2" s="1"/>
  <c r="Y10" i="3"/>
  <c r="Y9" i="3"/>
  <c r="Y8" i="3"/>
  <c r="Y6" i="3"/>
  <c r="X6" i="2" s="1"/>
  <c r="M13" i="3"/>
  <c r="M10" i="3"/>
  <c r="M9" i="3"/>
  <c r="M8" i="3"/>
  <c r="M54" i="4" s="1"/>
  <c r="M6" i="3"/>
  <c r="L6" i="2" s="1"/>
  <c r="G13" i="3"/>
  <c r="G10" i="3"/>
  <c r="G9" i="3"/>
  <c r="G6" i="3"/>
  <c r="F6" i="2" s="1"/>
  <c r="B13" i="3"/>
  <c r="B16" i="3" s="1"/>
  <c r="B12" i="3"/>
  <c r="B15" i="3" s="1"/>
  <c r="BG16" i="3"/>
  <c r="BF16" i="3"/>
  <c r="BE16" i="3"/>
  <c r="BG15" i="3"/>
  <c r="BG148" i="47" s="1"/>
  <c r="BF15" i="3"/>
  <c r="BF48" i="3" s="1"/>
  <c r="BE15" i="3"/>
  <c r="BE148" i="47" s="1"/>
  <c r="BG14" i="3"/>
  <c r="BF14" i="3"/>
  <c r="BE14" i="3"/>
  <c r="BB16" i="3"/>
  <c r="BA16" i="3"/>
  <c r="AZ16" i="3"/>
  <c r="AY16" i="3"/>
  <c r="BB15" i="3"/>
  <c r="BB148" i="47" s="1"/>
  <c r="BA15" i="3"/>
  <c r="BA148" i="47" s="1"/>
  <c r="AZ15" i="3"/>
  <c r="AZ148" i="47" s="1"/>
  <c r="AY15" i="3"/>
  <c r="AY148" i="47" s="1"/>
  <c r="BB14" i="3"/>
  <c r="BA14" i="3"/>
  <c r="AZ14" i="3"/>
  <c r="AY14" i="3"/>
  <c r="AV14" i="3"/>
  <c r="AU14" i="3"/>
  <c r="AT14" i="3"/>
  <c r="AS14" i="3"/>
  <c r="AP14" i="3"/>
  <c r="AO14" i="3"/>
  <c r="AN14" i="3"/>
  <c r="AM14" i="3"/>
  <c r="AJ14" i="3"/>
  <c r="AI14" i="3"/>
  <c r="AH14" i="3"/>
  <c r="BC11" i="3"/>
  <c r="BB93" i="2" s="1"/>
  <c r="BC8" i="3"/>
  <c r="BC6" i="3"/>
  <c r="BB6" i="2" s="1"/>
  <c r="AW11" i="3"/>
  <c r="AV93" i="2" s="1"/>
  <c r="AW8" i="3"/>
  <c r="AW6" i="3"/>
  <c r="AV6" i="2" s="1"/>
  <c r="AQ11" i="3"/>
  <c r="AP93" i="2" s="1"/>
  <c r="AQ8" i="3"/>
  <c r="AQ6" i="3"/>
  <c r="AP6" i="2" s="1"/>
  <c r="AK11" i="3"/>
  <c r="AJ93" i="2" s="1"/>
  <c r="AK8" i="3"/>
  <c r="AK6" i="3"/>
  <c r="AJ6" i="2" s="1"/>
  <c r="L11" i="3"/>
  <c r="K93" i="2" s="1"/>
  <c r="F11" i="3"/>
  <c r="E93" i="2" s="1"/>
  <c r="BG10" i="3"/>
  <c r="BF10" i="3"/>
  <c r="AA10" i="3"/>
  <c r="AD11" i="3"/>
  <c r="AC11" i="3"/>
  <c r="AB11" i="3"/>
  <c r="AB14" i="3" s="1"/>
  <c r="AE8" i="3"/>
  <c r="AE6" i="3"/>
  <c r="AD6" i="2" s="1"/>
  <c r="F8" i="3"/>
  <c r="F94" i="1" s="1"/>
  <c r="F7" i="3"/>
  <c r="AD7" i="3"/>
  <c r="AC7" i="3"/>
  <c r="AB7" i="3"/>
  <c r="AA7" i="3"/>
  <c r="AA80" i="1" s="1"/>
  <c r="X7" i="3"/>
  <c r="X78" i="1" s="1"/>
  <c r="W7" i="3"/>
  <c r="W80" i="1" s="1"/>
  <c r="V7" i="3"/>
  <c r="V78" i="1" s="1"/>
  <c r="U7" i="3"/>
  <c r="U80" i="1" s="1"/>
  <c r="R7" i="3"/>
  <c r="R80" i="1" s="1"/>
  <c r="Q7" i="3"/>
  <c r="Q80" i="1" s="1"/>
  <c r="P7" i="3"/>
  <c r="P80" i="1" s="1"/>
  <c r="O7" i="3"/>
  <c r="L7" i="3"/>
  <c r="L78" i="1" s="1"/>
  <c r="K7" i="3"/>
  <c r="K80" i="1" s="1"/>
  <c r="J7" i="3"/>
  <c r="J80" i="1" s="1"/>
  <c r="I7" i="3"/>
  <c r="I80" i="1" s="1"/>
  <c r="E7" i="3"/>
  <c r="E79" i="1" s="1"/>
  <c r="D7" i="3"/>
  <c r="D79" i="1" s="1"/>
  <c r="CG6" i="3"/>
  <c r="CA6" i="3"/>
  <c r="BU6" i="3"/>
  <c r="BT6" i="2" s="1"/>
  <c r="BO6" i="3"/>
  <c r="BN6" i="2" s="1"/>
  <c r="BI6" i="3"/>
  <c r="BH6" i="2" s="1"/>
  <c r="AJ6" i="3"/>
  <c r="AI6" i="2" s="1"/>
  <c r="AI6" i="3"/>
  <c r="AH6" i="2" s="1"/>
  <c r="AH6" i="3"/>
  <c r="AG6" i="2" s="1"/>
  <c r="AG6" i="3"/>
  <c r="AF6" i="2" s="1"/>
  <c r="BQ58" i="4" l="1"/>
  <c r="BQ57" i="4" s="1"/>
  <c r="BQ65" i="4"/>
  <c r="E95" i="4"/>
  <c r="BF12" i="3"/>
  <c r="AB80" i="1"/>
  <c r="BI16" i="3"/>
  <c r="AA6" i="4"/>
  <c r="AC80" i="1"/>
  <c r="BW17" i="4"/>
  <c r="BW16" i="4" s="1"/>
  <c r="BW104" i="3" s="1"/>
  <c r="BW134" i="3" s="1"/>
  <c r="CC22" i="4"/>
  <c r="C37" i="47"/>
  <c r="CC47" i="4"/>
  <c r="CC12" i="4"/>
  <c r="CC11" i="4" s="1"/>
  <c r="CC103" i="3" s="1"/>
  <c r="CC37" i="4"/>
  <c r="CC27" i="4"/>
  <c r="AC31" i="4"/>
  <c r="AC107" i="3" s="1"/>
  <c r="AC88" i="3" s="1"/>
  <c r="BF156" i="1"/>
  <c r="BF169" i="1" s="1"/>
  <c r="BG170" i="1" s="1"/>
  <c r="AD80" i="1"/>
  <c r="AY156" i="1"/>
  <c r="BX12" i="4"/>
  <c r="BX11" i="4" s="1"/>
  <c r="BX103" i="3" s="1"/>
  <c r="BX84" i="3" s="1"/>
  <c r="BW52" i="4"/>
  <c r="BW51" i="4" s="1"/>
  <c r="AZ156" i="1"/>
  <c r="AZ169" i="1" s="1"/>
  <c r="BC16" i="3"/>
  <c r="BX22" i="4"/>
  <c r="BA156" i="1"/>
  <c r="BG13" i="3"/>
  <c r="BW12" i="4"/>
  <c r="BW11" i="4" s="1"/>
  <c r="BW103" i="3" s="1"/>
  <c r="BW84" i="3" s="1"/>
  <c r="AA149" i="47"/>
  <c r="AA150" i="47" s="1"/>
  <c r="BB156" i="1"/>
  <c r="G6" i="4"/>
  <c r="BF13" i="3"/>
  <c r="R93" i="4"/>
  <c r="R76" i="3"/>
  <c r="S76" i="3" s="1"/>
  <c r="BW37" i="4"/>
  <c r="BW47" i="4"/>
  <c r="BW22" i="4"/>
  <c r="BW27" i="4"/>
  <c r="BW32" i="4"/>
  <c r="BW31" i="4" s="1"/>
  <c r="BW107" i="3" s="1"/>
  <c r="BW137" i="3" s="1"/>
  <c r="AB93" i="4"/>
  <c r="BE156" i="1"/>
  <c r="BU22" i="47"/>
  <c r="Q70" i="47"/>
  <c r="BQ107" i="3"/>
  <c r="BQ88" i="3" s="1"/>
  <c r="BC54" i="47"/>
  <c r="BI54" i="47"/>
  <c r="AQ54" i="47"/>
  <c r="CG22" i="47"/>
  <c r="CG162" i="47" s="1"/>
  <c r="CA22" i="47"/>
  <c r="CA162" i="47" s="1"/>
  <c r="BN58" i="4"/>
  <c r="BN57" i="4" s="1"/>
  <c r="BN65" i="4"/>
  <c r="BC149" i="47"/>
  <c r="BC150" i="47" s="1"/>
  <c r="AW149" i="47"/>
  <c r="BY32" i="4"/>
  <c r="BY31" i="4" s="1"/>
  <c r="BY107" i="3" s="1"/>
  <c r="BY122" i="3" s="1"/>
  <c r="CC17" i="4"/>
  <c r="CC16" i="4" s="1"/>
  <c r="CC104" i="3" s="1"/>
  <c r="CC119" i="3" s="1"/>
  <c r="BY52" i="4"/>
  <c r="BY51" i="4" s="1"/>
  <c r="BZ22" i="4"/>
  <c r="BY17" i="4"/>
  <c r="BY16" i="4" s="1"/>
  <c r="BY104" i="3" s="1"/>
  <c r="BY119" i="3" s="1"/>
  <c r="BY37" i="4"/>
  <c r="CF47" i="4"/>
  <c r="CD52" i="4"/>
  <c r="CD51" i="4" s="1"/>
  <c r="CE27" i="4"/>
  <c r="BY47" i="4"/>
  <c r="BY12" i="4"/>
  <c r="BY11" i="4" s="1"/>
  <c r="BY103" i="3" s="1"/>
  <c r="BY22" i="4"/>
  <c r="BZ12" i="4"/>
  <c r="BZ11" i="4" s="1"/>
  <c r="BZ103" i="3" s="1"/>
  <c r="BY27" i="4"/>
  <c r="BZ47" i="4"/>
  <c r="BX32" i="4"/>
  <c r="BX31" i="4" s="1"/>
  <c r="BX107" i="3" s="1"/>
  <c r="BX137" i="3" s="1"/>
  <c r="CA54" i="47"/>
  <c r="BU54" i="47"/>
  <c r="CG54" i="47"/>
  <c r="BM90" i="2"/>
  <c r="BM88" i="2"/>
  <c r="BM89" i="2"/>
  <c r="BH183" i="47"/>
  <c r="BH181" i="47" s="1"/>
  <c r="CF6" i="2"/>
  <c r="I73" i="47"/>
  <c r="AN146" i="1"/>
  <c r="K146" i="1"/>
  <c r="AO146" i="1"/>
  <c r="O146" i="1"/>
  <c r="BF146" i="1"/>
  <c r="P146" i="1"/>
  <c r="AH146" i="1"/>
  <c r="AT146" i="1"/>
  <c r="AC146" i="1"/>
  <c r="L146" i="1"/>
  <c r="AP146" i="1"/>
  <c r="AG146" i="1"/>
  <c r="AI146" i="1"/>
  <c r="AD146" i="1"/>
  <c r="BE146" i="1"/>
  <c r="AJ146" i="1"/>
  <c r="AV146" i="1"/>
  <c r="BB146" i="1"/>
  <c r="M146" i="1"/>
  <c r="BR148" i="1"/>
  <c r="I146" i="1"/>
  <c r="AM146" i="1"/>
  <c r="AY146" i="1"/>
  <c r="CF25" i="47"/>
  <c r="J73" i="47"/>
  <c r="AB74" i="47" s="1"/>
  <c r="BX25" i="47"/>
  <c r="K73" i="47"/>
  <c r="AC74" i="47" s="1"/>
  <c r="BM23" i="47"/>
  <c r="BY86" i="47"/>
  <c r="BY25" i="47"/>
  <c r="L96" i="47"/>
  <c r="O73" i="47"/>
  <c r="L73" i="47"/>
  <c r="AD74" i="47" s="1"/>
  <c r="R145" i="47"/>
  <c r="J11" i="47"/>
  <c r="J12" i="47" s="1"/>
  <c r="BZ25" i="47"/>
  <c r="U145" i="47"/>
  <c r="CD25" i="47"/>
  <c r="G166" i="1"/>
  <c r="M165" i="1"/>
  <c r="S166" i="1"/>
  <c r="Y165" i="1"/>
  <c r="AE166" i="1"/>
  <c r="AK165" i="1"/>
  <c r="AQ166" i="1"/>
  <c r="AW165" i="1"/>
  <c r="BC166" i="1"/>
  <c r="Y156" i="1"/>
  <c r="L161" i="1"/>
  <c r="R161" i="1"/>
  <c r="AD169" i="1"/>
  <c r="AD167" i="1"/>
  <c r="AJ167" i="1"/>
  <c r="AJ169" i="1"/>
  <c r="AP167" i="1"/>
  <c r="AP169" i="1"/>
  <c r="AV167" i="1"/>
  <c r="AV169" i="1"/>
  <c r="BB161" i="1"/>
  <c r="AQ52" i="1"/>
  <c r="G156" i="1"/>
  <c r="AE156" i="1"/>
  <c r="I161" i="1"/>
  <c r="O161" i="1"/>
  <c r="U161" i="1"/>
  <c r="AA161" i="1"/>
  <c r="AG161" i="1"/>
  <c r="AM161" i="1"/>
  <c r="AS161" i="1"/>
  <c r="AY161" i="1"/>
  <c r="BE161" i="1"/>
  <c r="G165" i="1"/>
  <c r="M166" i="1"/>
  <c r="S165" i="1"/>
  <c r="Y166" i="1"/>
  <c r="AE165" i="1"/>
  <c r="AK166" i="1"/>
  <c r="AQ165" i="1"/>
  <c r="AW166" i="1"/>
  <c r="BC165" i="1"/>
  <c r="M156" i="1"/>
  <c r="AK156" i="1"/>
  <c r="D161" i="1"/>
  <c r="P161" i="1"/>
  <c r="AB167" i="1"/>
  <c r="AB169" i="1"/>
  <c r="AH169" i="1"/>
  <c r="AH167" i="1"/>
  <c r="AN161" i="1"/>
  <c r="AT161" i="1"/>
  <c r="S156" i="1"/>
  <c r="AQ156" i="1"/>
  <c r="E161" i="1"/>
  <c r="K161" i="1"/>
  <c r="Q161" i="1"/>
  <c r="W161" i="1"/>
  <c r="AC161" i="1"/>
  <c r="AI161" i="1"/>
  <c r="AO161" i="1"/>
  <c r="AU161" i="1"/>
  <c r="BA161" i="1"/>
  <c r="D146" i="1"/>
  <c r="E146" i="1"/>
  <c r="C146" i="1"/>
  <c r="AW30" i="1"/>
  <c r="AW13" i="1"/>
  <c r="AY14" i="1"/>
  <c r="BC30" i="1"/>
  <c r="BA14" i="1"/>
  <c r="AZ92" i="1"/>
  <c r="BM66" i="3"/>
  <c r="BM63" i="3"/>
  <c r="BM57" i="4"/>
  <c r="BM41" i="4"/>
  <c r="BM40" i="4"/>
  <c r="J112" i="3"/>
  <c r="J93" i="3" s="1"/>
  <c r="C143" i="3"/>
  <c r="J111" i="3"/>
  <c r="J92" i="3" s="1"/>
  <c r="P111" i="3"/>
  <c r="P92" i="3" s="1"/>
  <c r="BL59" i="4"/>
  <c r="BL55" i="4"/>
  <c r="BL58" i="4"/>
  <c r="AD145" i="47"/>
  <c r="BF39" i="4"/>
  <c r="BF41" i="4" s="1"/>
  <c r="BL46" i="4"/>
  <c r="AJ85" i="47"/>
  <c r="AY86" i="47"/>
  <c r="AM68" i="47"/>
  <c r="AS69" i="47" s="1"/>
  <c r="AO68" i="47"/>
  <c r="AU69" i="47" s="1"/>
  <c r="AN73" i="47"/>
  <c r="AT74" i="47" s="1"/>
  <c r="AP73" i="47"/>
  <c r="AV74" i="47" s="1"/>
  <c r="AT73" i="47"/>
  <c r="AN78" i="47"/>
  <c r="AT79" i="47" s="1"/>
  <c r="AT78" i="47"/>
  <c r="AP78" i="47"/>
  <c r="AV79" i="47" s="1"/>
  <c r="AV78" i="47"/>
  <c r="AM83" i="47"/>
  <c r="AS84" i="47" s="1"/>
  <c r="AO83" i="47"/>
  <c r="AU84" i="47" s="1"/>
  <c r="AS83" i="47"/>
  <c r="AU83" i="47"/>
  <c r="AN68" i="47"/>
  <c r="AT69" i="47" s="1"/>
  <c r="AP68" i="47"/>
  <c r="AV69" i="47" s="1"/>
  <c r="AM73" i="47"/>
  <c r="AS74" i="47" s="1"/>
  <c r="AO73" i="47"/>
  <c r="AU74" i="47" s="1"/>
  <c r="AS73" i="47"/>
  <c r="AU73" i="47"/>
  <c r="Q75" i="47"/>
  <c r="AS78" i="47"/>
  <c r="AM78" i="47"/>
  <c r="AS79" i="47" s="1"/>
  <c r="AU78" i="47"/>
  <c r="AO78" i="47"/>
  <c r="AU79" i="47" s="1"/>
  <c r="O80" i="47"/>
  <c r="AN83" i="47"/>
  <c r="AT84" i="47" s="1"/>
  <c r="AP83" i="47"/>
  <c r="AV84" i="47" s="1"/>
  <c r="AT83" i="47"/>
  <c r="AV83" i="47"/>
  <c r="AW52" i="1"/>
  <c r="AW53" i="1" s="1"/>
  <c r="BC52" i="1"/>
  <c r="AE52" i="1"/>
  <c r="AE53" i="1" s="1"/>
  <c r="AK52" i="1"/>
  <c r="V94" i="47"/>
  <c r="W94" i="47"/>
  <c r="X94" i="47"/>
  <c r="AZ26" i="4"/>
  <c r="U94" i="47"/>
  <c r="AI10" i="3"/>
  <c r="BC54" i="1"/>
  <c r="AP95" i="2"/>
  <c r="AP96" i="2"/>
  <c r="R54" i="1"/>
  <c r="AV95" i="2"/>
  <c r="AD61" i="2"/>
  <c r="AD62" i="2" s="1"/>
  <c r="AP94" i="2"/>
  <c r="AJ94" i="2"/>
  <c r="AK54" i="1"/>
  <c r="AJ95" i="2"/>
  <c r="AQ54" i="1"/>
  <c r="AV94" i="2"/>
  <c r="AV96" i="2"/>
  <c r="AJ96" i="2"/>
  <c r="I72" i="47"/>
  <c r="R70" i="47"/>
  <c r="R85" i="47"/>
  <c r="R17" i="47"/>
  <c r="X18" i="47" s="1"/>
  <c r="R75" i="47"/>
  <c r="AD80" i="47"/>
  <c r="D86" i="47"/>
  <c r="O72" i="47"/>
  <c r="AD75" i="47"/>
  <c r="E22" i="47"/>
  <c r="K68" i="47"/>
  <c r="AC69" i="47" s="1"/>
  <c r="O14" i="47"/>
  <c r="U15" i="47" s="1"/>
  <c r="L68" i="47"/>
  <c r="AD69" i="47" s="1"/>
  <c r="D60" i="47"/>
  <c r="E86" i="47"/>
  <c r="J68" i="47"/>
  <c r="AB69" i="47" s="1"/>
  <c r="E60" i="47"/>
  <c r="AM75" i="47"/>
  <c r="Q125" i="47"/>
  <c r="AI4" i="47"/>
  <c r="BW59" i="47"/>
  <c r="AA75" i="47"/>
  <c r="S42" i="47"/>
  <c r="AH70" i="47"/>
  <c r="AB75" i="47"/>
  <c r="P70" i="47"/>
  <c r="AJ75" i="47"/>
  <c r="U80" i="47"/>
  <c r="Q61" i="47"/>
  <c r="AA80" i="47"/>
  <c r="BQ56" i="47"/>
  <c r="BR59" i="47"/>
  <c r="CD59" i="47"/>
  <c r="AJ80" i="47"/>
  <c r="P145" i="47"/>
  <c r="BS56" i="47"/>
  <c r="BS59" i="47"/>
  <c r="CE56" i="47"/>
  <c r="CE59" i="47"/>
  <c r="G66" i="47"/>
  <c r="G93" i="47" s="1"/>
  <c r="AP75" i="47"/>
  <c r="V119" i="47"/>
  <c r="L17" i="47"/>
  <c r="L18" i="47" s="1"/>
  <c r="I68" i="47"/>
  <c r="AJ70" i="47"/>
  <c r="AH75" i="47"/>
  <c r="AD85" i="47"/>
  <c r="I93" i="47"/>
  <c r="O94" i="47" s="1"/>
  <c r="K107" i="47"/>
  <c r="BK23" i="47"/>
  <c r="E37" i="47"/>
  <c r="BH25" i="47"/>
  <c r="BK25" i="47"/>
  <c r="K67" i="47"/>
  <c r="K14" i="47"/>
  <c r="K15" i="47" s="1"/>
  <c r="R11" i="47"/>
  <c r="X12" i="47" s="1"/>
  <c r="S60" i="47"/>
  <c r="BZ56" i="47"/>
  <c r="BZ59" i="47"/>
  <c r="O67" i="47"/>
  <c r="P75" i="47"/>
  <c r="Q17" i="47"/>
  <c r="W18" i="47" s="1"/>
  <c r="J67" i="47"/>
  <c r="BW174" i="47"/>
  <c r="BX174" i="47" s="1"/>
  <c r="BY174" i="47" s="1"/>
  <c r="BZ174" i="47" s="1"/>
  <c r="CC174" i="47" s="1"/>
  <c r="CD174" i="47" s="1"/>
  <c r="CE174" i="47" s="1"/>
  <c r="CF174" i="47" s="1"/>
  <c r="H90" i="2"/>
  <c r="H88" i="2"/>
  <c r="H89" i="2"/>
  <c r="T90" i="2"/>
  <c r="T88" i="2"/>
  <c r="T89" i="2"/>
  <c r="Z90" i="2"/>
  <c r="Z88" i="2"/>
  <c r="Z89" i="2"/>
  <c r="AC90" i="2"/>
  <c r="AC88" i="2"/>
  <c r="AC89" i="2"/>
  <c r="AG89" i="2"/>
  <c r="AG90" i="2"/>
  <c r="AG88" i="2"/>
  <c r="AL90" i="2"/>
  <c r="AL88" i="2"/>
  <c r="AL89" i="2"/>
  <c r="AT90" i="2"/>
  <c r="AT89" i="2"/>
  <c r="AT88" i="2"/>
  <c r="BD90" i="2"/>
  <c r="BD89" i="2"/>
  <c r="BD88" i="2"/>
  <c r="BR126" i="1"/>
  <c r="BQ90" i="2"/>
  <c r="BQ89" i="2"/>
  <c r="BQ88" i="2"/>
  <c r="BS90" i="2"/>
  <c r="BS89" i="2"/>
  <c r="BS88" i="2"/>
  <c r="BW90" i="2"/>
  <c r="BW89" i="2"/>
  <c r="BW88" i="2"/>
  <c r="BZ126" i="1"/>
  <c r="BY90" i="2"/>
  <c r="BY89" i="2"/>
  <c r="BY88" i="2"/>
  <c r="CC112" i="1"/>
  <c r="CB90" i="2"/>
  <c r="CB89" i="2"/>
  <c r="CB88" i="2"/>
  <c r="CE112" i="1"/>
  <c r="CD90" i="2"/>
  <c r="CD89" i="2"/>
  <c r="CD88" i="2"/>
  <c r="B90" i="2"/>
  <c r="B88" i="2"/>
  <c r="B89" i="2"/>
  <c r="N90" i="2"/>
  <c r="N88" i="2"/>
  <c r="N89" i="2"/>
  <c r="AB89" i="2"/>
  <c r="AB90" i="2"/>
  <c r="AB88" i="2"/>
  <c r="AF90" i="2"/>
  <c r="AF88" i="2"/>
  <c r="AF89" i="2"/>
  <c r="AH90" i="2"/>
  <c r="AH88" i="2"/>
  <c r="AH89" i="2"/>
  <c r="AR90" i="2"/>
  <c r="AR89" i="2"/>
  <c r="AR88" i="2"/>
  <c r="AX89" i="2"/>
  <c r="AX90" i="2"/>
  <c r="AX88" i="2"/>
  <c r="BE90" i="2"/>
  <c r="BE89" i="2"/>
  <c r="BE88" i="2"/>
  <c r="BP90" i="2"/>
  <c r="BP89" i="2"/>
  <c r="BP88" i="2"/>
  <c r="BR90" i="2"/>
  <c r="BR89" i="2"/>
  <c r="BR88" i="2"/>
  <c r="BV90" i="2"/>
  <c r="BV89" i="2"/>
  <c r="BV88" i="2"/>
  <c r="BX90" i="2"/>
  <c r="BX89" i="2"/>
  <c r="BX88" i="2"/>
  <c r="CC90" i="2"/>
  <c r="CC89" i="2"/>
  <c r="CC88" i="2"/>
  <c r="CE90" i="2"/>
  <c r="CE89" i="2"/>
  <c r="CE88" i="2"/>
  <c r="AB93" i="2"/>
  <c r="Z94" i="2"/>
  <c r="Z95" i="2"/>
  <c r="AB95" i="2"/>
  <c r="AC96" i="2"/>
  <c r="AX96" i="2"/>
  <c r="AX97" i="2" s="1"/>
  <c r="AX98" i="2" s="1"/>
  <c r="AB21" i="3"/>
  <c r="AD21" i="3"/>
  <c r="AQ35" i="3"/>
  <c r="AC51" i="3"/>
  <c r="AC65" i="3"/>
  <c r="BF148" i="47"/>
  <c r="AA93" i="2"/>
  <c r="AE11" i="3"/>
  <c r="AD93" i="2" s="1"/>
  <c r="AC93" i="2"/>
  <c r="AC14" i="3"/>
  <c r="B95" i="2"/>
  <c r="B97" i="2" s="1"/>
  <c r="B99" i="2" s="1"/>
  <c r="AA95" i="2"/>
  <c r="AC95" i="2"/>
  <c r="AC21" i="3"/>
  <c r="AC93" i="1" s="1"/>
  <c r="AZ97" i="2"/>
  <c r="AZ98" i="2" s="1"/>
  <c r="BA97" i="2"/>
  <c r="BA98" i="2" s="1"/>
  <c r="BZ6" i="2"/>
  <c r="CA2" i="47" s="1"/>
  <c r="BD94" i="2"/>
  <c r="K97" i="2"/>
  <c r="K99" i="2" s="1"/>
  <c r="BD95" i="2"/>
  <c r="AJ61" i="2"/>
  <c r="AJ54" i="2"/>
  <c r="AJ55" i="2" s="1"/>
  <c r="AV8" i="2"/>
  <c r="AV25" i="2" s="1"/>
  <c r="AU25" i="2"/>
  <c r="W97" i="2"/>
  <c r="W99" i="2" s="1"/>
  <c r="AY97" i="2"/>
  <c r="AY98" i="2" s="1"/>
  <c r="BB61" i="2"/>
  <c r="BB54" i="2"/>
  <c r="BB55" i="2" s="1"/>
  <c r="Q97" i="2"/>
  <c r="Q99" i="2" s="1"/>
  <c r="AP54" i="2"/>
  <c r="AP55" i="2" s="1"/>
  <c r="AP61" i="2"/>
  <c r="U89" i="2"/>
  <c r="U88" i="2"/>
  <c r="U90" i="2"/>
  <c r="AM88" i="2"/>
  <c r="AM89" i="2"/>
  <c r="AM90" i="2"/>
  <c r="AA88" i="2"/>
  <c r="AA89" i="2"/>
  <c r="AA90" i="2"/>
  <c r="BZ89" i="2"/>
  <c r="BZ90" i="2"/>
  <c r="BZ88" i="2"/>
  <c r="I89" i="2"/>
  <c r="I88" i="2"/>
  <c r="I90" i="2"/>
  <c r="CF90" i="2"/>
  <c r="CF88" i="2"/>
  <c r="CF89" i="2"/>
  <c r="R149" i="3"/>
  <c r="BK96" i="4"/>
  <c r="BK59" i="4"/>
  <c r="BK55" i="4"/>
  <c r="BK58" i="4"/>
  <c r="BK51" i="4"/>
  <c r="BW61" i="47"/>
  <c r="BT25" i="47"/>
  <c r="BR25" i="47"/>
  <c r="BS25" i="47"/>
  <c r="AD103" i="3"/>
  <c r="AD84" i="3" s="1"/>
  <c r="BI100" i="1"/>
  <c r="BI127" i="1"/>
  <c r="BI92" i="4"/>
  <c r="AI119" i="3"/>
  <c r="AS6" i="4"/>
  <c r="BE111" i="1"/>
  <c r="BC40" i="3"/>
  <c r="AK40" i="3"/>
  <c r="AV99" i="1"/>
  <c r="AM123" i="47"/>
  <c r="M144" i="47"/>
  <c r="CE126" i="1"/>
  <c r="BQ134" i="1"/>
  <c r="BS126" i="1"/>
  <c r="BA11" i="47"/>
  <c r="BG12" i="47" s="1"/>
  <c r="CA57" i="47"/>
  <c r="BH86" i="47"/>
  <c r="BH61" i="47"/>
  <c r="BN62" i="47" s="1"/>
  <c r="BR51" i="47"/>
  <c r="BH124" i="47"/>
  <c r="BN125" i="47" s="1"/>
  <c r="Y144" i="47"/>
  <c r="CA60" i="47"/>
  <c r="AJ126" i="47"/>
  <c r="BH122" i="47"/>
  <c r="BN123" i="47" s="1"/>
  <c r="BH126" i="47"/>
  <c r="C121" i="47"/>
  <c r="BI119" i="47"/>
  <c r="BG150" i="47"/>
  <c r="BG151" i="47" s="1"/>
  <c r="BG153" i="47"/>
  <c r="BF150" i="47"/>
  <c r="BF153" i="47"/>
  <c r="BE150" i="47"/>
  <c r="BE151" i="47" s="1"/>
  <c r="BE153" i="47"/>
  <c r="CD126" i="1"/>
  <c r="BT112" i="1"/>
  <c r="BT126" i="1"/>
  <c r="V93" i="4"/>
  <c r="AG103" i="3"/>
  <c r="AG84" i="3" s="1"/>
  <c r="BT37" i="4"/>
  <c r="X93" i="4"/>
  <c r="S149" i="47"/>
  <c r="S150" i="47" s="1"/>
  <c r="S6" i="4"/>
  <c r="S152" i="47" s="1"/>
  <c r="U149" i="47"/>
  <c r="U150" i="47" s="1"/>
  <c r="AH106" i="3"/>
  <c r="AH87" i="3" s="1"/>
  <c r="AI137" i="3"/>
  <c r="U6" i="4"/>
  <c r="BR27" i="4"/>
  <c r="BX37" i="4"/>
  <c r="AZ65" i="4"/>
  <c r="AZ82" i="4" s="1"/>
  <c r="Y92" i="4"/>
  <c r="AC93" i="4"/>
  <c r="V149" i="47"/>
  <c r="V150" i="47" s="1"/>
  <c r="BG81" i="4"/>
  <c r="BM65" i="4" s="1"/>
  <c r="BG86" i="4"/>
  <c r="BG87" i="4" s="1"/>
  <c r="U93" i="4"/>
  <c r="AB63" i="3"/>
  <c r="V6" i="4"/>
  <c r="BT17" i="4"/>
  <c r="BT16" i="4" s="1"/>
  <c r="BT104" i="3" s="1"/>
  <c r="BT85" i="3" s="1"/>
  <c r="BT27" i="4"/>
  <c r="K93" i="4"/>
  <c r="AD93" i="4"/>
  <c r="W149" i="47"/>
  <c r="W150" i="47" s="1"/>
  <c r="AN10" i="3"/>
  <c r="I93" i="4"/>
  <c r="W6" i="4"/>
  <c r="BX47" i="4"/>
  <c r="L93" i="4"/>
  <c r="X149" i="47"/>
  <c r="X150" i="47" s="1"/>
  <c r="CE32" i="4"/>
  <c r="CE31" i="4" s="1"/>
  <c r="CE107" i="3" s="1"/>
  <c r="CE88" i="3" s="1"/>
  <c r="CE12" i="4"/>
  <c r="CE11" i="4" s="1"/>
  <c r="CE103" i="3" s="1"/>
  <c r="CE133" i="3" s="1"/>
  <c r="CD17" i="4"/>
  <c r="CD16" i="4" s="1"/>
  <c r="CD104" i="3" s="1"/>
  <c r="CF32" i="4"/>
  <c r="CF31" i="4" s="1"/>
  <c r="CF107" i="3" s="1"/>
  <c r="CF88" i="3" s="1"/>
  <c r="CF17" i="4"/>
  <c r="CD22" i="4"/>
  <c r="BT32" i="4"/>
  <c r="BT31" i="4" s="1"/>
  <c r="BT107" i="3" s="1"/>
  <c r="BT88" i="3" s="1"/>
  <c r="CD37" i="4"/>
  <c r="CD47" i="4"/>
  <c r="CF52" i="4"/>
  <c r="CF51" i="4" s="1"/>
  <c r="CD32" i="4"/>
  <c r="CD31" i="4" s="1"/>
  <c r="CD107" i="3" s="1"/>
  <c r="CD88" i="3" s="1"/>
  <c r="BR12" i="4"/>
  <c r="BR11" i="4" s="1"/>
  <c r="BR103" i="3" s="1"/>
  <c r="BR118" i="3" s="1"/>
  <c r="CF12" i="4"/>
  <c r="CF11" i="4" s="1"/>
  <c r="CF103" i="3" s="1"/>
  <c r="CE17" i="4"/>
  <c r="BR32" i="4"/>
  <c r="BR31" i="4" s="1"/>
  <c r="BR107" i="3" s="1"/>
  <c r="BR88" i="3" s="1"/>
  <c r="CE52" i="4"/>
  <c r="CE51" i="4" s="1"/>
  <c r="BX17" i="4"/>
  <c r="BX16" i="4" s="1"/>
  <c r="BX104" i="3" s="1"/>
  <c r="BR22" i="4"/>
  <c r="CE22" i="4"/>
  <c r="CD27" i="4"/>
  <c r="CE37" i="4"/>
  <c r="BR47" i="4"/>
  <c r="BR45" i="4" s="1"/>
  <c r="CE47" i="4"/>
  <c r="CD12" i="4"/>
  <c r="CD11" i="4" s="1"/>
  <c r="CD103" i="3" s="1"/>
  <c r="BT12" i="4"/>
  <c r="BT11" i="4" s="1"/>
  <c r="BT103" i="3" s="1"/>
  <c r="BR17" i="4"/>
  <c r="BR16" i="4" s="1"/>
  <c r="BR104" i="3" s="1"/>
  <c r="BR134" i="3" s="1"/>
  <c r="BT22" i="4"/>
  <c r="CF22" i="4"/>
  <c r="BX27" i="4"/>
  <c r="BR37" i="4"/>
  <c r="CF37" i="4"/>
  <c r="AI106" i="3"/>
  <c r="AI87" i="3" s="1"/>
  <c r="AI134" i="3"/>
  <c r="AC104" i="3"/>
  <c r="AC85" i="3" s="1"/>
  <c r="BG30" i="4"/>
  <c r="AA105" i="3"/>
  <c r="AA86" i="3" s="1"/>
  <c r="AC134" i="3"/>
  <c r="AH104" i="3"/>
  <c r="AH85" i="3" s="1"/>
  <c r="AA135" i="3"/>
  <c r="AZ151" i="47"/>
  <c r="AD133" i="3"/>
  <c r="AP9" i="3"/>
  <c r="AP15" i="3" s="1"/>
  <c r="AP48" i="3" s="1"/>
  <c r="AH134" i="3"/>
  <c r="C120" i="1"/>
  <c r="C119" i="1" s="1"/>
  <c r="CG11" i="47"/>
  <c r="BE137" i="3"/>
  <c r="BE88" i="3"/>
  <c r="AA119" i="3"/>
  <c r="AC10" i="3"/>
  <c r="AC16" i="3" s="1"/>
  <c r="AC13" i="3" s="1"/>
  <c r="AD10" i="3"/>
  <c r="AD16" i="3" s="1"/>
  <c r="AD49" i="3" s="1"/>
  <c r="AC63" i="3"/>
  <c r="AV9" i="4"/>
  <c r="AO10" i="3"/>
  <c r="AC105" i="3"/>
  <c r="AC86" i="3" s="1"/>
  <c r="AM119" i="3"/>
  <c r="AG121" i="3"/>
  <c r="AP10" i="3"/>
  <c r="E5" i="4"/>
  <c r="K2" i="47"/>
  <c r="I5" i="4"/>
  <c r="AM85" i="3"/>
  <c r="AA106" i="3"/>
  <c r="AA87" i="3" s="1"/>
  <c r="AG133" i="3"/>
  <c r="AM9" i="3"/>
  <c r="AM15" i="3" s="1"/>
  <c r="AG119" i="3"/>
  <c r="AC135" i="3"/>
  <c r="G87" i="4"/>
  <c r="AE87" i="4"/>
  <c r="AJ9" i="3"/>
  <c r="AJ15" i="3" s="1"/>
  <c r="AZ10" i="3"/>
  <c r="AZ49" i="3" s="1"/>
  <c r="AG106" i="3"/>
  <c r="AG87" i="3" s="1"/>
  <c r="AB118" i="3"/>
  <c r="AA136" i="3"/>
  <c r="AY39" i="4"/>
  <c r="AZ58" i="4"/>
  <c r="BH59" i="4"/>
  <c r="V2" i="47"/>
  <c r="BB10" i="3"/>
  <c r="BB13" i="3" s="1"/>
  <c r="AG10" i="3"/>
  <c r="AG13" i="3" s="1"/>
  <c r="AZ9" i="3"/>
  <c r="AZ12" i="3" s="1"/>
  <c r="AB120" i="3"/>
  <c r="AH9" i="3"/>
  <c r="AH15" i="3" s="1"/>
  <c r="AH148" i="47" s="1"/>
  <c r="AH151" i="47" s="1"/>
  <c r="AH105" i="3"/>
  <c r="AH86" i="3" s="1"/>
  <c r="AA118" i="3"/>
  <c r="AH135" i="3"/>
  <c r="AG63" i="3"/>
  <c r="M87" i="4"/>
  <c r="Y87" i="4"/>
  <c r="AK87" i="4"/>
  <c r="AW87" i="4"/>
  <c r="AW109" i="47" s="1"/>
  <c r="AD5" i="4"/>
  <c r="AY9" i="3"/>
  <c r="AY12" i="3" s="1"/>
  <c r="AE39" i="4"/>
  <c r="AQ11" i="47"/>
  <c r="CC49" i="47"/>
  <c r="BQ103" i="3"/>
  <c r="BQ118" i="3" s="1"/>
  <c r="AG12" i="47"/>
  <c r="CD12" i="47"/>
  <c r="AH15" i="47"/>
  <c r="Z16" i="47"/>
  <c r="S48" i="47"/>
  <c r="BC48" i="47"/>
  <c r="BO48" i="47"/>
  <c r="BG59" i="47"/>
  <c r="AJ56" i="47"/>
  <c r="AQ82" i="47"/>
  <c r="AA87" i="47"/>
  <c r="AH89" i="47"/>
  <c r="AJ124" i="47"/>
  <c r="AI125" i="47"/>
  <c r="AS123" i="47"/>
  <c r="AY125" i="47"/>
  <c r="D145" i="47"/>
  <c r="AK144" i="47"/>
  <c r="AQ143" i="47"/>
  <c r="BH171" i="47"/>
  <c r="BH173" i="47" s="1"/>
  <c r="BH175" i="47" s="1"/>
  <c r="AN12" i="47"/>
  <c r="AA15" i="47"/>
  <c r="AM15" i="47"/>
  <c r="AO15" i="47"/>
  <c r="AE11" i="47"/>
  <c r="AQ22" i="47"/>
  <c r="AQ4" i="47" s="1"/>
  <c r="AA5" i="47"/>
  <c r="CC23" i="47"/>
  <c r="BE135" i="47"/>
  <c r="BF135" i="47"/>
  <c r="BF136" i="47" s="1"/>
  <c r="BT49" i="47"/>
  <c r="P59" i="47"/>
  <c r="O145" i="47"/>
  <c r="AD9" i="3"/>
  <c r="AD15" i="3" s="1"/>
  <c r="AD48" i="3" s="1"/>
  <c r="AZ88" i="3"/>
  <c r="AD104" i="3"/>
  <c r="AD85" i="3" s="1"/>
  <c r="AB105" i="3"/>
  <c r="AB86" i="3" s="1"/>
  <c r="AD105" i="3"/>
  <c r="AD86" i="3" s="1"/>
  <c r="AD119" i="3"/>
  <c r="AU9" i="4"/>
  <c r="AU39" i="4"/>
  <c r="AU10" i="3" s="1"/>
  <c r="AK51" i="4"/>
  <c r="BG50" i="4"/>
  <c r="AP86" i="3"/>
  <c r="AN88" i="3"/>
  <c r="AS87" i="3"/>
  <c r="G76" i="4"/>
  <c r="S76" i="4"/>
  <c r="Y76" i="4"/>
  <c r="AE76" i="4"/>
  <c r="X5" i="4"/>
  <c r="AQ87" i="4"/>
  <c r="S87" i="4"/>
  <c r="AK93" i="4"/>
  <c r="AC148" i="3"/>
  <c r="AD147" i="3" s="1"/>
  <c r="AD148" i="3" s="1"/>
  <c r="AE148" i="3" s="1"/>
  <c r="AG147" i="3" s="1"/>
  <c r="AK147" i="3" s="1"/>
  <c r="AK41" i="3" s="1"/>
  <c r="R5" i="4"/>
  <c r="O149" i="3"/>
  <c r="AC2" i="47"/>
  <c r="D149" i="3"/>
  <c r="J149" i="3"/>
  <c r="P149" i="3"/>
  <c r="V149" i="3"/>
  <c r="BC41" i="3"/>
  <c r="E149" i="3"/>
  <c r="K149" i="3"/>
  <c r="Q149" i="3"/>
  <c r="W149" i="3"/>
  <c r="L149" i="3"/>
  <c r="F149" i="3"/>
  <c r="X149" i="3"/>
  <c r="AI123" i="47"/>
  <c r="BC118" i="47"/>
  <c r="BI126" i="47" s="1"/>
  <c r="AC125" i="47"/>
  <c r="BE123" i="47"/>
  <c r="AE138" i="47"/>
  <c r="AC123" i="47"/>
  <c r="G142" i="47"/>
  <c r="AN129" i="47"/>
  <c r="K145" i="47"/>
  <c r="W145" i="47"/>
  <c r="AN123" i="47"/>
  <c r="V125" i="47"/>
  <c r="AU130" i="47"/>
  <c r="L145" i="47"/>
  <c r="AA125" i="47"/>
  <c r="AA123" i="47"/>
  <c r="AO125" i="47"/>
  <c r="BE130" i="47"/>
  <c r="AC18" i="47"/>
  <c r="AI18" i="47"/>
  <c r="AP79" i="47"/>
  <c r="AO145" i="47"/>
  <c r="AA12" i="47"/>
  <c r="AM12" i="47"/>
  <c r="AB15" i="47"/>
  <c r="CD15" i="47"/>
  <c r="BZ18" i="47"/>
  <c r="CF18" i="47"/>
  <c r="BU17" i="47"/>
  <c r="BB59" i="47"/>
  <c r="BQ59" i="47"/>
  <c r="CC59" i="47"/>
  <c r="AD56" i="47"/>
  <c r="O75" i="47"/>
  <c r="AQ77" i="47"/>
  <c r="Q85" i="47"/>
  <c r="AN89" i="47"/>
  <c r="AP145" i="47"/>
  <c r="BC144" i="47"/>
  <c r="BW51" i="47"/>
  <c r="AO70" i="47"/>
  <c r="AP12" i="47"/>
  <c r="AG15" i="47"/>
  <c r="CC15" i="47"/>
  <c r="CG48" i="47"/>
  <c r="BU55" i="47"/>
  <c r="BT59" i="47"/>
  <c r="CF56" i="47"/>
  <c r="CF59" i="47"/>
  <c r="AB59" i="47"/>
  <c r="AQ67" i="47"/>
  <c r="AP70" i="47"/>
  <c r="M77" i="47"/>
  <c r="AC85" i="47"/>
  <c r="AP87" i="47"/>
  <c r="V25" i="47"/>
  <c r="BC55" i="47"/>
  <c r="AP80" i="47"/>
  <c r="AP89" i="47"/>
  <c r="AW144" i="47"/>
  <c r="AI15" i="47"/>
  <c r="CE15" i="47"/>
  <c r="AS18" i="47"/>
  <c r="BW18" i="47"/>
  <c r="CC18" i="47"/>
  <c r="BF56" i="47"/>
  <c r="BX59" i="47"/>
  <c r="O70" i="47"/>
  <c r="AV72" i="47"/>
  <c r="AN79" i="47"/>
  <c r="AC80" i="47"/>
  <c r="AQ144" i="47"/>
  <c r="AO111" i="47"/>
  <c r="AG59" i="47"/>
  <c r="AC75" i="47"/>
  <c r="AI87" i="47"/>
  <c r="AI145" i="47"/>
  <c r="CC12" i="47"/>
  <c r="AP15" i="47"/>
  <c r="AB18" i="47"/>
  <c r="AN18" i="47"/>
  <c r="AT18" i="47"/>
  <c r="CD18" i="47"/>
  <c r="G48" i="47"/>
  <c r="AK48" i="47"/>
  <c r="BW49" i="47"/>
  <c r="BT56" i="47"/>
  <c r="AC70" i="47"/>
  <c r="AH87" i="47"/>
  <c r="AN85" i="47"/>
  <c r="S142" i="47"/>
  <c r="D133" i="1"/>
  <c r="D134" i="1" s="1"/>
  <c r="AB134" i="1"/>
  <c r="AP134" i="1"/>
  <c r="BT134" i="1"/>
  <c r="D100" i="1"/>
  <c r="D110" i="1"/>
  <c r="D111" i="1" s="1"/>
  <c r="AT127" i="1"/>
  <c r="AZ127" i="1"/>
  <c r="AZ129" i="1" s="1"/>
  <c r="D109" i="1"/>
  <c r="CD112" i="1"/>
  <c r="J117" i="1"/>
  <c r="AH117" i="1"/>
  <c r="BQ126" i="1"/>
  <c r="D138" i="1"/>
  <c r="BO138" i="1"/>
  <c r="BN94" i="3"/>
  <c r="BE148" i="3"/>
  <c r="BF147" i="3" s="1"/>
  <c r="AG149" i="3"/>
  <c r="V5" i="4"/>
  <c r="AB5" i="4"/>
  <c r="D2" i="47"/>
  <c r="R2" i="47"/>
  <c r="X2" i="47"/>
  <c r="BI28" i="3"/>
  <c r="BL94" i="3"/>
  <c r="O5" i="4"/>
  <c r="C2" i="47"/>
  <c r="E2" i="47"/>
  <c r="Q2" i="47"/>
  <c r="U2" i="47"/>
  <c r="W2" i="47"/>
  <c r="M122" i="47"/>
  <c r="AH139" i="47"/>
  <c r="W5" i="47"/>
  <c r="W7" i="47" s="1"/>
  <c r="AV11" i="47"/>
  <c r="AV12" i="47" s="1"/>
  <c r="AT57" i="47"/>
  <c r="BB14" i="47"/>
  <c r="BH15" i="47" s="1"/>
  <c r="AV14" i="47"/>
  <c r="AV15" i="47" s="1"/>
  <c r="AB12" i="47"/>
  <c r="AD15" i="47"/>
  <c r="AN15" i="47"/>
  <c r="AE17" i="47"/>
  <c r="AB38" i="47"/>
  <c r="AH25" i="47"/>
  <c r="AM18" i="47"/>
  <c r="AQ17" i="47"/>
  <c r="AZ61" i="47"/>
  <c r="BT18" i="47"/>
  <c r="W25" i="47"/>
  <c r="Y34" i="47"/>
  <c r="AK34" i="47"/>
  <c r="R38" i="47"/>
  <c r="V38" i="47"/>
  <c r="AE48" i="47"/>
  <c r="L49" i="47"/>
  <c r="L50" i="47" s="1"/>
  <c r="P49" i="47"/>
  <c r="R49" i="47"/>
  <c r="AA49" i="47"/>
  <c r="V49" i="47"/>
  <c r="AC49" i="47"/>
  <c r="AG51" i="47"/>
  <c r="AO49" i="47"/>
  <c r="BA51" i="47"/>
  <c r="BH49" i="47"/>
  <c r="BN50" i="47" s="1"/>
  <c r="L51" i="47"/>
  <c r="AO51" i="47"/>
  <c r="BF51" i="47"/>
  <c r="BT51" i="47"/>
  <c r="U56" i="47"/>
  <c r="BQ104" i="3"/>
  <c r="BQ134" i="3" s="1"/>
  <c r="P4" i="47"/>
  <c r="V4" i="47"/>
  <c r="AB4" i="47"/>
  <c r="AH5" i="47" s="1"/>
  <c r="AG5" i="47"/>
  <c r="AY11" i="47"/>
  <c r="BE12" i="47" s="1"/>
  <c r="AS11" i="47"/>
  <c r="AU13" i="47"/>
  <c r="AT14" i="47"/>
  <c r="AT15" i="47" s="1"/>
  <c r="AH12" i="47"/>
  <c r="AO12" i="47"/>
  <c r="BB11" i="47"/>
  <c r="BH12" i="47" s="1"/>
  <c r="AW17" i="47"/>
  <c r="BI11" i="47"/>
  <c r="CA11" i="47"/>
  <c r="CA14" i="47"/>
  <c r="CG57" i="47"/>
  <c r="W61" i="47"/>
  <c r="W23" i="47"/>
  <c r="AB23" i="47"/>
  <c r="AH18" i="47"/>
  <c r="AJ18" i="47"/>
  <c r="AG23" i="47"/>
  <c r="AY18" i="47"/>
  <c r="BC17" i="47"/>
  <c r="BE18" i="47"/>
  <c r="BE86" i="47"/>
  <c r="BE156" i="47" s="1"/>
  <c r="Q25" i="47"/>
  <c r="AB25" i="47"/>
  <c r="BU57" i="47"/>
  <c r="AW33" i="47"/>
  <c r="AW34" i="47" s="1"/>
  <c r="M34" i="47"/>
  <c r="P38" i="47"/>
  <c r="U38" i="47"/>
  <c r="AG38" i="47"/>
  <c r="AU143" i="47"/>
  <c r="AU145" i="47" s="1"/>
  <c r="M48" i="47"/>
  <c r="Y48" i="47"/>
  <c r="AQ48" i="47"/>
  <c r="BI48" i="47"/>
  <c r="BU48" i="47"/>
  <c r="J49" i="47"/>
  <c r="J50" i="47" s="1"/>
  <c r="K49" i="47"/>
  <c r="K50" i="47" s="1"/>
  <c r="Q49" i="47"/>
  <c r="V51" i="47"/>
  <c r="X49" i="47"/>
  <c r="AD49" i="47"/>
  <c r="AM51" i="47"/>
  <c r="AG49" i="47"/>
  <c r="AN49" i="47"/>
  <c r="AP49" i="47"/>
  <c r="AS48" i="47"/>
  <c r="AY49" i="47" s="1"/>
  <c r="BG49" i="47"/>
  <c r="BM50" i="47" s="1"/>
  <c r="BR49" i="47"/>
  <c r="BY49" i="47"/>
  <c r="CC51" i="47"/>
  <c r="J51" i="47"/>
  <c r="X51" i="47"/>
  <c r="AN51" i="47"/>
  <c r="BB51" i="47"/>
  <c r="BH51" i="47"/>
  <c r="P56" i="47"/>
  <c r="R56" i="47"/>
  <c r="V56" i="47"/>
  <c r="X56" i="47"/>
  <c r="AH56" i="47"/>
  <c r="AN56" i="47"/>
  <c r="AS54" i="47"/>
  <c r="AZ56" i="47"/>
  <c r="BB56" i="47"/>
  <c r="BC60" i="47"/>
  <c r="BH56" i="47"/>
  <c r="BE59" i="47"/>
  <c r="BF59" i="47"/>
  <c r="BE61" i="47"/>
  <c r="BO55" i="47"/>
  <c r="BU58" i="47"/>
  <c r="BY59" i="47"/>
  <c r="CG58" i="47"/>
  <c r="AW55" i="47"/>
  <c r="W56" i="47"/>
  <c r="AC56" i="47"/>
  <c r="AI56" i="47"/>
  <c r="AI59" i="47"/>
  <c r="V59" i="47"/>
  <c r="AN59" i="47"/>
  <c r="AP59" i="47"/>
  <c r="O59" i="47"/>
  <c r="R59" i="47"/>
  <c r="X59" i="47"/>
  <c r="AD59" i="47"/>
  <c r="AJ59" i="47"/>
  <c r="AH69" i="47"/>
  <c r="AB70" i="47"/>
  <c r="AD70" i="47"/>
  <c r="AP69" i="47"/>
  <c r="AI70" i="47"/>
  <c r="U70" i="47"/>
  <c r="Y72" i="47"/>
  <c r="AM74" i="47"/>
  <c r="AO74" i="47"/>
  <c r="U75" i="47"/>
  <c r="AO79" i="47"/>
  <c r="R80" i="47"/>
  <c r="M82" i="47"/>
  <c r="AN84" i="47"/>
  <c r="U85" i="47"/>
  <c r="BW86" i="47"/>
  <c r="AD119" i="47"/>
  <c r="AK117" i="47"/>
  <c r="AP126" i="47"/>
  <c r="E121" i="47"/>
  <c r="K121" i="47"/>
  <c r="R119" i="47"/>
  <c r="Q121" i="47"/>
  <c r="P123" i="47"/>
  <c r="O125" i="47"/>
  <c r="P125" i="47"/>
  <c r="W121" i="47"/>
  <c r="X126" i="47"/>
  <c r="AG131" i="47"/>
  <c r="AZ121" i="47"/>
  <c r="AG121" i="47"/>
  <c r="AG123" i="47"/>
  <c r="AM121" i="47"/>
  <c r="AT125" i="47"/>
  <c r="BB122" i="47"/>
  <c r="AZ123" i="47"/>
  <c r="BA125" i="47"/>
  <c r="BE125" i="47"/>
  <c r="D129" i="47"/>
  <c r="J131" i="47"/>
  <c r="AG129" i="47"/>
  <c r="AH131" i="47"/>
  <c r="AO131" i="47"/>
  <c r="AZ129" i="47"/>
  <c r="AZ131" i="47"/>
  <c r="BE129" i="47"/>
  <c r="AZ135" i="47"/>
  <c r="AU138" i="47"/>
  <c r="M138" i="47"/>
  <c r="Y138" i="47"/>
  <c r="AQ138" i="47"/>
  <c r="K139" i="47"/>
  <c r="P139" i="47"/>
  <c r="U139" i="47"/>
  <c r="AC139" i="47"/>
  <c r="AA139" i="47"/>
  <c r="AT138" i="47"/>
  <c r="F145" i="47"/>
  <c r="G144" i="47"/>
  <c r="M143" i="47"/>
  <c r="Q145" i="47"/>
  <c r="V145" i="47"/>
  <c r="X145" i="47"/>
  <c r="AE143" i="47"/>
  <c r="AJ145" i="47"/>
  <c r="U5" i="47"/>
  <c r="U7" i="47" s="1"/>
  <c r="AZ11" i="47"/>
  <c r="BF12" i="47" s="1"/>
  <c r="AD12" i="47"/>
  <c r="AZ14" i="47"/>
  <c r="V61" i="47"/>
  <c r="AD18" i="47"/>
  <c r="AD38" i="47"/>
  <c r="AO18" i="47"/>
  <c r="AT22" i="47"/>
  <c r="BB61" i="47"/>
  <c r="BH18" i="47"/>
  <c r="BR18" i="47"/>
  <c r="CA17" i="47"/>
  <c r="R25" i="47"/>
  <c r="CA48" i="47"/>
  <c r="BZ49" i="47"/>
  <c r="AA51" i="47"/>
  <c r="AM56" i="47"/>
  <c r="AY56" i="47"/>
  <c r="BA59" i="47"/>
  <c r="BG56" i="47"/>
  <c r="BH59" i="47"/>
  <c r="BO58" i="47"/>
  <c r="CA58" i="47"/>
  <c r="Q56" i="47"/>
  <c r="AA56" i="47"/>
  <c r="AH59" i="47"/>
  <c r="Q59" i="47"/>
  <c r="W59" i="47"/>
  <c r="AA59" i="47"/>
  <c r="AC59" i="47"/>
  <c r="AM59" i="47"/>
  <c r="AP56" i="47"/>
  <c r="U59" i="47"/>
  <c r="AM69" i="47"/>
  <c r="AO69" i="47"/>
  <c r="AJ74" i="47"/>
  <c r="S77" i="47"/>
  <c r="AM84" i="47"/>
  <c r="AO84" i="47"/>
  <c r="AB89" i="47"/>
  <c r="AJ87" i="47"/>
  <c r="AJ89" i="47"/>
  <c r="U89" i="47"/>
  <c r="U90" i="47" s="1"/>
  <c r="AK118" i="47"/>
  <c r="AK126" i="47" s="1"/>
  <c r="BB124" i="47"/>
  <c r="I129" i="47"/>
  <c r="Q129" i="47"/>
  <c r="O121" i="47"/>
  <c r="Q123" i="47"/>
  <c r="R124" i="47"/>
  <c r="W123" i="47"/>
  <c r="BA129" i="47"/>
  <c r="AA121" i="47"/>
  <c r="AO121" i="47"/>
  <c r="AT123" i="47"/>
  <c r="AU125" i="47"/>
  <c r="AY121" i="47"/>
  <c r="AY123" i="47"/>
  <c r="BA123" i="47"/>
  <c r="K130" i="47"/>
  <c r="O130" i="47"/>
  <c r="Q131" i="47"/>
  <c r="AA130" i="47"/>
  <c r="BA130" i="47"/>
  <c r="BA131" i="47"/>
  <c r="AH143" i="47"/>
  <c r="AK143" i="47" s="1"/>
  <c r="J139" i="47"/>
  <c r="L139" i="47"/>
  <c r="O139" i="47"/>
  <c r="Q139" i="47"/>
  <c r="X139" i="47"/>
  <c r="W139" i="47"/>
  <c r="AB139" i="47"/>
  <c r="AO139" i="47"/>
  <c r="AV138" i="47"/>
  <c r="E145" i="47"/>
  <c r="J145" i="47"/>
  <c r="S143" i="47"/>
  <c r="AA145" i="47"/>
  <c r="AG145" i="47"/>
  <c r="AT22" i="1"/>
  <c r="AB32" i="1"/>
  <c r="Y39" i="1"/>
  <c r="BG128" i="1"/>
  <c r="BG129" i="1"/>
  <c r="AH134" i="1"/>
  <c r="AV134" i="1"/>
  <c r="AZ134" i="1"/>
  <c r="X32" i="1"/>
  <c r="BB32" i="1"/>
  <c r="BA47" i="1"/>
  <c r="K127" i="1"/>
  <c r="AK100" i="1"/>
  <c r="AN100" i="1"/>
  <c r="V110" i="1"/>
  <c r="V111" i="1" s="1"/>
  <c r="BR112" i="1"/>
  <c r="AT117" i="1"/>
  <c r="C129" i="1"/>
  <c r="BR134" i="1"/>
  <c r="CD134" i="1"/>
  <c r="BU138" i="1"/>
  <c r="BG110" i="1"/>
  <c r="BG111" i="1" s="1"/>
  <c r="AQ46" i="1"/>
  <c r="AQ47" i="1" s="1"/>
  <c r="AC75" i="1"/>
  <c r="AC72" i="1"/>
  <c r="AC22" i="1"/>
  <c r="AO75" i="1"/>
  <c r="AS22" i="1"/>
  <c r="AU75" i="1"/>
  <c r="AU72" i="1"/>
  <c r="G122" i="1"/>
  <c r="M122" i="1"/>
  <c r="S122" i="1"/>
  <c r="AE14" i="1"/>
  <c r="AK46" i="1"/>
  <c r="AK47" i="1" s="1"/>
  <c r="AH72" i="1"/>
  <c r="AJ75" i="1"/>
  <c r="AQ28" i="1"/>
  <c r="AQ73" i="1" s="1"/>
  <c r="K32" i="1"/>
  <c r="K40" i="1" s="1"/>
  <c r="M28" i="1"/>
  <c r="R32" i="1"/>
  <c r="R40" i="1" s="1"/>
  <c r="AH74" i="1"/>
  <c r="BF74" i="1"/>
  <c r="E32" i="1"/>
  <c r="E40" i="1" s="1"/>
  <c r="L32" i="1"/>
  <c r="L40" i="1" s="1"/>
  <c r="P32" i="1"/>
  <c r="P40" i="1" s="1"/>
  <c r="V32" i="1"/>
  <c r="V40" i="1" s="1"/>
  <c r="AA32" i="1"/>
  <c r="AA40" i="1" s="1"/>
  <c r="AH32" i="1"/>
  <c r="AM32" i="1"/>
  <c r="AM40" i="1" s="1"/>
  <c r="BE32" i="1"/>
  <c r="BE40" i="1" s="1"/>
  <c r="G101" i="1"/>
  <c r="F103" i="1"/>
  <c r="F104" i="1" s="1"/>
  <c r="J103" i="1"/>
  <c r="J104" i="1" s="1"/>
  <c r="AB103" i="1"/>
  <c r="AB104" i="1" s="1"/>
  <c r="AD103" i="1"/>
  <c r="AD104" i="1" s="1"/>
  <c r="AH103" i="1"/>
  <c r="AI97" i="1" s="1"/>
  <c r="AJ103" i="1"/>
  <c r="AJ104" i="1" s="1"/>
  <c r="AI47" i="1"/>
  <c r="AO47" i="1"/>
  <c r="AS47" i="1"/>
  <c r="AT47" i="1"/>
  <c r="AZ47" i="1"/>
  <c r="BB47" i="1"/>
  <c r="BE47" i="1"/>
  <c r="AC73" i="1"/>
  <c r="BB103" i="1"/>
  <c r="BB104" i="1" s="1"/>
  <c r="P128" i="1"/>
  <c r="R134" i="1"/>
  <c r="AI134" i="1"/>
  <c r="AJ134" i="1"/>
  <c r="AT134" i="1"/>
  <c r="Y122" i="1"/>
  <c r="D32" i="1"/>
  <c r="J32" i="1"/>
  <c r="U32" i="1"/>
  <c r="U40" i="1" s="1"/>
  <c r="W32" i="1"/>
  <c r="W40" i="1" s="1"/>
  <c r="AC74" i="1"/>
  <c r="AO73" i="1"/>
  <c r="BA74" i="1"/>
  <c r="BE74" i="1"/>
  <c r="AY32" i="1"/>
  <c r="AY40" i="1" s="1"/>
  <c r="BA32" i="1"/>
  <c r="F32" i="1"/>
  <c r="O32" i="1"/>
  <c r="O40" i="1" s="1"/>
  <c r="Q32" i="1"/>
  <c r="Q40" i="1" s="1"/>
  <c r="AI32" i="1"/>
  <c r="AI40" i="1" s="1"/>
  <c r="AO32" i="1"/>
  <c r="AO40" i="1" s="1"/>
  <c r="I98" i="1"/>
  <c r="M98" i="1" s="1"/>
  <c r="I101" i="1"/>
  <c r="M101" i="1" s="1"/>
  <c r="O98" i="1"/>
  <c r="O101" i="1"/>
  <c r="S101" i="1" s="1"/>
  <c r="U98" i="1"/>
  <c r="U101" i="1"/>
  <c r="Y101" i="1" s="1"/>
  <c r="AA98" i="1"/>
  <c r="AA101" i="1"/>
  <c r="AE101" i="1" s="1"/>
  <c r="AM98" i="1"/>
  <c r="AQ98" i="1" s="1"/>
  <c r="AM101" i="1"/>
  <c r="AQ101" i="1" s="1"/>
  <c r="AS101" i="1"/>
  <c r="AW101" i="1" s="1"/>
  <c r="AY98" i="1"/>
  <c r="BC98" i="1" s="1"/>
  <c r="AY101" i="1"/>
  <c r="BC101" i="1" s="1"/>
  <c r="BE101" i="1"/>
  <c r="BI101" i="1" s="1"/>
  <c r="C103" i="1"/>
  <c r="D97" i="1" s="1"/>
  <c r="M39" i="1"/>
  <c r="V103" i="1"/>
  <c r="V104" i="1" s="1"/>
  <c r="X103" i="1"/>
  <c r="X104" i="1" s="1"/>
  <c r="AP103" i="1"/>
  <c r="AP104" i="1" s="1"/>
  <c r="AV103" i="1"/>
  <c r="AV104" i="1" s="1"/>
  <c r="AZ103" i="1"/>
  <c r="AZ104" i="1" s="1"/>
  <c r="BF103" i="1"/>
  <c r="BG97" i="1" s="1"/>
  <c r="BG102" i="1" s="1"/>
  <c r="AJ47" i="1"/>
  <c r="AN47" i="1"/>
  <c r="AP47" i="1"/>
  <c r="AV47" i="1"/>
  <c r="AH75" i="1"/>
  <c r="AC103" i="1"/>
  <c r="AC104" i="1" s="1"/>
  <c r="AG101" i="1"/>
  <c r="AK101" i="1" s="1"/>
  <c r="D103" i="1"/>
  <c r="D104" i="1" s="1"/>
  <c r="L134" i="1"/>
  <c r="BH94" i="3"/>
  <c r="BK94" i="3"/>
  <c r="BM94" i="3"/>
  <c r="BQ93" i="3"/>
  <c r="CA165" i="3"/>
  <c r="CG164" i="3"/>
  <c r="C5" i="4"/>
  <c r="K5" i="4"/>
  <c r="Q5" i="4"/>
  <c r="U5" i="4"/>
  <c r="W5" i="4"/>
  <c r="AA5" i="4"/>
  <c r="AC5" i="4"/>
  <c r="AT55" i="4"/>
  <c r="AV58" i="4"/>
  <c r="I2" i="47"/>
  <c r="O2" i="47"/>
  <c r="AA2" i="47"/>
  <c r="BI21" i="1"/>
  <c r="BQ112" i="1"/>
  <c r="BS134" i="1"/>
  <c r="BS112" i="1"/>
  <c r="BX134" i="1"/>
  <c r="BZ112" i="1"/>
  <c r="CC126" i="1"/>
  <c r="CC134" i="1"/>
  <c r="CE134" i="1"/>
  <c r="K117" i="1"/>
  <c r="V117" i="1"/>
  <c r="AJ117" i="1"/>
  <c r="AI117" i="1"/>
  <c r="P110" i="1"/>
  <c r="P111" i="1" s="1"/>
  <c r="AT138" i="1"/>
  <c r="AV100" i="1"/>
  <c r="AT100" i="1"/>
  <c r="AD128" i="1"/>
  <c r="AD129" i="1"/>
  <c r="BZ134" i="1"/>
  <c r="P117" i="1"/>
  <c r="BF117" i="1"/>
  <c r="BI117" i="1" s="1"/>
  <c r="AH127" i="1"/>
  <c r="W138" i="1"/>
  <c r="AJ138" i="1"/>
  <c r="AU110" i="1"/>
  <c r="AU111" i="1" s="1"/>
  <c r="AZ110" i="1"/>
  <c r="AZ111" i="1" s="1"/>
  <c r="P100" i="1"/>
  <c r="D119" i="10"/>
  <c r="BF14" i="1"/>
  <c r="BF75" i="1" s="1"/>
  <c r="AE100" i="1"/>
  <c r="C111" i="1"/>
  <c r="CG113" i="1"/>
  <c r="AU117" i="1"/>
  <c r="BC183" i="3"/>
  <c r="AH58" i="4"/>
  <c r="Y15" i="3"/>
  <c r="Y16" i="3"/>
  <c r="AA15" i="3"/>
  <c r="AA148" i="47" s="1"/>
  <c r="R21" i="3"/>
  <c r="AQ50" i="3"/>
  <c r="AQ111" i="3" s="1"/>
  <c r="AQ92" i="3" s="1"/>
  <c r="BI183" i="3"/>
  <c r="D5" i="4"/>
  <c r="J5" i="4"/>
  <c r="L5" i="4"/>
  <c r="AB55" i="4"/>
  <c r="BG55" i="4"/>
  <c r="J2" i="47"/>
  <c r="L2" i="47"/>
  <c r="AB2" i="47"/>
  <c r="AD2" i="47"/>
  <c r="AN121" i="3"/>
  <c r="AN87" i="3"/>
  <c r="AS10" i="3"/>
  <c r="AG9" i="3"/>
  <c r="AG48" i="3" s="1"/>
  <c r="AI9" i="3"/>
  <c r="AI15" i="3" s="1"/>
  <c r="AI12" i="3" s="1"/>
  <c r="AN9" i="3"/>
  <c r="AN15" i="3" s="1"/>
  <c r="AN84" i="3"/>
  <c r="AS85" i="3"/>
  <c r="AB103" i="3"/>
  <c r="AB84" i="3" s="1"/>
  <c r="AA104" i="3"/>
  <c r="AA85" i="3" s="1"/>
  <c r="AD106" i="3"/>
  <c r="AD87" i="3" s="1"/>
  <c r="AG105" i="3"/>
  <c r="AG86" i="3" s="1"/>
  <c r="AI105" i="3"/>
  <c r="AI86" i="3" s="1"/>
  <c r="AI107" i="3"/>
  <c r="AI88" i="3" s="1"/>
  <c r="AD121" i="3"/>
  <c r="AG120" i="3"/>
  <c r="AI120" i="3"/>
  <c r="AH121" i="3"/>
  <c r="AQ39" i="4"/>
  <c r="BA39" i="4"/>
  <c r="BA10" i="3" s="1"/>
  <c r="BA13" i="3" s="1"/>
  <c r="BE39" i="4"/>
  <c r="AQ51" i="4"/>
  <c r="BF50" i="4"/>
  <c r="F57" i="4"/>
  <c r="AQ93" i="4"/>
  <c r="BC93" i="4"/>
  <c r="M109" i="4"/>
  <c r="S109" i="4"/>
  <c r="BC109" i="4"/>
  <c r="BO109" i="4"/>
  <c r="BU109" i="4"/>
  <c r="U97" i="47"/>
  <c r="AM105" i="47"/>
  <c r="E6" i="4"/>
  <c r="AN39" i="47"/>
  <c r="AN122" i="3"/>
  <c r="AZ122" i="3"/>
  <c r="BE122" i="3"/>
  <c r="AN136" i="3"/>
  <c r="AS136" i="3"/>
  <c r="AK11" i="4"/>
  <c r="AK103" i="3" s="1"/>
  <c r="AK84" i="3" s="1"/>
  <c r="AE16" i="4"/>
  <c r="BA19" i="4"/>
  <c r="BA24" i="4" s="1"/>
  <c r="AE21" i="4"/>
  <c r="AE26" i="4"/>
  <c r="BC31" i="4"/>
  <c r="BC107" i="3" s="1"/>
  <c r="BC88" i="3" s="1"/>
  <c r="BF30" i="4"/>
  <c r="AQ46" i="4"/>
  <c r="AZ46" i="4"/>
  <c r="AU51" i="4"/>
  <c r="BH51" i="4"/>
  <c r="AY51" i="4"/>
  <c r="C57" i="4"/>
  <c r="AN69" i="4"/>
  <c r="F95" i="4"/>
  <c r="L81" i="4"/>
  <c r="R81" i="4"/>
  <c r="U95" i="4"/>
  <c r="U120" i="47" s="1"/>
  <c r="W77" i="4"/>
  <c r="AB95" i="4"/>
  <c r="AA77" i="4"/>
  <c r="AN76" i="4"/>
  <c r="AN77" i="4" s="1"/>
  <c r="Y80" i="4"/>
  <c r="S80" i="4"/>
  <c r="Q81" i="4"/>
  <c r="E81" i="4"/>
  <c r="J88" i="4"/>
  <c r="L95" i="4"/>
  <c r="O88" i="4"/>
  <c r="P88" i="4"/>
  <c r="AA88" i="4"/>
  <c r="AB88" i="4"/>
  <c r="AM88" i="4"/>
  <c r="AN88" i="4"/>
  <c r="AU88" i="4"/>
  <c r="BF93" i="4"/>
  <c r="AG95" i="4"/>
  <c r="AE109" i="4"/>
  <c r="CG109" i="4"/>
  <c r="AZ4" i="47"/>
  <c r="D105" i="47"/>
  <c r="L105" i="47"/>
  <c r="L109" i="47"/>
  <c r="E109" i="47"/>
  <c r="AK107" i="47"/>
  <c r="AG31" i="47"/>
  <c r="AH31" i="47"/>
  <c r="V39" i="47"/>
  <c r="AB39" i="47"/>
  <c r="AD39" i="47"/>
  <c r="AM37" i="47"/>
  <c r="AO37" i="47"/>
  <c r="AQ93" i="47"/>
  <c r="AK99" i="47"/>
  <c r="AK102" i="47"/>
  <c r="AG108" i="47"/>
  <c r="AO108" i="47"/>
  <c r="AJ108" i="47"/>
  <c r="AG109" i="47"/>
  <c r="AI111" i="47"/>
  <c r="AP105" i="47"/>
  <c r="AP108" i="47"/>
  <c r="AN109" i="47"/>
  <c r="AP109" i="47"/>
  <c r="AP111" i="47"/>
  <c r="AS109" i="47"/>
  <c r="AU109" i="47"/>
  <c r="Y96" i="47"/>
  <c r="W97" i="47"/>
  <c r="O100" i="47"/>
  <c r="Q100" i="47"/>
  <c r="U100" i="47"/>
  <c r="W100" i="47"/>
  <c r="P103" i="47"/>
  <c r="R103" i="47"/>
  <c r="X103" i="47"/>
  <c r="V103" i="47"/>
  <c r="O109" i="47"/>
  <c r="Q109" i="47"/>
  <c r="AB105" i="47"/>
  <c r="AD105" i="47"/>
  <c r="AD108" i="47"/>
  <c r="AD109" i="47"/>
  <c r="AE99" i="47"/>
  <c r="AC152" i="47"/>
  <c r="AC153" i="47" s="1"/>
  <c r="AG152" i="47"/>
  <c r="AG153" i="47" s="1"/>
  <c r="AI152" i="47"/>
  <c r="AI153" i="47" s="1"/>
  <c r="AZ152" i="47"/>
  <c r="AZ153" i="47" s="1"/>
  <c r="AQ149" i="47"/>
  <c r="AM152" i="47"/>
  <c r="AM153" i="47" s="1"/>
  <c r="AO152" i="47"/>
  <c r="AO153" i="47" s="1"/>
  <c r="AN133" i="3"/>
  <c r="AM69" i="4"/>
  <c r="AS11" i="4"/>
  <c r="AS103" i="3" s="1"/>
  <c r="AS118" i="3" s="1"/>
  <c r="AW16" i="4"/>
  <c r="AW104" i="3" s="1"/>
  <c r="AW85" i="3" s="1"/>
  <c r="Y16" i="4"/>
  <c r="AK21" i="4"/>
  <c r="AK105" i="3" s="1"/>
  <c r="AK86" i="3" s="1"/>
  <c r="AU21" i="4"/>
  <c r="AU105" i="3" s="1"/>
  <c r="AU135" i="3" s="1"/>
  <c r="AZ21" i="4"/>
  <c r="AZ105" i="3" s="1"/>
  <c r="AZ86" i="3" s="1"/>
  <c r="Y21" i="4"/>
  <c r="AQ26" i="4"/>
  <c r="AQ106" i="3" s="1"/>
  <c r="AQ87" i="3" s="1"/>
  <c r="Y26" i="4"/>
  <c r="AO41" i="4"/>
  <c r="AK46" i="4"/>
  <c r="AE46" i="4"/>
  <c r="AS51" i="4"/>
  <c r="BB51" i="4"/>
  <c r="AV51" i="4"/>
  <c r="BA51" i="4"/>
  <c r="BC49" i="4"/>
  <c r="D57" i="4"/>
  <c r="E57" i="4"/>
  <c r="M76" i="4"/>
  <c r="AK76" i="4"/>
  <c r="AK81" i="4" s="1"/>
  <c r="P77" i="4"/>
  <c r="V95" i="4"/>
  <c r="U77" i="4"/>
  <c r="AA95" i="4"/>
  <c r="AJ77" i="4"/>
  <c r="AE80" i="4"/>
  <c r="M80" i="4"/>
  <c r="J81" i="4"/>
  <c r="O81" i="4"/>
  <c r="X81" i="4"/>
  <c r="AB81" i="4"/>
  <c r="D81" i="4"/>
  <c r="F81" i="4"/>
  <c r="L88" i="4"/>
  <c r="V88" i="4"/>
  <c r="R88" i="4"/>
  <c r="AH88" i="4"/>
  <c r="AI88" i="4"/>
  <c r="AT88" i="4"/>
  <c r="AV88" i="4"/>
  <c r="D95" i="4"/>
  <c r="D120" i="47" s="1"/>
  <c r="AW93" i="4"/>
  <c r="BE93" i="4"/>
  <c r="BG93" i="4"/>
  <c r="R95" i="4"/>
  <c r="R111" i="47" s="1"/>
  <c r="AY4" i="47"/>
  <c r="C105" i="47"/>
  <c r="E105" i="47"/>
  <c r="D109" i="47"/>
  <c r="F109" i="47"/>
  <c r="AE107" i="47"/>
  <c r="AQ42" i="47"/>
  <c r="AB31" i="47"/>
  <c r="AN31" i="47"/>
  <c r="AZ31" i="47"/>
  <c r="U39" i="47"/>
  <c r="W39" i="47"/>
  <c r="AC39" i="47"/>
  <c r="AA39" i="47"/>
  <c r="AH39" i="47"/>
  <c r="AJ39" i="47"/>
  <c r="AP37" i="47"/>
  <c r="AK93" i="47"/>
  <c r="AE96" i="47"/>
  <c r="AQ99" i="47"/>
  <c r="AH105" i="47"/>
  <c r="AJ105" i="47"/>
  <c r="AH108" i="47"/>
  <c r="AH109" i="47"/>
  <c r="AJ109" i="47"/>
  <c r="AQ96" i="47"/>
  <c r="AQ102" i="47"/>
  <c r="AO105" i="47"/>
  <c r="AM109" i="47"/>
  <c r="AO109" i="47"/>
  <c r="AT102" i="47"/>
  <c r="AT109" i="47"/>
  <c r="AV109" i="47"/>
  <c r="X97" i="47"/>
  <c r="P100" i="47"/>
  <c r="R100" i="47"/>
  <c r="X100" i="47"/>
  <c r="V100" i="47"/>
  <c r="U103" i="47"/>
  <c r="O103" i="47"/>
  <c r="Q103" i="47"/>
  <c r="Y102" i="47"/>
  <c r="W103" i="47"/>
  <c r="P105" i="47"/>
  <c r="R105" i="47"/>
  <c r="X108" i="47"/>
  <c r="P109" i="47"/>
  <c r="R109" i="47"/>
  <c r="X110" i="47" s="1"/>
  <c r="U105" i="47"/>
  <c r="W105" i="47"/>
  <c r="U108" i="47"/>
  <c r="U109" i="47"/>
  <c r="W109" i="47"/>
  <c r="AA105" i="47"/>
  <c r="AC105" i="47"/>
  <c r="AI106" i="47" s="1"/>
  <c r="AC108" i="47"/>
  <c r="AA109" i="47"/>
  <c r="AC109" i="47"/>
  <c r="AI110" i="47" s="1"/>
  <c r="AB152" i="47"/>
  <c r="AB153" i="47" s="1"/>
  <c r="AD152" i="47"/>
  <c r="AD153" i="47" s="1"/>
  <c r="AK149" i="47"/>
  <c r="AK150" i="47" s="1"/>
  <c r="AH152" i="47"/>
  <c r="AH153" i="47" s="1"/>
  <c r="AJ152" i="47"/>
  <c r="AJ153" i="47" s="1"/>
  <c r="AN152" i="47"/>
  <c r="AN153" i="47" s="1"/>
  <c r="AP152" i="47"/>
  <c r="AP153" i="47" s="1"/>
  <c r="AK2" i="47"/>
  <c r="AE7" i="3"/>
  <c r="R65" i="3"/>
  <c r="AW46" i="3"/>
  <c r="AZ47" i="3"/>
  <c r="BG47" i="3"/>
  <c r="Y14" i="3"/>
  <c r="D47" i="3"/>
  <c r="S19" i="3"/>
  <c r="R95" i="2" s="1"/>
  <c r="X69" i="3"/>
  <c r="AZ67" i="3"/>
  <c r="BB50" i="3"/>
  <c r="BA68" i="3"/>
  <c r="D25" i="3"/>
  <c r="K70" i="3"/>
  <c r="P70" i="3"/>
  <c r="AN70" i="3"/>
  <c r="AP70" i="3"/>
  <c r="BB21" i="3"/>
  <c r="AI25" i="3"/>
  <c r="AU25" i="3"/>
  <c r="L31" i="3"/>
  <c r="AE31" i="3"/>
  <c r="AQ31" i="3"/>
  <c r="AQ40" i="3"/>
  <c r="O47" i="3"/>
  <c r="AJ111" i="3"/>
  <c r="AJ92" i="3" s="1"/>
  <c r="AJ112" i="3"/>
  <c r="AJ93" i="3" s="1"/>
  <c r="AM111" i="3"/>
  <c r="AM126" i="3" s="1"/>
  <c r="AO111" i="3"/>
  <c r="AO126" i="3" s="1"/>
  <c r="AO51" i="3"/>
  <c r="AM113" i="3"/>
  <c r="AM128" i="3" s="1"/>
  <c r="AO113" i="3"/>
  <c r="AO143" i="3" s="1"/>
  <c r="AS111" i="3"/>
  <c r="AS126" i="3" s="1"/>
  <c r="AU111" i="3"/>
  <c r="AU141" i="3" s="1"/>
  <c r="AS112" i="3"/>
  <c r="AS127" i="3" s="1"/>
  <c r="AU112" i="3"/>
  <c r="AU93" i="3" s="1"/>
  <c r="BA51" i="3"/>
  <c r="V128" i="3"/>
  <c r="AJ113" i="3"/>
  <c r="AJ143" i="3" s="1"/>
  <c r="AT113" i="3"/>
  <c r="AT143" i="3" s="1"/>
  <c r="AV113" i="3"/>
  <c r="AV128" i="3" s="1"/>
  <c r="BA113" i="3"/>
  <c r="BA94" i="3" s="1"/>
  <c r="BE113" i="3"/>
  <c r="BE128" i="3" s="1"/>
  <c r="BG113" i="3"/>
  <c r="BG94" i="3" s="1"/>
  <c r="J82" i="3"/>
  <c r="W111" i="3"/>
  <c r="W92" i="3" s="1"/>
  <c r="AG111" i="3"/>
  <c r="AG92" i="3" s="1"/>
  <c r="V127" i="3"/>
  <c r="BH128" i="3"/>
  <c r="BK128" i="3"/>
  <c r="BM128" i="3"/>
  <c r="BQ127" i="3"/>
  <c r="AI143" i="3"/>
  <c r="F54" i="4"/>
  <c r="U58" i="4"/>
  <c r="Y54" i="4"/>
  <c r="AI58" i="4"/>
  <c r="AA58" i="4"/>
  <c r="AH55" i="4"/>
  <c r="AO55" i="4"/>
  <c r="BF55" i="4"/>
  <c r="BF58" i="4"/>
  <c r="BG96" i="4"/>
  <c r="BG97" i="4" s="1"/>
  <c r="I148" i="47"/>
  <c r="K148" i="47"/>
  <c r="K151" i="47" s="1"/>
  <c r="P148" i="47"/>
  <c r="R148" i="47"/>
  <c r="V148" i="47"/>
  <c r="X148" i="47"/>
  <c r="BB151" i="47"/>
  <c r="G6" i="1"/>
  <c r="S6" i="1"/>
  <c r="AE6" i="1"/>
  <c r="AG6" i="1"/>
  <c r="AI6" i="1"/>
  <c r="AK6" i="1"/>
  <c r="AQ6" i="1"/>
  <c r="AW6" i="1"/>
  <c r="BC6" i="1"/>
  <c r="BI6" i="1"/>
  <c r="BO6" i="1"/>
  <c r="BU6" i="1"/>
  <c r="CA6" i="1"/>
  <c r="CG6" i="1"/>
  <c r="M92" i="1"/>
  <c r="Y92" i="1"/>
  <c r="AQ92" i="1"/>
  <c r="S94" i="1"/>
  <c r="E78" i="1"/>
  <c r="F79" i="1"/>
  <c r="E80" i="1"/>
  <c r="J78" i="1"/>
  <c r="J79" i="1"/>
  <c r="L79" i="1"/>
  <c r="L80" i="1"/>
  <c r="P78" i="1"/>
  <c r="R78" i="1"/>
  <c r="P79" i="1"/>
  <c r="R79" i="1"/>
  <c r="U78" i="1"/>
  <c r="W78" i="1"/>
  <c r="V79" i="1"/>
  <c r="X79" i="1"/>
  <c r="V80" i="1"/>
  <c r="X80" i="1"/>
  <c r="AB78" i="1"/>
  <c r="AD78" i="1"/>
  <c r="AB79" i="1"/>
  <c r="AD79" i="1"/>
  <c r="D91" i="1"/>
  <c r="F92" i="1"/>
  <c r="E93" i="1"/>
  <c r="J91" i="1"/>
  <c r="J93" i="1"/>
  <c r="P91" i="1"/>
  <c r="P93" i="1"/>
  <c r="V91" i="1"/>
  <c r="V93" i="1"/>
  <c r="AG91" i="1"/>
  <c r="AI91" i="1"/>
  <c r="AK92" i="1"/>
  <c r="AH93" i="1"/>
  <c r="AJ93" i="1"/>
  <c r="AN91" i="1"/>
  <c r="AP91" i="1"/>
  <c r="AN93" i="1"/>
  <c r="AP93" i="1"/>
  <c r="AT91" i="1"/>
  <c r="AV91" i="1"/>
  <c r="AS93" i="1"/>
  <c r="AM6" i="3"/>
  <c r="AL6" i="2" s="1"/>
  <c r="AO6" i="3"/>
  <c r="AN6" i="2" s="1"/>
  <c r="AG7" i="3"/>
  <c r="AI7" i="3"/>
  <c r="L60" i="3"/>
  <c r="L82" i="3" s="1"/>
  <c r="AN6" i="3"/>
  <c r="AM6" i="2" s="1"/>
  <c r="AJ7" i="3"/>
  <c r="AH7" i="3"/>
  <c r="G7" i="3"/>
  <c r="S7" i="3"/>
  <c r="S79" i="1" s="1"/>
  <c r="F46" i="3"/>
  <c r="AW65" i="3"/>
  <c r="AJ47" i="3"/>
  <c r="AP66" i="3"/>
  <c r="BF49" i="3"/>
  <c r="G11" i="3"/>
  <c r="F93" i="2" s="1"/>
  <c r="Y65" i="3"/>
  <c r="U25" i="3"/>
  <c r="W66" i="3"/>
  <c r="X51" i="3"/>
  <c r="X112" i="3" s="1"/>
  <c r="X93" i="3" s="1"/>
  <c r="AZ68" i="3"/>
  <c r="U70" i="3"/>
  <c r="W70" i="3"/>
  <c r="AM70" i="3"/>
  <c r="AU70" i="3"/>
  <c r="AZ21" i="3"/>
  <c r="AZ25" i="3" s="1"/>
  <c r="AZ147" i="1" s="1"/>
  <c r="Q25" i="3"/>
  <c r="AG25" i="3"/>
  <c r="AJ25" i="3"/>
  <c r="M28" i="3"/>
  <c r="M54" i="1" s="1"/>
  <c r="Y28" i="3"/>
  <c r="Y54" i="1" s="1"/>
  <c r="AW31" i="3"/>
  <c r="AK31" i="3"/>
  <c r="BC31" i="3"/>
  <c r="G35" i="3"/>
  <c r="AE40" i="3"/>
  <c r="Y46" i="3"/>
  <c r="AP47" i="3"/>
  <c r="AN111" i="3"/>
  <c r="AN141" i="3" s="1"/>
  <c r="AP111" i="3"/>
  <c r="AP92" i="3" s="1"/>
  <c r="AN113" i="3"/>
  <c r="AN128" i="3" s="1"/>
  <c r="AP113" i="3"/>
  <c r="AP143" i="3" s="1"/>
  <c r="AT111" i="3"/>
  <c r="AT92" i="3" s="1"/>
  <c r="AV111" i="3"/>
  <c r="AV126" i="3" s="1"/>
  <c r="AT112" i="3"/>
  <c r="AT142" i="3" s="1"/>
  <c r="AV112" i="3"/>
  <c r="AV142" i="3" s="1"/>
  <c r="AZ51" i="3"/>
  <c r="W126" i="3"/>
  <c r="W113" i="3"/>
  <c r="W94" i="3" s="1"/>
  <c r="AS113" i="3"/>
  <c r="AS143" i="3" s="1"/>
  <c r="AU113" i="3"/>
  <c r="AU143" i="3" s="1"/>
  <c r="AZ113" i="3"/>
  <c r="AZ128" i="3" s="1"/>
  <c r="BB113" i="3"/>
  <c r="BB94" i="3" s="1"/>
  <c r="BF113" i="3"/>
  <c r="BF128" i="3" s="1"/>
  <c r="AV78" i="3"/>
  <c r="V113" i="3"/>
  <c r="V94" i="3" s="1"/>
  <c r="BL128" i="3"/>
  <c r="BN128" i="3"/>
  <c r="U143" i="3"/>
  <c r="C149" i="3"/>
  <c r="I149" i="3"/>
  <c r="U149" i="3"/>
  <c r="I55" i="4"/>
  <c r="K55" i="4"/>
  <c r="J55" i="4"/>
  <c r="P55" i="4"/>
  <c r="U55" i="4"/>
  <c r="V58" i="4"/>
  <c r="AD60" i="4"/>
  <c r="AC55" i="4"/>
  <c r="AC58" i="4"/>
  <c r="AI55" i="4"/>
  <c r="AJ58" i="4"/>
  <c r="AW54" i="4"/>
  <c r="AW119" i="4" s="1"/>
  <c r="BB58" i="4"/>
  <c r="AU58" i="4"/>
  <c r="BE58" i="4"/>
  <c r="AY58" i="4"/>
  <c r="BA58" i="4"/>
  <c r="BE59" i="4"/>
  <c r="S54" i="4"/>
  <c r="S146" i="1" s="1"/>
  <c r="BB96" i="4"/>
  <c r="BF96" i="4"/>
  <c r="BF97" i="4" s="1"/>
  <c r="J148" i="47"/>
  <c r="O148" i="47"/>
  <c r="Q148" i="47"/>
  <c r="U148" i="47"/>
  <c r="W148" i="47"/>
  <c r="AG151" i="47"/>
  <c r="M6" i="1"/>
  <c r="Y6" i="1"/>
  <c r="AH6" i="1"/>
  <c r="AJ6" i="1"/>
  <c r="S92" i="1"/>
  <c r="BC92" i="1"/>
  <c r="M94" i="1"/>
  <c r="Y94" i="1"/>
  <c r="D78" i="1"/>
  <c r="F78" i="1"/>
  <c r="D80" i="1"/>
  <c r="F80" i="1"/>
  <c r="I78" i="1"/>
  <c r="K78" i="1"/>
  <c r="I79" i="1"/>
  <c r="K79" i="1"/>
  <c r="O78" i="1"/>
  <c r="Q78" i="1"/>
  <c r="O79" i="1"/>
  <c r="Q79" i="1"/>
  <c r="O80" i="1"/>
  <c r="U79" i="1"/>
  <c r="W79" i="1"/>
  <c r="AA78" i="1"/>
  <c r="AC78" i="1"/>
  <c r="AA79" i="1"/>
  <c r="AC79" i="1"/>
  <c r="E91" i="1"/>
  <c r="D93" i="1"/>
  <c r="I91" i="1"/>
  <c r="K91" i="1"/>
  <c r="I93" i="1"/>
  <c r="K93" i="1"/>
  <c r="O91" i="1"/>
  <c r="Q91" i="1"/>
  <c r="O93" i="1"/>
  <c r="Q93" i="1"/>
  <c r="U91" i="1"/>
  <c r="W91" i="1"/>
  <c r="U93" i="1"/>
  <c r="W93" i="1"/>
  <c r="AE92" i="1"/>
  <c r="AH91" i="1"/>
  <c r="AJ91" i="1"/>
  <c r="AG93" i="1"/>
  <c r="AI93" i="1"/>
  <c r="AM91" i="1"/>
  <c r="AO91" i="1"/>
  <c r="AM93" i="1"/>
  <c r="AO93" i="1"/>
  <c r="AS91" i="1"/>
  <c r="AU91" i="1"/>
  <c r="AT93" i="1"/>
  <c r="AV93" i="1"/>
  <c r="F2" i="47"/>
  <c r="P2" i="47"/>
  <c r="Y5" i="4"/>
  <c r="AB127" i="1"/>
  <c r="AB128" i="1" s="1"/>
  <c r="AN117" i="1"/>
  <c r="D127" i="1"/>
  <c r="D128" i="1" s="1"/>
  <c r="P138" i="1"/>
  <c r="F5" i="4"/>
  <c r="AZ117" i="1"/>
  <c r="AH110" i="1"/>
  <c r="AH111" i="1" s="1"/>
  <c r="P5" i="4"/>
  <c r="AZ138" i="1"/>
  <c r="Q117" i="1"/>
  <c r="J110" i="1"/>
  <c r="J111" i="1" s="1"/>
  <c r="D117" i="1"/>
  <c r="AN127" i="1"/>
  <c r="AN129" i="1" s="1"/>
  <c r="P129" i="1"/>
  <c r="AW90" i="1"/>
  <c r="BB72" i="1"/>
  <c r="BB75" i="1"/>
  <c r="BB22" i="1"/>
  <c r="C94" i="1"/>
  <c r="C28" i="1"/>
  <c r="AK28" i="1"/>
  <c r="S28" i="1"/>
  <c r="AD74" i="1"/>
  <c r="AD32" i="1"/>
  <c r="AP74" i="1"/>
  <c r="AP73" i="1"/>
  <c r="AP32" i="1"/>
  <c r="W103" i="1"/>
  <c r="AO103" i="1"/>
  <c r="BE103" i="1"/>
  <c r="AM47" i="1"/>
  <c r="AW46" i="1"/>
  <c r="BW126" i="1"/>
  <c r="BW112" i="1"/>
  <c r="BW134" i="1"/>
  <c r="CF126" i="1"/>
  <c r="CF134" i="1"/>
  <c r="CF112" i="1"/>
  <c r="AQ14" i="1"/>
  <c r="BC14" i="1"/>
  <c r="G28" i="1"/>
  <c r="BC28" i="1"/>
  <c r="AG74" i="1"/>
  <c r="AG32" i="1"/>
  <c r="AS74" i="1"/>
  <c r="AS73" i="1"/>
  <c r="BB74" i="1"/>
  <c r="BB73" i="1"/>
  <c r="O103" i="1"/>
  <c r="AG103" i="1"/>
  <c r="AY103" i="1"/>
  <c r="G98" i="1"/>
  <c r="AI72" i="1"/>
  <c r="AI75" i="1"/>
  <c r="AS75" i="1"/>
  <c r="AS72" i="1"/>
  <c r="BE75" i="1"/>
  <c r="BE72" i="1"/>
  <c r="Y28" i="1"/>
  <c r="AG98" i="1"/>
  <c r="AK98" i="1" s="1"/>
  <c r="AE39" i="1"/>
  <c r="AS98" i="1"/>
  <c r="AW98" i="1" s="1"/>
  <c r="AQ39" i="1"/>
  <c r="BE98" i="1"/>
  <c r="BI98" i="1" s="1"/>
  <c r="BC39" i="1"/>
  <c r="G39" i="1"/>
  <c r="BY134" i="1"/>
  <c r="BY126" i="1"/>
  <c r="BY112" i="1"/>
  <c r="AE90" i="1"/>
  <c r="AT72" i="1"/>
  <c r="AT75" i="1"/>
  <c r="AU22" i="1"/>
  <c r="Q103" i="1"/>
  <c r="AI103" i="1"/>
  <c r="AS103" i="1"/>
  <c r="BC46" i="1"/>
  <c r="BF32" i="1"/>
  <c r="I103" i="1"/>
  <c r="R103" i="1"/>
  <c r="AT103" i="1"/>
  <c r="AD73" i="1"/>
  <c r="BA125" i="1"/>
  <c r="AV92" i="1"/>
  <c r="AB75" i="1"/>
  <c r="AB22" i="1"/>
  <c r="AB72" i="1"/>
  <c r="AM72" i="1"/>
  <c r="AM22" i="1"/>
  <c r="AM75" i="1"/>
  <c r="AV14" i="1"/>
  <c r="AH22" i="1"/>
  <c r="AM74" i="1"/>
  <c r="AM73" i="1"/>
  <c r="AW28" i="1"/>
  <c r="AC32" i="1"/>
  <c r="AS32" i="1"/>
  <c r="S39" i="1"/>
  <c r="AU103" i="1"/>
  <c r="AE46" i="1"/>
  <c r="AG47" i="1"/>
  <c r="AJ72" i="1"/>
  <c r="F133" i="1"/>
  <c r="F134" i="1" s="1"/>
  <c r="BF46" i="1"/>
  <c r="BF73" i="1"/>
  <c r="AI22" i="1"/>
  <c r="BE22" i="1"/>
  <c r="AB73" i="1"/>
  <c r="AB74" i="1"/>
  <c r="AN74" i="1"/>
  <c r="AN73" i="1"/>
  <c r="AN32" i="1"/>
  <c r="AN40" i="1" s="1"/>
  <c r="K103" i="1"/>
  <c r="U103" i="1"/>
  <c r="AM103" i="1"/>
  <c r="AG73" i="1"/>
  <c r="BC90" i="1"/>
  <c r="AK14" i="1"/>
  <c r="AJ22" i="1"/>
  <c r="I32" i="1"/>
  <c r="AZ74" i="1"/>
  <c r="AZ32" i="1"/>
  <c r="AZ73" i="1"/>
  <c r="L103" i="1"/>
  <c r="AN103" i="1"/>
  <c r="AY47" i="1"/>
  <c r="E103" i="1"/>
  <c r="P103" i="1"/>
  <c r="AA103" i="1"/>
  <c r="E133" i="1"/>
  <c r="E134" i="1" s="1"/>
  <c r="AQ90" i="1"/>
  <c r="AY92" i="1"/>
  <c r="AD72" i="1"/>
  <c r="AD22" i="1"/>
  <c r="AN75" i="1"/>
  <c r="AN22" i="1"/>
  <c r="AE28" i="1"/>
  <c r="AI73" i="1"/>
  <c r="AI74" i="1"/>
  <c r="AT74" i="1"/>
  <c r="AT73" i="1"/>
  <c r="AT32" i="1"/>
  <c r="AN72" i="1"/>
  <c r="BE73" i="1"/>
  <c r="BA103" i="1"/>
  <c r="AJ73" i="1"/>
  <c r="AJ74" i="1"/>
  <c r="AU73" i="1"/>
  <c r="AU74" i="1"/>
  <c r="AU32" i="1"/>
  <c r="AK39" i="1"/>
  <c r="AW39" i="1"/>
  <c r="AU47" i="1"/>
  <c r="AO72" i="1"/>
  <c r="AK90" i="1"/>
  <c r="BA92" i="1"/>
  <c r="AG75" i="1"/>
  <c r="AG72" i="1"/>
  <c r="AG22" i="1"/>
  <c r="AP72" i="1"/>
  <c r="AP75" i="1"/>
  <c r="AP22" i="1"/>
  <c r="AZ14" i="1"/>
  <c r="AO22" i="1"/>
  <c r="AV73" i="1"/>
  <c r="AV74" i="1"/>
  <c r="AJ32" i="1"/>
  <c r="AV32" i="1"/>
  <c r="AD75" i="1"/>
  <c r="BX126" i="1"/>
  <c r="BX112" i="1"/>
  <c r="AY73" i="1"/>
  <c r="AY74" i="1"/>
  <c r="AH73" i="1"/>
  <c r="BA73" i="1"/>
  <c r="AM111" i="1"/>
  <c r="AO74" i="1"/>
  <c r="L125" i="1"/>
  <c r="Q133" i="1"/>
  <c r="Q134" i="1" s="1"/>
  <c r="BF125" i="1"/>
  <c r="BF129" i="1" s="1"/>
  <c r="AO133" i="1"/>
  <c r="AO134" i="1" s="1"/>
  <c r="AE117" i="1"/>
  <c r="U111" i="1"/>
  <c r="P133" i="1"/>
  <c r="P134" i="1" s="1"/>
  <c r="AC125" i="1"/>
  <c r="AH125" i="1"/>
  <c r="BA134" i="1"/>
  <c r="BU113" i="1"/>
  <c r="AI125" i="1"/>
  <c r="J134" i="1"/>
  <c r="K133" i="1"/>
  <c r="K134" i="1" s="1"/>
  <c r="AE110" i="1"/>
  <c r="AE111" i="1" s="1"/>
  <c r="AA111" i="1"/>
  <c r="E125" i="1"/>
  <c r="J125" i="1"/>
  <c r="J128" i="1" s="1"/>
  <c r="AJ125" i="1"/>
  <c r="BF133" i="1"/>
  <c r="BF134" i="1" s="1"/>
  <c r="CA113" i="1"/>
  <c r="C128" i="1"/>
  <c r="K125" i="1"/>
  <c r="V125" i="1"/>
  <c r="V129" i="1" s="1"/>
  <c r="AT125" i="1"/>
  <c r="W133" i="1"/>
  <c r="W134" i="1" s="1"/>
  <c r="V134" i="1"/>
  <c r="W125" i="1"/>
  <c r="AU125" i="1"/>
  <c r="X133" i="1"/>
  <c r="X134" i="1" s="1"/>
  <c r="AD133" i="1"/>
  <c r="AD134" i="1" s="1"/>
  <c r="AC134" i="1"/>
  <c r="AN133" i="1"/>
  <c r="AN134" i="1" s="1"/>
  <c r="AU133" i="1"/>
  <c r="AU134" i="1" s="1"/>
  <c r="BB133" i="1"/>
  <c r="BB134" i="1" s="1"/>
  <c r="AS57" i="47"/>
  <c r="AS14" i="47"/>
  <c r="AS15" i="47" s="1"/>
  <c r="AS22" i="47"/>
  <c r="AY23" i="47" s="1"/>
  <c r="J42" i="47"/>
  <c r="J17" i="47"/>
  <c r="J18" i="47" s="1"/>
  <c r="J60" i="47"/>
  <c r="P17" i="47"/>
  <c r="J109" i="47"/>
  <c r="BZ86" i="47"/>
  <c r="BZ61" i="47"/>
  <c r="BZ23" i="47"/>
  <c r="D107" i="47"/>
  <c r="D57" i="47"/>
  <c r="AE42" i="47"/>
  <c r="AE60" i="47"/>
  <c r="D22" i="47"/>
  <c r="X39" i="47"/>
  <c r="O49" i="47"/>
  <c r="O51" i="47"/>
  <c r="CA55" i="47"/>
  <c r="BX56" i="47"/>
  <c r="BY12" i="47"/>
  <c r="CE12" i="47"/>
  <c r="I57" i="47"/>
  <c r="I107" i="47"/>
  <c r="I14" i="47"/>
  <c r="I15" i="47" s="1"/>
  <c r="M13" i="47"/>
  <c r="S14" i="47" s="1"/>
  <c r="J107" i="47"/>
  <c r="P108" i="47" s="1"/>
  <c r="J57" i="47"/>
  <c r="J14" i="47"/>
  <c r="J15" i="47" s="1"/>
  <c r="P14" i="47"/>
  <c r="J37" i="47"/>
  <c r="AU54" i="47"/>
  <c r="AU11" i="47"/>
  <c r="AW10" i="47"/>
  <c r="BI57" i="47"/>
  <c r="BI14" i="47"/>
  <c r="G71" i="47"/>
  <c r="G96" i="47" s="1"/>
  <c r="F86" i="47"/>
  <c r="I105" i="47"/>
  <c r="I11" i="47"/>
  <c r="I12" i="47" s="1"/>
  <c r="O11" i="47"/>
  <c r="M10" i="47"/>
  <c r="M54" i="47" s="1"/>
  <c r="I54" i="47"/>
  <c r="I37" i="47"/>
  <c r="AY14" i="47"/>
  <c r="BR86" i="47"/>
  <c r="BR61" i="47"/>
  <c r="BX23" i="47"/>
  <c r="L107" i="47"/>
  <c r="R108" i="47" s="1"/>
  <c r="L57" i="47"/>
  <c r="R14" i="47"/>
  <c r="L37" i="47"/>
  <c r="L14" i="47"/>
  <c r="L15" i="47" s="1"/>
  <c r="AC15" i="47"/>
  <c r="W15" i="47"/>
  <c r="C109" i="47"/>
  <c r="C60" i="47"/>
  <c r="G16" i="47"/>
  <c r="C22" i="47"/>
  <c r="CE86" i="47"/>
  <c r="CE23" i="47"/>
  <c r="CE61" i="47"/>
  <c r="D37" i="47"/>
  <c r="BA56" i="47"/>
  <c r="AV18" i="47"/>
  <c r="BB18" i="47"/>
  <c r="BR56" i="47"/>
  <c r="AJ61" i="47"/>
  <c r="AJ23" i="47"/>
  <c r="AJ31" i="47"/>
  <c r="AJ25" i="47"/>
  <c r="AJ38" i="47"/>
  <c r="AJ4" i="47"/>
  <c r="AP23" i="47"/>
  <c r="K105" i="47"/>
  <c r="K37" i="47"/>
  <c r="K54" i="47"/>
  <c r="K11" i="47"/>
  <c r="K12" i="47" s="1"/>
  <c r="J22" i="47"/>
  <c r="Q11" i="47"/>
  <c r="AM61" i="47"/>
  <c r="AM38" i="47"/>
  <c r="AM23" i="47"/>
  <c r="AM31" i="47"/>
  <c r="AM25" i="47"/>
  <c r="AM4" i="47"/>
  <c r="AM5" i="47" s="1"/>
  <c r="BF86" i="47"/>
  <c r="BF156" i="47" s="1"/>
  <c r="BF61" i="47"/>
  <c r="BF23" i="47"/>
  <c r="BF25" i="47"/>
  <c r="BS12" i="47"/>
  <c r="BI22" i="47"/>
  <c r="BI17" i="47"/>
  <c r="BI60" i="47"/>
  <c r="AG18" i="47"/>
  <c r="AA18" i="47"/>
  <c r="Y93" i="47"/>
  <c r="Y67" i="47"/>
  <c r="BH31" i="3"/>
  <c r="BI29" i="3"/>
  <c r="L22" i="47"/>
  <c r="O25" i="47" s="1"/>
  <c r="AC12" i="47"/>
  <c r="AI12" i="47"/>
  <c r="CG60" i="47"/>
  <c r="CG17" i="47"/>
  <c r="AE22" i="47"/>
  <c r="AE9" i="47" s="1"/>
  <c r="AK17" i="47"/>
  <c r="BA18" i="47"/>
  <c r="BG18" i="47"/>
  <c r="AK96" i="47"/>
  <c r="AK72" i="47"/>
  <c r="AQ72" i="47"/>
  <c r="I109" i="47"/>
  <c r="I60" i="47"/>
  <c r="I42" i="47"/>
  <c r="I22" i="47"/>
  <c r="I17" i="47"/>
  <c r="I18" i="47" s="1"/>
  <c r="BZ12" i="47"/>
  <c r="Y107" i="47"/>
  <c r="Y14" i="47"/>
  <c r="S107" i="47"/>
  <c r="S57" i="47"/>
  <c r="AQ107" i="47"/>
  <c r="AQ14" i="47"/>
  <c r="AQ57" i="47"/>
  <c r="O17" i="47"/>
  <c r="AP18" i="47"/>
  <c r="AY61" i="47"/>
  <c r="AY31" i="47"/>
  <c r="BQ86" i="47"/>
  <c r="BQ61" i="47"/>
  <c r="AQ31" i="47"/>
  <c r="BC58" i="47"/>
  <c r="CG55" i="47"/>
  <c r="Y57" i="47"/>
  <c r="K109" i="47"/>
  <c r="K60" i="47"/>
  <c r="K42" i="47"/>
  <c r="K17" i="47"/>
  <c r="K18" i="47" s="1"/>
  <c r="K22" i="47"/>
  <c r="C107" i="47"/>
  <c r="G13" i="47"/>
  <c r="C57" i="47"/>
  <c r="Y60" i="47"/>
  <c r="Y42" i="47"/>
  <c r="Y17" i="47"/>
  <c r="AK37" i="47"/>
  <c r="AK11" i="47"/>
  <c r="BC57" i="47"/>
  <c r="BO13" i="47"/>
  <c r="S22" i="47"/>
  <c r="AZ18" i="47"/>
  <c r="BA61" i="47"/>
  <c r="BA25" i="47"/>
  <c r="BF18" i="47"/>
  <c r="BG25" i="47"/>
  <c r="BS86" i="47"/>
  <c r="BS61" i="47"/>
  <c r="BY18" i="47"/>
  <c r="BY61" i="47"/>
  <c r="BY23" i="47"/>
  <c r="CD86" i="47"/>
  <c r="CD61" i="47"/>
  <c r="CD23" i="47"/>
  <c r="BU60" i="47"/>
  <c r="AV45" i="47"/>
  <c r="AW45" i="47" s="1"/>
  <c r="AB49" i="47"/>
  <c r="AB51" i="47"/>
  <c r="AH49" i="47"/>
  <c r="AE93" i="47"/>
  <c r="AE67" i="47"/>
  <c r="AN69" i="47"/>
  <c r="M16" i="47"/>
  <c r="BM54" i="47"/>
  <c r="BM57" i="47"/>
  <c r="X25" i="47"/>
  <c r="X61" i="47"/>
  <c r="X23" i="47"/>
  <c r="X4" i="47"/>
  <c r="X5" i="47" s="1"/>
  <c r="AN23" i="47"/>
  <c r="AN38" i="47"/>
  <c r="AN4" i="47"/>
  <c r="AN5" i="47" s="1"/>
  <c r="AN61" i="47"/>
  <c r="AV22" i="47"/>
  <c r="BE23" i="47"/>
  <c r="CF86" i="47"/>
  <c r="CF23" i="47"/>
  <c r="AE34" i="47"/>
  <c r="X38" i="47"/>
  <c r="BX49" i="47"/>
  <c r="BX51" i="47"/>
  <c r="CD49" i="47"/>
  <c r="BE56" i="47"/>
  <c r="W156" i="47"/>
  <c r="W89" i="47"/>
  <c r="W90" i="47" s="1"/>
  <c r="AC89" i="47"/>
  <c r="W87" i="47"/>
  <c r="W85" i="47"/>
  <c r="AC87" i="47"/>
  <c r="W80" i="47"/>
  <c r="W70" i="47"/>
  <c r="W75" i="47"/>
  <c r="AW118" i="47"/>
  <c r="AV119" i="47"/>
  <c r="AV126" i="47"/>
  <c r="F105" i="47"/>
  <c r="F37" i="47"/>
  <c r="F54" i="47"/>
  <c r="L11" i="47"/>
  <c r="L12" i="47" s="1"/>
  <c r="BT23" i="47"/>
  <c r="F107" i="47"/>
  <c r="F57" i="47"/>
  <c r="AK60" i="47"/>
  <c r="AK42" i="47"/>
  <c r="AK22" i="47"/>
  <c r="Y22" i="47"/>
  <c r="AC61" i="47"/>
  <c r="AC38" i="47"/>
  <c r="AC4" i="47"/>
  <c r="AC5" i="47" s="1"/>
  <c r="AC31" i="47"/>
  <c r="AC25" i="47"/>
  <c r="AC23" i="47"/>
  <c r="AH38" i="47"/>
  <c r="AH61" i="47"/>
  <c r="AH23" i="47"/>
  <c r="AO38" i="47"/>
  <c r="AO23" i="47"/>
  <c r="AO61" i="47"/>
  <c r="AO4" i="47"/>
  <c r="AO31" i="47"/>
  <c r="AO25" i="47"/>
  <c r="BS18" i="47"/>
  <c r="S34" i="47"/>
  <c r="BK49" i="47"/>
  <c r="BK51" i="47"/>
  <c r="AZ59" i="47"/>
  <c r="CF61" i="47"/>
  <c r="AP119" i="47"/>
  <c r="AP122" i="47"/>
  <c r="AQ116" i="47"/>
  <c r="G10" i="47"/>
  <c r="G54" i="47" s="1"/>
  <c r="AJ12" i="47"/>
  <c r="BX12" i="47"/>
  <c r="CF12" i="47"/>
  <c r="S37" i="47"/>
  <c r="O38" i="47"/>
  <c r="O61" i="47"/>
  <c r="U23" i="47"/>
  <c r="AD61" i="47"/>
  <c r="AD4" i="47"/>
  <c r="AD31" i="47"/>
  <c r="AD25" i="47"/>
  <c r="AD23" i="47"/>
  <c r="AI61" i="47"/>
  <c r="AI23" i="47"/>
  <c r="AI31" i="47"/>
  <c r="AI25" i="47"/>
  <c r="AU18" i="47"/>
  <c r="BG23" i="47"/>
  <c r="BX18" i="47"/>
  <c r="AN25" i="47"/>
  <c r="AZ25" i="47"/>
  <c r="AG39" i="47"/>
  <c r="BC42" i="47"/>
  <c r="AB56" i="47"/>
  <c r="AN74" i="47"/>
  <c r="BF49" i="47"/>
  <c r="BL50" i="47" s="1"/>
  <c r="AP51" i="47"/>
  <c r="M71" i="47"/>
  <c r="J96" i="47"/>
  <c r="J97" i="47" s="1"/>
  <c r="J72" i="47"/>
  <c r="J86" i="47"/>
  <c r="J70" i="47" s="1"/>
  <c r="AV96" i="47"/>
  <c r="AW71" i="47"/>
  <c r="Y77" i="47"/>
  <c r="Y99" i="47"/>
  <c r="Y86" i="47"/>
  <c r="Y85" i="47" s="1"/>
  <c r="X156" i="47"/>
  <c r="X87" i="47"/>
  <c r="X85" i="47"/>
  <c r="AD87" i="47"/>
  <c r="V108" i="47"/>
  <c r="AB108" i="47"/>
  <c r="J105" i="47"/>
  <c r="J54" i="47"/>
  <c r="AT11" i="47"/>
  <c r="E107" i="47"/>
  <c r="E57" i="47"/>
  <c r="AJ15" i="47"/>
  <c r="V23" i="47"/>
  <c r="AA23" i="47"/>
  <c r="AP61" i="47"/>
  <c r="BH23" i="47"/>
  <c r="BT86" i="47"/>
  <c r="BT61" i="47"/>
  <c r="BW23" i="47"/>
  <c r="F22" i="47"/>
  <c r="U25" i="47"/>
  <c r="AA25" i="47"/>
  <c r="AG25" i="47"/>
  <c r="BE25" i="47"/>
  <c r="Q38" i="47"/>
  <c r="W38" i="47"/>
  <c r="AT143" i="47"/>
  <c r="AT145" i="47" s="1"/>
  <c r="AT48" i="47"/>
  <c r="AJ49" i="47"/>
  <c r="CF49" i="47"/>
  <c r="AC51" i="47"/>
  <c r="BY51" i="47"/>
  <c r="BG61" i="47"/>
  <c r="BO60" i="47"/>
  <c r="BW56" i="47"/>
  <c r="F60" i="47"/>
  <c r="K86" i="47"/>
  <c r="K75" i="47" s="1"/>
  <c r="K96" i="47"/>
  <c r="X75" i="47"/>
  <c r="BG86" i="47"/>
  <c r="BG156" i="47" s="1"/>
  <c r="X89" i="47"/>
  <c r="X90" i="47" s="1"/>
  <c r="BZ51" i="47"/>
  <c r="P61" i="47"/>
  <c r="U61" i="47"/>
  <c r="AQ34" i="47"/>
  <c r="AE37" i="47"/>
  <c r="AV46" i="47"/>
  <c r="I49" i="47"/>
  <c r="I50" i="47" s="1"/>
  <c r="I51" i="47"/>
  <c r="BE49" i="47"/>
  <c r="BE51" i="47"/>
  <c r="Q51" i="47"/>
  <c r="AH51" i="47"/>
  <c r="CD51" i="47"/>
  <c r="L54" i="47"/>
  <c r="AG56" i="47"/>
  <c r="AT54" i="47"/>
  <c r="BI55" i="47"/>
  <c r="BY56" i="47"/>
  <c r="CD56" i="47"/>
  <c r="R61" i="47"/>
  <c r="P72" i="47"/>
  <c r="AP84" i="47"/>
  <c r="U51" i="47"/>
  <c r="U49" i="47"/>
  <c r="BQ51" i="47"/>
  <c r="BQ49" i="47"/>
  <c r="P51" i="47"/>
  <c r="AD51" i="47"/>
  <c r="AY59" i="47"/>
  <c r="CC56" i="47"/>
  <c r="Y37" i="47"/>
  <c r="AK14" i="47"/>
  <c r="AW42" i="47"/>
  <c r="AA38" i="47"/>
  <c r="AA61" i="47"/>
  <c r="BC22" i="47"/>
  <c r="BO17" i="47"/>
  <c r="AP25" i="47"/>
  <c r="BB25" i="47"/>
  <c r="AP31" i="47"/>
  <c r="AP38" i="47"/>
  <c r="W51" i="47"/>
  <c r="W49" i="47"/>
  <c r="AI51" i="47"/>
  <c r="AI49" i="47"/>
  <c r="AM49" i="47"/>
  <c r="BS51" i="47"/>
  <c r="BS49" i="47"/>
  <c r="CE51" i="47"/>
  <c r="CE49" i="47"/>
  <c r="R51" i="47"/>
  <c r="AJ51" i="47"/>
  <c r="AZ51" i="47"/>
  <c r="CF51" i="47"/>
  <c r="AE57" i="47"/>
  <c r="AW58" i="47"/>
  <c r="L60" i="47"/>
  <c r="AI69" i="47"/>
  <c r="K72" i="47"/>
  <c r="X70" i="47"/>
  <c r="Q72" i="47"/>
  <c r="AH74" i="47"/>
  <c r="AS99" i="47"/>
  <c r="BE76" i="47"/>
  <c r="AW76" i="47"/>
  <c r="C131" i="47"/>
  <c r="C129" i="47"/>
  <c r="C130" i="47"/>
  <c r="AE142" i="47"/>
  <c r="P11" i="47"/>
  <c r="Y11" i="47"/>
  <c r="AE14" i="47"/>
  <c r="AQ60" i="47"/>
  <c r="CG14" i="47"/>
  <c r="AB61" i="47"/>
  <c r="AG61" i="47"/>
  <c r="BX61" i="47"/>
  <c r="BX86" i="47"/>
  <c r="CC61" i="47"/>
  <c r="CC86" i="47"/>
  <c r="AI39" i="47"/>
  <c r="K51" i="47"/>
  <c r="AU48" i="47"/>
  <c r="BG51" i="47"/>
  <c r="C54" i="47"/>
  <c r="BI58" i="47"/>
  <c r="O56" i="47"/>
  <c r="K57" i="47"/>
  <c r="AK57" i="47"/>
  <c r="AW60" i="47"/>
  <c r="AJ69" i="47"/>
  <c r="AI74" i="47"/>
  <c r="AG156" i="47"/>
  <c r="AG87" i="47"/>
  <c r="AG85" i="47"/>
  <c r="AG111" i="47"/>
  <c r="AG75" i="47"/>
  <c r="AG70" i="47"/>
  <c r="AG89" i="47"/>
  <c r="D130" i="47"/>
  <c r="D121" i="47"/>
  <c r="D131" i="47"/>
  <c r="AI131" i="47"/>
  <c r="AI129" i="47"/>
  <c r="AI130" i="47"/>
  <c r="AI121" i="47"/>
  <c r="AP74" i="47"/>
  <c r="AM156" i="47"/>
  <c r="AM111" i="47"/>
  <c r="AM89" i="47"/>
  <c r="AM87" i="47"/>
  <c r="AM85" i="47"/>
  <c r="AM70" i="47"/>
  <c r="V97" i="47"/>
  <c r="AP124" i="47"/>
  <c r="AQ117" i="47"/>
  <c r="C86" i="47"/>
  <c r="I67" i="47"/>
  <c r="L93" i="47"/>
  <c r="R67" i="47"/>
  <c r="L67" i="47"/>
  <c r="O68" i="47"/>
  <c r="AU99" i="47"/>
  <c r="BG76" i="47"/>
  <c r="AN156" i="47"/>
  <c r="AN87" i="47"/>
  <c r="AN80" i="47"/>
  <c r="AN111" i="47"/>
  <c r="AN75" i="47"/>
  <c r="AE117" i="47"/>
  <c r="AE119" i="47" s="1"/>
  <c r="AD124" i="47"/>
  <c r="U131" i="47"/>
  <c r="U129" i="47"/>
  <c r="U121" i="47"/>
  <c r="U130" i="47"/>
  <c r="BA135" i="47"/>
  <c r="AY135" i="47"/>
  <c r="AS143" i="47"/>
  <c r="AY136" i="47"/>
  <c r="M66" i="47"/>
  <c r="AV99" i="47"/>
  <c r="BH76" i="47"/>
  <c r="BN76" i="47" s="1"/>
  <c r="BT76" i="47" s="1"/>
  <c r="BZ76" i="47" s="1"/>
  <c r="CF76" i="47" s="1"/>
  <c r="AE102" i="47"/>
  <c r="AE82" i="47"/>
  <c r="AE86" i="47"/>
  <c r="AE80" i="47" s="1"/>
  <c r="V156" i="47"/>
  <c r="V85" i="47"/>
  <c r="AB87" i="47"/>
  <c r="V89" i="47"/>
  <c r="V90" i="47" s="1"/>
  <c r="V87" i="47"/>
  <c r="V80" i="47"/>
  <c r="V75" i="47"/>
  <c r="K93" i="47"/>
  <c r="K94" i="47" s="1"/>
  <c r="AB125" i="47"/>
  <c r="AH125" i="47"/>
  <c r="L72" i="47"/>
  <c r="S96" i="47"/>
  <c r="R72" i="47"/>
  <c r="AT99" i="47"/>
  <c r="Y82" i="47"/>
  <c r="AI156" i="47"/>
  <c r="AI85" i="47"/>
  <c r="AI89" i="47"/>
  <c r="AI80" i="47"/>
  <c r="AO156" i="47"/>
  <c r="AO87" i="47"/>
  <c r="AO80" i="47"/>
  <c r="AO85" i="47"/>
  <c r="AO89" i="47"/>
  <c r="I86" i="47"/>
  <c r="O87" i="47" s="1"/>
  <c r="J93" i="47"/>
  <c r="J94" i="47" s="1"/>
  <c r="O123" i="47"/>
  <c r="U123" i="47"/>
  <c r="S102" i="47"/>
  <c r="S103" i="47" s="1"/>
  <c r="S86" i="47"/>
  <c r="AW82" i="47"/>
  <c r="AQ86" i="47"/>
  <c r="AQ85" i="47" s="1"/>
  <c r="L86" i="47"/>
  <c r="AM108" i="47"/>
  <c r="I96" i="47"/>
  <c r="Y126" i="47"/>
  <c r="S119" i="47"/>
  <c r="S131" i="47" s="1"/>
  <c r="G118" i="47"/>
  <c r="AE72" i="47"/>
  <c r="AK77" i="47"/>
  <c r="S82" i="47"/>
  <c r="AN108" i="47"/>
  <c r="M124" i="47"/>
  <c r="V122" i="47"/>
  <c r="V123" i="47" s="1"/>
  <c r="AB122" i="47"/>
  <c r="X116" i="47"/>
  <c r="AE126" i="47"/>
  <c r="AB130" i="47"/>
  <c r="AB131" i="47"/>
  <c r="AB129" i="47"/>
  <c r="AB121" i="47"/>
  <c r="AG125" i="47"/>
  <c r="AS125" i="47"/>
  <c r="AM125" i="47"/>
  <c r="AK67" i="47"/>
  <c r="AM79" i="47"/>
  <c r="P156" i="47"/>
  <c r="P80" i="47"/>
  <c r="AA156" i="47"/>
  <c r="AA85" i="47"/>
  <c r="AA89" i="47"/>
  <c r="L126" i="47"/>
  <c r="L119" i="47"/>
  <c r="M118" i="47"/>
  <c r="X124" i="47"/>
  <c r="Y117" i="47"/>
  <c r="J130" i="47"/>
  <c r="J129" i="47"/>
  <c r="J121" i="47"/>
  <c r="AC129" i="47"/>
  <c r="AC131" i="47"/>
  <c r="AC121" i="47"/>
  <c r="AC130" i="47"/>
  <c r="AT130" i="47"/>
  <c r="AT129" i="47"/>
  <c r="AT131" i="47"/>
  <c r="AT121" i="47"/>
  <c r="AW136" i="47"/>
  <c r="AW138" i="47" s="1"/>
  <c r="AS138" i="47"/>
  <c r="AC145" i="47"/>
  <c r="AE144" i="47"/>
  <c r="AE77" i="47"/>
  <c r="AK82" i="47"/>
  <c r="U87" i="47"/>
  <c r="AH156" i="47"/>
  <c r="AH111" i="47"/>
  <c r="AA108" i="47"/>
  <c r="AB110" i="47"/>
  <c r="AD126" i="47"/>
  <c r="BB119" i="47"/>
  <c r="BC116" i="47"/>
  <c r="BI122" i="47" s="1"/>
  <c r="BO123" i="47" s="1"/>
  <c r="W131" i="47"/>
  <c r="W129" i="47"/>
  <c r="W130" i="47"/>
  <c r="AH130" i="47"/>
  <c r="AH129" i="47"/>
  <c r="AH121" i="47"/>
  <c r="G138" i="47"/>
  <c r="AK136" i="47"/>
  <c r="AK138" i="47" s="1"/>
  <c r="AN145" i="47"/>
  <c r="AQ142" i="47"/>
  <c r="AB156" i="47"/>
  <c r="AB111" i="47"/>
  <c r="AJ111" i="47"/>
  <c r="W108" i="47"/>
  <c r="AC111" i="47"/>
  <c r="S122" i="47"/>
  <c r="AJ119" i="47"/>
  <c r="AJ122" i="47"/>
  <c r="AK116" i="47"/>
  <c r="BB126" i="47"/>
  <c r="AD139" i="47"/>
  <c r="AJ139" i="47"/>
  <c r="AB80" i="47"/>
  <c r="AD89" i="47"/>
  <c r="AH85" i="47"/>
  <c r="AK86" i="47"/>
  <c r="AP85" i="47"/>
  <c r="AD111" i="47"/>
  <c r="AV122" i="47"/>
  <c r="U125" i="47"/>
  <c r="AM131" i="47"/>
  <c r="AM129" i="47"/>
  <c r="AM130" i="47"/>
  <c r="AY131" i="47"/>
  <c r="AY129" i="47"/>
  <c r="AY130" i="47"/>
  <c r="AV124" i="47"/>
  <c r="F119" i="47"/>
  <c r="Q80" i="47"/>
  <c r="O85" i="47"/>
  <c r="AI108" i="47"/>
  <c r="S124" i="47"/>
  <c r="I131" i="47"/>
  <c r="I130" i="47"/>
  <c r="I121" i="47"/>
  <c r="AN130" i="47"/>
  <c r="AN121" i="47"/>
  <c r="AN131" i="47"/>
  <c r="Y143" i="47"/>
  <c r="L122" i="47"/>
  <c r="E129" i="47"/>
  <c r="E131" i="47"/>
  <c r="O131" i="47"/>
  <c r="O129" i="47"/>
  <c r="R122" i="47"/>
  <c r="AO129" i="47"/>
  <c r="AO130" i="47"/>
  <c r="AN125" i="47"/>
  <c r="BC117" i="47"/>
  <c r="BI124" i="47" s="1"/>
  <c r="BO125" i="47" s="1"/>
  <c r="P130" i="47"/>
  <c r="P129" i="47"/>
  <c r="P131" i="47"/>
  <c r="E130" i="47"/>
  <c r="R139" i="47"/>
  <c r="AN139" i="47"/>
  <c r="L124" i="47"/>
  <c r="R126" i="47"/>
  <c r="AW116" i="47"/>
  <c r="E120" i="47"/>
  <c r="P121" i="47"/>
  <c r="W125" i="47"/>
  <c r="AS131" i="47"/>
  <c r="AS129" i="47"/>
  <c r="AU123" i="47"/>
  <c r="AO123" i="47"/>
  <c r="AS121" i="47"/>
  <c r="AS130" i="47"/>
  <c r="AG139" i="47"/>
  <c r="AM139" i="47"/>
  <c r="G143" i="47"/>
  <c r="AW150" i="47"/>
  <c r="K131" i="47"/>
  <c r="K129" i="47"/>
  <c r="AA131" i="47"/>
  <c r="AA129" i="47"/>
  <c r="AU131" i="47"/>
  <c r="AU129" i="47"/>
  <c r="BE121" i="47"/>
  <c r="BE131" i="47"/>
  <c r="AU121" i="47"/>
  <c r="AP139" i="47"/>
  <c r="AK142" i="47"/>
  <c r="S138" i="47"/>
  <c r="I145" i="47"/>
  <c r="AZ125" i="47"/>
  <c r="I139" i="47"/>
  <c r="V139" i="47"/>
  <c r="AI139" i="47"/>
  <c r="S144" i="47"/>
  <c r="AZ130" i="47"/>
  <c r="Y142" i="47"/>
  <c r="M142" i="47"/>
  <c r="AM145" i="47"/>
  <c r="AY150" i="47"/>
  <c r="AY151" i="47" s="1"/>
  <c r="AY153" i="47"/>
  <c r="AB145" i="47"/>
  <c r="BG171" i="47"/>
  <c r="BI167" i="47"/>
  <c r="BA151" i="47"/>
  <c r="BK169" i="47"/>
  <c r="AO69" i="4"/>
  <c r="AO60" i="4"/>
  <c r="AO9" i="3"/>
  <c r="AQ6" i="4"/>
  <c r="AQ152" i="47" s="1"/>
  <c r="AC118" i="3"/>
  <c r="AC133" i="3"/>
  <c r="AD31" i="4"/>
  <c r="AT107" i="3"/>
  <c r="AN41" i="4"/>
  <c r="AH63" i="3"/>
  <c r="AH10" i="3"/>
  <c r="AH60" i="4"/>
  <c r="AT105" i="3"/>
  <c r="AT86" i="3" s="1"/>
  <c r="AG31" i="4"/>
  <c r="AA31" i="4"/>
  <c r="AH137" i="3"/>
  <c r="AH122" i="3"/>
  <c r="AH107" i="3"/>
  <c r="AH88" i="3" s="1"/>
  <c r="X6" i="4"/>
  <c r="X31" i="47" s="1"/>
  <c r="AB60" i="4"/>
  <c r="AB9" i="3"/>
  <c r="AD120" i="3"/>
  <c r="AE29" i="4"/>
  <c r="AK31" i="4" s="1"/>
  <c r="W58" i="4"/>
  <c r="Q55" i="4"/>
  <c r="AC60" i="4"/>
  <c r="AC9" i="3"/>
  <c r="AC15" i="3" s="1"/>
  <c r="AC103" i="3"/>
  <c r="AC84" i="3" s="1"/>
  <c r="BA134" i="3"/>
  <c r="BA119" i="3"/>
  <c r="AK16" i="4"/>
  <c r="AQ16" i="4"/>
  <c r="AC136" i="3"/>
  <c r="AC121" i="3"/>
  <c r="AC106" i="3"/>
  <c r="AC87" i="3" s="1"/>
  <c r="AB136" i="3"/>
  <c r="AB121" i="3"/>
  <c r="AB106" i="3"/>
  <c r="AB87" i="3" s="1"/>
  <c r="AI118" i="3"/>
  <c r="AI103" i="3"/>
  <c r="AI84" i="3" s="1"/>
  <c r="AB134" i="3"/>
  <c r="AB119" i="3"/>
  <c r="AB104" i="3"/>
  <c r="AB85" i="3" s="1"/>
  <c r="BA107" i="3"/>
  <c r="BA122" i="3" s="1"/>
  <c r="AN135" i="3"/>
  <c r="AN120" i="3"/>
  <c r="AN86" i="3"/>
  <c r="AV134" i="3"/>
  <c r="AV119" i="3"/>
  <c r="AV85" i="3"/>
  <c r="AY135" i="3"/>
  <c r="AY86" i="3"/>
  <c r="AJ103" i="3"/>
  <c r="AJ118" i="3" s="1"/>
  <c r="AY106" i="3"/>
  <c r="AY121" i="3" s="1"/>
  <c r="AJ60" i="4"/>
  <c r="AJ55" i="4"/>
  <c r="AP55" i="4"/>
  <c r="BS47" i="4"/>
  <c r="BS37" i="4"/>
  <c r="BS32" i="4"/>
  <c r="BS31" i="4" s="1"/>
  <c r="BS107" i="3" s="1"/>
  <c r="BS122" i="3" s="1"/>
  <c r="BS22" i="4"/>
  <c r="BS52" i="4"/>
  <c r="BS51" i="4" s="1"/>
  <c r="BS17" i="4"/>
  <c r="BS16" i="4" s="1"/>
  <c r="BS104" i="3" s="1"/>
  <c r="AN134" i="3"/>
  <c r="AN119" i="3"/>
  <c r="AH69" i="4"/>
  <c r="AK6" i="4"/>
  <c r="AU104" i="3"/>
  <c r="M31" i="4"/>
  <c r="M6" i="4"/>
  <c r="S31" i="4"/>
  <c r="AV39" i="4"/>
  <c r="AQ31" i="4"/>
  <c r="AW31" i="4"/>
  <c r="BB137" i="3"/>
  <c r="BB122" i="3"/>
  <c r="AI69" i="4"/>
  <c r="AI60" i="4"/>
  <c r="BS11" i="4"/>
  <c r="BS103" i="3" s="1"/>
  <c r="BS133" i="3" s="1"/>
  <c r="AA103" i="3"/>
  <c r="AA84" i="3" s="1"/>
  <c r="Y11" i="4"/>
  <c r="AE11" i="4"/>
  <c r="AI136" i="3"/>
  <c r="AN60" i="4"/>
  <c r="AN55" i="4"/>
  <c r="AT58" i="4"/>
  <c r="AT9" i="4"/>
  <c r="AT26" i="4"/>
  <c r="AW24" i="4"/>
  <c r="AW102" i="47" s="1"/>
  <c r="AO137" i="3"/>
  <c r="AO122" i="3"/>
  <c r="AQ11" i="4"/>
  <c r="BH13" i="3"/>
  <c r="AP84" i="3"/>
  <c r="AZ104" i="3"/>
  <c r="AZ85" i="3" s="1"/>
  <c r="AZ60" i="4"/>
  <c r="AH118" i="3"/>
  <c r="AH133" i="3"/>
  <c r="AG134" i="3"/>
  <c r="BS27" i="4"/>
  <c r="BZ52" i="4"/>
  <c r="BZ51" i="4" s="1"/>
  <c r="BZ27" i="4"/>
  <c r="BC16" i="4"/>
  <c r="AQ21" i="4"/>
  <c r="AM41" i="4"/>
  <c r="AS41" i="4"/>
  <c r="AT46" i="4"/>
  <c r="AT49" i="4"/>
  <c r="AW44" i="4"/>
  <c r="BI49" i="4"/>
  <c r="BE51" i="4"/>
  <c r="X58" i="4"/>
  <c r="R55" i="4"/>
  <c r="AM60" i="4"/>
  <c r="AM55" i="4"/>
  <c r="AS55" i="4"/>
  <c r="X55" i="4"/>
  <c r="AD58" i="4"/>
  <c r="AD55" i="4"/>
  <c r="BZ17" i="4"/>
  <c r="BZ16" i="4" s="1"/>
  <c r="BZ104" i="3" s="1"/>
  <c r="AV21" i="4"/>
  <c r="BB19" i="4"/>
  <c r="BB24" i="4" s="1"/>
  <c r="BB26" i="4" s="1"/>
  <c r="BZ32" i="4"/>
  <c r="BZ31" i="4" s="1"/>
  <c r="BZ107" i="3" s="1"/>
  <c r="S58" i="4"/>
  <c r="AP135" i="3"/>
  <c r="AW19" i="4"/>
  <c r="AK26" i="4"/>
  <c r="BZ37" i="4"/>
  <c r="AA55" i="4"/>
  <c r="AG55" i="4"/>
  <c r="AG58" i="4"/>
  <c r="BB55" i="4"/>
  <c r="BH58" i="4"/>
  <c r="K77" i="4"/>
  <c r="K81" i="4"/>
  <c r="K95" i="4"/>
  <c r="Q77" i="4"/>
  <c r="AC95" i="4"/>
  <c r="AC77" i="4"/>
  <c r="AC81" i="4"/>
  <c r="AJ69" i="4"/>
  <c r="AP69" i="4"/>
  <c r="Y29" i="4"/>
  <c r="BH41" i="4"/>
  <c r="AP60" i="4"/>
  <c r="AU55" i="4"/>
  <c r="BG58" i="4"/>
  <c r="BA55" i="4"/>
  <c r="BF86" i="4"/>
  <c r="BF87" i="4" s="1"/>
  <c r="BF81" i="4"/>
  <c r="BL65" i="4" s="1"/>
  <c r="AB31" i="4"/>
  <c r="AP41" i="4"/>
  <c r="BF46" i="4"/>
  <c r="BF45" i="4" s="1"/>
  <c r="BG46" i="4"/>
  <c r="BG45" i="4" s="1"/>
  <c r="AB58" i="4"/>
  <c r="V55" i="4"/>
  <c r="AG60" i="4"/>
  <c r="AZ55" i="4"/>
  <c r="CC52" i="4"/>
  <c r="CC51" i="4" s="1"/>
  <c r="CC32" i="4"/>
  <c r="CC31" i="4" s="1"/>
  <c r="CC107" i="3" s="1"/>
  <c r="CC137" i="3" s="1"/>
  <c r="BI44" i="4"/>
  <c r="BI46" i="4" s="1"/>
  <c r="W55" i="4"/>
  <c r="Q95" i="4"/>
  <c r="W93" i="4"/>
  <c r="Q93" i="4"/>
  <c r="W88" i="4"/>
  <c r="AC88" i="4"/>
  <c r="CA109" i="4"/>
  <c r="AK39" i="4"/>
  <c r="O55" i="4"/>
  <c r="AV55" i="4"/>
  <c r="AY55" i="4"/>
  <c r="AO95" i="4"/>
  <c r="AO81" i="4"/>
  <c r="AO77" i="4"/>
  <c r="BB86" i="4"/>
  <c r="BB87" i="4" s="1"/>
  <c r="BH88" i="4" s="1"/>
  <c r="BB81" i="4"/>
  <c r="BH65" i="4" s="1"/>
  <c r="BH82" i="4" s="1"/>
  <c r="X88" i="4"/>
  <c r="X95" i="4"/>
  <c r="AD88" i="4"/>
  <c r="J93" i="4"/>
  <c r="M92" i="4"/>
  <c r="AS109" i="4"/>
  <c r="BE55" i="4"/>
  <c r="W95" i="4"/>
  <c r="AD95" i="4"/>
  <c r="AD77" i="4"/>
  <c r="AD81" i="4"/>
  <c r="I65" i="4"/>
  <c r="C95" i="4"/>
  <c r="AM77" i="4"/>
  <c r="AM81" i="4"/>
  <c r="AM95" i="4"/>
  <c r="K88" i="4"/>
  <c r="Q88" i="4"/>
  <c r="AJ88" i="4"/>
  <c r="AP88" i="4"/>
  <c r="AO88" i="4"/>
  <c r="AY96" i="4"/>
  <c r="BE96" i="4"/>
  <c r="BA86" i="4"/>
  <c r="BA87" i="4" s="1"/>
  <c r="BA81" i="4"/>
  <c r="P95" i="4"/>
  <c r="P81" i="4"/>
  <c r="V77" i="4"/>
  <c r="BI109" i="4"/>
  <c r="AP95" i="4"/>
  <c r="AP81" i="4"/>
  <c r="AP77" i="4"/>
  <c r="AK80" i="4"/>
  <c r="AQ80" i="4"/>
  <c r="AZ96" i="4"/>
  <c r="I95" i="4"/>
  <c r="I77" i="4"/>
  <c r="BA96" i="4"/>
  <c r="Y109" i="4"/>
  <c r="J95" i="4"/>
  <c r="J77" i="4"/>
  <c r="AJ95" i="4"/>
  <c r="AJ81" i="4"/>
  <c r="AK109" i="4"/>
  <c r="G92" i="4"/>
  <c r="L77" i="4"/>
  <c r="R77" i="4"/>
  <c r="AG81" i="4"/>
  <c r="AG77" i="4"/>
  <c r="U88" i="4"/>
  <c r="AG88" i="4"/>
  <c r="AS88" i="4"/>
  <c r="AA93" i="4"/>
  <c r="AQ74" i="4"/>
  <c r="AQ37" i="47" s="1"/>
  <c r="AY81" i="4"/>
  <c r="BC75" i="4"/>
  <c r="AH81" i="4"/>
  <c r="AH77" i="4"/>
  <c r="AH95" i="4"/>
  <c r="AY86" i="4"/>
  <c r="I88" i="4"/>
  <c r="O93" i="4"/>
  <c r="S92" i="4"/>
  <c r="AZ86" i="4"/>
  <c r="AZ87" i="4" s="1"/>
  <c r="O77" i="4"/>
  <c r="O95" i="4"/>
  <c r="AI81" i="4"/>
  <c r="AI77" i="4"/>
  <c r="AI95" i="4"/>
  <c r="P93" i="4"/>
  <c r="X77" i="4"/>
  <c r="AB77" i="4"/>
  <c r="U81" i="4"/>
  <c r="V81" i="4"/>
  <c r="W81" i="4"/>
  <c r="AK51" i="3"/>
  <c r="I47" i="3"/>
  <c r="I66" i="3"/>
  <c r="I25" i="3"/>
  <c r="I147" i="1" s="1"/>
  <c r="AK53" i="3"/>
  <c r="AE60" i="3"/>
  <c r="AE82" i="3" s="1"/>
  <c r="AT66" i="3"/>
  <c r="AT25" i="3"/>
  <c r="AT147" i="1" s="1"/>
  <c r="AT47" i="3"/>
  <c r="BC15" i="3"/>
  <c r="BC148" i="47" s="1"/>
  <c r="J66" i="3"/>
  <c r="J47" i="3"/>
  <c r="J25" i="3"/>
  <c r="J147" i="1" s="1"/>
  <c r="BE50" i="3"/>
  <c r="BE67" i="3"/>
  <c r="BF18" i="3"/>
  <c r="BE21" i="3"/>
  <c r="BG48" i="3"/>
  <c r="BG12" i="3"/>
  <c r="AA50" i="3"/>
  <c r="AG67" i="3"/>
  <c r="AA21" i="3"/>
  <c r="AE18" i="3"/>
  <c r="U47" i="3"/>
  <c r="U66" i="3"/>
  <c r="L50" i="3"/>
  <c r="L21" i="3"/>
  <c r="L67" i="3"/>
  <c r="AY67" i="3"/>
  <c r="AY21" i="3"/>
  <c r="AY50" i="3"/>
  <c r="BC18" i="3"/>
  <c r="AS66" i="3"/>
  <c r="AS47" i="3"/>
  <c r="AS25" i="3"/>
  <c r="AS147" i="1" s="1"/>
  <c r="V25" i="3"/>
  <c r="V147" i="1" s="1"/>
  <c r="V66" i="3"/>
  <c r="V47" i="3"/>
  <c r="M18" i="3"/>
  <c r="L94" i="2" s="1"/>
  <c r="BC60" i="3"/>
  <c r="BC82" i="3" s="1"/>
  <c r="L51" i="3"/>
  <c r="M19" i="3"/>
  <c r="L95" i="2" s="1"/>
  <c r="AG68" i="3"/>
  <c r="AA51" i="3"/>
  <c r="AA68" i="3"/>
  <c r="AE19" i="3"/>
  <c r="AH66" i="3"/>
  <c r="AH47" i="3"/>
  <c r="AH25" i="3"/>
  <c r="AH147" i="1" s="1"/>
  <c r="AB68" i="3"/>
  <c r="AH68" i="3"/>
  <c r="AB51" i="3"/>
  <c r="AM47" i="3"/>
  <c r="AM66" i="3"/>
  <c r="AM25" i="3"/>
  <c r="AM147" i="1" s="1"/>
  <c r="AY66" i="3"/>
  <c r="AY47" i="3"/>
  <c r="X31" i="3"/>
  <c r="W124" i="3"/>
  <c r="W139" i="3"/>
  <c r="W109" i="3"/>
  <c r="W90" i="3"/>
  <c r="AA67" i="3"/>
  <c r="M7" i="3"/>
  <c r="M78" i="1" s="1"/>
  <c r="Y7" i="3"/>
  <c r="Y78" i="1" s="1"/>
  <c r="AN66" i="3"/>
  <c r="AN47" i="3"/>
  <c r="AN25" i="3"/>
  <c r="AN147" i="1" s="1"/>
  <c r="M11" i="3"/>
  <c r="L93" i="2" s="1"/>
  <c r="Y12" i="3"/>
  <c r="F50" i="3"/>
  <c r="G18" i="3"/>
  <c r="F94" i="2" s="1"/>
  <c r="X35" i="3"/>
  <c r="AW60" i="3"/>
  <c r="AW82" i="3" s="1"/>
  <c r="AW14" i="3"/>
  <c r="C51" i="3"/>
  <c r="I68" i="3"/>
  <c r="C21" i="3"/>
  <c r="C25" i="3" s="1"/>
  <c r="C147" i="1" s="1"/>
  <c r="F19" i="3"/>
  <c r="E95" i="2" s="1"/>
  <c r="E97" i="2" s="1"/>
  <c r="E99" i="2" s="1"/>
  <c r="AY68" i="3"/>
  <c r="AY51" i="3"/>
  <c r="BC19" i="3"/>
  <c r="S28" i="3"/>
  <c r="S54" i="1" s="1"/>
  <c r="R31" i="3"/>
  <c r="AB66" i="3"/>
  <c r="AB47" i="3"/>
  <c r="BB51" i="3"/>
  <c r="BB68" i="3"/>
  <c r="K66" i="3"/>
  <c r="K47" i="3"/>
  <c r="K25" i="3"/>
  <c r="K147" i="1" s="1"/>
  <c r="Y20" i="3"/>
  <c r="BW112" i="3"/>
  <c r="CC112" i="3"/>
  <c r="AD65" i="3"/>
  <c r="AJ65" i="3"/>
  <c r="AD46" i="3"/>
  <c r="AD14" i="3"/>
  <c r="AQ60" i="3"/>
  <c r="AQ82" i="3" s="1"/>
  <c r="AQ14" i="3"/>
  <c r="R51" i="3"/>
  <c r="R68" i="3"/>
  <c r="AE35" i="3"/>
  <c r="AP6" i="3"/>
  <c r="AO6" i="2" s="1"/>
  <c r="AA13" i="3"/>
  <c r="L65" i="3"/>
  <c r="L46" i="3"/>
  <c r="L14" i="3"/>
  <c r="R66" i="3" s="1"/>
  <c r="BC65" i="3"/>
  <c r="BC46" i="3"/>
  <c r="AO47" i="3"/>
  <c r="AO66" i="3"/>
  <c r="AO25" i="3"/>
  <c r="AO147" i="1" s="1"/>
  <c r="R47" i="3"/>
  <c r="AG66" i="3"/>
  <c r="AG47" i="3"/>
  <c r="Y63" i="3"/>
  <c r="S14" i="3"/>
  <c r="S60" i="3"/>
  <c r="S82" i="3" s="1"/>
  <c r="R53" i="3"/>
  <c r="R69" i="3"/>
  <c r="S20" i="3"/>
  <c r="R96" i="2" s="1"/>
  <c r="AK50" i="3"/>
  <c r="AK21" i="3"/>
  <c r="AK93" i="1" s="1"/>
  <c r="AW53" i="3"/>
  <c r="AW69" i="3"/>
  <c r="AW21" i="3"/>
  <c r="AW93" i="1" s="1"/>
  <c r="X53" i="3"/>
  <c r="AI47" i="3"/>
  <c r="AC68" i="3"/>
  <c r="AI68" i="3"/>
  <c r="BE69" i="3"/>
  <c r="AY69" i="3"/>
  <c r="AY53" i="3"/>
  <c r="W25" i="3"/>
  <c r="W147" i="1" s="1"/>
  <c r="C141" i="3"/>
  <c r="C111" i="3"/>
  <c r="C92" i="3" s="1"/>
  <c r="C126" i="3"/>
  <c r="L53" i="3"/>
  <c r="L69" i="3"/>
  <c r="AD67" i="3"/>
  <c r="X50" i="3"/>
  <c r="X21" i="3"/>
  <c r="X25" i="3" s="1"/>
  <c r="X147" i="1" s="1"/>
  <c r="X67" i="3"/>
  <c r="AQ68" i="3"/>
  <c r="AH141" i="3"/>
  <c r="AH126" i="3"/>
  <c r="AH111" i="3"/>
  <c r="AH92" i="3" s="1"/>
  <c r="D143" i="3"/>
  <c r="D128" i="3"/>
  <c r="D113" i="3"/>
  <c r="D94" i="3" s="1"/>
  <c r="Q82" i="3"/>
  <c r="BE47" i="3"/>
  <c r="BE66" i="3"/>
  <c r="AQ67" i="3"/>
  <c r="AQ21" i="3"/>
  <c r="AN51" i="3"/>
  <c r="AM52" i="3"/>
  <c r="AZ66" i="3"/>
  <c r="AK60" i="3"/>
  <c r="AK82" i="3" s="1"/>
  <c r="AV66" i="3"/>
  <c r="AV47" i="3"/>
  <c r="AV25" i="3"/>
  <c r="AV147" i="1" s="1"/>
  <c r="BA66" i="3"/>
  <c r="BA47" i="3"/>
  <c r="BF47" i="3"/>
  <c r="BF66" i="3"/>
  <c r="X47" i="3"/>
  <c r="S46" i="3"/>
  <c r="AD68" i="3"/>
  <c r="AD51" i="3"/>
  <c r="AJ68" i="3"/>
  <c r="J70" i="3"/>
  <c r="AS70" i="3"/>
  <c r="L35" i="3"/>
  <c r="BF148" i="3"/>
  <c r="BG147" i="3" s="1"/>
  <c r="AQ65" i="3"/>
  <c r="AK14" i="3"/>
  <c r="BB47" i="3"/>
  <c r="BB66" i="3"/>
  <c r="E47" i="3"/>
  <c r="E25" i="3"/>
  <c r="E147" i="1" s="1"/>
  <c r="O66" i="3"/>
  <c r="O25" i="3"/>
  <c r="O147" i="1" s="1"/>
  <c r="AA66" i="3"/>
  <c r="AA47" i="3"/>
  <c r="S12" i="3"/>
  <c r="M20" i="3"/>
  <c r="L96" i="2" s="1"/>
  <c r="Y18" i="3"/>
  <c r="BA67" i="3"/>
  <c r="BA50" i="3"/>
  <c r="BA21" i="3"/>
  <c r="BE51" i="3"/>
  <c r="BE68" i="3"/>
  <c r="AQ69" i="3"/>
  <c r="AQ53" i="3"/>
  <c r="AT70" i="3"/>
  <c r="AP25" i="3"/>
  <c r="AP147" i="1" s="1"/>
  <c r="AI141" i="3"/>
  <c r="AI126" i="3"/>
  <c r="AI111" i="3"/>
  <c r="AI92" i="3" s="1"/>
  <c r="AQ52" i="3"/>
  <c r="AP51" i="3"/>
  <c r="E143" i="3"/>
  <c r="E128" i="3"/>
  <c r="E113" i="3"/>
  <c r="E94" i="3" s="1"/>
  <c r="R82" i="3"/>
  <c r="U82" i="3"/>
  <c r="BB67" i="3"/>
  <c r="BE82" i="3"/>
  <c r="BG66" i="3"/>
  <c r="AU47" i="3"/>
  <c r="AU66" i="3"/>
  <c r="C47" i="3"/>
  <c r="AB65" i="3"/>
  <c r="AB46" i="3"/>
  <c r="AH65" i="3"/>
  <c r="BC14" i="3"/>
  <c r="G8" i="3"/>
  <c r="S63" i="3"/>
  <c r="Y60" i="3"/>
  <c r="Y82" i="3" s="1"/>
  <c r="F14" i="3"/>
  <c r="P66" i="3"/>
  <c r="P47" i="3"/>
  <c r="F53" i="3"/>
  <c r="R67" i="3"/>
  <c r="R50" i="3"/>
  <c r="X68" i="3"/>
  <c r="AJ69" i="3"/>
  <c r="AD69" i="3"/>
  <c r="AD53" i="3"/>
  <c r="AW50" i="3"/>
  <c r="AW67" i="3"/>
  <c r="BC20" i="3"/>
  <c r="F31" i="3"/>
  <c r="G28" i="3"/>
  <c r="R35" i="3"/>
  <c r="K142" i="3"/>
  <c r="K127" i="3"/>
  <c r="K112" i="3"/>
  <c r="K93" i="3" s="1"/>
  <c r="AC126" i="3"/>
  <c r="AC141" i="3"/>
  <c r="AC111" i="3"/>
  <c r="AC92" i="3" s="1"/>
  <c r="I128" i="3"/>
  <c r="I143" i="3"/>
  <c r="I113" i="3"/>
  <c r="I94" i="3" s="1"/>
  <c r="BR113" i="3"/>
  <c r="BS53" i="3"/>
  <c r="X66" i="3"/>
  <c r="AI65" i="3"/>
  <c r="AC46" i="3"/>
  <c r="AK46" i="3"/>
  <c r="BG49" i="3"/>
  <c r="Q66" i="3"/>
  <c r="Q47" i="3"/>
  <c r="G20" i="3"/>
  <c r="F96" i="2" s="1"/>
  <c r="S18" i="3"/>
  <c r="R94" i="2" s="1"/>
  <c r="Y19" i="3"/>
  <c r="AE20" i="3"/>
  <c r="AW68" i="3"/>
  <c r="AW51" i="3"/>
  <c r="AV70" i="3"/>
  <c r="P25" i="3"/>
  <c r="P147" i="1" s="1"/>
  <c r="AG142" i="3"/>
  <c r="AG127" i="3"/>
  <c r="AG112" i="3"/>
  <c r="AG93" i="3" s="1"/>
  <c r="AQ46" i="3"/>
  <c r="AZ50" i="3"/>
  <c r="E127" i="3"/>
  <c r="E112" i="3"/>
  <c r="E93" i="3" s="1"/>
  <c r="E142" i="3"/>
  <c r="AD126" i="3"/>
  <c r="AD111" i="3"/>
  <c r="AD92" i="3" s="1"/>
  <c r="AD141" i="3"/>
  <c r="AB128" i="3"/>
  <c r="AB113" i="3"/>
  <c r="AB94" i="3" s="1"/>
  <c r="AB143" i="3"/>
  <c r="X76" i="3"/>
  <c r="Y76" i="3" s="1"/>
  <c r="Q70" i="3"/>
  <c r="U126" i="3"/>
  <c r="U111" i="3"/>
  <c r="U92" i="3" s="1"/>
  <c r="U141" i="3"/>
  <c r="P82" i="3"/>
  <c r="BF82" i="3"/>
  <c r="V70" i="3"/>
  <c r="AO70" i="3"/>
  <c r="U142" i="3"/>
  <c r="U112" i="3"/>
  <c r="U93" i="3" s="1"/>
  <c r="U127" i="3"/>
  <c r="J113" i="3"/>
  <c r="J94" i="3" s="1"/>
  <c r="J128" i="3"/>
  <c r="J143" i="3"/>
  <c r="AG143" i="3"/>
  <c r="AG128" i="3"/>
  <c r="AG113" i="3"/>
  <c r="AG94" i="3" s="1"/>
  <c r="I142" i="3"/>
  <c r="I112" i="3"/>
  <c r="I93" i="3" s="1"/>
  <c r="I127" i="3"/>
  <c r="O127" i="3"/>
  <c r="O112" i="3"/>
  <c r="O93" i="3" s="1"/>
  <c r="O142" i="3"/>
  <c r="K143" i="3"/>
  <c r="K113" i="3"/>
  <c r="K94" i="3" s="1"/>
  <c r="AH143" i="3"/>
  <c r="AH128" i="3"/>
  <c r="AH113" i="3"/>
  <c r="AH94" i="3" s="1"/>
  <c r="AJ136" i="3"/>
  <c r="AJ87" i="3"/>
  <c r="AJ121" i="3"/>
  <c r="AO135" i="3"/>
  <c r="AO86" i="3"/>
  <c r="AO120" i="3"/>
  <c r="AM137" i="3"/>
  <c r="AM88" i="3"/>
  <c r="AT134" i="3"/>
  <c r="AT119" i="3"/>
  <c r="AT85" i="3"/>
  <c r="AU137" i="3"/>
  <c r="AU122" i="3"/>
  <c r="AY133" i="3"/>
  <c r="AY118" i="3"/>
  <c r="BB134" i="3"/>
  <c r="BB119" i="3"/>
  <c r="K128" i="3"/>
  <c r="O70" i="3"/>
  <c r="BC173" i="3"/>
  <c r="BC78" i="3"/>
  <c r="AH142" i="3"/>
  <c r="AH112" i="3"/>
  <c r="AH93" i="3" s="1"/>
  <c r="AH127" i="3"/>
  <c r="D127" i="3"/>
  <c r="D142" i="3"/>
  <c r="D112" i="3"/>
  <c r="D93" i="3" s="1"/>
  <c r="J127" i="3"/>
  <c r="J142" i="3"/>
  <c r="P142" i="3"/>
  <c r="P127" i="3"/>
  <c r="P112" i="3"/>
  <c r="P93" i="3" s="1"/>
  <c r="AI112" i="3"/>
  <c r="AI93" i="3" s="1"/>
  <c r="AI142" i="3"/>
  <c r="AI127" i="3"/>
  <c r="V126" i="3"/>
  <c r="V141" i="3"/>
  <c r="AI128" i="3"/>
  <c r="AI113" i="3"/>
  <c r="AI94" i="3" s="1"/>
  <c r="K141" i="3"/>
  <c r="K111" i="3"/>
  <c r="K92" i="3" s="1"/>
  <c r="K126" i="3"/>
  <c r="Q141" i="3"/>
  <c r="Q126" i="3"/>
  <c r="Q111" i="3"/>
  <c r="Q92" i="3" s="1"/>
  <c r="AJ134" i="3"/>
  <c r="AJ85" i="3"/>
  <c r="AJ119" i="3"/>
  <c r="AO118" i="3"/>
  <c r="AO133" i="3"/>
  <c r="AO84" i="3"/>
  <c r="AM135" i="3"/>
  <c r="AM86" i="3"/>
  <c r="AP136" i="3"/>
  <c r="AP121" i="3"/>
  <c r="AP87" i="3"/>
  <c r="AS137" i="3"/>
  <c r="AS88" i="3"/>
  <c r="AS122" i="3"/>
  <c r="AM120" i="3"/>
  <c r="AB111" i="3"/>
  <c r="AB92" i="3" s="1"/>
  <c r="AB141" i="3"/>
  <c r="AB126" i="3"/>
  <c r="U128" i="3"/>
  <c r="U113" i="3"/>
  <c r="U94" i="3" s="1"/>
  <c r="AA82" i="3"/>
  <c r="V111" i="3"/>
  <c r="V92" i="3" s="1"/>
  <c r="AG141" i="3"/>
  <c r="AG126" i="3"/>
  <c r="D141" i="3"/>
  <c r="D126" i="3"/>
  <c r="I126" i="3"/>
  <c r="I141" i="3"/>
  <c r="I111" i="3"/>
  <c r="I92" i="3" s="1"/>
  <c r="Q142" i="3"/>
  <c r="Q127" i="3"/>
  <c r="Q112" i="3"/>
  <c r="Q93" i="3" s="1"/>
  <c r="V142" i="3"/>
  <c r="V112" i="3"/>
  <c r="V93" i="3" s="1"/>
  <c r="O143" i="3"/>
  <c r="O113" i="3"/>
  <c r="O94" i="3" s="1"/>
  <c r="AC143" i="3"/>
  <c r="AC113" i="3"/>
  <c r="AC94" i="3" s="1"/>
  <c r="AC128" i="3"/>
  <c r="O128" i="3"/>
  <c r="E111" i="3"/>
  <c r="E92" i="3" s="1"/>
  <c r="E141" i="3"/>
  <c r="E126" i="3"/>
  <c r="J126" i="3"/>
  <c r="J141" i="3"/>
  <c r="O126" i="3"/>
  <c r="O111" i="3"/>
  <c r="O92" i="3" s="1"/>
  <c r="O141" i="3"/>
  <c r="P143" i="3"/>
  <c r="P128" i="3"/>
  <c r="P113" i="3"/>
  <c r="P94" i="3" s="1"/>
  <c r="W128" i="3"/>
  <c r="W143" i="3"/>
  <c r="AJ82" i="3"/>
  <c r="AJ122" i="3"/>
  <c r="AJ137" i="3"/>
  <c r="AO136" i="3"/>
  <c r="AO121" i="3"/>
  <c r="AY119" i="3"/>
  <c r="AY134" i="3"/>
  <c r="D111" i="3"/>
  <c r="D92" i="3" s="1"/>
  <c r="BI191" i="3"/>
  <c r="BI166" i="3" s="1"/>
  <c r="BQ128" i="3"/>
  <c r="BQ143" i="3"/>
  <c r="V143" i="3"/>
  <c r="P126" i="3"/>
  <c r="P141" i="3"/>
  <c r="W142" i="3"/>
  <c r="W127" i="3"/>
  <c r="C113" i="3"/>
  <c r="C94" i="3" s="1"/>
  <c r="C128" i="3"/>
  <c r="Q113" i="3"/>
  <c r="Q94" i="3" s="1"/>
  <c r="Q143" i="3"/>
  <c r="AA143" i="3"/>
  <c r="AA128" i="3"/>
  <c r="AA113" i="3"/>
  <c r="AJ120" i="3"/>
  <c r="AJ135" i="3"/>
  <c r="AO119" i="3"/>
  <c r="AO134" i="3"/>
  <c r="AO85" i="3"/>
  <c r="AM121" i="3"/>
  <c r="AM87" i="3"/>
  <c r="AP122" i="3"/>
  <c r="AP88" i="3"/>
  <c r="AU121" i="3"/>
  <c r="AU136" i="3"/>
  <c r="BF122" i="3"/>
  <c r="BF137" i="3"/>
  <c r="W112" i="3"/>
  <c r="W93" i="3" s="1"/>
  <c r="Q128" i="3"/>
  <c r="AM118" i="3"/>
  <c r="AM133" i="3"/>
  <c r="AP119" i="3"/>
  <c r="AP134" i="3"/>
  <c r="AS120" i="3"/>
  <c r="AS135" i="3"/>
  <c r="AV121" i="3"/>
  <c r="AV136" i="3"/>
  <c r="AY122" i="3"/>
  <c r="AY137" i="3"/>
  <c r="BG122" i="3"/>
  <c r="BG137" i="3"/>
  <c r="BG88" i="3"/>
  <c r="AH149" i="3"/>
  <c r="AI150" i="3"/>
  <c r="AI149" i="3" s="1"/>
  <c r="AC150" i="3"/>
  <c r="AP118" i="3"/>
  <c r="AS119" i="3"/>
  <c r="AM148" i="3"/>
  <c r="AN147" i="3" s="1"/>
  <c r="AQ147" i="3"/>
  <c r="AQ41" i="3" s="1"/>
  <c r="AB151" i="3"/>
  <c r="AC151" i="3" s="1"/>
  <c r="AD151" i="3" s="1"/>
  <c r="AA149" i="3"/>
  <c r="CA164" i="3"/>
  <c r="CG165" i="3"/>
  <c r="BQ82" i="4" l="1"/>
  <c r="BL24" i="47"/>
  <c r="BY88" i="3"/>
  <c r="AG69" i="4"/>
  <c r="AG132" i="3" s="1"/>
  <c r="BY137" i="3"/>
  <c r="AA111" i="47"/>
  <c r="AA31" i="47"/>
  <c r="AG32" i="47" s="1"/>
  <c r="AE6" i="4"/>
  <c r="AE111" i="47" s="1"/>
  <c r="AA9" i="3"/>
  <c r="AA48" i="3" s="1"/>
  <c r="AA60" i="4"/>
  <c r="AA152" i="47"/>
  <c r="AA153" i="47" s="1"/>
  <c r="AZ167" i="1"/>
  <c r="K97" i="1"/>
  <c r="BQ137" i="3"/>
  <c r="AA151" i="47"/>
  <c r="BQ122" i="3"/>
  <c r="AC137" i="3"/>
  <c r="BF167" i="1"/>
  <c r="BG168" i="1" s="1"/>
  <c r="AC122" i="3"/>
  <c r="BX88" i="3"/>
  <c r="AW46" i="47"/>
  <c r="BW88" i="3"/>
  <c r="BW122" i="3"/>
  <c r="BC151" i="47"/>
  <c r="BN24" i="47"/>
  <c r="BH156" i="47"/>
  <c r="BH157" i="47" s="1"/>
  <c r="BH182" i="47" s="1"/>
  <c r="BB79" i="47"/>
  <c r="E4" i="47"/>
  <c r="AW54" i="47"/>
  <c r="E61" i="47"/>
  <c r="BI93" i="4"/>
  <c r="BO93" i="4"/>
  <c r="AW117" i="4"/>
  <c r="BN82" i="4"/>
  <c r="BN66" i="4"/>
  <c r="BX122" i="3"/>
  <c r="CI7" i="47"/>
  <c r="BU162" i="47"/>
  <c r="BY89" i="47"/>
  <c r="BF104" i="1"/>
  <c r="BA75" i="1"/>
  <c r="W97" i="1"/>
  <c r="BN90" i="2"/>
  <c r="BN89" i="2"/>
  <c r="BN88" i="2"/>
  <c r="BB84" i="47"/>
  <c r="BA74" i="47"/>
  <c r="BA84" i="47"/>
  <c r="P12" i="47"/>
  <c r="BW26" i="47"/>
  <c r="BW27" i="47" s="1"/>
  <c r="CC26" i="47"/>
  <c r="CC27" i="47" s="1"/>
  <c r="AZ74" i="47"/>
  <c r="BM24" i="47"/>
  <c r="R97" i="47"/>
  <c r="L97" i="47"/>
  <c r="Y146" i="1"/>
  <c r="AI54" i="3"/>
  <c r="AI147" i="1"/>
  <c r="AW146" i="1"/>
  <c r="BT34" i="3"/>
  <c r="BT148" i="1" s="1"/>
  <c r="BS148" i="1"/>
  <c r="D23" i="3"/>
  <c r="D147" i="1"/>
  <c r="U23" i="3"/>
  <c r="U147" i="1"/>
  <c r="AG23" i="3"/>
  <c r="AG147" i="1"/>
  <c r="AJ54" i="3"/>
  <c r="AJ147" i="1"/>
  <c r="Q33" i="3"/>
  <c r="Q147" i="1"/>
  <c r="AU33" i="3"/>
  <c r="AU147" i="1"/>
  <c r="AQ53" i="1"/>
  <c r="BX26" i="47"/>
  <c r="BX27" i="47" s="1"/>
  <c r="AZ84" i="47"/>
  <c r="AY74" i="47"/>
  <c r="AV123" i="47"/>
  <c r="CD26" i="47"/>
  <c r="CD27" i="47" s="1"/>
  <c r="AQ161" i="1"/>
  <c r="BA167" i="1"/>
  <c r="BA169" i="1"/>
  <c r="BA170" i="1" s="1"/>
  <c r="AO169" i="1"/>
  <c r="AO167" i="1"/>
  <c r="AP168" i="1" s="1"/>
  <c r="AC167" i="1"/>
  <c r="AD168" i="1" s="1"/>
  <c r="AC169" i="1"/>
  <c r="AN169" i="1"/>
  <c r="AN167" i="1"/>
  <c r="BE169" i="1"/>
  <c r="BE167" i="1"/>
  <c r="AS169" i="1"/>
  <c r="AS167" i="1"/>
  <c r="AG167" i="1"/>
  <c r="AG169" i="1"/>
  <c r="AW169" i="1"/>
  <c r="AK169" i="1"/>
  <c r="AW161" i="1"/>
  <c r="S161" i="1"/>
  <c r="G161" i="1"/>
  <c r="Y161" i="1"/>
  <c r="AW167" i="1"/>
  <c r="AK167" i="1"/>
  <c r="AK161" i="1"/>
  <c r="BC161" i="1"/>
  <c r="AE161" i="1"/>
  <c r="AU167" i="1"/>
  <c r="AV168" i="1" s="1"/>
  <c r="AU169" i="1"/>
  <c r="AI169" i="1"/>
  <c r="AI170" i="1" s="1"/>
  <c r="AI167" i="1"/>
  <c r="AJ168" i="1" s="1"/>
  <c r="AT169" i="1"/>
  <c r="AT167" i="1"/>
  <c r="AY169" i="1"/>
  <c r="AY167" i="1"/>
  <c r="AM167" i="1"/>
  <c r="AM169" i="1"/>
  <c r="BB169" i="1"/>
  <c r="BB167" i="1"/>
  <c r="AQ169" i="1"/>
  <c r="AW170" i="1" s="1"/>
  <c r="AE167" i="1"/>
  <c r="M161" i="1"/>
  <c r="BC156" i="1"/>
  <c r="AW156" i="1"/>
  <c r="AQ167" i="1"/>
  <c r="AE169" i="1"/>
  <c r="AK170" i="1" s="1"/>
  <c r="AH104" i="1"/>
  <c r="AY72" i="1"/>
  <c r="AW14" i="1"/>
  <c r="AW92" i="1"/>
  <c r="BE63" i="3"/>
  <c r="AZ63" i="3"/>
  <c r="F146" i="1"/>
  <c r="BK70" i="4"/>
  <c r="BL97" i="4"/>
  <c r="S55" i="4"/>
  <c r="J56" i="4"/>
  <c r="BE27" i="4"/>
  <c r="BA63" i="3"/>
  <c r="K56" i="4"/>
  <c r="BF56" i="4"/>
  <c r="BF57" i="4" s="1"/>
  <c r="AJ63" i="3"/>
  <c r="AK63" i="3" s="1"/>
  <c r="BB63" i="3"/>
  <c r="BF63" i="3"/>
  <c r="BH63" i="3"/>
  <c r="AY63" i="3"/>
  <c r="BH27" i="4"/>
  <c r="I56" i="4"/>
  <c r="BK63" i="3"/>
  <c r="BL63" i="3"/>
  <c r="AY22" i="1"/>
  <c r="AY48" i="1" s="1"/>
  <c r="AC97" i="1"/>
  <c r="AY75" i="1"/>
  <c r="BA72" i="1"/>
  <c r="S98" i="1"/>
  <c r="Y98" i="1"/>
  <c r="C104" i="1"/>
  <c r="E97" i="1"/>
  <c r="AE98" i="1"/>
  <c r="BA22" i="1"/>
  <c r="BM42" i="4"/>
  <c r="AI70" i="3"/>
  <c r="BM82" i="4"/>
  <c r="BG35" i="47"/>
  <c r="BM88" i="4"/>
  <c r="BG56" i="4"/>
  <c r="BG57" i="4" s="1"/>
  <c r="BG63" i="3"/>
  <c r="BI51" i="47"/>
  <c r="AZ79" i="47"/>
  <c r="CG51" i="47"/>
  <c r="P97" i="3"/>
  <c r="J97" i="3"/>
  <c r="CA51" i="47"/>
  <c r="V97" i="3"/>
  <c r="BG90" i="3"/>
  <c r="AC91" i="1"/>
  <c r="D124" i="3"/>
  <c r="AC70" i="3"/>
  <c r="BL56" i="4"/>
  <c r="AK53" i="1"/>
  <c r="BC53" i="1"/>
  <c r="AE18" i="47"/>
  <c r="AY79" i="47"/>
  <c r="AQ80" i="47"/>
  <c r="AW83" i="47"/>
  <c r="E38" i="47"/>
  <c r="E111" i="47"/>
  <c r="AK18" i="47"/>
  <c r="BL62" i="47"/>
  <c r="BA79" i="47"/>
  <c r="BL52" i="4"/>
  <c r="BL50" i="4" s="1"/>
  <c r="BL70" i="4"/>
  <c r="BL69" i="4" s="1"/>
  <c r="BL27" i="4"/>
  <c r="BL35" i="47"/>
  <c r="BL37" i="4"/>
  <c r="BL17" i="4"/>
  <c r="BL32" i="4"/>
  <c r="BL30" i="4" s="1"/>
  <c r="BL47" i="4"/>
  <c r="BL45" i="4" s="1"/>
  <c r="BL22" i="4"/>
  <c r="BL12" i="4"/>
  <c r="BF35" i="47"/>
  <c r="BL88" i="4"/>
  <c r="BL82" i="4"/>
  <c r="BL41" i="4"/>
  <c r="AD91" i="1"/>
  <c r="AB70" i="3"/>
  <c r="AY84" i="47"/>
  <c r="AQ78" i="47"/>
  <c r="AQ83" i="47"/>
  <c r="AV129" i="47"/>
  <c r="AQ73" i="47"/>
  <c r="AV73" i="47"/>
  <c r="BB74" i="47" s="1"/>
  <c r="AQ68" i="47"/>
  <c r="AC47" i="3"/>
  <c r="AB93" i="1"/>
  <c r="AB91" i="1"/>
  <c r="AE79" i="1"/>
  <c r="AV97" i="2"/>
  <c r="AV99" i="2" s="1"/>
  <c r="I97" i="47"/>
  <c r="K97" i="47"/>
  <c r="AV6" i="4"/>
  <c r="AV9" i="3" s="1"/>
  <c r="AV15" i="3" s="1"/>
  <c r="AV148" i="47" s="1"/>
  <c r="AV151" i="47" s="1"/>
  <c r="Q94" i="47"/>
  <c r="L94" i="47"/>
  <c r="BA26" i="4"/>
  <c r="BC24" i="4"/>
  <c r="BC26" i="4" s="1"/>
  <c r="I94" i="47"/>
  <c r="R94" i="47"/>
  <c r="P94" i="47"/>
  <c r="BK35" i="47"/>
  <c r="BK27" i="4"/>
  <c r="BM76" i="47"/>
  <c r="BK76" i="47"/>
  <c r="AJ97" i="2"/>
  <c r="AJ99" i="2" s="1"/>
  <c r="AP97" i="2"/>
  <c r="AP99" i="2" s="1"/>
  <c r="CA59" i="47"/>
  <c r="CC62" i="47"/>
  <c r="Y47" i="3"/>
  <c r="AD96" i="2"/>
  <c r="X95" i="2"/>
  <c r="AD95" i="2"/>
  <c r="BB96" i="2"/>
  <c r="BI54" i="1"/>
  <c r="X96" i="2"/>
  <c r="AH70" i="3"/>
  <c r="BB94" i="2"/>
  <c r="X94" i="2"/>
  <c r="BB95" i="2"/>
  <c r="AB25" i="3"/>
  <c r="AD94" i="2"/>
  <c r="AD93" i="1"/>
  <c r="BA97" i="1"/>
  <c r="X40" i="1"/>
  <c r="X69" i="1" s="1"/>
  <c r="BE94" i="2"/>
  <c r="AC25" i="3"/>
  <c r="AE65" i="3"/>
  <c r="AB69" i="4"/>
  <c r="AB102" i="3" s="1"/>
  <c r="AB83" i="3" s="1"/>
  <c r="V152" i="47"/>
  <c r="V153" i="47" s="1"/>
  <c r="V31" i="47"/>
  <c r="AB32" i="47" s="1"/>
  <c r="U152" i="47"/>
  <c r="U153" i="47" s="1"/>
  <c r="U111" i="47"/>
  <c r="AC142" i="3"/>
  <c r="BB98" i="2"/>
  <c r="AJ70" i="3"/>
  <c r="AI66" i="3"/>
  <c r="AC112" i="3"/>
  <c r="AC93" i="3" s="1"/>
  <c r="BK56" i="4"/>
  <c r="AC127" i="3"/>
  <c r="AK65" i="3"/>
  <c r="AC66" i="3"/>
  <c r="AE14" i="3"/>
  <c r="AE46" i="3"/>
  <c r="AW119" i="47"/>
  <c r="AW121" i="47" s="1"/>
  <c r="AQ119" i="47"/>
  <c r="AQ121" i="47" s="1"/>
  <c r="M119" i="47"/>
  <c r="M129" i="47" s="1"/>
  <c r="I70" i="47"/>
  <c r="AH145" i="47"/>
  <c r="AC26" i="47"/>
  <c r="AH90" i="47"/>
  <c r="AO5" i="47"/>
  <c r="BB131" i="47"/>
  <c r="V121" i="47"/>
  <c r="AP125" i="47"/>
  <c r="AA90" i="47"/>
  <c r="AQ23" i="47"/>
  <c r="L129" i="47"/>
  <c r="AA69" i="47"/>
  <c r="AP130" i="47"/>
  <c r="BC18" i="47"/>
  <c r="S49" i="47"/>
  <c r="AH50" i="47"/>
  <c r="AE12" i="47"/>
  <c r="R125" i="47"/>
  <c r="Q108" i="47"/>
  <c r="BZ50" i="47"/>
  <c r="Y145" i="47"/>
  <c r="AV125" i="47"/>
  <c r="AW13" i="47"/>
  <c r="BC14" i="47" s="1"/>
  <c r="BI15" i="47" s="1"/>
  <c r="BO49" i="47"/>
  <c r="BI49" i="47"/>
  <c r="BH62" i="47"/>
  <c r="BN63" i="47" s="1"/>
  <c r="K70" i="47"/>
  <c r="AE15" i="47"/>
  <c r="X151" i="47"/>
  <c r="BR50" i="47"/>
  <c r="AE49" i="47"/>
  <c r="W26" i="47"/>
  <c r="AA7" i="47"/>
  <c r="AZ136" i="47"/>
  <c r="AZ143" i="47" s="1"/>
  <c r="AZ142" i="47"/>
  <c r="Y49" i="47"/>
  <c r="AT26" i="47"/>
  <c r="AK12" i="47"/>
  <c r="M49" i="47"/>
  <c r="M50" i="47" s="1"/>
  <c r="W50" i="47"/>
  <c r="AZ12" i="47"/>
  <c r="Q15" i="47"/>
  <c r="Q132" i="47"/>
  <c r="S123" i="47"/>
  <c r="AD130" i="47"/>
  <c r="R18" i="47"/>
  <c r="BW62" i="47"/>
  <c r="AV74" i="4"/>
  <c r="BB74" i="4" s="1"/>
  <c r="BH74" i="4" s="1"/>
  <c r="AN90" i="47"/>
  <c r="AE139" i="47"/>
  <c r="CF62" i="47"/>
  <c r="AI26" i="47"/>
  <c r="BK62" i="47"/>
  <c r="BK89" i="47"/>
  <c r="BK87" i="47"/>
  <c r="AD90" i="47"/>
  <c r="V131" i="47"/>
  <c r="AQ56" i="47"/>
  <c r="AB5" i="47"/>
  <c r="AH7" i="47" s="1"/>
  <c r="AU14" i="47"/>
  <c r="AU15" i="47" s="1"/>
  <c r="V129" i="47"/>
  <c r="AQ38" i="47"/>
  <c r="S129" i="47"/>
  <c r="V130" i="47"/>
  <c r="AJ50" i="47"/>
  <c r="AQ59" i="47"/>
  <c r="BI18" i="47"/>
  <c r="AU22" i="47"/>
  <c r="AG50" i="47"/>
  <c r="BB12" i="47"/>
  <c r="BK24" i="47"/>
  <c r="S139" i="47"/>
  <c r="M139" i="47"/>
  <c r="AD121" i="47"/>
  <c r="AK145" i="47"/>
  <c r="G119" i="47"/>
  <c r="G131" i="47" s="1"/>
  <c r="AA88" i="47"/>
  <c r="AD88" i="47"/>
  <c r="AD129" i="47"/>
  <c r="AQ61" i="47"/>
  <c r="BA14" i="47"/>
  <c r="AU57" i="47"/>
  <c r="AU59" i="47" s="1"/>
  <c r="S125" i="47"/>
  <c r="AD131" i="47"/>
  <c r="AI50" i="47"/>
  <c r="BT50" i="47"/>
  <c r="AD5" i="47"/>
  <c r="AD7" i="47" s="1"/>
  <c r="CG12" i="47"/>
  <c r="AG7" i="47"/>
  <c r="BF151" i="47"/>
  <c r="BF155" i="47" s="1"/>
  <c r="U151" i="47"/>
  <c r="BI169" i="47"/>
  <c r="AC97" i="2"/>
  <c r="AC98" i="2" s="1"/>
  <c r="AA97" i="2"/>
  <c r="AA99" i="2" s="1"/>
  <c r="Z97" i="2"/>
  <c r="Z99" i="2" s="1"/>
  <c r="AB97" i="2"/>
  <c r="AB98" i="2" s="1"/>
  <c r="BD97" i="2"/>
  <c r="BD98" i="2" s="1"/>
  <c r="BW119" i="3"/>
  <c r="BK97" i="4"/>
  <c r="R97" i="2"/>
  <c r="R99" i="2" s="1"/>
  <c r="AJ62" i="2"/>
  <c r="L97" i="2"/>
  <c r="L99" i="2" s="1"/>
  <c r="AV62" i="2"/>
  <c r="AP62" i="2"/>
  <c r="AU53" i="2"/>
  <c r="AU47" i="2"/>
  <c r="AV53" i="2"/>
  <c r="AV47" i="2"/>
  <c r="BB62" i="2"/>
  <c r="AI90" i="2"/>
  <c r="AI88" i="2"/>
  <c r="AI89" i="2"/>
  <c r="AS89" i="2"/>
  <c r="AS88" i="2"/>
  <c r="AS90" i="2"/>
  <c r="BT90" i="2"/>
  <c r="BT88" i="2"/>
  <c r="BT89" i="2"/>
  <c r="AY88" i="2"/>
  <c r="AY89" i="2"/>
  <c r="AY90" i="2"/>
  <c r="C88" i="2"/>
  <c r="C89" i="2"/>
  <c r="C90" i="2"/>
  <c r="V90" i="2"/>
  <c r="V88" i="2"/>
  <c r="V89" i="2"/>
  <c r="O88" i="2"/>
  <c r="O89" i="2"/>
  <c r="O90" i="2"/>
  <c r="AT94" i="3"/>
  <c r="AG2" i="47"/>
  <c r="BK22" i="4"/>
  <c r="BK12" i="4"/>
  <c r="BK47" i="4"/>
  <c r="BK45" i="4" s="1"/>
  <c r="BK52" i="4"/>
  <c r="BK50" i="4" s="1"/>
  <c r="BK32" i="4"/>
  <c r="BK30" i="4" s="1"/>
  <c r="BK17" i="4"/>
  <c r="AZ159" i="47"/>
  <c r="AZ160" i="47" s="1"/>
  <c r="Y105" i="47"/>
  <c r="BK41" i="4"/>
  <c r="CC50" i="47"/>
  <c r="CD50" i="47"/>
  <c r="BF128" i="1"/>
  <c r="BU49" i="47"/>
  <c r="BX118" i="3"/>
  <c r="AS69" i="4"/>
  <c r="CC85" i="3"/>
  <c r="AK88" i="4"/>
  <c r="AS9" i="3"/>
  <c r="AS15" i="3" s="1"/>
  <c r="AS48" i="3" s="1"/>
  <c r="AD13" i="3"/>
  <c r="AE2" i="47"/>
  <c r="AI2" i="47"/>
  <c r="AI5" i="4"/>
  <c r="AO94" i="3"/>
  <c r="CF5" i="4"/>
  <c r="AK5" i="4"/>
  <c r="CF2" i="47"/>
  <c r="AE5" i="4"/>
  <c r="AG5" i="4"/>
  <c r="V60" i="4"/>
  <c r="U60" i="4"/>
  <c r="AE134" i="3"/>
  <c r="AA69" i="4"/>
  <c r="AA117" i="3" s="1"/>
  <c r="V111" i="47"/>
  <c r="U31" i="47"/>
  <c r="BL86" i="47"/>
  <c r="BL156" i="47" s="1"/>
  <c r="AD97" i="1"/>
  <c r="AD102" i="1" s="1"/>
  <c r="AN128" i="1"/>
  <c r="BE25" i="3"/>
  <c r="AU6" i="4"/>
  <c r="AU60" i="4" s="1"/>
  <c r="AS60" i="4"/>
  <c r="AY69" i="4"/>
  <c r="AS152" i="47"/>
  <c r="AS153" i="47" s="1"/>
  <c r="AZ135" i="3"/>
  <c r="X60" i="4"/>
  <c r="CD122" i="3"/>
  <c r="Q110" i="47"/>
  <c r="AZ120" i="3"/>
  <c r="AE93" i="4"/>
  <c r="AE135" i="3"/>
  <c r="AV143" i="3"/>
  <c r="AW143" i="3" s="1"/>
  <c r="AS141" i="3"/>
  <c r="AS92" i="3"/>
  <c r="CA5" i="4"/>
  <c r="AO141" i="3"/>
  <c r="BI110" i="1"/>
  <c r="AV92" i="3"/>
  <c r="AV97" i="3" s="1"/>
  <c r="M14" i="3"/>
  <c r="M148" i="47" s="1"/>
  <c r="R123" i="47"/>
  <c r="AS56" i="47"/>
  <c r="BF76" i="47"/>
  <c r="BL76" i="47" s="1"/>
  <c r="BR76" i="47" s="1"/>
  <c r="BX76" i="47" s="1"/>
  <c r="CD76" i="47" s="1"/>
  <c r="BI135" i="47"/>
  <c r="BI130" i="47"/>
  <c r="BI131" i="47"/>
  <c r="BI129" i="47"/>
  <c r="BH125" i="47"/>
  <c r="BU14" i="47"/>
  <c r="CA15" i="47" s="1"/>
  <c r="BG159" i="47"/>
  <c r="BG157" i="47" s="1"/>
  <c r="BH123" i="47"/>
  <c r="AE63" i="3"/>
  <c r="BE159" i="47"/>
  <c r="BG154" i="47"/>
  <c r="BG155" i="47"/>
  <c r="BE154" i="47"/>
  <c r="BE155" i="47"/>
  <c r="V81" i="1"/>
  <c r="D114" i="1"/>
  <c r="E109" i="1" s="1"/>
  <c r="AW100" i="1"/>
  <c r="D129" i="1"/>
  <c r="AJ112" i="1"/>
  <c r="AK112" i="1" s="1"/>
  <c r="AH128" i="1"/>
  <c r="BU126" i="1"/>
  <c r="AT128" i="1"/>
  <c r="BX134" i="3"/>
  <c r="BX85" i="3"/>
  <c r="BX119" i="3"/>
  <c r="BX133" i="3"/>
  <c r="BE56" i="4"/>
  <c r="W60" i="4"/>
  <c r="BT122" i="3"/>
  <c r="AC69" i="4"/>
  <c r="AC132" i="3" s="1"/>
  <c r="W106" i="47"/>
  <c r="W111" i="47"/>
  <c r="W152" i="47"/>
  <c r="W153" i="47" s="1"/>
  <c r="W31" i="47"/>
  <c r="AC32" i="47" s="1"/>
  <c r="BB11" i="4"/>
  <c r="BB103" i="3" s="1"/>
  <c r="BB133" i="3" s="1"/>
  <c r="AV11" i="4"/>
  <c r="AV103" i="3" s="1"/>
  <c r="AK135" i="3"/>
  <c r="BR122" i="3"/>
  <c r="V151" i="47"/>
  <c r="AK121" i="3"/>
  <c r="CE137" i="3"/>
  <c r="CD137" i="3"/>
  <c r="AQ10" i="3"/>
  <c r="AZ154" i="47"/>
  <c r="S153" i="47"/>
  <c r="CE122" i="3"/>
  <c r="AK118" i="3"/>
  <c r="AY10" i="3"/>
  <c r="AY49" i="3" s="1"/>
  <c r="BT118" i="3"/>
  <c r="BT133" i="3"/>
  <c r="BT84" i="3"/>
  <c r="CF122" i="3"/>
  <c r="AK119" i="3"/>
  <c r="BH97" i="4"/>
  <c r="BR137" i="3"/>
  <c r="BT137" i="3"/>
  <c r="AZ134" i="3"/>
  <c r="BC134" i="3" s="1"/>
  <c r="CF137" i="3"/>
  <c r="AE119" i="3"/>
  <c r="AG110" i="47"/>
  <c r="BQ84" i="3"/>
  <c r="M88" i="4"/>
  <c r="AY60" i="4"/>
  <c r="AP16" i="3"/>
  <c r="AP13" i="3" s="1"/>
  <c r="AE133" i="3"/>
  <c r="AK105" i="47"/>
  <c r="BW85" i="3"/>
  <c r="AP12" i="3"/>
  <c r="AQ153" i="47"/>
  <c r="AQ109" i="47"/>
  <c r="AW110" i="47" s="1"/>
  <c r="AE109" i="47"/>
  <c r="AU41" i="4"/>
  <c r="AI40" i="47"/>
  <c r="AQ9" i="3"/>
  <c r="AP148" i="47"/>
  <c r="AP151" i="47" s="1"/>
  <c r="AP155" i="47" s="1"/>
  <c r="AJ40" i="47"/>
  <c r="Y95" i="4"/>
  <c r="BF40" i="4"/>
  <c r="BF42" i="4" s="1"/>
  <c r="Y109" i="47"/>
  <c r="AY41" i="4"/>
  <c r="BA143" i="3"/>
  <c r="AU142" i="3"/>
  <c r="AM141" i="3"/>
  <c r="BA128" i="3"/>
  <c r="AO128" i="3"/>
  <c r="AT128" i="3"/>
  <c r="AM92" i="3"/>
  <c r="AM97" i="3" s="1"/>
  <c r="AU127" i="3"/>
  <c r="CA18" i="47"/>
  <c r="Q127" i="1"/>
  <c r="Q129" i="1" s="1"/>
  <c r="AZ128" i="1"/>
  <c r="CG134" i="1"/>
  <c r="AK117" i="1"/>
  <c r="AE77" i="4"/>
  <c r="BQ133" i="3"/>
  <c r="CC134" i="3"/>
  <c r="O108" i="47"/>
  <c r="AM32" i="47"/>
  <c r="AU86" i="3"/>
  <c r="AY48" i="3"/>
  <c r="AE105" i="3"/>
  <c r="AE86" i="3" s="1"/>
  <c r="AE105" i="47"/>
  <c r="AU120" i="3"/>
  <c r="BA21" i="4"/>
  <c r="BA105" i="3" s="1"/>
  <c r="BA86" i="3" s="1"/>
  <c r="AE121" i="3"/>
  <c r="AK10" i="3"/>
  <c r="AD148" i="47"/>
  <c r="AD151" i="47" s="1"/>
  <c r="AD159" i="47" s="1"/>
  <c r="AD160" i="47" s="1"/>
  <c r="AE118" i="3"/>
  <c r="AB40" i="1"/>
  <c r="AB48" i="1" s="1"/>
  <c r="D116" i="1"/>
  <c r="BB40" i="1"/>
  <c r="BB69" i="1" s="1"/>
  <c r="BU18" i="47"/>
  <c r="CG15" i="47"/>
  <c r="CG59" i="47"/>
  <c r="BU56" i="47"/>
  <c r="BX62" i="47"/>
  <c r="BU86" i="47"/>
  <c r="CA23" i="47"/>
  <c r="BU61" i="47"/>
  <c r="CI6" i="47"/>
  <c r="AQ108" i="47"/>
  <c r="S88" i="4"/>
  <c r="AE104" i="3"/>
  <c r="AE85" i="3" s="1"/>
  <c r="AE88" i="4"/>
  <c r="BC39" i="4"/>
  <c r="BY85" i="3"/>
  <c r="BG41" i="4"/>
  <c r="BR119" i="3"/>
  <c r="BY134" i="3"/>
  <c r="AE10" i="3"/>
  <c r="AE13" i="3" s="1"/>
  <c r="AG49" i="3"/>
  <c r="AZ48" i="3"/>
  <c r="R96" i="4"/>
  <c r="R6" i="47" s="1"/>
  <c r="Y77" i="4"/>
  <c r="AE95" i="4"/>
  <c r="AE136" i="3"/>
  <c r="AP106" i="47"/>
  <c r="AQ88" i="4"/>
  <c r="AB96" i="4"/>
  <c r="BQ119" i="3"/>
  <c r="AW88" i="4"/>
  <c r="BA49" i="3"/>
  <c r="BE41" i="4"/>
  <c r="AZ13" i="3"/>
  <c r="CE118" i="3"/>
  <c r="AT120" i="3"/>
  <c r="AK9" i="3"/>
  <c r="AO15" i="3"/>
  <c r="AO148" i="47" s="1"/>
  <c r="AO151" i="47" s="1"/>
  <c r="AG12" i="3"/>
  <c r="BA41" i="4"/>
  <c r="AK134" i="3"/>
  <c r="BR85" i="3"/>
  <c r="AS133" i="3"/>
  <c r="G81" i="4"/>
  <c r="AD12" i="3"/>
  <c r="M77" i="4"/>
  <c r="BG40" i="4"/>
  <c r="AE120" i="3"/>
  <c r="M35" i="3"/>
  <c r="AZ124" i="3"/>
  <c r="X142" i="3"/>
  <c r="AP141" i="3"/>
  <c r="AE78" i="1"/>
  <c r="AZ143" i="3"/>
  <c r="D109" i="3"/>
  <c r="Q54" i="3"/>
  <c r="AI33" i="3"/>
  <c r="AZ139" i="3"/>
  <c r="D90" i="3"/>
  <c r="AI23" i="3"/>
  <c r="AZ90" i="3"/>
  <c r="AP126" i="3"/>
  <c r="S51" i="3"/>
  <c r="S78" i="1"/>
  <c r="AG148" i="3"/>
  <c r="AH147" i="3" s="1"/>
  <c r="AS94" i="3"/>
  <c r="AV141" i="3"/>
  <c r="D139" i="3"/>
  <c r="Q71" i="3"/>
  <c r="AZ109" i="3"/>
  <c r="AS93" i="3"/>
  <c r="AV94" i="3"/>
  <c r="AG54" i="3"/>
  <c r="AO92" i="3"/>
  <c r="AO97" i="3" s="1"/>
  <c r="AU54" i="3"/>
  <c r="BI31" i="3"/>
  <c r="X81" i="1"/>
  <c r="R81" i="1"/>
  <c r="E81" i="1"/>
  <c r="P81" i="1"/>
  <c r="AT135" i="3"/>
  <c r="AZ119" i="3"/>
  <c r="BC119" i="3" s="1"/>
  <c r="AT127" i="3"/>
  <c r="BB143" i="3"/>
  <c r="BG109" i="3"/>
  <c r="S65" i="3"/>
  <c r="AN132" i="3"/>
  <c r="S77" i="4"/>
  <c r="AS84" i="3"/>
  <c r="S105" i="47"/>
  <c r="AK109" i="47"/>
  <c r="S109" i="47"/>
  <c r="BQ85" i="3"/>
  <c r="AK120" i="3"/>
  <c r="BT119" i="3"/>
  <c r="BB49" i="3"/>
  <c r="O65" i="4"/>
  <c r="O66" i="4" s="1"/>
  <c r="BA4" i="47"/>
  <c r="AN102" i="3"/>
  <c r="AN83" i="3" s="1"/>
  <c r="V120" i="47"/>
  <c r="BW118" i="3"/>
  <c r="BT134" i="3"/>
  <c r="Y88" i="4"/>
  <c r="BA11" i="4"/>
  <c r="BA103" i="3" s="1"/>
  <c r="AH154" i="47"/>
  <c r="AN117" i="3"/>
  <c r="AU11" i="4"/>
  <c r="AU103" i="3" s="1"/>
  <c r="BI59" i="47"/>
  <c r="AN94" i="3"/>
  <c r="BG139" i="3"/>
  <c r="U54" i="3"/>
  <c r="AN143" i="3"/>
  <c r="BG124" i="3"/>
  <c r="AD81" i="1"/>
  <c r="BE143" i="3"/>
  <c r="AT93" i="3"/>
  <c r="Y39" i="47"/>
  <c r="BU112" i="1"/>
  <c r="L130" i="47"/>
  <c r="Q50" i="47"/>
  <c r="V5" i="47"/>
  <c r="V7" i="47" s="1"/>
  <c r="X50" i="47"/>
  <c r="BU59" i="47"/>
  <c r="AE75" i="47"/>
  <c r="AM26" i="47"/>
  <c r="AP90" i="47"/>
  <c r="CG49" i="47"/>
  <c r="CE84" i="3"/>
  <c r="BA137" i="3"/>
  <c r="BC137" i="3" s="1"/>
  <c r="AG154" i="47"/>
  <c r="AO7" i="3"/>
  <c r="BB25" i="3"/>
  <c r="AZ94" i="3"/>
  <c r="BG143" i="3"/>
  <c r="BB128" i="3"/>
  <c r="AS128" i="3"/>
  <c r="AE41" i="3"/>
  <c r="O90" i="3"/>
  <c r="AJ33" i="3"/>
  <c r="U33" i="3"/>
  <c r="AE80" i="1"/>
  <c r="Q81" i="1"/>
  <c r="AH40" i="47"/>
  <c r="AQ39" i="47"/>
  <c r="O110" i="47"/>
  <c r="W110" i="47"/>
  <c r="AN40" i="47"/>
  <c r="AP39" i="47"/>
  <c r="AP40" i="47" s="1"/>
  <c r="L65" i="4"/>
  <c r="L66" i="4" s="1"/>
  <c r="X106" i="47"/>
  <c r="AE108" i="47"/>
  <c r="AH129" i="1"/>
  <c r="CG112" i="1"/>
  <c r="AT129" i="1"/>
  <c r="D118" i="1"/>
  <c r="AQ137" i="3"/>
  <c r="AP97" i="3"/>
  <c r="AS142" i="3"/>
  <c r="AN126" i="3"/>
  <c r="AM94" i="3"/>
  <c r="AJ94" i="3"/>
  <c r="Q97" i="3"/>
  <c r="O97" i="3"/>
  <c r="AJ141" i="3"/>
  <c r="AK141" i="3" s="1"/>
  <c r="AQ121" i="3"/>
  <c r="AJ109" i="3"/>
  <c r="AU94" i="3"/>
  <c r="AU92" i="3"/>
  <c r="AV93" i="3"/>
  <c r="AM143" i="3"/>
  <c r="BF94" i="3"/>
  <c r="AU128" i="3"/>
  <c r="AJ127" i="3"/>
  <c r="AK127" i="3" s="1"/>
  <c r="AU126" i="3"/>
  <c r="AJ128" i="3"/>
  <c r="AK128" i="3" s="1"/>
  <c r="AV127" i="3"/>
  <c r="AP94" i="3"/>
  <c r="AN92" i="3"/>
  <c r="AT97" i="3" s="1"/>
  <c r="AJ124" i="3"/>
  <c r="BF143" i="3"/>
  <c r="AP124" i="3"/>
  <c r="AP128" i="3"/>
  <c r="O81" i="1"/>
  <c r="AV63" i="3"/>
  <c r="AQ136" i="3"/>
  <c r="AA81" i="1"/>
  <c r="AT126" i="3"/>
  <c r="AJ142" i="3"/>
  <c r="AK142" i="3" s="1"/>
  <c r="AT141" i="3"/>
  <c r="AJ126" i="3"/>
  <c r="AK126" i="3" s="1"/>
  <c r="Y66" i="3"/>
  <c r="AP139" i="3"/>
  <c r="BE97" i="4"/>
  <c r="AK7" i="3"/>
  <c r="AK79" i="1" s="1"/>
  <c r="R120" i="47"/>
  <c r="X125" i="47"/>
  <c r="AQ126" i="47"/>
  <c r="AW139" i="47"/>
  <c r="R121" i="47"/>
  <c r="R129" i="47"/>
  <c r="M145" i="47"/>
  <c r="G145" i="47"/>
  <c r="R131" i="47"/>
  <c r="R130" i="47"/>
  <c r="AK59" i="47"/>
  <c r="BR133" i="3"/>
  <c r="BR84" i="3"/>
  <c r="AH32" i="47"/>
  <c r="AN32" i="47"/>
  <c r="CA61" i="47"/>
  <c r="CA86" i="47"/>
  <c r="AB41" i="47"/>
  <c r="AH88" i="47"/>
  <c r="S75" i="47"/>
  <c r="S80" i="47"/>
  <c r="AS12" i="47"/>
  <c r="AS74" i="4"/>
  <c r="AY74" i="4" s="1"/>
  <c r="BZ118" i="3"/>
  <c r="BZ133" i="3"/>
  <c r="BZ84" i="3"/>
  <c r="P50" i="47"/>
  <c r="AV26" i="47"/>
  <c r="AC88" i="47"/>
  <c r="AI88" i="47"/>
  <c r="AT66" i="47"/>
  <c r="AZ66" i="47" s="1"/>
  <c r="AT38" i="47"/>
  <c r="AT23" i="47"/>
  <c r="AT4" i="47"/>
  <c r="AT5" i="47" s="1"/>
  <c r="AZ23" i="47"/>
  <c r="CG56" i="47"/>
  <c r="CF84" i="3"/>
  <c r="CF133" i="3"/>
  <c r="CF118" i="3"/>
  <c r="BS118" i="3"/>
  <c r="BS84" i="3"/>
  <c r="CC133" i="3"/>
  <c r="CC118" i="3"/>
  <c r="CC84" i="3"/>
  <c r="CE50" i="47"/>
  <c r="BW89" i="47"/>
  <c r="BW156" i="47"/>
  <c r="AQ145" i="47"/>
  <c r="BS50" i="47"/>
  <c r="CF50" i="47"/>
  <c r="BX50" i="47"/>
  <c r="CG18" i="47"/>
  <c r="AJ26" i="47"/>
  <c r="R106" i="47"/>
  <c r="AP88" i="47"/>
  <c r="AE85" i="47"/>
  <c r="AB50" i="47"/>
  <c r="AQ49" i="47"/>
  <c r="AK49" i="47"/>
  <c r="AM110" i="47"/>
  <c r="V50" i="47"/>
  <c r="S145" i="47"/>
  <c r="AS51" i="47"/>
  <c r="BE50" i="47"/>
  <c r="AO26" i="47"/>
  <c r="CA49" i="47"/>
  <c r="BR23" i="47"/>
  <c r="BR15" i="47"/>
  <c r="G86" i="47"/>
  <c r="G111" i="47" s="1"/>
  <c r="AM50" i="47"/>
  <c r="AG40" i="47"/>
  <c r="CF24" i="47"/>
  <c r="BB15" i="47"/>
  <c r="AE22" i="1"/>
  <c r="BF72" i="1"/>
  <c r="W81" i="1"/>
  <c r="CG126" i="1"/>
  <c r="F138" i="1"/>
  <c r="BU134" i="1"/>
  <c r="AE127" i="1"/>
  <c r="AB129" i="1"/>
  <c r="AC97" i="3"/>
  <c r="AJ90" i="3"/>
  <c r="AJ139" i="3"/>
  <c r="O124" i="3"/>
  <c r="AP90" i="3"/>
  <c r="AP109" i="3"/>
  <c r="AG33" i="3"/>
  <c r="S60" i="4"/>
  <c r="AQ122" i="3"/>
  <c r="AQ70" i="3"/>
  <c r="AS132" i="47"/>
  <c r="AN132" i="47"/>
  <c r="AH132" i="47"/>
  <c r="AB132" i="47"/>
  <c r="BF142" i="47"/>
  <c r="U132" i="47"/>
  <c r="AD125" i="47"/>
  <c r="AI132" i="47"/>
  <c r="AG88" i="47"/>
  <c r="K59" i="47"/>
  <c r="AB62" i="47"/>
  <c r="D132" i="47"/>
  <c r="BB125" i="47"/>
  <c r="L56" i="47"/>
  <c r="U62" i="47"/>
  <c r="AI62" i="47"/>
  <c r="AP123" i="47"/>
  <c r="BK50" i="47"/>
  <c r="AO41" i="47"/>
  <c r="AH62" i="47"/>
  <c r="AC24" i="47"/>
  <c r="AV131" i="47"/>
  <c r="X62" i="47"/>
  <c r="BM59" i="47"/>
  <c r="BM56" i="47"/>
  <c r="AE70" i="47"/>
  <c r="AM24" i="47"/>
  <c r="AP24" i="47"/>
  <c r="AJ41" i="47"/>
  <c r="AG24" i="47"/>
  <c r="AQ12" i="47"/>
  <c r="BC56" i="47"/>
  <c r="AT61" i="47"/>
  <c r="AU56" i="47"/>
  <c r="J59" i="47"/>
  <c r="BT12" i="47"/>
  <c r="I59" i="47"/>
  <c r="BW15" i="47"/>
  <c r="BZ24" i="47"/>
  <c r="AT25" i="47"/>
  <c r="AZ26" i="47" s="1"/>
  <c r="AZ27" i="47" s="1"/>
  <c r="AZ15" i="47"/>
  <c r="BF15" i="47"/>
  <c r="AT139" i="47"/>
  <c r="AU139" i="47"/>
  <c r="AD50" i="47"/>
  <c r="BX15" i="47"/>
  <c r="AY12" i="47"/>
  <c r="R50" i="47"/>
  <c r="AW18" i="47"/>
  <c r="AN26" i="47"/>
  <c r="BE132" i="47"/>
  <c r="AU132" i="47"/>
  <c r="AA132" i="47"/>
  <c r="K132" i="47"/>
  <c r="AZ132" i="47"/>
  <c r="P132" i="47"/>
  <c r="AO132" i="47"/>
  <c r="O132" i="47"/>
  <c r="F130" i="47"/>
  <c r="I132" i="47"/>
  <c r="F129" i="47"/>
  <c r="AY132" i="47"/>
  <c r="AM132" i="47"/>
  <c r="AS139" i="47"/>
  <c r="J132" i="47"/>
  <c r="Y116" i="47"/>
  <c r="F131" i="47"/>
  <c r="S126" i="47"/>
  <c r="AO88" i="47"/>
  <c r="AA74" i="47"/>
  <c r="AN88" i="47"/>
  <c r="AM88" i="47"/>
  <c r="AG90" i="47"/>
  <c r="AG62" i="47"/>
  <c r="L131" i="47"/>
  <c r="AP41" i="47"/>
  <c r="AK15" i="47"/>
  <c r="AT56" i="47"/>
  <c r="AK56" i="47"/>
  <c r="W41" i="47"/>
  <c r="AG26" i="47"/>
  <c r="AP62" i="47"/>
  <c r="J56" i="47"/>
  <c r="AD62" i="47"/>
  <c r="AP129" i="47"/>
  <c r="AO24" i="47"/>
  <c r="AH24" i="47"/>
  <c r="AH41" i="47"/>
  <c r="AC62" i="47"/>
  <c r="R12" i="47"/>
  <c r="AC90" i="47"/>
  <c r="BI56" i="47"/>
  <c r="X41" i="47"/>
  <c r="AN24" i="47"/>
  <c r="U41" i="47"/>
  <c r="BF62" i="47"/>
  <c r="AM41" i="47"/>
  <c r="AD41" i="47"/>
  <c r="K56" i="47"/>
  <c r="AP26" i="47"/>
  <c r="L59" i="47"/>
  <c r="AQ18" i="47"/>
  <c r="BW87" i="47"/>
  <c r="AN50" i="47"/>
  <c r="AB24" i="47"/>
  <c r="AS59" i="47"/>
  <c r="AI41" i="47"/>
  <c r="AV139" i="47"/>
  <c r="BA132" i="47"/>
  <c r="AG132" i="47"/>
  <c r="AS49" i="47"/>
  <c r="AS50" i="47" s="1"/>
  <c r="W62" i="47"/>
  <c r="V41" i="47"/>
  <c r="AT59" i="47"/>
  <c r="J129" i="1"/>
  <c r="AJ23" i="3"/>
  <c r="AU23" i="3"/>
  <c r="K128" i="1"/>
  <c r="AU127" i="1"/>
  <c r="AU129" i="1" s="1"/>
  <c r="AV40" i="1"/>
  <c r="AV69" i="1" s="1"/>
  <c r="AZ40" i="1"/>
  <c r="AZ69" i="1" s="1"/>
  <c r="I40" i="1"/>
  <c r="AW32" i="1"/>
  <c r="AT40" i="1"/>
  <c r="AT48" i="1" s="1"/>
  <c r="AS40" i="1"/>
  <c r="AS42" i="1" s="1"/>
  <c r="Y32" i="1"/>
  <c r="AG40" i="1"/>
  <c r="BC32" i="1"/>
  <c r="AP40" i="1"/>
  <c r="C32" i="1"/>
  <c r="F40" i="1"/>
  <c r="J40" i="1"/>
  <c r="D40" i="1"/>
  <c r="BI16" i="1"/>
  <c r="BI165" i="1" s="1"/>
  <c r="BI10" i="1"/>
  <c r="AJ40" i="1"/>
  <c r="AU40" i="1"/>
  <c r="AU42" i="1" s="1"/>
  <c r="AE32" i="1"/>
  <c r="G134" i="1"/>
  <c r="G135" i="1" s="1"/>
  <c r="I133" i="1" s="1"/>
  <c r="I134" i="1" s="1"/>
  <c r="M134" i="1" s="1"/>
  <c r="AC40" i="1"/>
  <c r="AC42" i="1" s="1"/>
  <c r="BF40" i="1"/>
  <c r="BF69" i="1" s="1"/>
  <c r="G32" i="1"/>
  <c r="AD40" i="1"/>
  <c r="S32" i="1"/>
  <c r="BA40" i="1"/>
  <c r="BA69" i="1" s="1"/>
  <c r="AH40" i="1"/>
  <c r="AH42" i="1" s="1"/>
  <c r="M32" i="1"/>
  <c r="AQ74" i="1"/>
  <c r="AQ32" i="1"/>
  <c r="U81" i="1"/>
  <c r="L81" i="1"/>
  <c r="BF22" i="1"/>
  <c r="BB127" i="1"/>
  <c r="BB128" i="1" s="1"/>
  <c r="AS84" i="1"/>
  <c r="BA138" i="1"/>
  <c r="AV117" i="1"/>
  <c r="AW117" i="1" s="1"/>
  <c r="L138" i="1"/>
  <c r="AQ138" i="1"/>
  <c r="F100" i="1"/>
  <c r="G100" i="1" s="1"/>
  <c r="L127" i="1"/>
  <c r="L128" i="1" s="1"/>
  <c r="AK138" i="1"/>
  <c r="AI127" i="1"/>
  <c r="W127" i="1"/>
  <c r="W129" i="1" s="1"/>
  <c r="X23" i="3"/>
  <c r="X117" i="1"/>
  <c r="K138" i="1"/>
  <c r="W117" i="1"/>
  <c r="CA134" i="1"/>
  <c r="BE84" i="1"/>
  <c r="BA127" i="1"/>
  <c r="BC127" i="1" s="1"/>
  <c r="AV138" i="1"/>
  <c r="BA117" i="1"/>
  <c r="AP138" i="1"/>
  <c r="AJ127" i="1"/>
  <c r="AJ128" i="1" s="1"/>
  <c r="R127" i="1"/>
  <c r="R129" i="1" s="1"/>
  <c r="E127" i="1"/>
  <c r="E129" i="1" s="1"/>
  <c r="Q138" i="1"/>
  <c r="AN84" i="1"/>
  <c r="AV113" i="1"/>
  <c r="AW113" i="1" s="1"/>
  <c r="AE138" i="1"/>
  <c r="L117" i="1"/>
  <c r="M117" i="1" s="1"/>
  <c r="Q100" i="1"/>
  <c r="BA110" i="1"/>
  <c r="BA111" i="1" s="1"/>
  <c r="AV127" i="1"/>
  <c r="AO138" i="1"/>
  <c r="AO110" i="1"/>
  <c r="G55" i="4"/>
  <c r="AN48" i="3"/>
  <c r="AN148" i="47"/>
  <c r="AN151" i="47" s="1"/>
  <c r="AN155" i="47" s="1"/>
  <c r="AN12" i="3"/>
  <c r="R93" i="1"/>
  <c r="R25" i="3"/>
  <c r="BG128" i="3"/>
  <c r="BE94" i="3"/>
  <c r="AK143" i="3"/>
  <c r="O109" i="3"/>
  <c r="O139" i="3"/>
  <c r="AN16" i="3"/>
  <c r="AN49" i="3" s="1"/>
  <c r="BB70" i="3"/>
  <c r="AC81" i="1"/>
  <c r="AG155" i="47"/>
  <c r="AG159" i="47"/>
  <c r="AG157" i="47" s="1"/>
  <c r="BC58" i="4"/>
  <c r="X127" i="3"/>
  <c r="AN7" i="3"/>
  <c r="AM7" i="3"/>
  <c r="AM79" i="1" s="1"/>
  <c r="AB81" i="1"/>
  <c r="D33" i="3"/>
  <c r="D54" i="3"/>
  <c r="R91" i="1"/>
  <c r="Y58" i="4"/>
  <c r="W151" i="47"/>
  <c r="Y93" i="4"/>
  <c r="K108" i="47"/>
  <c r="BI39" i="4"/>
  <c r="BE10" i="3"/>
  <c r="BG109" i="47"/>
  <c r="BM110" i="47" s="1"/>
  <c r="O120" i="47"/>
  <c r="G95" i="4"/>
  <c r="P65" i="4"/>
  <c r="P82" i="4" s="1"/>
  <c r="C6" i="4"/>
  <c r="W96" i="4"/>
  <c r="W6" i="47" s="1"/>
  <c r="M93" i="4"/>
  <c r="AU96" i="4"/>
  <c r="AC65" i="4"/>
  <c r="AC82" i="4" s="1"/>
  <c r="K120" i="47"/>
  <c r="BC19" i="4"/>
  <c r="S95" i="4"/>
  <c r="S120" i="47" s="1"/>
  <c r="AK152" i="47"/>
  <c r="AK153" i="47" s="1"/>
  <c r="AE149" i="47"/>
  <c r="AE150" i="47" s="1"/>
  <c r="AE151" i="47" s="1"/>
  <c r="AY159" i="47"/>
  <c r="AY160" i="47" s="1"/>
  <c r="C120" i="47"/>
  <c r="X111" i="47"/>
  <c r="AD32" i="47"/>
  <c r="O111" i="47"/>
  <c r="L106" i="47"/>
  <c r="K110" i="47"/>
  <c r="K106" i="47"/>
  <c r="L108" i="47"/>
  <c r="AA110" i="47"/>
  <c r="AC106" i="47"/>
  <c r="U106" i="47"/>
  <c r="AJ110" i="47"/>
  <c r="AH106" i="47"/>
  <c r="AA96" i="4"/>
  <c r="AK95" i="4"/>
  <c r="AK77" i="4"/>
  <c r="AM132" i="3"/>
  <c r="AM117" i="3"/>
  <c r="AM102" i="3"/>
  <c r="AM83" i="3" s="1"/>
  <c r="AB106" i="47"/>
  <c r="AU110" i="47"/>
  <c r="AT110" i="47"/>
  <c r="AN110" i="47"/>
  <c r="AO39" i="47"/>
  <c r="AO40" i="47" s="1"/>
  <c r="AK108" i="47"/>
  <c r="AN81" i="4"/>
  <c r="AN95" i="4"/>
  <c r="AN96" i="4" s="1"/>
  <c r="AN105" i="47"/>
  <c r="X65" i="4"/>
  <c r="R65" i="4"/>
  <c r="R82" i="4" s="1"/>
  <c r="AM106" i="47"/>
  <c r="AZ88" i="4"/>
  <c r="AZ109" i="47"/>
  <c r="AQ134" i="3"/>
  <c r="W65" i="4"/>
  <c r="W82" i="4" s="1"/>
  <c r="AI96" i="4"/>
  <c r="AH96" i="4"/>
  <c r="S81" i="4"/>
  <c r="AQ76" i="4"/>
  <c r="AQ105" i="47" s="1"/>
  <c r="I120" i="47"/>
  <c r="BA88" i="4"/>
  <c r="BA109" i="47"/>
  <c r="AM96" i="4"/>
  <c r="AD65" i="4"/>
  <c r="AD82" i="4" s="1"/>
  <c r="AD96" i="4"/>
  <c r="AS96" i="4"/>
  <c r="X96" i="4"/>
  <c r="X6" i="47" s="1"/>
  <c r="BB88" i="4"/>
  <c r="BB109" i="47"/>
  <c r="BH110" i="47" s="1"/>
  <c r="Q120" i="47"/>
  <c r="BF109" i="47"/>
  <c r="BL110" i="47" s="1"/>
  <c r="Y31" i="4"/>
  <c r="Y149" i="47"/>
  <c r="Y150" i="47" s="1"/>
  <c r="AQ41" i="4"/>
  <c r="S69" i="4"/>
  <c r="M152" i="47"/>
  <c r="X152" i="47"/>
  <c r="X153" i="47" s="1"/>
  <c r="P120" i="47"/>
  <c r="W120" i="47"/>
  <c r="J120" i="47"/>
  <c r="Q106" i="47"/>
  <c r="P111" i="47"/>
  <c r="AK39" i="47"/>
  <c r="Y108" i="47"/>
  <c r="J108" i="47"/>
  <c r="AC110" i="47"/>
  <c r="AA106" i="47"/>
  <c r="U110" i="47"/>
  <c r="R110" i="47"/>
  <c r="AV110" i="47"/>
  <c r="AO110" i="47"/>
  <c r="AO106" i="47"/>
  <c r="AH110" i="47"/>
  <c r="AJ106" i="47"/>
  <c r="R6" i="4"/>
  <c r="X69" i="4" s="1"/>
  <c r="D6" i="4"/>
  <c r="J65" i="4"/>
  <c r="AZ155" i="47"/>
  <c r="AD110" i="47"/>
  <c r="AD106" i="47"/>
  <c r="AS110" i="47"/>
  <c r="AP110" i="47"/>
  <c r="AM39" i="47"/>
  <c r="AM40" i="47" s="1"/>
  <c r="Q111" i="47"/>
  <c r="L110" i="47"/>
  <c r="AG96" i="4"/>
  <c r="L96" i="4"/>
  <c r="L6" i="47" s="1"/>
  <c r="L6" i="4"/>
  <c r="F6" i="4"/>
  <c r="CD46" i="4"/>
  <c r="CD45" i="4" s="1"/>
  <c r="BX46" i="4"/>
  <c r="BX45" i="4" s="1"/>
  <c r="BO44" i="4"/>
  <c r="BO46" i="4" s="1"/>
  <c r="V110" i="47"/>
  <c r="V106" i="47"/>
  <c r="AG106" i="47"/>
  <c r="G31" i="3"/>
  <c r="AW111" i="3"/>
  <c r="AW92" i="3" s="1"/>
  <c r="AW97" i="3" s="1"/>
  <c r="G46" i="3"/>
  <c r="G92" i="1"/>
  <c r="G54" i="4"/>
  <c r="AP112" i="3"/>
  <c r="AP93" i="3" s="1"/>
  <c r="BE112" i="3"/>
  <c r="BE127" i="3" s="1"/>
  <c r="BA111" i="3"/>
  <c r="BA126" i="3" s="1"/>
  <c r="AM51" i="3"/>
  <c r="AH97" i="3"/>
  <c r="AW113" i="3"/>
  <c r="AW94" i="3" s="1"/>
  <c r="AK111" i="3"/>
  <c r="AK92" i="3" s="1"/>
  <c r="AQ97" i="3" s="1"/>
  <c r="AJ48" i="3"/>
  <c r="AJ148" i="47"/>
  <c r="AJ151" i="47" s="1"/>
  <c r="AP6" i="1"/>
  <c r="S31" i="3"/>
  <c r="AY112" i="3"/>
  <c r="AY127" i="3" s="1"/>
  <c r="I70" i="3"/>
  <c r="C91" i="1"/>
  <c r="C93" i="1"/>
  <c r="Y35" i="3"/>
  <c r="AY70" i="3"/>
  <c r="AY93" i="1"/>
  <c r="AY91" i="1"/>
  <c r="BE93" i="1"/>
  <c r="BE91" i="1"/>
  <c r="AK112" i="3"/>
  <c r="AK93" i="3" s="1"/>
  <c r="AT63" i="3"/>
  <c r="AH155" i="47"/>
  <c r="AG85" i="1"/>
  <c r="AJ2" i="47"/>
  <c r="AJ5" i="4"/>
  <c r="Y2" i="47"/>
  <c r="I81" i="1"/>
  <c r="D81" i="1"/>
  <c r="AK94" i="1"/>
  <c r="AH159" i="47"/>
  <c r="AU63" i="3"/>
  <c r="AZ112" i="3"/>
  <c r="Y31" i="3"/>
  <c r="Q23" i="3"/>
  <c r="G12" i="3"/>
  <c r="AJ80" i="1"/>
  <c r="AJ79" i="1"/>
  <c r="AJ78" i="1"/>
  <c r="AG80" i="1"/>
  <c r="AG79" i="1"/>
  <c r="AG78" i="1"/>
  <c r="AS6" i="3"/>
  <c r="AR6" i="2" s="1"/>
  <c r="AM6" i="1"/>
  <c r="BO2" i="47"/>
  <c r="BO5" i="4"/>
  <c r="BC2" i="47"/>
  <c r="BC5" i="4"/>
  <c r="AQ5" i="4"/>
  <c r="AQ2" i="47"/>
  <c r="G2" i="47"/>
  <c r="G5" i="4"/>
  <c r="J81" i="1"/>
  <c r="AQ94" i="1"/>
  <c r="AQ93" i="1"/>
  <c r="L55" i="4"/>
  <c r="BB91" i="1"/>
  <c r="BB93" i="1"/>
  <c r="Y148" i="47"/>
  <c r="AB149" i="3"/>
  <c r="AQ119" i="3"/>
  <c r="AZ111" i="3"/>
  <c r="AZ141" i="3" s="1"/>
  <c r="AW112" i="3"/>
  <c r="AW93" i="3" s="1"/>
  <c r="AQ51" i="3"/>
  <c r="AI97" i="3"/>
  <c r="AQ113" i="3"/>
  <c r="AQ94" i="3" s="1"/>
  <c r="BA70" i="3"/>
  <c r="BA93" i="1"/>
  <c r="BA91" i="1"/>
  <c r="AM12" i="3"/>
  <c r="AM148" i="47"/>
  <c r="AM151" i="47" s="1"/>
  <c r="AN112" i="3"/>
  <c r="AN142" i="3" s="1"/>
  <c r="X70" i="3"/>
  <c r="X93" i="1"/>
  <c r="X91" i="1"/>
  <c r="AY113" i="3"/>
  <c r="AY143" i="3" s="1"/>
  <c r="S148" i="47"/>
  <c r="S151" i="47" s="1"/>
  <c r="L148" i="47"/>
  <c r="AD70" i="3"/>
  <c r="BB112" i="3"/>
  <c r="BB142" i="3" s="1"/>
  <c r="G19" i="3"/>
  <c r="F95" i="2" s="1"/>
  <c r="F97" i="2" s="1"/>
  <c r="F99" i="2" s="1"/>
  <c r="AI16" i="3"/>
  <c r="AI49" i="3" s="1"/>
  <c r="AI148" i="47"/>
  <c r="AI151" i="47" s="1"/>
  <c r="L68" i="3"/>
  <c r="AY111" i="3"/>
  <c r="AY126" i="3" s="1"/>
  <c r="L93" i="1"/>
  <c r="L91" i="1"/>
  <c r="AA70" i="3"/>
  <c r="AA91" i="1"/>
  <c r="AA93" i="1"/>
  <c r="AK113" i="3"/>
  <c r="AK94" i="3" s="1"/>
  <c r="AK68" i="3"/>
  <c r="AC48" i="3"/>
  <c r="AC148" i="47"/>
  <c r="AC151" i="47" s="1"/>
  <c r="AC159" i="47" s="1"/>
  <c r="AC157" i="47" s="1"/>
  <c r="M79" i="1"/>
  <c r="Y80" i="1"/>
  <c r="BE85" i="1"/>
  <c r="AH5" i="4"/>
  <c r="AH2" i="47"/>
  <c r="M5" i="4"/>
  <c r="M2" i="47"/>
  <c r="K81" i="1"/>
  <c r="F81" i="1"/>
  <c r="AW94" i="1"/>
  <c r="AQ91" i="1"/>
  <c r="M80" i="1"/>
  <c r="Y79" i="1"/>
  <c r="BE52" i="4"/>
  <c r="BE50" i="4" s="1"/>
  <c r="BE22" i="4"/>
  <c r="BE12" i="4"/>
  <c r="BE47" i="4"/>
  <c r="BE45" i="4" s="1"/>
  <c r="BE32" i="4"/>
  <c r="BE30" i="4" s="1"/>
  <c r="BE17" i="4"/>
  <c r="M31" i="3"/>
  <c r="AZ70" i="3"/>
  <c r="AZ91" i="1"/>
  <c r="AZ93" i="1"/>
  <c r="AH80" i="1"/>
  <c r="AH79" i="1"/>
  <c r="AH78" i="1"/>
  <c r="AT6" i="3"/>
  <c r="AS6" i="2" s="1"/>
  <c r="AN6" i="1"/>
  <c r="AI80" i="1"/>
  <c r="AI79" i="1"/>
  <c r="AI78" i="1"/>
  <c r="AU6" i="3"/>
  <c r="AT6" i="2" s="1"/>
  <c r="AO6" i="1"/>
  <c r="BU2" i="47"/>
  <c r="BU5" i="4"/>
  <c r="BI2" i="47"/>
  <c r="BI5" i="4"/>
  <c r="AW5" i="4"/>
  <c r="AW2" i="47"/>
  <c r="S2" i="47"/>
  <c r="S5" i="4"/>
  <c r="AW91" i="1"/>
  <c r="AK91" i="1"/>
  <c r="S80" i="1"/>
  <c r="G94" i="1"/>
  <c r="AE58" i="4"/>
  <c r="Y55" i="4"/>
  <c r="BA112" i="3"/>
  <c r="AO112" i="3"/>
  <c r="BB111" i="3"/>
  <c r="BA100" i="1"/>
  <c r="AY85" i="1"/>
  <c r="K100" i="1"/>
  <c r="AV110" i="1"/>
  <c r="W110" i="1"/>
  <c r="K110" i="1"/>
  <c r="AM84" i="1"/>
  <c r="AM85" i="1"/>
  <c r="AO100" i="1"/>
  <c r="BB110" i="1"/>
  <c r="AG84" i="1"/>
  <c r="Q110" i="1"/>
  <c r="AI110" i="1"/>
  <c r="AO127" i="1"/>
  <c r="E110" i="1"/>
  <c r="AO117" i="1"/>
  <c r="W100" i="1"/>
  <c r="E138" i="1"/>
  <c r="AS85" i="1"/>
  <c r="E117" i="1"/>
  <c r="AA69" i="1"/>
  <c r="L97" i="1"/>
  <c r="K104" i="1"/>
  <c r="AV75" i="1"/>
  <c r="AV22" i="1"/>
  <c r="AV72" i="1"/>
  <c r="R104" i="1"/>
  <c r="BC47" i="1"/>
  <c r="Q69" i="1"/>
  <c r="X97" i="1"/>
  <c r="W104" i="1"/>
  <c r="AE75" i="1"/>
  <c r="V128" i="1"/>
  <c r="E69" i="1"/>
  <c r="BA104" i="1"/>
  <c r="BB97" i="1"/>
  <c r="AN69" i="1"/>
  <c r="AN42" i="1"/>
  <c r="AM69" i="1"/>
  <c r="AM42" i="1"/>
  <c r="BF47" i="1"/>
  <c r="R97" i="1"/>
  <c r="Q104" i="1"/>
  <c r="AG104" i="1"/>
  <c r="AH97" i="1"/>
  <c r="AH102" i="1" s="1"/>
  <c r="BE69" i="1"/>
  <c r="BE42" i="1"/>
  <c r="AE72" i="1"/>
  <c r="AM48" i="1"/>
  <c r="I104" i="1"/>
  <c r="J97" i="1"/>
  <c r="BC75" i="1"/>
  <c r="BC72" i="1"/>
  <c r="BC22" i="1"/>
  <c r="AO48" i="1"/>
  <c r="AO97" i="1"/>
  <c r="AN104" i="1"/>
  <c r="CR4" i="3"/>
  <c r="CR5" i="3"/>
  <c r="AE47" i="1"/>
  <c r="AS104" i="1"/>
  <c r="AT97" i="1"/>
  <c r="AT102" i="1" s="1"/>
  <c r="O69" i="1"/>
  <c r="AQ75" i="1"/>
  <c r="AQ72" i="1"/>
  <c r="AQ22" i="1"/>
  <c r="BE104" i="1"/>
  <c r="BF97" i="1"/>
  <c r="BF102" i="1" s="1"/>
  <c r="AW74" i="1"/>
  <c r="Q97" i="1"/>
  <c r="P104" i="1"/>
  <c r="AM104" i="1"/>
  <c r="AN97" i="1"/>
  <c r="AN102" i="1" s="1"/>
  <c r="BI35" i="1"/>
  <c r="E104" i="1"/>
  <c r="F97" i="1"/>
  <c r="AY69" i="1"/>
  <c r="AW47" i="1"/>
  <c r="AK74" i="1"/>
  <c r="AK32" i="1"/>
  <c r="AK73" i="1"/>
  <c r="P69" i="1"/>
  <c r="AA104" i="1"/>
  <c r="AB97" i="1"/>
  <c r="L104" i="1"/>
  <c r="U104" i="1"/>
  <c r="V97" i="1"/>
  <c r="AI69" i="1"/>
  <c r="AI42" i="1"/>
  <c r="AE74" i="1"/>
  <c r="BI37" i="1"/>
  <c r="BK101" i="1" s="1"/>
  <c r="BO101" i="1" s="1"/>
  <c r="BC74" i="1"/>
  <c r="O104" i="1"/>
  <c r="P97" i="1"/>
  <c r="CA112" i="1"/>
  <c r="AW73" i="1"/>
  <c r="AZ72" i="1"/>
  <c r="AZ22" i="1"/>
  <c r="AZ75" i="1"/>
  <c r="V69" i="1"/>
  <c r="U69" i="1"/>
  <c r="AE73" i="1"/>
  <c r="AO42" i="1"/>
  <c r="AO69" i="1"/>
  <c r="K129" i="1"/>
  <c r="BE48" i="1"/>
  <c r="AU104" i="1"/>
  <c r="AV97" i="1"/>
  <c r="AV102" i="1" s="1"/>
  <c r="AU97" i="1"/>
  <c r="AU102" i="1" s="1"/>
  <c r="AT104" i="1"/>
  <c r="AI102" i="1"/>
  <c r="AI104" i="1"/>
  <c r="AJ97" i="1"/>
  <c r="AJ102" i="1" s="1"/>
  <c r="G103" i="1"/>
  <c r="BC73" i="1"/>
  <c r="CA126" i="1"/>
  <c r="AO104" i="1"/>
  <c r="AP97" i="1"/>
  <c r="L69" i="1"/>
  <c r="AC128" i="1"/>
  <c r="AC129" i="1"/>
  <c r="AN48" i="1"/>
  <c r="AK75" i="1"/>
  <c r="AK22" i="1"/>
  <c r="AK72" i="1"/>
  <c r="K69" i="1"/>
  <c r="AI48" i="1"/>
  <c r="R69" i="1"/>
  <c r="AY104" i="1"/>
  <c r="AZ97" i="1"/>
  <c r="AZ102" i="1" s="1"/>
  <c r="W69" i="1"/>
  <c r="AE121" i="47"/>
  <c r="AE129" i="47"/>
  <c r="AE131" i="47"/>
  <c r="CD89" i="47"/>
  <c r="CD87" i="47"/>
  <c r="E132" i="47"/>
  <c r="AJ125" i="47"/>
  <c r="AW96" i="47"/>
  <c r="AW72" i="47"/>
  <c r="AW73" i="47" s="1"/>
  <c r="AU26" i="47"/>
  <c r="BY15" i="47"/>
  <c r="BS15" i="47"/>
  <c r="K111" i="47"/>
  <c r="K23" i="47"/>
  <c r="K24" i="47" s="1"/>
  <c r="K4" i="47"/>
  <c r="K61" i="47"/>
  <c r="K38" i="47"/>
  <c r="Q41" i="47" s="1"/>
  <c r="I56" i="47"/>
  <c r="AP50" i="47"/>
  <c r="M107" i="47"/>
  <c r="M14" i="47"/>
  <c r="M15" i="47" s="1"/>
  <c r="M57" i="47"/>
  <c r="O50" i="47"/>
  <c r="J110" i="47"/>
  <c r="P110" i="47"/>
  <c r="AT132" i="47"/>
  <c r="AY155" i="47"/>
  <c r="AY154" i="47"/>
  <c r="L156" i="47"/>
  <c r="L87" i="47"/>
  <c r="L70" i="47"/>
  <c r="L75" i="47"/>
  <c r="R87" i="47"/>
  <c r="AB88" i="47"/>
  <c r="BA136" i="47"/>
  <c r="BA138" i="47" s="1"/>
  <c r="BA142" i="47"/>
  <c r="BG79" i="47"/>
  <c r="AQ124" i="47"/>
  <c r="C132" i="47"/>
  <c r="BC76" i="47"/>
  <c r="BE79" i="47"/>
  <c r="BC61" i="47"/>
  <c r="CI12" i="47"/>
  <c r="AE39" i="47"/>
  <c r="CA56" i="47"/>
  <c r="AT51" i="47"/>
  <c r="AT49" i="47"/>
  <c r="AT50" i="47" s="1"/>
  <c r="AA26" i="47"/>
  <c r="U26" i="47"/>
  <c r="AI32" i="47"/>
  <c r="AO32" i="47"/>
  <c r="G105" i="47"/>
  <c r="G37" i="47"/>
  <c r="BM86" i="47"/>
  <c r="BM156" i="47" s="1"/>
  <c r="BM61" i="47"/>
  <c r="BM25" i="47"/>
  <c r="BY26" i="47" s="1"/>
  <c r="BY27" i="47" s="1"/>
  <c r="BY62" i="47"/>
  <c r="L111" i="47"/>
  <c r="L23" i="47"/>
  <c r="L24" i="47" s="1"/>
  <c r="L38" i="47"/>
  <c r="L4" i="47"/>
  <c r="R23" i="47"/>
  <c r="L61" i="47"/>
  <c r="AJ5" i="47"/>
  <c r="AP5" i="47"/>
  <c r="C111" i="47"/>
  <c r="C61" i="47"/>
  <c r="C4" i="47"/>
  <c r="C38" i="47"/>
  <c r="R15" i="47"/>
  <c r="X15" i="47"/>
  <c r="M105" i="47"/>
  <c r="M11" i="47"/>
  <c r="M12" i="47" s="1"/>
  <c r="S11" i="47"/>
  <c r="Y12" i="47" s="1"/>
  <c r="M37" i="47"/>
  <c r="S39" i="47" s="1"/>
  <c r="P18" i="47"/>
  <c r="BB123" i="47"/>
  <c r="O97" i="47"/>
  <c r="AQ156" i="47"/>
  <c r="AQ111" i="47"/>
  <c r="AQ89" i="47"/>
  <c r="AQ87" i="47"/>
  <c r="AQ70" i="47"/>
  <c r="I87" i="47"/>
  <c r="I156" i="47"/>
  <c r="AQ75" i="47"/>
  <c r="BH79" i="47"/>
  <c r="AU51" i="47"/>
  <c r="BA49" i="47"/>
  <c r="AU49" i="47"/>
  <c r="AU50" i="47" s="1"/>
  <c r="AA62" i="47"/>
  <c r="BC59" i="47"/>
  <c r="CE15" i="4"/>
  <c r="CE16" i="4" s="1"/>
  <c r="CE104" i="3" s="1"/>
  <c r="F111" i="47"/>
  <c r="F61" i="47"/>
  <c r="F38" i="47"/>
  <c r="F4" i="47"/>
  <c r="AI24" i="47"/>
  <c r="AQ122" i="47"/>
  <c r="BY50" i="47"/>
  <c r="AK61" i="47"/>
  <c r="AK31" i="47"/>
  <c r="AQ32" i="47" s="1"/>
  <c r="AK38" i="47"/>
  <c r="AK4" i="47"/>
  <c r="AQ5" i="47" s="1"/>
  <c r="AK23" i="47"/>
  <c r="BN86" i="47"/>
  <c r="BT89" i="47" s="1"/>
  <c r="CF26" i="47"/>
  <c r="CF27" i="47" s="1"/>
  <c r="BE24" i="47"/>
  <c r="X7" i="47"/>
  <c r="AO50" i="47"/>
  <c r="G107" i="47"/>
  <c r="G57" i="47"/>
  <c r="Y15" i="47"/>
  <c r="I110" i="47"/>
  <c r="AE61" i="47"/>
  <c r="AE23" i="47"/>
  <c r="AE4" i="47"/>
  <c r="AE38" i="47"/>
  <c r="AC50" i="47"/>
  <c r="AM62" i="47"/>
  <c r="G109" i="47"/>
  <c r="G60" i="47"/>
  <c r="G42" i="47"/>
  <c r="G22" i="47"/>
  <c r="O12" i="47"/>
  <c r="U12" i="47"/>
  <c r="P15" i="47"/>
  <c r="V15" i="47"/>
  <c r="I108" i="47"/>
  <c r="Q18" i="47"/>
  <c r="AW126" i="47"/>
  <c r="AY142" i="47"/>
  <c r="AV142" i="47"/>
  <c r="BB135" i="47"/>
  <c r="AV48" i="47"/>
  <c r="M96" i="47"/>
  <c r="S72" i="47"/>
  <c r="M72" i="47"/>
  <c r="AK122" i="47"/>
  <c r="AK119" i="47"/>
  <c r="AK129" i="47" s="1"/>
  <c r="Y139" i="47"/>
  <c r="AY138" i="47"/>
  <c r="Y61" i="47"/>
  <c r="Y23" i="47"/>
  <c r="Y38" i="47"/>
  <c r="Y4" i="47"/>
  <c r="U50" i="47"/>
  <c r="AA50" i="47"/>
  <c r="AK156" i="47"/>
  <c r="AK111" i="47"/>
  <c r="AK89" i="47"/>
  <c r="AK87" i="47"/>
  <c r="AK85" i="47"/>
  <c r="AK70" i="47"/>
  <c r="AK80" i="47"/>
  <c r="BC122" i="47"/>
  <c r="BI123" i="47" s="1"/>
  <c r="I111" i="47"/>
  <c r="I61" i="47"/>
  <c r="I38" i="47"/>
  <c r="I23" i="47"/>
  <c r="I24" i="47" s="1"/>
  <c r="O23" i="47"/>
  <c r="I4" i="47"/>
  <c r="AU74" i="4"/>
  <c r="AU12" i="47"/>
  <c r="BB121" i="47"/>
  <c r="BC119" i="47"/>
  <c r="BC129" i="47" s="1"/>
  <c r="BB129" i="47"/>
  <c r="AG74" i="47"/>
  <c r="AE130" i="47"/>
  <c r="AE124" i="47"/>
  <c r="AK124" i="47"/>
  <c r="AI90" i="47"/>
  <c r="M67" i="47"/>
  <c r="M93" i="47"/>
  <c r="S67" i="47"/>
  <c r="BZ15" i="47"/>
  <c r="BT15" i="47"/>
  <c r="AA41" i="47"/>
  <c r="AG41" i="47"/>
  <c r="AO62" i="47"/>
  <c r="AV38" i="47"/>
  <c r="AV37" i="47"/>
  <c r="AV66" i="47"/>
  <c r="BB66" i="47" s="1"/>
  <c r="AV4" i="47"/>
  <c r="BB23" i="47"/>
  <c r="AV23" i="47"/>
  <c r="AS61" i="47"/>
  <c r="AS66" i="47"/>
  <c r="AY66" i="47" s="1"/>
  <c r="AS23" i="47"/>
  <c r="AS31" i="47"/>
  <c r="AS25" i="47"/>
  <c r="AY26" i="47" s="1"/>
  <c r="AS4" i="47"/>
  <c r="AS38" i="47"/>
  <c r="AK139" i="47"/>
  <c r="AQ139" i="47"/>
  <c r="F120" i="47"/>
  <c r="F121" i="47"/>
  <c r="M86" i="47"/>
  <c r="AO90" i="47"/>
  <c r="AG69" i="47"/>
  <c r="AZ49" i="47"/>
  <c r="AA24" i="47"/>
  <c r="Y156" i="47"/>
  <c r="Y89" i="47"/>
  <c r="Y87" i="47"/>
  <c r="Y75" i="47"/>
  <c r="AD24" i="47"/>
  <c r="CF89" i="47"/>
  <c r="CF87" i="47"/>
  <c r="AN62" i="47"/>
  <c r="AJ90" i="47"/>
  <c r="CG86" i="47"/>
  <c r="CG61" i="47"/>
  <c r="CJ22" i="47"/>
  <c r="CG23" i="47"/>
  <c r="AI5" i="47"/>
  <c r="O15" i="47"/>
  <c r="BE15" i="47"/>
  <c r="AY15" i="47"/>
  <c r="O106" i="47"/>
  <c r="I106" i="47"/>
  <c r="D111" i="47"/>
  <c r="D38" i="47"/>
  <c r="D61" i="47"/>
  <c r="D4" i="47"/>
  <c r="BR156" i="47"/>
  <c r="BC124" i="47"/>
  <c r="BI125" i="47" s="1"/>
  <c r="AJ121" i="47"/>
  <c r="AJ131" i="47"/>
  <c r="W132" i="47"/>
  <c r="M126" i="47"/>
  <c r="AD122" i="47"/>
  <c r="AJ123" i="47" s="1"/>
  <c r="X122" i="47"/>
  <c r="X123" i="47" s="1"/>
  <c r="X119" i="47"/>
  <c r="S121" i="47"/>
  <c r="S130" i="47"/>
  <c r="BF138" i="47"/>
  <c r="BL139" i="47" s="1"/>
  <c r="AM90" i="47"/>
  <c r="BF79" i="47"/>
  <c r="BO18" i="47"/>
  <c r="AB90" i="47"/>
  <c r="Q97" i="47"/>
  <c r="Y80" i="47"/>
  <c r="AP121" i="47"/>
  <c r="AP131" i="47"/>
  <c r="AC41" i="47"/>
  <c r="AN7" i="47"/>
  <c r="X26" i="47"/>
  <c r="AD26" i="47"/>
  <c r="CD24" i="47"/>
  <c r="V62" i="47"/>
  <c r="AQ15" i="47"/>
  <c r="V12" i="47"/>
  <c r="AK75" i="47"/>
  <c r="CI116" i="47"/>
  <c r="Y70" i="47"/>
  <c r="BI61" i="47"/>
  <c r="BI86" i="47"/>
  <c r="BI156" i="47" s="1"/>
  <c r="BI23" i="47"/>
  <c r="BR12" i="47"/>
  <c r="AM7" i="47"/>
  <c r="Q12" i="47"/>
  <c r="AJ24" i="47"/>
  <c r="CE24" i="47"/>
  <c r="BZ62" i="47"/>
  <c r="P106" i="47"/>
  <c r="J106" i="47"/>
  <c r="BO57" i="47"/>
  <c r="BO14" i="47"/>
  <c r="BO15" i="47" s="1"/>
  <c r="AJ88" i="47"/>
  <c r="S156" i="47"/>
  <c r="S111" i="47"/>
  <c r="S85" i="47"/>
  <c r="S70" i="47"/>
  <c r="BE142" i="47"/>
  <c r="BE136" i="47"/>
  <c r="BI136" i="47" s="1"/>
  <c r="BX89" i="47"/>
  <c r="BX87" i="47"/>
  <c r="AV143" i="47"/>
  <c r="AW143" i="47" s="1"/>
  <c r="AY143" i="47"/>
  <c r="Y124" i="47"/>
  <c r="Y125" i="47" s="1"/>
  <c r="CC24" i="47"/>
  <c r="O18" i="47"/>
  <c r="U18" i="47"/>
  <c r="BG173" i="47"/>
  <c r="BG175" i="47" s="1"/>
  <c r="BG177" i="47" s="1"/>
  <c r="BI171" i="47"/>
  <c r="P97" i="47"/>
  <c r="BG62" i="47"/>
  <c r="AT12" i="47"/>
  <c r="AT74" i="4"/>
  <c r="J156" i="47"/>
  <c r="J87" i="47"/>
  <c r="P87" i="47"/>
  <c r="AC7" i="47"/>
  <c r="BS23" i="47"/>
  <c r="AJ32" i="47"/>
  <c r="AP32" i="47"/>
  <c r="CE62" i="47"/>
  <c r="BL169" i="47"/>
  <c r="BM169" i="47" s="1"/>
  <c r="BK171" i="47"/>
  <c r="BQ169" i="47"/>
  <c r="AW122" i="47"/>
  <c r="AJ130" i="47"/>
  <c r="BB130" i="47"/>
  <c r="AJ129" i="47"/>
  <c r="BC126" i="47"/>
  <c r="AC132" i="47"/>
  <c r="L121" i="47"/>
  <c r="L120" i="47"/>
  <c r="AB123" i="47"/>
  <c r="AH123" i="47"/>
  <c r="I75" i="47"/>
  <c r="AE156" i="47"/>
  <c r="AE89" i="47"/>
  <c r="AE87" i="47"/>
  <c r="AS145" i="47"/>
  <c r="AW124" i="47"/>
  <c r="CC87" i="47"/>
  <c r="CC89" i="47"/>
  <c r="AE145" i="47"/>
  <c r="AW99" i="47"/>
  <c r="AW77" i="47"/>
  <c r="AW78" i="47" s="1"/>
  <c r="BQ50" i="47"/>
  <c r="BW50" i="47"/>
  <c r="K156" i="47"/>
  <c r="K87" i="47"/>
  <c r="Q87" i="47"/>
  <c r="Q23" i="47"/>
  <c r="J75" i="47"/>
  <c r="BE62" i="47"/>
  <c r="AV121" i="47"/>
  <c r="AV130" i="47"/>
  <c r="AN41" i="47"/>
  <c r="M109" i="47"/>
  <c r="M60" i="47"/>
  <c r="S17" i="47"/>
  <c r="M22" i="47"/>
  <c r="S23" i="47" s="1"/>
  <c r="M17" i="47"/>
  <c r="M18" i="47" s="1"/>
  <c r="M42" i="47"/>
  <c r="CD62" i="47"/>
  <c r="S61" i="47"/>
  <c r="S4" i="47"/>
  <c r="S38" i="47"/>
  <c r="S31" i="47"/>
  <c r="AY25" i="47"/>
  <c r="AS26" i="47"/>
  <c r="J111" i="47"/>
  <c r="J61" i="47"/>
  <c r="J23" i="47"/>
  <c r="J24" i="47" s="1"/>
  <c r="J38" i="47"/>
  <c r="P23" i="47"/>
  <c r="V24" i="47" s="1"/>
  <c r="J4" i="47"/>
  <c r="AJ62" i="47"/>
  <c r="CE89" i="47"/>
  <c r="CE87" i="47"/>
  <c r="BA12" i="47"/>
  <c r="BC11" i="47"/>
  <c r="AW11" i="47"/>
  <c r="AW12" i="47" s="1"/>
  <c r="V18" i="47"/>
  <c r="W12" i="47"/>
  <c r="BZ87" i="47"/>
  <c r="BZ89" i="47"/>
  <c r="BY87" i="47"/>
  <c r="BZ119" i="3"/>
  <c r="BZ85" i="3"/>
  <c r="BZ134" i="3"/>
  <c r="AN105" i="4"/>
  <c r="AN109" i="4" s="1"/>
  <c r="AN58" i="4" s="1"/>
  <c r="AH65" i="4"/>
  <c r="AV96" i="4"/>
  <c r="AP96" i="4"/>
  <c r="AQ105" i="3"/>
  <c r="AQ86" i="3" s="1"/>
  <c r="AW9" i="4"/>
  <c r="AW115" i="4" s="1"/>
  <c r="AT6" i="4"/>
  <c r="AT11" i="4"/>
  <c r="AZ11" i="4"/>
  <c r="I96" i="4"/>
  <c r="I6" i="47" s="1"/>
  <c r="I6" i="4"/>
  <c r="AP102" i="3"/>
  <c r="AP83" i="3" s="1"/>
  <c r="AP132" i="3"/>
  <c r="AP117" i="3"/>
  <c r="AI132" i="3"/>
  <c r="AI117" i="3"/>
  <c r="AI102" i="3"/>
  <c r="AI83" i="3" s="1"/>
  <c r="AW107" i="3"/>
  <c r="AW88" i="3" s="1"/>
  <c r="BS134" i="3"/>
  <c r="BS119" i="3"/>
  <c r="BS85" i="3"/>
  <c r="S93" i="4"/>
  <c r="AB122" i="3"/>
  <c r="AB107" i="3"/>
  <c r="AB88" i="3" s="1"/>
  <c r="AB137" i="3"/>
  <c r="AJ132" i="3"/>
  <c r="AJ102" i="3"/>
  <c r="AJ83" i="3" s="1"/>
  <c r="AJ117" i="3"/>
  <c r="K65" i="4"/>
  <c r="Q65" i="4"/>
  <c r="BZ137" i="3"/>
  <c r="BZ88" i="3"/>
  <c r="BZ122" i="3"/>
  <c r="AT51" i="4"/>
  <c r="AZ51" i="4"/>
  <c r="AW49" i="4"/>
  <c r="AQ107" i="3"/>
  <c r="AQ88" i="3" s="1"/>
  <c r="AE31" i="4"/>
  <c r="AA107" i="3"/>
  <c r="AA122" i="3"/>
  <c r="AA137" i="3"/>
  <c r="AK107" i="3"/>
  <c r="AK88" i="3" s="1"/>
  <c r="BA88" i="3"/>
  <c r="BB65" i="4"/>
  <c r="BH66" i="4" s="1"/>
  <c r="K96" i="4"/>
  <c r="K6" i="47" s="1"/>
  <c r="K6" i="4"/>
  <c r="AW46" i="4"/>
  <c r="BC46" i="4"/>
  <c r="BW133" i="3"/>
  <c r="AE106" i="3"/>
  <c r="AE87" i="3" s="1"/>
  <c r="BG88" i="4"/>
  <c r="AY65" i="4"/>
  <c r="AE81" i="4"/>
  <c r="AP105" i="4"/>
  <c r="AP109" i="4" s="1"/>
  <c r="AP58" i="4" s="1"/>
  <c r="AJ65" i="4"/>
  <c r="Q96" i="4"/>
  <c r="Q6" i="47" s="1"/>
  <c r="Q6" i="4"/>
  <c r="BF65" i="4"/>
  <c r="BL66" i="4" s="1"/>
  <c r="AD69" i="4"/>
  <c r="AT39" i="4"/>
  <c r="CD119" i="3"/>
  <c r="CD134" i="3"/>
  <c r="CD85" i="3"/>
  <c r="AJ133" i="3"/>
  <c r="AK133" i="3" s="1"/>
  <c r="AJ84" i="3"/>
  <c r="AQ104" i="3"/>
  <c r="AQ85" i="3" s="1"/>
  <c r="AG137" i="3"/>
  <c r="AK137" i="3" s="1"/>
  <c r="AG107" i="3"/>
  <c r="AG88" i="3" s="1"/>
  <c r="AG122" i="3"/>
  <c r="AK122" i="3" s="1"/>
  <c r="AO105" i="4"/>
  <c r="AO109" i="4" s="1"/>
  <c r="AO58" i="4" s="1"/>
  <c r="AI65" i="4"/>
  <c r="AU65" i="4"/>
  <c r="BF88" i="4"/>
  <c r="AT137" i="3"/>
  <c r="AT122" i="3"/>
  <c r="AT88" i="3"/>
  <c r="BG65" i="4"/>
  <c r="BM66" i="4" s="1"/>
  <c r="O96" i="4"/>
  <c r="O6" i="47" s="1"/>
  <c r="O6" i="4"/>
  <c r="BC86" i="4"/>
  <c r="BC87" i="4" s="1"/>
  <c r="AY87" i="4"/>
  <c r="BE75" i="4"/>
  <c r="BI75" i="4" s="1"/>
  <c r="M95" i="4"/>
  <c r="AS65" i="4"/>
  <c r="I82" i="4"/>
  <c r="I66" i="4"/>
  <c r="AO96" i="4"/>
  <c r="BT46" i="4"/>
  <c r="BT45" i="4" s="1"/>
  <c r="AK106" i="3"/>
  <c r="AK87" i="3" s="1"/>
  <c r="Y6" i="4"/>
  <c r="Y152" i="47" s="1"/>
  <c r="M60" i="4"/>
  <c r="AW26" i="4"/>
  <c r="AK54" i="4"/>
  <c r="CD118" i="3"/>
  <c r="CD133" i="3"/>
  <c r="CD84" i="3"/>
  <c r="BY133" i="3"/>
  <c r="BY84" i="3"/>
  <c r="BY118" i="3"/>
  <c r="AQ69" i="4"/>
  <c r="AQ54" i="4"/>
  <c r="J96" i="4"/>
  <c r="J6" i="47" s="1"/>
  <c r="J6" i="4"/>
  <c r="AO117" i="3"/>
  <c r="AO132" i="3"/>
  <c r="AO102" i="3"/>
  <c r="AO83" i="3" s="1"/>
  <c r="AQ135" i="3"/>
  <c r="AC12" i="3"/>
  <c r="AA65" i="4"/>
  <c r="Y81" i="4"/>
  <c r="U65" i="4"/>
  <c r="AM105" i="4"/>
  <c r="AM109" i="4" s="1"/>
  <c r="AG65" i="4"/>
  <c r="U96" i="4"/>
  <c r="U6" i="47" s="1"/>
  <c r="P96" i="4"/>
  <c r="P6" i="47" s="1"/>
  <c r="P6" i="4"/>
  <c r="M81" i="4"/>
  <c r="CC122" i="3"/>
  <c r="CC88" i="3"/>
  <c r="AC96" i="4"/>
  <c r="AW21" i="4"/>
  <c r="BB21" i="4"/>
  <c r="BB105" i="3" s="1"/>
  <c r="BI51" i="4"/>
  <c r="AZ106" i="3"/>
  <c r="AH48" i="3"/>
  <c r="AH16" i="3"/>
  <c r="AH49" i="3" s="1"/>
  <c r="AV41" i="4"/>
  <c r="AV10" i="3"/>
  <c r="AU134" i="3"/>
  <c r="AW134" i="3" s="1"/>
  <c r="AU119" i="3"/>
  <c r="AW119" i="3" s="1"/>
  <c r="AU85" i="3"/>
  <c r="AH132" i="3"/>
  <c r="AH117" i="3"/>
  <c r="AH102" i="3"/>
  <c r="AH83" i="3" s="1"/>
  <c r="BW46" i="4"/>
  <c r="BW45" i="4" s="1"/>
  <c r="AH12" i="3"/>
  <c r="M69" i="4"/>
  <c r="AB65" i="4"/>
  <c r="V65" i="4"/>
  <c r="AJ96" i="4"/>
  <c r="BC104" i="3"/>
  <c r="BC85" i="3" s="1"/>
  <c r="AK104" i="3"/>
  <c r="AK85" i="3" s="1"/>
  <c r="BC122" i="3"/>
  <c r="AQ120" i="3"/>
  <c r="AK136" i="3"/>
  <c r="AE103" i="3"/>
  <c r="AE84" i="3" s="1"/>
  <c r="AV65" i="4"/>
  <c r="BA65" i="4"/>
  <c r="AW109" i="4"/>
  <c r="AS58" i="4"/>
  <c r="V96" i="4"/>
  <c r="AV105" i="3"/>
  <c r="AQ103" i="3"/>
  <c r="AQ84" i="3" s="1"/>
  <c r="AT106" i="3"/>
  <c r="BB41" i="4"/>
  <c r="BS137" i="3"/>
  <c r="BS88" i="3"/>
  <c r="AY136" i="3"/>
  <c r="AY87" i="3"/>
  <c r="AD137" i="3"/>
  <c r="AD122" i="3"/>
  <c r="AD107" i="3"/>
  <c r="AD88" i="3" s="1"/>
  <c r="BC69" i="3"/>
  <c r="BC53" i="3"/>
  <c r="F47" i="3"/>
  <c r="C54" i="3"/>
  <c r="C33" i="3"/>
  <c r="C23" i="3"/>
  <c r="AK47" i="3"/>
  <c r="AK25" i="3"/>
  <c r="C142" i="3"/>
  <c r="C112" i="3"/>
  <c r="C93" i="3" s="1"/>
  <c r="C127" i="3"/>
  <c r="I71" i="3"/>
  <c r="I54" i="3"/>
  <c r="I23" i="3"/>
  <c r="I33" i="3"/>
  <c r="X54" i="3"/>
  <c r="X33" i="3"/>
  <c r="BE124" i="3"/>
  <c r="BE139" i="3"/>
  <c r="BE90" i="3"/>
  <c r="BE109" i="3"/>
  <c r="AI124" i="3"/>
  <c r="AI109" i="3"/>
  <c r="AI139" i="3"/>
  <c r="AI90" i="3"/>
  <c r="K54" i="3"/>
  <c r="K23" i="3"/>
  <c r="K71" i="3"/>
  <c r="K33" i="3"/>
  <c r="AY109" i="3"/>
  <c r="AY124" i="3"/>
  <c r="AY139" i="3"/>
  <c r="AY90" i="3"/>
  <c r="AE69" i="3"/>
  <c r="AE53" i="3"/>
  <c r="AD113" i="3"/>
  <c r="AD94" i="3" s="1"/>
  <c r="AD143" i="3"/>
  <c r="AE143" i="3" s="1"/>
  <c r="AD128" i="3"/>
  <c r="AE128" i="3" s="1"/>
  <c r="AU124" i="3"/>
  <c r="AU139" i="3"/>
  <c r="AU109" i="3"/>
  <c r="AU90" i="3"/>
  <c r="AP33" i="3"/>
  <c r="AP71" i="3"/>
  <c r="AP54" i="3"/>
  <c r="O71" i="3"/>
  <c r="O33" i="3"/>
  <c r="O23" i="3"/>
  <c r="O54" i="3"/>
  <c r="X139" i="3"/>
  <c r="X124" i="3"/>
  <c r="X109" i="3"/>
  <c r="X90" i="3"/>
  <c r="AV139" i="3"/>
  <c r="AV124" i="3"/>
  <c r="AV109" i="3"/>
  <c r="AV90" i="3"/>
  <c r="K124" i="3"/>
  <c r="K90" i="3"/>
  <c r="K139" i="3"/>
  <c r="K109" i="3"/>
  <c r="F141" i="3"/>
  <c r="F126" i="3"/>
  <c r="F111" i="3"/>
  <c r="F92" i="3" s="1"/>
  <c r="AY25" i="3"/>
  <c r="AY147" i="1" s="1"/>
  <c r="M51" i="3"/>
  <c r="V109" i="3"/>
  <c r="V139" i="3"/>
  <c r="V124" i="3"/>
  <c r="V90" i="3"/>
  <c r="BC50" i="3"/>
  <c r="BC67" i="3"/>
  <c r="BC21" i="3"/>
  <c r="BC25" i="3" s="1"/>
  <c r="U109" i="3"/>
  <c r="U90" i="3"/>
  <c r="U139" i="3"/>
  <c r="U124" i="3"/>
  <c r="AA141" i="3"/>
  <c r="AE141" i="3" s="1"/>
  <c r="AA111" i="3"/>
  <c r="AA126" i="3"/>
  <c r="AE126" i="3" s="1"/>
  <c r="J54" i="3"/>
  <c r="J33" i="3"/>
  <c r="J23" i="3"/>
  <c r="J71" i="3"/>
  <c r="AT124" i="3"/>
  <c r="AT139" i="3"/>
  <c r="AT109" i="3"/>
  <c r="AT90" i="3"/>
  <c r="U71" i="3"/>
  <c r="AB97" i="3"/>
  <c r="K97" i="3"/>
  <c r="W97" i="3"/>
  <c r="Y68" i="3"/>
  <c r="Y51" i="3"/>
  <c r="F143" i="3"/>
  <c r="F128" i="3"/>
  <c r="F113" i="3"/>
  <c r="F94" i="3" s="1"/>
  <c r="AA25" i="3"/>
  <c r="AA147" i="1" s="1"/>
  <c r="W71" i="3"/>
  <c r="W54" i="3"/>
  <c r="W33" i="3"/>
  <c r="W23" i="3"/>
  <c r="AW70" i="3"/>
  <c r="R128" i="3"/>
  <c r="R143" i="3"/>
  <c r="R113" i="3"/>
  <c r="R94" i="3" s="1"/>
  <c r="L47" i="3"/>
  <c r="L25" i="3"/>
  <c r="L147" i="1" s="1"/>
  <c r="L66" i="3"/>
  <c r="R127" i="3"/>
  <c r="R142" i="3"/>
  <c r="R112" i="3"/>
  <c r="R93" i="3" s="1"/>
  <c r="F51" i="3"/>
  <c r="F21" i="3"/>
  <c r="L70" i="3" s="1"/>
  <c r="AN71" i="3"/>
  <c r="AN54" i="3"/>
  <c r="AN33" i="3"/>
  <c r="AN23" i="3"/>
  <c r="AB112" i="3"/>
  <c r="AB93" i="3" s="1"/>
  <c r="AB142" i="3"/>
  <c r="AB127" i="3"/>
  <c r="L142" i="3"/>
  <c r="L127" i="3"/>
  <c r="L112" i="3"/>
  <c r="L93" i="3" s="1"/>
  <c r="J109" i="3"/>
  <c r="J90" i="3"/>
  <c r="J139" i="3"/>
  <c r="J124" i="3"/>
  <c r="AT54" i="3"/>
  <c r="AT23" i="3"/>
  <c r="AT71" i="3"/>
  <c r="AT33" i="3"/>
  <c r="M63" i="3"/>
  <c r="G14" i="3"/>
  <c r="BA139" i="3"/>
  <c r="BA124" i="3"/>
  <c r="BA109" i="3"/>
  <c r="BA90" i="3"/>
  <c r="AC49" i="3"/>
  <c r="AB16" i="3"/>
  <c r="AO109" i="3"/>
  <c r="AO124" i="3"/>
  <c r="AO139" i="3"/>
  <c r="AO90" i="3"/>
  <c r="AH54" i="3"/>
  <c r="AH33" i="3"/>
  <c r="AH23" i="3"/>
  <c r="L111" i="3"/>
  <c r="L92" i="3" s="1"/>
  <c r="L126" i="3"/>
  <c r="L141" i="3"/>
  <c r="AV54" i="3"/>
  <c r="AV33" i="3"/>
  <c r="AV23" i="3"/>
  <c r="AV71" i="3"/>
  <c r="S69" i="3"/>
  <c r="S53" i="3"/>
  <c r="AJ12" i="3"/>
  <c r="I124" i="3"/>
  <c r="I109" i="3"/>
  <c r="I139" i="3"/>
  <c r="I90" i="3"/>
  <c r="Y69" i="3"/>
  <c r="Y53" i="3"/>
  <c r="BC68" i="3"/>
  <c r="BC51" i="3"/>
  <c r="R126" i="3"/>
  <c r="R141" i="3"/>
  <c r="R111" i="3"/>
  <c r="R92" i="3" s="1"/>
  <c r="AW66" i="3"/>
  <c r="AW47" i="3"/>
  <c r="AW25" i="3"/>
  <c r="G50" i="3"/>
  <c r="AI48" i="3"/>
  <c r="AK15" i="3"/>
  <c r="M67" i="3"/>
  <c r="M50" i="3"/>
  <c r="M21" i="3"/>
  <c r="AQ133" i="3"/>
  <c r="S67" i="3"/>
  <c r="S50" i="3"/>
  <c r="S21" i="3"/>
  <c r="S25" i="3" s="1"/>
  <c r="S147" i="1" s="1"/>
  <c r="E33" i="3"/>
  <c r="E23" i="3"/>
  <c r="E54" i="3"/>
  <c r="BB139" i="3"/>
  <c r="BB124" i="3"/>
  <c r="BB90" i="3"/>
  <c r="BB109" i="3"/>
  <c r="AQ66" i="3"/>
  <c r="AQ47" i="3"/>
  <c r="AQ25" i="3"/>
  <c r="AB124" i="3"/>
  <c r="AB109" i="3"/>
  <c r="AB139" i="3"/>
  <c r="AB90" i="3"/>
  <c r="M46" i="3"/>
  <c r="M65" i="3"/>
  <c r="M12" i="3"/>
  <c r="V71" i="3"/>
  <c r="V54" i="3"/>
  <c r="V33" i="3"/>
  <c r="V23" i="3"/>
  <c r="BE70" i="3"/>
  <c r="S68" i="3"/>
  <c r="AQ118" i="3"/>
  <c r="G53" i="3"/>
  <c r="BS113" i="3"/>
  <c r="BT53" i="3"/>
  <c r="BW53" i="3" s="1"/>
  <c r="P139" i="3"/>
  <c r="P109" i="3"/>
  <c r="P124" i="3"/>
  <c r="P90" i="3"/>
  <c r="Y67" i="3"/>
  <c r="Y21" i="3"/>
  <c r="Y50" i="3"/>
  <c r="E139" i="3"/>
  <c r="E124" i="3"/>
  <c r="E90" i="3"/>
  <c r="E109" i="3"/>
  <c r="AD142" i="3"/>
  <c r="AD127" i="3"/>
  <c r="AD112" i="3"/>
  <c r="AD93" i="3" s="1"/>
  <c r="BF139" i="3"/>
  <c r="BF109" i="3"/>
  <c r="BF124" i="3"/>
  <c r="BF90" i="3"/>
  <c r="S47" i="3"/>
  <c r="AO54" i="3"/>
  <c r="AO71" i="3"/>
  <c r="AO23" i="3"/>
  <c r="AO33" i="3"/>
  <c r="AD66" i="3"/>
  <c r="AD25" i="3"/>
  <c r="AD147" i="1" s="1"/>
  <c r="AD47" i="3"/>
  <c r="AJ66" i="3"/>
  <c r="CC142" i="3"/>
  <c r="CC127" i="3"/>
  <c r="CC93" i="3"/>
  <c r="S35" i="3"/>
  <c r="BF67" i="3"/>
  <c r="BF50" i="3"/>
  <c r="BF19" i="3"/>
  <c r="AD150" i="3"/>
  <c r="AD149" i="3" s="1"/>
  <c r="AC149" i="3"/>
  <c r="AG139" i="3"/>
  <c r="AG90" i="3"/>
  <c r="AG109" i="3"/>
  <c r="AG124" i="3"/>
  <c r="AP7" i="3"/>
  <c r="AV6" i="3"/>
  <c r="AU6" i="2" s="1"/>
  <c r="AS139" i="3"/>
  <c r="AS90" i="3"/>
  <c r="AS109" i="3"/>
  <c r="AS124" i="3"/>
  <c r="AE50" i="3"/>
  <c r="AE67" i="3"/>
  <c r="AE21" i="3"/>
  <c r="BE111" i="3"/>
  <c r="BC47" i="3"/>
  <c r="BC66" i="3"/>
  <c r="C139" i="3"/>
  <c r="C109" i="3"/>
  <c r="C124" i="3"/>
  <c r="C90" i="3"/>
  <c r="AA139" i="3"/>
  <c r="AA124" i="3"/>
  <c r="AA90" i="3"/>
  <c r="AA109" i="3"/>
  <c r="AK67" i="3"/>
  <c r="R70" i="3"/>
  <c r="AA142" i="3"/>
  <c r="AA127" i="3"/>
  <c r="AA112" i="3"/>
  <c r="L143" i="3"/>
  <c r="L128" i="3"/>
  <c r="L113" i="3"/>
  <c r="L94" i="3" s="1"/>
  <c r="R124" i="3"/>
  <c r="R139" i="3"/>
  <c r="R109" i="3"/>
  <c r="R90" i="3"/>
  <c r="AH139" i="3"/>
  <c r="AH109" i="3"/>
  <c r="AH90" i="3"/>
  <c r="AH124" i="3"/>
  <c r="X143" i="3"/>
  <c r="X113" i="3"/>
  <c r="X94" i="3" s="1"/>
  <c r="X128" i="3"/>
  <c r="AN124" i="3"/>
  <c r="AN139" i="3"/>
  <c r="AN109" i="3"/>
  <c r="AN90" i="3"/>
  <c r="AM71" i="3"/>
  <c r="AM33" i="3"/>
  <c r="AM23" i="3"/>
  <c r="AM54" i="3"/>
  <c r="AA94" i="3"/>
  <c r="I97" i="3"/>
  <c r="U97" i="3"/>
  <c r="P23" i="3"/>
  <c r="P54" i="3"/>
  <c r="P71" i="3"/>
  <c r="P33" i="3"/>
  <c r="Q124" i="3"/>
  <c r="Q139" i="3"/>
  <c r="Q109" i="3"/>
  <c r="Q90" i="3"/>
  <c r="BR143" i="3"/>
  <c r="BR128" i="3"/>
  <c r="BR94" i="3"/>
  <c r="M60" i="3"/>
  <c r="M82" i="3" s="1"/>
  <c r="AG70" i="3"/>
  <c r="M53" i="3"/>
  <c r="M69" i="3"/>
  <c r="AM48" i="3"/>
  <c r="AM16" i="3"/>
  <c r="BA25" i="3"/>
  <c r="BA147" i="1" s="1"/>
  <c r="X126" i="3"/>
  <c r="X141" i="3"/>
  <c r="X111" i="3"/>
  <c r="X92" i="3" s="1"/>
  <c r="AJ16" i="3"/>
  <c r="AZ71" i="3"/>
  <c r="AZ23" i="3"/>
  <c r="AZ33" i="3"/>
  <c r="AZ54" i="3"/>
  <c r="AZ191" i="3" s="1"/>
  <c r="AZ166" i="3" s="1"/>
  <c r="AU71" i="3"/>
  <c r="BW127" i="3"/>
  <c r="BW142" i="3"/>
  <c r="BW93" i="3"/>
  <c r="AJ97" i="3"/>
  <c r="AM124" i="3"/>
  <c r="AM139" i="3"/>
  <c r="AM109" i="3"/>
  <c r="AM90" i="3"/>
  <c r="AE68" i="3"/>
  <c r="AE51" i="3"/>
  <c r="AS71" i="3"/>
  <c r="AS23" i="3"/>
  <c r="AS54" i="3"/>
  <c r="AS33" i="3"/>
  <c r="AK69" i="3"/>
  <c r="AG117" i="3" l="1"/>
  <c r="AG102" i="3"/>
  <c r="AG83" i="3" s="1"/>
  <c r="AA32" i="47"/>
  <c r="AE31" i="47"/>
  <c r="AK32" i="47" s="1"/>
  <c r="AK69" i="4"/>
  <c r="AE54" i="4"/>
  <c r="AE152" i="47"/>
  <c r="AE153" i="47" s="1"/>
  <c r="AE9" i="3"/>
  <c r="AE48" i="3" s="1"/>
  <c r="AA12" i="3"/>
  <c r="AA155" i="47"/>
  <c r="AA159" i="47"/>
  <c r="AA160" i="47" s="1"/>
  <c r="AW131" i="47"/>
  <c r="AW130" i="47"/>
  <c r="AZ42" i="1"/>
  <c r="AA154" i="47"/>
  <c r="AW75" i="1"/>
  <c r="BM171" i="47"/>
  <c r="BM173" i="47" s="1"/>
  <c r="BM175" i="47" s="1"/>
  <c r="BM177" i="47" s="1"/>
  <c r="BN169" i="47"/>
  <c r="BT169" i="47" s="1"/>
  <c r="BZ169" i="47" s="1"/>
  <c r="CF169" i="47" s="1"/>
  <c r="BF66" i="47"/>
  <c r="BL66" i="47" s="1"/>
  <c r="AZ93" i="47"/>
  <c r="BH66" i="47"/>
  <c r="BN66" i="47" s="1"/>
  <c r="BB93" i="47"/>
  <c r="BE66" i="47"/>
  <c r="BK66" i="47" s="1"/>
  <c r="AY93" i="47"/>
  <c r="AQ117" i="4"/>
  <c r="AQ115" i="4"/>
  <c r="AQ119" i="4"/>
  <c r="AQ121" i="4"/>
  <c r="BN83" i="4"/>
  <c r="CE90" i="47"/>
  <c r="BB48" i="1"/>
  <c r="BH49" i="1" s="1"/>
  <c r="Q36" i="3"/>
  <c r="Q43" i="3" s="1"/>
  <c r="P63" i="2" s="1"/>
  <c r="BH76" i="4"/>
  <c r="BH105" i="47" s="1"/>
  <c r="BN74" i="4"/>
  <c r="BT62" i="47"/>
  <c r="BZ63" i="47" s="1"/>
  <c r="I61" i="3"/>
  <c r="I62" i="3" s="1"/>
  <c r="AW129" i="47"/>
  <c r="AZ138" i="47"/>
  <c r="AU34" i="3"/>
  <c r="AU36" i="3"/>
  <c r="AU154" i="3" s="1"/>
  <c r="AU56" i="3"/>
  <c r="AK146" i="1"/>
  <c r="AQ146" i="1"/>
  <c r="BB147" i="1"/>
  <c r="AB147" i="1"/>
  <c r="Q34" i="3"/>
  <c r="AK147" i="1"/>
  <c r="AC147" i="1"/>
  <c r="AW147" i="1"/>
  <c r="J61" i="3"/>
  <c r="AG68" i="1"/>
  <c r="BW148" i="1"/>
  <c r="BE147" i="1"/>
  <c r="R33" i="3"/>
  <c r="R147" i="1"/>
  <c r="Q56" i="3"/>
  <c r="BC147" i="1"/>
  <c r="AQ147" i="1"/>
  <c r="AQ168" i="1"/>
  <c r="BB168" i="1"/>
  <c r="BA168" i="1"/>
  <c r="AN170" i="1"/>
  <c r="AM170" i="1"/>
  <c r="AD170" i="1"/>
  <c r="AY168" i="1"/>
  <c r="AZ168" i="1"/>
  <c r="AS168" i="1"/>
  <c r="AT168" i="1"/>
  <c r="AC170" i="1"/>
  <c r="AK168" i="1"/>
  <c r="AY170" i="1"/>
  <c r="AZ170" i="1"/>
  <c r="AS170" i="1"/>
  <c r="AT170" i="1"/>
  <c r="AP170" i="1"/>
  <c r="AH170" i="1"/>
  <c r="AG170" i="1"/>
  <c r="AU170" i="1"/>
  <c r="AQ170" i="1"/>
  <c r="BF170" i="1"/>
  <c r="BE170" i="1"/>
  <c r="AN168" i="1"/>
  <c r="AM168" i="1"/>
  <c r="AU168" i="1"/>
  <c r="BF168" i="1"/>
  <c r="BE168" i="1"/>
  <c r="AO168" i="1"/>
  <c r="AV170" i="1"/>
  <c r="AH168" i="1"/>
  <c r="AG168" i="1"/>
  <c r="AW168" i="1"/>
  <c r="BB170" i="1"/>
  <c r="AJ170" i="1"/>
  <c r="AO170" i="1"/>
  <c r="AC168" i="1"/>
  <c r="AI168" i="1"/>
  <c r="AW72" i="1"/>
  <c r="AW22" i="1"/>
  <c r="BZ26" i="47"/>
  <c r="BZ27" i="47" s="1"/>
  <c r="CA27" i="47" s="1"/>
  <c r="M130" i="47"/>
  <c r="CE26" i="47"/>
  <c r="CE27" i="47" s="1"/>
  <c r="CG27" i="47" s="1"/>
  <c r="AY27" i="47"/>
  <c r="M131" i="47"/>
  <c r="BC167" i="1"/>
  <c r="BI168" i="1" s="1"/>
  <c r="BC169" i="1"/>
  <c r="BI170" i="1" s="1"/>
  <c r="AB42" i="1"/>
  <c r="AY42" i="1"/>
  <c r="AP42" i="1"/>
  <c r="AO63" i="3"/>
  <c r="AP63" i="3"/>
  <c r="AN63" i="3"/>
  <c r="K61" i="3"/>
  <c r="L56" i="4"/>
  <c r="K57" i="4"/>
  <c r="BL57" i="4"/>
  <c r="I57" i="4"/>
  <c r="BK57" i="4"/>
  <c r="BG61" i="3"/>
  <c r="BG62" i="3" s="1"/>
  <c r="G56" i="4"/>
  <c r="G146" i="1"/>
  <c r="BC63" i="3"/>
  <c r="BE57" i="4"/>
  <c r="BF61" i="3"/>
  <c r="J57" i="4"/>
  <c r="AH48" i="1"/>
  <c r="AH49" i="1" s="1"/>
  <c r="AJ42" i="1"/>
  <c r="BE49" i="1"/>
  <c r="BA102" i="1"/>
  <c r="AG69" i="1"/>
  <c r="AC90" i="3"/>
  <c r="AC96" i="3" s="1"/>
  <c r="BS89" i="47"/>
  <c r="BY90" i="47" s="1"/>
  <c r="BM157" i="47"/>
  <c r="M121" i="47"/>
  <c r="AQ131" i="47"/>
  <c r="BC51" i="47"/>
  <c r="AB23" i="3"/>
  <c r="BX53" i="3"/>
  <c r="BW113" i="3"/>
  <c r="AC54" i="3"/>
  <c r="AC98" i="3" s="1"/>
  <c r="AD97" i="2"/>
  <c r="AC33" i="3"/>
  <c r="AI71" i="3"/>
  <c r="AB71" i="3"/>
  <c r="AB54" i="3"/>
  <c r="AC23" i="3"/>
  <c r="Y90" i="3"/>
  <c r="AB33" i="3"/>
  <c r="AC109" i="3"/>
  <c r="BF96" i="3"/>
  <c r="AC124" i="3"/>
  <c r="Y139" i="3"/>
  <c r="AC71" i="3"/>
  <c r="Y109" i="3"/>
  <c r="Y124" i="3"/>
  <c r="BG96" i="3"/>
  <c r="AC139" i="3"/>
  <c r="AH71" i="3"/>
  <c r="BT113" i="3"/>
  <c r="BT143" i="3" s="1"/>
  <c r="S127" i="3"/>
  <c r="G40" i="1"/>
  <c r="AG48" i="1"/>
  <c r="AM49" i="1" s="1"/>
  <c r="AG42" i="1"/>
  <c r="BL63" i="47"/>
  <c r="BL26" i="47"/>
  <c r="BL27" i="47" s="1"/>
  <c r="BR87" i="47"/>
  <c r="BX88" i="47" s="1"/>
  <c r="BL157" i="47"/>
  <c r="BL40" i="4"/>
  <c r="AS132" i="3"/>
  <c r="J112" i="47"/>
  <c r="X97" i="2"/>
  <c r="X99" i="2" s="1"/>
  <c r="AQ129" i="47"/>
  <c r="AQ130" i="47"/>
  <c r="CC63" i="47"/>
  <c r="BC99" i="47"/>
  <c r="BC100" i="47" s="1"/>
  <c r="BB97" i="2"/>
  <c r="BB99" i="2" s="1"/>
  <c r="V155" i="47"/>
  <c r="BT26" i="47"/>
  <c r="BT27" i="47" s="1"/>
  <c r="BS26" i="47"/>
  <c r="BS27" i="47" s="1"/>
  <c r="L112" i="47"/>
  <c r="K112" i="47"/>
  <c r="AB117" i="3"/>
  <c r="I112" i="47"/>
  <c r="BS76" i="47"/>
  <c r="BY76" i="47" s="1"/>
  <c r="CE76" i="47" s="1"/>
  <c r="BK80" i="47"/>
  <c r="BQ76" i="47"/>
  <c r="BB106" i="3"/>
  <c r="BA106" i="3"/>
  <c r="BC6" i="4"/>
  <c r="BI76" i="47"/>
  <c r="BI77" i="47" s="1"/>
  <c r="AB132" i="3"/>
  <c r="AJ129" i="1"/>
  <c r="AJ69" i="1"/>
  <c r="AW40" i="1"/>
  <c r="AU69" i="1"/>
  <c r="AJ48" i="1"/>
  <c r="M133" i="1"/>
  <c r="M135" i="1" s="1"/>
  <c r="AU48" i="1"/>
  <c r="AU49" i="1" s="1"/>
  <c r="AK66" i="3"/>
  <c r="AD98" i="2"/>
  <c r="BE95" i="2"/>
  <c r="BE97" i="2" s="1"/>
  <c r="BE98" i="2" s="1"/>
  <c r="AE47" i="3"/>
  <c r="AE66" i="3"/>
  <c r="D120" i="1"/>
  <c r="D119" i="1" s="1"/>
  <c r="U155" i="47"/>
  <c r="AV60" i="4"/>
  <c r="BA120" i="3"/>
  <c r="C100" i="10"/>
  <c r="C101" i="10" s="1"/>
  <c r="C104" i="10" s="1"/>
  <c r="AZ50" i="47"/>
  <c r="G120" i="47"/>
  <c r="Y50" i="47"/>
  <c r="AW57" i="47"/>
  <c r="AE122" i="47"/>
  <c r="AK123" i="47" s="1"/>
  <c r="BA15" i="47"/>
  <c r="BB76" i="4"/>
  <c r="AD132" i="47"/>
  <c r="AW22" i="47"/>
  <c r="BC23" i="47" s="1"/>
  <c r="G130" i="47"/>
  <c r="BF154" i="47"/>
  <c r="Y110" i="47"/>
  <c r="AV76" i="4"/>
  <c r="AZ145" i="47"/>
  <c r="AB7" i="47"/>
  <c r="Y122" i="47"/>
  <c r="Y123" i="47" s="1"/>
  <c r="BG15" i="47"/>
  <c r="G129" i="47"/>
  <c r="V6" i="47"/>
  <c r="Y119" i="47"/>
  <c r="Y130" i="47" s="1"/>
  <c r="AZ5" i="47"/>
  <c r="AZ7" i="47" s="1"/>
  <c r="G121" i="47"/>
  <c r="X159" i="47"/>
  <c r="X160" i="47" s="1"/>
  <c r="AE50" i="47"/>
  <c r="AO63" i="47"/>
  <c r="AW14" i="47"/>
  <c r="AW15" i="47" s="1"/>
  <c r="AT24" i="47"/>
  <c r="AZ24" i="47"/>
  <c r="BO50" i="47"/>
  <c r="AU4" i="47"/>
  <c r="BA5" i="47" s="1"/>
  <c r="BK26" i="47"/>
  <c r="BK27" i="47" s="1"/>
  <c r="AE90" i="47"/>
  <c r="BK63" i="47"/>
  <c r="S50" i="47"/>
  <c r="BQ26" i="47"/>
  <c r="BQ27" i="47" s="1"/>
  <c r="AU38" i="47"/>
  <c r="BU50" i="47"/>
  <c r="AU66" i="47"/>
  <c r="AV25" i="47"/>
  <c r="AU23" i="47"/>
  <c r="BF159" i="47"/>
  <c r="BI159" i="47" s="1"/>
  <c r="AQ62" i="47"/>
  <c r="AU25" i="47"/>
  <c r="BA26" i="47" s="1"/>
  <c r="BA27" i="47" s="1"/>
  <c r="AA63" i="47"/>
  <c r="AU61" i="47"/>
  <c r="BA62" i="47" s="1"/>
  <c r="BG63" i="47" s="1"/>
  <c r="BA23" i="47"/>
  <c r="R132" i="47"/>
  <c r="S132" i="47"/>
  <c r="BF24" i="47"/>
  <c r="U154" i="47"/>
  <c r="V132" i="47"/>
  <c r="Y153" i="47"/>
  <c r="Y106" i="47"/>
  <c r="U159" i="47"/>
  <c r="U160" i="47" s="1"/>
  <c r="AV54" i="2"/>
  <c r="AV55" i="2" s="1"/>
  <c r="AU54" i="2"/>
  <c r="AU55" i="2" s="1"/>
  <c r="AY102" i="3"/>
  <c r="AY83" i="3" s="1"/>
  <c r="AS117" i="3"/>
  <c r="AS102" i="3"/>
  <c r="AS83" i="3" s="1"/>
  <c r="AE106" i="47"/>
  <c r="BE23" i="3"/>
  <c r="BE68" i="1" s="1"/>
  <c r="AV31" i="47"/>
  <c r="AC117" i="3"/>
  <c r="AV152" i="47"/>
  <c r="AV153" i="47" s="1"/>
  <c r="AV159" i="47" s="1"/>
  <c r="AY117" i="3"/>
  <c r="AC102" i="3"/>
  <c r="AC83" i="3" s="1"/>
  <c r="AV69" i="4"/>
  <c r="AU69" i="4"/>
  <c r="AE81" i="1"/>
  <c r="AN88" i="2"/>
  <c r="AN89" i="2"/>
  <c r="AN90" i="2"/>
  <c r="AP112" i="1"/>
  <c r="AQ112" i="1" s="1"/>
  <c r="AO89" i="2"/>
  <c r="AO90" i="2"/>
  <c r="AO88" i="2"/>
  <c r="AV112" i="1"/>
  <c r="AW112" i="1" s="1"/>
  <c r="AU90" i="2"/>
  <c r="AU89" i="2"/>
  <c r="AU88" i="2"/>
  <c r="AJ90" i="2"/>
  <c r="AJ88" i="2"/>
  <c r="AJ89" i="2"/>
  <c r="D88" i="2"/>
  <c r="D89" i="2"/>
  <c r="D90" i="2"/>
  <c r="BB129" i="1"/>
  <c r="W128" i="1"/>
  <c r="P88" i="2"/>
  <c r="P89" i="2"/>
  <c r="P90" i="2"/>
  <c r="J90" i="2"/>
  <c r="J88" i="2"/>
  <c r="J89" i="2"/>
  <c r="AZ88" i="2"/>
  <c r="AZ90" i="2"/>
  <c r="AZ89" i="2"/>
  <c r="AD89" i="2"/>
  <c r="AD90" i="2"/>
  <c r="AD88" i="2"/>
  <c r="E89" i="2"/>
  <c r="E90" i="2"/>
  <c r="E88" i="2"/>
  <c r="AP89" i="2"/>
  <c r="AP90" i="2"/>
  <c r="AP88" i="2"/>
  <c r="K90" i="2"/>
  <c r="K88" i="2"/>
  <c r="K89" i="2"/>
  <c r="S127" i="1"/>
  <c r="S112" i="3"/>
  <c r="S93" i="3" s="1"/>
  <c r="BE54" i="3"/>
  <c r="S142" i="3"/>
  <c r="BK40" i="4"/>
  <c r="BO50" i="4"/>
  <c r="BB84" i="3"/>
  <c r="AU152" i="47"/>
  <c r="AU153" i="47" s="1"/>
  <c r="AE49" i="3"/>
  <c r="AS16" i="3"/>
  <c r="AS49" i="3" s="1"/>
  <c r="AA132" i="3"/>
  <c r="CA50" i="47"/>
  <c r="BL87" i="47"/>
  <c r="BR89" i="47"/>
  <c r="BX90" i="47" s="1"/>
  <c r="BL89" i="47"/>
  <c r="AQ81" i="4"/>
  <c r="Y151" i="47"/>
  <c r="BC10" i="3"/>
  <c r="BC49" i="3" s="1"/>
  <c r="AP49" i="3"/>
  <c r="AA102" i="3"/>
  <c r="AA83" i="3" s="1"/>
  <c r="AY132" i="3"/>
  <c r="AU31" i="47"/>
  <c r="AS148" i="47"/>
  <c r="AS151" i="47" s="1"/>
  <c r="AS159" i="47" s="1"/>
  <c r="AY13" i="3"/>
  <c r="BC13" i="3" s="1"/>
  <c r="AS12" i="3"/>
  <c r="AU9" i="3"/>
  <c r="AU15" i="3" s="1"/>
  <c r="AU148" i="47" s="1"/>
  <c r="AU151" i="47" s="1"/>
  <c r="AI36" i="3"/>
  <c r="AI62" i="1" s="1"/>
  <c r="BB33" i="3"/>
  <c r="AS97" i="3"/>
  <c r="M47" i="3"/>
  <c r="S66" i="3"/>
  <c r="AZ92" i="3"/>
  <c r="AZ97" i="3" s="1"/>
  <c r="BE33" i="3"/>
  <c r="AQ128" i="3"/>
  <c r="Q128" i="1"/>
  <c r="AU128" i="1"/>
  <c r="AI68" i="1"/>
  <c r="BC40" i="1"/>
  <c r="BC69" i="1" s="1"/>
  <c r="S40" i="1"/>
  <c r="BA42" i="1"/>
  <c r="AS48" i="1"/>
  <c r="AS49" i="1" s="1"/>
  <c r="AS69" i="1"/>
  <c r="BB42" i="1"/>
  <c r="AC69" i="1"/>
  <c r="I69" i="1"/>
  <c r="AW142" i="3"/>
  <c r="V159" i="47"/>
  <c r="V160" i="47" s="1"/>
  <c r="BB118" i="3"/>
  <c r="AE96" i="4"/>
  <c r="AQ143" i="3"/>
  <c r="BG160" i="47"/>
  <c r="AQ126" i="3"/>
  <c r="AQ141" i="3"/>
  <c r="BG18" i="3"/>
  <c r="BI132" i="47"/>
  <c r="BI138" i="47"/>
  <c r="BO139" i="47" s="1"/>
  <c r="AE110" i="47"/>
  <c r="BE157" i="47"/>
  <c r="BE160" i="47"/>
  <c r="E128" i="1"/>
  <c r="X138" i="1"/>
  <c r="R128" i="1"/>
  <c r="AQ106" i="47"/>
  <c r="V154" i="47"/>
  <c r="AP159" i="47"/>
  <c r="AP160" i="47" s="1"/>
  <c r="W155" i="47"/>
  <c r="BE61" i="3"/>
  <c r="AP154" i="47"/>
  <c r="AK110" i="47"/>
  <c r="X155" i="47"/>
  <c r="CD74" i="47"/>
  <c r="AQ110" i="47"/>
  <c r="BA69" i="4"/>
  <c r="BA31" i="47"/>
  <c r="BA152" i="47"/>
  <c r="BA153" i="47" s="1"/>
  <c r="BA135" i="3"/>
  <c r="AK96" i="4"/>
  <c r="BA60" i="4"/>
  <c r="AQ77" i="4"/>
  <c r="BG42" i="4"/>
  <c r="AN13" i="3"/>
  <c r="BA9" i="3"/>
  <c r="BA12" i="3" s="1"/>
  <c r="AQ95" i="4"/>
  <c r="AQ96" i="4" s="1"/>
  <c r="AG36" i="3"/>
  <c r="AI56" i="3"/>
  <c r="S81" i="1"/>
  <c r="BA129" i="1"/>
  <c r="AO102" i="1"/>
  <c r="AD154" i="47"/>
  <c r="AD155" i="47"/>
  <c r="AD157" i="47"/>
  <c r="AK106" i="47"/>
  <c r="O82" i="4"/>
  <c r="O83" i="4" s="1"/>
  <c r="AD69" i="1"/>
  <c r="AT42" i="1"/>
  <c r="AB69" i="1"/>
  <c r="AT69" i="1"/>
  <c r="AQ40" i="1"/>
  <c r="AD42" i="1"/>
  <c r="AE40" i="1"/>
  <c r="BR62" i="47"/>
  <c r="CD63" i="47"/>
  <c r="CG62" i="47"/>
  <c r="CA89" i="47"/>
  <c r="CG24" i="47"/>
  <c r="CA87" i="47"/>
  <c r="CA62" i="47"/>
  <c r="BI41" i="4"/>
  <c r="AC66" i="4"/>
  <c r="AO16" i="3"/>
  <c r="AO49" i="3" s="1"/>
  <c r="AQ15" i="3"/>
  <c r="AQ48" i="3" s="1"/>
  <c r="AO48" i="3"/>
  <c r="M96" i="4"/>
  <c r="AD66" i="4"/>
  <c r="AO12" i="3"/>
  <c r="AQ12" i="3" s="1"/>
  <c r="P66" i="4"/>
  <c r="U98" i="3"/>
  <c r="AI34" i="3"/>
  <c r="W159" i="47"/>
  <c r="W160" i="47" s="1"/>
  <c r="AJ34" i="3"/>
  <c r="BB96" i="3"/>
  <c r="J96" i="3"/>
  <c r="X97" i="3"/>
  <c r="AW141" i="3"/>
  <c r="BB23" i="3"/>
  <c r="BB68" i="1" s="1"/>
  <c r="BA92" i="3"/>
  <c r="BA97" i="3" s="1"/>
  <c r="U56" i="3"/>
  <c r="AU97" i="3"/>
  <c r="BB71" i="3"/>
  <c r="BB54" i="3"/>
  <c r="AW127" i="3"/>
  <c r="AN159" i="47"/>
  <c r="AU174" i="3"/>
  <c r="AU163" i="3" s="1"/>
  <c r="AN154" i="47"/>
  <c r="AU160" i="3"/>
  <c r="AG160" i="47"/>
  <c r="AY128" i="3"/>
  <c r="BC128" i="3" s="1"/>
  <c r="AW126" i="3"/>
  <c r="AJ36" i="3"/>
  <c r="AJ57" i="3" s="1"/>
  <c r="AG56" i="3"/>
  <c r="AJ56" i="3"/>
  <c r="BG148" i="3"/>
  <c r="BH147" i="3" s="1"/>
  <c r="AO79" i="1"/>
  <c r="BC143" i="3"/>
  <c r="Y96" i="4"/>
  <c r="AN65" i="4"/>
  <c r="AN66" i="4" s="1"/>
  <c r="AU133" i="3"/>
  <c r="AU118" i="3"/>
  <c r="AU84" i="3"/>
  <c r="AN97" i="3"/>
  <c r="AP127" i="3"/>
  <c r="AZ85" i="1"/>
  <c r="AW128" i="3"/>
  <c r="U96" i="3"/>
  <c r="AV42" i="1"/>
  <c r="AP132" i="47"/>
  <c r="R62" i="47"/>
  <c r="X63" i="47" s="1"/>
  <c r="AK125" i="47"/>
  <c r="AC63" i="47"/>
  <c r="AQ50" i="47"/>
  <c r="AG34" i="3"/>
  <c r="AY93" i="3"/>
  <c r="AY94" i="3"/>
  <c r="AZ126" i="3"/>
  <c r="AP142" i="3"/>
  <c r="U34" i="3"/>
  <c r="U36" i="3"/>
  <c r="AO78" i="1"/>
  <c r="AO80" i="1"/>
  <c r="AU68" i="1"/>
  <c r="AV48" i="3"/>
  <c r="BO59" i="47"/>
  <c r="BR24" i="47"/>
  <c r="BS87" i="47"/>
  <c r="BY88" i="47" s="1"/>
  <c r="BX24" i="47"/>
  <c r="M81" i="1"/>
  <c r="AP96" i="3"/>
  <c r="L82" i="4"/>
  <c r="R83" i="4" s="1"/>
  <c r="AS76" i="4"/>
  <c r="AS79" i="4" s="1"/>
  <c r="M65" i="4"/>
  <c r="M82" i="4" s="1"/>
  <c r="R66" i="4"/>
  <c r="AP65" i="4"/>
  <c r="AV66" i="4" s="1"/>
  <c r="R97" i="3"/>
  <c r="G21" i="3"/>
  <c r="G93" i="1" s="1"/>
  <c r="AY141" i="3"/>
  <c r="AV96" i="3"/>
  <c r="AV12" i="3"/>
  <c r="BE142" i="3"/>
  <c r="AK78" i="1"/>
  <c r="AO96" i="3"/>
  <c r="D34" i="3"/>
  <c r="AJ68" i="1"/>
  <c r="AM80" i="1"/>
  <c r="AN79" i="1"/>
  <c r="BB127" i="3"/>
  <c r="AK80" i="1"/>
  <c r="AW125" i="47"/>
  <c r="AD63" i="47"/>
  <c r="CG50" i="47"/>
  <c r="AT86" i="47"/>
  <c r="AW59" i="47"/>
  <c r="BT87" i="47"/>
  <c r="BZ88" i="47" s="1"/>
  <c r="AT67" i="47"/>
  <c r="AJ63" i="47"/>
  <c r="AK50" i="47"/>
  <c r="AT93" i="47"/>
  <c r="AH63" i="47"/>
  <c r="BE26" i="47"/>
  <c r="BE27" i="47" s="1"/>
  <c r="S15" i="47"/>
  <c r="BI62" i="47"/>
  <c r="P24" i="47"/>
  <c r="CC90" i="47"/>
  <c r="O24" i="47"/>
  <c r="AK88" i="47"/>
  <c r="CD90" i="47"/>
  <c r="AW56" i="47"/>
  <c r="AP69" i="1"/>
  <c r="BF48" i="1"/>
  <c r="AP48" i="1"/>
  <c r="BA48" i="1"/>
  <c r="BF21" i="3"/>
  <c r="P96" i="3"/>
  <c r="AV16" i="3"/>
  <c r="AV49" i="3" s="1"/>
  <c r="AY142" i="3"/>
  <c r="BE93" i="3"/>
  <c r="AY92" i="3"/>
  <c r="AY97" i="3" s="1"/>
  <c r="AN127" i="3"/>
  <c r="BA141" i="3"/>
  <c r="X71" i="3"/>
  <c r="AI13" i="3"/>
  <c r="AC160" i="47"/>
  <c r="AT85" i="1"/>
  <c r="AH84" i="1"/>
  <c r="AN85" i="1"/>
  <c r="AH85" i="1"/>
  <c r="AN78" i="1"/>
  <c r="AN80" i="1"/>
  <c r="J62" i="47"/>
  <c r="J63" i="47" s="1"/>
  <c r="AV132" i="47"/>
  <c r="BE143" i="47"/>
  <c r="BE145" i="47" s="1"/>
  <c r="BC125" i="47"/>
  <c r="AV24" i="47"/>
  <c r="AV39" i="47"/>
  <c r="AV40" i="47" s="1"/>
  <c r="I41" i="47"/>
  <c r="BC123" i="47"/>
  <c r="AY139" i="47"/>
  <c r="AE41" i="47"/>
  <c r="AK24" i="47"/>
  <c r="BT24" i="47"/>
  <c r="AQ88" i="47"/>
  <c r="U24" i="47"/>
  <c r="BA139" i="47"/>
  <c r="K41" i="47"/>
  <c r="BU15" i="47"/>
  <c r="AT62" i="47"/>
  <c r="AT63" i="47" s="1"/>
  <c r="AZ62" i="47"/>
  <c r="AI63" i="47"/>
  <c r="BG138" i="47"/>
  <c r="BG142" i="47"/>
  <c r="BI142" i="47" s="1"/>
  <c r="S18" i="47"/>
  <c r="BF50" i="47"/>
  <c r="CC88" i="47"/>
  <c r="AE88" i="47"/>
  <c r="AJ132" i="47"/>
  <c r="BS24" i="47"/>
  <c r="AC155" i="47"/>
  <c r="BF143" i="47"/>
  <c r="BF145" i="47" s="1"/>
  <c r="X129" i="47"/>
  <c r="BC130" i="47"/>
  <c r="X154" i="47"/>
  <c r="AN63" i="47"/>
  <c r="AS24" i="47"/>
  <c r="AS62" i="47"/>
  <c r="AS63" i="47" s="1"/>
  <c r="BH24" i="47"/>
  <c r="F132" i="47"/>
  <c r="AE125" i="47"/>
  <c r="I62" i="47"/>
  <c r="I63" i="47" s="1"/>
  <c r="Y5" i="47"/>
  <c r="AW48" i="47"/>
  <c r="AW49" i="47" s="1"/>
  <c r="AW50" i="47" s="1"/>
  <c r="AM63" i="47"/>
  <c r="BF26" i="47"/>
  <c r="BF27" i="47" s="1"/>
  <c r="AQ90" i="47"/>
  <c r="M39" i="47"/>
  <c r="R24" i="47"/>
  <c r="BM62" i="47"/>
  <c r="BM63" i="47" s="1"/>
  <c r="BA143" i="47"/>
  <c r="BA145" i="47" s="1"/>
  <c r="AY24" i="47"/>
  <c r="CD88" i="47"/>
  <c r="AY50" i="47"/>
  <c r="L132" i="47"/>
  <c r="AD48" i="1"/>
  <c r="BA128" i="1"/>
  <c r="AZ84" i="1"/>
  <c r="Y117" i="1"/>
  <c r="M40" i="1"/>
  <c r="AC48" i="1"/>
  <c r="AI49" i="1" s="1"/>
  <c r="D69" i="1"/>
  <c r="F69" i="1"/>
  <c r="C40" i="1"/>
  <c r="Y40" i="1"/>
  <c r="AK40" i="1"/>
  <c r="AO49" i="1"/>
  <c r="AV48" i="1"/>
  <c r="AH69" i="1"/>
  <c r="J69" i="1"/>
  <c r="Q96" i="3"/>
  <c r="AN96" i="3"/>
  <c r="AA96" i="3"/>
  <c r="AN93" i="3"/>
  <c r="W154" i="47"/>
  <c r="AM78" i="1"/>
  <c r="BF42" i="1"/>
  <c r="BI18" i="1"/>
  <c r="G138" i="1"/>
  <c r="AP127" i="1"/>
  <c r="AP129" i="1" s="1"/>
  <c r="AW138" i="1"/>
  <c r="Y138" i="1"/>
  <c r="BB113" i="1"/>
  <c r="BC113" i="1" s="1"/>
  <c r="BB117" i="1"/>
  <c r="BC117" i="1" s="1"/>
  <c r="AT84" i="1"/>
  <c r="AO111" i="1"/>
  <c r="AV128" i="1"/>
  <c r="AV129" i="1"/>
  <c r="R100" i="1"/>
  <c r="S100" i="1" s="1"/>
  <c r="AP113" i="1"/>
  <c r="AQ113" i="1" s="1"/>
  <c r="AJ113" i="1"/>
  <c r="AK113" i="1" s="1"/>
  <c r="AK127" i="1"/>
  <c r="AI129" i="1"/>
  <c r="M127" i="1"/>
  <c r="L129" i="1"/>
  <c r="BI9" i="1"/>
  <c r="BC138" i="1"/>
  <c r="BB138" i="1"/>
  <c r="R138" i="1"/>
  <c r="AP110" i="1"/>
  <c r="AP111" i="1" s="1"/>
  <c r="R117" i="1"/>
  <c r="S117" i="1" s="1"/>
  <c r="M138" i="1"/>
  <c r="F117" i="1"/>
  <c r="G117" i="1" s="1"/>
  <c r="G118" i="1" s="1"/>
  <c r="BI30" i="1"/>
  <c r="BI156" i="1" s="1"/>
  <c r="X127" i="1"/>
  <c r="AW127" i="1"/>
  <c r="AI128" i="1"/>
  <c r="R54" i="3"/>
  <c r="R23" i="3"/>
  <c r="AE113" i="3"/>
  <c r="AE94" i="3" s="1"/>
  <c r="G51" i="3"/>
  <c r="AE127" i="3"/>
  <c r="Q98" i="3"/>
  <c r="D56" i="3"/>
  <c r="D36" i="3"/>
  <c r="D154" i="3" s="1"/>
  <c r="BB93" i="3"/>
  <c r="M68" i="3"/>
  <c r="AC154" i="47"/>
  <c r="AI81" i="1"/>
  <c r="AW74" i="4"/>
  <c r="AW76" i="4" s="1"/>
  <c r="AW105" i="47" s="1"/>
  <c r="AW106" i="47" s="1"/>
  <c r="M106" i="47"/>
  <c r="M108" i="47"/>
  <c r="M120" i="47"/>
  <c r="BE13" i="3"/>
  <c r="BI13" i="3" s="1"/>
  <c r="BI10" i="3"/>
  <c r="BE49" i="3"/>
  <c r="BB152" i="47"/>
  <c r="BB4" i="47"/>
  <c r="BB5" i="47" s="1"/>
  <c r="BB31" i="47"/>
  <c r="J152" i="47"/>
  <c r="Q152" i="47"/>
  <c r="I152" i="47"/>
  <c r="AW58" i="4"/>
  <c r="P152" i="47"/>
  <c r="AY88" i="4"/>
  <c r="AY109" i="47"/>
  <c r="O152" i="47"/>
  <c r="S96" i="4"/>
  <c r="K62" i="4"/>
  <c r="K63" i="4" s="1"/>
  <c r="K67" i="4" s="1"/>
  <c r="K152" i="47"/>
  <c r="AT152" i="47"/>
  <c r="AT153" i="47" s="1"/>
  <c r="AT31" i="47"/>
  <c r="S106" i="47"/>
  <c r="Y111" i="47"/>
  <c r="K31" i="47"/>
  <c r="BE40" i="4"/>
  <c r="BE42" i="4" s="1"/>
  <c r="L62" i="4"/>
  <c r="L63" i="4" s="1"/>
  <c r="L67" i="4" s="1"/>
  <c r="L152" i="47"/>
  <c r="BB110" i="47"/>
  <c r="BA110" i="47"/>
  <c r="X82" i="4"/>
  <c r="X83" i="4" s="1"/>
  <c r="X66" i="4"/>
  <c r="AT96" i="4"/>
  <c r="BC21" i="4"/>
  <c r="BC105" i="3" s="1"/>
  <c r="BC86" i="3" s="1"/>
  <c r="BG110" i="47"/>
  <c r="BC88" i="4"/>
  <c r="BC109" i="47"/>
  <c r="Y31" i="47"/>
  <c r="Y32" i="47" s="1"/>
  <c r="BS46" i="4"/>
  <c r="BS45" i="4" s="1"/>
  <c r="BU45" i="4" s="1"/>
  <c r="BU44" i="4"/>
  <c r="BU46" i="4" s="1"/>
  <c r="J82" i="4"/>
  <c r="P83" i="4" s="1"/>
  <c r="J66" i="4"/>
  <c r="R152" i="47"/>
  <c r="R29" i="4"/>
  <c r="R31" i="47" s="1"/>
  <c r="BF110" i="47"/>
  <c r="AZ110" i="47"/>
  <c r="AN106" i="47"/>
  <c r="AT65" i="4"/>
  <c r="AS68" i="1"/>
  <c r="AM68" i="1"/>
  <c r="AV6" i="1"/>
  <c r="AG96" i="3"/>
  <c r="AO68" i="1"/>
  <c r="S70" i="3"/>
  <c r="S93" i="1"/>
  <c r="S91" i="1"/>
  <c r="M25" i="3"/>
  <c r="M93" i="1"/>
  <c r="M91" i="1"/>
  <c r="BC112" i="3"/>
  <c r="BC93" i="3" s="1"/>
  <c r="AH68" i="1"/>
  <c r="AT68" i="1"/>
  <c r="AN68" i="1"/>
  <c r="F93" i="1"/>
  <c r="F91" i="1"/>
  <c r="J98" i="3"/>
  <c r="BC70" i="3"/>
  <c r="BC93" i="1"/>
  <c r="BC94" i="1"/>
  <c r="BC91" i="1"/>
  <c r="BC111" i="3"/>
  <c r="BC92" i="3" s="1"/>
  <c r="BC97" i="3" s="1"/>
  <c r="AS63" i="3"/>
  <c r="AW63" i="3" s="1"/>
  <c r="AK12" i="3"/>
  <c r="BA127" i="3"/>
  <c r="BA142" i="3"/>
  <c r="BA93" i="3"/>
  <c r="AO5" i="4"/>
  <c r="AO2" i="47"/>
  <c r="BA6" i="3"/>
  <c r="AZ6" i="2" s="1"/>
  <c r="AU6" i="1"/>
  <c r="AU7" i="3"/>
  <c r="AH81" i="1"/>
  <c r="Y81" i="1"/>
  <c r="AI155" i="47"/>
  <c r="AI159" i="47"/>
  <c r="AI154" i="47"/>
  <c r="AO159" i="47"/>
  <c r="AO155" i="47"/>
  <c r="AO154" i="47"/>
  <c r="AM5" i="4"/>
  <c r="AM2" i="47"/>
  <c r="AY6" i="3"/>
  <c r="AX6" i="2" s="1"/>
  <c r="AS6" i="1"/>
  <c r="AH157" i="47"/>
  <c r="AH160" i="47"/>
  <c r="AG86" i="1"/>
  <c r="AG37" i="3"/>
  <c r="AP2" i="47"/>
  <c r="AP5" i="4"/>
  <c r="AS7" i="3"/>
  <c r="AZ68" i="1"/>
  <c r="AZ184" i="3"/>
  <c r="AZ164" i="3" s="1"/>
  <c r="AE70" i="3"/>
  <c r="AE91" i="1"/>
  <c r="AE93" i="1"/>
  <c r="AE94" i="1"/>
  <c r="AQ7" i="3"/>
  <c r="AP80" i="1"/>
  <c r="AP79" i="1"/>
  <c r="AP78" i="1"/>
  <c r="Y93" i="1"/>
  <c r="Y91" i="1"/>
  <c r="AK48" i="3"/>
  <c r="AK148" i="47"/>
  <c r="AK151" i="47" s="1"/>
  <c r="AV68" i="1"/>
  <c r="W98" i="3"/>
  <c r="AT96" i="3"/>
  <c r="X96" i="3"/>
  <c r="AU96" i="3"/>
  <c r="AY96" i="3"/>
  <c r="I98" i="3"/>
  <c r="AZ96" i="3"/>
  <c r="F25" i="3"/>
  <c r="BC113" i="3"/>
  <c r="BC94" i="3" s="1"/>
  <c r="BB126" i="3"/>
  <c r="BB141" i="3"/>
  <c r="BB92" i="3"/>
  <c r="AO142" i="3"/>
  <c r="AO93" i="3"/>
  <c r="AO127" i="3"/>
  <c r="AN2" i="47"/>
  <c r="AN5" i="4"/>
  <c r="AZ6" i="3"/>
  <c r="AY6" i="2" s="1"/>
  <c r="AT6" i="1"/>
  <c r="AT7" i="3"/>
  <c r="BE86" i="1"/>
  <c r="BE37" i="3"/>
  <c r="S154" i="47"/>
  <c r="S159" i="47"/>
  <c r="S160" i="47" s="1"/>
  <c r="S155" i="47"/>
  <c r="AM154" i="47"/>
  <c r="AM159" i="47"/>
  <c r="AM155" i="47"/>
  <c r="AQ112" i="3"/>
  <c r="AQ93" i="3" s="1"/>
  <c r="AG81" i="1"/>
  <c r="AJ81" i="1"/>
  <c r="AZ142" i="3"/>
  <c r="AZ93" i="3"/>
  <c r="AZ127" i="3"/>
  <c r="AJ155" i="47"/>
  <c r="AJ154" i="47"/>
  <c r="AJ159" i="47"/>
  <c r="AM112" i="3"/>
  <c r="M55" i="4"/>
  <c r="M59" i="4"/>
  <c r="G60" i="4"/>
  <c r="M58" i="4"/>
  <c r="AS37" i="3"/>
  <c r="AS86" i="1"/>
  <c r="E111" i="1"/>
  <c r="Q111" i="1"/>
  <c r="L110" i="1"/>
  <c r="L111" i="1" s="1"/>
  <c r="AM37" i="3"/>
  <c r="AM86" i="1"/>
  <c r="X100" i="1"/>
  <c r="Y100" i="1" s="1"/>
  <c r="F127" i="1"/>
  <c r="F110" i="1"/>
  <c r="F111" i="1" s="1"/>
  <c r="AY84" i="1"/>
  <c r="AP117" i="1"/>
  <c r="AQ117" i="1" s="1"/>
  <c r="AJ110" i="1"/>
  <c r="AJ111" i="1" s="1"/>
  <c r="W111" i="1"/>
  <c r="R110" i="1"/>
  <c r="R111" i="1" s="1"/>
  <c r="X110" i="1"/>
  <c r="X111" i="1" s="1"/>
  <c r="AP100" i="1"/>
  <c r="AQ100" i="1" s="1"/>
  <c r="BB111" i="1"/>
  <c r="BC110" i="1"/>
  <c r="BC111" i="1" s="1"/>
  <c r="AV111" i="1"/>
  <c r="AW110" i="1"/>
  <c r="AW111" i="1" s="1"/>
  <c r="AP23" i="3"/>
  <c r="BF85" i="1"/>
  <c r="AI111" i="1"/>
  <c r="K111" i="1"/>
  <c r="BB100" i="1"/>
  <c r="BB102" i="1" s="1"/>
  <c r="AO129" i="1"/>
  <c r="AO128" i="1"/>
  <c r="L100" i="1"/>
  <c r="M100" i="1" s="1"/>
  <c r="AY37" i="3"/>
  <c r="AY86" i="1"/>
  <c r="G104" i="1"/>
  <c r="M97" i="1"/>
  <c r="I97" i="1"/>
  <c r="E118" i="1"/>
  <c r="E114" i="1"/>
  <c r="AT49" i="1"/>
  <c r="AZ48" i="1"/>
  <c r="AZ49" i="1" s="1"/>
  <c r="G61" i="47"/>
  <c r="G4" i="47"/>
  <c r="G31" i="47"/>
  <c r="G38" i="47"/>
  <c r="M61" i="47"/>
  <c r="S62" i="47" s="1"/>
  <c r="M31" i="47"/>
  <c r="S32" i="47" s="1"/>
  <c r="P25" i="47"/>
  <c r="M4" i="47"/>
  <c r="M23" i="47"/>
  <c r="M24" i="47" s="1"/>
  <c r="M38" i="47"/>
  <c r="M156" i="47"/>
  <c r="M111" i="47"/>
  <c r="M87" i="47"/>
  <c r="O62" i="47"/>
  <c r="AU76" i="4"/>
  <c r="BA74" i="4"/>
  <c r="BG74" i="4" s="1"/>
  <c r="M110" i="47"/>
  <c r="S110" i="47"/>
  <c r="M70" i="47"/>
  <c r="Y24" i="47"/>
  <c r="BB136" i="47"/>
  <c r="BB142" i="47"/>
  <c r="BC142" i="47" s="1"/>
  <c r="AE24" i="47"/>
  <c r="CE88" i="47"/>
  <c r="CE63" i="47"/>
  <c r="S87" i="47"/>
  <c r="CE156" i="47"/>
  <c r="BY156" i="47"/>
  <c r="CF88" i="47"/>
  <c r="Y62" i="47"/>
  <c r="BC135" i="47"/>
  <c r="AV145" i="47"/>
  <c r="AW142" i="47"/>
  <c r="AW145" i="47" s="1"/>
  <c r="AE62" i="47"/>
  <c r="AK62" i="47"/>
  <c r="CE134" i="3"/>
  <c r="CE119" i="3"/>
  <c r="CE85" i="3"/>
  <c r="BA50" i="47"/>
  <c r="BG50" i="47"/>
  <c r="AQ24" i="47"/>
  <c r="BM89" i="47"/>
  <c r="BM87" i="47"/>
  <c r="BC77" i="47"/>
  <c r="BC78" i="47" s="1"/>
  <c r="K62" i="47"/>
  <c r="K63" i="47" s="1"/>
  <c r="Q62" i="47"/>
  <c r="AG63" i="47"/>
  <c r="CG89" i="47"/>
  <c r="CG87" i="47"/>
  <c r="AE5" i="47"/>
  <c r="AK5" i="47"/>
  <c r="AP7" i="47"/>
  <c r="BC12" i="47"/>
  <c r="BI12" i="47"/>
  <c r="X24" i="47"/>
  <c r="AS5" i="47"/>
  <c r="AY5" i="47"/>
  <c r="AV93" i="47"/>
  <c r="AV67" i="47"/>
  <c r="AV86" i="47"/>
  <c r="AP63" i="47"/>
  <c r="BZ90" i="47"/>
  <c r="CC156" i="47"/>
  <c r="BW169" i="47"/>
  <c r="BQ171" i="47"/>
  <c r="BI173" i="47"/>
  <c r="BI174" i="47" s="1"/>
  <c r="BI175" i="47"/>
  <c r="S89" i="47"/>
  <c r="Y90" i="47" s="1"/>
  <c r="X120" i="47"/>
  <c r="X121" i="47"/>
  <c r="X130" i="47"/>
  <c r="X131" i="47"/>
  <c r="AI7" i="47"/>
  <c r="CF90" i="47"/>
  <c r="BF80" i="47"/>
  <c r="BS62" i="47"/>
  <c r="M75" i="47"/>
  <c r="AY145" i="47"/>
  <c r="S108" i="47"/>
  <c r="BY24" i="47"/>
  <c r="P62" i="47"/>
  <c r="AE132" i="47"/>
  <c r="AK121" i="47"/>
  <c r="AK131" i="47"/>
  <c r="AK130" i="47"/>
  <c r="AQ123" i="47"/>
  <c r="Y18" i="47"/>
  <c r="L41" i="47"/>
  <c r="R41" i="47"/>
  <c r="J41" i="47"/>
  <c r="P41" i="47"/>
  <c r="AW123" i="47"/>
  <c r="BK173" i="47"/>
  <c r="AB63" i="47"/>
  <c r="CC74" i="47"/>
  <c r="O41" i="47"/>
  <c r="BB132" i="47"/>
  <c r="AK90" i="47"/>
  <c r="AO7" i="47"/>
  <c r="CF15" i="4"/>
  <c r="CF16" i="4" s="1"/>
  <c r="CF104" i="3" s="1"/>
  <c r="L62" i="47"/>
  <c r="L63" i="47" s="1"/>
  <c r="AY62" i="47"/>
  <c r="AQ125" i="47"/>
  <c r="AT76" i="4"/>
  <c r="AZ74" i="4"/>
  <c r="BB24" i="47"/>
  <c r="AV5" i="47"/>
  <c r="Y41" i="47"/>
  <c r="AV51" i="47"/>
  <c r="AV49" i="47"/>
  <c r="AV50" i="47" s="1"/>
  <c r="BB49" i="47"/>
  <c r="AY51" i="47"/>
  <c r="AJ7" i="47"/>
  <c r="Q24" i="47"/>
  <c r="W24" i="47"/>
  <c r="CF63" i="47"/>
  <c r="BL171" i="47"/>
  <c r="BL173" i="47" s="1"/>
  <c r="BL175" i="47" s="1"/>
  <c r="BR169" i="47"/>
  <c r="BE138" i="47"/>
  <c r="BK139" i="47" s="1"/>
  <c r="BS156" i="47"/>
  <c r="AD123" i="47"/>
  <c r="AT7" i="47"/>
  <c r="AS93" i="47"/>
  <c r="AS67" i="47"/>
  <c r="AS86" i="47"/>
  <c r="AV61" i="47"/>
  <c r="BC121" i="47"/>
  <c r="BC131" i="47"/>
  <c r="BN87" i="47"/>
  <c r="BN89" i="47"/>
  <c r="BT90" i="47" s="1"/>
  <c r="S12" i="47"/>
  <c r="BZ46" i="4"/>
  <c r="BZ45" i="4" s="1"/>
  <c r="AC83" i="4"/>
  <c r="J29" i="4"/>
  <c r="J62" i="4"/>
  <c r="J63" i="4" s="1"/>
  <c r="J67" i="4" s="1"/>
  <c r="BB69" i="4"/>
  <c r="BB9" i="3"/>
  <c r="BB60" i="4"/>
  <c r="BB135" i="3"/>
  <c r="BB86" i="3"/>
  <c r="BB120" i="3"/>
  <c r="AQ55" i="4"/>
  <c r="AQ60" i="4"/>
  <c r="AW55" i="4"/>
  <c r="AS82" i="4"/>
  <c r="BE86" i="4"/>
  <c r="BE81" i="4"/>
  <c r="BK65" i="4" s="1"/>
  <c r="BQ66" i="4" s="1"/>
  <c r="AT69" i="4"/>
  <c r="AT9" i="3"/>
  <c r="AW6" i="4"/>
  <c r="AZ69" i="4"/>
  <c r="AT60" i="4"/>
  <c r="AQ109" i="4"/>
  <c r="AQ58" i="4" s="1"/>
  <c r="AM58" i="4"/>
  <c r="BG66" i="4"/>
  <c r="BG82" i="4"/>
  <c r="BM83" i="4" s="1"/>
  <c r="AZ103" i="3"/>
  <c r="AV118" i="3"/>
  <c r="AV84" i="3"/>
  <c r="AV133" i="3"/>
  <c r="V66" i="4"/>
  <c r="V82" i="4"/>
  <c r="V83" i="4" s="1"/>
  <c r="AA82" i="4"/>
  <c r="AE65" i="4"/>
  <c r="AA66" i="4"/>
  <c r="AQ132" i="3"/>
  <c r="AQ102" i="3"/>
  <c r="AQ83" i="3" s="1"/>
  <c r="AQ117" i="3"/>
  <c r="Y69" i="4"/>
  <c r="Y60" i="4"/>
  <c r="AM65" i="4"/>
  <c r="AO65" i="4"/>
  <c r="AU66" i="4" s="1"/>
  <c r="Q29" i="4"/>
  <c r="Q31" i="47" s="1"/>
  <c r="W32" i="47" s="1"/>
  <c r="W69" i="4"/>
  <c r="BB82" i="4"/>
  <c r="BB66" i="4"/>
  <c r="Q82" i="4"/>
  <c r="Q66" i="4"/>
  <c r="AW11" i="4"/>
  <c r="BC11" i="4"/>
  <c r="AT121" i="3"/>
  <c r="AW121" i="3" s="1"/>
  <c r="AT136" i="3"/>
  <c r="AW136" i="3" s="1"/>
  <c r="AT87" i="3"/>
  <c r="AV135" i="3"/>
  <c r="AW135" i="3" s="1"/>
  <c r="AV86" i="3"/>
  <c r="AV120" i="3"/>
  <c r="AW120" i="3" s="1"/>
  <c r="AV82" i="4"/>
  <c r="AB82" i="4"/>
  <c r="AB66" i="4"/>
  <c r="CC46" i="4"/>
  <c r="CC45" i="4" s="1"/>
  <c r="BA118" i="3"/>
  <c r="BA84" i="3"/>
  <c r="BA133" i="3"/>
  <c r="AW105" i="3"/>
  <c r="AW86" i="3" s="1"/>
  <c r="S65" i="4"/>
  <c r="AK60" i="4"/>
  <c r="AU82" i="4"/>
  <c r="AE69" i="4"/>
  <c r="AJ82" i="4"/>
  <c r="AJ66" i="4"/>
  <c r="K82" i="4"/>
  <c r="K66" i="4"/>
  <c r="BE74" i="4"/>
  <c r="BK74" i="4" s="1"/>
  <c r="BQ74" i="4" s="1"/>
  <c r="BQ76" i="4" s="1"/>
  <c r="AY76" i="4"/>
  <c r="AZ41" i="4"/>
  <c r="AT41" i="4"/>
  <c r="AT10" i="3"/>
  <c r="AW39" i="4"/>
  <c r="AW121" i="4" s="1"/>
  <c r="U66" i="4"/>
  <c r="Y65" i="4"/>
  <c r="U82" i="4"/>
  <c r="AW51" i="4"/>
  <c r="BC51" i="4"/>
  <c r="AW106" i="3"/>
  <c r="AW87" i="3" s="1"/>
  <c r="O29" i="4"/>
  <c r="U69" i="4"/>
  <c r="AE137" i="3"/>
  <c r="I62" i="4"/>
  <c r="I63" i="4" s="1"/>
  <c r="I67" i="4" s="1"/>
  <c r="I29" i="4"/>
  <c r="AH82" i="4"/>
  <c r="AH66" i="4"/>
  <c r="AY82" i="4"/>
  <c r="AY66" i="4"/>
  <c r="AA88" i="3"/>
  <c r="AE107" i="3"/>
  <c r="AE88" i="3" s="1"/>
  <c r="AZ136" i="3"/>
  <c r="AZ121" i="3"/>
  <c r="AZ87" i="3"/>
  <c r="BF66" i="4"/>
  <c r="BF82" i="4"/>
  <c r="BL83" i="4" s="1"/>
  <c r="BA82" i="4"/>
  <c r="BA66" i="4"/>
  <c r="AT103" i="3"/>
  <c r="AH13" i="3"/>
  <c r="P29" i="4"/>
  <c r="V69" i="4"/>
  <c r="AG66" i="4"/>
  <c r="AK65" i="4"/>
  <c r="AG82" i="4"/>
  <c r="AI82" i="4"/>
  <c r="AI66" i="4"/>
  <c r="AD132" i="3"/>
  <c r="AD117" i="3"/>
  <c r="AD102" i="3"/>
  <c r="AD83" i="3" s="1"/>
  <c r="AE122" i="3"/>
  <c r="W66" i="4"/>
  <c r="AZ56" i="3"/>
  <c r="AZ36" i="3"/>
  <c r="AZ34" i="3"/>
  <c r="F112" i="3"/>
  <c r="F93" i="3" s="1"/>
  <c r="F127" i="3"/>
  <c r="F142" i="3"/>
  <c r="X56" i="3"/>
  <c r="X36" i="3"/>
  <c r="AS56" i="3"/>
  <c r="AS36" i="3"/>
  <c r="AS34" i="3"/>
  <c r="AS148" i="1" s="1"/>
  <c r="AS149" i="1" s="1"/>
  <c r="AS150" i="1" s="1"/>
  <c r="AS151" i="1" s="1"/>
  <c r="M143" i="3"/>
  <c r="M113" i="3"/>
  <c r="M94" i="3" s="1"/>
  <c r="M128" i="3"/>
  <c r="AD71" i="3"/>
  <c r="AD54" i="3"/>
  <c r="AD33" i="3"/>
  <c r="AD23" i="3"/>
  <c r="AJ71" i="3"/>
  <c r="G143" i="3"/>
  <c r="G128" i="3"/>
  <c r="G113" i="3"/>
  <c r="G94" i="3" s="1"/>
  <c r="AS160" i="3"/>
  <c r="AS98" i="3"/>
  <c r="BC54" i="3"/>
  <c r="BC33" i="3"/>
  <c r="BC23" i="3"/>
  <c r="BC71" i="3"/>
  <c r="AV56" i="3"/>
  <c r="AV36" i="3"/>
  <c r="AV34" i="3"/>
  <c r="AV148" i="1" s="1"/>
  <c r="AV149" i="1" s="1"/>
  <c r="AV150" i="1" s="1"/>
  <c r="AV151" i="1" s="1"/>
  <c r="AD97" i="3"/>
  <c r="AT36" i="3"/>
  <c r="AT56" i="3"/>
  <c r="AT34" i="3"/>
  <c r="AT148" i="1" s="1"/>
  <c r="AT149" i="1" s="1"/>
  <c r="AT150" i="1" s="1"/>
  <c r="AT151" i="1" s="1"/>
  <c r="I36" i="3"/>
  <c r="I56" i="3"/>
  <c r="I34" i="3"/>
  <c r="AQ139" i="3"/>
  <c r="X34" i="3"/>
  <c r="Y143" i="3"/>
  <c r="Y128" i="3"/>
  <c r="Y113" i="3"/>
  <c r="Y94" i="3" s="1"/>
  <c r="W56" i="3"/>
  <c r="W36" i="3"/>
  <c r="W34" i="3"/>
  <c r="BC139" i="3"/>
  <c r="BE96" i="3"/>
  <c r="AK23" i="3"/>
  <c r="AK33" i="3"/>
  <c r="AK54" i="3"/>
  <c r="AE25" i="3"/>
  <c r="BA33" i="3"/>
  <c r="BA23" i="3"/>
  <c r="BA54" i="3"/>
  <c r="BA184" i="3" s="1"/>
  <c r="BA164" i="3" s="1"/>
  <c r="BA71" i="3"/>
  <c r="P56" i="3"/>
  <c r="P36" i="3"/>
  <c r="P34" i="3"/>
  <c r="AE142" i="3"/>
  <c r="BC124" i="3"/>
  <c r="BC90" i="3"/>
  <c r="BC109" i="3"/>
  <c r="S139" i="3"/>
  <c r="S109" i="3"/>
  <c r="S90" i="3"/>
  <c r="S124" i="3"/>
  <c r="AB96" i="3"/>
  <c r="E56" i="3"/>
  <c r="E34" i="3"/>
  <c r="E36" i="3"/>
  <c r="G141" i="3"/>
  <c r="G126" i="3"/>
  <c r="G111" i="3"/>
  <c r="G92" i="3" s="1"/>
  <c r="AV160" i="3"/>
  <c r="AV98" i="3"/>
  <c r="L97" i="3"/>
  <c r="AN160" i="3"/>
  <c r="AN98" i="3"/>
  <c r="L109" i="3"/>
  <c r="L124" i="3"/>
  <c r="L139" i="3"/>
  <c r="L90" i="3"/>
  <c r="AK124" i="3"/>
  <c r="AK109" i="3"/>
  <c r="AK90" i="3"/>
  <c r="BE126" i="3"/>
  <c r="BE141" i="3"/>
  <c r="BE92" i="3"/>
  <c r="W96" i="3"/>
  <c r="Y127" i="3"/>
  <c r="Y142" i="3"/>
  <c r="Y112" i="3"/>
  <c r="Y93" i="3" s="1"/>
  <c r="AY54" i="3"/>
  <c r="AY188" i="3" s="1"/>
  <c r="AY165" i="3" s="1"/>
  <c r="AY71" i="3"/>
  <c r="AY33" i="3"/>
  <c r="AY23" i="3"/>
  <c r="AE111" i="3"/>
  <c r="AE92" i="3" s="1"/>
  <c r="AA92" i="3"/>
  <c r="AM160" i="3"/>
  <c r="AM98" i="3"/>
  <c r="AV7" i="3"/>
  <c r="BB6" i="3"/>
  <c r="BA6" i="2" s="1"/>
  <c r="J56" i="3"/>
  <c r="J36" i="3"/>
  <c r="J34" i="3"/>
  <c r="V96" i="3"/>
  <c r="AP160" i="3"/>
  <c r="AP98" i="3"/>
  <c r="S54" i="3"/>
  <c r="S33" i="3"/>
  <c r="BE71" i="3"/>
  <c r="AN56" i="3"/>
  <c r="AN36" i="3"/>
  <c r="AN34" i="3"/>
  <c r="AN148" i="1" s="1"/>
  <c r="AN149" i="1" s="1"/>
  <c r="AN150" i="1" s="1"/>
  <c r="AN151" i="1" s="1"/>
  <c r="L54" i="3"/>
  <c r="L33" i="3"/>
  <c r="L23" i="3"/>
  <c r="R71" i="3"/>
  <c r="AM56" i="3"/>
  <c r="AM36" i="3"/>
  <c r="AM34" i="3"/>
  <c r="AM148" i="1" s="1"/>
  <c r="AM149" i="1" s="1"/>
  <c r="AM150" i="1" s="1"/>
  <c r="AM151" i="1" s="1"/>
  <c r="V36" i="3"/>
  <c r="V56" i="3"/>
  <c r="V34" i="3"/>
  <c r="AW33" i="3"/>
  <c r="AW71" i="3"/>
  <c r="AW54" i="3"/>
  <c r="AW23" i="3"/>
  <c r="AB49" i="3"/>
  <c r="AB15" i="3"/>
  <c r="AB148" i="47" s="1"/>
  <c r="AB151" i="47" s="1"/>
  <c r="AB13" i="3"/>
  <c r="O98" i="3"/>
  <c r="K98" i="3"/>
  <c r="G47" i="3"/>
  <c r="AM96" i="3"/>
  <c r="AQ90" i="3"/>
  <c r="AQ109" i="3"/>
  <c r="AQ124" i="3"/>
  <c r="AJ49" i="3"/>
  <c r="AJ13" i="3"/>
  <c r="BF111" i="3"/>
  <c r="AD109" i="3"/>
  <c r="AD139" i="3"/>
  <c r="AD124" i="3"/>
  <c r="AD90" i="3"/>
  <c r="BS143" i="3"/>
  <c r="BS128" i="3"/>
  <c r="BS94" i="3"/>
  <c r="AQ54" i="3"/>
  <c r="AQ71" i="3"/>
  <c r="AQ33" i="3"/>
  <c r="AK16" i="3"/>
  <c r="AK49" i="3" s="1"/>
  <c r="AK139" i="3"/>
  <c r="AA54" i="3"/>
  <c r="AA71" i="3"/>
  <c r="AA23" i="3"/>
  <c r="AA33" i="3"/>
  <c r="AG71" i="3"/>
  <c r="K56" i="3"/>
  <c r="K36" i="3"/>
  <c r="K34" i="3"/>
  <c r="F139" i="3"/>
  <c r="F124" i="3"/>
  <c r="F90" i="3"/>
  <c r="F109" i="3"/>
  <c r="AA93" i="3"/>
  <c r="AE112" i="3"/>
  <c r="AE93" i="3" s="1"/>
  <c r="AO160" i="3"/>
  <c r="AO98" i="3"/>
  <c r="AK70" i="3"/>
  <c r="AM49" i="3"/>
  <c r="AM13" i="3"/>
  <c r="P98" i="3"/>
  <c r="AU98" i="3"/>
  <c r="AS96" i="3"/>
  <c r="AO36" i="3"/>
  <c r="AO34" i="3"/>
  <c r="AO148" i="1" s="1"/>
  <c r="AO149" i="1" s="1"/>
  <c r="AO150" i="1" s="1"/>
  <c r="AO151" i="1" s="1"/>
  <c r="AO56" i="3"/>
  <c r="Y141" i="3"/>
  <c r="Y111" i="3"/>
  <c r="Y92" i="3" s="1"/>
  <c r="Y126" i="3"/>
  <c r="V98" i="3"/>
  <c r="AW124" i="3"/>
  <c r="AW109" i="3"/>
  <c r="AW90" i="3"/>
  <c r="I96" i="3"/>
  <c r="S143" i="3"/>
  <c r="S128" i="3"/>
  <c r="S113" i="3"/>
  <c r="S94" i="3" s="1"/>
  <c r="AH56" i="3"/>
  <c r="AH36" i="3"/>
  <c r="AH34" i="3"/>
  <c r="AT160" i="3"/>
  <c r="AT98" i="3"/>
  <c r="M127" i="3"/>
  <c r="M112" i="3"/>
  <c r="M93" i="3" s="1"/>
  <c r="M142" i="3"/>
  <c r="K96" i="3"/>
  <c r="AP36" i="3"/>
  <c r="AP56" i="3"/>
  <c r="AP34" i="3"/>
  <c r="AP148" i="1" s="1"/>
  <c r="AP149" i="1" s="1"/>
  <c r="AP150" i="1" s="1"/>
  <c r="AP151" i="1" s="1"/>
  <c r="O96" i="3"/>
  <c r="C56" i="3"/>
  <c r="C34" i="3"/>
  <c r="C36" i="3"/>
  <c r="AZ160" i="3"/>
  <c r="AZ98" i="3"/>
  <c r="AZ188" i="3"/>
  <c r="AZ165" i="3" s="1"/>
  <c r="M66" i="3"/>
  <c r="AH96" i="3"/>
  <c r="AW139" i="3"/>
  <c r="BF68" i="3"/>
  <c r="BF51" i="3"/>
  <c r="Y70" i="3"/>
  <c r="Y25" i="3"/>
  <c r="S111" i="3"/>
  <c r="S92" i="3" s="1"/>
  <c r="S126" i="3"/>
  <c r="S141" i="3"/>
  <c r="M141" i="3"/>
  <c r="M111" i="3"/>
  <c r="M92" i="3" s="1"/>
  <c r="M126" i="3"/>
  <c r="BA96" i="3"/>
  <c r="O36" i="3"/>
  <c r="O34" i="3"/>
  <c r="O56" i="3"/>
  <c r="BQ79" i="4" l="1"/>
  <c r="BG24" i="47"/>
  <c r="AK132" i="3"/>
  <c r="AK117" i="3"/>
  <c r="AK102" i="3"/>
  <c r="AK83" i="3" s="1"/>
  <c r="AE55" i="4"/>
  <c r="AK58" i="4"/>
  <c r="AE155" i="47"/>
  <c r="AE12" i="3"/>
  <c r="AK55" i="4"/>
  <c r="AE60" i="4"/>
  <c r="AE146" i="1"/>
  <c r="AA157" i="47"/>
  <c r="AG158" i="47" s="1"/>
  <c r="AU43" i="3"/>
  <c r="AT63" i="2" s="1"/>
  <c r="AW132" i="47"/>
  <c r="AK48" i="1"/>
  <c r="BF139" i="47"/>
  <c r="AN49" i="1"/>
  <c r="AC36" i="3"/>
  <c r="Q77" i="3"/>
  <c r="P8" i="2" s="1"/>
  <c r="P25" i="2" s="1"/>
  <c r="P47" i="2" s="1"/>
  <c r="AW48" i="1"/>
  <c r="Q154" i="3"/>
  <c r="Q61" i="1"/>
  <c r="AZ139" i="47"/>
  <c r="Q57" i="3"/>
  <c r="BB49" i="1"/>
  <c r="BH94" i="47"/>
  <c r="BB99" i="47"/>
  <c r="BB26" i="47"/>
  <c r="BB27" i="47" s="1"/>
  <c r="BC27" i="47" s="1"/>
  <c r="BN26" i="47"/>
  <c r="BN27" i="47" s="1"/>
  <c r="BE94" i="47"/>
  <c r="AY99" i="47"/>
  <c r="BF94" i="47"/>
  <c r="AZ99" i="47"/>
  <c r="BH79" i="4"/>
  <c r="BH107" i="47" s="1"/>
  <c r="BK42" i="4"/>
  <c r="BN76" i="4"/>
  <c r="BK76" i="4"/>
  <c r="BK105" i="47" s="1"/>
  <c r="AK69" i="1"/>
  <c r="AU76" i="3"/>
  <c r="AU148" i="1"/>
  <c r="AU149" i="1" s="1"/>
  <c r="AU150" i="1" s="1"/>
  <c r="AU151" i="1" s="1"/>
  <c r="AU57" i="3"/>
  <c r="AB36" i="3"/>
  <c r="AH72" i="3" s="1"/>
  <c r="M56" i="4"/>
  <c r="AW42" i="1"/>
  <c r="M132" i="47"/>
  <c r="I64" i="3"/>
  <c r="BO167" i="47"/>
  <c r="AS173" i="1"/>
  <c r="AS63" i="1" s="1"/>
  <c r="AV173" i="1"/>
  <c r="AV63" i="1" s="1"/>
  <c r="AV172" i="1"/>
  <c r="AT172" i="1"/>
  <c r="AP173" i="1"/>
  <c r="AS172" i="1"/>
  <c r="J64" i="3"/>
  <c r="J62" i="3"/>
  <c r="AI148" i="1"/>
  <c r="AI149" i="1" s="1"/>
  <c r="AI150" i="1" s="1"/>
  <c r="AI172" i="1" s="1"/>
  <c r="AM172" i="1"/>
  <c r="P148" i="1"/>
  <c r="P149" i="1" s="1"/>
  <c r="P150" i="1" s="1"/>
  <c r="P151" i="1" s="1"/>
  <c r="AE147" i="1"/>
  <c r="AN172" i="1"/>
  <c r="AT173" i="1"/>
  <c r="V148" i="1"/>
  <c r="V149" i="1" s="1"/>
  <c r="V150" i="1" s="1"/>
  <c r="V151" i="1" s="1"/>
  <c r="U148" i="1"/>
  <c r="U149" i="1" s="1"/>
  <c r="U150" i="1" s="1"/>
  <c r="U151" i="1" s="1"/>
  <c r="AH148" i="1"/>
  <c r="AH149" i="1" s="1"/>
  <c r="AH150" i="1" s="1"/>
  <c r="AH151" i="1" s="1"/>
  <c r="M54" i="3"/>
  <c r="M147" i="1"/>
  <c r="R56" i="3"/>
  <c r="AO172" i="1"/>
  <c r="AP172" i="1"/>
  <c r="W148" i="1"/>
  <c r="W149" i="1" s="1"/>
  <c r="W150" i="1" s="1"/>
  <c r="W151" i="1" s="1"/>
  <c r="AG148" i="1"/>
  <c r="AG149" i="1" s="1"/>
  <c r="AG150" i="1" s="1"/>
  <c r="AG151" i="1" s="1"/>
  <c r="AO173" i="1"/>
  <c r="O148" i="1"/>
  <c r="O149" i="1" s="1"/>
  <c r="O150" i="1" s="1"/>
  <c r="O151" i="1" s="1"/>
  <c r="R36" i="3"/>
  <c r="R154" i="3" s="1"/>
  <c r="X148" i="1"/>
  <c r="X149" i="1" s="1"/>
  <c r="X150" i="1" s="1"/>
  <c r="X151" i="1" s="1"/>
  <c r="AZ173" i="3"/>
  <c r="AZ174" i="3" s="1"/>
  <c r="AZ163" i="3" s="1"/>
  <c r="AZ148" i="1"/>
  <c r="AZ149" i="1" s="1"/>
  <c r="AZ150" i="1" s="1"/>
  <c r="AZ151" i="1" s="1"/>
  <c r="L57" i="4"/>
  <c r="R34" i="3"/>
  <c r="D148" i="1"/>
  <c r="D149" i="1" s="1"/>
  <c r="D150" i="1" s="1"/>
  <c r="D151" i="1" s="1"/>
  <c r="AJ148" i="1"/>
  <c r="AJ149" i="1" s="1"/>
  <c r="AJ150" i="1" s="1"/>
  <c r="AJ173" i="1" s="1"/>
  <c r="AM173" i="1"/>
  <c r="Q148" i="1"/>
  <c r="Q149" i="1" s="1"/>
  <c r="Q150" i="1" s="1"/>
  <c r="Q151" i="1" s="1"/>
  <c r="I148" i="1"/>
  <c r="I149" i="1" s="1"/>
  <c r="I150" i="1" s="1"/>
  <c r="I151" i="1" s="1"/>
  <c r="Y147" i="1"/>
  <c r="K148" i="1"/>
  <c r="K149" i="1" s="1"/>
  <c r="K150" i="1" s="1"/>
  <c r="K151" i="1" s="1"/>
  <c r="F23" i="3"/>
  <c r="F147" i="1"/>
  <c r="C148" i="1"/>
  <c r="C149" i="1" s="1"/>
  <c r="C150" i="1" s="1"/>
  <c r="C151" i="1" s="1"/>
  <c r="J148" i="1"/>
  <c r="J149" i="1" s="1"/>
  <c r="J150" i="1" s="1"/>
  <c r="J151" i="1" s="1"/>
  <c r="E148" i="1"/>
  <c r="E149" i="1" s="1"/>
  <c r="E150" i="1" s="1"/>
  <c r="E151" i="1" s="1"/>
  <c r="BX34" i="3"/>
  <c r="BX148" i="1" s="1"/>
  <c r="AN173" i="1"/>
  <c r="BC168" i="1"/>
  <c r="BC170" i="1"/>
  <c r="BM139" i="47"/>
  <c r="BI166" i="1"/>
  <c r="G69" i="1"/>
  <c r="BA49" i="1"/>
  <c r="G57" i="4"/>
  <c r="BT94" i="3"/>
  <c r="BG64" i="3"/>
  <c r="AI96" i="3"/>
  <c r="BF62" i="3"/>
  <c r="BF64" i="3"/>
  <c r="K64" i="3"/>
  <c r="K62" i="3"/>
  <c r="AM63" i="3"/>
  <c r="AQ63" i="3" s="1"/>
  <c r="M97" i="47"/>
  <c r="BG76" i="4"/>
  <c r="BM74" i="4"/>
  <c r="BM76" i="4" s="1"/>
  <c r="BM158" i="47"/>
  <c r="BM182" i="47"/>
  <c r="AB68" i="1"/>
  <c r="AD99" i="2"/>
  <c r="AE139" i="3"/>
  <c r="AC34" i="3"/>
  <c r="AC56" i="3"/>
  <c r="AB34" i="3"/>
  <c r="AB56" i="3"/>
  <c r="BT128" i="3"/>
  <c r="AI98" i="3"/>
  <c r="BW94" i="3"/>
  <c r="BW128" i="3"/>
  <c r="BW143" i="3"/>
  <c r="BY53" i="3"/>
  <c r="BX113" i="3"/>
  <c r="Y96" i="3"/>
  <c r="AB98" i="3"/>
  <c r="AH98" i="3"/>
  <c r="AC68" i="1"/>
  <c r="AE124" i="3"/>
  <c r="AE109" i="3"/>
  <c r="BF94" i="2"/>
  <c r="M139" i="3"/>
  <c r="G112" i="3"/>
  <c r="G93" i="3" s="1"/>
  <c r="AQ132" i="47"/>
  <c r="AW69" i="1"/>
  <c r="AK42" i="1"/>
  <c r="AP49" i="1"/>
  <c r="AU132" i="3"/>
  <c r="AS68" i="47"/>
  <c r="AY69" i="47" s="1"/>
  <c r="AY68" i="47"/>
  <c r="BB68" i="47"/>
  <c r="AV68" i="47"/>
  <c r="BB69" i="47" s="1"/>
  <c r="AZ68" i="47"/>
  <c r="AT68" i="47"/>
  <c r="AZ69" i="47" s="1"/>
  <c r="BI78" i="47"/>
  <c r="Y131" i="47"/>
  <c r="AW23" i="47"/>
  <c r="BA66" i="47"/>
  <c r="BA93" i="47" s="1"/>
  <c r="M94" i="47"/>
  <c r="M112" i="47"/>
  <c r="BW76" i="47"/>
  <c r="BU76" i="47"/>
  <c r="BB121" i="3"/>
  <c r="BB87" i="3"/>
  <c r="BB136" i="3"/>
  <c r="BC106" i="3"/>
  <c r="BC87" i="3" s="1"/>
  <c r="BA87" i="3"/>
  <c r="BA136" i="3"/>
  <c r="BA121" i="3"/>
  <c r="BT68" i="47"/>
  <c r="AV102" i="3"/>
  <c r="AV83" i="3" s="1"/>
  <c r="AV132" i="3"/>
  <c r="AU93" i="47"/>
  <c r="BI24" i="47"/>
  <c r="BC120" i="3"/>
  <c r="E116" i="1"/>
  <c r="BC48" i="1"/>
  <c r="AJ49" i="1"/>
  <c r="BC42" i="1"/>
  <c r="AQ48" i="1"/>
  <c r="AQ69" i="1"/>
  <c r="AE90" i="3"/>
  <c r="AE96" i="3" s="1"/>
  <c r="BH77" i="4"/>
  <c r="BB79" i="4"/>
  <c r="AU102" i="3"/>
  <c r="AU83" i="3" s="1"/>
  <c r="AU117" i="3"/>
  <c r="BB36" i="3"/>
  <c r="BB154" i="3" s="1"/>
  <c r="F33" i="3"/>
  <c r="AI61" i="1"/>
  <c r="BE174" i="3"/>
  <c r="BE163" i="3" s="1"/>
  <c r="Y121" i="47"/>
  <c r="Y129" i="47"/>
  <c r="AU24" i="47"/>
  <c r="BG26" i="47"/>
  <c r="BG27" i="47" s="1"/>
  <c r="Y120" i="47"/>
  <c r="BA24" i="47"/>
  <c r="AT87" i="47"/>
  <c r="BC15" i="47"/>
  <c r="AT80" i="47"/>
  <c r="BB105" i="47"/>
  <c r="G132" i="47"/>
  <c r="AW61" i="47"/>
  <c r="AW62" i="47" s="1"/>
  <c r="AW63" i="47" s="1"/>
  <c r="AT75" i="47"/>
  <c r="AT89" i="47"/>
  <c r="AT90" i="47" s="1"/>
  <c r="AV105" i="47"/>
  <c r="AV106" i="47" s="1"/>
  <c r="BB77" i="4"/>
  <c r="AV79" i="4"/>
  <c r="X157" i="47"/>
  <c r="BC49" i="47"/>
  <c r="BI50" i="47" s="1"/>
  <c r="AW66" i="47"/>
  <c r="AU5" i="47"/>
  <c r="AU7" i="47" s="1"/>
  <c r="AV77" i="4"/>
  <c r="AU86" i="47"/>
  <c r="AU70" i="47" s="1"/>
  <c r="Y159" i="47"/>
  <c r="Y160" i="47" s="1"/>
  <c r="AU67" i="47"/>
  <c r="AE123" i="47"/>
  <c r="AT70" i="47"/>
  <c r="AT111" i="47"/>
  <c r="BM26" i="47"/>
  <c r="BM27" i="47" s="1"/>
  <c r="AT156" i="47"/>
  <c r="AQ63" i="47"/>
  <c r="BR88" i="47"/>
  <c r="AT85" i="47"/>
  <c r="BF157" i="47"/>
  <c r="BL158" i="47" s="1"/>
  <c r="BF160" i="47"/>
  <c r="BH26" i="47"/>
  <c r="BH27" i="47" s="1"/>
  <c r="AY63" i="47"/>
  <c r="AU62" i="47"/>
  <c r="P63" i="47"/>
  <c r="N30" i="10"/>
  <c r="O30" i="10"/>
  <c r="AV154" i="47"/>
  <c r="AV155" i="47"/>
  <c r="U157" i="47"/>
  <c r="BE34" i="3"/>
  <c r="BE148" i="1" s="1"/>
  <c r="BE149" i="1" s="1"/>
  <c r="BE150" i="1" s="1"/>
  <c r="BE172" i="1" s="1"/>
  <c r="AE154" i="47"/>
  <c r="AV117" i="3"/>
  <c r="BB34" i="3"/>
  <c r="BB56" i="3"/>
  <c r="Y154" i="47"/>
  <c r="BB188" i="3"/>
  <c r="BB165" i="3" s="1"/>
  <c r="BB184" i="3"/>
  <c r="BB164" i="3" s="1"/>
  <c r="Y155" i="47"/>
  <c r="M124" i="3"/>
  <c r="BK158" i="47"/>
  <c r="AI57" i="3"/>
  <c r="W90" i="2"/>
  <c r="W89" i="2"/>
  <c r="W88" i="2"/>
  <c r="Q89" i="2"/>
  <c r="Q90" i="2"/>
  <c r="Q88" i="2"/>
  <c r="F89" i="2"/>
  <c r="F90" i="2"/>
  <c r="F88" i="2"/>
  <c r="L90" i="2"/>
  <c r="L88" i="2"/>
  <c r="L89" i="2"/>
  <c r="AV90" i="2"/>
  <c r="AV88" i="2"/>
  <c r="AV89" i="2"/>
  <c r="BA89" i="2"/>
  <c r="BA90" i="2"/>
  <c r="BA88" i="2"/>
  <c r="BB89" i="2"/>
  <c r="BB90" i="2"/>
  <c r="BB88" i="2"/>
  <c r="X90" i="2"/>
  <c r="X88" i="2"/>
  <c r="X89" i="2"/>
  <c r="AP102" i="1"/>
  <c r="V157" i="47"/>
  <c r="M109" i="3"/>
  <c r="BE160" i="3"/>
  <c r="BE188" i="3"/>
  <c r="BE165" i="3" s="1"/>
  <c r="AI43" i="3"/>
  <c r="AH63" i="2" s="1"/>
  <c r="M90" i="3"/>
  <c r="S96" i="3" s="1"/>
  <c r="AI76" i="3"/>
  <c r="AI154" i="3"/>
  <c r="BG50" i="3"/>
  <c r="BE36" i="3"/>
  <c r="AS13" i="3"/>
  <c r="BE62" i="3"/>
  <c r="BG19" i="3"/>
  <c r="BG67" i="3"/>
  <c r="BE64" i="3"/>
  <c r="BE184" i="3"/>
  <c r="BE164" i="3" s="1"/>
  <c r="AS155" i="47"/>
  <c r="AS154" i="47"/>
  <c r="BK82" i="4"/>
  <c r="BK70" i="47"/>
  <c r="BR90" i="47"/>
  <c r="BR63" i="47"/>
  <c r="BX63" i="47"/>
  <c r="AE159" i="47"/>
  <c r="AE160" i="47" s="1"/>
  <c r="U77" i="3"/>
  <c r="T8" i="2" s="1"/>
  <c r="AG43" i="3"/>
  <c r="AF63" i="2" s="1"/>
  <c r="U57" i="3"/>
  <c r="U43" i="3"/>
  <c r="T63" i="2" s="1"/>
  <c r="AG154" i="3"/>
  <c r="U154" i="3"/>
  <c r="U61" i="1"/>
  <c r="AG57" i="3"/>
  <c r="AG76" i="3"/>
  <c r="AU161" i="3"/>
  <c r="BE56" i="3"/>
  <c r="AG61" i="1"/>
  <c r="AG62" i="1"/>
  <c r="S69" i="1"/>
  <c r="AY49" i="1"/>
  <c r="BF25" i="3"/>
  <c r="BF147" i="1" s="1"/>
  <c r="BF93" i="1"/>
  <c r="BA132" i="3"/>
  <c r="BC9" i="3"/>
  <c r="BC48" i="3" s="1"/>
  <c r="CE74" i="47"/>
  <c r="AY7" i="3"/>
  <c r="BC110" i="47"/>
  <c r="BA159" i="47"/>
  <c r="BA160" i="47" s="1"/>
  <c r="BI157" i="47"/>
  <c r="BB112" i="1"/>
  <c r="BC112" i="1" s="1"/>
  <c r="AQ127" i="1"/>
  <c r="S23" i="3"/>
  <c r="AP128" i="1"/>
  <c r="AN82" i="4"/>
  <c r="BA48" i="3"/>
  <c r="BA117" i="3"/>
  <c r="BH83" i="4"/>
  <c r="AP157" i="47"/>
  <c r="BA102" i="3"/>
  <c r="BA83" i="3" s="1"/>
  <c r="BC135" i="3"/>
  <c r="BA154" i="47"/>
  <c r="BE87" i="4"/>
  <c r="BI86" i="4"/>
  <c r="BI87" i="4" s="1"/>
  <c r="BO88" i="4" s="1"/>
  <c r="AQ16" i="3"/>
  <c r="AQ49" i="3" s="1"/>
  <c r="BE76" i="4"/>
  <c r="BE77" i="4" s="1"/>
  <c r="BA155" i="47"/>
  <c r="AS105" i="47"/>
  <c r="AS106" i="47" s="1"/>
  <c r="BC126" i="3"/>
  <c r="AJ154" i="3"/>
  <c r="W157" i="47"/>
  <c r="AO84" i="1"/>
  <c r="AJ61" i="1"/>
  <c r="M23" i="3"/>
  <c r="AK110" i="1"/>
  <c r="AK111" i="1" s="1"/>
  <c r="AP66" i="4"/>
  <c r="AB83" i="4"/>
  <c r="M66" i="4"/>
  <c r="AP82" i="4"/>
  <c r="AP83" i="4" s="1"/>
  <c r="AO13" i="3"/>
  <c r="AQ13" i="3" s="1"/>
  <c r="U83" i="4"/>
  <c r="AE48" i="1"/>
  <c r="AQ42" i="1"/>
  <c r="AE42" i="1"/>
  <c r="AV49" i="1"/>
  <c r="AE69" i="1"/>
  <c r="CG90" i="47"/>
  <c r="AO85" i="1"/>
  <c r="AH37" i="3"/>
  <c r="AH87" i="1"/>
  <c r="CG63" i="47"/>
  <c r="CG88" i="47"/>
  <c r="CA46" i="4"/>
  <c r="AE32" i="47"/>
  <c r="CF74" i="47"/>
  <c r="AQ148" i="47"/>
  <c r="AQ151" i="47" s="1"/>
  <c r="AQ159" i="47" s="1"/>
  <c r="Y6" i="47"/>
  <c r="AU167" i="3"/>
  <c r="BB98" i="3"/>
  <c r="BB160" i="3"/>
  <c r="AZ86" i="1"/>
  <c r="BB191" i="3"/>
  <c r="BB166" i="3" s="1"/>
  <c r="L71" i="3"/>
  <c r="AH86" i="1"/>
  <c r="BB174" i="3"/>
  <c r="BB163" i="3" s="1"/>
  <c r="AO81" i="1"/>
  <c r="AN157" i="47"/>
  <c r="AN160" i="47"/>
  <c r="AJ76" i="3"/>
  <c r="AJ62" i="1"/>
  <c r="AJ43" i="3"/>
  <c r="AI63" i="2" s="1"/>
  <c r="G91" i="1"/>
  <c r="AV13" i="3"/>
  <c r="AT66" i="4"/>
  <c r="G25" i="3"/>
  <c r="G127" i="3"/>
  <c r="AN37" i="3"/>
  <c r="M70" i="3"/>
  <c r="AT86" i="1"/>
  <c r="BU47" i="4"/>
  <c r="H30" i="10"/>
  <c r="D30" i="10"/>
  <c r="G30" i="10"/>
  <c r="AS70" i="47"/>
  <c r="BS88" i="47"/>
  <c r="BS63" i="47"/>
  <c r="M30" i="10"/>
  <c r="L30" i="10"/>
  <c r="BF70" i="3"/>
  <c r="S71" i="3"/>
  <c r="F54" i="3"/>
  <c r="F30" i="10"/>
  <c r="J30" i="10"/>
  <c r="C30" i="10"/>
  <c r="K30" i="10"/>
  <c r="I30" i="10"/>
  <c r="BF91" i="1"/>
  <c r="AM81" i="1"/>
  <c r="AN81" i="1"/>
  <c r="E30" i="10"/>
  <c r="BC174" i="3"/>
  <c r="BC163" i="3" s="1"/>
  <c r="BF83" i="4"/>
  <c r="AS77" i="4"/>
  <c r="AW77" i="4"/>
  <c r="M97" i="3"/>
  <c r="BC127" i="3"/>
  <c r="BC141" i="3"/>
  <c r="BA85" i="1"/>
  <c r="AS62" i="1"/>
  <c r="AN86" i="1"/>
  <c r="D57" i="3"/>
  <c r="D77" i="3"/>
  <c r="C8" i="2" s="1"/>
  <c r="C25" i="2" s="1"/>
  <c r="X98" i="3"/>
  <c r="D61" i="1"/>
  <c r="AW96" i="3"/>
  <c r="D43" i="3"/>
  <c r="C63" i="2" s="1"/>
  <c r="AI84" i="1"/>
  <c r="BE97" i="3"/>
  <c r="AK81" i="1"/>
  <c r="AT37" i="3"/>
  <c r="BC132" i="47"/>
  <c r="BS90" i="47"/>
  <c r="AG36" i="47"/>
  <c r="S88" i="47"/>
  <c r="Y63" i="47"/>
  <c r="M5" i="47"/>
  <c r="M6" i="47" s="1"/>
  <c r="AK63" i="47"/>
  <c r="BB138" i="47"/>
  <c r="Y88" i="47"/>
  <c r="BC142" i="3"/>
  <c r="AK13" i="3"/>
  <c r="AQ96" i="3"/>
  <c r="BG139" i="47"/>
  <c r="R63" i="47"/>
  <c r="S24" i="47"/>
  <c r="BE139" i="47"/>
  <c r="BE63" i="47"/>
  <c r="AK132" i="47"/>
  <c r="X132" i="47"/>
  <c r="BG143" i="47"/>
  <c r="BG145" i="47" s="1"/>
  <c r="AZ63" i="47"/>
  <c r="BF63" i="47"/>
  <c r="BT63" i="47"/>
  <c r="AQ23" i="3"/>
  <c r="AQ68" i="1" s="1"/>
  <c r="AU85" i="1"/>
  <c r="M110" i="1"/>
  <c r="M111" i="1" s="1"/>
  <c r="AZ37" i="3"/>
  <c r="AI85" i="1"/>
  <c r="G110" i="1"/>
  <c r="G111" i="1" s="1"/>
  <c r="C69" i="1"/>
  <c r="BF49" i="1"/>
  <c r="Y69" i="1"/>
  <c r="M69" i="1"/>
  <c r="S138" i="1"/>
  <c r="AU84" i="1"/>
  <c r="X129" i="1"/>
  <c r="X128" i="1"/>
  <c r="AQ110" i="1"/>
  <c r="AQ111" i="1" s="1"/>
  <c r="BC100" i="1"/>
  <c r="Y127" i="1"/>
  <c r="AV62" i="1"/>
  <c r="G142" i="3"/>
  <c r="M33" i="3"/>
  <c r="AI36" i="47"/>
  <c r="AH36" i="47"/>
  <c r="BI49" i="3"/>
  <c r="X32" i="47"/>
  <c r="AY105" i="47"/>
  <c r="AJ83" i="4"/>
  <c r="Q83" i="4"/>
  <c r="AW152" i="47"/>
  <c r="AW153" i="47" s="1"/>
  <c r="AW4" i="47"/>
  <c r="J149" i="47"/>
  <c r="J150" i="47" s="1"/>
  <c r="J151" i="47" s="1"/>
  <c r="BY46" i="4"/>
  <c r="BY45" i="4" s="1"/>
  <c r="CA45" i="4" s="1"/>
  <c r="CE46" i="4"/>
  <c r="CE45" i="4" s="1"/>
  <c r="BC152" i="47"/>
  <c r="BC4" i="47"/>
  <c r="BC31" i="47"/>
  <c r="BC54" i="4"/>
  <c r="Q32" i="47"/>
  <c r="AY110" i="47"/>
  <c r="AD83" i="4"/>
  <c r="J31" i="47"/>
  <c r="BB153" i="47"/>
  <c r="BB159" i="47" s="1"/>
  <c r="BB155" i="47"/>
  <c r="AI83" i="4"/>
  <c r="AG83" i="4"/>
  <c r="V31" i="4"/>
  <c r="P149" i="47"/>
  <c r="P150" i="47" s="1"/>
  <c r="P151" i="47" s="1"/>
  <c r="BA83" i="4"/>
  <c r="I149" i="47"/>
  <c r="I153" i="47" s="1"/>
  <c r="U31" i="4"/>
  <c r="O149" i="47"/>
  <c r="O150" i="47" s="1"/>
  <c r="O151" i="47" s="1"/>
  <c r="W83" i="4"/>
  <c r="W31" i="4"/>
  <c r="Q149" i="47"/>
  <c r="Q150" i="47" s="1"/>
  <c r="Q151" i="47" s="1"/>
  <c r="AT82" i="4"/>
  <c r="AZ66" i="4"/>
  <c r="X31" i="4"/>
  <c r="R149" i="47"/>
  <c r="R150" i="47" s="1"/>
  <c r="R151" i="47" s="1"/>
  <c r="I31" i="47"/>
  <c r="K153" i="47"/>
  <c r="K155" i="47"/>
  <c r="O31" i="47"/>
  <c r="P31" i="47"/>
  <c r="V32" i="47" s="1"/>
  <c r="U72" i="3"/>
  <c r="O61" i="1"/>
  <c r="Y97" i="3"/>
  <c r="AO61" i="1"/>
  <c r="AO62" i="1"/>
  <c r="K61" i="1"/>
  <c r="AU72" i="3"/>
  <c r="V61" i="1"/>
  <c r="AM61" i="1"/>
  <c r="AN61" i="1"/>
  <c r="AN62" i="1"/>
  <c r="AW7" i="3"/>
  <c r="AV80" i="1"/>
  <c r="AV79" i="1"/>
  <c r="AV78" i="1"/>
  <c r="AY68" i="1"/>
  <c r="AY191" i="3"/>
  <c r="AY166" i="3" s="1"/>
  <c r="L96" i="3"/>
  <c r="E61" i="1"/>
  <c r="P61" i="1"/>
  <c r="BA68" i="1"/>
  <c r="BA191" i="3"/>
  <c r="BA166" i="3" s="1"/>
  <c r="AK68" i="1"/>
  <c r="W61" i="1"/>
  <c r="AT173" i="3"/>
  <c r="AT174" i="3" s="1"/>
  <c r="AT61" i="1"/>
  <c r="AT62" i="1"/>
  <c r="AV173" i="3"/>
  <c r="AV174" i="3" s="1"/>
  <c r="AV163" i="3" s="1"/>
  <c r="BC68" i="1"/>
  <c r="BC188" i="3"/>
  <c r="AS173" i="3"/>
  <c r="AS174" i="3" s="1"/>
  <c r="X61" i="1"/>
  <c r="AU159" i="47"/>
  <c r="AU155" i="47"/>
  <c r="AU154" i="47"/>
  <c r="AP68" i="1"/>
  <c r="M70" i="4"/>
  <c r="M7" i="4" s="1"/>
  <c r="M17" i="4"/>
  <c r="M15" i="4" s="1"/>
  <c r="M62" i="4"/>
  <c r="M63" i="4" s="1"/>
  <c r="M67" i="4" s="1"/>
  <c r="M68" i="4" s="1"/>
  <c r="M32" i="4"/>
  <c r="M30" i="4" s="1"/>
  <c r="M12" i="4"/>
  <c r="M10" i="4" s="1"/>
  <c r="AJ157" i="47"/>
  <c r="AJ160" i="47"/>
  <c r="AT80" i="1"/>
  <c r="AT79" i="1"/>
  <c r="AT78" i="1"/>
  <c r="AT2" i="47"/>
  <c r="AT5" i="4"/>
  <c r="BF6" i="3"/>
  <c r="BE6" i="2" s="1"/>
  <c r="AZ6" i="1"/>
  <c r="AZ7" i="3"/>
  <c r="AZ61" i="1" s="1"/>
  <c r="BB97" i="3"/>
  <c r="AK154" i="47"/>
  <c r="AK159" i="47"/>
  <c r="AK155" i="47"/>
  <c r="AP81" i="1"/>
  <c r="AQ78" i="1"/>
  <c r="AQ80" i="1"/>
  <c r="AQ79" i="1"/>
  <c r="AU80" i="1"/>
  <c r="AU79" i="1"/>
  <c r="AU78" i="1"/>
  <c r="AU5" i="4"/>
  <c r="AU2" i="47"/>
  <c r="BG6" i="3"/>
  <c r="BF6" i="2" s="1"/>
  <c r="BA6" i="1"/>
  <c r="BA7" i="3"/>
  <c r="AU62" i="1"/>
  <c r="AV2" i="47"/>
  <c r="AV5" i="4"/>
  <c r="BF112" i="3"/>
  <c r="BF127" i="3" s="1"/>
  <c r="AP61" i="1"/>
  <c r="AP62" i="1"/>
  <c r="AH61" i="1"/>
  <c r="AH62" i="1"/>
  <c r="AB155" i="47"/>
  <c r="AB159" i="47"/>
  <c r="AB154" i="47"/>
  <c r="AW68" i="1"/>
  <c r="J61" i="1"/>
  <c r="BB6" i="1"/>
  <c r="BA188" i="3"/>
  <c r="BA165" i="3" s="1"/>
  <c r="BA174" i="3"/>
  <c r="BA163" i="3" s="1"/>
  <c r="AK71" i="3"/>
  <c r="I61" i="1"/>
  <c r="AV61" i="1"/>
  <c r="AD68" i="1"/>
  <c r="AS61" i="1"/>
  <c r="AM62" i="1"/>
  <c r="AM127" i="3"/>
  <c r="AQ127" i="3" s="1"/>
  <c r="AM142" i="3"/>
  <c r="AQ142" i="3" s="1"/>
  <c r="AM93" i="3"/>
  <c r="AM160" i="47"/>
  <c r="AM157" i="47"/>
  <c r="BE87" i="1"/>
  <c r="S157" i="47"/>
  <c r="AS80" i="1"/>
  <c r="AS79" i="1"/>
  <c r="AS78" i="1"/>
  <c r="AG87" i="1"/>
  <c r="AS5" i="4"/>
  <c r="AS2" i="47"/>
  <c r="BE6" i="3"/>
  <c r="BD6" i="2" s="1"/>
  <c r="AY6" i="1"/>
  <c r="AO157" i="47"/>
  <c r="AO160" i="47"/>
  <c r="AI160" i="47"/>
  <c r="AI157" i="47"/>
  <c r="M97" i="4"/>
  <c r="AU61" i="1"/>
  <c r="BF84" i="1"/>
  <c r="AY87" i="1"/>
  <c r="Y110" i="1"/>
  <c r="Y111" i="1" s="1"/>
  <c r="AN87" i="1"/>
  <c r="BF86" i="1"/>
  <c r="BF37" i="3"/>
  <c r="G127" i="1"/>
  <c r="G128" i="1" s="1"/>
  <c r="F128" i="1"/>
  <c r="F129" i="1"/>
  <c r="G129" i="1" s="1"/>
  <c r="AT87" i="1"/>
  <c r="S110" i="1"/>
  <c r="S111" i="1" s="1"/>
  <c r="AS87" i="1"/>
  <c r="AM87" i="1"/>
  <c r="BA84" i="1"/>
  <c r="O133" i="1"/>
  <c r="O134" i="1" s="1"/>
  <c r="S134" i="1" s="1"/>
  <c r="S133" i="1"/>
  <c r="E120" i="1"/>
  <c r="F109" i="1"/>
  <c r="BF74" i="4"/>
  <c r="AZ76" i="4"/>
  <c r="AV156" i="47"/>
  <c r="AV87" i="47"/>
  <c r="AV85" i="47"/>
  <c r="AV111" i="47"/>
  <c r="AV89" i="47"/>
  <c r="AV90" i="47" s="1"/>
  <c r="AV80" i="47"/>
  <c r="AV75" i="47"/>
  <c r="AS107" i="47"/>
  <c r="AS37" i="47"/>
  <c r="AV7" i="47"/>
  <c r="AV70" i="47"/>
  <c r="M41" i="47"/>
  <c r="AE7" i="47"/>
  <c r="AT105" i="47"/>
  <c r="AT77" i="4"/>
  <c r="AT79" i="4"/>
  <c r="BH70" i="47"/>
  <c r="BX169" i="47"/>
  <c r="BR171" i="47"/>
  <c r="BB7" i="47"/>
  <c r="BK175" i="47"/>
  <c r="BI176" i="47"/>
  <c r="Q63" i="47"/>
  <c r="W63" i="47"/>
  <c r="O63" i="47"/>
  <c r="U63" i="47"/>
  <c r="CF119" i="3"/>
  <c r="CF85" i="3"/>
  <c r="CF134" i="3"/>
  <c r="BS169" i="47"/>
  <c r="BX156" i="47"/>
  <c r="BT88" i="47"/>
  <c r="BQ172" i="47"/>
  <c r="BQ173" i="47"/>
  <c r="V63" i="47"/>
  <c r="AE63" i="47"/>
  <c r="AH26" i="47"/>
  <c r="V26" i="47"/>
  <c r="AB26" i="47"/>
  <c r="BC74" i="4"/>
  <c r="BC76" i="4" s="1"/>
  <c r="BC105" i="47" s="1"/>
  <c r="BC106" i="47" s="1"/>
  <c r="AV62" i="47"/>
  <c r="AV63" i="47" s="1"/>
  <c r="BB62" i="47"/>
  <c r="S5" i="47"/>
  <c r="BB50" i="47"/>
  <c r="BH50" i="47"/>
  <c r="BY63" i="47"/>
  <c r="BW171" i="47"/>
  <c r="CC169" i="47"/>
  <c r="CC171" i="47" s="1"/>
  <c r="AY7" i="47"/>
  <c r="BA76" i="4"/>
  <c r="M32" i="47"/>
  <c r="AS156" i="47"/>
  <c r="AS111" i="47"/>
  <c r="AS89" i="47"/>
  <c r="AS90" i="47" s="1"/>
  <c r="AS87" i="47"/>
  <c r="AS85" i="47"/>
  <c r="AS75" i="47"/>
  <c r="AS80" i="47"/>
  <c r="S41" i="47"/>
  <c r="AS7" i="47"/>
  <c r="AK7" i="47"/>
  <c r="BB143" i="47"/>
  <c r="BC143" i="47" s="1"/>
  <c r="BC145" i="47" s="1"/>
  <c r="BC136" i="47"/>
  <c r="BC138" i="47" s="1"/>
  <c r="BC139" i="47" s="1"/>
  <c r="AU105" i="47"/>
  <c r="AU77" i="4"/>
  <c r="AU79" i="4"/>
  <c r="M62" i="47"/>
  <c r="M63" i="47" s="1"/>
  <c r="AQ7" i="47"/>
  <c r="BB117" i="3"/>
  <c r="BB102" i="3"/>
  <c r="BB83" i="3" s="1"/>
  <c r="BB132" i="3"/>
  <c r="CF46" i="4"/>
  <c r="CF45" i="4" s="1"/>
  <c r="Y82" i="4"/>
  <c r="Y66" i="4"/>
  <c r="AU48" i="3"/>
  <c r="AU16" i="3"/>
  <c r="S66" i="4"/>
  <c r="S82" i="4"/>
  <c r="S83" i="4" s="1"/>
  <c r="BC103" i="3"/>
  <c r="BC84" i="3" s="1"/>
  <c r="AE66" i="4"/>
  <c r="AE82" i="4"/>
  <c r="AH83" i="4"/>
  <c r="AU12" i="3"/>
  <c r="AE102" i="3"/>
  <c r="AE83" i="3" s="1"/>
  <c r="AE132" i="3"/>
  <c r="AE117" i="3"/>
  <c r="AW103" i="3"/>
  <c r="AW84" i="3" s="1"/>
  <c r="BB83" i="4"/>
  <c r="AA83" i="4"/>
  <c r="L29" i="4"/>
  <c r="AY83" i="4"/>
  <c r="AW41" i="4"/>
  <c r="BC41" i="4"/>
  <c r="AO82" i="4"/>
  <c r="AO66" i="4"/>
  <c r="AW69" i="4"/>
  <c r="AW60" i="4"/>
  <c r="BC69" i="4"/>
  <c r="AY77" i="4"/>
  <c r="AY79" i="4"/>
  <c r="AK82" i="4"/>
  <c r="AK66" i="4"/>
  <c r="AW10" i="3"/>
  <c r="AM82" i="4"/>
  <c r="AM66" i="4"/>
  <c r="AQ65" i="4"/>
  <c r="AT15" i="3"/>
  <c r="AT148" i="47" s="1"/>
  <c r="AT151" i="47" s="1"/>
  <c r="AW9" i="3"/>
  <c r="AS80" i="4"/>
  <c r="BG83" i="4"/>
  <c r="AZ117" i="3"/>
  <c r="AZ132" i="3"/>
  <c r="AZ102" i="3"/>
  <c r="AZ83" i="3" s="1"/>
  <c r="BE65" i="4"/>
  <c r="BK66" i="4" s="1"/>
  <c r="AT118" i="3"/>
  <c r="AW118" i="3" s="1"/>
  <c r="AT133" i="3"/>
  <c r="AW133" i="3" s="1"/>
  <c r="AT84" i="3"/>
  <c r="AZ133" i="3"/>
  <c r="BC133" i="3" s="1"/>
  <c r="AZ84" i="3"/>
  <c r="AZ118" i="3"/>
  <c r="BC118" i="3" s="1"/>
  <c r="AT102" i="3"/>
  <c r="AT83" i="3" s="1"/>
  <c r="AT132" i="3"/>
  <c r="AT117" i="3"/>
  <c r="AS66" i="4"/>
  <c r="BB48" i="3"/>
  <c r="BB12" i="3"/>
  <c r="BC12" i="3" s="1"/>
  <c r="AD98" i="3"/>
  <c r="AJ98" i="3"/>
  <c r="AB48" i="3"/>
  <c r="AB12" i="3"/>
  <c r="BC98" i="3"/>
  <c r="BC160" i="3"/>
  <c r="AZ154" i="3"/>
  <c r="AZ76" i="3"/>
  <c r="AZ57" i="3"/>
  <c r="AZ43" i="3"/>
  <c r="AY63" i="2" s="1"/>
  <c r="AZ72" i="3"/>
  <c r="G124" i="3"/>
  <c r="G109" i="3"/>
  <c r="G139" i="3"/>
  <c r="G90" i="3"/>
  <c r="AM154" i="3"/>
  <c r="AM76" i="3"/>
  <c r="AM72" i="3"/>
  <c r="AM43" i="3"/>
  <c r="AL63" i="2" s="1"/>
  <c r="AM57" i="3"/>
  <c r="R98" i="3"/>
  <c r="BA34" i="3"/>
  <c r="BA148" i="1" s="1"/>
  <c r="BA149" i="1" s="1"/>
  <c r="BA150" i="1" s="1"/>
  <c r="BA172" i="1" s="1"/>
  <c r="BA56" i="3"/>
  <c r="BA36" i="3"/>
  <c r="AK56" i="3"/>
  <c r="AK36" i="3"/>
  <c r="AK34" i="3"/>
  <c r="AK148" i="1" s="1"/>
  <c r="AK149" i="1" s="1"/>
  <c r="AK150" i="1" s="1"/>
  <c r="AV154" i="3"/>
  <c r="AV72" i="3"/>
  <c r="AV57" i="3"/>
  <c r="AV43" i="3"/>
  <c r="AU63" i="2" s="1"/>
  <c r="AD56" i="3"/>
  <c r="AD36" i="3"/>
  <c r="AD34" i="3"/>
  <c r="AS154" i="3"/>
  <c r="AS76" i="3"/>
  <c r="AS72" i="3"/>
  <c r="AS43" i="3"/>
  <c r="AR63" i="2" s="1"/>
  <c r="AS57" i="3"/>
  <c r="K154" i="3"/>
  <c r="K72" i="3"/>
  <c r="K77" i="3"/>
  <c r="J8" i="2" s="1"/>
  <c r="J25" i="2" s="1"/>
  <c r="K57" i="3"/>
  <c r="K43" i="3"/>
  <c r="J63" i="2" s="1"/>
  <c r="AD96" i="3"/>
  <c r="AJ96" i="3"/>
  <c r="V154" i="3"/>
  <c r="V72" i="3"/>
  <c r="V57" i="3"/>
  <c r="V43" i="3"/>
  <c r="U63" i="2" s="1"/>
  <c r="V77" i="3"/>
  <c r="U8" i="2" s="1"/>
  <c r="U25" i="2" s="1"/>
  <c r="AY56" i="3"/>
  <c r="AY34" i="3"/>
  <c r="AY148" i="1" s="1"/>
  <c r="AY149" i="1" s="1"/>
  <c r="AY150" i="1" s="1"/>
  <c r="AY151" i="1" s="1"/>
  <c r="AY36" i="3"/>
  <c r="E154" i="3"/>
  <c r="E77" i="3"/>
  <c r="D8" i="2" s="1"/>
  <c r="D25" i="2" s="1"/>
  <c r="E57" i="3"/>
  <c r="E43" i="3"/>
  <c r="D63" i="2" s="1"/>
  <c r="AW98" i="3"/>
  <c r="AW160" i="3"/>
  <c r="AN154" i="3"/>
  <c r="AN72" i="3"/>
  <c r="AN76" i="3"/>
  <c r="AN43" i="3"/>
  <c r="AM63" i="2" s="1"/>
  <c r="AN57" i="3"/>
  <c r="S56" i="3"/>
  <c r="S36" i="3"/>
  <c r="AA97" i="3"/>
  <c r="AG97" i="3"/>
  <c r="AV161" i="3"/>
  <c r="P154" i="3"/>
  <c r="P77" i="3"/>
  <c r="O8" i="2" s="1"/>
  <c r="O25" i="2" s="1"/>
  <c r="P72" i="3"/>
  <c r="P57" i="3"/>
  <c r="P43" i="3"/>
  <c r="O63" i="2" s="1"/>
  <c r="I154" i="3"/>
  <c r="I72" i="3"/>
  <c r="I57" i="3"/>
  <c r="I77" i="3"/>
  <c r="H8" i="2" s="1"/>
  <c r="I43" i="3"/>
  <c r="H63" i="2" s="1"/>
  <c r="BC184" i="3"/>
  <c r="BC164" i="3" s="1"/>
  <c r="C154" i="3"/>
  <c r="C57" i="3"/>
  <c r="C43" i="3"/>
  <c r="B63" i="2" s="1"/>
  <c r="C77" i="3"/>
  <c r="B8" i="2" s="1"/>
  <c r="AP154" i="3"/>
  <c r="AP57" i="3"/>
  <c r="AP43" i="3"/>
  <c r="AO63" i="2" s="1"/>
  <c r="AP76" i="3"/>
  <c r="AP72" i="3"/>
  <c r="S34" i="3"/>
  <c r="AE97" i="3"/>
  <c r="AK97" i="3"/>
  <c r="BC96" i="3"/>
  <c r="BC191" i="3"/>
  <c r="BC166" i="3" s="1"/>
  <c r="Y71" i="3"/>
  <c r="Y54" i="3"/>
  <c r="Y23" i="3"/>
  <c r="Y33" i="3"/>
  <c r="AQ36" i="3"/>
  <c r="AQ56" i="3"/>
  <c r="AQ34" i="3"/>
  <c r="AQ148" i="1" s="1"/>
  <c r="AQ149" i="1" s="1"/>
  <c r="AQ150" i="1" s="1"/>
  <c r="O154" i="3"/>
  <c r="O43" i="3"/>
  <c r="N63" i="2" s="1"/>
  <c r="O77" i="3"/>
  <c r="N8" i="2" s="1"/>
  <c r="O72" i="3"/>
  <c r="O57" i="3"/>
  <c r="AW36" i="3"/>
  <c r="AW34" i="3"/>
  <c r="AW56" i="3"/>
  <c r="W77" i="3"/>
  <c r="V8" i="2" s="1"/>
  <c r="V25" i="2" s="1"/>
  <c r="W154" i="3"/>
  <c r="W43" i="3"/>
  <c r="V63" i="2" s="1"/>
  <c r="W72" i="3"/>
  <c r="W57" i="3"/>
  <c r="Q72" i="3"/>
  <c r="S97" i="3"/>
  <c r="AZ161" i="3"/>
  <c r="AO154" i="3"/>
  <c r="AO72" i="3"/>
  <c r="AO57" i="3"/>
  <c r="AO43" i="3"/>
  <c r="AN63" i="2" s="1"/>
  <c r="AO76" i="3"/>
  <c r="AA36" i="3"/>
  <c r="AA56" i="3"/>
  <c r="AA34" i="3"/>
  <c r="AQ160" i="3"/>
  <c r="AQ98" i="3"/>
  <c r="BB7" i="3"/>
  <c r="BH6" i="3"/>
  <c r="BG6" i="2" s="1"/>
  <c r="BA160" i="3"/>
  <c r="BA98" i="3"/>
  <c r="AT154" i="3"/>
  <c r="AT76" i="3"/>
  <c r="AT72" i="3"/>
  <c r="AT43" i="3"/>
  <c r="AS63" i="2" s="1"/>
  <c r="AT57" i="3"/>
  <c r="BC56" i="3"/>
  <c r="BC34" i="3"/>
  <c r="BC148" i="1" s="1"/>
  <c r="BC149" i="1" s="1"/>
  <c r="BC150" i="1" s="1"/>
  <c r="BC36" i="3"/>
  <c r="X154" i="3"/>
  <c r="X77" i="3"/>
  <c r="W8" i="2" s="1"/>
  <c r="W25" i="2" s="1"/>
  <c r="X43" i="3"/>
  <c r="W63" i="2" s="1"/>
  <c r="X57" i="3"/>
  <c r="AA98" i="3"/>
  <c r="AG98" i="3"/>
  <c r="AH154" i="3"/>
  <c r="AH76" i="3"/>
  <c r="AH43" i="3"/>
  <c r="AG63" i="2" s="1"/>
  <c r="AH57" i="3"/>
  <c r="AY98" i="3"/>
  <c r="AY160" i="3"/>
  <c r="R96" i="3"/>
  <c r="AT167" i="3"/>
  <c r="AT161" i="3"/>
  <c r="BE98" i="3"/>
  <c r="BF141" i="3"/>
  <c r="BF92" i="3"/>
  <c r="BF97" i="3" s="1"/>
  <c r="BF126" i="3"/>
  <c r="L56" i="3"/>
  <c r="L36" i="3"/>
  <c r="L34" i="3"/>
  <c r="J154" i="3"/>
  <c r="J72" i="3"/>
  <c r="J77" i="3"/>
  <c r="I8" i="2" s="1"/>
  <c r="I25" i="2" s="1"/>
  <c r="J43" i="3"/>
  <c r="I63" i="2" s="1"/>
  <c r="J57" i="3"/>
  <c r="AY184" i="3"/>
  <c r="AY164" i="3" s="1"/>
  <c r="AE71" i="3"/>
  <c r="AE33" i="3"/>
  <c r="AE54" i="3"/>
  <c r="AE23" i="3"/>
  <c r="AS167" i="3"/>
  <c r="AS161" i="3"/>
  <c r="BQ83" i="4" l="1"/>
  <c r="BQ80" i="4"/>
  <c r="BQ37" i="47"/>
  <c r="BQ77" i="4"/>
  <c r="P53" i="2"/>
  <c r="P54" i="2" s="1"/>
  <c r="P55" i="2" s="1"/>
  <c r="AC57" i="3"/>
  <c r="AC77" i="3"/>
  <c r="AC78" i="3" s="1"/>
  <c r="AI72" i="3"/>
  <c r="AC154" i="3"/>
  <c r="AK49" i="1"/>
  <c r="S98" i="3"/>
  <c r="Q99" i="1"/>
  <c r="Q102" i="1" s="1"/>
  <c r="Q78" i="3"/>
  <c r="AC62" i="1"/>
  <c r="AC72" i="3"/>
  <c r="AC61" i="1"/>
  <c r="BC49" i="1"/>
  <c r="AW49" i="1"/>
  <c r="AC43" i="3"/>
  <c r="AB63" i="2" s="1"/>
  <c r="BH37" i="47"/>
  <c r="BH38" i="47" s="1"/>
  <c r="BG94" i="47"/>
  <c r="BA99" i="47"/>
  <c r="BN167" i="47"/>
  <c r="BO169" i="47" s="1"/>
  <c r="BO164" i="47"/>
  <c r="AY102" i="47"/>
  <c r="AY100" i="47"/>
  <c r="AZ102" i="47"/>
  <c r="AZ100" i="47"/>
  <c r="BB102" i="47"/>
  <c r="BB100" i="47"/>
  <c r="BC119" i="4"/>
  <c r="BC117" i="4"/>
  <c r="BC121" i="4"/>
  <c r="BC115" i="4"/>
  <c r="BK79" i="4"/>
  <c r="BK107" i="47" s="1"/>
  <c r="BN77" i="4"/>
  <c r="BN79" i="4"/>
  <c r="BN105" i="47"/>
  <c r="AB72" i="3"/>
  <c r="AB57" i="3"/>
  <c r="AB154" i="3"/>
  <c r="R57" i="3"/>
  <c r="AU172" i="1"/>
  <c r="R61" i="1"/>
  <c r="AU173" i="1"/>
  <c r="AB77" i="3"/>
  <c r="AB78" i="3" s="1"/>
  <c r="AB61" i="1"/>
  <c r="AB43" i="3"/>
  <c r="AA63" i="2" s="1"/>
  <c r="BO27" i="47"/>
  <c r="BI27" i="47"/>
  <c r="R77" i="3"/>
  <c r="Q8" i="2" s="1"/>
  <c r="Q25" i="2" s="1"/>
  <c r="R43" i="3"/>
  <c r="Q63" i="2" s="1"/>
  <c r="X72" i="3"/>
  <c r="AP63" i="1"/>
  <c r="AZ172" i="1"/>
  <c r="AZ173" i="1"/>
  <c r="AZ63" i="1" s="1"/>
  <c r="AG172" i="1"/>
  <c r="AY173" i="1"/>
  <c r="AY172" i="1"/>
  <c r="AT63" i="1"/>
  <c r="AO63" i="1"/>
  <c r="AM63" i="1"/>
  <c r="AN63" i="1"/>
  <c r="AJ63" i="1"/>
  <c r="BI59" i="4"/>
  <c r="BC146" i="1"/>
  <c r="BC151" i="1" s="1"/>
  <c r="AK151" i="1"/>
  <c r="AK173" i="1"/>
  <c r="AK172" i="1"/>
  <c r="AQ151" i="1"/>
  <c r="AQ172" i="1"/>
  <c r="AQ173" i="1"/>
  <c r="AD148" i="1"/>
  <c r="AD149" i="1" s="1"/>
  <c r="AD150" i="1" s="1"/>
  <c r="BC173" i="1"/>
  <c r="M57" i="4"/>
  <c r="BC172" i="1"/>
  <c r="BY34" i="3"/>
  <c r="BY148" i="1" s="1"/>
  <c r="BE173" i="1"/>
  <c r="AW148" i="1"/>
  <c r="AW149" i="1" s="1"/>
  <c r="AW150" i="1" s="1"/>
  <c r="AC148" i="1"/>
  <c r="AC149" i="1" s="1"/>
  <c r="AC150" i="1" s="1"/>
  <c r="AG173" i="1"/>
  <c r="BB148" i="1"/>
  <c r="BB149" i="1" s="1"/>
  <c r="BB150" i="1" s="1"/>
  <c r="AB148" i="1"/>
  <c r="AB149" i="1" s="1"/>
  <c r="AB150" i="1" s="1"/>
  <c r="AB151" i="1" s="1"/>
  <c r="BA151" i="1"/>
  <c r="BA173" i="1"/>
  <c r="G147" i="1"/>
  <c r="AH173" i="1"/>
  <c r="AH172" i="1"/>
  <c r="AI151" i="1"/>
  <c r="AI173" i="1"/>
  <c r="L148" i="1"/>
  <c r="L149" i="1" s="1"/>
  <c r="L150" i="1" s="1"/>
  <c r="L151" i="1" s="1"/>
  <c r="AA148" i="1"/>
  <c r="AA149" i="1" s="1"/>
  <c r="AA150" i="1" s="1"/>
  <c r="AA151" i="1" s="1"/>
  <c r="AJ151" i="1"/>
  <c r="AJ172" i="1"/>
  <c r="S148" i="1"/>
  <c r="S149" i="1" s="1"/>
  <c r="S150" i="1" s="1"/>
  <c r="S151" i="1" s="1"/>
  <c r="R148" i="1"/>
  <c r="R149" i="1" s="1"/>
  <c r="R150" i="1" s="1"/>
  <c r="R151" i="1" s="1"/>
  <c r="BC24" i="47"/>
  <c r="BE151" i="1"/>
  <c r="BM105" i="47"/>
  <c r="BM77" i="4"/>
  <c r="BM79" i="4"/>
  <c r="BG111" i="3"/>
  <c r="BG141" i="3" s="1"/>
  <c r="BX94" i="3"/>
  <c r="BX143" i="3"/>
  <c r="BX128" i="3"/>
  <c r="BZ53" i="3"/>
  <c r="BY113" i="3"/>
  <c r="BF95" i="2"/>
  <c r="BF97" i="2" s="1"/>
  <c r="BF98" i="2" s="1"/>
  <c r="L98" i="3"/>
  <c r="BE69" i="47"/>
  <c r="Y132" i="47"/>
  <c r="BF76" i="4"/>
  <c r="BL74" i="4"/>
  <c r="AK96" i="3"/>
  <c r="AW24" i="47"/>
  <c r="AU68" i="47"/>
  <c r="BA69" i="47" s="1"/>
  <c r="BA68" i="47"/>
  <c r="BG66" i="47"/>
  <c r="BC66" i="47"/>
  <c r="BC93" i="47" s="1"/>
  <c r="AT88" i="47"/>
  <c r="BF69" i="47"/>
  <c r="F34" i="3"/>
  <c r="BC136" i="3"/>
  <c r="CC76" i="47"/>
  <c r="CG76" i="47" s="1"/>
  <c r="CA76" i="47"/>
  <c r="CA77" i="47" s="1"/>
  <c r="BC121" i="3"/>
  <c r="AU89" i="47"/>
  <c r="AU90" i="47" s="1"/>
  <c r="AU87" i="47"/>
  <c r="AU88" i="47" s="1"/>
  <c r="BC50" i="47"/>
  <c r="BC62" i="47"/>
  <c r="BC63" i="47" s="1"/>
  <c r="AW67" i="47"/>
  <c r="AW68" i="47" s="1"/>
  <c r="BH69" i="47"/>
  <c r="BB43" i="3"/>
  <c r="BA63" i="2" s="1"/>
  <c r="BB72" i="3"/>
  <c r="BE35" i="47"/>
  <c r="BB107" i="47"/>
  <c r="BH80" i="4"/>
  <c r="AT83" i="4"/>
  <c r="AE83" i="4"/>
  <c r="BB37" i="47"/>
  <c r="BB57" i="3"/>
  <c r="AQ49" i="1"/>
  <c r="BF33" i="3"/>
  <c r="F56" i="3"/>
  <c r="F36" i="3"/>
  <c r="F61" i="1" s="1"/>
  <c r="BH18" i="3"/>
  <c r="BG51" i="3"/>
  <c r="BH106" i="47"/>
  <c r="AD158" i="47"/>
  <c r="AU111" i="47"/>
  <c r="BA7" i="47"/>
  <c r="AW86" i="47"/>
  <c r="AW70" i="47" s="1"/>
  <c r="BB106" i="47"/>
  <c r="AV80" i="4"/>
  <c r="AV107" i="47"/>
  <c r="AV108" i="47" s="1"/>
  <c r="Y157" i="47"/>
  <c r="BB80" i="4"/>
  <c r="AW93" i="47"/>
  <c r="AU156" i="47"/>
  <c r="AU80" i="47"/>
  <c r="AU75" i="47"/>
  <c r="AU85" i="47"/>
  <c r="BA63" i="47"/>
  <c r="AU63" i="47"/>
  <c r="AA158" i="47"/>
  <c r="BE154" i="3"/>
  <c r="BE43" i="3"/>
  <c r="BG68" i="3"/>
  <c r="BE57" i="3"/>
  <c r="BE76" i="3"/>
  <c r="BG21" i="3"/>
  <c r="W53" i="2"/>
  <c r="W54" i="2" s="1"/>
  <c r="W55" i="2" s="1"/>
  <c r="W47" i="2"/>
  <c r="C53" i="2"/>
  <c r="C54" i="2" s="1"/>
  <c r="C55" i="2" s="1"/>
  <c r="C47" i="2"/>
  <c r="U53" i="2"/>
  <c r="U54" i="2" s="1"/>
  <c r="U55" i="2" s="1"/>
  <c r="U47" i="2"/>
  <c r="X8" i="2"/>
  <c r="X25" i="2" s="1"/>
  <c r="T25" i="2"/>
  <c r="B25" i="2"/>
  <c r="I53" i="2"/>
  <c r="I54" i="2" s="1"/>
  <c r="I55" i="2" s="1"/>
  <c r="I47" i="2"/>
  <c r="BF23" i="3"/>
  <c r="O53" i="2"/>
  <c r="O54" i="2" s="1"/>
  <c r="O55" i="2" s="1"/>
  <c r="O47" i="2"/>
  <c r="V53" i="2"/>
  <c r="V54" i="2" s="1"/>
  <c r="V55" i="2" s="1"/>
  <c r="V47" i="2"/>
  <c r="N25" i="2"/>
  <c r="J53" i="2"/>
  <c r="J54" i="2" s="1"/>
  <c r="J55" i="2" s="1"/>
  <c r="J47" i="2"/>
  <c r="H25" i="2"/>
  <c r="D53" i="2"/>
  <c r="D54" i="2" s="1"/>
  <c r="D55" i="2" s="1"/>
  <c r="D47" i="2"/>
  <c r="R89" i="2"/>
  <c r="R90" i="2"/>
  <c r="R88" i="2"/>
  <c r="BB161" i="3"/>
  <c r="BF54" i="3"/>
  <c r="BF71" i="3"/>
  <c r="U99" i="1"/>
  <c r="AK76" i="3"/>
  <c r="AK77" i="3" s="1"/>
  <c r="AK99" i="1" s="1"/>
  <c r="M96" i="3"/>
  <c r="BE167" i="3"/>
  <c r="U78" i="3"/>
  <c r="BE88" i="4"/>
  <c r="BK88" i="4"/>
  <c r="BK77" i="4"/>
  <c r="AE157" i="47"/>
  <c r="BE109" i="47"/>
  <c r="BK110" i="47" s="1"/>
  <c r="G54" i="3"/>
  <c r="AY79" i="1"/>
  <c r="AY80" i="1"/>
  <c r="AY78" i="1"/>
  <c r="BI88" i="4"/>
  <c r="BI109" i="47"/>
  <c r="M71" i="3"/>
  <c r="BE7" i="3"/>
  <c r="BE78" i="1" s="1"/>
  <c r="AU73" i="3"/>
  <c r="Q73" i="3"/>
  <c r="D99" i="1"/>
  <c r="D102" i="1" s="1"/>
  <c r="BI143" i="47"/>
  <c r="BI145" i="47" s="1"/>
  <c r="BB139" i="47"/>
  <c r="BH139" i="47"/>
  <c r="BI139" i="47"/>
  <c r="AN83" i="4"/>
  <c r="BE79" i="4"/>
  <c r="BE37" i="47" s="1"/>
  <c r="BE105" i="47"/>
  <c r="BI74" i="4"/>
  <c r="BI76" i="4" s="1"/>
  <c r="BI105" i="47" s="1"/>
  <c r="BI106" i="47" s="1"/>
  <c r="AC158" i="47"/>
  <c r="G33" i="3"/>
  <c r="AU168" i="3"/>
  <c r="G23" i="3"/>
  <c r="AO86" i="1"/>
  <c r="AV83" i="4"/>
  <c r="CA47" i="4"/>
  <c r="AQ155" i="47"/>
  <c r="AQ154" i="47"/>
  <c r="BB167" i="3"/>
  <c r="D78" i="3"/>
  <c r="BA37" i="3"/>
  <c r="AN158" i="47"/>
  <c r="BA87" i="1"/>
  <c r="AI86" i="1"/>
  <c r="BA86" i="1"/>
  <c r="AV167" i="3"/>
  <c r="BC165" i="3"/>
  <c r="AO87" i="1"/>
  <c r="AP84" i="1"/>
  <c r="AP85" i="1"/>
  <c r="AO37" i="3"/>
  <c r="BC77" i="4"/>
  <c r="CG45" i="4"/>
  <c r="BF142" i="3"/>
  <c r="AU86" i="1"/>
  <c r="AU37" i="3"/>
  <c r="AU87" i="1"/>
  <c r="Q153" i="47"/>
  <c r="Q154" i="47" s="1"/>
  <c r="AK83" i="4"/>
  <c r="J153" i="47"/>
  <c r="J159" i="47" s="1"/>
  <c r="J157" i="47" s="1"/>
  <c r="AZ87" i="1"/>
  <c r="M34" i="3"/>
  <c r="M56" i="3"/>
  <c r="M36" i="3"/>
  <c r="M43" i="3" s="1"/>
  <c r="L63" i="2" s="1"/>
  <c r="BF93" i="3"/>
  <c r="AT81" i="1"/>
  <c r="AS157" i="47"/>
  <c r="AS158" i="47" s="1"/>
  <c r="BB145" i="47"/>
  <c r="AV157" i="47"/>
  <c r="AV158" i="47" s="1"/>
  <c r="AS88" i="47"/>
  <c r="AV88" i="47"/>
  <c r="AW85" i="1"/>
  <c r="AJ85" i="1"/>
  <c r="AJ84" i="1"/>
  <c r="AW86" i="1"/>
  <c r="BM165" i="1"/>
  <c r="BI19" i="1"/>
  <c r="BB85" i="1"/>
  <c r="BO21" i="1"/>
  <c r="BQ21" i="1" s="1"/>
  <c r="AW84" i="1"/>
  <c r="AV84" i="1"/>
  <c r="BB84" i="1"/>
  <c r="AV85" i="1"/>
  <c r="CG46" i="4"/>
  <c r="P153" i="47"/>
  <c r="P159" i="47" s="1"/>
  <c r="P160" i="47" s="1"/>
  <c r="AT106" i="47"/>
  <c r="AS108" i="47"/>
  <c r="U32" i="47"/>
  <c r="O32" i="47"/>
  <c r="K154" i="47"/>
  <c r="K159" i="47"/>
  <c r="R153" i="47"/>
  <c r="R159" i="47" s="1"/>
  <c r="AZ83" i="4"/>
  <c r="Q155" i="47"/>
  <c r="I150" i="47"/>
  <c r="I151" i="47" s="1"/>
  <c r="I159" i="47" s="1"/>
  <c r="P155" i="47"/>
  <c r="P32" i="47"/>
  <c r="O153" i="47"/>
  <c r="O159" i="47" s="1"/>
  <c r="BI58" i="4"/>
  <c r="BC55" i="4"/>
  <c r="BC60" i="4"/>
  <c r="BC5" i="47"/>
  <c r="BC30" i="47"/>
  <c r="J155" i="47"/>
  <c r="AW5" i="47"/>
  <c r="AW7" i="47" s="1"/>
  <c r="AW30" i="47"/>
  <c r="AM83" i="4"/>
  <c r="AO83" i="4"/>
  <c r="L149" i="47"/>
  <c r="M149" i="47" s="1"/>
  <c r="L31" i="47"/>
  <c r="R32" i="47" s="1"/>
  <c r="AW79" i="4"/>
  <c r="AW107" i="47" s="1"/>
  <c r="AW108" i="47" s="1"/>
  <c r="AU106" i="47"/>
  <c r="AS39" i="47"/>
  <c r="AS40" i="47" s="1"/>
  <c r="R155" i="47"/>
  <c r="O155" i="47"/>
  <c r="BB154" i="47"/>
  <c r="BC153" i="47"/>
  <c r="BC159" i="47" s="1"/>
  <c r="BC155" i="47"/>
  <c r="AY106" i="47"/>
  <c r="J73" i="3"/>
  <c r="AE68" i="1"/>
  <c r="AE98" i="3"/>
  <c r="J78" i="3"/>
  <c r="J99" i="1"/>
  <c r="J102" i="1" s="1"/>
  <c r="L61" i="1"/>
  <c r="X78" i="3"/>
  <c r="X99" i="1"/>
  <c r="X102" i="1" s="1"/>
  <c r="BC61" i="1"/>
  <c r="BC62" i="1"/>
  <c r="AT73" i="3"/>
  <c r="BC7" i="3"/>
  <c r="BB80" i="1"/>
  <c r="BB79" i="1"/>
  <c r="BB78" i="1"/>
  <c r="W73" i="3"/>
  <c r="W78" i="3"/>
  <c r="W99" i="1"/>
  <c r="W102" i="1" s="1"/>
  <c r="O78" i="3"/>
  <c r="O99" i="1"/>
  <c r="AQ149" i="3"/>
  <c r="AQ61" i="1"/>
  <c r="AQ62" i="1"/>
  <c r="Y98" i="3"/>
  <c r="AP73" i="3"/>
  <c r="P78" i="3"/>
  <c r="P99" i="1"/>
  <c r="P102" i="1" s="1"/>
  <c r="S61" i="1"/>
  <c r="AY173" i="3"/>
  <c r="AY174" i="3" s="1"/>
  <c r="AY163" i="3" s="1"/>
  <c r="V78" i="3"/>
  <c r="V99" i="1"/>
  <c r="V102" i="1" s="1"/>
  <c r="AD61" i="1"/>
  <c r="AD62" i="1"/>
  <c r="AK62" i="1"/>
  <c r="AK61" i="1"/>
  <c r="BA61" i="1"/>
  <c r="BA62" i="1"/>
  <c r="AI158" i="47"/>
  <c r="AY2" i="47"/>
  <c r="AY5" i="4"/>
  <c r="BK6" i="3"/>
  <c r="BE6" i="1"/>
  <c r="AM158" i="47"/>
  <c r="AB160" i="47"/>
  <c r="AB157" i="47"/>
  <c r="AU81" i="1"/>
  <c r="AK160" i="47"/>
  <c r="AK157" i="47"/>
  <c r="AW78" i="1"/>
  <c r="AW80" i="1"/>
  <c r="AW79" i="1"/>
  <c r="BB62" i="1"/>
  <c r="BC149" i="3"/>
  <c r="BH6" i="1"/>
  <c r="AA61" i="1"/>
  <c r="AO73" i="3"/>
  <c r="AZ167" i="3"/>
  <c r="AW61" i="1"/>
  <c r="AW62" i="1"/>
  <c r="O73" i="3"/>
  <c r="C78" i="3"/>
  <c r="C99" i="1"/>
  <c r="I78" i="3"/>
  <c r="I99" i="1"/>
  <c r="I102" i="1" s="1"/>
  <c r="E78" i="3"/>
  <c r="E99" i="1"/>
  <c r="E102" i="1" s="1"/>
  <c r="AY61" i="1"/>
  <c r="AY62" i="1"/>
  <c r="K78" i="3"/>
  <c r="K99" i="1"/>
  <c r="K102" i="1" s="1"/>
  <c r="AK149" i="3"/>
  <c r="AM73" i="3"/>
  <c r="AT154" i="47"/>
  <c r="AT155" i="47"/>
  <c r="AT159" i="47"/>
  <c r="AO158" i="47"/>
  <c r="AS81" i="1"/>
  <c r="AQ160" i="47"/>
  <c r="AQ157" i="47"/>
  <c r="BB2" i="47"/>
  <c r="BB5" i="4"/>
  <c r="BA80" i="1"/>
  <c r="BA79" i="1"/>
  <c r="BA78" i="1"/>
  <c r="BA2" i="47"/>
  <c r="BA5" i="4"/>
  <c r="BM6" i="3"/>
  <c r="BG6" i="1"/>
  <c r="BG7" i="3"/>
  <c r="AQ81" i="1"/>
  <c r="AZ80" i="1"/>
  <c r="AZ79" i="1"/>
  <c r="AZ78" i="1"/>
  <c r="AZ2" i="47"/>
  <c r="AZ5" i="4"/>
  <c r="BL6" i="3"/>
  <c r="BF6" i="1"/>
  <c r="BF7" i="3"/>
  <c r="AJ158" i="47"/>
  <c r="AP158" i="47"/>
  <c r="AZ62" i="1"/>
  <c r="AV81" i="1"/>
  <c r="BB61" i="1"/>
  <c r="BF87" i="1"/>
  <c r="AI87" i="1"/>
  <c r="G130" i="1"/>
  <c r="AJ37" i="3"/>
  <c r="AJ86" i="1"/>
  <c r="BC85" i="1"/>
  <c r="F113" i="1"/>
  <c r="G113" i="1" s="1"/>
  <c r="G114" i="1" s="1"/>
  <c r="I109" i="1" s="1"/>
  <c r="F118" i="1"/>
  <c r="S135" i="1"/>
  <c r="E119" i="1"/>
  <c r="F116" i="1"/>
  <c r="F119" i="1" s="1"/>
  <c r="BG77" i="4"/>
  <c r="BG105" i="47"/>
  <c r="BG79" i="4"/>
  <c r="BX171" i="47"/>
  <c r="CD169" i="47"/>
  <c r="CD171" i="47" s="1"/>
  <c r="BG80" i="47"/>
  <c r="BM79" i="47"/>
  <c r="CC172" i="47"/>
  <c r="CC173" i="47"/>
  <c r="BN79" i="47"/>
  <c r="BH80" i="47"/>
  <c r="AZ77" i="4"/>
  <c r="AZ105" i="47"/>
  <c r="AZ79" i="4"/>
  <c r="BB63" i="47"/>
  <c r="BH63" i="47"/>
  <c r="S63" i="47"/>
  <c r="AU80" i="4"/>
  <c r="AU107" i="47"/>
  <c r="AU37" i="47"/>
  <c r="S7" i="47"/>
  <c r="S6" i="47"/>
  <c r="Y7" i="47"/>
  <c r="AY107" i="47"/>
  <c r="AY37" i="47"/>
  <c r="BQ175" i="47"/>
  <c r="CD156" i="47"/>
  <c r="BN70" i="47"/>
  <c r="BT66" i="47"/>
  <c r="BQ66" i="47"/>
  <c r="BA77" i="4"/>
  <c r="BA105" i="47"/>
  <c r="BA79" i="4"/>
  <c r="BR172" i="47"/>
  <c r="BR173" i="47"/>
  <c r="BR175" i="47" s="1"/>
  <c r="BW173" i="47"/>
  <c r="BW172" i="47"/>
  <c r="BY169" i="47"/>
  <c r="BS171" i="47"/>
  <c r="AT80" i="4"/>
  <c r="AT107" i="47"/>
  <c r="AT37" i="47"/>
  <c r="AU49" i="3"/>
  <c r="AU13" i="3"/>
  <c r="AY80" i="4"/>
  <c r="BC117" i="3"/>
  <c r="BC132" i="3"/>
  <c r="BC102" i="3"/>
  <c r="BC83" i="3" s="1"/>
  <c r="AT12" i="3"/>
  <c r="AW12" i="3" s="1"/>
  <c r="AT48" i="3"/>
  <c r="AT16" i="3"/>
  <c r="AW15" i="3"/>
  <c r="AW132" i="3"/>
  <c r="AW102" i="3"/>
  <c r="AW83" i="3" s="1"/>
  <c r="AW117" i="3"/>
  <c r="Y83" i="4"/>
  <c r="AS83" i="4"/>
  <c r="BE82" i="4"/>
  <c r="BK83" i="4" s="1"/>
  <c r="BE66" i="4"/>
  <c r="AU83" i="4"/>
  <c r="AQ82" i="4"/>
  <c r="AQ83" i="4" s="1"/>
  <c r="AQ66" i="4"/>
  <c r="AQ154" i="3"/>
  <c r="AQ72" i="3"/>
  <c r="AQ43" i="3"/>
  <c r="AQ57" i="3"/>
  <c r="Y56" i="3"/>
  <c r="Y36" i="3"/>
  <c r="Y34" i="3"/>
  <c r="BC161" i="3"/>
  <c r="K73" i="3"/>
  <c r="AK154" i="3"/>
  <c r="AK57" i="3"/>
  <c r="AK43" i="3"/>
  <c r="AW154" i="3"/>
  <c r="AW72" i="3"/>
  <c r="AW57" i="3"/>
  <c r="AW43" i="3"/>
  <c r="AY161" i="3"/>
  <c r="AS73" i="3"/>
  <c r="BE161" i="3"/>
  <c r="AA154" i="3"/>
  <c r="AA72" i="3"/>
  <c r="AA57" i="3"/>
  <c r="AA43" i="3"/>
  <c r="Z63" i="2" s="1"/>
  <c r="AA77" i="3"/>
  <c r="Z8" i="2" s="1"/>
  <c r="AG72" i="3"/>
  <c r="I73" i="3"/>
  <c r="AQ76" i="3"/>
  <c r="AQ77" i="3" s="1"/>
  <c r="AQ99" i="1" s="1"/>
  <c r="BC154" i="3"/>
  <c r="BC72" i="3"/>
  <c r="BC57" i="3"/>
  <c r="BC43" i="3"/>
  <c r="AW76" i="3"/>
  <c r="AW77" i="3" s="1"/>
  <c r="BH7" i="3"/>
  <c r="BN6" i="3"/>
  <c r="AD154" i="3"/>
  <c r="AD76" i="3"/>
  <c r="AE76" i="3" s="1"/>
  <c r="AD72" i="3"/>
  <c r="AD43" i="3"/>
  <c r="AC63" i="2" s="1"/>
  <c r="AD57" i="3"/>
  <c r="AJ72" i="3"/>
  <c r="AW149" i="3"/>
  <c r="AW173" i="3"/>
  <c r="AW174" i="3" s="1"/>
  <c r="AW163" i="3" s="1"/>
  <c r="AE56" i="3"/>
  <c r="AE36" i="3"/>
  <c r="AE34" i="3"/>
  <c r="AE148" i="1" s="1"/>
  <c r="AE149" i="1" s="1"/>
  <c r="AE150" i="1" s="1"/>
  <c r="AE151" i="1" s="1"/>
  <c r="P73" i="3"/>
  <c r="AW161" i="3"/>
  <c r="AK98" i="3"/>
  <c r="S154" i="3"/>
  <c r="S57" i="3"/>
  <c r="S77" i="3"/>
  <c r="S43" i="3"/>
  <c r="R63" i="2" s="1"/>
  <c r="AY154" i="3"/>
  <c r="AY72" i="3"/>
  <c r="AY57" i="3"/>
  <c r="AY43" i="3"/>
  <c r="AX63" i="2" s="1"/>
  <c r="V73" i="3"/>
  <c r="BA154" i="3"/>
  <c r="BA72" i="3"/>
  <c r="BA76" i="3"/>
  <c r="BC76" i="3" s="1"/>
  <c r="BA43" i="3"/>
  <c r="AZ63" i="2" s="1"/>
  <c r="BA57" i="3"/>
  <c r="AV73" i="3"/>
  <c r="AZ73" i="3"/>
  <c r="AS168" i="3"/>
  <c r="L154" i="3"/>
  <c r="L77" i="3"/>
  <c r="K8" i="2" s="1"/>
  <c r="K25" i="2" s="1"/>
  <c r="L43" i="3"/>
  <c r="K63" i="2" s="1"/>
  <c r="L57" i="3"/>
  <c r="R72" i="3"/>
  <c r="AT168" i="3"/>
  <c r="BA167" i="3"/>
  <c r="BA161" i="3"/>
  <c r="U73" i="3"/>
  <c r="AN73" i="3"/>
  <c r="BE72" i="3"/>
  <c r="BQ38" i="47" l="1"/>
  <c r="AC99" i="1"/>
  <c r="AC102" i="1" s="1"/>
  <c r="AC73" i="3"/>
  <c r="AI73" i="3"/>
  <c r="AU63" i="1"/>
  <c r="AB73" i="3"/>
  <c r="BN171" i="47"/>
  <c r="BN172" i="47" s="1"/>
  <c r="BT168" i="47"/>
  <c r="BN156" i="47"/>
  <c r="Q47" i="2"/>
  <c r="R84" i="1" s="1"/>
  <c r="R78" i="3"/>
  <c r="BB103" i="47"/>
  <c r="BA102" i="47"/>
  <c r="BA100" i="47"/>
  <c r="AY103" i="47"/>
  <c r="AZ103" i="47"/>
  <c r="BK37" i="47"/>
  <c r="BK39" i="47" s="1"/>
  <c r="BI110" i="47"/>
  <c r="BO110" i="47"/>
  <c r="BN106" i="47"/>
  <c r="BN80" i="4"/>
  <c r="BN107" i="47"/>
  <c r="BN37" i="47"/>
  <c r="BL76" i="4"/>
  <c r="BL105" i="47" s="1"/>
  <c r="BO74" i="4"/>
  <c r="BO76" i="4" s="1"/>
  <c r="AH73" i="3"/>
  <c r="AB99" i="1"/>
  <c r="AB102" i="1" s="1"/>
  <c r="R8" i="2"/>
  <c r="R25" i="2" s="1"/>
  <c r="R53" i="2" s="1"/>
  <c r="R54" i="2" s="1"/>
  <c r="R55" i="2" s="1"/>
  <c r="Q53" i="2"/>
  <c r="Q54" i="2" s="1"/>
  <c r="Q55" i="2" s="1"/>
  <c r="R99" i="1"/>
  <c r="R102" i="1" s="1"/>
  <c r="X73" i="3"/>
  <c r="BZ34" i="3"/>
  <c r="BZ148" i="1" s="1"/>
  <c r="BG94" i="2"/>
  <c r="AY63" i="1"/>
  <c r="AK63" i="1"/>
  <c r="BA63" i="1"/>
  <c r="BC63" i="1"/>
  <c r="AI63" i="1"/>
  <c r="AQ63" i="1"/>
  <c r="AH63" i="1"/>
  <c r="AG63" i="1"/>
  <c r="BE63" i="1"/>
  <c r="BI63" i="3"/>
  <c r="AD151" i="1"/>
  <c r="AD172" i="1"/>
  <c r="AD173" i="1"/>
  <c r="Y148" i="1"/>
  <c r="Y149" i="1" s="1"/>
  <c r="Y150" i="1" s="1"/>
  <c r="Y151" i="1" s="1"/>
  <c r="AC151" i="1"/>
  <c r="AC172" i="1"/>
  <c r="AC173" i="1"/>
  <c r="BL6" i="2"/>
  <c r="BM6" i="1"/>
  <c r="M148" i="1"/>
  <c r="M149" i="1" s="1"/>
  <c r="M150" i="1" s="1"/>
  <c r="M151" i="1" s="1"/>
  <c r="BB151" i="1"/>
  <c r="BB173" i="1"/>
  <c r="BB172" i="1"/>
  <c r="AW151" i="1"/>
  <c r="AW173" i="1"/>
  <c r="AW172" i="1"/>
  <c r="F148" i="1"/>
  <c r="F149" i="1" s="1"/>
  <c r="F150" i="1" s="1"/>
  <c r="F151" i="1" s="1"/>
  <c r="AU157" i="47"/>
  <c r="BF105" i="47"/>
  <c r="BF106" i="47" s="1"/>
  <c r="BG92" i="3"/>
  <c r="BG97" i="3" s="1"/>
  <c r="BM107" i="47"/>
  <c r="BM37" i="47"/>
  <c r="BM80" i="4"/>
  <c r="BM106" i="47"/>
  <c r="BG126" i="3"/>
  <c r="CC53" i="3"/>
  <c r="BZ113" i="3"/>
  <c r="BY143" i="3"/>
  <c r="BY94" i="3"/>
  <c r="BY128" i="3"/>
  <c r="BG70" i="3"/>
  <c r="BG112" i="3"/>
  <c r="BG142" i="3" s="1"/>
  <c r="M98" i="3"/>
  <c r="BF79" i="4"/>
  <c r="G34" i="3"/>
  <c r="BI63" i="47"/>
  <c r="BB38" i="47"/>
  <c r="BF77" i="4"/>
  <c r="BG25" i="3"/>
  <c r="BG147" i="1" s="1"/>
  <c r="BH19" i="3"/>
  <c r="BG91" i="1"/>
  <c r="BH50" i="3"/>
  <c r="BB73" i="3"/>
  <c r="BC67" i="47"/>
  <c r="BC68" i="47" s="1"/>
  <c r="BM66" i="47"/>
  <c r="BG69" i="47"/>
  <c r="BG93" i="1"/>
  <c r="BH39" i="47"/>
  <c r="CG77" i="47"/>
  <c r="CG78" i="47" s="1"/>
  <c r="BH108" i="47"/>
  <c r="AW89" i="47"/>
  <c r="AW90" i="47" s="1"/>
  <c r="AW87" i="47"/>
  <c r="AW88" i="47" s="1"/>
  <c r="AW75" i="47"/>
  <c r="AW85" i="47"/>
  <c r="BF34" i="3"/>
  <c r="BF148" i="1" s="1"/>
  <c r="BF149" i="1" s="1"/>
  <c r="BF150" i="1" s="1"/>
  <c r="F77" i="3"/>
  <c r="E8" i="2" s="1"/>
  <c r="E25" i="2" s="1"/>
  <c r="E47" i="2" s="1"/>
  <c r="BF56" i="3"/>
  <c r="BF36" i="3"/>
  <c r="BE106" i="47"/>
  <c r="BK106" i="47"/>
  <c r="BB39" i="47"/>
  <c r="BB40" i="47" s="1"/>
  <c r="G36" i="3"/>
  <c r="AV63" i="2"/>
  <c r="AP63" i="2"/>
  <c r="BB63" i="2"/>
  <c r="F154" i="3"/>
  <c r="L72" i="3"/>
  <c r="F43" i="3"/>
  <c r="E63" i="2" s="1"/>
  <c r="F57" i="3"/>
  <c r="BK6" i="2"/>
  <c r="BF188" i="3"/>
  <c r="BF165" i="3" s="1"/>
  <c r="BM6" i="2"/>
  <c r="BF68" i="1"/>
  <c r="BE79" i="1"/>
  <c r="AW111" i="47"/>
  <c r="AW156" i="47"/>
  <c r="BB108" i="47"/>
  <c r="AW80" i="47"/>
  <c r="Y158" i="47"/>
  <c r="BR29" i="3"/>
  <c r="BD63" i="2"/>
  <c r="BJ6" i="2"/>
  <c r="BE168" i="3"/>
  <c r="G56" i="3"/>
  <c r="BF98" i="3"/>
  <c r="AV168" i="3"/>
  <c r="AJ63" i="2"/>
  <c r="BF184" i="3"/>
  <c r="BF164" i="3" s="1"/>
  <c r="BE169" i="3"/>
  <c r="BE55" i="3" s="1"/>
  <c r="X53" i="2"/>
  <c r="X54" i="2" s="1"/>
  <c r="X55" i="2" s="1"/>
  <c r="X47" i="2"/>
  <c r="K53" i="2"/>
  <c r="K54" i="2" s="1"/>
  <c r="K55" i="2" s="1"/>
  <c r="K47" i="2"/>
  <c r="B53" i="2"/>
  <c r="B54" i="2" s="1"/>
  <c r="B55" i="2" s="1"/>
  <c r="B47" i="2"/>
  <c r="B49" i="2" s="1"/>
  <c r="C48" i="2" s="1"/>
  <c r="C49" i="2" s="1"/>
  <c r="D48" i="2" s="1"/>
  <c r="D49" i="2" s="1"/>
  <c r="E48" i="2" s="1"/>
  <c r="AA8" i="2"/>
  <c r="Z25" i="2"/>
  <c r="H53" i="2"/>
  <c r="H54" i="2" s="1"/>
  <c r="H55" i="2" s="1"/>
  <c r="H47" i="2"/>
  <c r="L8" i="2"/>
  <c r="L25" i="2" s="1"/>
  <c r="N53" i="2"/>
  <c r="N54" i="2" s="1"/>
  <c r="N55" i="2" s="1"/>
  <c r="N47" i="2"/>
  <c r="T53" i="2"/>
  <c r="T54" i="2" s="1"/>
  <c r="T55" i="2" s="1"/>
  <c r="T47" i="2"/>
  <c r="U84" i="1" s="1"/>
  <c r="BF160" i="3"/>
  <c r="AY81" i="1"/>
  <c r="AE158" i="47"/>
  <c r="BE80" i="4"/>
  <c r="BK80" i="4"/>
  <c r="BE110" i="47"/>
  <c r="BE80" i="1"/>
  <c r="BE62" i="1"/>
  <c r="BE61" i="1"/>
  <c r="BE107" i="47"/>
  <c r="D84" i="1"/>
  <c r="BH80" i="1"/>
  <c r="BH79" i="1"/>
  <c r="BH78" i="1"/>
  <c r="BK7" i="3"/>
  <c r="O154" i="47"/>
  <c r="BI77" i="4"/>
  <c r="AW95" i="4"/>
  <c r="AW96" i="4" s="1"/>
  <c r="AW80" i="4"/>
  <c r="AW81" i="4"/>
  <c r="AW65" i="4" s="1"/>
  <c r="AW66" i="4" s="1"/>
  <c r="BC167" i="3"/>
  <c r="BB168" i="3"/>
  <c r="CG47" i="4"/>
  <c r="AZ168" i="3"/>
  <c r="P157" i="47"/>
  <c r="M77" i="3"/>
  <c r="M78" i="3" s="1"/>
  <c r="M61" i="1"/>
  <c r="M57" i="3"/>
  <c r="S72" i="3"/>
  <c r="M154" i="3"/>
  <c r="Q159" i="47"/>
  <c r="Q157" i="47" s="1"/>
  <c r="AP37" i="3"/>
  <c r="BG80" i="4"/>
  <c r="R154" i="47"/>
  <c r="J154" i="47"/>
  <c r="J160" i="47"/>
  <c r="BE83" i="4"/>
  <c r="AW87" i="1"/>
  <c r="AP86" i="1"/>
  <c r="BC79" i="4"/>
  <c r="BC107" i="47" s="1"/>
  <c r="BC108" i="47" s="1"/>
  <c r="AY167" i="3"/>
  <c r="BG79" i="1"/>
  <c r="BG80" i="1"/>
  <c r="BG78" i="1"/>
  <c r="P154" i="47"/>
  <c r="AW81" i="1"/>
  <c r="AK85" i="1"/>
  <c r="AK84" i="1"/>
  <c r="AK37" i="3"/>
  <c r="BN165" i="1"/>
  <c r="R85" i="1"/>
  <c r="AV86" i="1"/>
  <c r="AQ37" i="3"/>
  <c r="AQ85" i="1"/>
  <c r="AQ84" i="1"/>
  <c r="BR21" i="1"/>
  <c r="BM156" i="1"/>
  <c r="BB86" i="1"/>
  <c r="BB37" i="3"/>
  <c r="BI7" i="3"/>
  <c r="M150" i="47"/>
  <c r="M151" i="47" s="1"/>
  <c r="M153" i="47"/>
  <c r="AT108" i="47"/>
  <c r="BA106" i="47"/>
  <c r="AY108" i="47"/>
  <c r="AU108" i="47"/>
  <c r="AZ106" i="47"/>
  <c r="BC154" i="47"/>
  <c r="BC160" i="47"/>
  <c r="O160" i="47"/>
  <c r="O157" i="47"/>
  <c r="AW31" i="47"/>
  <c r="AW32" i="47"/>
  <c r="AW37" i="47"/>
  <c r="AW39" i="47" s="1"/>
  <c r="AW38" i="47"/>
  <c r="BC7" i="47"/>
  <c r="AT39" i="47"/>
  <c r="AT40" i="47" s="1"/>
  <c r="AU39" i="47"/>
  <c r="AU40" i="47" s="1"/>
  <c r="I157" i="47"/>
  <c r="I160" i="47"/>
  <c r="BB160" i="47"/>
  <c r="L150" i="47"/>
  <c r="L151" i="47" s="1"/>
  <c r="L153" i="47"/>
  <c r="BC32" i="47"/>
  <c r="BC37" i="47"/>
  <c r="I154" i="47"/>
  <c r="I155" i="47"/>
  <c r="R160" i="47"/>
  <c r="R157" i="47"/>
  <c r="K160" i="47"/>
  <c r="K157" i="47"/>
  <c r="AW78" i="3"/>
  <c r="AW99" i="1"/>
  <c r="AY73" i="3"/>
  <c r="AW167" i="3"/>
  <c r="AE149" i="3"/>
  <c r="BC73" i="3"/>
  <c r="AZ81" i="1"/>
  <c r="BA81" i="1"/>
  <c r="BH2" i="47"/>
  <c r="BH5" i="4"/>
  <c r="Q85" i="1"/>
  <c r="Q84" i="1"/>
  <c r="D85" i="1"/>
  <c r="AK158" i="47"/>
  <c r="AB158" i="47"/>
  <c r="AH158" i="47"/>
  <c r="BB81" i="1"/>
  <c r="L78" i="3"/>
  <c r="L99" i="1"/>
  <c r="L102" i="1" s="1"/>
  <c r="M102" i="1" s="1"/>
  <c r="BA73" i="3"/>
  <c r="S78" i="3"/>
  <c r="S99" i="1"/>
  <c r="AE61" i="1"/>
  <c r="BN6" i="1"/>
  <c r="AA78" i="3"/>
  <c r="AA99" i="1"/>
  <c r="AK72" i="3"/>
  <c r="Y61" i="1"/>
  <c r="AW48" i="3"/>
  <c r="AW148" i="47"/>
  <c r="AW151" i="47" s="1"/>
  <c r="U85" i="1"/>
  <c r="BF80" i="1"/>
  <c r="BF79" i="1"/>
  <c r="BF78" i="1"/>
  <c r="BF2" i="47"/>
  <c r="BF5" i="4"/>
  <c r="BL6" i="1"/>
  <c r="BR6" i="3"/>
  <c r="BL7" i="3"/>
  <c r="BG2" i="47"/>
  <c r="BG5" i="4"/>
  <c r="BM7" i="3"/>
  <c r="BS6" i="3"/>
  <c r="AQ158" i="47"/>
  <c r="AW159" i="47"/>
  <c r="AT157" i="47"/>
  <c r="BE2" i="47"/>
  <c r="BE5" i="4"/>
  <c r="BK6" i="1"/>
  <c r="BQ6" i="3"/>
  <c r="BC78" i="1"/>
  <c r="BC79" i="1"/>
  <c r="BC80" i="1"/>
  <c r="BC37" i="3"/>
  <c r="BC86" i="1"/>
  <c r="M125" i="1"/>
  <c r="M128" i="1" s="1"/>
  <c r="I125" i="1"/>
  <c r="BC84" i="1"/>
  <c r="AJ87" i="1"/>
  <c r="M109" i="1"/>
  <c r="I114" i="1"/>
  <c r="I118" i="1"/>
  <c r="U133" i="1"/>
  <c r="U134" i="1" s="1"/>
  <c r="Y134" i="1" s="1"/>
  <c r="Y133" i="1"/>
  <c r="G119" i="1"/>
  <c r="G120" i="1" s="1"/>
  <c r="I116" i="1" s="1"/>
  <c r="M116" i="1" s="1"/>
  <c r="BG107" i="47"/>
  <c r="BG37" i="47"/>
  <c r="BE38" i="47"/>
  <c r="BE39" i="47"/>
  <c r="CF69" i="47"/>
  <c r="AZ80" i="4"/>
  <c r="AZ107" i="47"/>
  <c r="AZ37" i="47"/>
  <c r="CC175" i="47"/>
  <c r="BQ70" i="47"/>
  <c r="BW66" i="47"/>
  <c r="BG106" i="47"/>
  <c r="BS172" i="47"/>
  <c r="BS173" i="47"/>
  <c r="BX173" i="47"/>
  <c r="BX175" i="47" s="1"/>
  <c r="BX172" i="47"/>
  <c r="BY171" i="47"/>
  <c r="CE169" i="47"/>
  <c r="CE171" i="47" s="1"/>
  <c r="BW175" i="47"/>
  <c r="BZ66" i="47"/>
  <c r="BT70" i="47"/>
  <c r="BA107" i="47"/>
  <c r="BA37" i="47"/>
  <c r="BA80" i="4"/>
  <c r="CD172" i="47"/>
  <c r="CD173" i="47"/>
  <c r="CD175" i="47" s="1"/>
  <c r="AY39" i="47"/>
  <c r="AY40" i="47" s="1"/>
  <c r="AY38" i="47"/>
  <c r="AT49" i="3"/>
  <c r="AW16" i="3"/>
  <c r="AW49" i="3" s="1"/>
  <c r="AT13" i="3"/>
  <c r="AW13" i="3" s="1"/>
  <c r="R73" i="3"/>
  <c r="AE154" i="3"/>
  <c r="AE77" i="3"/>
  <c r="AE57" i="3"/>
  <c r="AE72" i="3"/>
  <c r="AE43" i="3"/>
  <c r="AQ73" i="3"/>
  <c r="Y154" i="3"/>
  <c r="Y77" i="3"/>
  <c r="Y43" i="3"/>
  <c r="Y57" i="3"/>
  <c r="Y72" i="3"/>
  <c r="AD73" i="3"/>
  <c r="AJ73" i="3"/>
  <c r="AW73" i="3"/>
  <c r="AQ78" i="3"/>
  <c r="BN7" i="3"/>
  <c r="BT6" i="3"/>
  <c r="S73" i="3"/>
  <c r="BE73" i="3"/>
  <c r="BA168" i="3"/>
  <c r="AK78" i="3"/>
  <c r="AA73" i="3"/>
  <c r="AG73" i="3"/>
  <c r="BQ39" i="47" l="1"/>
  <c r="BQ40" i="47" s="1"/>
  <c r="BN173" i="47"/>
  <c r="BN175" i="47" s="1"/>
  <c r="BO175" i="47" s="1"/>
  <c r="BO171" i="47"/>
  <c r="BO172" i="47" s="1"/>
  <c r="BK38" i="47"/>
  <c r="BL77" i="4"/>
  <c r="BL79" i="4"/>
  <c r="BO79" i="4" s="1"/>
  <c r="BO95" i="4" s="1"/>
  <c r="BO100" i="4" s="1"/>
  <c r="BL106" i="47"/>
  <c r="BA103" i="47"/>
  <c r="BN38" i="47"/>
  <c r="BN39" i="47"/>
  <c r="BN40" i="47" s="1"/>
  <c r="BN108" i="47"/>
  <c r="BO77" i="4"/>
  <c r="BN79" i="1"/>
  <c r="BN80" i="1"/>
  <c r="BN78" i="1"/>
  <c r="R47" i="2"/>
  <c r="CC34" i="3"/>
  <c r="BH51" i="3"/>
  <c r="AC63" i="1"/>
  <c r="AD63" i="1"/>
  <c r="AW63" i="1"/>
  <c r="BB63" i="1"/>
  <c r="BM79" i="1"/>
  <c r="BM80" i="1"/>
  <c r="BM78" i="1"/>
  <c r="G148" i="1"/>
  <c r="G149" i="1" s="1"/>
  <c r="G150" i="1" s="1"/>
  <c r="G151" i="1" s="1"/>
  <c r="BF172" i="1"/>
  <c r="BF173" i="1"/>
  <c r="BF151" i="1"/>
  <c r="AU158" i="47"/>
  <c r="BF80" i="4"/>
  <c r="BM39" i="47"/>
  <c r="BM38" i="47"/>
  <c r="BM108" i="47"/>
  <c r="BF107" i="47"/>
  <c r="BF37" i="47"/>
  <c r="BI79" i="4"/>
  <c r="BI107" i="47" s="1"/>
  <c r="BI108" i="47" s="1"/>
  <c r="BZ143" i="3"/>
  <c r="BZ128" i="3"/>
  <c r="BZ94" i="3"/>
  <c r="CD53" i="3"/>
  <c r="CC113" i="3"/>
  <c r="BG93" i="3"/>
  <c r="BG54" i="3"/>
  <c r="BG188" i="3" s="1"/>
  <c r="BG165" i="3" s="1"/>
  <c r="BG127" i="3"/>
  <c r="G57" i="3"/>
  <c r="BG33" i="3"/>
  <c r="BG71" i="3"/>
  <c r="BH111" i="3"/>
  <c r="BG95" i="2"/>
  <c r="BG97" i="2" s="1"/>
  <c r="BG98" i="2" s="1"/>
  <c r="BH98" i="2" s="1"/>
  <c r="BL80" i="1"/>
  <c r="BL78" i="1"/>
  <c r="BL79" i="1"/>
  <c r="BK18" i="3"/>
  <c r="BS66" i="47"/>
  <c r="BM70" i="47"/>
  <c r="BF154" i="3"/>
  <c r="M72" i="3"/>
  <c r="G77" i="3"/>
  <c r="G78" i="3" s="1"/>
  <c r="F99" i="1"/>
  <c r="F102" i="1" s="1"/>
  <c r="BH40" i="47"/>
  <c r="AW157" i="47"/>
  <c r="AW158" i="47" s="1"/>
  <c r="BF57" i="3"/>
  <c r="E53" i="2"/>
  <c r="E54" i="2" s="1"/>
  <c r="E55" i="2" s="1"/>
  <c r="BF76" i="3"/>
  <c r="BF43" i="3"/>
  <c r="F78" i="3"/>
  <c r="BF72" i="3"/>
  <c r="BF62" i="1"/>
  <c r="F8" i="2"/>
  <c r="F25" i="2" s="1"/>
  <c r="F47" i="2" s="1"/>
  <c r="F49" i="2" s="1"/>
  <c r="H48" i="2" s="1"/>
  <c r="L48" i="2" s="1"/>
  <c r="BF61" i="1"/>
  <c r="BK108" i="47"/>
  <c r="G43" i="3"/>
  <c r="F63" i="2" s="1"/>
  <c r="G154" i="3"/>
  <c r="X63" i="2"/>
  <c r="AD63" i="2"/>
  <c r="BE81" i="1"/>
  <c r="BS6" i="2"/>
  <c r="BR6" i="2"/>
  <c r="L73" i="3"/>
  <c r="BP6" i="2"/>
  <c r="BQ6" i="2"/>
  <c r="BX29" i="3"/>
  <c r="CD29" i="3"/>
  <c r="BK79" i="1"/>
  <c r="BK80" i="1"/>
  <c r="BK78" i="1"/>
  <c r="BN31" i="2"/>
  <c r="BK40" i="47"/>
  <c r="BF161" i="3"/>
  <c r="E49" i="2"/>
  <c r="L53" i="2"/>
  <c r="L54" i="2" s="1"/>
  <c r="L55" i="2" s="1"/>
  <c r="L47" i="2"/>
  <c r="Z53" i="2"/>
  <c r="Z54" i="2" s="1"/>
  <c r="Z55" i="2" s="1"/>
  <c r="Z47" i="2"/>
  <c r="AB8" i="2"/>
  <c r="AA25" i="2"/>
  <c r="BE108" i="47"/>
  <c r="BO7" i="3"/>
  <c r="BH81" i="1"/>
  <c r="BC168" i="3"/>
  <c r="AK73" i="3"/>
  <c r="BQ7" i="3"/>
  <c r="BC81" i="4"/>
  <c r="BC65" i="4" s="1"/>
  <c r="BC66" i="4" s="1"/>
  <c r="BO37" i="1"/>
  <c r="BQ37" i="1" s="1"/>
  <c r="AP87" i="1"/>
  <c r="AW82" i="4"/>
  <c r="AW83" i="4" s="1"/>
  <c r="W158" i="47"/>
  <c r="P158" i="47"/>
  <c r="V158" i="47"/>
  <c r="M99" i="1"/>
  <c r="M103" i="1" s="1"/>
  <c r="AW168" i="3"/>
  <c r="Q160" i="47"/>
  <c r="BC95" i="4"/>
  <c r="BC96" i="4" s="1"/>
  <c r="BC80" i="4"/>
  <c r="AY168" i="3"/>
  <c r="BG81" i="1"/>
  <c r="L159" i="47"/>
  <c r="L157" i="47" s="1"/>
  <c r="AK86" i="1"/>
  <c r="BO16" i="1"/>
  <c r="BO165" i="1" s="1"/>
  <c r="BO10" i="1"/>
  <c r="R86" i="1"/>
  <c r="AV87" i="1"/>
  <c r="BB87" i="1"/>
  <c r="BN156" i="1"/>
  <c r="BS21" i="1"/>
  <c r="AQ86" i="1"/>
  <c r="BE40" i="47"/>
  <c r="X158" i="47"/>
  <c r="BC38" i="47"/>
  <c r="BC33" i="47"/>
  <c r="BC39" i="47"/>
  <c r="L155" i="47"/>
  <c r="L154" i="47"/>
  <c r="M159" i="47"/>
  <c r="BA108" i="47"/>
  <c r="AZ108" i="47"/>
  <c r="Q158" i="47"/>
  <c r="O158" i="47"/>
  <c r="U158" i="47"/>
  <c r="M155" i="47"/>
  <c r="M154" i="47"/>
  <c r="BT6" i="1"/>
  <c r="Y73" i="3"/>
  <c r="AE78" i="3"/>
  <c r="AE99" i="1"/>
  <c r="X85" i="1"/>
  <c r="X84" i="1"/>
  <c r="BC81" i="1"/>
  <c r="E84" i="1"/>
  <c r="E85" i="1"/>
  <c r="K84" i="1"/>
  <c r="K85" i="1"/>
  <c r="AT158" i="47"/>
  <c r="BM2" i="47"/>
  <c r="BM5" i="4"/>
  <c r="BR6" i="1"/>
  <c r="BR7" i="3"/>
  <c r="BX6" i="3"/>
  <c r="BL2" i="47"/>
  <c r="BL5" i="4"/>
  <c r="U86" i="1"/>
  <c r="AW155" i="47"/>
  <c r="AW154" i="47"/>
  <c r="BN2" i="47"/>
  <c r="BN5" i="4"/>
  <c r="J85" i="1"/>
  <c r="J84" i="1"/>
  <c r="W85" i="1"/>
  <c r="W84" i="1"/>
  <c r="O84" i="1"/>
  <c r="O85" i="1"/>
  <c r="C85" i="1"/>
  <c r="BG28" i="1"/>
  <c r="Y78" i="3"/>
  <c r="Y99" i="1"/>
  <c r="V85" i="1"/>
  <c r="V84" i="1"/>
  <c r="BQ6" i="1"/>
  <c r="BW6" i="3"/>
  <c r="BV6" i="2" s="1"/>
  <c r="BK2" i="47"/>
  <c r="BK5" i="4"/>
  <c r="I84" i="1"/>
  <c r="I85" i="1"/>
  <c r="BS6" i="1"/>
  <c r="BS7" i="3"/>
  <c r="BY6" i="3"/>
  <c r="BF81" i="1"/>
  <c r="P85" i="1"/>
  <c r="P84" i="1"/>
  <c r="D86" i="1"/>
  <c r="Q86" i="1"/>
  <c r="I129" i="1"/>
  <c r="M129" i="1" s="1"/>
  <c r="M130" i="1" s="1"/>
  <c r="I128" i="1"/>
  <c r="BC87" i="1"/>
  <c r="Y135" i="1"/>
  <c r="M118" i="1"/>
  <c r="BO35" i="1"/>
  <c r="I120" i="1"/>
  <c r="J109" i="1"/>
  <c r="BA38" i="47"/>
  <c r="BA39" i="47"/>
  <c r="BA40" i="47" s="1"/>
  <c r="CC66" i="47"/>
  <c r="BW70" i="47"/>
  <c r="CC29" i="3"/>
  <c r="BS175" i="47"/>
  <c r="CE172" i="47"/>
  <c r="CE173" i="47"/>
  <c r="BG38" i="47"/>
  <c r="BG39" i="47"/>
  <c r="BY173" i="47"/>
  <c r="BY175" i="47" s="1"/>
  <c r="BY172" i="47"/>
  <c r="BG108" i="47"/>
  <c r="BW29" i="3"/>
  <c r="AZ39" i="47"/>
  <c r="AZ40" i="47" s="1"/>
  <c r="AZ38" i="47"/>
  <c r="BZ70" i="47"/>
  <c r="CF66" i="47"/>
  <c r="AE73" i="3"/>
  <c r="BT7" i="3"/>
  <c r="BZ6" i="3"/>
  <c r="BQ67" i="3" l="1"/>
  <c r="BO173" i="47"/>
  <c r="BO174" i="47" s="1"/>
  <c r="BO81" i="4"/>
  <c r="BL80" i="4"/>
  <c r="BO107" i="47"/>
  <c r="BO108" i="47" s="1"/>
  <c r="BL107" i="47"/>
  <c r="BL108" i="47" s="1"/>
  <c r="BL37" i="47"/>
  <c r="BL39" i="47" s="1"/>
  <c r="CC148" i="1"/>
  <c r="CD34" i="3"/>
  <c r="BK50" i="3"/>
  <c r="BO80" i="4"/>
  <c r="BN81" i="1"/>
  <c r="BH112" i="3"/>
  <c r="BF108" i="47"/>
  <c r="BF38" i="47"/>
  <c r="BF63" i="1"/>
  <c r="BM81" i="1"/>
  <c r="BI81" i="4"/>
  <c r="BI65" i="4" s="1"/>
  <c r="BI82" i="4" s="1"/>
  <c r="BF39" i="47"/>
  <c r="BM40" i="47"/>
  <c r="BI95" i="4"/>
  <c r="BI96" i="4" s="1"/>
  <c r="BI97" i="4" s="1"/>
  <c r="BI80" i="4"/>
  <c r="BG98" i="3"/>
  <c r="BG203" i="3"/>
  <c r="BG34" i="3"/>
  <c r="BG36" i="3"/>
  <c r="BG174" i="3"/>
  <c r="BG184" i="3"/>
  <c r="BG164" i="3" s="1"/>
  <c r="CC94" i="3"/>
  <c r="CC143" i="3"/>
  <c r="CC128" i="3"/>
  <c r="BG160" i="3"/>
  <c r="CE53" i="3"/>
  <c r="CD113" i="3"/>
  <c r="BG56" i="3"/>
  <c r="G99" i="1"/>
  <c r="G102" i="1" s="1"/>
  <c r="BK19" i="3"/>
  <c r="BH92" i="3"/>
  <c r="BH141" i="3"/>
  <c r="BH126" i="3"/>
  <c r="BF73" i="3"/>
  <c r="M73" i="3"/>
  <c r="BL81" i="1"/>
  <c r="BE63" i="2"/>
  <c r="BJ94" i="2"/>
  <c r="BY66" i="47"/>
  <c r="BS70" i="47"/>
  <c r="F53" i="2"/>
  <c r="F54" i="2" s="1"/>
  <c r="F55" i="2" s="1"/>
  <c r="BY29" i="3"/>
  <c r="BG40" i="47"/>
  <c r="BK81" i="1"/>
  <c r="BQ80" i="1"/>
  <c r="BW80" i="1" s="1"/>
  <c r="CC80" i="1" s="1"/>
  <c r="L160" i="47"/>
  <c r="BQ79" i="1"/>
  <c r="BC82" i="4"/>
  <c r="BC83" i="4" s="1"/>
  <c r="L49" i="2"/>
  <c r="N48" i="2" s="1"/>
  <c r="R48" i="2" s="1"/>
  <c r="R49" i="2" s="1"/>
  <c r="T48" i="2" s="1"/>
  <c r="X48" i="2" s="1"/>
  <c r="X49" i="2" s="1"/>
  <c r="AD48" i="2" s="1"/>
  <c r="H49" i="2"/>
  <c r="I48" i="2" s="1"/>
  <c r="I49" i="2" s="1"/>
  <c r="J48" i="2" s="1"/>
  <c r="J49" i="2" s="1"/>
  <c r="K48" i="2" s="1"/>
  <c r="K49" i="2" s="1"/>
  <c r="BY6" i="2"/>
  <c r="AC8" i="2"/>
  <c r="AC25" i="2" s="1"/>
  <c r="AB25" i="2"/>
  <c r="BX6" i="2"/>
  <c r="BW6" i="2"/>
  <c r="AA53" i="2"/>
  <c r="AA54" i="2" s="1"/>
  <c r="AA55" i="2" s="1"/>
  <c r="AA47" i="2"/>
  <c r="BW7" i="3"/>
  <c r="BQ101" i="1"/>
  <c r="Y85" i="1"/>
  <c r="Y84" i="1"/>
  <c r="Y86" i="1"/>
  <c r="BR37" i="1"/>
  <c r="AK87" i="1"/>
  <c r="BQ10" i="1"/>
  <c r="BQ16" i="1"/>
  <c r="BQ165" i="1" s="1"/>
  <c r="BU7" i="3"/>
  <c r="R87" i="1"/>
  <c r="AQ87" i="1"/>
  <c r="BO30" i="1"/>
  <c r="BO156" i="1" s="1"/>
  <c r="BT21" i="1"/>
  <c r="BO9" i="1"/>
  <c r="M160" i="47"/>
  <c r="M157" i="47"/>
  <c r="S158" i="47" s="1"/>
  <c r="BC34" i="47"/>
  <c r="BF111" i="47"/>
  <c r="BF60" i="4"/>
  <c r="BF4" i="47"/>
  <c r="BF5" i="47" s="1"/>
  <c r="BF69" i="4"/>
  <c r="R158" i="47"/>
  <c r="BZ6" i="1"/>
  <c r="AA84" i="1"/>
  <c r="AA85" i="1"/>
  <c r="BS2" i="47"/>
  <c r="BS5" i="4"/>
  <c r="M85" i="1"/>
  <c r="M84" i="1"/>
  <c r="I86" i="1"/>
  <c r="BW6" i="1"/>
  <c r="CC6" i="3"/>
  <c r="BQ2" i="47"/>
  <c r="BQ5" i="4"/>
  <c r="M104" i="1"/>
  <c r="O97" i="1"/>
  <c r="O102" i="1" s="1"/>
  <c r="S102" i="1" s="1"/>
  <c r="S97" i="1"/>
  <c r="C84" i="1"/>
  <c r="S84" i="1"/>
  <c r="S85" i="1"/>
  <c r="O86" i="1"/>
  <c r="BX6" i="1"/>
  <c r="CD6" i="3"/>
  <c r="BX7" i="3"/>
  <c r="E86" i="1"/>
  <c r="BT2" i="47"/>
  <c r="BT5" i="4"/>
  <c r="Q87" i="1"/>
  <c r="D87" i="1"/>
  <c r="P86" i="1"/>
  <c r="F84" i="1"/>
  <c r="F85" i="1"/>
  <c r="L84" i="1"/>
  <c r="L85" i="1"/>
  <c r="BY6" i="1"/>
  <c r="CE6" i="3"/>
  <c r="BY7" i="3"/>
  <c r="V86" i="1"/>
  <c r="BG32" i="1"/>
  <c r="BG40" i="1" s="1"/>
  <c r="C86" i="1"/>
  <c r="W86" i="1"/>
  <c r="J86" i="1"/>
  <c r="U87" i="1"/>
  <c r="BR2" i="47"/>
  <c r="BR5" i="4"/>
  <c r="K86" i="1"/>
  <c r="X86" i="1"/>
  <c r="S125" i="1"/>
  <c r="S128" i="1" s="1"/>
  <c r="O125" i="1"/>
  <c r="I119" i="1"/>
  <c r="J116" i="1"/>
  <c r="AA133" i="1"/>
  <c r="AA134" i="1" s="1"/>
  <c r="AE134" i="1" s="1"/>
  <c r="AE133" i="1"/>
  <c r="BQ35" i="1"/>
  <c r="J114" i="1"/>
  <c r="J118" i="1"/>
  <c r="CC70" i="47"/>
  <c r="CE175" i="47"/>
  <c r="CF70" i="47"/>
  <c r="BO29" i="3"/>
  <c r="BS29" i="3"/>
  <c r="CF6" i="3"/>
  <c r="BZ7" i="3"/>
  <c r="BQ68" i="3" l="1"/>
  <c r="BO176" i="47"/>
  <c r="BK111" i="3"/>
  <c r="BK141" i="3" s="1"/>
  <c r="CD148" i="1"/>
  <c r="BL38" i="47"/>
  <c r="CE34" i="3"/>
  <c r="BJ95" i="2"/>
  <c r="BJ97" i="2" s="1"/>
  <c r="BJ98" i="2" s="1"/>
  <c r="AY94" i="47"/>
  <c r="BE95" i="47" s="1"/>
  <c r="BO65" i="4"/>
  <c r="BO96" i="4"/>
  <c r="BH93" i="3"/>
  <c r="BH127" i="3"/>
  <c r="BH142" i="3"/>
  <c r="CE6" i="2"/>
  <c r="CD6" i="2"/>
  <c r="CB6" i="2"/>
  <c r="CC6" i="2"/>
  <c r="BG148" i="1"/>
  <c r="BG149" i="1" s="1"/>
  <c r="BG150" i="1" s="1"/>
  <c r="BL40" i="47"/>
  <c r="BG57" i="3"/>
  <c r="BF40" i="47"/>
  <c r="BG76" i="3"/>
  <c r="BG161" i="3"/>
  <c r="BG72" i="3"/>
  <c r="BG154" i="3"/>
  <c r="BG43" i="3"/>
  <c r="CF53" i="3"/>
  <c r="CE113" i="3"/>
  <c r="CD94" i="3"/>
  <c r="CD128" i="3"/>
  <c r="CD143" i="3"/>
  <c r="BK21" i="3"/>
  <c r="BK51" i="3"/>
  <c r="BL18" i="3"/>
  <c r="BH97" i="3"/>
  <c r="BQ111" i="3"/>
  <c r="BQ126" i="3" s="1"/>
  <c r="CE66" i="47"/>
  <c r="CE70" i="47" s="1"/>
  <c r="BY70" i="47"/>
  <c r="AY27" i="4"/>
  <c r="AY25" i="4" s="1"/>
  <c r="AY35" i="47"/>
  <c r="AD8" i="2"/>
  <c r="AD25" i="2" s="1"/>
  <c r="AD47" i="2" s="1"/>
  <c r="AD49" i="2" s="1"/>
  <c r="BI83" i="4"/>
  <c r="T49" i="2"/>
  <c r="U48" i="2" s="1"/>
  <c r="U49" i="2" s="1"/>
  <c r="V48" i="2" s="1"/>
  <c r="V49" i="2" s="1"/>
  <c r="W48" i="2" s="1"/>
  <c r="W49" i="2" s="1"/>
  <c r="Z48" i="2"/>
  <c r="Z49" i="2" s="1"/>
  <c r="AA48" i="2" s="1"/>
  <c r="AA49" i="2" s="1"/>
  <c r="BW79" i="1"/>
  <c r="BR79" i="1"/>
  <c r="BQ81" i="1"/>
  <c r="BR80" i="1"/>
  <c r="BX80" i="1" s="1"/>
  <c r="CD80" i="1" s="1"/>
  <c r="BP31" i="2"/>
  <c r="N49" i="2"/>
  <c r="O48" i="2" s="1"/>
  <c r="O49" i="2" s="1"/>
  <c r="P48" i="2" s="1"/>
  <c r="P49" i="2" s="1"/>
  <c r="Q48" i="2" s="1"/>
  <c r="Q49" i="2" s="1"/>
  <c r="AB53" i="2"/>
  <c r="AB54" i="2" s="1"/>
  <c r="AB55" i="2" s="1"/>
  <c r="AB47" i="2"/>
  <c r="AC53" i="2"/>
  <c r="AC54" i="2" s="1"/>
  <c r="AC55" i="2" s="1"/>
  <c r="AC47" i="2"/>
  <c r="BI66" i="4"/>
  <c r="CC7" i="3"/>
  <c r="BS37" i="1"/>
  <c r="BR101" i="1"/>
  <c r="BI42" i="3"/>
  <c r="BI148" i="3"/>
  <c r="AE135" i="1"/>
  <c r="AK133" i="1" s="1"/>
  <c r="BR16" i="1"/>
  <c r="BR165" i="1" s="1"/>
  <c r="BR10" i="1"/>
  <c r="CA7" i="3"/>
  <c r="BQ9" i="1"/>
  <c r="BU21" i="1"/>
  <c r="BW21" i="1" s="1"/>
  <c r="BQ30" i="1"/>
  <c r="BQ156" i="1" s="1"/>
  <c r="S103" i="1"/>
  <c r="Y97" i="1" s="1"/>
  <c r="BF117" i="3"/>
  <c r="BF132" i="3"/>
  <c r="BF102" i="3"/>
  <c r="BF83" i="3" s="1"/>
  <c r="BF7" i="47"/>
  <c r="X87" i="1"/>
  <c r="J87" i="1"/>
  <c r="W87" i="1"/>
  <c r="V87" i="1"/>
  <c r="L86" i="1"/>
  <c r="F86" i="1"/>
  <c r="E87" i="1"/>
  <c r="O87" i="1"/>
  <c r="S86" i="1"/>
  <c r="AA86" i="1"/>
  <c r="BZ2" i="47"/>
  <c r="BZ5" i="4"/>
  <c r="CF7" i="3"/>
  <c r="CF6" i="1"/>
  <c r="K87" i="1"/>
  <c r="C87" i="1"/>
  <c r="CE6" i="1"/>
  <c r="CE7" i="3"/>
  <c r="BY2" i="47"/>
  <c r="BY5" i="4"/>
  <c r="AB84" i="1"/>
  <c r="AB85" i="1"/>
  <c r="P87" i="1"/>
  <c r="G85" i="1"/>
  <c r="CD7" i="3"/>
  <c r="CD6" i="1"/>
  <c r="BX2" i="47"/>
  <c r="BX5" i="4"/>
  <c r="C8" i="1"/>
  <c r="C164" i="1" s="1"/>
  <c r="CC6" i="1"/>
  <c r="BW2" i="47"/>
  <c r="BW5" i="4"/>
  <c r="I87" i="1"/>
  <c r="M86" i="1"/>
  <c r="O128" i="1"/>
  <c r="O129" i="1"/>
  <c r="S129" i="1" s="1"/>
  <c r="S130" i="1" s="1"/>
  <c r="J120" i="1"/>
  <c r="K109" i="1"/>
  <c r="BR35" i="1"/>
  <c r="CE29" i="3"/>
  <c r="AY52" i="4"/>
  <c r="AY50" i="4" s="1"/>
  <c r="AY47" i="4"/>
  <c r="AY45" i="4" s="1"/>
  <c r="AY42" i="4"/>
  <c r="AY40" i="4" s="1"/>
  <c r="AY22" i="4"/>
  <c r="AY20" i="4" s="1"/>
  <c r="AY32" i="4"/>
  <c r="AY30" i="4" s="1"/>
  <c r="AY17" i="4"/>
  <c r="AY15" i="4" s="1"/>
  <c r="AY12" i="4"/>
  <c r="AY10" i="4" s="1"/>
  <c r="AY97" i="4"/>
  <c r="AY56" i="4"/>
  <c r="BK92" i="3" l="1"/>
  <c r="BK97" i="3" s="1"/>
  <c r="BK126" i="3"/>
  <c r="CF34" i="3"/>
  <c r="CE148" i="1"/>
  <c r="BK112" i="3"/>
  <c r="BK93" i="3" s="1"/>
  <c r="BK91" i="1"/>
  <c r="AZ94" i="47"/>
  <c r="BO66" i="4"/>
  <c r="BO82" i="4"/>
  <c r="BO83" i="4" s="1"/>
  <c r="CF113" i="3"/>
  <c r="CF143" i="3" s="1"/>
  <c r="BG151" i="1"/>
  <c r="BG172" i="1"/>
  <c r="BG173" i="1"/>
  <c r="C167" i="1"/>
  <c r="C169" i="1"/>
  <c r="U112" i="47"/>
  <c r="P112" i="47"/>
  <c r="W112" i="47"/>
  <c r="BL50" i="3"/>
  <c r="BL111" i="3" s="1"/>
  <c r="BG73" i="3"/>
  <c r="BF63" i="2"/>
  <c r="BK25" i="3"/>
  <c r="CE128" i="3"/>
  <c r="CE94" i="3"/>
  <c r="CE143" i="3"/>
  <c r="BL19" i="3"/>
  <c r="BL51" i="3" s="1"/>
  <c r="BK93" i="1"/>
  <c r="BW111" i="3"/>
  <c r="BW141" i="3" s="1"/>
  <c r="BQ92" i="3"/>
  <c r="BQ97" i="3" s="1"/>
  <c r="CC111" i="3"/>
  <c r="CC92" i="3" s="1"/>
  <c r="BQ141" i="3"/>
  <c r="AZ27" i="4"/>
  <c r="AZ25" i="4" s="1"/>
  <c r="AS103" i="47"/>
  <c r="AS97" i="47"/>
  <c r="AS100" i="47"/>
  <c r="AS94" i="47"/>
  <c r="AY95" i="47" s="1"/>
  <c r="AS112" i="47"/>
  <c r="AS35" i="47"/>
  <c r="AZ35" i="47"/>
  <c r="AD53" i="2"/>
  <c r="AD54" i="2" s="1"/>
  <c r="AD55" i="2" s="1"/>
  <c r="B50" i="2"/>
  <c r="C52" i="1"/>
  <c r="BR81" i="1"/>
  <c r="AA50" i="2"/>
  <c r="AB48" i="2"/>
  <c r="AB49" i="2" s="1"/>
  <c r="BX79" i="1"/>
  <c r="CD79" i="1" s="1"/>
  <c r="CD81" i="1" s="1"/>
  <c r="BS79" i="1"/>
  <c r="BS80" i="1"/>
  <c r="BY80" i="1" s="1"/>
  <c r="CE80" i="1" s="1"/>
  <c r="BT80" i="1"/>
  <c r="BZ80" i="1" s="1"/>
  <c r="CF80" i="1" s="1"/>
  <c r="CC79" i="1"/>
  <c r="CC81" i="1" s="1"/>
  <c r="BW81" i="1"/>
  <c r="BQ31" i="2"/>
  <c r="AJ48" i="2"/>
  <c r="AJ49" i="2" s="1"/>
  <c r="AF48" i="2"/>
  <c r="AF49" i="2" s="1"/>
  <c r="AD50" i="2"/>
  <c r="BT37" i="1"/>
  <c r="BS101" i="1"/>
  <c r="AG133" i="1"/>
  <c r="AG134" i="1" s="1"/>
  <c r="AK134" i="1" s="1"/>
  <c r="AK135" i="1" s="1"/>
  <c r="AM133" i="1" s="1"/>
  <c r="AM134" i="1" s="1"/>
  <c r="AQ134" i="1" s="1"/>
  <c r="Y87" i="1"/>
  <c r="S104" i="1"/>
  <c r="BH173" i="3"/>
  <c r="BH202" i="3"/>
  <c r="CG7" i="3"/>
  <c r="BI39" i="3"/>
  <c r="BH40" i="3"/>
  <c r="BK147" i="3"/>
  <c r="BI41" i="3"/>
  <c r="U97" i="1"/>
  <c r="U102" i="1" s="1"/>
  <c r="Y102" i="1" s="1"/>
  <c r="Y103" i="1" s="1"/>
  <c r="BS16" i="1"/>
  <c r="BS165" i="1" s="1"/>
  <c r="BS10" i="1"/>
  <c r="C119" i="10"/>
  <c r="BR30" i="1"/>
  <c r="BR156" i="1" s="1"/>
  <c r="BX21" i="1"/>
  <c r="BR9" i="1"/>
  <c r="M87" i="1"/>
  <c r="C73" i="1"/>
  <c r="C14" i="1"/>
  <c r="C90" i="1"/>
  <c r="C74" i="1"/>
  <c r="C46" i="1"/>
  <c r="CD2" i="47"/>
  <c r="CD5" i="4"/>
  <c r="G86" i="1"/>
  <c r="AB86" i="1"/>
  <c r="CE2" i="47"/>
  <c r="CE5" i="4"/>
  <c r="S87" i="1"/>
  <c r="CC2" i="47"/>
  <c r="CC5" i="4"/>
  <c r="D8" i="1"/>
  <c r="D164" i="1" s="1"/>
  <c r="G84" i="1"/>
  <c r="AC84" i="1"/>
  <c r="AC85" i="1"/>
  <c r="AA87" i="1"/>
  <c r="F87" i="1"/>
  <c r="L87" i="1"/>
  <c r="Y125" i="1"/>
  <c r="U125" i="1"/>
  <c r="J119" i="1"/>
  <c r="K116" i="1"/>
  <c r="BS35" i="1"/>
  <c r="K114" i="1"/>
  <c r="K118" i="1"/>
  <c r="P56" i="4"/>
  <c r="P62" i="4"/>
  <c r="P63" i="4" s="1"/>
  <c r="P97" i="4"/>
  <c r="W97" i="4"/>
  <c r="W56" i="4"/>
  <c r="W62" i="4"/>
  <c r="W63" i="4" s="1"/>
  <c r="AY7" i="4"/>
  <c r="AS47" i="4"/>
  <c r="AS45" i="4" s="1"/>
  <c r="AS22" i="4"/>
  <c r="AS20" i="4" s="1"/>
  <c r="AS32" i="4"/>
  <c r="AS30" i="4" s="1"/>
  <c r="AS17" i="4"/>
  <c r="AS15" i="4" s="1"/>
  <c r="AS27" i="4"/>
  <c r="AS25" i="4" s="1"/>
  <c r="AS12" i="4"/>
  <c r="AS10" i="4" s="1"/>
  <c r="AS52" i="4"/>
  <c r="AS50" i="4" s="1"/>
  <c r="AS56" i="4"/>
  <c r="AS97" i="4"/>
  <c r="AZ52" i="4"/>
  <c r="AZ50" i="4" s="1"/>
  <c r="AZ47" i="4"/>
  <c r="AZ45" i="4" s="1"/>
  <c r="AZ12" i="4"/>
  <c r="AZ10" i="4" s="1"/>
  <c r="AZ22" i="4"/>
  <c r="AZ20" i="4" s="1"/>
  <c r="AZ17" i="4"/>
  <c r="AZ15" i="4" s="1"/>
  <c r="AZ32" i="4"/>
  <c r="AZ30" i="4" s="1"/>
  <c r="AZ97" i="4"/>
  <c r="AZ56" i="4"/>
  <c r="U56" i="4"/>
  <c r="U62" i="4"/>
  <c r="U63" i="4" s="1"/>
  <c r="U97" i="4"/>
  <c r="AY57" i="4"/>
  <c r="AY61" i="3"/>
  <c r="AJ36" i="47"/>
  <c r="CF148" i="1" l="1"/>
  <c r="CF94" i="3"/>
  <c r="BK142" i="3"/>
  <c r="BK127" i="3"/>
  <c r="BA94" i="47"/>
  <c r="BF95" i="47"/>
  <c r="BQ93" i="1"/>
  <c r="BW93" i="1" s="1"/>
  <c r="CC93" i="1" s="1"/>
  <c r="CF128" i="3"/>
  <c r="BG63" i="1"/>
  <c r="BK147" i="1"/>
  <c r="D167" i="1"/>
  <c r="D168" i="1" s="1"/>
  <c r="D172" i="1" s="1"/>
  <c r="D169" i="1"/>
  <c r="D173" i="1" s="1"/>
  <c r="D63" i="1" s="1"/>
  <c r="C63" i="1"/>
  <c r="O112" i="47"/>
  <c r="Q112" i="47"/>
  <c r="V112" i="47"/>
  <c r="BM18" i="3"/>
  <c r="BK54" i="3"/>
  <c r="BK33" i="3"/>
  <c r="BK56" i="3" s="1"/>
  <c r="BL112" i="3"/>
  <c r="BL127" i="3" s="1"/>
  <c r="CC141" i="3"/>
  <c r="CC126" i="3"/>
  <c r="BW126" i="3"/>
  <c r="BW92" i="3"/>
  <c r="BW97" i="3" s="1"/>
  <c r="BL92" i="3"/>
  <c r="BL97" i="3" s="1"/>
  <c r="BL141" i="3"/>
  <c r="BL126" i="3"/>
  <c r="AM100" i="47"/>
  <c r="AS101" i="47" s="1"/>
  <c r="AM103" i="47"/>
  <c r="AS104" i="47" s="1"/>
  <c r="AM94" i="47"/>
  <c r="AS95" i="47" s="1"/>
  <c r="AM97" i="47"/>
  <c r="AM112" i="47"/>
  <c r="AH97" i="47"/>
  <c r="AH100" i="47"/>
  <c r="AH94" i="47"/>
  <c r="AH103" i="47"/>
  <c r="AH112" i="47"/>
  <c r="AD97" i="47"/>
  <c r="AD103" i="47"/>
  <c r="AD94" i="47"/>
  <c r="AD100" i="47"/>
  <c r="AD112" i="47"/>
  <c r="AY104" i="47"/>
  <c r="AA103" i="47"/>
  <c r="AA97" i="47"/>
  <c r="AA94" i="47"/>
  <c r="AA100" i="47"/>
  <c r="AA112" i="47"/>
  <c r="AG103" i="47"/>
  <c r="AG97" i="47"/>
  <c r="AG100" i="47"/>
  <c r="AG94" i="47"/>
  <c r="AG112" i="47"/>
  <c r="AY101" i="47"/>
  <c r="AC97" i="47"/>
  <c r="AC94" i="47"/>
  <c r="AC100" i="47"/>
  <c r="AC103" i="47"/>
  <c r="AC112" i="47"/>
  <c r="R56" i="4"/>
  <c r="R112" i="47"/>
  <c r="AT97" i="47"/>
  <c r="AT100" i="47"/>
  <c r="AT103" i="47"/>
  <c r="AT94" i="47"/>
  <c r="AZ95" i="47" s="1"/>
  <c r="AT112" i="47"/>
  <c r="BA27" i="4"/>
  <c r="BA25" i="4" s="1"/>
  <c r="AB94" i="47"/>
  <c r="AB103" i="47"/>
  <c r="AB100" i="47"/>
  <c r="AB97" i="47"/>
  <c r="AB112" i="47"/>
  <c r="AM35" i="47"/>
  <c r="BA35" i="47"/>
  <c r="AT35" i="47"/>
  <c r="AZ36" i="47" s="1"/>
  <c r="C50" i="2"/>
  <c r="D52" i="1"/>
  <c r="AC48" i="2"/>
  <c r="AC49" i="2" s="1"/>
  <c r="AC50" i="2" s="1"/>
  <c r="AB50" i="2"/>
  <c r="BX81" i="1"/>
  <c r="BY79" i="1"/>
  <c r="BT79" i="1"/>
  <c r="BS81" i="1"/>
  <c r="BR31" i="2"/>
  <c r="BU37" i="1"/>
  <c r="BW37" i="1" s="1"/>
  <c r="BH61" i="2"/>
  <c r="BH54" i="2"/>
  <c r="BH55" i="2" s="1"/>
  <c r="AG48" i="2"/>
  <c r="AG49" i="2" s="1"/>
  <c r="AF50" i="2"/>
  <c r="AL48" i="2"/>
  <c r="AL49" i="2" s="1"/>
  <c r="AJ50" i="2"/>
  <c r="AP48" i="2"/>
  <c r="AP49" i="2" s="1"/>
  <c r="BT101" i="1"/>
  <c r="BU101" i="1" s="1"/>
  <c r="R62" i="4"/>
  <c r="R63" i="4" s="1"/>
  <c r="R67" i="4" s="1"/>
  <c r="BI40" i="3"/>
  <c r="BI177" i="47" s="1"/>
  <c r="BH177" i="47"/>
  <c r="BO147" i="3"/>
  <c r="AQ133" i="1"/>
  <c r="AQ135" i="1" s="1"/>
  <c r="AY36" i="47"/>
  <c r="BE60" i="4"/>
  <c r="BE9" i="3"/>
  <c r="BT16" i="1"/>
  <c r="BT165" i="1" s="1"/>
  <c r="BT10" i="1"/>
  <c r="BS9" i="1"/>
  <c r="BY21" i="1"/>
  <c r="E119" i="10"/>
  <c r="F119" i="10" s="1"/>
  <c r="BS30" i="1"/>
  <c r="BS156" i="1" s="1"/>
  <c r="Y104" i="1"/>
  <c r="AA97" i="1"/>
  <c r="AA102" i="1" s="1"/>
  <c r="AE102" i="1" s="1"/>
  <c r="AE97" i="1"/>
  <c r="E8" i="1"/>
  <c r="E164" i="1" s="1"/>
  <c r="AB87" i="1"/>
  <c r="C72" i="1"/>
  <c r="C22" i="1"/>
  <c r="C75" i="1"/>
  <c r="AC86" i="1"/>
  <c r="D74" i="1"/>
  <c r="D73" i="1"/>
  <c r="D14" i="1"/>
  <c r="D90" i="1"/>
  <c r="D46" i="1"/>
  <c r="AD85" i="1"/>
  <c r="AD84" i="1"/>
  <c r="G87" i="1"/>
  <c r="C47" i="1"/>
  <c r="C68" i="1"/>
  <c r="BC20" i="4"/>
  <c r="BC22" i="4" s="1"/>
  <c r="AY6" i="47"/>
  <c r="Y128" i="1"/>
  <c r="U129" i="1"/>
  <c r="Y129" i="1" s="1"/>
  <c r="Y130" i="1" s="1"/>
  <c r="U128" i="1"/>
  <c r="BT35" i="1"/>
  <c r="K120" i="1"/>
  <c r="L109" i="1"/>
  <c r="R97" i="4"/>
  <c r="S59" i="4"/>
  <c r="O56" i="4"/>
  <c r="O97" i="4"/>
  <c r="O62" i="4"/>
  <c r="O63" i="4" s="1"/>
  <c r="U64" i="4" s="1"/>
  <c r="AC27" i="4"/>
  <c r="AC25" i="4" s="1"/>
  <c r="AC32" i="4"/>
  <c r="AC30" i="4" s="1"/>
  <c r="AC12" i="4"/>
  <c r="AC10" i="4" s="1"/>
  <c r="AC17" i="4"/>
  <c r="AC15" i="4" s="1"/>
  <c r="AC22" i="4"/>
  <c r="AC20" i="4" s="1"/>
  <c r="AC56" i="4"/>
  <c r="AC97" i="4"/>
  <c r="U57" i="4"/>
  <c r="U61" i="3"/>
  <c r="AZ7" i="4"/>
  <c r="W67" i="4"/>
  <c r="AE59" i="4"/>
  <c r="AA27" i="4"/>
  <c r="AA25" i="4" s="1"/>
  <c r="AA12" i="4"/>
  <c r="AA10" i="4" s="1"/>
  <c r="AA22" i="4"/>
  <c r="AA20" i="4" s="1"/>
  <c r="AA17" i="4"/>
  <c r="AA15" i="4" s="1"/>
  <c r="AA32" i="4"/>
  <c r="AA30" i="4" s="1"/>
  <c r="AA97" i="4"/>
  <c r="AA56" i="4"/>
  <c r="AB27" i="4"/>
  <c r="AB25" i="4" s="1"/>
  <c r="AB22" i="4"/>
  <c r="AB20" i="4" s="1"/>
  <c r="AB32" i="4"/>
  <c r="AB30" i="4" s="1"/>
  <c r="AB17" i="4"/>
  <c r="AB15" i="4" s="1"/>
  <c r="AB12" i="4"/>
  <c r="AB10" i="4" s="1"/>
  <c r="AB56" i="4"/>
  <c r="AB97" i="4"/>
  <c r="AZ40" i="4"/>
  <c r="W57" i="4"/>
  <c r="W61" i="3"/>
  <c r="Q56" i="4"/>
  <c r="Q97" i="4"/>
  <c r="Q62" i="4"/>
  <c r="Q63" i="4" s="1"/>
  <c r="AS7" i="4"/>
  <c r="AY62" i="3"/>
  <c r="AY64" i="3"/>
  <c r="BA22" i="4"/>
  <c r="BA47" i="4"/>
  <c r="BA45" i="4" s="1"/>
  <c r="BA17" i="4"/>
  <c r="BA15" i="4" s="1"/>
  <c r="BA32" i="4"/>
  <c r="BA30" i="4" s="1"/>
  <c r="BA52" i="4"/>
  <c r="BA50" i="4" s="1"/>
  <c r="BA12" i="4"/>
  <c r="BA10" i="4" s="1"/>
  <c r="BA97" i="4"/>
  <c r="BA56" i="4"/>
  <c r="AY62" i="4"/>
  <c r="AY63" i="4" s="1"/>
  <c r="AY70" i="4"/>
  <c r="AM52" i="4"/>
  <c r="AM50" i="4" s="1"/>
  <c r="AM32" i="4"/>
  <c r="AM30" i="4" s="1"/>
  <c r="AM12" i="4"/>
  <c r="AM10" i="4" s="1"/>
  <c r="AM17" i="4"/>
  <c r="AM15" i="4" s="1"/>
  <c r="AM47" i="4"/>
  <c r="AM45" i="4" s="1"/>
  <c r="AM27" i="4"/>
  <c r="AM25" i="4" s="1"/>
  <c r="AM22" i="4"/>
  <c r="AM20" i="4" s="1"/>
  <c r="AM97" i="4"/>
  <c r="AM56" i="4"/>
  <c r="AT32" i="4"/>
  <c r="AT30" i="4" s="1"/>
  <c r="AT17" i="4"/>
  <c r="AT15" i="4" s="1"/>
  <c r="AT52" i="4"/>
  <c r="AT50" i="4" s="1"/>
  <c r="AT27" i="4"/>
  <c r="AT25" i="4" s="1"/>
  <c r="AT22" i="4"/>
  <c r="AT20" i="4" s="1"/>
  <c r="AT12" i="4"/>
  <c r="AT10" i="4" s="1"/>
  <c r="AT47" i="4"/>
  <c r="AT45" i="4" s="1"/>
  <c r="AT97" i="4"/>
  <c r="AT56" i="4"/>
  <c r="AZ57" i="4"/>
  <c r="AZ61" i="3"/>
  <c r="AD22" i="4"/>
  <c r="AD20" i="4" s="1"/>
  <c r="AD17" i="4"/>
  <c r="AD15" i="4" s="1"/>
  <c r="AD32" i="4"/>
  <c r="AD30" i="4" s="1"/>
  <c r="AD27" i="4"/>
  <c r="AD25" i="4" s="1"/>
  <c r="AD12" i="4"/>
  <c r="AD10" i="4" s="1"/>
  <c r="AD56" i="4"/>
  <c r="AD97" i="4"/>
  <c r="AG17" i="4"/>
  <c r="AG15" i="4" s="1"/>
  <c r="AG32" i="4"/>
  <c r="AG30" i="4" s="1"/>
  <c r="AG22" i="4"/>
  <c r="AG20" i="4" s="1"/>
  <c r="AG12" i="4"/>
  <c r="AG10" i="4" s="1"/>
  <c r="AG27" i="4"/>
  <c r="AG25" i="4" s="1"/>
  <c r="AG97" i="4"/>
  <c r="AG56" i="4"/>
  <c r="P67" i="4"/>
  <c r="P64" i="4"/>
  <c r="V56" i="4"/>
  <c r="V97" i="4"/>
  <c r="V62" i="4"/>
  <c r="V63" i="4" s="1"/>
  <c r="U67" i="4"/>
  <c r="AH56" i="4"/>
  <c r="AH27" i="4"/>
  <c r="AH25" i="4" s="1"/>
  <c r="AH32" i="4"/>
  <c r="AH30" i="4" s="1"/>
  <c r="AH22" i="4"/>
  <c r="AH20" i="4" s="1"/>
  <c r="AH17" i="4"/>
  <c r="AH15" i="4" s="1"/>
  <c r="AH47" i="4"/>
  <c r="AH45" i="4" s="1"/>
  <c r="AH12" i="4"/>
  <c r="AH10" i="4" s="1"/>
  <c r="AH97" i="4"/>
  <c r="AS57" i="4"/>
  <c r="AS61" i="3"/>
  <c r="AS40" i="4"/>
  <c r="P57" i="4"/>
  <c r="P61" i="3"/>
  <c r="BB94" i="47"/>
  <c r="BG95" i="47" l="1"/>
  <c r="BH95" i="47"/>
  <c r="BX51" i="3"/>
  <c r="BR112" i="3"/>
  <c r="BL94" i="2"/>
  <c r="BK34" i="3"/>
  <c r="BR111" i="3"/>
  <c r="BR141" i="3" s="1"/>
  <c r="BK36" i="3"/>
  <c r="E169" i="1"/>
  <c r="E167" i="1"/>
  <c r="X112" i="47"/>
  <c r="BB27" i="4"/>
  <c r="BB25" i="4" s="1"/>
  <c r="BC25" i="4" s="1"/>
  <c r="BC27" i="4" s="1"/>
  <c r="BL142" i="3"/>
  <c r="BL93" i="3"/>
  <c r="BM19" i="3"/>
  <c r="BL95" i="2" s="1"/>
  <c r="BM67" i="3"/>
  <c r="BM50" i="3"/>
  <c r="BY50" i="3" s="1"/>
  <c r="CE50" i="3" s="1"/>
  <c r="CC97" i="3"/>
  <c r="R57" i="4"/>
  <c r="BX111" i="3"/>
  <c r="CD111" i="3"/>
  <c r="R61" i="3"/>
  <c r="AG101" i="47"/>
  <c r="AG95" i="47"/>
  <c r="AH95" i="47"/>
  <c r="AM98" i="47"/>
  <c r="AG113" i="47"/>
  <c r="AG104" i="47"/>
  <c r="AO97" i="47"/>
  <c r="AO103" i="47"/>
  <c r="AO94" i="47"/>
  <c r="AO100" i="47"/>
  <c r="AO112" i="47"/>
  <c r="AJ97" i="47"/>
  <c r="AJ98" i="47" s="1"/>
  <c r="AJ100" i="47"/>
  <c r="AJ101" i="47" s="1"/>
  <c r="AJ94" i="47"/>
  <c r="AJ95" i="47" s="1"/>
  <c r="AJ103" i="47"/>
  <c r="AJ104" i="47" s="1"/>
  <c r="AJ112" i="47"/>
  <c r="AJ113" i="47" s="1"/>
  <c r="AP94" i="47"/>
  <c r="AP100" i="47"/>
  <c r="AP97" i="47"/>
  <c r="AP103" i="47"/>
  <c r="AP112" i="47"/>
  <c r="S97" i="47"/>
  <c r="S94" i="47"/>
  <c r="S112" i="47"/>
  <c r="AS98" i="47"/>
  <c r="AZ104" i="47"/>
  <c r="AH101" i="47"/>
  <c r="AM95" i="47"/>
  <c r="AU103" i="47"/>
  <c r="AU97" i="47"/>
  <c r="AU100" i="47"/>
  <c r="AU94" i="47"/>
  <c r="BA95" i="47" s="1"/>
  <c r="AU112" i="47"/>
  <c r="AE97" i="4"/>
  <c r="AE97" i="47"/>
  <c r="AE100" i="47"/>
  <c r="AE103" i="47"/>
  <c r="AE94" i="47"/>
  <c r="AE112" i="47"/>
  <c r="AZ101" i="47"/>
  <c r="AH113" i="47"/>
  <c r="AH98" i="47"/>
  <c r="AM104" i="47"/>
  <c r="AN94" i="47"/>
  <c r="AN95" i="47" s="1"/>
  <c r="AN103" i="47"/>
  <c r="AN104" i="47" s="1"/>
  <c r="AN97" i="47"/>
  <c r="AN98" i="47" s="1"/>
  <c r="AN100" i="47"/>
  <c r="AN101" i="47" s="1"/>
  <c r="AN112" i="47"/>
  <c r="AN113" i="47" s="1"/>
  <c r="AI103" i="47"/>
  <c r="AI104" i="47" s="1"/>
  <c r="AI97" i="47"/>
  <c r="AI98" i="47" s="1"/>
  <c r="AI100" i="47"/>
  <c r="AI101" i="47" s="1"/>
  <c r="AI94" i="47"/>
  <c r="AI95" i="47" s="1"/>
  <c r="AI112" i="47"/>
  <c r="AI113" i="47" s="1"/>
  <c r="AM113" i="47"/>
  <c r="AG98" i="47"/>
  <c r="AH104" i="47"/>
  <c r="AM101" i="47"/>
  <c r="AV103" i="47"/>
  <c r="AV100" i="47"/>
  <c r="AV97" i="47"/>
  <c r="AV94" i="47"/>
  <c r="BB95" i="47" s="1"/>
  <c r="AV112" i="47"/>
  <c r="AS113" i="47"/>
  <c r="AP35" i="47"/>
  <c r="AP36" i="47" s="1"/>
  <c r="BC59" i="4"/>
  <c r="BB35" i="47"/>
  <c r="AV35" i="47"/>
  <c r="AN35" i="47"/>
  <c r="AN36" i="47" s="1"/>
  <c r="AO35" i="47"/>
  <c r="AO36" i="47" s="1"/>
  <c r="AU35" i="47"/>
  <c r="AM36" i="47"/>
  <c r="AS36" i="47"/>
  <c r="D50" i="2"/>
  <c r="E52" i="1"/>
  <c r="BS31" i="2"/>
  <c r="BT31" i="2" s="1"/>
  <c r="CE79" i="1"/>
  <c r="CE81" i="1" s="1"/>
  <c r="BY81" i="1"/>
  <c r="BZ79" i="1"/>
  <c r="BT81" i="1"/>
  <c r="R64" i="4"/>
  <c r="AR48" i="2"/>
  <c r="AR49" i="2" s="1"/>
  <c r="AP50" i="2"/>
  <c r="AV48" i="2"/>
  <c r="AV49" i="2" s="1"/>
  <c r="AH48" i="2"/>
  <c r="AH49" i="2" s="1"/>
  <c r="AG50" i="2"/>
  <c r="AL50" i="2"/>
  <c r="AM48" i="2"/>
  <c r="AM49" i="2" s="1"/>
  <c r="BH62" i="2"/>
  <c r="AS133" i="1"/>
  <c r="AS134" i="1" s="1"/>
  <c r="AW134" i="1" s="1"/>
  <c r="AW133" i="1"/>
  <c r="BW101" i="1"/>
  <c r="BX37" i="1"/>
  <c r="BY37" i="1" s="1"/>
  <c r="BE48" i="3"/>
  <c r="BE12" i="3"/>
  <c r="BU10" i="1"/>
  <c r="BU16" i="1"/>
  <c r="BU165" i="1" s="1"/>
  <c r="BT30" i="1"/>
  <c r="BT156" i="1" s="1"/>
  <c r="BZ21" i="1"/>
  <c r="BT9" i="1"/>
  <c r="AW59" i="4"/>
  <c r="C42" i="1"/>
  <c r="F8" i="1"/>
  <c r="F164" i="1" s="1"/>
  <c r="AE85" i="1"/>
  <c r="AE84" i="1"/>
  <c r="AD86" i="1"/>
  <c r="D68" i="1"/>
  <c r="D47" i="1"/>
  <c r="D75" i="1"/>
  <c r="D22" i="1"/>
  <c r="D72" i="1"/>
  <c r="AC87" i="1"/>
  <c r="E14" i="1"/>
  <c r="E90" i="1"/>
  <c r="E73" i="1"/>
  <c r="E46" i="1"/>
  <c r="E74" i="1"/>
  <c r="AE103" i="1"/>
  <c r="AB7" i="4"/>
  <c r="AB62" i="4" s="1"/>
  <c r="AB63" i="4" s="1"/>
  <c r="AZ6" i="47"/>
  <c r="AS6" i="47"/>
  <c r="AE30" i="4"/>
  <c r="BK148" i="3"/>
  <c r="BL147" i="3" s="1"/>
  <c r="AA125" i="1"/>
  <c r="AE125" i="1"/>
  <c r="BG61" i="1"/>
  <c r="BG69" i="1"/>
  <c r="L113" i="1"/>
  <c r="M113" i="1" s="1"/>
  <c r="M114" i="1" s="1"/>
  <c r="O109" i="1" s="1"/>
  <c r="L118" i="1"/>
  <c r="K119" i="1"/>
  <c r="L116" i="1"/>
  <c r="L119" i="1" s="1"/>
  <c r="BU35" i="1"/>
  <c r="AT40" i="4"/>
  <c r="AT42" i="4" s="1"/>
  <c r="AE25" i="4"/>
  <c r="AG57" i="4"/>
  <c r="AG61" i="3"/>
  <c r="AN17" i="4"/>
  <c r="AN15" i="4" s="1"/>
  <c r="AN52" i="4"/>
  <c r="AN50" i="4" s="1"/>
  <c r="AN47" i="4"/>
  <c r="AN45" i="4" s="1"/>
  <c r="AN32" i="4"/>
  <c r="AN30" i="4" s="1"/>
  <c r="AN27" i="4"/>
  <c r="AN25" i="4" s="1"/>
  <c r="AN22" i="4"/>
  <c r="AN20" i="4" s="1"/>
  <c r="AN12" i="4"/>
  <c r="AN10" i="4" s="1"/>
  <c r="AN56" i="4"/>
  <c r="AN97" i="4"/>
  <c r="AT57" i="4"/>
  <c r="AT61" i="3"/>
  <c r="BA7" i="4"/>
  <c r="AE15" i="4"/>
  <c r="AC7" i="4"/>
  <c r="X97" i="4"/>
  <c r="X56" i="4"/>
  <c r="X62" i="4"/>
  <c r="X63" i="4" s="1"/>
  <c r="V57" i="4"/>
  <c r="V61" i="3"/>
  <c r="AD7" i="4"/>
  <c r="AM57" i="4"/>
  <c r="AM61" i="3"/>
  <c r="AQ59" i="4"/>
  <c r="Q57" i="4"/>
  <c r="Q61" i="3"/>
  <c r="AE20" i="4"/>
  <c r="U62" i="3"/>
  <c r="U64" i="3"/>
  <c r="AG7" i="4"/>
  <c r="W64" i="3"/>
  <c r="W62" i="3"/>
  <c r="AE10" i="4"/>
  <c r="AA7" i="4"/>
  <c r="AD61" i="3"/>
  <c r="AD57" i="4"/>
  <c r="AI47" i="4"/>
  <c r="AI45" i="4" s="1"/>
  <c r="AI27" i="4"/>
  <c r="AI25" i="4" s="1"/>
  <c r="AI22" i="4"/>
  <c r="AI20" i="4" s="1"/>
  <c r="AI32" i="4"/>
  <c r="AI30" i="4" s="1"/>
  <c r="AI17" i="4"/>
  <c r="AI15" i="4" s="1"/>
  <c r="AI12" i="4"/>
  <c r="AI10" i="4" s="1"/>
  <c r="AI56" i="4"/>
  <c r="AI97" i="4"/>
  <c r="P62" i="3"/>
  <c r="P64" i="3"/>
  <c r="P89" i="4"/>
  <c r="P90" i="4" s="1"/>
  <c r="P68" i="4"/>
  <c r="AY169" i="3"/>
  <c r="AY55" i="3" s="1"/>
  <c r="R89" i="4"/>
  <c r="R90" i="4" s="1"/>
  <c r="R68" i="4"/>
  <c r="Y59" i="4"/>
  <c r="AS62" i="3"/>
  <c r="AS169" i="3" s="1"/>
  <c r="AS55" i="3" s="1"/>
  <c r="AS64" i="3"/>
  <c r="AM7" i="4"/>
  <c r="Q64" i="4"/>
  <c r="Q67" i="4"/>
  <c r="W68" i="4" s="1"/>
  <c r="S56" i="4"/>
  <c r="O57" i="4"/>
  <c r="O61" i="3"/>
  <c r="S70" i="4"/>
  <c r="S7" i="4" s="1"/>
  <c r="S17" i="4"/>
  <c r="S15" i="4" s="1"/>
  <c r="S22" i="4"/>
  <c r="S20" i="4" s="1"/>
  <c r="S12" i="4"/>
  <c r="S10" i="4" s="1"/>
  <c r="S32" i="4"/>
  <c r="S30" i="4" s="1"/>
  <c r="S27" i="4"/>
  <c r="S25" i="4" s="1"/>
  <c r="S62" i="4"/>
  <c r="S63" i="4" s="1"/>
  <c r="S97" i="4"/>
  <c r="AT7" i="4"/>
  <c r="AV52" i="4"/>
  <c r="AV50" i="4" s="1"/>
  <c r="AV27" i="4"/>
  <c r="AV25" i="4" s="1"/>
  <c r="AV47" i="4"/>
  <c r="AV45" i="4" s="1"/>
  <c r="AV17" i="4"/>
  <c r="AV15" i="4" s="1"/>
  <c r="AV12" i="4"/>
  <c r="AV10" i="4" s="1"/>
  <c r="AV32" i="4"/>
  <c r="AV31" i="4" s="1"/>
  <c r="AV107" i="3" s="1"/>
  <c r="AV22" i="4"/>
  <c r="AV20" i="4" s="1"/>
  <c r="AV56" i="4"/>
  <c r="AV97" i="4"/>
  <c r="AH57" i="4"/>
  <c r="AH61" i="3"/>
  <c r="AO52" i="4"/>
  <c r="AO50" i="4" s="1"/>
  <c r="AO47" i="4"/>
  <c r="AO45" i="4" s="1"/>
  <c r="AO27" i="4"/>
  <c r="AO25" i="4" s="1"/>
  <c r="AO17" i="4"/>
  <c r="AO15" i="4" s="1"/>
  <c r="AO32" i="4"/>
  <c r="AO30" i="4" s="1"/>
  <c r="AO12" i="4"/>
  <c r="AO10" i="4" s="1"/>
  <c r="AO56" i="4"/>
  <c r="AO22" i="4"/>
  <c r="AO20" i="4" s="1"/>
  <c r="AO97" i="4"/>
  <c r="BB47" i="4"/>
  <c r="BB45" i="4" s="1"/>
  <c r="BC45" i="4" s="1"/>
  <c r="BC47" i="4" s="1"/>
  <c r="BB17" i="4"/>
  <c r="BB15" i="4" s="1"/>
  <c r="BB32" i="4"/>
  <c r="BB30" i="4" s="1"/>
  <c r="BB22" i="4"/>
  <c r="BB12" i="4"/>
  <c r="BB10" i="4" s="1"/>
  <c r="BB52" i="4"/>
  <c r="BB50" i="4" s="1"/>
  <c r="BC50" i="4" s="1"/>
  <c r="BC52" i="4" s="1"/>
  <c r="BB97" i="4"/>
  <c r="BB56" i="4"/>
  <c r="AU17" i="4"/>
  <c r="AU15" i="4" s="1"/>
  <c r="AU12" i="4"/>
  <c r="AU10" i="4" s="1"/>
  <c r="AU52" i="4"/>
  <c r="AU50" i="4" s="1"/>
  <c r="AU47" i="4"/>
  <c r="AU45" i="4" s="1"/>
  <c r="AU32" i="4"/>
  <c r="AU30" i="4" s="1"/>
  <c r="AU22" i="4"/>
  <c r="AU20" i="4" s="1"/>
  <c r="AU27" i="4"/>
  <c r="AU25" i="4" s="1"/>
  <c r="AU97" i="4"/>
  <c r="AU56" i="4"/>
  <c r="U89" i="4"/>
  <c r="AM40" i="4"/>
  <c r="AY67" i="4"/>
  <c r="BA40" i="4"/>
  <c r="BA42" i="4" s="1"/>
  <c r="AS62" i="4"/>
  <c r="AS63" i="4" s="1"/>
  <c r="AS70" i="4"/>
  <c r="AZ42" i="4"/>
  <c r="AA57" i="4"/>
  <c r="AE56" i="4"/>
  <c r="AA61" i="3"/>
  <c r="W64" i="4"/>
  <c r="AC57" i="4"/>
  <c r="AC61" i="3"/>
  <c r="O67" i="4"/>
  <c r="U68" i="4" s="1"/>
  <c r="O64" i="4"/>
  <c r="V64" i="4"/>
  <c r="V67" i="4"/>
  <c r="AB57" i="4"/>
  <c r="AB61" i="3"/>
  <c r="AZ62" i="4"/>
  <c r="AZ63" i="4" s="1"/>
  <c r="AZ70" i="4"/>
  <c r="AJ52" i="4"/>
  <c r="AJ50" i="4" s="1"/>
  <c r="AK50" i="4" s="1"/>
  <c r="AK52" i="4" s="1"/>
  <c r="AJ27" i="4"/>
  <c r="AJ25" i="4" s="1"/>
  <c r="AJ47" i="4"/>
  <c r="AJ45" i="4" s="1"/>
  <c r="AJ32" i="4"/>
  <c r="AJ30" i="4" s="1"/>
  <c r="AJ12" i="4"/>
  <c r="AJ10" i="4" s="1"/>
  <c r="AJ22" i="4"/>
  <c r="AJ20" i="4" s="1"/>
  <c r="AJ17" i="4"/>
  <c r="AJ15" i="4" s="1"/>
  <c r="AJ56" i="4"/>
  <c r="AJ97" i="4"/>
  <c r="AP47" i="4"/>
  <c r="AP45" i="4" s="1"/>
  <c r="AP27" i="4"/>
  <c r="AP25" i="4" s="1"/>
  <c r="AP22" i="4"/>
  <c r="AP20" i="4" s="1"/>
  <c r="AP17" i="4"/>
  <c r="AP15" i="4" s="1"/>
  <c r="AP32" i="4"/>
  <c r="AP30" i="4" s="1"/>
  <c r="AP12" i="4"/>
  <c r="AP10" i="4" s="1"/>
  <c r="AP52" i="4"/>
  <c r="AP50" i="4" s="1"/>
  <c r="AP56" i="4"/>
  <c r="AP97" i="4"/>
  <c r="AS42" i="4"/>
  <c r="AH7" i="4"/>
  <c r="AK59" i="4"/>
  <c r="AZ62" i="3"/>
  <c r="AZ169" i="3" s="1"/>
  <c r="AZ55" i="3" s="1"/>
  <c r="AZ64" i="3"/>
  <c r="BF173" i="3" s="1"/>
  <c r="BA57" i="4"/>
  <c r="BA61" i="3"/>
  <c r="W89" i="4"/>
  <c r="BK76" i="3" l="1"/>
  <c r="BC94" i="47"/>
  <c r="BL97" i="2"/>
  <c r="BL98" i="2" s="1"/>
  <c r="BR142" i="3"/>
  <c r="BR93" i="3"/>
  <c r="BR127" i="3"/>
  <c r="CD51" i="3"/>
  <c r="BX112" i="3"/>
  <c r="BR92" i="3"/>
  <c r="BR97" i="3" s="1"/>
  <c r="BN18" i="3"/>
  <c r="BM94" i="2" s="1"/>
  <c r="BR126" i="3"/>
  <c r="BK148" i="1"/>
  <c r="BK149" i="1" s="1"/>
  <c r="BK150" i="1" s="1"/>
  <c r="BK151" i="1" s="1"/>
  <c r="BK43" i="3"/>
  <c r="BK57" i="3"/>
  <c r="E168" i="1"/>
  <c r="E172" i="1" s="1"/>
  <c r="F169" i="1"/>
  <c r="G173" i="1" s="1"/>
  <c r="G63" i="1" s="1"/>
  <c r="F167" i="1"/>
  <c r="E173" i="1"/>
  <c r="E63" i="1" s="1"/>
  <c r="R64" i="3"/>
  <c r="R62" i="3"/>
  <c r="BM51" i="3"/>
  <c r="BS51" i="3" s="1"/>
  <c r="BM68" i="3"/>
  <c r="BM111" i="3"/>
  <c r="BX141" i="3"/>
  <c r="BX126" i="3"/>
  <c r="BX92" i="3"/>
  <c r="CD126" i="3"/>
  <c r="CD141" i="3"/>
  <c r="CD92" i="3"/>
  <c r="AU98" i="47"/>
  <c r="AV104" i="47"/>
  <c r="AO113" i="47"/>
  <c r="AP104" i="47"/>
  <c r="AV98" i="47"/>
  <c r="AV36" i="47"/>
  <c r="AT98" i="47"/>
  <c r="AP113" i="47"/>
  <c r="AP95" i="47"/>
  <c r="AT36" i="47"/>
  <c r="AU95" i="47"/>
  <c r="AP98" i="47"/>
  <c r="AU101" i="47"/>
  <c r="BA101" i="47"/>
  <c r="AO101" i="47"/>
  <c r="AK97" i="4"/>
  <c r="AK94" i="47"/>
  <c r="AK95" i="47" s="1"/>
  <c r="AK97" i="47"/>
  <c r="AK98" i="47" s="1"/>
  <c r="AK100" i="47"/>
  <c r="AK101" i="47" s="1"/>
  <c r="AK103" i="47"/>
  <c r="AK104" i="47" s="1"/>
  <c r="AK112" i="47"/>
  <c r="AK113" i="47" s="1"/>
  <c r="Y100" i="47"/>
  <c r="AE101" i="47" s="1"/>
  <c r="Y94" i="47"/>
  <c r="Y95" i="47" s="1"/>
  <c r="Y103" i="47"/>
  <c r="AE104" i="47" s="1"/>
  <c r="Y97" i="47"/>
  <c r="AE98" i="47" s="1"/>
  <c r="Y112" i="47"/>
  <c r="AE113" i="47" s="1"/>
  <c r="AT101" i="47"/>
  <c r="AT95" i="47"/>
  <c r="AO95" i="47"/>
  <c r="AV95" i="47"/>
  <c r="BA104" i="47"/>
  <c r="AU104" i="47"/>
  <c r="AT104" i="47"/>
  <c r="AO104" i="47"/>
  <c r="AV101" i="47"/>
  <c r="BB101" i="47"/>
  <c r="AQ97" i="47"/>
  <c r="AQ94" i="47"/>
  <c r="AQ103" i="47"/>
  <c r="AQ100" i="47"/>
  <c r="AQ112" i="47"/>
  <c r="AP101" i="47"/>
  <c r="AO98" i="47"/>
  <c r="AW103" i="47"/>
  <c r="AW100" i="47"/>
  <c r="AW97" i="47"/>
  <c r="AW94" i="47"/>
  <c r="AW112" i="47"/>
  <c r="BB104" i="47"/>
  <c r="AT113" i="47"/>
  <c r="AW97" i="4"/>
  <c r="AW35" i="47"/>
  <c r="BB36" i="47"/>
  <c r="AV113" i="47"/>
  <c r="BC97" i="4"/>
  <c r="BC35" i="47"/>
  <c r="AU113" i="47"/>
  <c r="AQ97" i="4"/>
  <c r="AQ35" i="47"/>
  <c r="AU36" i="47"/>
  <c r="BA36" i="47"/>
  <c r="E50" i="2"/>
  <c r="F52" i="1"/>
  <c r="CF79" i="1"/>
  <c r="CF81" i="1" s="1"/>
  <c r="BZ81" i="1"/>
  <c r="AH50" i="2"/>
  <c r="AI48" i="2"/>
  <c r="AI49" i="2" s="1"/>
  <c r="AI50" i="2" s="1"/>
  <c r="AM50" i="2"/>
  <c r="AN48" i="2"/>
  <c r="AN49" i="2" s="1"/>
  <c r="AV50" i="2"/>
  <c r="BB48" i="2"/>
  <c r="BB49" i="2" s="1"/>
  <c r="AX48" i="2"/>
  <c r="AX49" i="2" s="1"/>
  <c r="AR50" i="2"/>
  <c r="AS48" i="2"/>
  <c r="AS49" i="2" s="1"/>
  <c r="AW135" i="1"/>
  <c r="BC133" i="1" s="1"/>
  <c r="BX101" i="1"/>
  <c r="AB70" i="4"/>
  <c r="BW10" i="1"/>
  <c r="BW16" i="1"/>
  <c r="BU9" i="1"/>
  <c r="BU30" i="1"/>
  <c r="BU156" i="1" s="1"/>
  <c r="CA21" i="1"/>
  <c r="CC21" i="1" s="1"/>
  <c r="AW10" i="4"/>
  <c r="AW12" i="4" s="1"/>
  <c r="AK45" i="4"/>
  <c r="AK47" i="4" s="1"/>
  <c r="AN40" i="4"/>
  <c r="AN42" i="4" s="1"/>
  <c r="AP40" i="4"/>
  <c r="AP42" i="4" s="1"/>
  <c r="E75" i="1"/>
  <c r="E72" i="1"/>
  <c r="E22" i="1"/>
  <c r="E62" i="1" s="1"/>
  <c r="D42" i="1"/>
  <c r="I8" i="1"/>
  <c r="I164" i="1" s="1"/>
  <c r="F14" i="1"/>
  <c r="F73" i="1"/>
  <c r="F90" i="1"/>
  <c r="F46" i="1"/>
  <c r="G8" i="1"/>
  <c r="G164" i="1" s="1"/>
  <c r="F74" i="1"/>
  <c r="AQ50" i="4"/>
  <c r="AQ52" i="4" s="1"/>
  <c r="AE104" i="1"/>
  <c r="AG97" i="1"/>
  <c r="AG102" i="1" s="1"/>
  <c r="AK102" i="1" s="1"/>
  <c r="AK97" i="1"/>
  <c r="E68" i="1"/>
  <c r="E47" i="1"/>
  <c r="AD87" i="1"/>
  <c r="AE86" i="1"/>
  <c r="D62" i="1"/>
  <c r="AQ30" i="4"/>
  <c r="AQ32" i="4" s="1"/>
  <c r="AK20" i="4"/>
  <c r="AV40" i="4"/>
  <c r="AV42" i="4" s="1"/>
  <c r="AD6" i="47"/>
  <c r="BC10" i="4"/>
  <c r="BC12" i="4" s="1"/>
  <c r="AK10" i="4"/>
  <c r="AW30" i="4"/>
  <c r="AW32" i="4" s="1"/>
  <c r="AI7" i="4"/>
  <c r="AI62" i="4" s="1"/>
  <c r="AI63" i="4" s="1"/>
  <c r="AA6" i="47"/>
  <c r="BA6" i="47"/>
  <c r="BF174" i="3"/>
  <c r="BF163" i="3" s="1"/>
  <c r="AK30" i="4"/>
  <c r="AQ25" i="4"/>
  <c r="AQ27" i="4" s="1"/>
  <c r="AM6" i="47"/>
  <c r="AB6" i="47"/>
  <c r="AH6" i="47"/>
  <c r="AK15" i="4"/>
  <c r="BC30" i="4"/>
  <c r="BC32" i="4" s="1"/>
  <c r="Y56" i="4"/>
  <c r="AQ15" i="4"/>
  <c r="AQ17" i="4" s="1"/>
  <c r="AE12" i="4"/>
  <c r="AG6" i="47"/>
  <c r="AE17" i="4"/>
  <c r="AE32" i="4"/>
  <c r="AE22" i="4"/>
  <c r="AE27" i="4"/>
  <c r="AT6" i="47"/>
  <c r="BC15" i="4"/>
  <c r="BC17" i="4" s="1"/>
  <c r="AO40" i="4"/>
  <c r="AO42" i="4" s="1"/>
  <c r="AC6" i="47"/>
  <c r="AE128" i="1"/>
  <c r="AA129" i="1"/>
  <c r="AE129" i="1" s="1"/>
  <c r="AE130" i="1" s="1"/>
  <c r="AA128" i="1"/>
  <c r="O114" i="1"/>
  <c r="S109" i="1"/>
  <c r="O118" i="1"/>
  <c r="M119" i="1"/>
  <c r="M120" i="1" s="1"/>
  <c r="O116" i="1" s="1"/>
  <c r="S116" i="1" s="1"/>
  <c r="BY101" i="1"/>
  <c r="BZ37" i="1"/>
  <c r="BW35" i="1"/>
  <c r="AW15" i="4"/>
  <c r="AW17" i="4" s="1"/>
  <c r="AK25" i="4"/>
  <c r="AW20" i="4"/>
  <c r="AW22" i="4" s="1"/>
  <c r="AQ20" i="4"/>
  <c r="AQ22" i="4" s="1"/>
  <c r="AQ45" i="4"/>
  <c r="AQ47" i="4" s="1"/>
  <c r="AQ56" i="4"/>
  <c r="AC64" i="3"/>
  <c r="AC62" i="3"/>
  <c r="AH62" i="4"/>
  <c r="AH63" i="4" s="1"/>
  <c r="AH70" i="4"/>
  <c r="BA62" i="4"/>
  <c r="BA63" i="4" s="1"/>
  <c r="BA70" i="4"/>
  <c r="AB62" i="3"/>
  <c r="AB64" i="3"/>
  <c r="AU40" i="4"/>
  <c r="AW45" i="4"/>
  <c r="AW47" i="4" s="1"/>
  <c r="AO7" i="4"/>
  <c r="S57" i="4"/>
  <c r="AT64" i="3"/>
  <c r="AT62" i="3"/>
  <c r="AT169" i="3" s="1"/>
  <c r="AT55" i="3" s="1"/>
  <c r="BA62" i="3"/>
  <c r="BA64" i="3"/>
  <c r="AJ40" i="4"/>
  <c r="AA62" i="3"/>
  <c r="AA64" i="3"/>
  <c r="AE61" i="3"/>
  <c r="AW50" i="4"/>
  <c r="AW52" i="4" s="1"/>
  <c r="AV57" i="4"/>
  <c r="AV61" i="3"/>
  <c r="Y32" i="4"/>
  <c r="Y30" i="4" s="1"/>
  <c r="Y27" i="4"/>
  <c r="Y25" i="4" s="1"/>
  <c r="Y12" i="4"/>
  <c r="Y10" i="4" s="1"/>
  <c r="Y22" i="4"/>
  <c r="Y20" i="4" s="1"/>
  <c r="Y17" i="4"/>
  <c r="Y15" i="4" s="1"/>
  <c r="Y97" i="4"/>
  <c r="Y62" i="4"/>
  <c r="Y63" i="4" s="1"/>
  <c r="AM64" i="3"/>
  <c r="AM62" i="3"/>
  <c r="X64" i="4"/>
  <c r="X67" i="4"/>
  <c r="AM42" i="4"/>
  <c r="BB7" i="4"/>
  <c r="V89" i="4"/>
  <c r="V90" i="4" s="1"/>
  <c r="V68" i="4"/>
  <c r="AU7" i="4"/>
  <c r="Q89" i="4"/>
  <c r="Q90" i="4" s="1"/>
  <c r="Q68" i="4"/>
  <c r="X61" i="3"/>
  <c r="X57" i="4"/>
  <c r="O64" i="3"/>
  <c r="O62" i="3"/>
  <c r="S61" i="3"/>
  <c r="AS67" i="4"/>
  <c r="AY68" i="4" s="1"/>
  <c r="AP57" i="4"/>
  <c r="AP61" i="3"/>
  <c r="AE57" i="4"/>
  <c r="AU57" i="4"/>
  <c r="AU61" i="3"/>
  <c r="AW56" i="4"/>
  <c r="AV122" i="3"/>
  <c r="AW122" i="3" s="1"/>
  <c r="AV137" i="3"/>
  <c r="AW137" i="3" s="1"/>
  <c r="AV88" i="3"/>
  <c r="AT62" i="4"/>
  <c r="AT63" i="4" s="1"/>
  <c r="AT70" i="4"/>
  <c r="AN61" i="3"/>
  <c r="AN57" i="4"/>
  <c r="AG62" i="3"/>
  <c r="AG64" i="3"/>
  <c r="S67" i="4"/>
  <c r="S64" i="4"/>
  <c r="AB64" i="4"/>
  <c r="AB67" i="4"/>
  <c r="V62" i="3"/>
  <c r="V64" i="3"/>
  <c r="AJ7" i="4"/>
  <c r="AA62" i="4"/>
  <c r="AE7" i="4"/>
  <c r="AA70" i="4"/>
  <c r="AJ57" i="4"/>
  <c r="AJ61" i="3"/>
  <c r="AY64" i="4"/>
  <c r="BB57" i="4"/>
  <c r="BB61" i="3"/>
  <c r="BC56" i="4"/>
  <c r="BB40" i="4"/>
  <c r="BB42" i="4" s="1"/>
  <c r="AV7" i="4"/>
  <c r="AQ10" i="4"/>
  <c r="AQ12" i="4" s="1"/>
  <c r="AD62" i="4"/>
  <c r="AD63" i="4" s="1"/>
  <c r="AD70" i="4"/>
  <c r="AC62" i="4"/>
  <c r="AC63" i="4" s="1"/>
  <c r="AC70" i="4"/>
  <c r="AN7" i="4"/>
  <c r="AZ67" i="4"/>
  <c r="AH64" i="3"/>
  <c r="AH62" i="3"/>
  <c r="AO57" i="4"/>
  <c r="AO61" i="3"/>
  <c r="AP7" i="4"/>
  <c r="O89" i="4"/>
  <c r="O90" i="4" s="1"/>
  <c r="O68" i="4"/>
  <c r="AY89" i="4"/>
  <c r="AW25" i="4"/>
  <c r="AW27" i="4" s="1"/>
  <c r="AM62" i="4"/>
  <c r="AM63" i="4" s="1"/>
  <c r="AS64" i="4" s="1"/>
  <c r="AM70" i="4"/>
  <c r="AI57" i="4"/>
  <c r="AI61" i="3"/>
  <c r="AD62" i="3"/>
  <c r="AD64" i="3"/>
  <c r="AG62" i="4"/>
  <c r="AG70" i="4"/>
  <c r="Q62" i="3"/>
  <c r="Q64" i="3"/>
  <c r="AK56" i="4"/>
  <c r="BA169" i="3" l="1"/>
  <c r="BA55" i="3" s="1"/>
  <c r="BJ63" i="2"/>
  <c r="BC95" i="47"/>
  <c r="BX97" i="3"/>
  <c r="BY51" i="3"/>
  <c r="BS112" i="3"/>
  <c r="BX93" i="3"/>
  <c r="BX127" i="3"/>
  <c r="BX142" i="3"/>
  <c r="CD112" i="3"/>
  <c r="BN50" i="3"/>
  <c r="BN19" i="3"/>
  <c r="BN67" i="3"/>
  <c r="F168" i="1"/>
  <c r="F172" i="1" s="1"/>
  <c r="G167" i="1"/>
  <c r="I167" i="1"/>
  <c r="I169" i="1"/>
  <c r="G169" i="1"/>
  <c r="F173" i="1"/>
  <c r="F63" i="1" s="1"/>
  <c r="BW165" i="1"/>
  <c r="BM141" i="3"/>
  <c r="BM92" i="3"/>
  <c r="BM97" i="3" s="1"/>
  <c r="BM126" i="3"/>
  <c r="BS111" i="3"/>
  <c r="BM112" i="3"/>
  <c r="CD97" i="3"/>
  <c r="AY133" i="1"/>
  <c r="AY134" i="1" s="1"/>
  <c r="BC134" i="1" s="1"/>
  <c r="BC135" i="1" s="1"/>
  <c r="BI133" i="1" s="1"/>
  <c r="AQ95" i="47"/>
  <c r="AQ98" i="47"/>
  <c r="AW95" i="47"/>
  <c r="AW98" i="47"/>
  <c r="AQ113" i="47"/>
  <c r="AQ104" i="47"/>
  <c r="AW101" i="47"/>
  <c r="BC101" i="47"/>
  <c r="AQ101" i="47"/>
  <c r="AE95" i="47"/>
  <c r="AW104" i="47"/>
  <c r="AW113" i="47"/>
  <c r="H50" i="2"/>
  <c r="I52" i="1"/>
  <c r="I53" i="1" s="1"/>
  <c r="F50" i="2"/>
  <c r="G52" i="1"/>
  <c r="BV31" i="2"/>
  <c r="AN50" i="2"/>
  <c r="AO48" i="2"/>
  <c r="AO49" i="2" s="1"/>
  <c r="AO50" i="2" s="1"/>
  <c r="AX50" i="2"/>
  <c r="AY48" i="2"/>
  <c r="AY49" i="2" s="1"/>
  <c r="BB50" i="2"/>
  <c r="BD48" i="2"/>
  <c r="BD49" i="2" s="1"/>
  <c r="BH48" i="2"/>
  <c r="BH49" i="2" s="1"/>
  <c r="AS50" i="2"/>
  <c r="AT48" i="2"/>
  <c r="AT49" i="2" s="1"/>
  <c r="BK177" i="47"/>
  <c r="AI70" i="4"/>
  <c r="BX16" i="1"/>
  <c r="BX10" i="1"/>
  <c r="BW30" i="1"/>
  <c r="CD21" i="1"/>
  <c r="BW9" i="1"/>
  <c r="AQ40" i="4"/>
  <c r="AQ42" i="4" s="1"/>
  <c r="AK103" i="1"/>
  <c r="S62" i="3"/>
  <c r="G14" i="1"/>
  <c r="G73" i="1"/>
  <c r="G46" i="1"/>
  <c r="G74" i="1"/>
  <c r="G90" i="1"/>
  <c r="F22" i="1"/>
  <c r="F72" i="1"/>
  <c r="F75" i="1"/>
  <c r="I90" i="1"/>
  <c r="I74" i="1"/>
  <c r="I14" i="1"/>
  <c r="I73" i="1"/>
  <c r="I46" i="1"/>
  <c r="E42" i="1"/>
  <c r="O8" i="1"/>
  <c r="O164" i="1" s="1"/>
  <c r="AE87" i="1"/>
  <c r="F68" i="1"/>
  <c r="F47" i="1"/>
  <c r="J8" i="1"/>
  <c r="J164" i="1" s="1"/>
  <c r="AK12" i="4"/>
  <c r="AN6" i="47"/>
  <c r="BB6" i="47"/>
  <c r="AP6" i="47"/>
  <c r="BC57" i="4"/>
  <c r="Y61" i="3"/>
  <c r="AK17" i="4"/>
  <c r="AJ6" i="47"/>
  <c r="BC7" i="4"/>
  <c r="BC6" i="47" s="1"/>
  <c r="AO6" i="47"/>
  <c r="AK61" i="3"/>
  <c r="AI6" i="47"/>
  <c r="AV6" i="47"/>
  <c r="AW57" i="4"/>
  <c r="AU6" i="47"/>
  <c r="BG163" i="3"/>
  <c r="Y57" i="4"/>
  <c r="AK27" i="4"/>
  <c r="AK32" i="4"/>
  <c r="BF167" i="3"/>
  <c r="AK22" i="4"/>
  <c r="AK125" i="1"/>
  <c r="AK128" i="1" s="1"/>
  <c r="AG125" i="1"/>
  <c r="BX35" i="1"/>
  <c r="BZ101" i="1"/>
  <c r="CA101" i="1" s="1"/>
  <c r="CA37" i="1"/>
  <c r="S118" i="1"/>
  <c r="O120" i="1"/>
  <c r="P109" i="1"/>
  <c r="AK57" i="4"/>
  <c r="AK7" i="4"/>
  <c r="AQ57" i="4"/>
  <c r="BC40" i="4"/>
  <c r="BC42" i="4" s="1"/>
  <c r="AE70" i="4"/>
  <c r="AE6" i="47"/>
  <c r="AJ62" i="4"/>
  <c r="AJ63" i="4" s="1"/>
  <c r="AJ70" i="4"/>
  <c r="AP62" i="3"/>
  <c r="AP64" i="3"/>
  <c r="AQ61" i="3"/>
  <c r="AV62" i="3"/>
  <c r="AV169" i="3" s="1"/>
  <c r="AV55" i="3" s="1"/>
  <c r="AV64" i="3"/>
  <c r="AD67" i="4"/>
  <c r="AD64" i="4"/>
  <c r="S64" i="3"/>
  <c r="BB62" i="4"/>
  <c r="BB63" i="4" s="1"/>
  <c r="BB70" i="4"/>
  <c r="Y67" i="4"/>
  <c r="Y64" i="4"/>
  <c r="BA67" i="4"/>
  <c r="AP62" i="4"/>
  <c r="AP63" i="4" s="1"/>
  <c r="AP70" i="4"/>
  <c r="AK40" i="4"/>
  <c r="AJ42" i="4"/>
  <c r="AM67" i="4"/>
  <c r="AS68" i="4" s="1"/>
  <c r="AU62" i="4"/>
  <c r="AU63" i="4" s="1"/>
  <c r="AU70" i="4"/>
  <c r="AW7" i="4"/>
  <c r="AW6" i="47" s="1"/>
  <c r="AZ89" i="4"/>
  <c r="AV62" i="4"/>
  <c r="AV63" i="4" s="1"/>
  <c r="AV70" i="4"/>
  <c r="AN64" i="3"/>
  <c r="AN62" i="3"/>
  <c r="AI64" i="4"/>
  <c r="AI67" i="4"/>
  <c r="U90" i="4"/>
  <c r="AO62" i="4"/>
  <c r="AO63" i="4" s="1"/>
  <c r="AO70" i="4"/>
  <c r="AQ7" i="4"/>
  <c r="AQ6" i="47" s="1"/>
  <c r="AC67" i="4"/>
  <c r="AC64" i="4"/>
  <c r="AT67" i="4"/>
  <c r="AZ68" i="4" s="1"/>
  <c r="AI62" i="3"/>
  <c r="AI64" i="3"/>
  <c r="AZ64" i="4"/>
  <c r="AO62" i="3"/>
  <c r="AO64" i="3"/>
  <c r="AU64" i="3"/>
  <c r="AU62" i="3"/>
  <c r="AW61" i="3"/>
  <c r="W90" i="4"/>
  <c r="X68" i="4"/>
  <c r="X89" i="4"/>
  <c r="X90" i="4" s="1"/>
  <c r="AE64" i="3"/>
  <c r="AH64" i="4"/>
  <c r="AH67" i="4"/>
  <c r="BB62" i="3"/>
  <c r="BB64" i="3"/>
  <c r="X64" i="3"/>
  <c r="X62" i="3"/>
  <c r="Y62" i="3" s="1"/>
  <c r="AG63" i="4"/>
  <c r="BC61" i="3"/>
  <c r="AJ64" i="3"/>
  <c r="AJ62" i="3"/>
  <c r="AB89" i="4"/>
  <c r="AB90" i="4" s="1"/>
  <c r="AB68" i="4"/>
  <c r="AN62" i="4"/>
  <c r="AN63" i="4" s="1"/>
  <c r="AN70" i="4"/>
  <c r="AA63" i="4"/>
  <c r="AE62" i="4"/>
  <c r="AE63" i="4" s="1"/>
  <c r="S68" i="4"/>
  <c r="S89" i="4"/>
  <c r="S90" i="4" s="1"/>
  <c r="AS89" i="4"/>
  <c r="Y7" i="4"/>
  <c r="AE62" i="3"/>
  <c r="AU42" i="4"/>
  <c r="AW40" i="4"/>
  <c r="AW42" i="4" s="1"/>
  <c r="BN21" i="3" l="1"/>
  <c r="BN25" i="3" s="1"/>
  <c r="BM95" i="2"/>
  <c r="BM97" i="2" s="1"/>
  <c r="BM98" i="2" s="1"/>
  <c r="CD127" i="3"/>
  <c r="CD142" i="3"/>
  <c r="CD93" i="3"/>
  <c r="BS93" i="3"/>
  <c r="BS142" i="3"/>
  <c r="BS127" i="3"/>
  <c r="BZ50" i="3"/>
  <c r="BT111" i="3"/>
  <c r="CE51" i="3"/>
  <c r="BY112" i="3"/>
  <c r="BN51" i="3"/>
  <c r="BT51" i="3" s="1"/>
  <c r="BN68" i="3"/>
  <c r="BN111" i="3"/>
  <c r="I170" i="1"/>
  <c r="I173" i="1" s="1"/>
  <c r="I168" i="1"/>
  <c r="I172" i="1" s="1"/>
  <c r="G168" i="1"/>
  <c r="G172" i="1" s="1"/>
  <c r="O169" i="1"/>
  <c r="O167" i="1"/>
  <c r="J169" i="1"/>
  <c r="J167" i="1"/>
  <c r="J168" i="1" s="1"/>
  <c r="J172" i="1" s="1"/>
  <c r="BW156" i="1"/>
  <c r="BX165" i="1"/>
  <c r="BY111" i="3"/>
  <c r="CE111" i="3"/>
  <c r="BM93" i="3"/>
  <c r="BM142" i="3"/>
  <c r="BM127" i="3"/>
  <c r="BS126" i="3"/>
  <c r="BS92" i="3"/>
  <c r="BS97" i="3" s="1"/>
  <c r="BS141" i="3"/>
  <c r="N50" i="2"/>
  <c r="O52" i="1"/>
  <c r="O53" i="1" s="1"/>
  <c r="I50" i="2"/>
  <c r="J52" i="1"/>
  <c r="J53" i="1" s="1"/>
  <c r="BE133" i="1"/>
  <c r="BE134" i="1" s="1"/>
  <c r="BI134" i="1" s="1"/>
  <c r="BI135" i="1" s="1"/>
  <c r="BW31" i="2"/>
  <c r="AZ48" i="2"/>
  <c r="AZ49" i="2" s="1"/>
  <c r="AY50" i="2"/>
  <c r="BJ48" i="2"/>
  <c r="BN48" i="2"/>
  <c r="BD50" i="2"/>
  <c r="BE48" i="2"/>
  <c r="BE49" i="2" s="1"/>
  <c r="AU48" i="2"/>
  <c r="AU49" i="2" s="1"/>
  <c r="AU50" i="2" s="1"/>
  <c r="AT50" i="2"/>
  <c r="CC37" i="1"/>
  <c r="BK173" i="3"/>
  <c r="BY10" i="1"/>
  <c r="BY16" i="1"/>
  <c r="BX9" i="1"/>
  <c r="CE21" i="1"/>
  <c r="BX30" i="1"/>
  <c r="BC62" i="4"/>
  <c r="BC63" i="4" s="1"/>
  <c r="BC67" i="4" s="1"/>
  <c r="AQ97" i="1"/>
  <c r="AK104" i="1"/>
  <c r="AM97" i="1"/>
  <c r="AM102" i="1" s="1"/>
  <c r="AQ102" i="1" s="1"/>
  <c r="J46" i="1"/>
  <c r="J74" i="1"/>
  <c r="J90" i="1"/>
  <c r="J14" i="1"/>
  <c r="J73" i="1"/>
  <c r="O74" i="1"/>
  <c r="O14" i="1"/>
  <c r="O46" i="1"/>
  <c r="O73" i="1"/>
  <c r="O90" i="1"/>
  <c r="F42" i="1"/>
  <c r="G68" i="1"/>
  <c r="G47" i="1"/>
  <c r="G72" i="1"/>
  <c r="G22" i="1"/>
  <c r="G75" i="1"/>
  <c r="K8" i="1"/>
  <c r="K164" i="1" s="1"/>
  <c r="L8" i="1"/>
  <c r="L164" i="1" s="1"/>
  <c r="P8" i="1"/>
  <c r="P164" i="1" s="1"/>
  <c r="F62" i="1"/>
  <c r="I68" i="1"/>
  <c r="I47" i="1"/>
  <c r="I22" i="1"/>
  <c r="I75" i="1"/>
  <c r="I72" i="1"/>
  <c r="U8" i="1"/>
  <c r="U164" i="1" s="1"/>
  <c r="Y64" i="3"/>
  <c r="BC64" i="3"/>
  <c r="BC70" i="4"/>
  <c r="AK42" i="4"/>
  <c r="AQ62" i="3"/>
  <c r="BF169" i="3"/>
  <c r="BF55" i="3" s="1"/>
  <c r="BF168" i="3"/>
  <c r="AW64" i="3"/>
  <c r="AQ64" i="3"/>
  <c r="BG167" i="3"/>
  <c r="AK64" i="3"/>
  <c r="Y70" i="4"/>
  <c r="AG128" i="1"/>
  <c r="AG129" i="1"/>
  <c r="AK129" i="1" s="1"/>
  <c r="AK130" i="1" s="1"/>
  <c r="BY35" i="1"/>
  <c r="P114" i="1"/>
  <c r="P118" i="1"/>
  <c r="O119" i="1"/>
  <c r="P116" i="1"/>
  <c r="AK70" i="4"/>
  <c r="AK6" i="47"/>
  <c r="AK62" i="4"/>
  <c r="AK63" i="4" s="1"/>
  <c r="AK64" i="4" s="1"/>
  <c r="AP67" i="4"/>
  <c r="AP64" i="4"/>
  <c r="AQ62" i="4"/>
  <c r="AQ63" i="4" s="1"/>
  <c r="AQ70" i="4"/>
  <c r="BA89" i="4"/>
  <c r="AN64" i="4"/>
  <c r="AN67" i="4"/>
  <c r="AG64" i="4"/>
  <c r="AG67" i="4"/>
  <c r="AM68" i="4" s="1"/>
  <c r="AV67" i="4"/>
  <c r="AV64" i="4"/>
  <c r="AU67" i="4"/>
  <c r="AU64" i="4"/>
  <c r="BA64" i="4"/>
  <c r="AD89" i="4"/>
  <c r="AD90" i="4" s="1"/>
  <c r="AD68" i="4"/>
  <c r="AO67" i="4"/>
  <c r="AO64" i="4"/>
  <c r="AM89" i="4"/>
  <c r="AS90" i="4" s="1"/>
  <c r="AW62" i="4"/>
  <c r="AW63" i="4" s="1"/>
  <c r="AW70" i="4"/>
  <c r="Y89" i="4"/>
  <c r="Y90" i="4" s="1"/>
  <c r="Y68" i="4"/>
  <c r="AH89" i="4"/>
  <c r="AH90" i="4" s="1"/>
  <c r="AH68" i="4"/>
  <c r="AT64" i="4"/>
  <c r="AI89" i="4"/>
  <c r="AI68" i="4"/>
  <c r="BB169" i="3"/>
  <c r="BB55" i="3" s="1"/>
  <c r="BC62" i="3"/>
  <c r="BC169" i="3" s="1"/>
  <c r="BC55" i="3" s="1"/>
  <c r="AT89" i="4"/>
  <c r="BB64" i="4"/>
  <c r="BB67" i="4"/>
  <c r="AA67" i="4"/>
  <c r="AA64" i="4"/>
  <c r="AC89" i="4"/>
  <c r="AC90" i="4" s="1"/>
  <c r="AC68" i="4"/>
  <c r="AW62" i="3"/>
  <c r="AW169" i="3" s="1"/>
  <c r="AW55" i="3" s="1"/>
  <c r="AU169" i="3"/>
  <c r="AU55" i="3" s="1"/>
  <c r="AM64" i="4"/>
  <c r="AE67" i="4"/>
  <c r="AE64" i="4"/>
  <c r="AK62" i="3"/>
  <c r="AY90" i="4"/>
  <c r="AJ67" i="4"/>
  <c r="AJ64" i="4"/>
  <c r="BK133" i="1" l="1"/>
  <c r="BK134" i="1" s="1"/>
  <c r="BO134" i="1" s="1"/>
  <c r="BO133" i="1"/>
  <c r="BN93" i="1"/>
  <c r="BN91" i="1"/>
  <c r="BY93" i="3"/>
  <c r="BY127" i="3"/>
  <c r="BY142" i="3"/>
  <c r="CF50" i="3"/>
  <c r="BZ111" i="3"/>
  <c r="BZ51" i="3"/>
  <c r="BT112" i="3"/>
  <c r="CE112" i="3"/>
  <c r="BT92" i="3"/>
  <c r="BT126" i="3"/>
  <c r="BT141" i="3"/>
  <c r="BN141" i="3"/>
  <c r="BN126" i="3"/>
  <c r="BN92" i="3"/>
  <c r="BN112" i="3"/>
  <c r="BN33" i="3"/>
  <c r="BN54" i="3"/>
  <c r="CD37" i="1"/>
  <c r="I63" i="1"/>
  <c r="J170" i="1"/>
  <c r="J173" i="1" s="1"/>
  <c r="P167" i="1"/>
  <c r="P168" i="1" s="1"/>
  <c r="P172" i="1" s="1"/>
  <c r="P169" i="1"/>
  <c r="P170" i="1" s="1"/>
  <c r="P173" i="1" s="1"/>
  <c r="L167" i="1"/>
  <c r="O168" i="1" s="1"/>
  <c r="O172" i="1" s="1"/>
  <c r="L169" i="1"/>
  <c r="O170" i="1" s="1"/>
  <c r="O173" i="1" s="1"/>
  <c r="K169" i="1"/>
  <c r="K167" i="1"/>
  <c r="U167" i="1"/>
  <c r="U169" i="1"/>
  <c r="BY165" i="1"/>
  <c r="BX156" i="1"/>
  <c r="CE126" i="3"/>
  <c r="CE92" i="3"/>
  <c r="CE141" i="3"/>
  <c r="BY126" i="3"/>
  <c r="BY92" i="3"/>
  <c r="BY97" i="3" s="1"/>
  <c r="BY141" i="3"/>
  <c r="O50" i="2"/>
  <c r="P52" i="1"/>
  <c r="P53" i="1" s="1"/>
  <c r="K50" i="2"/>
  <c r="L52" i="1"/>
  <c r="L53" i="1" s="1"/>
  <c r="J50" i="2"/>
  <c r="K52" i="1"/>
  <c r="K53" i="1" s="1"/>
  <c r="T50" i="2"/>
  <c r="U52" i="1"/>
  <c r="U53" i="1" s="1"/>
  <c r="CC101" i="1"/>
  <c r="BX31" i="2"/>
  <c r="BE50" i="2"/>
  <c r="BF48" i="2"/>
  <c r="BF49" i="2" s="1"/>
  <c r="BA48" i="2"/>
  <c r="BA49" i="2" s="1"/>
  <c r="BA50" i="2" s="1"/>
  <c r="AZ50" i="2"/>
  <c r="BL173" i="3"/>
  <c r="BC64" i="4"/>
  <c r="BK34" i="4"/>
  <c r="BZ16" i="1"/>
  <c r="BZ10" i="1"/>
  <c r="BY30" i="1"/>
  <c r="CF21" i="1"/>
  <c r="BY9" i="1"/>
  <c r="AQ103" i="1"/>
  <c r="V8" i="1"/>
  <c r="V164" i="1" s="1"/>
  <c r="I48" i="1"/>
  <c r="I49" i="1" s="1"/>
  <c r="I42" i="1"/>
  <c r="P14" i="1"/>
  <c r="P46" i="1"/>
  <c r="P73" i="1"/>
  <c r="P74" i="1"/>
  <c r="P90" i="1"/>
  <c r="Q8" i="1"/>
  <c r="Q164" i="1" s="1"/>
  <c r="K46" i="1"/>
  <c r="K74" i="1"/>
  <c r="K73" i="1"/>
  <c r="K14" i="1"/>
  <c r="K90" i="1"/>
  <c r="AA8" i="1"/>
  <c r="AA164" i="1" s="1"/>
  <c r="O47" i="1"/>
  <c r="O68" i="1"/>
  <c r="J72" i="1"/>
  <c r="J22" i="1"/>
  <c r="J62" i="1" s="1"/>
  <c r="J75" i="1"/>
  <c r="U46" i="1"/>
  <c r="U74" i="1"/>
  <c r="U90" i="1"/>
  <c r="U73" i="1"/>
  <c r="U14" i="1"/>
  <c r="L74" i="1"/>
  <c r="L90" i="1"/>
  <c r="M8" i="1"/>
  <c r="M164" i="1" s="1"/>
  <c r="L14" i="1"/>
  <c r="L73" i="1"/>
  <c r="L46" i="1"/>
  <c r="I62" i="1"/>
  <c r="G48" i="1"/>
  <c r="G42" i="1"/>
  <c r="O72" i="1"/>
  <c r="O22" i="1"/>
  <c r="O75" i="1"/>
  <c r="J47" i="1"/>
  <c r="J68" i="1"/>
  <c r="AK67" i="4"/>
  <c r="AK89" i="4" s="1"/>
  <c r="BG168" i="3"/>
  <c r="BG169" i="3"/>
  <c r="BG55" i="3" s="1"/>
  <c r="AQ125" i="1"/>
  <c r="AQ128" i="1" s="1"/>
  <c r="AM125" i="1"/>
  <c r="BZ35" i="1"/>
  <c r="P120" i="1"/>
  <c r="Q109" i="1"/>
  <c r="AN89" i="4"/>
  <c r="AN90" i="4" s="1"/>
  <c r="AN68" i="4"/>
  <c r="AO89" i="4"/>
  <c r="AO90" i="4" s="1"/>
  <c r="AO68" i="4"/>
  <c r="AU89" i="4"/>
  <c r="AU68" i="4"/>
  <c r="AE89" i="4"/>
  <c r="AE90" i="4" s="1"/>
  <c r="AE68" i="4"/>
  <c r="AA89" i="4"/>
  <c r="AA90" i="4" s="1"/>
  <c r="AA68" i="4"/>
  <c r="BA68" i="4"/>
  <c r="AV68" i="4"/>
  <c r="AV89" i="4"/>
  <c r="AZ90" i="4"/>
  <c r="BB89" i="4"/>
  <c r="BB68" i="4"/>
  <c r="AW64" i="4"/>
  <c r="AW67" i="4"/>
  <c r="BC89" i="4"/>
  <c r="AQ64" i="4"/>
  <c r="AQ67" i="4"/>
  <c r="AJ68" i="4"/>
  <c r="AJ89" i="4"/>
  <c r="AJ90" i="4" s="1"/>
  <c r="AI90" i="4"/>
  <c r="AG89" i="4"/>
  <c r="AM90" i="4" s="1"/>
  <c r="AG68" i="4"/>
  <c r="AT68" i="4"/>
  <c r="AP89" i="4"/>
  <c r="AP68" i="4"/>
  <c r="CE37" i="1" l="1"/>
  <c r="BO135" i="1"/>
  <c r="BQ133" i="1" s="1"/>
  <c r="BQ135" i="1" s="1"/>
  <c r="BQ18" i="1" s="1"/>
  <c r="BQ166" i="1" s="1"/>
  <c r="CD101" i="1"/>
  <c r="CF111" i="3"/>
  <c r="CE142" i="3"/>
  <c r="CE127" i="3"/>
  <c r="CE93" i="3"/>
  <c r="CF51" i="3"/>
  <c r="BZ112" i="3"/>
  <c r="BZ92" i="3"/>
  <c r="BZ97" i="3" s="1"/>
  <c r="BZ141" i="3"/>
  <c r="BZ126" i="3"/>
  <c r="BT93" i="3"/>
  <c r="BT142" i="3"/>
  <c r="BT127" i="3"/>
  <c r="BT97" i="3"/>
  <c r="BN97" i="3"/>
  <c r="BN93" i="3"/>
  <c r="BN127" i="3"/>
  <c r="BN142" i="3"/>
  <c r="BN36" i="3"/>
  <c r="BN34" i="3"/>
  <c r="BN56" i="3"/>
  <c r="J63" i="1"/>
  <c r="O63" i="1"/>
  <c r="L168" i="1"/>
  <c r="L172" i="1" s="1"/>
  <c r="L170" i="1"/>
  <c r="L173" i="1" s="1"/>
  <c r="K170" i="1"/>
  <c r="K173" i="1" s="1"/>
  <c r="P63" i="1"/>
  <c r="K168" i="1"/>
  <c r="K172" i="1" s="1"/>
  <c r="M169" i="1"/>
  <c r="AA167" i="1"/>
  <c r="AA169" i="1"/>
  <c r="Q167" i="1"/>
  <c r="Q168" i="1" s="1"/>
  <c r="Q172" i="1" s="1"/>
  <c r="Q169" i="1"/>
  <c r="Q170" i="1" s="1"/>
  <c r="Q173" i="1" s="1"/>
  <c r="M167" i="1"/>
  <c r="V169" i="1"/>
  <c r="V170" i="1" s="1"/>
  <c r="V173" i="1" s="1"/>
  <c r="V167" i="1"/>
  <c r="V168" i="1" s="1"/>
  <c r="V172" i="1" s="1"/>
  <c r="BY156" i="1"/>
  <c r="BZ165" i="1"/>
  <c r="CE97" i="3"/>
  <c r="U50" i="2"/>
  <c r="V52" i="1"/>
  <c r="V53" i="1" s="1"/>
  <c r="Z50" i="2"/>
  <c r="AA52" i="1"/>
  <c r="AA53" i="1" s="1"/>
  <c r="P50" i="2"/>
  <c r="Q52" i="1"/>
  <c r="Q53" i="1" s="1"/>
  <c r="L50" i="2"/>
  <c r="M52" i="1"/>
  <c r="M53" i="1" s="1"/>
  <c r="BL177" i="47"/>
  <c r="BY31" i="2"/>
  <c r="BZ31" i="2" s="1"/>
  <c r="BF50" i="2"/>
  <c r="BG48" i="2"/>
  <c r="BG49" i="2" s="1"/>
  <c r="BG50" i="2" s="1"/>
  <c r="BK42" i="2"/>
  <c r="AK90" i="4"/>
  <c r="AK68" i="4"/>
  <c r="AU90" i="4"/>
  <c r="BW157" i="47"/>
  <c r="BW181" i="47" s="1"/>
  <c r="CA16" i="1"/>
  <c r="CA165" i="1" s="1"/>
  <c r="CA10" i="1"/>
  <c r="BZ9" i="1"/>
  <c r="CG21" i="1"/>
  <c r="BZ30" i="1"/>
  <c r="AW97" i="1"/>
  <c r="AS97" i="1"/>
  <c r="AS102" i="1" s="1"/>
  <c r="AW102" i="1" s="1"/>
  <c r="AQ104" i="1"/>
  <c r="AP90" i="4"/>
  <c r="O42" i="1"/>
  <c r="O48" i="1"/>
  <c r="O49" i="1" s="1"/>
  <c r="L68" i="1"/>
  <c r="L47" i="1"/>
  <c r="L72" i="1"/>
  <c r="L75" i="1"/>
  <c r="L22" i="1"/>
  <c r="AA46" i="1"/>
  <c r="AA90" i="1"/>
  <c r="AA74" i="1"/>
  <c r="AA14" i="1"/>
  <c r="AA73" i="1"/>
  <c r="K75" i="1"/>
  <c r="K22" i="1"/>
  <c r="K62" i="1" s="1"/>
  <c r="K72" i="1"/>
  <c r="Q46" i="1"/>
  <c r="Q73" i="1"/>
  <c r="Q90" i="1"/>
  <c r="Q14" i="1"/>
  <c r="Q74" i="1"/>
  <c r="P68" i="1"/>
  <c r="P47" i="1"/>
  <c r="W8" i="1"/>
  <c r="W164" i="1" s="1"/>
  <c r="M90" i="1"/>
  <c r="M14" i="1"/>
  <c r="M46" i="1"/>
  <c r="M73" i="1"/>
  <c r="M74" i="1"/>
  <c r="U22" i="1"/>
  <c r="U75" i="1"/>
  <c r="U72" i="1"/>
  <c r="U47" i="1"/>
  <c r="U68" i="1"/>
  <c r="J42" i="1"/>
  <c r="J48" i="1"/>
  <c r="J49" i="1" s="1"/>
  <c r="K47" i="1"/>
  <c r="K68" i="1"/>
  <c r="R8" i="1"/>
  <c r="R164" i="1" s="1"/>
  <c r="P75" i="1"/>
  <c r="P72" i="1"/>
  <c r="P22" i="1"/>
  <c r="V90" i="1"/>
  <c r="V14" i="1"/>
  <c r="V46" i="1"/>
  <c r="V74" i="1"/>
  <c r="V73" i="1"/>
  <c r="AM128" i="1"/>
  <c r="AM129" i="1"/>
  <c r="AQ129" i="1" s="1"/>
  <c r="AQ130" i="1" s="1"/>
  <c r="Q114" i="1"/>
  <c r="Q118" i="1"/>
  <c r="P119" i="1"/>
  <c r="Q116" i="1"/>
  <c r="CA35" i="1"/>
  <c r="BA90" i="4"/>
  <c r="AW89" i="4"/>
  <c r="AW68" i="4"/>
  <c r="AV90" i="4"/>
  <c r="BB90" i="4"/>
  <c r="AQ89" i="4"/>
  <c r="AQ90" i="4" s="1"/>
  <c r="AQ68" i="4"/>
  <c r="AG90" i="4"/>
  <c r="BC68" i="4"/>
  <c r="AT90" i="4"/>
  <c r="BR133" i="1" l="1"/>
  <c r="BR135" i="1" s="1"/>
  <c r="BS133" i="1" s="1"/>
  <c r="BS135" i="1" s="1"/>
  <c r="CF37" i="1"/>
  <c r="CE101" i="1"/>
  <c r="BU133" i="1"/>
  <c r="BU135" i="1" s="1"/>
  <c r="CA133" i="1" s="1"/>
  <c r="CA135" i="1" s="1"/>
  <c r="CC133" i="1" s="1"/>
  <c r="CC135" i="1" s="1"/>
  <c r="BZ142" i="3"/>
  <c r="BZ127" i="3"/>
  <c r="BZ93" i="3"/>
  <c r="CF112" i="3"/>
  <c r="CF92" i="3"/>
  <c r="CF97" i="3" s="1"/>
  <c r="CF126" i="3"/>
  <c r="CF141" i="3"/>
  <c r="BN148" i="1"/>
  <c r="BN43" i="3"/>
  <c r="BM63" i="2" s="1"/>
  <c r="BN57" i="3"/>
  <c r="BN76" i="3"/>
  <c r="L63" i="1"/>
  <c r="K63" i="1"/>
  <c r="AB168" i="1"/>
  <c r="AB172" i="1" s="1"/>
  <c r="V63" i="1"/>
  <c r="AB170" i="1"/>
  <c r="AB173" i="1" s="1"/>
  <c r="M168" i="1"/>
  <c r="M172" i="1" s="1"/>
  <c r="M170" i="1"/>
  <c r="M173" i="1" s="1"/>
  <c r="W169" i="1"/>
  <c r="W167" i="1"/>
  <c r="Q63" i="1"/>
  <c r="R167" i="1"/>
  <c r="U168" i="1" s="1"/>
  <c r="U172" i="1" s="1"/>
  <c r="R169" i="1"/>
  <c r="R170" i="1" s="1"/>
  <c r="R173" i="1" s="1"/>
  <c r="BZ156" i="1"/>
  <c r="Q50" i="2"/>
  <c r="R52" i="1"/>
  <c r="R53" i="1" s="1"/>
  <c r="V50" i="2"/>
  <c r="W52" i="1"/>
  <c r="W53" i="1" s="1"/>
  <c r="CC16" i="1"/>
  <c r="CC157" i="47"/>
  <c r="CC181" i="47" s="1"/>
  <c r="BW183" i="47"/>
  <c r="BW159" i="47"/>
  <c r="CC10" i="1"/>
  <c r="CA30" i="1"/>
  <c r="CA156" i="1" s="1"/>
  <c r="CA9" i="1"/>
  <c r="AW103" i="1"/>
  <c r="V75" i="1"/>
  <c r="V72" i="1"/>
  <c r="V22" i="1"/>
  <c r="V62" i="1" s="1"/>
  <c r="P42" i="1"/>
  <c r="P48" i="1"/>
  <c r="P49" i="1" s="1"/>
  <c r="R14" i="1"/>
  <c r="R73" i="1"/>
  <c r="R74" i="1"/>
  <c r="S8" i="1"/>
  <c r="S164" i="1" s="1"/>
  <c r="R46" i="1"/>
  <c r="R90" i="1"/>
  <c r="M68" i="1"/>
  <c r="M47" i="1"/>
  <c r="M72" i="1"/>
  <c r="M75" i="1"/>
  <c r="M22" i="1"/>
  <c r="W73" i="1"/>
  <c r="W74" i="1"/>
  <c r="W90" i="1"/>
  <c r="W14" i="1"/>
  <c r="W46" i="1"/>
  <c r="Q47" i="1"/>
  <c r="Q68" i="1"/>
  <c r="AA75" i="1"/>
  <c r="AA72" i="1"/>
  <c r="AA22" i="1"/>
  <c r="V47" i="1"/>
  <c r="V68" i="1"/>
  <c r="U42" i="1"/>
  <c r="U48" i="1"/>
  <c r="U49" i="1" s="1"/>
  <c r="X8" i="1"/>
  <c r="X164" i="1" s="1"/>
  <c r="Q22" i="1"/>
  <c r="Q72" i="1"/>
  <c r="Q75" i="1"/>
  <c r="K42" i="1"/>
  <c r="K48" i="1"/>
  <c r="K49" i="1" s="1"/>
  <c r="L62" i="1"/>
  <c r="M62" i="1"/>
  <c r="AA68" i="1"/>
  <c r="AA47" i="1"/>
  <c r="L48" i="1"/>
  <c r="L49" i="1" s="1"/>
  <c r="L42" i="1"/>
  <c r="P62" i="1"/>
  <c r="AW125" i="1"/>
  <c r="AW128" i="1" s="1"/>
  <c r="AS125" i="1"/>
  <c r="BN166" i="1"/>
  <c r="BM166" i="1"/>
  <c r="CC35" i="1"/>
  <c r="R109" i="1"/>
  <c r="Q120" i="1"/>
  <c r="AW90" i="4"/>
  <c r="BC90" i="4"/>
  <c r="BR18" i="1" l="1"/>
  <c r="BR166" i="1" s="1"/>
  <c r="CF101" i="1"/>
  <c r="CG101" i="1" s="1"/>
  <c r="CG133" i="1"/>
  <c r="CG135" i="1" s="1"/>
  <c r="CG37" i="1"/>
  <c r="BW133" i="1"/>
  <c r="BW135" i="1" s="1"/>
  <c r="BX133" i="1" s="1"/>
  <c r="BX135" i="1" s="1"/>
  <c r="BY133" i="1" s="1"/>
  <c r="BY135" i="1" s="1"/>
  <c r="CF93" i="3"/>
  <c r="CF142" i="3"/>
  <c r="CF127" i="3"/>
  <c r="M63" i="1"/>
  <c r="AB63" i="1"/>
  <c r="W170" i="1"/>
  <c r="W173" i="1" s="1"/>
  <c r="U170" i="1"/>
  <c r="U173" i="1" s="1"/>
  <c r="W168" i="1"/>
  <c r="W172" i="1" s="1"/>
  <c r="R168" i="1"/>
  <c r="R172" i="1" s="1"/>
  <c r="S169" i="1"/>
  <c r="R63" i="1"/>
  <c r="S167" i="1"/>
  <c r="X167" i="1"/>
  <c r="AA168" i="1" s="1"/>
  <c r="AA172" i="1" s="1"/>
  <c r="X169" i="1"/>
  <c r="AA170" i="1" s="1"/>
  <c r="AA173" i="1" s="1"/>
  <c r="CD16" i="1"/>
  <c r="CC165" i="1"/>
  <c r="R50" i="2"/>
  <c r="S52" i="1"/>
  <c r="S53" i="1" s="1"/>
  <c r="W50" i="2"/>
  <c r="X52" i="1"/>
  <c r="X53" i="1" s="1"/>
  <c r="BW34" i="4"/>
  <c r="CB31" i="2"/>
  <c r="CC9" i="1"/>
  <c r="CC30" i="1"/>
  <c r="CC159" i="47"/>
  <c r="CC183" i="47"/>
  <c r="CD10" i="1"/>
  <c r="BO18" i="1"/>
  <c r="AY97" i="1"/>
  <c r="AY102" i="1" s="1"/>
  <c r="BC102" i="1" s="1"/>
  <c r="AW104" i="1"/>
  <c r="BC97" i="1"/>
  <c r="W47" i="1"/>
  <c r="W68" i="1"/>
  <c r="R68" i="1"/>
  <c r="R47" i="1"/>
  <c r="R72" i="1"/>
  <c r="R22" i="1"/>
  <c r="R62" i="1" s="1"/>
  <c r="R75" i="1"/>
  <c r="V42" i="1"/>
  <c r="V48" i="1"/>
  <c r="Q42" i="1"/>
  <c r="Q48" i="1"/>
  <c r="Q49" i="1" s="1"/>
  <c r="X74" i="1"/>
  <c r="Y8" i="1"/>
  <c r="Y164" i="1" s="1"/>
  <c r="X46" i="1"/>
  <c r="X90" i="1"/>
  <c r="X14" i="1"/>
  <c r="X73" i="1"/>
  <c r="AB62" i="1"/>
  <c r="AA42" i="1"/>
  <c r="AA48" i="1"/>
  <c r="W75" i="1"/>
  <c r="W22" i="1"/>
  <c r="W72" i="1"/>
  <c r="M48" i="1"/>
  <c r="M49" i="1" s="1"/>
  <c r="O62" i="1"/>
  <c r="M42" i="1"/>
  <c r="S90" i="1"/>
  <c r="S73" i="1"/>
  <c r="S14" i="1"/>
  <c r="S74" i="1"/>
  <c r="S46" i="1"/>
  <c r="Q62" i="1"/>
  <c r="AS129" i="1"/>
  <c r="AW129" i="1" s="1"/>
  <c r="AW130" i="1" s="1"/>
  <c r="AS128" i="1"/>
  <c r="BT133" i="1"/>
  <c r="BT135" i="1" s="1"/>
  <c r="BT18" i="1" s="1"/>
  <c r="BT166" i="1" s="1"/>
  <c r="BS18" i="1"/>
  <c r="BS166" i="1" s="1"/>
  <c r="R113" i="1"/>
  <c r="S113" i="1" s="1"/>
  <c r="S114" i="1" s="1"/>
  <c r="U109" i="1" s="1"/>
  <c r="R118" i="1"/>
  <c r="Q119" i="1"/>
  <c r="R116" i="1"/>
  <c r="R119" i="1" s="1"/>
  <c r="CD133" i="1"/>
  <c r="CD135" i="1" s="1"/>
  <c r="CC18" i="1"/>
  <c r="CD35" i="1"/>
  <c r="BX18" i="1" l="1"/>
  <c r="BX166" i="1" s="1"/>
  <c r="BW18" i="1"/>
  <c r="CD165" i="1"/>
  <c r="U63" i="1"/>
  <c r="AA63" i="1"/>
  <c r="W63" i="1"/>
  <c r="X168" i="1"/>
  <c r="X172" i="1" s="1"/>
  <c r="S168" i="1"/>
  <c r="S172" i="1" s="1"/>
  <c r="X170" i="1"/>
  <c r="X173" i="1" s="1"/>
  <c r="S170" i="1"/>
  <c r="S173" i="1" s="1"/>
  <c r="Y167" i="1"/>
  <c r="AE168" i="1" s="1"/>
  <c r="AE172" i="1" s="1"/>
  <c r="Y169" i="1"/>
  <c r="AE170" i="1" s="1"/>
  <c r="AE173" i="1" s="1"/>
  <c r="CE16" i="1"/>
  <c r="CC156" i="1"/>
  <c r="CC166" i="1"/>
  <c r="BO166" i="1"/>
  <c r="X50" i="2"/>
  <c r="Y52" i="1"/>
  <c r="Y53" i="1" s="1"/>
  <c r="CD30" i="1"/>
  <c r="CD9" i="1"/>
  <c r="CC34" i="4"/>
  <c r="CC31" i="2"/>
  <c r="S62" i="1"/>
  <c r="BC103" i="1"/>
  <c r="BI97" i="1" s="1"/>
  <c r="CE10" i="1"/>
  <c r="BU18" i="1"/>
  <c r="W42" i="1"/>
  <c r="W48" i="1"/>
  <c r="AA49" i="1"/>
  <c r="AG49" i="1"/>
  <c r="X75" i="1"/>
  <c r="X22" i="1"/>
  <c r="X72" i="1"/>
  <c r="X68" i="1"/>
  <c r="X47" i="1"/>
  <c r="W62" i="1"/>
  <c r="S68" i="1"/>
  <c r="S47" i="1"/>
  <c r="S75" i="1"/>
  <c r="S72" i="1"/>
  <c r="S22" i="1"/>
  <c r="Y14" i="1"/>
  <c r="Y74" i="1"/>
  <c r="Y73" i="1"/>
  <c r="Y46" i="1"/>
  <c r="Y90" i="1"/>
  <c r="V49" i="1"/>
  <c r="AB49" i="1"/>
  <c r="R48" i="1"/>
  <c r="R49" i="1" s="1"/>
  <c r="R42" i="1"/>
  <c r="BC125" i="1"/>
  <c r="BC128" i="1" s="1"/>
  <c r="AY125" i="1"/>
  <c r="S119" i="1"/>
  <c r="S120" i="1" s="1"/>
  <c r="U116" i="1" s="1"/>
  <c r="Y116" i="1" s="1"/>
  <c r="U114" i="1"/>
  <c r="U118" i="1"/>
  <c r="Y109" i="1"/>
  <c r="BZ133" i="1"/>
  <c r="BZ135" i="1" s="1"/>
  <c r="BZ18" i="1" s="1"/>
  <c r="BY18" i="1"/>
  <c r="BY166" i="1" s="1"/>
  <c r="CE133" i="1"/>
  <c r="CE135" i="1" s="1"/>
  <c r="CD18" i="1"/>
  <c r="CE35" i="1"/>
  <c r="BW166" i="1" l="1"/>
  <c r="CE165" i="1"/>
  <c r="S63" i="1"/>
  <c r="AE63" i="1"/>
  <c r="X63" i="1"/>
  <c r="Y170" i="1"/>
  <c r="Y173" i="1" s="1"/>
  <c r="Y168" i="1"/>
  <c r="Y172" i="1" s="1"/>
  <c r="CE9" i="1"/>
  <c r="CF16" i="1"/>
  <c r="BU166" i="1"/>
  <c r="BZ166" i="1"/>
  <c r="CE30" i="1"/>
  <c r="CD156" i="1"/>
  <c r="CD166" i="1"/>
  <c r="CD31" i="2"/>
  <c r="BE97" i="1"/>
  <c r="BE102" i="1" s="1"/>
  <c r="BI102" i="1" s="1"/>
  <c r="BC104" i="1"/>
  <c r="CF10" i="1"/>
  <c r="CA18" i="1"/>
  <c r="Y75" i="1"/>
  <c r="Y72" i="1"/>
  <c r="Y22" i="1"/>
  <c r="AC49" i="1"/>
  <c r="W49" i="1"/>
  <c r="Y47" i="1"/>
  <c r="Y68" i="1"/>
  <c r="S48" i="1"/>
  <c r="S49" i="1" s="1"/>
  <c r="S42" i="1"/>
  <c r="U62" i="1"/>
  <c r="Y62" i="1"/>
  <c r="X48" i="1"/>
  <c r="X42" i="1"/>
  <c r="X62" i="1"/>
  <c r="AY128" i="1"/>
  <c r="AY129" i="1"/>
  <c r="BC129" i="1" s="1"/>
  <c r="BC130" i="1" s="1"/>
  <c r="BI125" i="1" s="1"/>
  <c r="CF133" i="1"/>
  <c r="CF135" i="1" s="1"/>
  <c r="CF18" i="1" s="1"/>
  <c r="CE18" i="1"/>
  <c r="U120" i="1"/>
  <c r="V109" i="1"/>
  <c r="CF35" i="1"/>
  <c r="Y118" i="1"/>
  <c r="CG16" i="1" l="1"/>
  <c r="CE31" i="2"/>
  <c r="CF9" i="1"/>
  <c r="CF166" i="1"/>
  <c r="CE156" i="1"/>
  <c r="CF165" i="1"/>
  <c r="Y63" i="1"/>
  <c r="CF30" i="1"/>
  <c r="CG30" i="1" s="1"/>
  <c r="CE166" i="1"/>
  <c r="CA166" i="1"/>
  <c r="BI128" i="1"/>
  <c r="CG10" i="1"/>
  <c r="CG18" i="1"/>
  <c r="AD49" i="1"/>
  <c r="X49" i="1"/>
  <c r="Y42" i="1"/>
  <c r="AE62" i="1"/>
  <c r="Y48" i="1"/>
  <c r="AA62" i="1"/>
  <c r="BE125" i="1"/>
  <c r="V114" i="1"/>
  <c r="V118" i="1"/>
  <c r="CG35" i="1"/>
  <c r="U119" i="1"/>
  <c r="V116" i="1"/>
  <c r="L61" i="3"/>
  <c r="CG165" i="1" l="1"/>
  <c r="CF31" i="2"/>
  <c r="CG9" i="1"/>
  <c r="CG166" i="1"/>
  <c r="CF156" i="1"/>
  <c r="CG156" i="1"/>
  <c r="AE49" i="1"/>
  <c r="Y49" i="1"/>
  <c r="BE129" i="1"/>
  <c r="BI129" i="1" s="1"/>
  <c r="BI130" i="1" s="1"/>
  <c r="BE128" i="1"/>
  <c r="V120" i="1"/>
  <c r="W109" i="1"/>
  <c r="L62" i="3"/>
  <c r="M62" i="3" s="1"/>
  <c r="L64" i="3"/>
  <c r="M64" i="3" s="1"/>
  <c r="M61" i="3"/>
  <c r="I37" i="3"/>
  <c r="BK125" i="1" l="1"/>
  <c r="BK128" i="1" s="1"/>
  <c r="BO125" i="1"/>
  <c r="V119" i="1"/>
  <c r="W116" i="1"/>
  <c r="W114" i="1"/>
  <c r="W118" i="1"/>
  <c r="AB37" i="3"/>
  <c r="J37" i="3"/>
  <c r="V37" i="3"/>
  <c r="AA37" i="3"/>
  <c r="U37" i="3"/>
  <c r="P37" i="3"/>
  <c r="W37" i="3"/>
  <c r="O37" i="3"/>
  <c r="G37" i="3"/>
  <c r="BK129" i="1" l="1"/>
  <c r="W120" i="1"/>
  <c r="X109" i="1"/>
  <c r="Q37" i="3"/>
  <c r="K37" i="3"/>
  <c r="Y37" i="3"/>
  <c r="AW37" i="3"/>
  <c r="S37" i="3"/>
  <c r="M37" i="3"/>
  <c r="X113" i="1" l="1"/>
  <c r="Y113" i="1" s="1"/>
  <c r="Y114" i="1" s="1"/>
  <c r="AA109" i="1" s="1"/>
  <c r="X118" i="1"/>
  <c r="W119" i="1"/>
  <c r="X116" i="1"/>
  <c r="X119" i="1" s="1"/>
  <c r="R37" i="3"/>
  <c r="AV37" i="3"/>
  <c r="L37" i="3"/>
  <c r="AC37" i="3"/>
  <c r="X37" i="3"/>
  <c r="Y119" i="1" l="1"/>
  <c r="Y120" i="1" s="1"/>
  <c r="AA116" i="1" s="1"/>
  <c r="AE116" i="1" s="1"/>
  <c r="AA114" i="1"/>
  <c r="AE109" i="1"/>
  <c r="AA118" i="1"/>
  <c r="AD37" i="3"/>
  <c r="AE114" i="1" l="1"/>
  <c r="AE118" i="1"/>
  <c r="AA120" i="1"/>
  <c r="AB109" i="1"/>
  <c r="AE37" i="3"/>
  <c r="AB114" i="1" l="1"/>
  <c r="AB118" i="1"/>
  <c r="AG109" i="1"/>
  <c r="AA119" i="1"/>
  <c r="AB116" i="1"/>
  <c r="BG60" i="4"/>
  <c r="AG114" i="1" l="1"/>
  <c r="AK109" i="1"/>
  <c r="AG118" i="1"/>
  <c r="AB120" i="1"/>
  <c r="AC109" i="1"/>
  <c r="AK114" i="1" l="1"/>
  <c r="AK118" i="1"/>
  <c r="AG120" i="1"/>
  <c r="AH109" i="1"/>
  <c r="AC118" i="1"/>
  <c r="AC114" i="1"/>
  <c r="AB119" i="1"/>
  <c r="AC116" i="1"/>
  <c r="AC120" i="1" l="1"/>
  <c r="AD109" i="1"/>
  <c r="AH114" i="1"/>
  <c r="AH118" i="1"/>
  <c r="AH116" i="1"/>
  <c r="AM109" i="1"/>
  <c r="BK111" i="47"/>
  <c r="AI109" i="1" l="1"/>
  <c r="AH120" i="1"/>
  <c r="AM118" i="1"/>
  <c r="AQ109" i="1"/>
  <c r="AM114" i="1"/>
  <c r="AD114" i="1"/>
  <c r="AD120" i="1" s="1"/>
  <c r="AD118" i="1"/>
  <c r="AC119" i="1"/>
  <c r="AD116" i="1"/>
  <c r="BO19" i="1" l="1"/>
  <c r="AD119" i="1"/>
  <c r="AE119" i="1" s="1"/>
  <c r="AE120" i="1" s="1"/>
  <c r="AQ114" i="1"/>
  <c r="AQ118" i="1"/>
  <c r="AI116" i="1"/>
  <c r="AH119" i="1"/>
  <c r="AM120" i="1"/>
  <c r="AN109" i="1"/>
  <c r="AI114" i="1"/>
  <c r="AI118" i="1"/>
  <c r="AN116" i="1" l="1"/>
  <c r="AI120" i="1"/>
  <c r="AJ109" i="1"/>
  <c r="AG116" i="1"/>
  <c r="AE122" i="1"/>
  <c r="AN114" i="1"/>
  <c r="AN118" i="1"/>
  <c r="AS109" i="1"/>
  <c r="AJ114" i="1" l="1"/>
  <c r="AJ120" i="1" s="1"/>
  <c r="AJ118" i="1"/>
  <c r="AI119" i="1"/>
  <c r="AJ116" i="1"/>
  <c r="AN120" i="1"/>
  <c r="AO109" i="1"/>
  <c r="AS114" i="1"/>
  <c r="AS118" i="1"/>
  <c r="AW109" i="1"/>
  <c r="AK116" i="1"/>
  <c r="AG119" i="1"/>
  <c r="CC36" i="4"/>
  <c r="CC35" i="4" s="1"/>
  <c r="AO114" i="1" l="1"/>
  <c r="AO118" i="1"/>
  <c r="AN119" i="1"/>
  <c r="AO116" i="1"/>
  <c r="AW114" i="1"/>
  <c r="AW118" i="1"/>
  <c r="AJ119" i="1"/>
  <c r="AK119" i="1" s="1"/>
  <c r="AK120" i="1" s="1"/>
  <c r="AS120" i="1"/>
  <c r="AT109" i="1"/>
  <c r="AM116" i="1" l="1"/>
  <c r="AK122" i="1"/>
  <c r="AT114" i="1"/>
  <c r="AT118" i="1"/>
  <c r="AY109" i="1"/>
  <c r="AT116" i="1"/>
  <c r="AP109" i="1"/>
  <c r="AO120" i="1"/>
  <c r="BC109" i="1" l="1"/>
  <c r="AY114" i="1"/>
  <c r="AY118" i="1"/>
  <c r="AO119" i="1"/>
  <c r="AP116" i="1"/>
  <c r="AP114" i="1"/>
  <c r="AP120" i="1" s="1"/>
  <c r="AP118" i="1"/>
  <c r="AT120" i="1"/>
  <c r="AU109" i="1"/>
  <c r="AQ116" i="1"/>
  <c r="AM119" i="1"/>
  <c r="AP119" i="1" l="1"/>
  <c r="AQ119" i="1" s="1"/>
  <c r="AQ120" i="1" s="1"/>
  <c r="AY120" i="1"/>
  <c r="AZ109" i="1"/>
  <c r="AU114" i="1"/>
  <c r="AU118" i="1"/>
  <c r="BC114" i="1"/>
  <c r="BC118" i="1"/>
  <c r="AT119" i="1"/>
  <c r="AU116" i="1"/>
  <c r="AS116" i="1" l="1"/>
  <c r="AQ122" i="1"/>
  <c r="BE109" i="1"/>
  <c r="BI109" i="1" s="1"/>
  <c r="AU120" i="1"/>
  <c r="AV109" i="1"/>
  <c r="AZ114" i="1"/>
  <c r="AZ118" i="1"/>
  <c r="AZ116" i="1"/>
  <c r="BI114" i="1" l="1"/>
  <c r="BK109" i="1" s="1"/>
  <c r="BO109" i="1" s="1"/>
  <c r="BI118" i="1"/>
  <c r="AV118" i="1"/>
  <c r="AV114" i="1"/>
  <c r="AV120" i="1" s="1"/>
  <c r="AV116" i="1"/>
  <c r="AU119" i="1"/>
  <c r="BE114" i="1"/>
  <c r="BE118" i="1"/>
  <c r="BW118" i="1" s="1"/>
  <c r="CC118" i="1" s="1"/>
  <c r="AZ120" i="1"/>
  <c r="BA109" i="1"/>
  <c r="AW116" i="1"/>
  <c r="AS119" i="1"/>
  <c r="BK114" i="1" l="1"/>
  <c r="BK118" i="1"/>
  <c r="AV119" i="1"/>
  <c r="AW119" i="1" s="1"/>
  <c r="AW120" i="1" s="1"/>
  <c r="BA114" i="1"/>
  <c r="BA118" i="1"/>
  <c r="AZ119" i="1"/>
  <c r="BA116" i="1"/>
  <c r="BE120" i="1"/>
  <c r="BF109" i="1"/>
  <c r="BK120" i="1" l="1"/>
  <c r="BL116" i="1" s="1"/>
  <c r="BL109" i="1"/>
  <c r="BF114" i="1"/>
  <c r="BG109" i="1" s="1"/>
  <c r="BF118" i="1"/>
  <c r="BA120" i="1"/>
  <c r="BB109" i="1"/>
  <c r="BF116" i="1"/>
  <c r="AY116" i="1"/>
  <c r="AW122" i="1"/>
  <c r="BL114" i="1" l="1"/>
  <c r="BL118" i="1"/>
  <c r="BX118" i="1" s="1"/>
  <c r="CD118" i="1" s="1"/>
  <c r="BG114" i="1"/>
  <c r="BG118" i="1"/>
  <c r="BF120" i="1"/>
  <c r="BG116" i="1" s="1"/>
  <c r="BC116" i="1"/>
  <c r="AY119" i="1"/>
  <c r="BB114" i="1"/>
  <c r="BB120" i="1" s="1"/>
  <c r="BB118" i="1"/>
  <c r="BB116" i="1"/>
  <c r="BA119" i="1"/>
  <c r="BL120" i="1" l="1"/>
  <c r="BM109" i="1"/>
  <c r="BG120" i="1"/>
  <c r="BH116" i="1" s="1"/>
  <c r="BH109" i="1"/>
  <c r="BB119" i="1"/>
  <c r="BC119" i="1" s="1"/>
  <c r="BC120" i="1" s="1"/>
  <c r="BF119" i="1"/>
  <c r="BL119" i="1" l="1"/>
  <c r="BM116" i="1"/>
  <c r="BG119" i="1"/>
  <c r="BH114" i="1"/>
  <c r="BH120" i="1" s="1"/>
  <c r="BH119" i="1" s="1"/>
  <c r="BH118" i="1"/>
  <c r="BZ118" i="1" s="1"/>
  <c r="CF118" i="1" s="1"/>
  <c r="BE116" i="1"/>
  <c r="BI116" i="1" s="1"/>
  <c r="BC122" i="1"/>
  <c r="BE119" i="1" l="1"/>
  <c r="BI119" i="1" s="1"/>
  <c r="BI120" i="1" s="1"/>
  <c r="BI122" i="1" l="1"/>
  <c r="BK116" i="1"/>
  <c r="BK119" i="1" l="1"/>
  <c r="BO116" i="1"/>
  <c r="BI173" i="3" l="1"/>
  <c r="BG23" i="3" l="1"/>
  <c r="BG85" i="1"/>
  <c r="BG86" i="1" l="1"/>
  <c r="BG84" i="1" l="1"/>
  <c r="BG37" i="3"/>
  <c r="BG73" i="1" l="1"/>
  <c r="BG74" i="1"/>
  <c r="BG46" i="1"/>
  <c r="BG14" i="1"/>
  <c r="BG87" i="1"/>
  <c r="BG75" i="1" l="1"/>
  <c r="BG72" i="1"/>
  <c r="BG22" i="1"/>
  <c r="BG42" i="1" s="1"/>
  <c r="BG68" i="1"/>
  <c r="BG47" i="1"/>
  <c r="BG48" i="1" l="1"/>
  <c r="BG49" i="1" s="1"/>
  <c r="BG62" i="1"/>
  <c r="BM12" i="4" l="1"/>
  <c r="BM17" i="4"/>
  <c r="BM22" i="4"/>
  <c r="BS49" i="4" l="1"/>
  <c r="BY49" i="4" s="1"/>
  <c r="BL107" i="3"/>
  <c r="BL137" i="3" s="1"/>
  <c r="BS29" i="4"/>
  <c r="BM107" i="3"/>
  <c r="BM88" i="3" s="1"/>
  <c r="BR49" i="4"/>
  <c r="BS39" i="4" l="1"/>
  <c r="BS10" i="3" s="1"/>
  <c r="BR40" i="4"/>
  <c r="BM122" i="3"/>
  <c r="BM137" i="3"/>
  <c r="BL122" i="3"/>
  <c r="BL88" i="3"/>
  <c r="BY29" i="4"/>
  <c r="BS149" i="47"/>
  <c r="BR29" i="4"/>
  <c r="CE49" i="4"/>
  <c r="CE39" i="4" s="1"/>
  <c r="BY39" i="4"/>
  <c r="BS40" i="4"/>
  <c r="BR39" i="4"/>
  <c r="BX40" i="4" s="1"/>
  <c r="BX49" i="4"/>
  <c r="BS41" i="4" l="1"/>
  <c r="BS42" i="4" s="1"/>
  <c r="BY40" i="4"/>
  <c r="BR149" i="47"/>
  <c r="BX29" i="4"/>
  <c r="CE29" i="4"/>
  <c r="CE149" i="47" s="1"/>
  <c r="BY149" i="47"/>
  <c r="BS150" i="47"/>
  <c r="BS16" i="3"/>
  <c r="BS13" i="3" s="1"/>
  <c r="BL42" i="4"/>
  <c r="BY41" i="4"/>
  <c r="BY10" i="3"/>
  <c r="CE41" i="4"/>
  <c r="CE10" i="3"/>
  <c r="BX39" i="4"/>
  <c r="CD49" i="4"/>
  <c r="CD39" i="4" s="1"/>
  <c r="BR41" i="4"/>
  <c r="BR42" i="4" s="1"/>
  <c r="BR10" i="3"/>
  <c r="CE40" i="4"/>
  <c r="BY42" i="4" l="1"/>
  <c r="CE42" i="4"/>
  <c r="BY150" i="47"/>
  <c r="CD29" i="4"/>
  <c r="CD149" i="47" s="1"/>
  <c r="BX149" i="47"/>
  <c r="CE150" i="47"/>
  <c r="BR150" i="47"/>
  <c r="CD41" i="4"/>
  <c r="CD10" i="3"/>
  <c r="BR16" i="3"/>
  <c r="BR13" i="3" s="1"/>
  <c r="CE16" i="3"/>
  <c r="CE13" i="3" s="1"/>
  <c r="BX41" i="4"/>
  <c r="BX42" i="4" s="1"/>
  <c r="BX10" i="3"/>
  <c r="CD40" i="4"/>
  <c r="BY16" i="3"/>
  <c r="BY13" i="3" s="1"/>
  <c r="BX150" i="47" l="1"/>
  <c r="CD150" i="47"/>
  <c r="CD42" i="4"/>
  <c r="CD16" i="3"/>
  <c r="CD13" i="3" s="1"/>
  <c r="BX16" i="3"/>
  <c r="BX13" i="3" s="1"/>
  <c r="BK37" i="4" l="1"/>
  <c r="BW29" i="4" l="1"/>
  <c r="BW49" i="4"/>
  <c r="BW40" i="4" l="1"/>
  <c r="CC29" i="4"/>
  <c r="CC149" i="47" s="1"/>
  <c r="BW149" i="47"/>
  <c r="BW150" i="47" s="1"/>
  <c r="BW39" i="4"/>
  <c r="CC40" i="4" s="1"/>
  <c r="CC49" i="4"/>
  <c r="BW160" i="47" l="1"/>
  <c r="BW41" i="4"/>
  <c r="BW42" i="4" s="1"/>
  <c r="BW10" i="3"/>
  <c r="CC39" i="4"/>
  <c r="CC150" i="47"/>
  <c r="CC160" i="47"/>
  <c r="CC41" i="4" l="1"/>
  <c r="CC42" i="4" s="1"/>
  <c r="CC10" i="3"/>
  <c r="BW16" i="3"/>
  <c r="BW13" i="3" s="1"/>
  <c r="CC16" i="3" l="1"/>
  <c r="CC13" i="3" l="1"/>
  <c r="BN107" i="3" l="1"/>
  <c r="BN88" i="3" s="1"/>
  <c r="BN137" i="3" l="1"/>
  <c r="BN122" i="3"/>
  <c r="BO45" i="4"/>
  <c r="BO47" i="4" s="1"/>
  <c r="BO49" i="4"/>
  <c r="BT49" i="4"/>
  <c r="BO40" i="4" l="1"/>
  <c r="BT40" i="4"/>
  <c r="BT39" i="4"/>
  <c r="BZ40" i="4" s="1"/>
  <c r="BU49" i="4"/>
  <c r="BU51" i="4" s="1"/>
  <c r="BZ49" i="4"/>
  <c r="BO51" i="4"/>
  <c r="BO52" i="4" s="1"/>
  <c r="BU50" i="4"/>
  <c r="BO39" i="4"/>
  <c r="BO41" i="4" s="1"/>
  <c r="BO42" i="4" l="1"/>
  <c r="CA50" i="4"/>
  <c r="CA49" i="4"/>
  <c r="CA51" i="4" s="1"/>
  <c r="CF49" i="4"/>
  <c r="BZ39" i="4"/>
  <c r="BU52" i="4"/>
  <c r="BO10" i="3"/>
  <c r="BU39" i="4"/>
  <c r="BU41" i="4" s="1"/>
  <c r="BT41" i="4"/>
  <c r="BT42" i="4" s="1"/>
  <c r="BT10" i="3"/>
  <c r="BU40" i="4"/>
  <c r="CA52" i="4" l="1"/>
  <c r="CA40" i="4"/>
  <c r="CG50" i="4"/>
  <c r="BU42" i="4"/>
  <c r="BZ41" i="4"/>
  <c r="BZ42" i="4" s="1"/>
  <c r="CA39" i="4"/>
  <c r="CA41" i="4" s="1"/>
  <c r="BZ10" i="3"/>
  <c r="CF40" i="4"/>
  <c r="BU10" i="3"/>
  <c r="BT16" i="3"/>
  <c r="BU16" i="3" s="1"/>
  <c r="CG49" i="4"/>
  <c r="CG51" i="4" s="1"/>
  <c r="CF39" i="4"/>
  <c r="CG40" i="4" l="1"/>
  <c r="CA42" i="4"/>
  <c r="CG52" i="4"/>
  <c r="BT13" i="3"/>
  <c r="BU13" i="3" s="1"/>
  <c r="BU49" i="3"/>
  <c r="BZ16" i="3"/>
  <c r="CA16" i="3" s="1"/>
  <c r="CA10" i="3"/>
  <c r="CG39" i="4"/>
  <c r="CG41" i="4" s="1"/>
  <c r="CF41" i="4"/>
  <c r="CF42" i="4" s="1"/>
  <c r="CF10" i="3"/>
  <c r="CG42" i="4" l="1"/>
  <c r="CA49" i="3"/>
  <c r="CF16" i="3"/>
  <c r="CG16" i="3" s="1"/>
  <c r="CG10" i="3"/>
  <c r="BZ13" i="3"/>
  <c r="CA13" i="3" s="1"/>
  <c r="CG49" i="3" l="1"/>
  <c r="CF13" i="3"/>
  <c r="CG13" i="3" s="1"/>
  <c r="BH12" i="4"/>
  <c r="BH17" i="4"/>
  <c r="BH22" i="4"/>
  <c r="BH32" i="4"/>
  <c r="BH37" i="4"/>
  <c r="BH47" i="4"/>
  <c r="BH45" i="4" s="1"/>
  <c r="BH52" i="4"/>
  <c r="BH50" i="4" s="1"/>
  <c r="BI50" i="4" s="1"/>
  <c r="BI52" i="4" s="1"/>
  <c r="BI37" i="4"/>
  <c r="BI45" i="4" l="1"/>
  <c r="BI47" i="4" s="1"/>
  <c r="BH40" i="4"/>
  <c r="BI40" i="4" l="1"/>
  <c r="BI42" i="4" s="1"/>
  <c r="BH42" i="4"/>
  <c r="BI9" i="3" l="1"/>
  <c r="BH55" i="4" l="1"/>
  <c r="BH31" i="47"/>
  <c r="BH32" i="47"/>
  <c r="BI8" i="3"/>
  <c r="BH60" i="3"/>
  <c r="BO191" i="3" l="1"/>
  <c r="BO166" i="3" s="1"/>
  <c r="BN63" i="3"/>
  <c r="BH56" i="4"/>
  <c r="BH57" i="4" s="1"/>
  <c r="BI128" i="3"/>
  <c r="BI111" i="1"/>
  <c r="BI121" i="47"/>
  <c r="BI15" i="3"/>
  <c r="BI141" i="3"/>
  <c r="BI126" i="3"/>
  <c r="BI143" i="3"/>
  <c r="BI127" i="3"/>
  <c r="BI142" i="3"/>
  <c r="BH21" i="3"/>
  <c r="BI18" i="3"/>
  <c r="BH67" i="3"/>
  <c r="BI19" i="3"/>
  <c r="BH68" i="3"/>
  <c r="BI20" i="3"/>
  <c r="BH69" i="3"/>
  <c r="BH82" i="3"/>
  <c r="BI27" i="1"/>
  <c r="BH12" i="3"/>
  <c r="BI13" i="1"/>
  <c r="BI92" i="1" s="1"/>
  <c r="BI11" i="1"/>
  <c r="BI78" i="1" s="1"/>
  <c r="BI60" i="3"/>
  <c r="BI82" i="3" s="1"/>
  <c r="BN70" i="3" l="1"/>
  <c r="BH61" i="3"/>
  <c r="BI57" i="4"/>
  <c r="BI56" i="4"/>
  <c r="BH94" i="2"/>
  <c r="BH96" i="2"/>
  <c r="BH95" i="2"/>
  <c r="BH93" i="1"/>
  <c r="BH91" i="1"/>
  <c r="BI17" i="1"/>
  <c r="BI12" i="3"/>
  <c r="BI51" i="3"/>
  <c r="BI68" i="3"/>
  <c r="BH70" i="3"/>
  <c r="BH42" i="47"/>
  <c r="BI42" i="47" s="1"/>
  <c r="BH34" i="47"/>
  <c r="BH35" i="47" s="1"/>
  <c r="BI148" i="47"/>
  <c r="BI48" i="3"/>
  <c r="BI53" i="3"/>
  <c r="BI69" i="3"/>
  <c r="BI67" i="3"/>
  <c r="BI50" i="3"/>
  <c r="BI21" i="3"/>
  <c r="BH62" i="3" l="1"/>
  <c r="BI61" i="3"/>
  <c r="BH64" i="3"/>
  <c r="BI64" i="3" s="1"/>
  <c r="BI111" i="3"/>
  <c r="BI92" i="3" s="1"/>
  <c r="BI97" i="3" s="1"/>
  <c r="BI112" i="3"/>
  <c r="BI93" i="3" s="1"/>
  <c r="BI113" i="3"/>
  <c r="BI94" i="3" s="1"/>
  <c r="BI70" i="3"/>
  <c r="BI94" i="1"/>
  <c r="BI20" i="1"/>
  <c r="BI26" i="1"/>
  <c r="BI91" i="1" s="1"/>
  <c r="BI11" i="3"/>
  <c r="BH93" i="2" s="1"/>
  <c r="BH97" i="2" s="1"/>
  <c r="BH99" i="2" s="1"/>
  <c r="BH65" i="3"/>
  <c r="BH14" i="3"/>
  <c r="BI62" i="3" l="1"/>
  <c r="BN66" i="3"/>
  <c r="BH47" i="3"/>
  <c r="BI93" i="1"/>
  <c r="BI155" i="1"/>
  <c r="BI46" i="3"/>
  <c r="BI65" i="3"/>
  <c r="BI14" i="3"/>
  <c r="BI12" i="1"/>
  <c r="BI79" i="1" s="1"/>
  <c r="BI25" i="1"/>
  <c r="BI80" i="1" s="1"/>
  <c r="BH66" i="3"/>
  <c r="BH25" i="3"/>
  <c r="BN71" i="3" l="1"/>
  <c r="BH147" i="1"/>
  <c r="BI81" i="1"/>
  <c r="BI85" i="1"/>
  <c r="BH85" i="1"/>
  <c r="BH54" i="3"/>
  <c r="BH23" i="3"/>
  <c r="BH33" i="3"/>
  <c r="BH71" i="3"/>
  <c r="BH90" i="3"/>
  <c r="BH96" i="3" s="1"/>
  <c r="BH139" i="3"/>
  <c r="BI139" i="3" s="1"/>
  <c r="BH124" i="3"/>
  <c r="BH109" i="3"/>
  <c r="BI28" i="1"/>
  <c r="BI47" i="3"/>
  <c r="BI25" i="3"/>
  <c r="BI66" i="3"/>
  <c r="BI147" i="1" l="1"/>
  <c r="BK23" i="3"/>
  <c r="BK68" i="1" s="1"/>
  <c r="BI84" i="1"/>
  <c r="BH68" i="1"/>
  <c r="BH84" i="1"/>
  <c r="BH86" i="1"/>
  <c r="BI86" i="1"/>
  <c r="BH34" i="3"/>
  <c r="BH56" i="3"/>
  <c r="BH174" i="3"/>
  <c r="BH163" i="3" s="1"/>
  <c r="BH188" i="3"/>
  <c r="BH165" i="3" s="1"/>
  <c r="BI71" i="3"/>
  <c r="BI23" i="3"/>
  <c r="BI33" i="3"/>
  <c r="BI54" i="3"/>
  <c r="BI32" i="1"/>
  <c r="BH184" i="3"/>
  <c r="BH164" i="3" s="1"/>
  <c r="BH203" i="3"/>
  <c r="BI36" i="1"/>
  <c r="BK98" i="1" s="1"/>
  <c r="BO98" i="1" s="1"/>
  <c r="BI90" i="3"/>
  <c r="BI96" i="3" s="1"/>
  <c r="BI124" i="3"/>
  <c r="BI109" i="3"/>
  <c r="BH98" i="3"/>
  <c r="BH160" i="3"/>
  <c r="BH148" i="1" l="1"/>
  <c r="BH149" i="1" s="1"/>
  <c r="BH150" i="1" s="1"/>
  <c r="BI184" i="3"/>
  <c r="BI87" i="1"/>
  <c r="BH87" i="1"/>
  <c r="BH167" i="3"/>
  <c r="BH161" i="3"/>
  <c r="BI188" i="3"/>
  <c r="BI165" i="3"/>
  <c r="BH36" i="3"/>
  <c r="BI174" i="3"/>
  <c r="BI163" i="3" s="1"/>
  <c r="BI56" i="3"/>
  <c r="BI35" i="3"/>
  <c r="BI36" i="3" s="1"/>
  <c r="BI98" i="3"/>
  <c r="BI160" i="3"/>
  <c r="BI164" i="3"/>
  <c r="BN72" i="3" l="1"/>
  <c r="BH151" i="1"/>
  <c r="BH172" i="1"/>
  <c r="BH173" i="1"/>
  <c r="BH62" i="1"/>
  <c r="BH61" i="1"/>
  <c r="BH76" i="3"/>
  <c r="BI76" i="3" s="1"/>
  <c r="BI77" i="3" s="1"/>
  <c r="BI99" i="1" s="1"/>
  <c r="BI103" i="1" s="1"/>
  <c r="BI62" i="1"/>
  <c r="BI61" i="1"/>
  <c r="BH72" i="3"/>
  <c r="BH57" i="3"/>
  <c r="BH43" i="3"/>
  <c r="BH154" i="3"/>
  <c r="BI57" i="3"/>
  <c r="BI72" i="3"/>
  <c r="BI154" i="3"/>
  <c r="BI43" i="3"/>
  <c r="BI34" i="3"/>
  <c r="BI148" i="1" s="1"/>
  <c r="BI149" i="1" s="1"/>
  <c r="BI150" i="1" s="1"/>
  <c r="BH168" i="3"/>
  <c r="BH169" i="3"/>
  <c r="BH55" i="3" s="1"/>
  <c r="BI161" i="3"/>
  <c r="BI167" i="3"/>
  <c r="BK97" i="1" l="1"/>
  <c r="BO97" i="1"/>
  <c r="BN73" i="3"/>
  <c r="BG63" i="2"/>
  <c r="BH63" i="1"/>
  <c r="BI173" i="1"/>
  <c r="BI172" i="1"/>
  <c r="BH63" i="2"/>
  <c r="BH73" i="3"/>
  <c r="BH78" i="3"/>
  <c r="BI149" i="3"/>
  <c r="BI73" i="3"/>
  <c r="BI78" i="3"/>
  <c r="BI168" i="3"/>
  <c r="BI169" i="3"/>
  <c r="BI55" i="3" s="1"/>
  <c r="BI63" i="1" l="1"/>
  <c r="BI38" i="1"/>
  <c r="BI39" i="1" l="1"/>
  <c r="BI161" i="1" s="1"/>
  <c r="BI104" i="1" l="1"/>
  <c r="BH37" i="3"/>
  <c r="BI40" i="1"/>
  <c r="BI69" i="1" s="1"/>
  <c r="BI37" i="3" l="1"/>
  <c r="BI8" i="1"/>
  <c r="BI164" i="1" s="1"/>
  <c r="BH50" i="2" l="1"/>
  <c r="BI52" i="1"/>
  <c r="BI53" i="1" s="1"/>
  <c r="BI74" i="1"/>
  <c r="BI73" i="1"/>
  <c r="BI46" i="1"/>
  <c r="BI90" i="1"/>
  <c r="BI14" i="1"/>
  <c r="BI75" i="1" l="1"/>
  <c r="BI72" i="1"/>
  <c r="BI47" i="1"/>
  <c r="BI68" i="1"/>
  <c r="BI22" i="1"/>
  <c r="BH42" i="1"/>
  <c r="BI48" i="1" l="1"/>
  <c r="BI49" i="1" s="1"/>
  <c r="BI42" i="1"/>
  <c r="BO10" i="47" l="1"/>
  <c r="BO54" i="47" l="1"/>
  <c r="BO105" i="47"/>
  <c r="BO106" i="47" s="1"/>
  <c r="BO22" i="47"/>
  <c r="BQ23" i="47"/>
  <c r="BW24" i="47" s="1"/>
  <c r="BW12" i="47"/>
  <c r="BU11" i="47"/>
  <c r="BO11" i="47"/>
  <c r="BO12" i="47" s="1"/>
  <c r="CI22" i="47" l="1"/>
  <c r="BO162" i="47"/>
  <c r="BO51" i="47"/>
  <c r="BU51" i="47"/>
  <c r="BR26" i="47"/>
  <c r="BR27" i="47" s="1"/>
  <c r="BU27" i="47" s="1"/>
  <c r="BO23" i="47"/>
  <c r="BU23" i="47"/>
  <c r="BO61" i="47"/>
  <c r="BU62" i="47" s="1"/>
  <c r="BO86" i="47"/>
  <c r="BO87" i="47" s="1"/>
  <c r="BQ62" i="47"/>
  <c r="BW63" i="47" s="1"/>
  <c r="BQ89" i="47"/>
  <c r="BQ87" i="47"/>
  <c r="BQ24" i="47"/>
  <c r="BO56" i="47"/>
  <c r="BU12" i="47"/>
  <c r="CA12" i="47"/>
  <c r="CA24" i="47" l="1"/>
  <c r="BO62" i="47"/>
  <c r="BO63" i="47" s="1"/>
  <c r="BU89" i="47"/>
  <c r="CA90" i="47" s="1"/>
  <c r="BO156" i="47"/>
  <c r="BO89" i="47"/>
  <c r="BU87" i="47"/>
  <c r="CA88" i="47" s="1"/>
  <c r="BU24" i="47"/>
  <c r="BO24" i="47"/>
  <c r="BQ63" i="47"/>
  <c r="BQ90" i="47"/>
  <c r="BW90" i="47"/>
  <c r="BQ88" i="47"/>
  <c r="BW88" i="47"/>
  <c r="CA63" i="47"/>
  <c r="BU63" i="47" l="1"/>
  <c r="BU90" i="47"/>
  <c r="BU88" i="47"/>
  <c r="BH31" i="4" l="1"/>
  <c r="BH30" i="4" s="1"/>
  <c r="BH107" i="3" l="1"/>
  <c r="BH137" i="3" s="1"/>
  <c r="BI137" i="3" s="1"/>
  <c r="BT29" i="4"/>
  <c r="BZ29" i="4" s="1"/>
  <c r="BI31" i="4"/>
  <c r="BI149" i="47"/>
  <c r="BO29" i="4"/>
  <c r="BU30" i="4" s="1"/>
  <c r="BI30" i="4"/>
  <c r="BH122" i="3" l="1"/>
  <c r="BI122" i="3" s="1"/>
  <c r="BH88" i="3"/>
  <c r="BI150" i="47"/>
  <c r="BI160" i="47"/>
  <c r="BT149" i="47"/>
  <c r="BT150" i="47" s="1"/>
  <c r="BU29" i="4"/>
  <c r="BZ149" i="47"/>
  <c r="BZ150" i="47" s="1"/>
  <c r="CA29" i="4"/>
  <c r="CG30" i="4" s="1"/>
  <c r="CF29" i="4"/>
  <c r="BI32" i="4"/>
  <c r="BI107" i="3"/>
  <c r="BI88" i="3" s="1"/>
  <c r="BO149" i="47"/>
  <c r="BO150" i="47" s="1"/>
  <c r="BO31" i="4"/>
  <c r="BU149" i="47" l="1"/>
  <c r="BU150" i="47" s="1"/>
  <c r="CA30" i="4"/>
  <c r="BU31" i="4"/>
  <c r="CA149" i="47"/>
  <c r="CA150" i="47" s="1"/>
  <c r="CA31" i="4"/>
  <c r="BO107" i="3"/>
  <c r="BO88" i="3" s="1"/>
  <c r="CF149" i="47"/>
  <c r="CF150" i="47" s="1"/>
  <c r="CG29" i="4"/>
  <c r="BU107" i="3" l="1"/>
  <c r="BU88" i="3" s="1"/>
  <c r="BU32" i="4"/>
  <c r="CA32" i="4"/>
  <c r="CA107" i="3"/>
  <c r="CA88" i="3" s="1"/>
  <c r="CG149" i="47"/>
  <c r="CG150" i="47" s="1"/>
  <c r="CG31" i="4"/>
  <c r="CG107" i="3" l="1"/>
  <c r="CG88" i="3" s="1"/>
  <c r="CG32" i="4"/>
  <c r="BG69" i="4" l="1"/>
  <c r="BG102" i="3" s="1"/>
  <c r="BG83" i="3" s="1"/>
  <c r="BG117" i="3" l="1"/>
  <c r="BG132" i="3"/>
  <c r="BM34" i="4" l="1"/>
  <c r="BM111" i="47" s="1"/>
  <c r="BS157" i="47"/>
  <c r="BY157" i="47" l="1"/>
  <c r="BY181" i="47" s="1"/>
  <c r="BS159" i="47"/>
  <c r="BG111" i="47"/>
  <c r="BM112" i="47" s="1"/>
  <c r="BG4" i="47"/>
  <c r="BG5" i="47" s="1"/>
  <c r="BS160" i="47" l="1"/>
  <c r="BG7" i="47"/>
  <c r="CE157" i="47"/>
  <c r="CE181" i="47" s="1"/>
  <c r="BY183" i="47"/>
  <c r="BY159" i="47"/>
  <c r="BM80" i="47" l="1"/>
  <c r="BY34" i="4"/>
  <c r="CE159" i="47"/>
  <c r="CE183" i="47"/>
  <c r="BY160" i="47"/>
  <c r="CE34" i="4" l="1"/>
  <c r="CE160" i="47"/>
  <c r="CE36" i="4" l="1"/>
  <c r="CE35" i="4" s="1"/>
  <c r="BH60" i="4" l="1"/>
  <c r="BH69" i="4"/>
  <c r="BH117" i="3" l="1"/>
  <c r="BH132" i="3"/>
  <c r="BH102" i="3"/>
  <c r="BH83" i="3" s="1"/>
  <c r="BH34" i="4" l="1"/>
  <c r="BI183" i="47" l="1"/>
  <c r="BI34" i="4" s="1"/>
  <c r="BH111" i="47" l="1"/>
  <c r="BH4" i="47"/>
  <c r="BH5" i="47" s="1"/>
  <c r="BH7" i="47" l="1"/>
  <c r="BN80" i="47" l="1"/>
  <c r="BT79" i="47" l="1"/>
  <c r="BI80" i="47" l="1"/>
  <c r="BE80" i="47"/>
  <c r="BK79" i="47"/>
  <c r="BL79" i="47"/>
  <c r="BQ79" i="47" l="1"/>
  <c r="BK60" i="4" l="1"/>
  <c r="BK4" i="47"/>
  <c r="BK12" i="3" l="1"/>
  <c r="BK48" i="3"/>
  <c r="BQ63" i="3" l="1"/>
  <c r="BK60" i="3"/>
  <c r="BK61" i="3"/>
  <c r="BJ33" i="2" l="1"/>
  <c r="BK82" i="3"/>
  <c r="BK64" i="3"/>
  <c r="BK67" i="3"/>
  <c r="BK69" i="3"/>
  <c r="BK62" i="3"/>
  <c r="BK68" i="3"/>
  <c r="BK70" i="3" l="1"/>
  <c r="BK42" i="47"/>
  <c r="BK65" i="3" l="1"/>
  <c r="BK28" i="1" l="1"/>
  <c r="BK66" i="3"/>
  <c r="BK74" i="1" l="1"/>
  <c r="BK73" i="1"/>
  <c r="BJ18" i="2"/>
  <c r="BJ25" i="2" s="1"/>
  <c r="BK124" i="3"/>
  <c r="BK139" i="3"/>
  <c r="BK109" i="3"/>
  <c r="BK90" i="3"/>
  <c r="BK96" i="3" s="1"/>
  <c r="BK32" i="1"/>
  <c r="BK71" i="3"/>
  <c r="BK85" i="1" l="1"/>
  <c r="BJ53" i="2"/>
  <c r="BJ47" i="2"/>
  <c r="BK184" i="3"/>
  <c r="BK164" i="3" s="1"/>
  <c r="BK188" i="3"/>
  <c r="BK165" i="3" s="1"/>
  <c r="BK174" i="3"/>
  <c r="BK163" i="3" s="1"/>
  <c r="BK191" i="3"/>
  <c r="BK166" i="3" s="1"/>
  <c r="BK98" i="3"/>
  <c r="BK160" i="3"/>
  <c r="BK86" i="1" l="1"/>
  <c r="BJ54" i="2"/>
  <c r="BJ49" i="2"/>
  <c r="BK48" i="2" s="1"/>
  <c r="BK84" i="1"/>
  <c r="BK154" i="3"/>
  <c r="BK72" i="3"/>
  <c r="BK167" i="3"/>
  <c r="BK161" i="3"/>
  <c r="BJ55" i="2" l="1"/>
  <c r="BK87" i="1"/>
  <c r="BK168" i="3"/>
  <c r="BK169" i="3"/>
  <c r="BK55" i="3" s="1"/>
  <c r="BK73" i="3"/>
  <c r="BK37" i="3" l="1"/>
  <c r="BK39" i="1" l="1"/>
  <c r="BK161" i="1" s="1"/>
  <c r="BK169" i="1" l="1"/>
  <c r="BK167" i="1"/>
  <c r="BK103" i="1"/>
  <c r="BL97" i="1" s="1"/>
  <c r="BK61" i="1"/>
  <c r="BK40" i="1"/>
  <c r="BK69" i="1" s="1"/>
  <c r="BK168" i="1" l="1"/>
  <c r="BK172" i="1" s="1"/>
  <c r="BK170" i="1"/>
  <c r="BK173" i="1" s="1"/>
  <c r="BK104" i="1"/>
  <c r="BK102" i="1"/>
  <c r="BJ50" i="2"/>
  <c r="BK63" i="1" l="1"/>
  <c r="BK175" i="1"/>
  <c r="BK176" i="1"/>
  <c r="BK14" i="1"/>
  <c r="BK75" i="1" l="1"/>
  <c r="BK72" i="1"/>
  <c r="BK22" i="1"/>
  <c r="BK48" i="1" l="1"/>
  <c r="BK49" i="1" s="1"/>
  <c r="BK62" i="1"/>
  <c r="BK42" i="1"/>
  <c r="BO30" i="4" l="1"/>
  <c r="BO32" i="4" s="1"/>
  <c r="BK107" i="3"/>
  <c r="BK137" i="3" s="1"/>
  <c r="BK122" i="3" l="1"/>
  <c r="BK88" i="3"/>
  <c r="BK69" i="4" l="1"/>
  <c r="BK102" i="3" l="1"/>
  <c r="BK83" i="3" s="1"/>
  <c r="BK132" i="3"/>
  <c r="BK117" i="3"/>
  <c r="BU168" i="47" l="1"/>
  <c r="BU156" i="47"/>
  <c r="BU169" i="47"/>
  <c r="BT171" i="47"/>
  <c r="BT173" i="47" s="1"/>
  <c r="BT156" i="47"/>
  <c r="BZ156" i="47"/>
  <c r="BU171" i="47" l="1"/>
  <c r="BU172" i="47" s="1"/>
  <c r="CG169" i="47"/>
  <c r="CF171" i="47"/>
  <c r="CF156" i="47"/>
  <c r="BZ171" i="47"/>
  <c r="CA169" i="47"/>
  <c r="BU173" i="47"/>
  <c r="BT175" i="47"/>
  <c r="BT172" i="47"/>
  <c r="BU174" i="47" l="1"/>
  <c r="CG156" i="47"/>
  <c r="CG168" i="47"/>
  <c r="CA168" i="47"/>
  <c r="CA156" i="47"/>
  <c r="BZ173" i="47"/>
  <c r="CA171" i="47"/>
  <c r="CA172" i="47" s="1"/>
  <c r="BZ172" i="47"/>
  <c r="BU175" i="47"/>
  <c r="BT29" i="3"/>
  <c r="CF172" i="47"/>
  <c r="CF173" i="47"/>
  <c r="CG171" i="47"/>
  <c r="CG172" i="47" l="1"/>
  <c r="BU29" i="3"/>
  <c r="CF175" i="47"/>
  <c r="CG173" i="47"/>
  <c r="CG174" i="47" s="1"/>
  <c r="BU176" i="47"/>
  <c r="CA173" i="47"/>
  <c r="CA174" i="47" s="1"/>
  <c r="BZ175" i="47"/>
  <c r="CA175" i="47" l="1"/>
  <c r="CA176" i="47" s="1"/>
  <c r="BZ29" i="3"/>
  <c r="CG175" i="47"/>
  <c r="CG176" i="47" s="1"/>
  <c r="CF29" i="3"/>
  <c r="CA29" i="3" l="1"/>
  <c r="CG29" i="3"/>
  <c r="BL80" i="47" l="1"/>
  <c r="BR79" i="47"/>
  <c r="BO76" i="47"/>
  <c r="BU77" i="47" s="1"/>
  <c r="BR66" i="47"/>
  <c r="CA78" i="47" l="1"/>
  <c r="BS79" i="47"/>
  <c r="BR70" i="47"/>
  <c r="BU66" i="47"/>
  <c r="BX66" i="47"/>
  <c r="BL70" i="47"/>
  <c r="BO66" i="47"/>
  <c r="BO77" i="47"/>
  <c r="BO78" i="47" s="1"/>
  <c r="BO80" i="47"/>
  <c r="BU78" i="47" l="1"/>
  <c r="BO70" i="47"/>
  <c r="BU70" i="47"/>
  <c r="CI66" i="47"/>
  <c r="BU67" i="47"/>
  <c r="BX70" i="47"/>
  <c r="CA66" i="47"/>
  <c r="CD66" i="47"/>
  <c r="CD70" i="47" l="1"/>
  <c r="CG66" i="47"/>
  <c r="CA70" i="47"/>
  <c r="CA67" i="47"/>
  <c r="CA68" i="47" s="1"/>
  <c r="CG70" i="47" l="1"/>
  <c r="CG67" i="47"/>
  <c r="CG68" i="47" s="1"/>
  <c r="BR93" i="47" l="1"/>
  <c r="BR99" i="47" s="1"/>
  <c r="BR102" i="47" s="1"/>
  <c r="BR103" i="47" l="1"/>
  <c r="BR100" i="47"/>
  <c r="BX93" i="47"/>
  <c r="BX99" i="47" s="1"/>
  <c r="BX100" i="47" s="1"/>
  <c r="BX101" i="47" l="1"/>
  <c r="BX102" i="47"/>
  <c r="BX103" i="47" s="1"/>
  <c r="BX104" i="47" s="1"/>
  <c r="CD93" i="47"/>
  <c r="CD99" i="47" s="1"/>
  <c r="CD100" i="47" s="1"/>
  <c r="CD102" i="47" l="1"/>
  <c r="CD103" i="47" s="1"/>
  <c r="CD104" i="47" s="1"/>
  <c r="CD101" i="47"/>
  <c r="BS93" i="47" l="1"/>
  <c r="BS99" i="47" s="1"/>
  <c r="BY93" i="47" l="1"/>
  <c r="BY99" i="47" s="1"/>
  <c r="BY102" i="47" s="1"/>
  <c r="BS100" i="47"/>
  <c r="BS102" i="47"/>
  <c r="BS103" i="47" s="1"/>
  <c r="BY100" i="47" l="1"/>
  <c r="BY101" i="47" s="1"/>
  <c r="CE93" i="47"/>
  <c r="CE99" i="47" s="1"/>
  <c r="CE102" i="47" s="1"/>
  <c r="CE103" i="47" s="1"/>
  <c r="BY103" i="47"/>
  <c r="BY104" i="47" s="1"/>
  <c r="CE100" i="47" l="1"/>
  <c r="CE101" i="47" s="1"/>
  <c r="CE104" i="47"/>
  <c r="BT93" i="47" l="1"/>
  <c r="BT99" i="47" s="1"/>
  <c r="BT100" i="47" l="1"/>
  <c r="BT102" i="47"/>
  <c r="BT103" i="47" s="1"/>
  <c r="BZ93" i="47"/>
  <c r="BZ99" i="47" s="1"/>
  <c r="BZ102" i="47" l="1"/>
  <c r="BZ103" i="47" s="1"/>
  <c r="BZ104" i="47" s="1"/>
  <c r="BZ100" i="47"/>
  <c r="CF93" i="47"/>
  <c r="CF99" i="47" s="1"/>
  <c r="CF100" i="47" l="1"/>
  <c r="CF102" i="47"/>
  <c r="CF103" i="47" s="1"/>
  <c r="CF104" i="47" s="1"/>
  <c r="BZ101" i="47"/>
  <c r="CF101" i="47" l="1"/>
  <c r="BS96" i="47" l="1"/>
  <c r="BY96" i="47" s="1"/>
  <c r="CE96" i="47" s="1"/>
  <c r="BT96" i="47" l="1"/>
  <c r="BZ96" i="47" s="1"/>
  <c r="CF96" i="47" s="1"/>
  <c r="BK102" i="47" l="1"/>
  <c r="BW104" i="47" l="1"/>
  <c r="BW101" i="47"/>
  <c r="CC101" i="47"/>
  <c r="BE70" i="47" l="1"/>
  <c r="BQ69" i="47"/>
  <c r="BQ68" i="47" l="1"/>
  <c r="BK69" i="47"/>
  <c r="BI66" i="47" l="1"/>
  <c r="BF70" i="47"/>
  <c r="CC69" i="47"/>
  <c r="BW69" i="47"/>
  <c r="BR69" i="47" l="1"/>
  <c r="BL69" i="47"/>
  <c r="BG70" i="47"/>
  <c r="BI67" i="47"/>
  <c r="BI68" i="47" s="1"/>
  <c r="BI70" i="47"/>
  <c r="BO67" i="47"/>
  <c r="BR68" i="47"/>
  <c r="BU68" i="47" l="1"/>
  <c r="BO68" i="47"/>
  <c r="BM69" i="47"/>
  <c r="BS69" i="47"/>
  <c r="BT69" i="47"/>
  <c r="BZ69" i="47"/>
  <c r="BN69" i="47"/>
  <c r="BX69" i="47"/>
  <c r="CD69" i="47"/>
  <c r="BS68" i="47"/>
  <c r="BY69" i="47" l="1"/>
  <c r="CE69" i="47"/>
  <c r="BE4" i="47" l="1"/>
  <c r="BK5" i="47" s="1"/>
  <c r="BE111" i="47"/>
  <c r="BE5" i="47" l="1"/>
  <c r="BK7" i="47" s="1"/>
  <c r="BK112" i="47"/>
  <c r="BE7" i="47" l="1"/>
  <c r="BM4" i="47" l="1"/>
  <c r="BS58" i="4" l="1"/>
  <c r="BO9" i="3"/>
  <c r="BM117" i="3"/>
  <c r="BM132" i="3"/>
  <c r="BM102" i="3"/>
  <c r="BM83" i="3" s="1"/>
  <c r="BL60" i="4"/>
  <c r="BR58" i="4"/>
  <c r="BM5" i="47"/>
  <c r="BL132" i="3"/>
  <c r="BL102" i="3"/>
  <c r="BL83" i="3" s="1"/>
  <c r="BL117" i="3"/>
  <c r="BO13" i="1" l="1"/>
  <c r="BN82" i="3"/>
  <c r="BS63" i="3"/>
  <c r="BR63" i="3"/>
  <c r="BM61" i="3"/>
  <c r="BM82" i="3"/>
  <c r="BL60" i="3"/>
  <c r="BO8" i="3"/>
  <c r="BM7" i="47"/>
  <c r="BL61" i="3"/>
  <c r="BO92" i="1" l="1"/>
  <c r="BO121" i="47"/>
  <c r="BO11" i="1"/>
  <c r="BO27" i="1"/>
  <c r="BM64" i="3"/>
  <c r="BM62" i="3"/>
  <c r="BM21" i="3"/>
  <c r="BO142" i="3"/>
  <c r="BL62" i="3"/>
  <c r="BK96" i="2"/>
  <c r="BL69" i="3"/>
  <c r="BO20" i="3"/>
  <c r="BO122" i="3"/>
  <c r="BO60" i="3"/>
  <c r="BO82" i="3" s="1"/>
  <c r="C11" i="10"/>
  <c r="BO128" i="3"/>
  <c r="BO126" i="3"/>
  <c r="BO141" i="3"/>
  <c r="BK95" i="2"/>
  <c r="BO19" i="3"/>
  <c r="BL68" i="3"/>
  <c r="BO137" i="3"/>
  <c r="BO143" i="3"/>
  <c r="BO127" i="3"/>
  <c r="BL82" i="3"/>
  <c r="BL64" i="3"/>
  <c r="BK94" i="2"/>
  <c r="BL67" i="3"/>
  <c r="BO18" i="3"/>
  <c r="BL21" i="3"/>
  <c r="BO78" i="1" l="1"/>
  <c r="BN94" i="2"/>
  <c r="BN95" i="2"/>
  <c r="BN96" i="2"/>
  <c r="BM93" i="1"/>
  <c r="BM91" i="1"/>
  <c r="BM25" i="3"/>
  <c r="BM147" i="1" s="1"/>
  <c r="BM70" i="3"/>
  <c r="BL93" i="1"/>
  <c r="BL91" i="1"/>
  <c r="BO67" i="3"/>
  <c r="BO50" i="3"/>
  <c r="BO21" i="3"/>
  <c r="BL70" i="3"/>
  <c r="BN21" i="2"/>
  <c r="BK33" i="2"/>
  <c r="BN19" i="2"/>
  <c r="BN24" i="2"/>
  <c r="BO69" i="3"/>
  <c r="BO53" i="3"/>
  <c r="BO68" i="3"/>
  <c r="BO51" i="3"/>
  <c r="BO94" i="1" l="1"/>
  <c r="BO26" i="1"/>
  <c r="BM33" i="3"/>
  <c r="BM71" i="3"/>
  <c r="BM46" i="3"/>
  <c r="BO112" i="3"/>
  <c r="BO93" i="3" s="1"/>
  <c r="BO113" i="3"/>
  <c r="BO94" i="3" s="1"/>
  <c r="BO111" i="3"/>
  <c r="BO92" i="3" s="1"/>
  <c r="BO97" i="3" s="1"/>
  <c r="BR93" i="1"/>
  <c r="BX93" i="1" s="1"/>
  <c r="CD93" i="1" s="1"/>
  <c r="BO12" i="1"/>
  <c r="BO70" i="3"/>
  <c r="BL46" i="3"/>
  <c r="BL65" i="3"/>
  <c r="BO11" i="3"/>
  <c r="BK93" i="2"/>
  <c r="BK97" i="2" s="1"/>
  <c r="BK98" i="2" s="1"/>
  <c r="BN98" i="2" s="1"/>
  <c r="BN28" i="1"/>
  <c r="BO25" i="1"/>
  <c r="BO42" i="47"/>
  <c r="BO91" i="1" l="1"/>
  <c r="BO79" i="1"/>
  <c r="BN93" i="2"/>
  <c r="BN97" i="2" s="1"/>
  <c r="BN99" i="2" s="1"/>
  <c r="BO80" i="1"/>
  <c r="BN147" i="1"/>
  <c r="BN149" i="1" s="1"/>
  <c r="BN150" i="1" s="1"/>
  <c r="BM56" i="3"/>
  <c r="BM36" i="3"/>
  <c r="BM34" i="3"/>
  <c r="BM148" i="1" s="1"/>
  <c r="BM149" i="1" s="1"/>
  <c r="BM150" i="1" s="1"/>
  <c r="BM151" i="1" s="1"/>
  <c r="BM47" i="3"/>
  <c r="BS93" i="1"/>
  <c r="BY93" i="1" s="1"/>
  <c r="CE93" i="1" s="1"/>
  <c r="BM155" i="1"/>
  <c r="BN139" i="3"/>
  <c r="BN124" i="3"/>
  <c r="BN90" i="3"/>
  <c r="BN96" i="3" s="1"/>
  <c r="BN109" i="3"/>
  <c r="BN32" i="1"/>
  <c r="BO46" i="3"/>
  <c r="BO65" i="3"/>
  <c r="BO14" i="3"/>
  <c r="BL66" i="3"/>
  <c r="BL25" i="3"/>
  <c r="BL147" i="1" s="1"/>
  <c r="BO28" i="1"/>
  <c r="BL28" i="1"/>
  <c r="BN23" i="2"/>
  <c r="BO81" i="1" l="1"/>
  <c r="BM18" i="2"/>
  <c r="BM72" i="3"/>
  <c r="BM76" i="3"/>
  <c r="BM57" i="3"/>
  <c r="BM54" i="3"/>
  <c r="BM98" i="3" s="1"/>
  <c r="BM109" i="3"/>
  <c r="BM90" i="3"/>
  <c r="BM96" i="3" s="1"/>
  <c r="BM124" i="3"/>
  <c r="BM139" i="3"/>
  <c r="BN191" i="3"/>
  <c r="BN166" i="3" s="1"/>
  <c r="BT93" i="1"/>
  <c r="BZ93" i="1" s="1"/>
  <c r="CF93" i="1" s="1"/>
  <c r="BL54" i="3"/>
  <c r="BL33" i="3"/>
  <c r="BN184" i="3"/>
  <c r="BN164" i="3" s="1"/>
  <c r="BN188" i="3"/>
  <c r="BN165" i="3" s="1"/>
  <c r="BO32" i="1"/>
  <c r="BL124" i="3"/>
  <c r="BL109" i="3"/>
  <c r="BL90" i="3"/>
  <c r="BL96" i="3" s="1"/>
  <c r="BL139" i="3"/>
  <c r="BN20" i="2"/>
  <c r="BK18" i="2"/>
  <c r="BL32" i="1"/>
  <c r="BN22" i="2"/>
  <c r="BL71" i="3"/>
  <c r="BL23" i="3"/>
  <c r="BO66" i="3"/>
  <c r="BO47" i="3"/>
  <c r="BO25" i="3"/>
  <c r="BN11" i="2"/>
  <c r="BN98" i="3"/>
  <c r="BN160" i="3"/>
  <c r="BM191" i="3" l="1"/>
  <c r="BM166" i="3" s="1"/>
  <c r="BO147" i="1"/>
  <c r="BN9" i="2"/>
  <c r="BN155" i="1"/>
  <c r="BM184" i="3"/>
  <c r="BM164" i="3" s="1"/>
  <c r="BM188" i="3"/>
  <c r="BM165" i="3" s="1"/>
  <c r="BM160" i="3"/>
  <c r="BO139" i="3"/>
  <c r="BO20" i="1"/>
  <c r="BL34" i="3"/>
  <c r="BL148" i="1" s="1"/>
  <c r="BL149" i="1" s="1"/>
  <c r="BL150" i="1" s="1"/>
  <c r="BL151" i="1" s="1"/>
  <c r="BL56" i="3"/>
  <c r="BL36" i="3"/>
  <c r="BL184" i="3"/>
  <c r="BL164" i="3" s="1"/>
  <c r="BL188" i="3"/>
  <c r="BL165" i="3" s="1"/>
  <c r="BL174" i="3"/>
  <c r="BL163" i="3" s="1"/>
  <c r="BL191" i="3"/>
  <c r="BL166" i="3" s="1"/>
  <c r="BL98" i="3"/>
  <c r="BL160" i="3"/>
  <c r="BN18" i="2"/>
  <c r="BN161" i="3"/>
  <c r="BO71" i="3"/>
  <c r="BO54" i="3"/>
  <c r="C13" i="10"/>
  <c r="BO124" i="3"/>
  <c r="BO109" i="3"/>
  <c r="BO90" i="3"/>
  <c r="BO96" i="3" s="1"/>
  <c r="BO155" i="1" l="1"/>
  <c r="BO93" i="1"/>
  <c r="BM161" i="3"/>
  <c r="BO188" i="3"/>
  <c r="BL76" i="3"/>
  <c r="BO76" i="3" s="1"/>
  <c r="BL57" i="3"/>
  <c r="BO164" i="3"/>
  <c r="BO165" i="3"/>
  <c r="C23" i="10"/>
  <c r="C24" i="10" s="1"/>
  <c r="BO184" i="3"/>
  <c r="BL167" i="3"/>
  <c r="BL161" i="3"/>
  <c r="C14" i="10"/>
  <c r="BO98" i="3"/>
  <c r="BO160" i="3"/>
  <c r="BL43" i="3" l="1"/>
  <c r="BL72" i="3"/>
  <c r="BL154" i="3"/>
  <c r="BL78" i="3"/>
  <c r="BO161" i="3"/>
  <c r="BO36" i="1"/>
  <c r="BL169" i="3"/>
  <c r="BL55" i="3" s="1"/>
  <c r="BL168" i="3"/>
  <c r="BL73" i="3" l="1"/>
  <c r="BK63" i="2"/>
  <c r="BK8" i="2"/>
  <c r="BK25" i="2" l="1"/>
  <c r="BL39" i="1"/>
  <c r="BL103" i="1" l="1"/>
  <c r="BM97" i="1" s="1"/>
  <c r="BL161" i="1"/>
  <c r="BL85" i="1"/>
  <c r="BK47" i="2"/>
  <c r="BL84" i="1" s="1"/>
  <c r="BK53" i="2"/>
  <c r="BL37" i="3" s="1"/>
  <c r="BL40" i="1"/>
  <c r="BL61" i="1"/>
  <c r="BL102" i="1" l="1"/>
  <c r="BL104" i="1"/>
  <c r="BL169" i="1"/>
  <c r="BL167" i="1"/>
  <c r="BK54" i="2"/>
  <c r="BL87" i="1" s="1"/>
  <c r="BK49" i="2"/>
  <c r="BL86" i="1"/>
  <c r="BL69" i="1"/>
  <c r="BK50" i="2" l="1"/>
  <c r="BL48" i="2"/>
  <c r="BL49" i="2" s="1"/>
  <c r="BL50" i="2" s="1"/>
  <c r="BK55" i="2"/>
  <c r="BL168" i="1"/>
  <c r="BL172" i="1" s="1"/>
  <c r="BL170" i="1"/>
  <c r="BL173" i="1" s="1"/>
  <c r="BL73" i="1"/>
  <c r="BL74" i="1"/>
  <c r="BL14" i="1"/>
  <c r="BL63" i="1" l="1"/>
  <c r="BL175" i="1"/>
  <c r="BL176" i="1"/>
  <c r="BL68" i="1"/>
  <c r="BL72" i="1"/>
  <c r="BL75" i="1"/>
  <c r="BL22" i="1"/>
  <c r="BL48" i="1" l="1"/>
  <c r="BL49" i="1" s="1"/>
  <c r="BM62" i="1"/>
  <c r="BL62" i="1"/>
  <c r="BL42" i="1"/>
  <c r="BB70" i="47" l="1"/>
  <c r="BB80" i="47"/>
  <c r="AZ70" i="47"/>
  <c r="AZ80" i="47"/>
  <c r="BF89" i="47"/>
  <c r="BL90" i="47" s="1"/>
  <c r="AY80" i="47"/>
  <c r="AY70" i="47"/>
  <c r="AY89" i="47"/>
  <c r="AY90" i="47" s="1"/>
  <c r="BA80" i="47"/>
  <c r="BA70" i="47"/>
  <c r="BG89" i="47"/>
  <c r="BA89" i="47"/>
  <c r="BA90" i="47" s="1"/>
  <c r="AZ89" i="47"/>
  <c r="AZ90" i="47" s="1"/>
  <c r="BE89" i="47"/>
  <c r="BK90" i="47" s="1"/>
  <c r="AZ111" i="47"/>
  <c r="AZ112" i="47" s="1"/>
  <c r="BB89" i="47"/>
  <c r="BB90" i="47" s="1"/>
  <c r="BH89" i="47"/>
  <c r="AZ87" i="47"/>
  <c r="AY87" i="47"/>
  <c r="AY88" i="47" s="1"/>
  <c r="BA87" i="47"/>
  <c r="BE87" i="47"/>
  <c r="AY111" i="47"/>
  <c r="BE112" i="47" s="1"/>
  <c r="BF87" i="47"/>
  <c r="BG87" i="47"/>
  <c r="BB111" i="47"/>
  <c r="BB112" i="47" s="1"/>
  <c r="BH87" i="47"/>
  <c r="BA111" i="47"/>
  <c r="BB87" i="47"/>
  <c r="AZ156" i="47"/>
  <c r="BA156" i="47"/>
  <c r="AY156" i="47"/>
  <c r="BB156" i="47"/>
  <c r="BH90" i="47" l="1"/>
  <c r="BG90" i="47"/>
  <c r="BH88" i="47"/>
  <c r="BF88" i="47"/>
  <c r="AZ88" i="47"/>
  <c r="AY157" i="47"/>
  <c r="AY158" i="47" s="1"/>
  <c r="BN88" i="47"/>
  <c r="BL88" i="47"/>
  <c r="BA88" i="47"/>
  <c r="BE90" i="47"/>
  <c r="BF90" i="47"/>
  <c r="BA112" i="47"/>
  <c r="BH112" i="47"/>
  <c r="BB113" i="47"/>
  <c r="BG112" i="47"/>
  <c r="AZ113" i="47"/>
  <c r="BK113" i="47"/>
  <c r="BA157" i="47"/>
  <c r="BB88" i="47"/>
  <c r="BN90" i="47"/>
  <c r="BM88" i="47"/>
  <c r="BK88" i="47"/>
  <c r="AY112" i="47"/>
  <c r="BF112" i="47"/>
  <c r="BM90" i="47"/>
  <c r="BG88" i="47"/>
  <c r="BB157" i="47"/>
  <c r="BE88" i="47"/>
  <c r="AZ157" i="47"/>
  <c r="BM113" i="47" l="1"/>
  <c r="BH113" i="47"/>
  <c r="BG113" i="47"/>
  <c r="BE158" i="47"/>
  <c r="BA113" i="47"/>
  <c r="BH158" i="47"/>
  <c r="BB158" i="47"/>
  <c r="AY113" i="47"/>
  <c r="BE113" i="47"/>
  <c r="BA158" i="47"/>
  <c r="BG158" i="47"/>
  <c r="AZ158" i="47"/>
  <c r="BF158" i="47"/>
  <c r="BF113" i="47"/>
  <c r="CC80" i="47" l="1"/>
  <c r="BY80" i="47"/>
  <c r="BS80" i="47"/>
  <c r="BZ79" i="47"/>
  <c r="CG80" i="47"/>
  <c r="BW80" i="47"/>
  <c r="BR80" i="47"/>
  <c r="CF80" i="47"/>
  <c r="CD80" i="47"/>
  <c r="CA80" i="47"/>
  <c r="BQ80" i="47"/>
  <c r="CE80" i="47"/>
  <c r="BU80" i="47"/>
  <c r="BX80" i="47"/>
  <c r="BT80" i="47"/>
  <c r="BW79" i="47"/>
  <c r="BZ80" i="47"/>
  <c r="CC20" i="4"/>
  <c r="CC21" i="4" s="1"/>
  <c r="CC105" i="3" s="1"/>
  <c r="CF20" i="4"/>
  <c r="BY20" i="4"/>
  <c r="BY21" i="4" s="1"/>
  <c r="BY105" i="3" s="1"/>
  <c r="BX20" i="4"/>
  <c r="BX21" i="4" s="1"/>
  <c r="BX105" i="3" s="1"/>
  <c r="BX135" i="3" s="1"/>
  <c r="CF79" i="47"/>
  <c r="CE20" i="4"/>
  <c r="CE21" i="4" s="1"/>
  <c r="CE105" i="3" s="1"/>
  <c r="BZ20" i="4"/>
  <c r="BW20" i="4"/>
  <c r="BW21" i="4" s="1"/>
  <c r="BW105" i="3" s="1"/>
  <c r="CD79" i="47"/>
  <c r="CD20" i="4"/>
  <c r="BT20" i="4"/>
  <c r="BR20" i="4"/>
  <c r="BR21" i="4" s="1"/>
  <c r="BS20" i="4"/>
  <c r="BX86" i="3" l="1"/>
  <c r="BX120" i="3"/>
  <c r="BX79" i="47"/>
  <c r="CC79" i="47"/>
  <c r="BR105" i="3"/>
  <c r="BT21" i="4"/>
  <c r="CD21" i="4"/>
  <c r="CD105" i="3" s="1"/>
  <c r="BS21" i="4"/>
  <c r="BW135" i="3"/>
  <c r="BW86" i="3"/>
  <c r="BW120" i="3"/>
  <c r="BZ21" i="4"/>
  <c r="BZ105" i="3" s="1"/>
  <c r="CE86" i="3"/>
  <c r="CE135" i="3"/>
  <c r="CE120" i="3"/>
  <c r="BY86" i="3"/>
  <c r="BY120" i="3"/>
  <c r="BY135" i="3"/>
  <c r="CE79" i="47"/>
  <c r="BY79" i="47"/>
  <c r="CC120" i="3"/>
  <c r="CC86" i="3"/>
  <c r="CC135" i="3"/>
  <c r="CF21" i="4"/>
  <c r="CF105" i="3" s="1"/>
  <c r="BT105" i="3" l="1"/>
  <c r="CD86" i="3"/>
  <c r="CD135" i="3"/>
  <c r="CD120" i="3"/>
  <c r="CF86" i="3"/>
  <c r="CF120" i="3"/>
  <c r="CF135" i="3"/>
  <c r="BZ135" i="3"/>
  <c r="BZ86" i="3"/>
  <c r="BZ120" i="3"/>
  <c r="BQ105" i="3"/>
  <c r="BS105" i="3"/>
  <c r="BR120" i="3"/>
  <c r="BR135" i="3"/>
  <c r="BR86" i="3"/>
  <c r="BQ120" i="3" l="1"/>
  <c r="BQ135" i="3"/>
  <c r="BQ86" i="3"/>
  <c r="BT86" i="3"/>
  <c r="BT120" i="3"/>
  <c r="BT135" i="3"/>
  <c r="BS135" i="3"/>
  <c r="BS120" i="3"/>
  <c r="BS86" i="3"/>
  <c r="BL34" i="4" l="1"/>
  <c r="BL182" i="47"/>
  <c r="BR157" i="47"/>
  <c r="BL111" i="47" l="1"/>
  <c r="BL4" i="47"/>
  <c r="BX157" i="47"/>
  <c r="BR159" i="47"/>
  <c r="BL5" i="47" l="1"/>
  <c r="BL112" i="47"/>
  <c r="BR160" i="47"/>
  <c r="BX181" i="47"/>
  <c r="CD157" i="47"/>
  <c r="BX159" i="47"/>
  <c r="BL7" i="47" l="1"/>
  <c r="BL113" i="47"/>
  <c r="CD159" i="47"/>
  <c r="CD181" i="47"/>
  <c r="BX183" i="47"/>
  <c r="BX160" i="47"/>
  <c r="BX34" i="4" l="1"/>
  <c r="CD183" i="47"/>
  <c r="CD160" i="47"/>
  <c r="CD34" i="4" l="1"/>
  <c r="CD36" i="4" l="1"/>
  <c r="CD35" i="4" s="1"/>
  <c r="BK79" i="2" l="1"/>
  <c r="BN79" i="2" s="1"/>
  <c r="BQ72" i="2"/>
  <c r="BQ79" i="2" s="1"/>
  <c r="BL148" i="3"/>
  <c r="BM147" i="3" s="1"/>
  <c r="BM148" i="3" s="1"/>
  <c r="BT79" i="2" l="1"/>
  <c r="BQ36" i="2"/>
  <c r="BN147" i="3"/>
  <c r="BT72" i="2"/>
  <c r="BT73" i="2" s="1"/>
  <c r="BW72" i="2"/>
  <c r="BZ72" i="2" l="1"/>
  <c r="BZ73" i="2" s="1"/>
  <c r="BW79" i="2"/>
  <c r="CC72" i="2"/>
  <c r="BN148" i="3"/>
  <c r="BT36" i="2"/>
  <c r="BM154" i="3" l="1"/>
  <c r="BM173" i="3"/>
  <c r="BM174" i="3" s="1"/>
  <c r="BM163" i="3" s="1"/>
  <c r="BZ79" i="2"/>
  <c r="BW36" i="2"/>
  <c r="BO148" i="3"/>
  <c r="CF72" i="2"/>
  <c r="CF73" i="2" s="1"/>
  <c r="CC79" i="2"/>
  <c r="BM43" i="3" l="1"/>
  <c r="BL63" i="2" s="1"/>
  <c r="BM167" i="3"/>
  <c r="CF79" i="2"/>
  <c r="CC36" i="2"/>
  <c r="BO41" i="3"/>
  <c r="BQ147" i="3"/>
  <c r="BZ36" i="2"/>
  <c r="BO42" i="3"/>
  <c r="BN173" i="3"/>
  <c r="BN174" i="3" s="1"/>
  <c r="BN163" i="3" s="1"/>
  <c r="BO39" i="3"/>
  <c r="BN177" i="47" l="1"/>
  <c r="BM73" i="3"/>
  <c r="BM169" i="3"/>
  <c r="BM168" i="3"/>
  <c r="BM39" i="1"/>
  <c r="BM103" i="1" s="1"/>
  <c r="BM42" i="2"/>
  <c r="BN39" i="2"/>
  <c r="BN61" i="2" s="1"/>
  <c r="BN167" i="3"/>
  <c r="BU147" i="3"/>
  <c r="BQ148" i="3"/>
  <c r="CF36" i="2"/>
  <c r="BO40" i="3"/>
  <c r="BO177" i="47" s="1"/>
  <c r="BO173" i="3"/>
  <c r="BO174" i="3" s="1"/>
  <c r="BO163" i="3" s="1"/>
  <c r="BM104" i="1" l="1"/>
  <c r="BN97" i="1"/>
  <c r="BM102" i="1"/>
  <c r="BN62" i="2"/>
  <c r="BM55" i="3"/>
  <c r="BM61" i="1"/>
  <c r="BM161" i="1"/>
  <c r="BM40" i="1"/>
  <c r="BM69" i="1" s="1"/>
  <c r="BR147" i="3"/>
  <c r="BO167" i="3"/>
  <c r="BN168" i="3"/>
  <c r="BN42" i="2"/>
  <c r="BM167" i="1" l="1"/>
  <c r="BM169" i="1"/>
  <c r="BM46" i="1"/>
  <c r="BO168" i="3"/>
  <c r="BR148" i="3"/>
  <c r="BM170" i="1" l="1"/>
  <c r="BM173" i="1" s="1"/>
  <c r="BM168" i="1"/>
  <c r="BM172" i="1" s="1"/>
  <c r="BR42" i="3"/>
  <c r="BS147" i="3"/>
  <c r="BP39" i="2"/>
  <c r="BR41" i="3"/>
  <c r="BM47" i="1"/>
  <c r="BQ177" i="47" l="1"/>
  <c r="BM63" i="1"/>
  <c r="BM175" i="1"/>
  <c r="BM176" i="1"/>
  <c r="BS148" i="3"/>
  <c r="BM48" i="1"/>
  <c r="BM49" i="1" s="1"/>
  <c r="BM42" i="1"/>
  <c r="BO28" i="3"/>
  <c r="BO54" i="1" s="1"/>
  <c r="BR39" i="3"/>
  <c r="BQ100" i="1"/>
  <c r="BP42" i="2"/>
  <c r="BS42" i="3" l="1"/>
  <c r="BT147" i="3"/>
  <c r="BR40" i="3"/>
  <c r="BR177" i="47" s="1"/>
  <c r="BQ39" i="2"/>
  <c r="BO31" i="3"/>
  <c r="BS41" i="3"/>
  <c r="BO33" i="3" l="1"/>
  <c r="BR100" i="1"/>
  <c r="BQ42" i="2"/>
  <c r="BT148" i="3"/>
  <c r="BT41" i="3" s="1"/>
  <c r="BS39" i="3"/>
  <c r="BS40" i="3" l="1"/>
  <c r="BS177" i="47" s="1"/>
  <c r="BR39" i="2"/>
  <c r="BT39" i="3"/>
  <c r="BU39" i="3" s="1"/>
  <c r="BO35" i="3"/>
  <c r="BT42" i="3"/>
  <c r="BU148" i="3"/>
  <c r="BO56" i="3"/>
  <c r="C70" i="10" l="1"/>
  <c r="BU42" i="3"/>
  <c r="BO34" i="3"/>
  <c r="BO148" i="1" s="1"/>
  <c r="BO149" i="1" s="1"/>
  <c r="BO150" i="1" s="1"/>
  <c r="BU40" i="3"/>
  <c r="BU177" i="47" s="1"/>
  <c r="BS100" i="1"/>
  <c r="BR42" i="2"/>
  <c r="BO36" i="3"/>
  <c r="BW147" i="3"/>
  <c r="BU41" i="3"/>
  <c r="BN154" i="3"/>
  <c r="BT40" i="3"/>
  <c r="BT177" i="47" s="1"/>
  <c r="BS39" i="2"/>
  <c r="BT39" i="2" s="1"/>
  <c r="BO154" i="3" l="1"/>
  <c r="BO43" i="3"/>
  <c r="BO72" i="3"/>
  <c r="BO77" i="3"/>
  <c r="BO99" i="1" s="1"/>
  <c r="BO57" i="3"/>
  <c r="BT61" i="2"/>
  <c r="BT42" i="2"/>
  <c r="BO149" i="3"/>
  <c r="BT100" i="1"/>
  <c r="BU100" i="1" s="1"/>
  <c r="BS42" i="2"/>
  <c r="BM8" i="2"/>
  <c r="BW148" i="3"/>
  <c r="CA147" i="3"/>
  <c r="BN63" i="2" l="1"/>
  <c r="BW42" i="3"/>
  <c r="BX147" i="3"/>
  <c r="C18" i="10"/>
  <c r="C17" i="10" s="1"/>
  <c r="C19" i="10" s="1"/>
  <c r="BO78" i="3"/>
  <c r="BW41" i="3"/>
  <c r="BN8" i="2"/>
  <c r="BT62" i="2"/>
  <c r="BO73" i="3"/>
  <c r="BN39" i="1" l="1"/>
  <c r="BO38" i="1"/>
  <c r="BX148" i="3"/>
  <c r="BW39" i="3"/>
  <c r="BN161" i="1" l="1"/>
  <c r="BN103" i="1"/>
  <c r="BX42" i="3"/>
  <c r="BY147" i="3"/>
  <c r="BN40" i="1"/>
  <c r="BN61" i="1"/>
  <c r="BO61" i="1"/>
  <c r="BW40" i="3"/>
  <c r="BW177" i="47" s="1"/>
  <c r="BV39" i="2"/>
  <c r="BX41" i="3"/>
  <c r="BO39" i="1"/>
  <c r="BO161" i="1" s="1"/>
  <c r="BN104" i="1" l="1"/>
  <c r="BN102" i="1"/>
  <c r="BO102" i="1" s="1"/>
  <c r="BO103" i="1" s="1"/>
  <c r="BX39" i="3"/>
  <c r="BW39" i="2" s="1"/>
  <c r="BO40" i="1"/>
  <c r="BW100" i="1"/>
  <c r="BV42" i="2"/>
  <c r="BN69" i="1"/>
  <c r="BY148" i="3"/>
  <c r="BY41" i="3" s="1"/>
  <c r="BO104" i="1" l="1"/>
  <c r="BQ97" i="1"/>
  <c r="BU97" i="1"/>
  <c r="BX40" i="3"/>
  <c r="BX177" i="47" s="1"/>
  <c r="BY39" i="3"/>
  <c r="BX100" i="1"/>
  <c r="BW42" i="2"/>
  <c r="BY42" i="3"/>
  <c r="BZ147" i="3"/>
  <c r="BO69" i="1"/>
  <c r="BZ148" i="3" l="1"/>
  <c r="BZ41" i="3" s="1"/>
  <c r="BY40" i="3"/>
  <c r="BY177" i="47" s="1"/>
  <c r="BX39" i="2"/>
  <c r="BZ39" i="3" l="1"/>
  <c r="BZ40" i="3" s="1"/>
  <c r="BZ177" i="47" s="1"/>
  <c r="BY100" i="1"/>
  <c r="BX42" i="2"/>
  <c r="BZ42" i="3"/>
  <c r="CA148" i="3"/>
  <c r="CA39" i="3" l="1"/>
  <c r="BY39" i="2"/>
  <c r="BZ39" i="2" s="1"/>
  <c r="CA42" i="3"/>
  <c r="CC147" i="3"/>
  <c r="CA41" i="3"/>
  <c r="CA40" i="3" l="1"/>
  <c r="CA177" i="47" s="1"/>
  <c r="BY42" i="2"/>
  <c r="BZ61" i="2"/>
  <c r="BZ62" i="2" s="1"/>
  <c r="BZ100" i="1"/>
  <c r="CA100" i="1" s="1"/>
  <c r="BZ42" i="2"/>
  <c r="CG147" i="3"/>
  <c r="CC148" i="3"/>
  <c r="CC41" i="3" s="1"/>
  <c r="CC39" i="3" l="1"/>
  <c r="CC42" i="3"/>
  <c r="CD147" i="3"/>
  <c r="CB39" i="2" l="1"/>
  <c r="CC40" i="3"/>
  <c r="CC177" i="47" s="1"/>
  <c r="CD148" i="3"/>
  <c r="CD41" i="3" s="1"/>
  <c r="CB42" i="2" l="1"/>
  <c r="CC100" i="1"/>
  <c r="CD39" i="3"/>
  <c r="CD42" i="3"/>
  <c r="CE147" i="3"/>
  <c r="CC39" i="2" l="1"/>
  <c r="CD40" i="3"/>
  <c r="CD177" i="47" s="1"/>
  <c r="CE148" i="3"/>
  <c r="CE41" i="3" s="1"/>
  <c r="CD100" i="1" l="1"/>
  <c r="CC42" i="2"/>
  <c r="CE39" i="3"/>
  <c r="CE42" i="3"/>
  <c r="CF147" i="3"/>
  <c r="CE40" i="3" l="1"/>
  <c r="CE177" i="47" s="1"/>
  <c r="CD39" i="2"/>
  <c r="CF148" i="3"/>
  <c r="CD42" i="2" l="1"/>
  <c r="CE100" i="1"/>
  <c r="CF42" i="3"/>
  <c r="CG148" i="3"/>
  <c r="CG41" i="3" s="1"/>
  <c r="CF41" i="3"/>
  <c r="CG42" i="3" l="1"/>
  <c r="CF39" i="3"/>
  <c r="CE39" i="2" l="1"/>
  <c r="CF40" i="3"/>
  <c r="CF177" i="47" s="1"/>
  <c r="CG39" i="3"/>
  <c r="CG40" i="3" l="1"/>
  <c r="CG177" i="47" s="1"/>
  <c r="CE42" i="2"/>
  <c r="CF39" i="2"/>
  <c r="CF100" i="1"/>
  <c r="CG100" i="1" s="1"/>
  <c r="CF61" i="2" l="1"/>
  <c r="CF62" i="2" s="1"/>
  <c r="CF42" i="2"/>
  <c r="BY118" i="1" l="1"/>
  <c r="CE118" i="1" s="1"/>
  <c r="BM37" i="3"/>
  <c r="BM48" i="2"/>
  <c r="BM23" i="3"/>
  <c r="BN12" i="2"/>
  <c r="BM127" i="1"/>
  <c r="BO127" i="1" s="1"/>
  <c r="BM117" i="1"/>
  <c r="BO117" i="1" s="1"/>
  <c r="BO118" i="1" s="1"/>
  <c r="BM110" i="1"/>
  <c r="BO128" i="1" l="1"/>
  <c r="BM114" i="1"/>
  <c r="BO110" i="1"/>
  <c r="BM118" i="1"/>
  <c r="BM111" i="1"/>
  <c r="BM129" i="1"/>
  <c r="BO129" i="1" s="1"/>
  <c r="BO130" i="1" s="1"/>
  <c r="BM128" i="1"/>
  <c r="BM68" i="1"/>
  <c r="BM120" i="1" l="1"/>
  <c r="BN109" i="1"/>
  <c r="BO114" i="1"/>
  <c r="BO111" i="1"/>
  <c r="BU125" i="1"/>
  <c r="BQ125" i="1"/>
  <c r="BN28" i="2"/>
  <c r="BM33" i="2"/>
  <c r="BN114" i="1" l="1"/>
  <c r="BN120" i="1" s="1"/>
  <c r="BN118" i="1"/>
  <c r="BN116" i="1"/>
  <c r="BM119" i="1"/>
  <c r="BN33" i="2"/>
  <c r="C25" i="10"/>
  <c r="C26" i="10" s="1"/>
  <c r="BQ127" i="1"/>
  <c r="BQ130" i="1" s="1"/>
  <c r="BN23" i="3"/>
  <c r="BN119" i="1" l="1"/>
  <c r="BO119" i="1" s="1"/>
  <c r="BO120" i="1" s="1"/>
  <c r="BO122" i="1" s="1"/>
  <c r="BO17" i="1"/>
  <c r="BM25" i="2"/>
  <c r="BN10" i="2"/>
  <c r="BQ109" i="1"/>
  <c r="BQ19" i="1"/>
  <c r="BR125" i="1"/>
  <c r="BP12" i="2"/>
  <c r="BQ116" i="1" l="1"/>
  <c r="BM53" i="2"/>
  <c r="BN37" i="3" s="1"/>
  <c r="BN85" i="1"/>
  <c r="BU116" i="1"/>
  <c r="BM47" i="2"/>
  <c r="BN84" i="1" s="1"/>
  <c r="BN25" i="2"/>
  <c r="BO23" i="3"/>
  <c r="C21" i="10"/>
  <c r="BR127" i="1"/>
  <c r="BR130" i="1" s="1"/>
  <c r="BU109" i="1"/>
  <c r="BQ117" i="1"/>
  <c r="BN53" i="2" l="1"/>
  <c r="BO85" i="1"/>
  <c r="BM54" i="2"/>
  <c r="BN86" i="1"/>
  <c r="BP10" i="2"/>
  <c r="BM49" i="2"/>
  <c r="BR19" i="1"/>
  <c r="BS125" i="1"/>
  <c r="BN47" i="2"/>
  <c r="BO84" i="1" s="1"/>
  <c r="BQ120" i="1"/>
  <c r="BR116" i="1" s="1"/>
  <c r="BQ12" i="2"/>
  <c r="C22" i="10"/>
  <c r="C29" i="10" s="1"/>
  <c r="C27" i="10"/>
  <c r="C31" i="10" s="1"/>
  <c r="BM55" i="2" l="1"/>
  <c r="BN87" i="1"/>
  <c r="BN54" i="2"/>
  <c r="BO86" i="1"/>
  <c r="BS127" i="1"/>
  <c r="BN49" i="2"/>
  <c r="BN164" i="1"/>
  <c r="BO37" i="3"/>
  <c r="BN55" i="2" l="1"/>
  <c r="BO87" i="1"/>
  <c r="BM50" i="2"/>
  <c r="BP48" i="2"/>
  <c r="BT48" i="2"/>
  <c r="BR12" i="2"/>
  <c r="CN54" i="2"/>
  <c r="BN73" i="1"/>
  <c r="BN46" i="1"/>
  <c r="BN74" i="1"/>
  <c r="BN14" i="1"/>
  <c r="BO8" i="1"/>
  <c r="BS130" i="1"/>
  <c r="BO164" i="1" l="1"/>
  <c r="BO52" i="1"/>
  <c r="BO53" i="1" s="1"/>
  <c r="BO90" i="1"/>
  <c r="BN167" i="1"/>
  <c r="BN168" i="1" s="1"/>
  <c r="BN172" i="1" s="1"/>
  <c r="BN169" i="1"/>
  <c r="BN170" i="1" s="1"/>
  <c r="BN173" i="1" s="1"/>
  <c r="BS19" i="1"/>
  <c r="BT125" i="1"/>
  <c r="BO46" i="1"/>
  <c r="BO74" i="1"/>
  <c r="BO73" i="1"/>
  <c r="BO14" i="1"/>
  <c r="BQ52" i="1"/>
  <c r="BQ54" i="1" s="1"/>
  <c r="BN72" i="1"/>
  <c r="BN75" i="1"/>
  <c r="BN22" i="1"/>
  <c r="BN50" i="2"/>
  <c r="BN68" i="1"/>
  <c r="BN47" i="1"/>
  <c r="BN175" i="1" l="1"/>
  <c r="BN176" i="1"/>
  <c r="BT127" i="1"/>
  <c r="BT130" i="1" s="1"/>
  <c r="BT19" i="1" s="1"/>
  <c r="BO47" i="1"/>
  <c r="BO68" i="1"/>
  <c r="BO72" i="1"/>
  <c r="BO75" i="1"/>
  <c r="BO22" i="1"/>
  <c r="BN42" i="1"/>
  <c r="BN62" i="1"/>
  <c r="BN48" i="1"/>
  <c r="BN49" i="1" s="1"/>
  <c r="BO62" i="1"/>
  <c r="BN63" i="1"/>
  <c r="BO169" i="1"/>
  <c r="BO167" i="1"/>
  <c r="BO170" i="1" l="1"/>
  <c r="BO173" i="1" s="1"/>
  <c r="BO168" i="1"/>
  <c r="BO172" i="1" s="1"/>
  <c r="BU19" i="1"/>
  <c r="BO42" i="1"/>
  <c r="BO48" i="1"/>
  <c r="BO49" i="1" s="1"/>
  <c r="BS12" i="2"/>
  <c r="BU127" i="1"/>
  <c r="BO63" i="1" l="1"/>
  <c r="BO176" i="1"/>
  <c r="BO175" i="1"/>
  <c r="BU128" i="1"/>
  <c r="BU130" i="1"/>
  <c r="BT12" i="2"/>
  <c r="CA125" i="1" l="1"/>
  <c r="BW125" i="1"/>
  <c r="BW127" i="1" l="1"/>
  <c r="BW130" i="1" s="1"/>
  <c r="BV12" i="2" l="1"/>
  <c r="BX125" i="1"/>
  <c r="BW19" i="1"/>
  <c r="BX127" i="1" l="1"/>
  <c r="BX130" i="1" s="1"/>
  <c r="BY125" i="1" l="1"/>
  <c r="BX19" i="1"/>
  <c r="BW12" i="2"/>
  <c r="BY127" i="1" l="1"/>
  <c r="BX12" i="2" l="1"/>
  <c r="BY130" i="1"/>
  <c r="BZ125" i="1" l="1"/>
  <c r="BY19" i="1"/>
  <c r="BZ127" i="1" l="1"/>
  <c r="BZ130" i="1" s="1"/>
  <c r="BZ19" i="1" s="1"/>
  <c r="BY12" i="2" l="1"/>
  <c r="CA127" i="1"/>
  <c r="CA128" i="1" s="1"/>
  <c r="CA19" i="1"/>
  <c r="CA130" i="1" l="1"/>
  <c r="BZ12" i="2"/>
  <c r="CG125" i="1" l="1"/>
  <c r="CC125" i="1"/>
  <c r="CC127" i="1" l="1"/>
  <c r="CC130" i="1" s="1"/>
  <c r="CC19" i="1" l="1"/>
  <c r="CD125" i="1"/>
  <c r="CB12" i="2"/>
  <c r="CD127" i="1" l="1"/>
  <c r="CD130" i="1" s="1"/>
  <c r="CD19" i="1" l="1"/>
  <c r="CE125" i="1"/>
  <c r="CC12" i="2"/>
  <c r="CE127" i="1" l="1"/>
  <c r="CE130" i="1" s="1"/>
  <c r="CE19" i="1" l="1"/>
  <c r="CF125" i="1"/>
  <c r="CD12" i="2"/>
  <c r="CF127" i="1" l="1"/>
  <c r="CF130" i="1" s="1"/>
  <c r="CF19" i="1" s="1"/>
  <c r="CG19" i="1" l="1"/>
  <c r="CE12" i="2"/>
  <c r="CG127" i="1"/>
  <c r="CG128" i="1" s="1"/>
  <c r="CG130" i="1" l="1"/>
  <c r="CF12" i="2"/>
  <c r="BT58" i="4" l="1"/>
  <c r="BT63" i="3" s="1"/>
  <c r="BN60" i="4"/>
  <c r="BN69" i="4"/>
  <c r="BN117" i="3" s="1"/>
  <c r="BN146" i="1"/>
  <c r="BN151" i="1" s="1"/>
  <c r="BN61" i="3"/>
  <c r="BO61" i="3" s="1"/>
  <c r="BN183" i="47"/>
  <c r="BN34" i="4" s="1"/>
  <c r="BN62" i="3" l="1"/>
  <c r="BO183" i="47"/>
  <c r="BO34" i="4" s="1"/>
  <c r="BN64" i="3"/>
  <c r="BN132" i="3"/>
  <c r="BN4" i="47"/>
  <c r="BN181" i="47"/>
  <c r="BN111" i="47"/>
  <c r="BN102" i="3"/>
  <c r="BN83" i="3" s="1"/>
  <c r="BN5" i="47" l="1"/>
  <c r="BN7" i="47" s="1"/>
  <c r="BN169" i="3"/>
  <c r="BN55" i="3" s="1"/>
  <c r="BO62" i="3"/>
  <c r="BO169" i="3" s="1"/>
  <c r="BO55" i="3" s="1"/>
  <c r="BO64" i="3"/>
  <c r="BO181" i="47"/>
  <c r="BN112" i="47"/>
  <c r="BN113" i="47" l="1"/>
  <c r="BN12" i="3" l="1"/>
  <c r="BO12" i="3" s="1"/>
  <c r="BO15" i="3"/>
  <c r="BO48" i="3" s="1"/>
  <c r="BN48" i="3"/>
  <c r="BN148" i="47"/>
  <c r="BN151" i="47" s="1"/>
  <c r="BO148" i="47" l="1"/>
  <c r="BN159" i="47"/>
  <c r="BN154" i="47"/>
  <c r="BN155" i="47"/>
  <c r="BN157" i="47" l="1"/>
  <c r="BN160" i="47"/>
  <c r="BO159" i="47"/>
  <c r="BO157" i="47" l="1"/>
  <c r="BO158" i="47" s="1"/>
  <c r="BO160" i="47"/>
  <c r="BN158" i="47"/>
  <c r="BT157" i="47"/>
  <c r="BN182" i="47"/>
  <c r="BT159" i="47" l="1"/>
  <c r="BZ157" i="47"/>
  <c r="CF157" i="47" l="1"/>
  <c r="BZ181" i="47"/>
  <c r="BZ159" i="47"/>
  <c r="BU159" i="47"/>
  <c r="BT160" i="47"/>
  <c r="BZ160" i="47" l="1"/>
  <c r="CA159" i="47"/>
  <c r="BZ183" i="47"/>
  <c r="CA181" i="47"/>
  <c r="BU160" i="47"/>
  <c r="BU157" i="47"/>
  <c r="BU158" i="47" s="1"/>
  <c r="CF181" i="47"/>
  <c r="CF159" i="47"/>
  <c r="CA157" i="47" l="1"/>
  <c r="CA158" i="47" s="1"/>
  <c r="CA160" i="47"/>
  <c r="CG159" i="47"/>
  <c r="CF160" i="47"/>
  <c r="CF183" i="47"/>
  <c r="CG181" i="47"/>
  <c r="BZ34" i="4"/>
  <c r="CA183" i="47"/>
  <c r="CG157" i="47" l="1"/>
  <c r="CG160" i="47"/>
  <c r="CF34" i="4"/>
  <c r="CG183" i="47"/>
  <c r="CA34" i="4"/>
  <c r="CG158" i="47" l="1"/>
  <c r="CF36" i="4"/>
  <c r="CF35" i="4" s="1"/>
  <c r="CG34" i="4"/>
  <c r="CG35" i="4" l="1"/>
  <c r="CG36" i="4"/>
  <c r="BN13" i="3" l="1"/>
  <c r="BO13" i="3" s="1"/>
  <c r="BO16" i="3"/>
  <c r="BO49" i="3" s="1"/>
  <c r="BN49" i="3"/>
  <c r="AZ75" i="47" l="1"/>
  <c r="BB75" i="47"/>
  <c r="BA75" i="47"/>
  <c r="BH73" i="47"/>
  <c r="AY75" i="47"/>
  <c r="BG73" i="47"/>
  <c r="AZ81" i="47"/>
  <c r="AZ85" i="47" s="1"/>
  <c r="BB81" i="47"/>
  <c r="BB85" i="47" s="1"/>
  <c r="AZ73" i="47"/>
  <c r="BF74" i="47" s="1"/>
  <c r="BF73" i="47"/>
  <c r="BA81" i="47"/>
  <c r="BA85" i="47" s="1"/>
  <c r="AY73" i="47"/>
  <c r="BE74" i="47" s="1"/>
  <c r="BE73" i="47"/>
  <c r="BA73" i="47"/>
  <c r="BG74" i="47" s="1"/>
  <c r="BB73" i="47"/>
  <c r="BH74" i="47" s="1"/>
  <c r="AY81" i="47"/>
  <c r="AY82" i="47" s="1"/>
  <c r="AY83" i="47" s="1"/>
  <c r="BE84" i="47" s="1"/>
  <c r="BC71" i="47"/>
  <c r="BG71" i="47"/>
  <c r="BM71" i="47" s="1"/>
  <c r="BF71" i="47"/>
  <c r="BL71" i="47" s="1"/>
  <c r="BE71" i="47"/>
  <c r="BH71" i="47"/>
  <c r="AZ96" i="47"/>
  <c r="BA96" i="47"/>
  <c r="BB96" i="47"/>
  <c r="AY96" i="47"/>
  <c r="BR74" i="47" l="1"/>
  <c r="BM74" i="47"/>
  <c r="BK74" i="47"/>
  <c r="BB82" i="47"/>
  <c r="BT74" i="47"/>
  <c r="BY74" i="47"/>
  <c r="BA82" i="47"/>
  <c r="BA83" i="47" s="1"/>
  <c r="BG84" i="47" s="1"/>
  <c r="BS74" i="47"/>
  <c r="AZ82" i="47"/>
  <c r="BL74" i="47"/>
  <c r="BX74" i="47"/>
  <c r="BA97" i="47"/>
  <c r="BA98" i="47" s="1"/>
  <c r="AZ97" i="47"/>
  <c r="AZ98" i="47" s="1"/>
  <c r="AY97" i="47"/>
  <c r="AY98" i="47" s="1"/>
  <c r="BB97" i="47"/>
  <c r="BB98" i="47" s="1"/>
  <c r="BH81" i="47"/>
  <c r="BH75" i="47"/>
  <c r="BN71" i="47"/>
  <c r="BE81" i="47"/>
  <c r="BI71" i="47"/>
  <c r="BE75" i="47"/>
  <c r="BK71" i="47"/>
  <c r="BL75" i="47"/>
  <c r="BR71" i="47"/>
  <c r="BL81" i="47"/>
  <c r="BF75" i="47"/>
  <c r="BF81" i="47"/>
  <c r="BM75" i="47"/>
  <c r="BM81" i="47"/>
  <c r="BS71" i="47"/>
  <c r="BG81" i="47"/>
  <c r="BG75" i="47"/>
  <c r="BC72" i="47"/>
  <c r="BC73" i="47" s="1"/>
  <c r="BC81" i="47"/>
  <c r="BC96" i="47"/>
  <c r="BC97" i="47" s="1"/>
  <c r="BC98" i="47" s="1"/>
  <c r="AY85" i="47"/>
  <c r="BW74" i="47"/>
  <c r="BZ74" i="47"/>
  <c r="BQ74" i="47"/>
  <c r="BN74" i="47"/>
  <c r="BB83" i="47" l="1"/>
  <c r="BH84" i="47" s="1"/>
  <c r="AZ83" i="47"/>
  <c r="BF84" i="47" s="1"/>
  <c r="BC82" i="47"/>
  <c r="BC83" i="47" s="1"/>
  <c r="BC86" i="47"/>
  <c r="BC85" i="47" s="1"/>
  <c r="BC102" i="47"/>
  <c r="BC103" i="47" s="1"/>
  <c r="BC104" i="47" s="1"/>
  <c r="BR75" i="47"/>
  <c r="BR81" i="47"/>
  <c r="BX71" i="47"/>
  <c r="BS81" i="47"/>
  <c r="BY71" i="47"/>
  <c r="BS75" i="47"/>
  <c r="BM82" i="47"/>
  <c r="BM85" i="47"/>
  <c r="BN75" i="47"/>
  <c r="BN81" i="47"/>
  <c r="BT71" i="47"/>
  <c r="BK81" i="47"/>
  <c r="BK75" i="47"/>
  <c r="BO71" i="47"/>
  <c r="BQ71" i="47"/>
  <c r="BH85" i="47"/>
  <c r="BH82" i="47"/>
  <c r="BF85" i="47"/>
  <c r="BF82" i="47"/>
  <c r="BI81" i="47"/>
  <c r="BE82" i="47"/>
  <c r="BE85" i="47"/>
  <c r="BG85" i="47"/>
  <c r="BG82" i="47"/>
  <c r="BL82" i="47"/>
  <c r="BL85" i="47"/>
  <c r="BI72" i="47"/>
  <c r="BI73" i="47" s="1"/>
  <c r="BI75" i="47"/>
  <c r="BO72" i="47" l="1"/>
  <c r="BO73" i="47" s="1"/>
  <c r="BO75" i="47"/>
  <c r="BR82" i="47"/>
  <c r="BR85" i="47"/>
  <c r="BG83" i="47"/>
  <c r="BM84" i="47" s="1"/>
  <c r="BI82" i="47"/>
  <c r="BI83" i="47" s="1"/>
  <c r="BI85" i="47"/>
  <c r="BO81" i="47"/>
  <c r="BK85" i="47"/>
  <c r="BK82" i="47"/>
  <c r="BS82" i="47"/>
  <c r="BS85" i="47"/>
  <c r="BM83" i="47"/>
  <c r="BY81" i="47"/>
  <c r="BY75" i="47"/>
  <c r="CE71" i="47"/>
  <c r="BT75" i="47"/>
  <c r="BT81" i="47"/>
  <c r="BZ71" i="47"/>
  <c r="BF83" i="47"/>
  <c r="BL84" i="47" s="1"/>
  <c r="BX75" i="47"/>
  <c r="CD71" i="47"/>
  <c r="BX81" i="47"/>
  <c r="BE83" i="47"/>
  <c r="BK84" i="47" s="1"/>
  <c r="BN82" i="47"/>
  <c r="BN85" i="47"/>
  <c r="BC80" i="47"/>
  <c r="BC87" i="47"/>
  <c r="BC88" i="47" s="1"/>
  <c r="BI89" i="47"/>
  <c r="BC156" i="47"/>
  <c r="BC89" i="47"/>
  <c r="BC90" i="47" s="1"/>
  <c r="BI87" i="47"/>
  <c r="BC70" i="47"/>
  <c r="BC111" i="47"/>
  <c r="BC112" i="47" s="1"/>
  <c r="BC113" i="47" s="1"/>
  <c r="BC75" i="47"/>
  <c r="BL83" i="47"/>
  <c r="BU71" i="47"/>
  <c r="BQ75" i="47"/>
  <c r="BQ81" i="47"/>
  <c r="BW71" i="47"/>
  <c r="BH83" i="47"/>
  <c r="BN84" i="47" s="1"/>
  <c r="BR84" i="47" l="1"/>
  <c r="BX85" i="47"/>
  <c r="BX82" i="47"/>
  <c r="BY85" i="47"/>
  <c r="BY82" i="47"/>
  <c r="CD75" i="47"/>
  <c r="CD81" i="47"/>
  <c r="BS25" i="4"/>
  <c r="BS26" i="4" s="1"/>
  <c r="BS106" i="3" s="1"/>
  <c r="BS83" i="47"/>
  <c r="BY84" i="47" s="1"/>
  <c r="BN83" i="47"/>
  <c r="BT84" i="47" s="1"/>
  <c r="BK83" i="47"/>
  <c r="BQ84" i="47" s="1"/>
  <c r="BO88" i="47"/>
  <c r="BI88" i="47"/>
  <c r="BZ75" i="47"/>
  <c r="CF71" i="47"/>
  <c r="BZ81" i="47"/>
  <c r="BS84" i="47"/>
  <c r="BO82" i="47"/>
  <c r="BO83" i="47" s="1"/>
  <c r="BO85" i="47"/>
  <c r="BR83" i="47"/>
  <c r="BX84" i="47" s="1"/>
  <c r="BR25" i="4"/>
  <c r="BR26" i="4" s="1"/>
  <c r="BR106" i="3" s="1"/>
  <c r="BU72" i="47"/>
  <c r="BU73" i="47" s="1"/>
  <c r="BU75" i="47"/>
  <c r="BC157" i="47"/>
  <c r="BT82" i="47"/>
  <c r="BT85" i="47"/>
  <c r="CE75" i="47"/>
  <c r="CE81" i="47"/>
  <c r="CA71" i="47"/>
  <c r="BW81" i="47"/>
  <c r="BW75" i="47"/>
  <c r="CC71" i="47"/>
  <c r="BU81" i="47"/>
  <c r="BQ85" i="47"/>
  <c r="BQ82" i="47"/>
  <c r="BI90" i="47"/>
  <c r="BO90" i="47"/>
  <c r="BW85" i="47" l="1"/>
  <c r="CA81" i="47"/>
  <c r="BW82" i="47"/>
  <c r="CF75" i="47"/>
  <c r="CF81" i="47"/>
  <c r="BZ85" i="47"/>
  <c r="BZ82" i="47"/>
  <c r="CA72" i="47"/>
  <c r="CA73" i="47" s="1"/>
  <c r="CA75" i="47"/>
  <c r="BS87" i="3"/>
  <c r="BS136" i="3"/>
  <c r="BS121" i="3"/>
  <c r="BQ83" i="47"/>
  <c r="BW84" i="47" s="1"/>
  <c r="BT83" i="47"/>
  <c r="BZ84" i="47" s="1"/>
  <c r="BT25" i="4"/>
  <c r="BT26" i="4" s="1"/>
  <c r="BT106" i="3" s="1"/>
  <c r="BU82" i="47"/>
  <c r="BU83" i="47" s="1"/>
  <c r="BU85" i="47"/>
  <c r="BR121" i="3"/>
  <c r="BR87" i="3"/>
  <c r="BR136" i="3"/>
  <c r="CC75" i="47"/>
  <c r="CG71" i="47"/>
  <c r="CC81" i="47"/>
  <c r="BC158" i="47"/>
  <c r="BI158" i="47"/>
  <c r="CD85" i="47"/>
  <c r="CD82" i="47"/>
  <c r="BX83" i="47"/>
  <c r="CD84" i="47" s="1"/>
  <c r="BX25" i="4"/>
  <c r="BX26" i="4" s="1"/>
  <c r="BX106" i="3" s="1"/>
  <c r="BY83" i="47"/>
  <c r="CE84" i="47" s="1"/>
  <c r="BY25" i="4"/>
  <c r="BY26" i="4" s="1"/>
  <c r="BY106" i="3" s="1"/>
  <c r="CE85" i="47"/>
  <c r="CE82" i="47"/>
  <c r="BZ83" i="47" l="1"/>
  <c r="CF84" i="47" s="1"/>
  <c r="BZ25" i="4"/>
  <c r="BZ26" i="4" s="1"/>
  <c r="BZ106" i="3" s="1"/>
  <c r="BT87" i="3"/>
  <c r="BT121" i="3"/>
  <c r="BT136" i="3"/>
  <c r="CE25" i="4"/>
  <c r="CE26" i="4" s="1"/>
  <c r="CE106" i="3" s="1"/>
  <c r="CE83" i="47"/>
  <c r="CC85" i="47"/>
  <c r="CG81" i="47"/>
  <c r="CC82" i="47"/>
  <c r="CG75" i="47"/>
  <c r="CG72" i="47"/>
  <c r="CG73" i="47" s="1"/>
  <c r="BW83" i="47"/>
  <c r="CC84" i="47" s="1"/>
  <c r="BW25" i="4"/>
  <c r="BX121" i="3"/>
  <c r="BX87" i="3"/>
  <c r="BX136" i="3"/>
  <c r="CF82" i="47"/>
  <c r="CF85" i="47"/>
  <c r="BY136" i="3"/>
  <c r="BY121" i="3"/>
  <c r="BY87" i="3"/>
  <c r="CA82" i="47"/>
  <c r="CA83" i="47" s="1"/>
  <c r="CA85" i="47"/>
  <c r="CD83" i="47"/>
  <c r="CD25" i="4"/>
  <c r="CD26" i="4" s="1"/>
  <c r="CD106" i="3" s="1"/>
  <c r="BW26" i="4" l="1"/>
  <c r="BW106" i="3" s="1"/>
  <c r="CF83" i="47"/>
  <c r="CF25" i="4"/>
  <c r="CF26" i="4" s="1"/>
  <c r="CF106" i="3" s="1"/>
  <c r="CC83" i="47"/>
  <c r="CC25" i="4"/>
  <c r="CE121" i="3"/>
  <c r="CE136" i="3"/>
  <c r="CE87" i="3"/>
  <c r="CG82" i="47"/>
  <c r="CG83" i="47" s="1"/>
  <c r="CG85" i="47"/>
  <c r="BZ136" i="3"/>
  <c r="BZ121" i="3"/>
  <c r="BZ87" i="3"/>
  <c r="CD121" i="3"/>
  <c r="CD87" i="3"/>
  <c r="CD136" i="3"/>
  <c r="CF87" i="3" l="1"/>
  <c r="CF121" i="3"/>
  <c r="CF136" i="3"/>
  <c r="CC26" i="4"/>
  <c r="CC106" i="3" s="1"/>
  <c r="BW87" i="3"/>
  <c r="BW136" i="3"/>
  <c r="BW121" i="3"/>
  <c r="CC136" i="3" l="1"/>
  <c r="CC87" i="3"/>
  <c r="CC121" i="3"/>
  <c r="BN97" i="47"/>
  <c r="BT98" i="47" s="1"/>
  <c r="BK97" i="47"/>
  <c r="BK15" i="4" s="1"/>
  <c r="BM97" i="47"/>
  <c r="BK94" i="47"/>
  <c r="BK10" i="4" s="1"/>
  <c r="BM94" i="47"/>
  <c r="BM10" i="4" s="1"/>
  <c r="BL94" i="47"/>
  <c r="BL10" i="4" s="1"/>
  <c r="BL97" i="47"/>
  <c r="BL15" i="4" s="1"/>
  <c r="BG99" i="47"/>
  <c r="BG100" i="47" s="1"/>
  <c r="BG101" i="47" s="1"/>
  <c r="BE99" i="47"/>
  <c r="BE100" i="47" s="1"/>
  <c r="BF99" i="47"/>
  <c r="BF100" i="47" s="1"/>
  <c r="BN94" i="47"/>
  <c r="BN10" i="4" s="1"/>
  <c r="BN11" i="4" s="1"/>
  <c r="BN103" i="3" s="1"/>
  <c r="BF97" i="47"/>
  <c r="BF98" i="47" s="1"/>
  <c r="BH99" i="47"/>
  <c r="BH100" i="47" s="1"/>
  <c r="BH101" i="47" s="1"/>
  <c r="BH97" i="47"/>
  <c r="BH15" i="4" s="1"/>
  <c r="BE97" i="47"/>
  <c r="BE98" i="47" s="1"/>
  <c r="BG97" i="47"/>
  <c r="BG98" i="47" s="1"/>
  <c r="BH10" i="4"/>
  <c r="BE10" i="4"/>
  <c r="BG10" i="4"/>
  <c r="BG11" i="4" s="1"/>
  <c r="BF10" i="4"/>
  <c r="BF11" i="4" s="1"/>
  <c r="BF103" i="3" s="1"/>
  <c r="BN100" i="47" l="1"/>
  <c r="BN20" i="4" s="1"/>
  <c r="BG15" i="4"/>
  <c r="BK100" i="47"/>
  <c r="BK20" i="4" s="1"/>
  <c r="BH11" i="4"/>
  <c r="BH103" i="3" s="1"/>
  <c r="BH133" i="3" s="1"/>
  <c r="BF101" i="47"/>
  <c r="BF20" i="4"/>
  <c r="BH20" i="4"/>
  <c r="BG20" i="4"/>
  <c r="BN15" i="4"/>
  <c r="BH16" i="4"/>
  <c r="BE101" i="47"/>
  <c r="BE20" i="4"/>
  <c r="BI10" i="4"/>
  <c r="BE11" i="4"/>
  <c r="BL11" i="4"/>
  <c r="BL103" i="3" s="1"/>
  <c r="BG103" i="3"/>
  <c r="BG9" i="4"/>
  <c r="BT95" i="47"/>
  <c r="BN95" i="47"/>
  <c r="BM100" i="47"/>
  <c r="BG102" i="47"/>
  <c r="BF9" i="4"/>
  <c r="BE15" i="4"/>
  <c r="BH102" i="47"/>
  <c r="BF15" i="4"/>
  <c r="BF102" i="47"/>
  <c r="BL100" i="47"/>
  <c r="BK95" i="47"/>
  <c r="BF118" i="3"/>
  <c r="BF84" i="3"/>
  <c r="BF133" i="3"/>
  <c r="BH98" i="47"/>
  <c r="BN98" i="47"/>
  <c r="BK11" i="4"/>
  <c r="BK103" i="3" s="1"/>
  <c r="BN118" i="3"/>
  <c r="BN133" i="3"/>
  <c r="BN84" i="3"/>
  <c r="BL16" i="4"/>
  <c r="BL104" i="3" s="1"/>
  <c r="BM11" i="4"/>
  <c r="BM103" i="3" s="1"/>
  <c r="BS98" i="47"/>
  <c r="BM98" i="47"/>
  <c r="BM15" i="4"/>
  <c r="BR95" i="47"/>
  <c r="BL95" i="47"/>
  <c r="BE102" i="47"/>
  <c r="BM95" i="47"/>
  <c r="BS95" i="47"/>
  <c r="BK16" i="4"/>
  <c r="BK104" i="3" s="1"/>
  <c r="BL98" i="47"/>
  <c r="BR98" i="47"/>
  <c r="BK98" i="47"/>
  <c r="BT101" i="47" l="1"/>
  <c r="BN101" i="47"/>
  <c r="BN21" i="4"/>
  <c r="BN105" i="3" s="1"/>
  <c r="BN120" i="3" s="1"/>
  <c r="BG16" i="4"/>
  <c r="BG104" i="3" s="1"/>
  <c r="BG21" i="4"/>
  <c r="BG19" i="4" s="1"/>
  <c r="BH9" i="4"/>
  <c r="BK101" i="47"/>
  <c r="BH118" i="3"/>
  <c r="BK21" i="4"/>
  <c r="BK105" i="3" s="1"/>
  <c r="BK120" i="3" s="1"/>
  <c r="BH84" i="3"/>
  <c r="BN16" i="4"/>
  <c r="BN104" i="3" s="1"/>
  <c r="BN85" i="3" s="1"/>
  <c r="BH21" i="4"/>
  <c r="BH19" i="4" s="1"/>
  <c r="BF21" i="4"/>
  <c r="BL9" i="4"/>
  <c r="BM16" i="4"/>
  <c r="BM104" i="3" s="1"/>
  <c r="BE103" i="3"/>
  <c r="BE9" i="4"/>
  <c r="BN103" i="47"/>
  <c r="BH103" i="47"/>
  <c r="BH104" i="47" s="1"/>
  <c r="BL84" i="3"/>
  <c r="BL133" i="3"/>
  <c r="BL118" i="3"/>
  <c r="BK118" i="3"/>
  <c r="BK84" i="3"/>
  <c r="BK133" i="3"/>
  <c r="BK85" i="3"/>
  <c r="BK119" i="3"/>
  <c r="BK134" i="3"/>
  <c r="BL101" i="47"/>
  <c r="BR101" i="47"/>
  <c r="BL20" i="4"/>
  <c r="BI20" i="4"/>
  <c r="BE21" i="4"/>
  <c r="BM118" i="3"/>
  <c r="BM84" i="3"/>
  <c r="BM133" i="3"/>
  <c r="BF16" i="4"/>
  <c r="BM103" i="47"/>
  <c r="BG103" i="47"/>
  <c r="BG104" i="47" s="1"/>
  <c r="BM9" i="4"/>
  <c r="BH104" i="3"/>
  <c r="BH14" i="4"/>
  <c r="BF103" i="47"/>
  <c r="BF104" i="47" s="1"/>
  <c r="BL103" i="47"/>
  <c r="BL134" i="3"/>
  <c r="BL119" i="3"/>
  <c r="BL85" i="3"/>
  <c r="BK103" i="47"/>
  <c r="BE103" i="47"/>
  <c r="BE104" i="47" s="1"/>
  <c r="BI15" i="4"/>
  <c r="BE16" i="4"/>
  <c r="BS101" i="47"/>
  <c r="BM101" i="47"/>
  <c r="BM20" i="4"/>
  <c r="BG133" i="3"/>
  <c r="BG118" i="3"/>
  <c r="BG84" i="3"/>
  <c r="BN135" i="3" l="1"/>
  <c r="BN86" i="3"/>
  <c r="BG14" i="4"/>
  <c r="BG105" i="3"/>
  <c r="BG120" i="3" s="1"/>
  <c r="BN134" i="3"/>
  <c r="BN9" i="4"/>
  <c r="BH105" i="3"/>
  <c r="BH86" i="3" s="1"/>
  <c r="BK135" i="3"/>
  <c r="BK86" i="3"/>
  <c r="BN119" i="3"/>
  <c r="BF105" i="3"/>
  <c r="BF19" i="4"/>
  <c r="BS9" i="4"/>
  <c r="BG134" i="3"/>
  <c r="BG85" i="3"/>
  <c r="BG119" i="3"/>
  <c r="BE104" i="3"/>
  <c r="BE14" i="4"/>
  <c r="BH24" i="4"/>
  <c r="BN19" i="4"/>
  <c r="BI9" i="4"/>
  <c r="BO10" i="4" s="1"/>
  <c r="BK9" i="4"/>
  <c r="BQ9" i="4" s="1"/>
  <c r="BM14" i="4"/>
  <c r="BE133" i="3"/>
  <c r="BI133" i="3" s="1"/>
  <c r="BE118" i="3"/>
  <c r="BI118" i="3" s="1"/>
  <c r="BE84" i="3"/>
  <c r="BO133" i="3"/>
  <c r="BG24" i="4"/>
  <c r="BN14" i="4"/>
  <c r="BO118" i="3"/>
  <c r="BN104" i="47"/>
  <c r="BT104" i="47"/>
  <c r="BR9" i="4"/>
  <c r="BF104" i="3"/>
  <c r="BF14" i="4"/>
  <c r="BS104" i="47"/>
  <c r="BM104" i="47"/>
  <c r="BL21" i="4"/>
  <c r="BM21" i="4"/>
  <c r="BM105" i="3" s="1"/>
  <c r="BK104" i="47"/>
  <c r="BL104" i="47"/>
  <c r="BR104" i="47"/>
  <c r="BH119" i="3"/>
  <c r="BH134" i="3"/>
  <c r="BH85" i="3"/>
  <c r="BE105" i="3"/>
  <c r="BE19" i="4"/>
  <c r="BM85" i="3"/>
  <c r="BM119" i="3"/>
  <c r="BM134" i="3"/>
  <c r="BO134" i="3" l="1"/>
  <c r="BG86" i="3"/>
  <c r="BG135" i="3"/>
  <c r="BT9" i="4"/>
  <c r="BZ9" i="4" s="1"/>
  <c r="BH135" i="3"/>
  <c r="BO119" i="3"/>
  <c r="BH120" i="3"/>
  <c r="BF120" i="3"/>
  <c r="BF135" i="3"/>
  <c r="BF86" i="3"/>
  <c r="BE86" i="3"/>
  <c r="BE135" i="3"/>
  <c r="BE120" i="3"/>
  <c r="BT14" i="4"/>
  <c r="BZ14" i="4" s="1"/>
  <c r="CF14" i="4" s="1"/>
  <c r="BS14" i="4"/>
  <c r="BY14" i="4" s="1"/>
  <c r="CE14" i="4" s="1"/>
  <c r="BI14" i="4"/>
  <c r="BO15" i="4" s="1"/>
  <c r="BK14" i="4"/>
  <c r="BQ14" i="4" s="1"/>
  <c r="BM135" i="3"/>
  <c r="BM120" i="3"/>
  <c r="BM86" i="3"/>
  <c r="BL14" i="4"/>
  <c r="BF24" i="4"/>
  <c r="BX9" i="4"/>
  <c r="BT19" i="4"/>
  <c r="BZ19" i="4" s="1"/>
  <c r="CF19" i="4" s="1"/>
  <c r="BN24" i="4"/>
  <c r="BY9" i="4"/>
  <c r="BL105" i="3"/>
  <c r="BL19" i="4"/>
  <c r="BI93" i="47"/>
  <c r="BI94" i="47" s="1"/>
  <c r="BI95" i="47" s="1"/>
  <c r="BI11" i="4"/>
  <c r="BH26" i="4"/>
  <c r="BE119" i="3"/>
  <c r="BE134" i="3"/>
  <c r="BE85" i="3"/>
  <c r="BO9" i="4"/>
  <c r="BU10" i="4" s="1"/>
  <c r="BF134" i="3"/>
  <c r="BF119" i="3"/>
  <c r="BF85" i="3"/>
  <c r="BM19" i="4"/>
  <c r="BG26" i="4"/>
  <c r="BI19" i="4"/>
  <c r="BO20" i="4" s="1"/>
  <c r="BK19" i="4"/>
  <c r="BQ19" i="4" s="1"/>
  <c r="BE24" i="4"/>
  <c r="BI120" i="3" l="1"/>
  <c r="BI135" i="3"/>
  <c r="BI134" i="3"/>
  <c r="BI12" i="4"/>
  <c r="BI103" i="3"/>
  <c r="BI84" i="3" s="1"/>
  <c r="BT24" i="4"/>
  <c r="BN26" i="4"/>
  <c r="CF9" i="4"/>
  <c r="BL135" i="3"/>
  <c r="BO135" i="3" s="1"/>
  <c r="BL120" i="3"/>
  <c r="BO120" i="3" s="1"/>
  <c r="BL86" i="3"/>
  <c r="BO14" i="4"/>
  <c r="BU15" i="4" s="1"/>
  <c r="BS19" i="4"/>
  <c r="BM24" i="4"/>
  <c r="BE26" i="4"/>
  <c r="BI24" i="4"/>
  <c r="BI119" i="3"/>
  <c r="BI99" i="47"/>
  <c r="BI100" i="47" s="1"/>
  <c r="BI101" i="47" s="1"/>
  <c r="BI21" i="4"/>
  <c r="BH106" i="3"/>
  <c r="BH25" i="4"/>
  <c r="CD9" i="4"/>
  <c r="BR14" i="4"/>
  <c r="BK24" i="4"/>
  <c r="BO19" i="4"/>
  <c r="BR19" i="4"/>
  <c r="BX19" i="4" s="1"/>
  <c r="CD19" i="4" s="1"/>
  <c r="BL24" i="4"/>
  <c r="BF26" i="4"/>
  <c r="BO11" i="4"/>
  <c r="BO93" i="47"/>
  <c r="BO94" i="47" s="1"/>
  <c r="BO95" i="47" s="1"/>
  <c r="BU9" i="4"/>
  <c r="CA10" i="4" s="1"/>
  <c r="BW9" i="4"/>
  <c r="BG106" i="3"/>
  <c r="BG25" i="4"/>
  <c r="CE9" i="4"/>
  <c r="BI96" i="47"/>
  <c r="BI97" i="47" s="1"/>
  <c r="BI98" i="47" s="1"/>
  <c r="BI16" i="4"/>
  <c r="BI17" i="4" l="1"/>
  <c r="BI104" i="3"/>
  <c r="BI85" i="3" s="1"/>
  <c r="BU11" i="4"/>
  <c r="BU93" i="47"/>
  <c r="BU94" i="47" s="1"/>
  <c r="BU95" i="47" s="1"/>
  <c r="BY19" i="4"/>
  <c r="BZ24" i="4"/>
  <c r="BR24" i="4"/>
  <c r="BX24" i="4" s="1"/>
  <c r="CD24" i="4" s="1"/>
  <c r="BL26" i="4"/>
  <c r="BG121" i="3"/>
  <c r="BG87" i="3"/>
  <c r="BG136" i="3"/>
  <c r="BH7" i="4"/>
  <c r="BU14" i="4"/>
  <c r="CA15" i="4" s="1"/>
  <c r="BW14" i="4"/>
  <c r="BO12" i="4"/>
  <c r="BO103" i="3"/>
  <c r="BO84" i="3" s="1"/>
  <c r="BX14" i="4"/>
  <c r="BI26" i="4"/>
  <c r="BI102" i="47"/>
  <c r="BI103" i="47" s="1"/>
  <c r="BI104" i="47" s="1"/>
  <c r="BI6" i="4"/>
  <c r="BK26" i="4"/>
  <c r="BO24" i="4"/>
  <c r="BE106" i="3"/>
  <c r="BE25" i="4"/>
  <c r="BG7" i="4"/>
  <c r="BO21" i="4"/>
  <c r="BO99" i="47"/>
  <c r="BO100" i="47" s="1"/>
  <c r="BO101" i="47" s="1"/>
  <c r="BH87" i="3"/>
  <c r="BH136" i="3"/>
  <c r="BH121" i="3"/>
  <c r="CC9" i="4"/>
  <c r="CA9" i="4"/>
  <c r="BU19" i="4"/>
  <c r="CA20" i="4" s="1"/>
  <c r="BW19" i="4"/>
  <c r="BI22" i="4"/>
  <c r="BI105" i="3"/>
  <c r="BI86" i="3" s="1"/>
  <c r="BO96" i="47"/>
  <c r="BO97" i="47" s="1"/>
  <c r="BO98" i="47" s="1"/>
  <c r="BO16" i="4"/>
  <c r="BF106" i="3"/>
  <c r="BF25" i="4"/>
  <c r="BU20" i="4"/>
  <c r="BM26" i="4"/>
  <c r="BS24" i="4"/>
  <c r="BN106" i="3"/>
  <c r="BN25" i="4"/>
  <c r="BM106" i="3" l="1"/>
  <c r="BM25" i="4"/>
  <c r="BI69" i="4"/>
  <c r="BI31" i="47"/>
  <c r="BI111" i="47"/>
  <c r="BI112" i="47" s="1"/>
  <c r="BI113" i="47" s="1"/>
  <c r="BI54" i="4"/>
  <c r="BI4" i="47"/>
  <c r="BI152" i="47"/>
  <c r="CA11" i="4"/>
  <c r="CA93" i="47"/>
  <c r="BG6" i="47"/>
  <c r="BG70" i="4"/>
  <c r="BG62" i="4"/>
  <c r="BG63" i="4" s="1"/>
  <c r="BN121" i="3"/>
  <c r="BN136" i="3"/>
  <c r="BN87" i="3"/>
  <c r="BY24" i="4"/>
  <c r="CE24" i="4" s="1"/>
  <c r="BU99" i="47"/>
  <c r="BU100" i="47" s="1"/>
  <c r="BU101" i="47" s="1"/>
  <c r="BU21" i="4"/>
  <c r="CE19" i="4"/>
  <c r="BL106" i="3"/>
  <c r="BL25" i="4"/>
  <c r="CG9" i="4"/>
  <c r="BO22" i="4"/>
  <c r="BO105" i="3"/>
  <c r="BO86" i="3" s="1"/>
  <c r="BE121" i="3"/>
  <c r="BE136" i="3"/>
  <c r="BE87" i="3"/>
  <c r="BU16" i="4"/>
  <c r="BU96" i="47"/>
  <c r="BU97" i="47" s="1"/>
  <c r="BU98" i="47" s="1"/>
  <c r="BO104" i="3"/>
  <c r="BO85" i="3" s="1"/>
  <c r="BO17" i="4"/>
  <c r="BI25" i="4"/>
  <c r="BI27" i="4" s="1"/>
  <c r="BE7" i="4"/>
  <c r="CA14" i="4"/>
  <c r="CC14" i="4"/>
  <c r="BI106" i="3"/>
  <c r="BI87" i="3" s="1"/>
  <c r="BH6" i="47"/>
  <c r="BH70" i="4"/>
  <c r="BH62" i="4"/>
  <c r="BH63" i="4" s="1"/>
  <c r="BU12" i="4"/>
  <c r="BU103" i="3"/>
  <c r="BU84" i="3" s="1"/>
  <c r="BF7" i="4"/>
  <c r="CG10" i="4"/>
  <c r="BK106" i="3"/>
  <c r="BK25" i="4"/>
  <c r="CF24" i="4"/>
  <c r="CF6" i="4" s="1"/>
  <c r="BZ6" i="4"/>
  <c r="CF7" i="4" s="1"/>
  <c r="CF62" i="4" s="1"/>
  <c r="CF63" i="4" s="1"/>
  <c r="BN7" i="4"/>
  <c r="BO26" i="4"/>
  <c r="BO102" i="47"/>
  <c r="BO103" i="47" s="1"/>
  <c r="BO104" i="47" s="1"/>
  <c r="BO6" i="4"/>
  <c r="BF136" i="3"/>
  <c r="BF121" i="3"/>
  <c r="BF87" i="3"/>
  <c r="CC19" i="4"/>
  <c r="CA19" i="4"/>
  <c r="CG20" i="4" s="1"/>
  <c r="CD14" i="4"/>
  <c r="CD6" i="4" s="1"/>
  <c r="BX6" i="4"/>
  <c r="BI121" i="3" l="1"/>
  <c r="CG19" i="4"/>
  <c r="CG99" i="47" s="1"/>
  <c r="CA94" i="47"/>
  <c r="CA95" i="47" s="1"/>
  <c r="BQ69" i="4"/>
  <c r="BQ117" i="3" s="1"/>
  <c r="BY6" i="4"/>
  <c r="BY54" i="4" s="1"/>
  <c r="BO4" i="47"/>
  <c r="BO69" i="4"/>
  <c r="BO54" i="4"/>
  <c r="BO152" i="47"/>
  <c r="BO111" i="47"/>
  <c r="BX152" i="47"/>
  <c r="BX54" i="4"/>
  <c r="BX4" i="47"/>
  <c r="BX9" i="3"/>
  <c r="BX111" i="47"/>
  <c r="CG93" i="47"/>
  <c r="CG94" i="47" s="1"/>
  <c r="CG11" i="4"/>
  <c r="BG67" i="4"/>
  <c r="BG64" i="4"/>
  <c r="CD4" i="47"/>
  <c r="CD152" i="47"/>
  <c r="CD111" i="47"/>
  <c r="CD69" i="4"/>
  <c r="CD54" i="4"/>
  <c r="CD9" i="3"/>
  <c r="BL7" i="4"/>
  <c r="BM7" i="4"/>
  <c r="CA99" i="47"/>
  <c r="CA100" i="47" s="1"/>
  <c r="CA101" i="47" s="1"/>
  <c r="CA21" i="4"/>
  <c r="BO106" i="3"/>
  <c r="BO87" i="3" s="1"/>
  <c r="BI136" i="3"/>
  <c r="BL136" i="3"/>
  <c r="BL121" i="3"/>
  <c r="BL87" i="3"/>
  <c r="CA103" i="3"/>
  <c r="CA84" i="3" s="1"/>
  <c r="CA12" i="4"/>
  <c r="BM121" i="3"/>
  <c r="BM87" i="3"/>
  <c r="BM136" i="3"/>
  <c r="CF69" i="4"/>
  <c r="CF152" i="47"/>
  <c r="CF111" i="47"/>
  <c r="CF54" i="4"/>
  <c r="CF9" i="3"/>
  <c r="CF4" i="47"/>
  <c r="BU22" i="4"/>
  <c r="BU105" i="3"/>
  <c r="BU86" i="3" s="1"/>
  <c r="CG14" i="4"/>
  <c r="BI151" i="47"/>
  <c r="BI153" i="47"/>
  <c r="BO25" i="4"/>
  <c r="BO27" i="4" s="1"/>
  <c r="BK7" i="4"/>
  <c r="CA16" i="4"/>
  <c r="CA96" i="47"/>
  <c r="CA97" i="47" s="1"/>
  <c r="CA98" i="47" s="1"/>
  <c r="BK87" i="3"/>
  <c r="BK136" i="3"/>
  <c r="BK121" i="3"/>
  <c r="CG15" i="4"/>
  <c r="CE6" i="4"/>
  <c r="BI60" i="4"/>
  <c r="BI121" i="4"/>
  <c r="BO57" i="4"/>
  <c r="BO58" i="4"/>
  <c r="BO59" i="4"/>
  <c r="BI55" i="4"/>
  <c r="BI119" i="4"/>
  <c r="BI146" i="1"/>
  <c r="BI151" i="1" s="1"/>
  <c r="BO56" i="4"/>
  <c r="BI117" i="4"/>
  <c r="BI115" i="4"/>
  <c r="BF70" i="4"/>
  <c r="BF6" i="47"/>
  <c r="BF62" i="4"/>
  <c r="BF63" i="4" s="1"/>
  <c r="BI117" i="3"/>
  <c r="BI132" i="3"/>
  <c r="BI102" i="3"/>
  <c r="BI83" i="3" s="1"/>
  <c r="BN6" i="47"/>
  <c r="BN62" i="4"/>
  <c r="BN63" i="4" s="1"/>
  <c r="BH64" i="4"/>
  <c r="BH67" i="4"/>
  <c r="BI5" i="47"/>
  <c r="BI30" i="47"/>
  <c r="CD7" i="4"/>
  <c r="CD62" i="4" s="1"/>
  <c r="CD63" i="4" s="1"/>
  <c r="BZ152" i="47"/>
  <c r="BZ111" i="47"/>
  <c r="BZ9" i="3"/>
  <c r="BZ4" i="47"/>
  <c r="BZ54" i="4"/>
  <c r="BE6" i="47"/>
  <c r="BE62" i="4"/>
  <c r="BE63" i="4" s="1"/>
  <c r="BI7" i="4"/>
  <c r="BI62" i="4" s="1"/>
  <c r="BI63" i="4" s="1"/>
  <c r="BU17" i="4"/>
  <c r="BU104" i="3"/>
  <c r="BU85" i="3" s="1"/>
  <c r="BQ146" i="1" l="1"/>
  <c r="BQ60" i="4"/>
  <c r="BQ102" i="3"/>
  <c r="BQ83" i="3" s="1"/>
  <c r="CG21" i="4"/>
  <c r="CG22" i="4" s="1"/>
  <c r="BW58" i="4"/>
  <c r="BW63" i="3" s="1"/>
  <c r="BQ132" i="3"/>
  <c r="BY111" i="47"/>
  <c r="CE7" i="4"/>
  <c r="CE62" i="4" s="1"/>
  <c r="CE63" i="4" s="1"/>
  <c r="BY152" i="47"/>
  <c r="BY151" i="47" s="1"/>
  <c r="BY9" i="3"/>
  <c r="BY4" i="47"/>
  <c r="BO63" i="3"/>
  <c r="CG12" i="4"/>
  <c r="CG103" i="3"/>
  <c r="CG84" i="3" s="1"/>
  <c r="BK62" i="4"/>
  <c r="BK63" i="4" s="1"/>
  <c r="BK6" i="47"/>
  <c r="BO7" i="4"/>
  <c r="BO62" i="4" s="1"/>
  <c r="BO63" i="4" s="1"/>
  <c r="CF117" i="3"/>
  <c r="CF70" i="4"/>
  <c r="CF132" i="3"/>
  <c r="CF102" i="3"/>
  <c r="CF83" i="3" s="1"/>
  <c r="BZ153" i="47"/>
  <c r="BZ151" i="47"/>
  <c r="CE4" i="47"/>
  <c r="CE111" i="47"/>
  <c r="CE152" i="47"/>
  <c r="CE69" i="4"/>
  <c r="CE54" i="4"/>
  <c r="CE9" i="3"/>
  <c r="BY146" i="1"/>
  <c r="BY60" i="4"/>
  <c r="CE58" i="4"/>
  <c r="BY8" i="3"/>
  <c r="CF5" i="47"/>
  <c r="CA22" i="4"/>
  <c r="CA105" i="3"/>
  <c r="CA86" i="3" s="1"/>
  <c r="CD5" i="47"/>
  <c r="BX151" i="47"/>
  <c r="BX153" i="47"/>
  <c r="BH68" i="4"/>
  <c r="BH89" i="4"/>
  <c r="BH90" i="4" s="1"/>
  <c r="BO97" i="4"/>
  <c r="BO37" i="4"/>
  <c r="CF146" i="1"/>
  <c r="CF60" i="4"/>
  <c r="CF55" i="4"/>
  <c r="CF8" i="3"/>
  <c r="BM6" i="47"/>
  <c r="BM62" i="4"/>
  <c r="BM63" i="4" s="1"/>
  <c r="BG89" i="4"/>
  <c r="BG90" i="4" s="1"/>
  <c r="BG68" i="4"/>
  <c r="BO153" i="47"/>
  <c r="BO151" i="47"/>
  <c r="BI70" i="4"/>
  <c r="CF30" i="47"/>
  <c r="CF112" i="47"/>
  <c r="BX30" i="47"/>
  <c r="BO121" i="4"/>
  <c r="BO119" i="4"/>
  <c r="BO60" i="4"/>
  <c r="BU59" i="4"/>
  <c r="BU58" i="4"/>
  <c r="BO146" i="1"/>
  <c r="BO151" i="1" s="1"/>
  <c r="BO55" i="4"/>
  <c r="BO117" i="4"/>
  <c r="BO115" i="4"/>
  <c r="BZ146" i="1"/>
  <c r="BZ60" i="4"/>
  <c r="CF58" i="4"/>
  <c r="BZ8" i="3"/>
  <c r="BN64" i="4"/>
  <c r="BN67" i="4"/>
  <c r="CF151" i="47"/>
  <c r="CF153" i="47"/>
  <c r="BL62" i="4"/>
  <c r="BL63" i="4" s="1"/>
  <c r="BL6" i="47"/>
  <c r="CD60" i="4"/>
  <c r="CD146" i="1"/>
  <c r="CD55" i="4"/>
  <c r="CD8" i="3"/>
  <c r="CA17" i="4"/>
  <c r="CA104" i="3"/>
  <c r="CA85" i="3" s="1"/>
  <c r="BO5" i="47"/>
  <c r="BO121" i="3"/>
  <c r="CD30" i="47"/>
  <c r="CD112" i="47"/>
  <c r="CG95" i="47"/>
  <c r="CI93" i="47"/>
  <c r="CI99" i="47"/>
  <c r="CG100" i="47"/>
  <c r="CG101" i="47" s="1"/>
  <c r="BO112" i="47"/>
  <c r="BO113" i="47" s="1"/>
  <c r="BO30" i="47"/>
  <c r="CG16" i="4"/>
  <c r="CG96" i="47"/>
  <c r="BO132" i="3"/>
  <c r="BO117" i="3"/>
  <c r="BO102" i="3"/>
  <c r="BO83" i="3" s="1"/>
  <c r="BI32" i="47"/>
  <c r="BI37" i="47"/>
  <c r="BI154" i="47"/>
  <c r="BI155" i="47"/>
  <c r="CD117" i="3"/>
  <c r="CD132" i="3"/>
  <c r="CD70" i="4"/>
  <c r="CD102" i="3"/>
  <c r="CD83" i="3" s="1"/>
  <c r="BI64" i="4"/>
  <c r="BI67" i="4"/>
  <c r="BE64" i="4"/>
  <c r="BE67" i="4"/>
  <c r="BZ30" i="47"/>
  <c r="BI7" i="47"/>
  <c r="BI6" i="47"/>
  <c r="BF67" i="4"/>
  <c r="BF64" i="4"/>
  <c r="BO136" i="3"/>
  <c r="CD153" i="47"/>
  <c r="CD151" i="47"/>
  <c r="BX146" i="1"/>
  <c r="BX60" i="4"/>
  <c r="CD58" i="4"/>
  <c r="BX8" i="3"/>
  <c r="CG105" i="3" l="1"/>
  <c r="CG86" i="3" s="1"/>
  <c r="BQ82" i="3"/>
  <c r="BQ110" i="1"/>
  <c r="BP28" i="2" s="1"/>
  <c r="BQ13" i="1"/>
  <c r="BQ27" i="1"/>
  <c r="BQ11" i="1"/>
  <c r="BP19" i="2" s="1"/>
  <c r="BY30" i="47"/>
  <c r="BY31" i="47" s="1"/>
  <c r="BQ61" i="3"/>
  <c r="BY153" i="47"/>
  <c r="BY154" i="47" s="1"/>
  <c r="BO155" i="47"/>
  <c r="BO154" i="47"/>
  <c r="BZ154" i="47"/>
  <c r="BZ155" i="47"/>
  <c r="BZ48" i="3" s="1"/>
  <c r="BZ15" i="3" s="1"/>
  <c r="BX155" i="47"/>
  <c r="BX48" i="3" s="1"/>
  <c r="BX15" i="3" s="1"/>
  <c r="BX154" i="47"/>
  <c r="CE117" i="3"/>
  <c r="CE70" i="4"/>
  <c r="CE132" i="3"/>
  <c r="CE102" i="3"/>
  <c r="CE83" i="3" s="1"/>
  <c r="BI89" i="4"/>
  <c r="BI90" i="4" s="1"/>
  <c r="BI68" i="4"/>
  <c r="BO70" i="4"/>
  <c r="BN68" i="4"/>
  <c r="BN89" i="4"/>
  <c r="BN90" i="4" s="1"/>
  <c r="CF56" i="4"/>
  <c r="BY155" i="47"/>
  <c r="BY48" i="3" s="1"/>
  <c r="BY15" i="3" s="1"/>
  <c r="CE5" i="47"/>
  <c r="BK64" i="4"/>
  <c r="BK67" i="4"/>
  <c r="BZ19" i="3"/>
  <c r="BZ18" i="3"/>
  <c r="BZ20" i="3"/>
  <c r="BZ13" i="1"/>
  <c r="BZ110" i="1"/>
  <c r="BY28" i="2" s="1"/>
  <c r="BZ27" i="1"/>
  <c r="BZ11" i="1"/>
  <c r="CF6" i="47"/>
  <c r="BX19" i="3"/>
  <c r="BX13" i="1"/>
  <c r="BX18" i="3"/>
  <c r="BX27" i="1"/>
  <c r="BX20" i="3"/>
  <c r="BX11" i="1"/>
  <c r="BX110" i="1"/>
  <c r="BW28" i="2" s="1"/>
  <c r="CI32" i="47"/>
  <c r="BO32" i="47"/>
  <c r="BO31" i="47"/>
  <c r="BO37" i="47"/>
  <c r="BL64" i="4"/>
  <c r="BL67" i="4"/>
  <c r="BY11" i="1"/>
  <c r="BY19" i="3"/>
  <c r="BY18" i="3"/>
  <c r="BY110" i="1"/>
  <c r="BX28" i="2" s="1"/>
  <c r="BY13" i="1"/>
  <c r="BY27" i="1"/>
  <c r="BY20" i="3"/>
  <c r="CD31" i="47"/>
  <c r="CD32" i="47"/>
  <c r="CD37" i="47"/>
  <c r="BI39" i="47"/>
  <c r="BI38" i="47"/>
  <c r="BI33" i="47"/>
  <c r="CD60" i="3"/>
  <c r="CD13" i="1"/>
  <c r="CD19" i="3"/>
  <c r="CD20" i="3"/>
  <c r="CD11" i="1"/>
  <c r="CD18" i="3"/>
  <c r="CD110" i="1"/>
  <c r="CC28" i="2" s="1"/>
  <c r="CD27" i="1"/>
  <c r="BU63" i="3"/>
  <c r="BE68" i="4"/>
  <c r="BE89" i="4"/>
  <c r="BE90" i="4" s="1"/>
  <c r="CI96" i="47"/>
  <c r="CG97" i="47"/>
  <c r="CG98" i="47" s="1"/>
  <c r="CD56" i="4"/>
  <c r="CF154" i="47"/>
  <c r="CF155" i="47"/>
  <c r="CF48" i="3" s="1"/>
  <c r="CF15" i="3" s="1"/>
  <c r="BU37" i="4"/>
  <c r="CF32" i="47"/>
  <c r="CF31" i="47"/>
  <c r="CF37" i="47"/>
  <c r="CD6" i="47"/>
  <c r="CE63" i="3"/>
  <c r="CE153" i="47"/>
  <c r="CE151" i="47"/>
  <c r="CD63" i="3"/>
  <c r="BO6" i="47"/>
  <c r="BO7" i="47"/>
  <c r="CF63" i="3"/>
  <c r="BX31" i="47"/>
  <c r="BX37" i="47"/>
  <c r="CE146" i="1"/>
  <c r="CE60" i="4"/>
  <c r="CE55" i="4"/>
  <c r="CE8" i="3"/>
  <c r="CD154" i="47"/>
  <c r="CD155" i="47"/>
  <c r="CD48" i="3" s="1"/>
  <c r="CD15" i="3" s="1"/>
  <c r="BZ31" i="47"/>
  <c r="BZ37" i="47"/>
  <c r="BM64" i="4"/>
  <c r="BM67" i="4"/>
  <c r="BO67" i="4"/>
  <c r="BO64" i="4"/>
  <c r="BF89" i="4"/>
  <c r="BF90" i="4" s="1"/>
  <c r="BF68" i="4"/>
  <c r="CG17" i="4"/>
  <c r="CG104" i="3"/>
  <c r="CG85" i="3" s="1"/>
  <c r="CF60" i="3"/>
  <c r="CF19" i="3"/>
  <c r="CF13" i="1"/>
  <c r="CF27" i="1"/>
  <c r="CF18" i="3"/>
  <c r="CF11" i="1"/>
  <c r="CF110" i="1"/>
  <c r="CE28" i="2" s="1"/>
  <c r="CF20" i="3"/>
  <c r="CE112" i="47"/>
  <c r="CE30" i="47"/>
  <c r="BQ64" i="3" l="1"/>
  <c r="BQ62" i="3"/>
  <c r="BP94" i="2"/>
  <c r="BP21" i="2"/>
  <c r="BQ114" i="1"/>
  <c r="BQ122" i="1" s="1"/>
  <c r="BQ17" i="1" s="1"/>
  <c r="BP96" i="2"/>
  <c r="BP95" i="2"/>
  <c r="BQ21" i="3"/>
  <c r="BP24" i="2"/>
  <c r="BY37" i="47"/>
  <c r="BY33" i="47" s="1"/>
  <c r="BZ38" i="47"/>
  <c r="BZ33" i="47"/>
  <c r="CD39" i="47"/>
  <c r="CD38" i="47"/>
  <c r="CD33" i="47"/>
  <c r="CG11" i="1"/>
  <c r="CE56" i="4"/>
  <c r="BL68" i="4"/>
  <c r="BL89" i="4"/>
  <c r="BL90" i="4" s="1"/>
  <c r="BY95" i="2"/>
  <c r="CF82" i="3"/>
  <c r="CF69" i="3"/>
  <c r="CE96" i="2"/>
  <c r="BX38" i="47"/>
  <c r="BX33" i="47"/>
  <c r="CD61" i="3"/>
  <c r="CD64" i="3" s="1"/>
  <c r="CD57" i="4"/>
  <c r="CC33" i="2"/>
  <c r="CD82" i="3"/>
  <c r="BX24" i="2"/>
  <c r="BO39" i="47"/>
  <c r="BO38" i="47"/>
  <c r="BO33" i="47"/>
  <c r="BX19" i="2"/>
  <c r="BY33" i="2"/>
  <c r="CE33" i="2"/>
  <c r="CE155" i="47"/>
  <c r="CE48" i="3" s="1"/>
  <c r="CE15" i="3" s="1"/>
  <c r="CE154" i="47"/>
  <c r="BY21" i="2"/>
  <c r="CC94" i="2"/>
  <c r="CD67" i="3"/>
  <c r="CD21" i="3"/>
  <c r="BX33" i="2"/>
  <c r="BW96" i="2"/>
  <c r="CA13" i="1"/>
  <c r="BY148" i="47"/>
  <c r="BY12" i="3"/>
  <c r="BY11" i="3" s="1"/>
  <c r="BX148" i="47"/>
  <c r="BX12" i="3"/>
  <c r="BX11" i="3" s="1"/>
  <c r="CF67" i="3"/>
  <c r="CE94" i="2"/>
  <c r="CF21" i="3"/>
  <c r="CE60" i="3"/>
  <c r="CE13" i="1"/>
  <c r="CD21" i="2" s="1"/>
  <c r="CE20" i="3"/>
  <c r="CE27" i="1"/>
  <c r="CE19" i="3"/>
  <c r="CE110" i="1"/>
  <c r="CD28" i="2" s="1"/>
  <c r="CE18" i="3"/>
  <c r="CE11" i="1"/>
  <c r="BY96" i="2"/>
  <c r="CF57" i="4"/>
  <c r="CF61" i="3"/>
  <c r="BI34" i="47"/>
  <c r="BI35" i="47" s="1"/>
  <c r="BK89" i="4"/>
  <c r="BK90" i="4" s="1"/>
  <c r="BK68" i="4"/>
  <c r="CD148" i="47"/>
  <c r="CD12" i="3"/>
  <c r="CD11" i="3" s="1"/>
  <c r="BP33" i="2"/>
  <c r="BW94" i="2"/>
  <c r="BX21" i="3"/>
  <c r="CE6" i="47"/>
  <c r="CG13" i="1"/>
  <c r="CD68" i="3"/>
  <c r="CC95" i="2"/>
  <c r="BX95" i="2"/>
  <c r="BX21" i="2"/>
  <c r="CF68" i="3"/>
  <c r="CE95" i="2"/>
  <c r="BM68" i="4"/>
  <c r="BM89" i="4"/>
  <c r="BM90" i="4" s="1"/>
  <c r="CF148" i="47"/>
  <c r="CF12" i="3"/>
  <c r="CF11" i="3" s="1"/>
  <c r="BY19" i="2"/>
  <c r="BW95" i="2"/>
  <c r="CA11" i="1"/>
  <c r="CE31" i="47"/>
  <c r="CE32" i="47"/>
  <c r="CE37" i="47"/>
  <c r="CG27" i="1"/>
  <c r="BO68" i="4"/>
  <c r="BO89" i="4"/>
  <c r="BO90" i="4" s="1"/>
  <c r="CC96" i="2"/>
  <c r="CD69" i="3"/>
  <c r="BX94" i="2"/>
  <c r="BY21" i="3"/>
  <c r="BY94" i="2"/>
  <c r="BZ21" i="3"/>
  <c r="BZ148" i="47"/>
  <c r="BZ12" i="3"/>
  <c r="BZ11" i="3" s="1"/>
  <c r="CF38" i="47"/>
  <c r="CF39" i="47"/>
  <c r="CF33" i="47"/>
  <c r="BX96" i="2"/>
  <c r="BW33" i="2"/>
  <c r="CA27" i="1"/>
  <c r="BY24" i="2"/>
  <c r="BQ70" i="3" l="1"/>
  <c r="BQ25" i="3"/>
  <c r="BR109" i="1"/>
  <c r="BQ20" i="1"/>
  <c r="BY38" i="47"/>
  <c r="BQ26" i="1"/>
  <c r="BP23" i="2" s="1"/>
  <c r="BX42" i="47"/>
  <c r="CE19" i="2"/>
  <c r="BY25" i="1"/>
  <c r="BX93" i="2"/>
  <c r="BX97" i="2" s="1"/>
  <c r="BX98" i="2" s="1"/>
  <c r="BX11" i="2" s="1"/>
  <c r="BY46" i="3"/>
  <c r="BY12" i="1"/>
  <c r="BY14" i="3"/>
  <c r="BY26" i="1"/>
  <c r="BY20" i="1"/>
  <c r="CD95" i="2"/>
  <c r="CE68" i="3"/>
  <c r="CF62" i="3"/>
  <c r="CE69" i="3"/>
  <c r="CD96" i="2"/>
  <c r="CF70" i="3"/>
  <c r="CF20" i="1"/>
  <c r="CF26" i="1"/>
  <c r="CE57" i="4"/>
  <c r="CE61" i="3"/>
  <c r="CE64" i="3" s="1"/>
  <c r="BZ42" i="47"/>
  <c r="BX20" i="1"/>
  <c r="BX26" i="1"/>
  <c r="CE21" i="2"/>
  <c r="CD62" i="3"/>
  <c r="CF64" i="3"/>
  <c r="CD24" i="2"/>
  <c r="CE148" i="47"/>
  <c r="CE12" i="3"/>
  <c r="CE11" i="3" s="1"/>
  <c r="CE24" i="2"/>
  <c r="CF42" i="47"/>
  <c r="CF34" i="47"/>
  <c r="CF35" i="47" s="1"/>
  <c r="BZ26" i="1"/>
  <c r="BZ20" i="1"/>
  <c r="CF46" i="3"/>
  <c r="CF65" i="3"/>
  <c r="CF12" i="1"/>
  <c r="CF25" i="1"/>
  <c r="CE93" i="2"/>
  <c r="CE97" i="2" s="1"/>
  <c r="CE98" i="2" s="1"/>
  <c r="CE11" i="2" s="1"/>
  <c r="CF14" i="3"/>
  <c r="BY42" i="47"/>
  <c r="CD19" i="2"/>
  <c r="CE67" i="3"/>
  <c r="CD94" i="2"/>
  <c r="CE21" i="3"/>
  <c r="CE82" i="3"/>
  <c r="BX46" i="3"/>
  <c r="BX25" i="1"/>
  <c r="BW93" i="2"/>
  <c r="BW97" i="2" s="1"/>
  <c r="BW98" i="2" s="1"/>
  <c r="BW11" i="2" s="1"/>
  <c r="BX12" i="1"/>
  <c r="BX14" i="3"/>
  <c r="BQ25" i="1"/>
  <c r="BQ12" i="1"/>
  <c r="BP93" i="2"/>
  <c r="BP97" i="2" s="1"/>
  <c r="BP98" i="2" s="1"/>
  <c r="BO34" i="47"/>
  <c r="BO35" i="47" s="1"/>
  <c r="CI16" i="47"/>
  <c r="BZ46" i="3"/>
  <c r="BZ12" i="1"/>
  <c r="BY93" i="2"/>
  <c r="BY97" i="2" s="1"/>
  <c r="BY98" i="2" s="1"/>
  <c r="BY11" i="2" s="1"/>
  <c r="BZ25" i="1"/>
  <c r="BZ14" i="3"/>
  <c r="CE38" i="47"/>
  <c r="CE39" i="47"/>
  <c r="CE33" i="47"/>
  <c r="CD46" i="3"/>
  <c r="CD65" i="3"/>
  <c r="CD12" i="1"/>
  <c r="CC93" i="2"/>
  <c r="CC97" i="2" s="1"/>
  <c r="CC98" i="2" s="1"/>
  <c r="CC11" i="2" s="1"/>
  <c r="CD25" i="1"/>
  <c r="CD14" i="3"/>
  <c r="CD33" i="2"/>
  <c r="CD70" i="3"/>
  <c r="CD26" i="1"/>
  <c r="CD20" i="1"/>
  <c r="CD42" i="47"/>
  <c r="CD34" i="47"/>
  <c r="CD35" i="47" s="1"/>
  <c r="BQ71" i="3" l="1"/>
  <c r="BQ33" i="3"/>
  <c r="BQ23" i="3"/>
  <c r="BQ54" i="3"/>
  <c r="BQ174" i="3" s="1"/>
  <c r="BQ163" i="3" s="1"/>
  <c r="BR117" i="1"/>
  <c r="BR120" i="1" s="1"/>
  <c r="BS116" i="1" s="1"/>
  <c r="BQ155" i="1"/>
  <c r="BP9" i="2"/>
  <c r="CE34" i="47"/>
  <c r="CE35" i="47" s="1"/>
  <c r="CE42" i="47"/>
  <c r="BX20" i="2"/>
  <c r="CG12" i="1"/>
  <c r="CD28" i="1"/>
  <c r="CA12" i="1"/>
  <c r="BX28" i="1"/>
  <c r="BX23" i="2"/>
  <c r="CF66" i="3"/>
  <c r="CF47" i="3"/>
  <c r="CF25" i="3"/>
  <c r="BQ28" i="1"/>
  <c r="BP22" i="2"/>
  <c r="CA20" i="1"/>
  <c r="BZ155" i="1"/>
  <c r="CG26" i="1"/>
  <c r="CF28" i="1"/>
  <c r="CG25" i="1"/>
  <c r="BY23" i="2"/>
  <c r="CA26" i="1"/>
  <c r="CE65" i="3"/>
  <c r="CE46" i="3"/>
  <c r="CE12" i="1"/>
  <c r="CE25" i="1"/>
  <c r="CE22" i="2" s="1"/>
  <c r="CD93" i="2"/>
  <c r="CD97" i="2" s="1"/>
  <c r="CD98" i="2" s="1"/>
  <c r="CD11" i="2" s="1"/>
  <c r="CE14" i="3"/>
  <c r="CE62" i="3"/>
  <c r="CG20" i="1"/>
  <c r="CF155" i="1"/>
  <c r="BY28" i="1"/>
  <c r="BX22" i="2"/>
  <c r="BP20" i="2"/>
  <c r="BZ28" i="1"/>
  <c r="CA25" i="1"/>
  <c r="BY22" i="2"/>
  <c r="BP11" i="2"/>
  <c r="BY47" i="3"/>
  <c r="BY25" i="3"/>
  <c r="BZ47" i="3"/>
  <c r="BZ25" i="3"/>
  <c r="BX47" i="3"/>
  <c r="BX25" i="3"/>
  <c r="CE70" i="3"/>
  <c r="CE20" i="1"/>
  <c r="CE26" i="1"/>
  <c r="CD155" i="1"/>
  <c r="CD66" i="3"/>
  <c r="CD47" i="3"/>
  <c r="CD25" i="3"/>
  <c r="BX9" i="2"/>
  <c r="BX155" i="1"/>
  <c r="BY9" i="2"/>
  <c r="BY155" i="1"/>
  <c r="BY20" i="2"/>
  <c r="BQ36" i="3" l="1"/>
  <c r="BQ34" i="3"/>
  <c r="BQ56" i="3"/>
  <c r="BQ10" i="2"/>
  <c r="CG28" i="1"/>
  <c r="BY18" i="2"/>
  <c r="CD71" i="3"/>
  <c r="CD147" i="1"/>
  <c r="CD54" i="3"/>
  <c r="BZ32" i="1"/>
  <c r="CE28" i="1"/>
  <c r="CD22" i="2"/>
  <c r="BQ109" i="3"/>
  <c r="BQ124" i="3"/>
  <c r="BQ139" i="3"/>
  <c r="BQ90" i="3"/>
  <c r="BQ96" i="3" s="1"/>
  <c r="CF71" i="3"/>
  <c r="CF147" i="1"/>
  <c r="CF54" i="3"/>
  <c r="CD23" i="2"/>
  <c r="CF139" i="3"/>
  <c r="CF124" i="3"/>
  <c r="CF109" i="3"/>
  <c r="CF90" i="3"/>
  <c r="CE9" i="2"/>
  <c r="CE155" i="1"/>
  <c r="BZ147" i="1"/>
  <c r="BZ54" i="3"/>
  <c r="BY124" i="3"/>
  <c r="BY139" i="3"/>
  <c r="BY109" i="3"/>
  <c r="BY90" i="3"/>
  <c r="BQ36" i="1"/>
  <c r="BZ124" i="3"/>
  <c r="BZ109" i="3"/>
  <c r="BZ139" i="3"/>
  <c r="BZ90" i="3"/>
  <c r="BY32" i="1"/>
  <c r="CE20" i="2"/>
  <c r="CE23" i="2"/>
  <c r="CF32" i="1"/>
  <c r="CA28" i="1"/>
  <c r="CG155" i="1"/>
  <c r="CE66" i="3"/>
  <c r="CE25" i="3"/>
  <c r="CE47" i="3"/>
  <c r="CD9" i="2"/>
  <c r="BX147" i="1"/>
  <c r="BX54" i="3"/>
  <c r="CD20" i="2"/>
  <c r="BP18" i="2"/>
  <c r="BQ147" i="1"/>
  <c r="CD139" i="3"/>
  <c r="CD109" i="3"/>
  <c r="CD124" i="3"/>
  <c r="CD90" i="3"/>
  <c r="BY147" i="1"/>
  <c r="BY54" i="3"/>
  <c r="CD32" i="1"/>
  <c r="BQ32" i="1"/>
  <c r="BX18" i="2"/>
  <c r="BX139" i="3"/>
  <c r="BX109" i="3"/>
  <c r="BX124" i="3"/>
  <c r="BX90" i="3"/>
  <c r="CA155" i="1"/>
  <c r="BX32" i="1"/>
  <c r="BQ148" i="1" l="1"/>
  <c r="BQ149" i="1" s="1"/>
  <c r="BQ150" i="1" s="1"/>
  <c r="BQ76" i="3"/>
  <c r="BU76" i="3" s="1"/>
  <c r="BQ57" i="3"/>
  <c r="BQ43" i="3"/>
  <c r="BQ73" i="3" s="1"/>
  <c r="BQ72" i="3"/>
  <c r="BQ191" i="3"/>
  <c r="CF96" i="3"/>
  <c r="CA32" i="1"/>
  <c r="CD98" i="3"/>
  <c r="CD160" i="3"/>
  <c r="BY160" i="3"/>
  <c r="BQ188" i="3"/>
  <c r="BQ165" i="3" s="1"/>
  <c r="CE18" i="2"/>
  <c r="BQ98" i="1"/>
  <c r="BZ160" i="3"/>
  <c r="CE124" i="3"/>
  <c r="CE109" i="3"/>
  <c r="CE139" i="3"/>
  <c r="CE90" i="3"/>
  <c r="CE96" i="3" s="1"/>
  <c r="CD149" i="1"/>
  <c r="CD150" i="1" s="1"/>
  <c r="CG32" i="1"/>
  <c r="BX149" i="1"/>
  <c r="BX150" i="1" s="1"/>
  <c r="CE71" i="3"/>
  <c r="CE147" i="1"/>
  <c r="CE54" i="3"/>
  <c r="BZ149" i="1"/>
  <c r="BZ150" i="1" s="1"/>
  <c r="CE32" i="1"/>
  <c r="CD96" i="3"/>
  <c r="CD18" i="2"/>
  <c r="CF98" i="3"/>
  <c r="CF160" i="3"/>
  <c r="BY149" i="1"/>
  <c r="BY150" i="1" s="1"/>
  <c r="BQ98" i="3"/>
  <c r="BQ160" i="3"/>
  <c r="BQ184" i="3"/>
  <c r="BQ164" i="3" s="1"/>
  <c r="BX160" i="3"/>
  <c r="CF149" i="1"/>
  <c r="CF150" i="1" s="1"/>
  <c r="CD151" i="1" l="1"/>
  <c r="BQ151" i="1"/>
  <c r="CF151" i="1"/>
  <c r="BX151" i="1"/>
  <c r="BY151" i="1"/>
  <c r="BZ151" i="1"/>
  <c r="BZ167" i="3"/>
  <c r="CD167" i="3"/>
  <c r="CD161" i="3"/>
  <c r="CF161" i="3"/>
  <c r="CF167" i="3"/>
  <c r="CE149" i="1"/>
  <c r="CE150" i="1" s="1"/>
  <c r="BQ161" i="3"/>
  <c r="BQ167" i="3"/>
  <c r="CE98" i="3"/>
  <c r="CE160" i="3"/>
  <c r="BX167" i="3"/>
  <c r="BY167" i="3"/>
  <c r="BQ154" i="3" l="1"/>
  <c r="CE151" i="1"/>
  <c r="BQ169" i="3"/>
  <c r="BQ55" i="3" s="1"/>
  <c r="BQ168" i="3"/>
  <c r="CE161" i="3"/>
  <c r="CE167" i="3"/>
  <c r="CD169" i="3"/>
  <c r="CD168" i="3"/>
  <c r="BQ99" i="1"/>
  <c r="BP8" i="2"/>
  <c r="CF168" i="3"/>
  <c r="CF169" i="3"/>
  <c r="BP63" i="2" l="1"/>
  <c r="CE169" i="3"/>
  <c r="CE168" i="3"/>
  <c r="CD55" i="3"/>
  <c r="CF55" i="3"/>
  <c r="BQ38" i="1"/>
  <c r="BP25" i="2"/>
  <c r="CE55" i="3" l="1"/>
  <c r="BQ39" i="1"/>
  <c r="BQ85" i="1"/>
  <c r="BP53" i="2"/>
  <c r="BQ37" i="3" s="1"/>
  <c r="BP47" i="2"/>
  <c r="BQ84" i="1" l="1"/>
  <c r="BP49" i="2"/>
  <c r="BQ161" i="1"/>
  <c r="BQ40" i="1"/>
  <c r="BQ103" i="1"/>
  <c r="BQ61" i="1"/>
  <c r="BQ86" i="1"/>
  <c r="BP54" i="2"/>
  <c r="BR97" i="1" l="1"/>
  <c r="BQ104" i="1"/>
  <c r="BQ69" i="1"/>
  <c r="BQ48" i="2"/>
  <c r="BQ8" i="1"/>
  <c r="BP55" i="2"/>
  <c r="BQ87" i="1"/>
  <c r="BQ164" i="1" l="1"/>
  <c r="BQ73" i="1"/>
  <c r="BQ46" i="1"/>
  <c r="BQ74" i="1"/>
  <c r="BQ90" i="1"/>
  <c r="BR52" i="1"/>
  <c r="BR54" i="1" s="1"/>
  <c r="BQ14" i="1"/>
  <c r="BP50" i="2"/>
  <c r="BQ68" i="1" l="1"/>
  <c r="BQ47" i="1"/>
  <c r="BQ72" i="1"/>
  <c r="BQ75" i="1"/>
  <c r="BQ22" i="1"/>
  <c r="BR28" i="3"/>
  <c r="BQ169" i="1"/>
  <c r="BQ167" i="1"/>
  <c r="BR31" i="3" l="1"/>
  <c r="BQ168" i="1"/>
  <c r="BQ172" i="1" s="1"/>
  <c r="BQ170" i="1"/>
  <c r="BQ173" i="1" s="1"/>
  <c r="BQ48" i="1"/>
  <c r="BQ49" i="1" s="1"/>
  <c r="BQ62" i="1"/>
  <c r="BQ42" i="1"/>
  <c r="BQ175" i="1" l="1"/>
  <c r="BQ176" i="1"/>
  <c r="BQ63" i="1"/>
  <c r="BQ183" i="47" l="1"/>
  <c r="BW184" i="47" l="1"/>
  <c r="BQ184" i="47"/>
  <c r="BQ181" i="47"/>
  <c r="BQ34" i="4"/>
  <c r="BQ4" i="47" l="1"/>
  <c r="BQ5" i="47" s="1"/>
  <c r="BW36" i="4"/>
  <c r="BW35" i="4" s="1"/>
  <c r="BQ111" i="47"/>
  <c r="BQ112" i="47" s="1"/>
  <c r="BQ24" i="4"/>
  <c r="BQ182" i="47"/>
  <c r="BR182" i="47" s="1"/>
  <c r="BW7" i="4" l="1"/>
  <c r="BW62" i="4" s="1"/>
  <c r="BW63" i="4" s="1"/>
  <c r="BQ26" i="4"/>
  <c r="BU24" i="4"/>
  <c r="CA25" i="4" s="1"/>
  <c r="BW24" i="4"/>
  <c r="BR181" i="47"/>
  <c r="BS182" i="47"/>
  <c r="BQ113" i="47"/>
  <c r="BQ7" i="47"/>
  <c r="CA24" i="4" l="1"/>
  <c r="CG25" i="4" s="1"/>
  <c r="CC24" i="4"/>
  <c r="BW6" i="4"/>
  <c r="BQ106" i="3"/>
  <c r="BQ25" i="4"/>
  <c r="BR183" i="47"/>
  <c r="BS181" i="47"/>
  <c r="BS183" i="47" s="1"/>
  <c r="BT182" i="47"/>
  <c r="BT181" i="47" s="1"/>
  <c r="BT183" i="47" s="1"/>
  <c r="BU26" i="4"/>
  <c r="BU102" i="47"/>
  <c r="BU103" i="47" s="1"/>
  <c r="BU104" i="47" s="1"/>
  <c r="BW152" i="47" l="1"/>
  <c r="BW111" i="47"/>
  <c r="BW4" i="47"/>
  <c r="BW69" i="4"/>
  <c r="BW9" i="3"/>
  <c r="BW54" i="4"/>
  <c r="BZ184" i="47"/>
  <c r="BT184" i="47"/>
  <c r="BT34" i="4"/>
  <c r="CA26" i="4"/>
  <c r="CA102" i="47"/>
  <c r="CA103" i="47" s="1"/>
  <c r="CA104" i="47" s="1"/>
  <c r="CA6" i="4"/>
  <c r="CG7" i="4" s="1"/>
  <c r="CG62" i="4" s="1"/>
  <c r="CG63" i="4" s="1"/>
  <c r="BQ121" i="3"/>
  <c r="BQ87" i="3"/>
  <c r="BQ136" i="3"/>
  <c r="BU106" i="3"/>
  <c r="BU87" i="3" s="1"/>
  <c r="CG24" i="4"/>
  <c r="CC6" i="4"/>
  <c r="BS184" i="47"/>
  <c r="BY184" i="47"/>
  <c r="BS34" i="4"/>
  <c r="BU181" i="47"/>
  <c r="CC7" i="4"/>
  <c r="CC62" i="4" s="1"/>
  <c r="CC63" i="4" s="1"/>
  <c r="CC64" i="4" s="1"/>
  <c r="BQ7" i="4"/>
  <c r="BU25" i="4"/>
  <c r="BX184" i="47"/>
  <c r="BR184" i="47"/>
  <c r="BR34" i="4"/>
  <c r="BU183" i="47"/>
  <c r="BX36" i="4" l="1"/>
  <c r="BX35" i="4" s="1"/>
  <c r="BR36" i="4"/>
  <c r="BR35" i="4" s="1"/>
  <c r="BR6" i="4"/>
  <c r="BY36" i="4"/>
  <c r="BY35" i="4" s="1"/>
  <c r="BS6" i="4"/>
  <c r="BS36" i="4"/>
  <c r="BS35" i="4" s="1"/>
  <c r="BS7" i="4" s="1"/>
  <c r="BS62" i="4" s="1"/>
  <c r="BS63" i="4" s="1"/>
  <c r="BS64" i="4" s="1"/>
  <c r="BW55" i="4"/>
  <c r="BW60" i="4"/>
  <c r="BW146" i="1"/>
  <c r="CC58" i="4"/>
  <c r="BW8" i="3"/>
  <c r="CA111" i="47"/>
  <c r="CA152" i="47"/>
  <c r="CA54" i="4"/>
  <c r="CG59" i="4" s="1"/>
  <c r="CA4" i="47"/>
  <c r="CA9" i="3"/>
  <c r="CA106" i="3"/>
  <c r="CA87" i="3" s="1"/>
  <c r="CA27" i="4"/>
  <c r="BW112" i="47"/>
  <c r="BW113" i="47" s="1"/>
  <c r="BW30" i="47"/>
  <c r="CC111" i="47"/>
  <c r="CC4" i="47"/>
  <c r="CC69" i="4"/>
  <c r="CC9" i="3"/>
  <c r="CC54" i="4"/>
  <c r="CC152" i="47"/>
  <c r="BW70" i="4"/>
  <c r="BW117" i="3"/>
  <c r="BW132" i="3"/>
  <c r="BW102" i="3"/>
  <c r="BW83" i="3" s="1"/>
  <c r="CG26" i="4"/>
  <c r="CG102" i="47"/>
  <c r="CG6" i="4"/>
  <c r="BW5" i="47"/>
  <c r="BQ62" i="4"/>
  <c r="BQ63" i="4" s="1"/>
  <c r="BQ67" i="4" s="1"/>
  <c r="BQ6" i="47"/>
  <c r="BU184" i="47"/>
  <c r="BU34" i="4"/>
  <c r="CA184" i="47"/>
  <c r="BU27" i="4"/>
  <c r="BZ36" i="4"/>
  <c r="BZ35" i="4" s="1"/>
  <c r="BT6" i="4"/>
  <c r="BT36" i="4"/>
  <c r="BT35" i="4" s="1"/>
  <c r="BT7" i="4" s="1"/>
  <c r="BT62" i="4" s="1"/>
  <c r="BT63" i="4" s="1"/>
  <c r="BT64" i="4" s="1"/>
  <c r="BW151" i="47"/>
  <c r="BW153" i="47"/>
  <c r="BQ89" i="4" l="1"/>
  <c r="BQ90" i="4" s="1"/>
  <c r="BQ68" i="4"/>
  <c r="CA30" i="47"/>
  <c r="BS152" i="47"/>
  <c r="BY69" i="4"/>
  <c r="BS69" i="4"/>
  <c r="BS111" i="47"/>
  <c r="BS4" i="47"/>
  <c r="BS9" i="3"/>
  <c r="BS54" i="4"/>
  <c r="CC63" i="3"/>
  <c r="BY7" i="4"/>
  <c r="BY62" i="4" s="1"/>
  <c r="BY63" i="4" s="1"/>
  <c r="BZ7" i="4"/>
  <c r="BZ62" i="4" s="1"/>
  <c r="BZ63" i="4" s="1"/>
  <c r="CC5" i="47"/>
  <c r="CC30" i="47"/>
  <c r="CC112" i="47"/>
  <c r="CC113" i="47" s="1"/>
  <c r="CG37" i="4"/>
  <c r="BR111" i="47"/>
  <c r="BR69" i="4"/>
  <c r="BX69" i="4"/>
  <c r="BR152" i="47"/>
  <c r="BR4" i="47"/>
  <c r="BR9" i="3"/>
  <c r="BR54" i="4"/>
  <c r="CG27" i="4"/>
  <c r="CG106" i="3"/>
  <c r="CG87" i="3" s="1"/>
  <c r="BW60" i="3"/>
  <c r="BW13" i="1"/>
  <c r="BW27" i="1"/>
  <c r="BW110" i="1"/>
  <c r="BW18" i="3"/>
  <c r="BW20" i="3"/>
  <c r="BW19" i="3"/>
  <c r="BW11" i="1"/>
  <c r="CA8" i="3"/>
  <c r="CA134" i="3" s="1"/>
  <c r="BU36" i="4"/>
  <c r="CA36" i="4"/>
  <c r="BU6" i="4"/>
  <c r="CG152" i="47"/>
  <c r="CG69" i="4"/>
  <c r="CG54" i="4"/>
  <c r="CG111" i="47"/>
  <c r="CG4" i="47"/>
  <c r="CC153" i="47"/>
  <c r="CC151" i="47"/>
  <c r="CA118" i="4"/>
  <c r="CA116" i="4"/>
  <c r="CA146" i="1"/>
  <c r="CA60" i="4"/>
  <c r="CG58" i="4"/>
  <c r="CA120" i="4"/>
  <c r="CA114" i="4"/>
  <c r="BU35" i="4"/>
  <c r="BU7" i="4" s="1"/>
  <c r="BU62" i="4" s="1"/>
  <c r="BU63" i="4" s="1"/>
  <c r="BU64" i="4" s="1"/>
  <c r="BR7" i="4"/>
  <c r="BR62" i="4" s="1"/>
  <c r="BR63" i="4" s="1"/>
  <c r="BR64" i="4" s="1"/>
  <c r="BW154" i="47"/>
  <c r="BW155" i="47"/>
  <c r="BW48" i="3" s="1"/>
  <c r="BW15" i="3" s="1"/>
  <c r="CG103" i="47"/>
  <c r="CG104" i="47" s="1"/>
  <c r="CI102" i="47"/>
  <c r="CC146" i="1"/>
  <c r="CC60" i="4"/>
  <c r="CC55" i="4"/>
  <c r="CC8" i="3"/>
  <c r="BX7" i="4"/>
  <c r="BX62" i="4" s="1"/>
  <c r="BX63" i="4" s="1"/>
  <c r="CA35" i="4"/>
  <c r="BZ69" i="4"/>
  <c r="BT69" i="4"/>
  <c r="BT4" i="47"/>
  <c r="BT152" i="47"/>
  <c r="BT111" i="47"/>
  <c r="BT54" i="4"/>
  <c r="BT9" i="3"/>
  <c r="CC117" i="3"/>
  <c r="CC102" i="3"/>
  <c r="CC83" i="3" s="1"/>
  <c r="CC132" i="3"/>
  <c r="CC70" i="4"/>
  <c r="BW56" i="4"/>
  <c r="BQ64" i="4"/>
  <c r="BW64" i="4"/>
  <c r="BW6" i="47"/>
  <c r="BW7" i="47"/>
  <c r="BW37" i="47"/>
  <c r="BW31" i="47"/>
  <c r="BW32" i="47"/>
  <c r="CG9" i="3"/>
  <c r="CA153" i="47"/>
  <c r="CA151" i="47"/>
  <c r="CA121" i="3" l="1"/>
  <c r="CA141" i="3"/>
  <c r="CA142" i="3"/>
  <c r="CA128" i="3"/>
  <c r="CA120" i="3"/>
  <c r="CA133" i="3"/>
  <c r="BZ5" i="47"/>
  <c r="BT5" i="47"/>
  <c r="BU152" i="47"/>
  <c r="BU4" i="47"/>
  <c r="BU54" i="4"/>
  <c r="CA59" i="4" s="1"/>
  <c r="BU69" i="4"/>
  <c r="BU111" i="47"/>
  <c r="CA69" i="4"/>
  <c r="BW67" i="3"/>
  <c r="BV94" i="2"/>
  <c r="CA18" i="3"/>
  <c r="BW21" i="3"/>
  <c r="CA155" i="47"/>
  <c r="CA154" i="47"/>
  <c r="BX58" i="4"/>
  <c r="BX55" i="4"/>
  <c r="BR146" i="1"/>
  <c r="BR60" i="4"/>
  <c r="BR55" i="4"/>
  <c r="BR8" i="3"/>
  <c r="BY112" i="47"/>
  <c r="BS30" i="47"/>
  <c r="BS112" i="47"/>
  <c r="BS113" i="47" s="1"/>
  <c r="CA7" i="4"/>
  <c r="CA62" i="4" s="1"/>
  <c r="CA63" i="4" s="1"/>
  <c r="CG5" i="47"/>
  <c r="CA118" i="3"/>
  <c r="CA143" i="3"/>
  <c r="BU9" i="3"/>
  <c r="BS70" i="4"/>
  <c r="BS132" i="3"/>
  <c r="BS117" i="3"/>
  <c r="BS102" i="3"/>
  <c r="BS83" i="3" s="1"/>
  <c r="CC6" i="47"/>
  <c r="CC7" i="47"/>
  <c r="BT102" i="3"/>
  <c r="BT83" i="3" s="1"/>
  <c r="BT117" i="3"/>
  <c r="BT132" i="3"/>
  <c r="BT70" i="4"/>
  <c r="CC154" i="47"/>
  <c r="CC155" i="47"/>
  <c r="CC48" i="3" s="1"/>
  <c r="CC15" i="3" s="1"/>
  <c r="BY5" i="47"/>
  <c r="BS5" i="47"/>
  <c r="CG63" i="3"/>
  <c r="BW148" i="47"/>
  <c r="CA15" i="3"/>
  <c r="BW12" i="3"/>
  <c r="CG112" i="47"/>
  <c r="CG30" i="47"/>
  <c r="CA92" i="1"/>
  <c r="CA78" i="1"/>
  <c r="E11" i="10"/>
  <c r="CA122" i="3"/>
  <c r="CA136" i="3"/>
  <c r="CA126" i="3"/>
  <c r="BR5" i="47"/>
  <c r="BX5" i="47"/>
  <c r="BY64" i="4"/>
  <c r="CE64" i="4"/>
  <c r="BY132" i="3"/>
  <c r="BY117" i="3"/>
  <c r="BY70" i="4"/>
  <c r="BY102" i="3"/>
  <c r="BY83" i="3" s="1"/>
  <c r="BW38" i="47"/>
  <c r="BW39" i="47"/>
  <c r="BW33" i="47"/>
  <c r="BZ70" i="4"/>
  <c r="BZ102" i="3"/>
  <c r="BZ83" i="3" s="1"/>
  <c r="BZ117" i="3"/>
  <c r="BZ132" i="3"/>
  <c r="BT60" i="4"/>
  <c r="BT55" i="4"/>
  <c r="BT146" i="1"/>
  <c r="BZ58" i="4"/>
  <c r="BZ55" i="4"/>
  <c r="BT8" i="3"/>
  <c r="CG120" i="4"/>
  <c r="CG60" i="4"/>
  <c r="CG118" i="4"/>
  <c r="CG55" i="4"/>
  <c r="CG146" i="1"/>
  <c r="CG116" i="4"/>
  <c r="CG114" i="4"/>
  <c r="BW19" i="2"/>
  <c r="BW21" i="2"/>
  <c r="BR153" i="47"/>
  <c r="BR151" i="47"/>
  <c r="BW57" i="4"/>
  <c r="BW61" i="3"/>
  <c r="BW64" i="3" s="1"/>
  <c r="BZ112" i="47"/>
  <c r="BT112" i="47"/>
  <c r="BT113" i="47" s="1"/>
  <c r="BT30" i="47"/>
  <c r="CC56" i="4"/>
  <c r="CG102" i="3"/>
  <c r="CG83" i="3" s="1"/>
  <c r="CG70" i="4"/>
  <c r="CG117" i="3"/>
  <c r="CG132" i="3"/>
  <c r="CA119" i="3"/>
  <c r="CA137" i="3"/>
  <c r="CA127" i="3"/>
  <c r="BX117" i="3"/>
  <c r="BX70" i="4"/>
  <c r="BX132" i="3"/>
  <c r="BX102" i="3"/>
  <c r="BX83" i="3" s="1"/>
  <c r="CC31" i="47"/>
  <c r="CC37" i="47"/>
  <c r="CC32" i="47"/>
  <c r="BV96" i="2"/>
  <c r="BW69" i="3"/>
  <c r="CA20" i="3"/>
  <c r="BR112" i="47"/>
  <c r="BR113" i="47" s="1"/>
  <c r="BX112" i="47"/>
  <c r="BR30" i="47"/>
  <c r="CA122" i="4"/>
  <c r="CF64" i="4"/>
  <c r="BZ64" i="4"/>
  <c r="CA110" i="1"/>
  <c r="CA111" i="1" s="1"/>
  <c r="BV28" i="2"/>
  <c r="BX64" i="4"/>
  <c r="CD64" i="4"/>
  <c r="CC60" i="3"/>
  <c r="CC13" i="1"/>
  <c r="CC20" i="3"/>
  <c r="CC19" i="3"/>
  <c r="CC27" i="1"/>
  <c r="CC18" i="3"/>
  <c r="CC110" i="1"/>
  <c r="CG8" i="3"/>
  <c r="CG127" i="3" s="1"/>
  <c r="CC11" i="1"/>
  <c r="BS151" i="47"/>
  <c r="BS153" i="47"/>
  <c r="BT153" i="47"/>
  <c r="BT151" i="47"/>
  <c r="CG151" i="47"/>
  <c r="CG153" i="47"/>
  <c r="BV95" i="2"/>
  <c r="BW68" i="3"/>
  <c r="CA19" i="3"/>
  <c r="BW24" i="2"/>
  <c r="BW82" i="3"/>
  <c r="CA135" i="3"/>
  <c r="BR132" i="3"/>
  <c r="BR102" i="3"/>
  <c r="BR83" i="3" s="1"/>
  <c r="BR70" i="4"/>
  <c r="BR117" i="3"/>
  <c r="BS146" i="1"/>
  <c r="BY55" i="4"/>
  <c r="BS55" i="4"/>
  <c r="BY58" i="4"/>
  <c r="BS60" i="4"/>
  <c r="BS8" i="3"/>
  <c r="CA31" i="47"/>
  <c r="CA37" i="47"/>
  <c r="CG141" i="3" l="1"/>
  <c r="CG118" i="3"/>
  <c r="CG135" i="3"/>
  <c r="CG142" i="3"/>
  <c r="CG120" i="3"/>
  <c r="CG133" i="3"/>
  <c r="CG134" i="3"/>
  <c r="CG154" i="47"/>
  <c r="CG155" i="47"/>
  <c r="BT32" i="47"/>
  <c r="BT31" i="47"/>
  <c r="BZ32" i="47"/>
  <c r="BT37" i="47"/>
  <c r="BT60" i="3"/>
  <c r="BT13" i="1"/>
  <c r="BT20" i="3"/>
  <c r="BT27" i="1"/>
  <c r="BZ60" i="3"/>
  <c r="BT19" i="3"/>
  <c r="BT18" i="3"/>
  <c r="BT11" i="1"/>
  <c r="BT110" i="1"/>
  <c r="BS28" i="2" s="1"/>
  <c r="CA64" i="4"/>
  <c r="CG64" i="4"/>
  <c r="BS20" i="3"/>
  <c r="BS13" i="1"/>
  <c r="BS19" i="3"/>
  <c r="BY60" i="3"/>
  <c r="BS60" i="3"/>
  <c r="BS27" i="1"/>
  <c r="BS11" i="1"/>
  <c r="BS110" i="1"/>
  <c r="BR28" i="2" s="1"/>
  <c r="BS18" i="3"/>
  <c r="CB95" i="2"/>
  <c r="CC68" i="3"/>
  <c r="CG19" i="3"/>
  <c r="BV33" i="2"/>
  <c r="BZ28" i="2"/>
  <c r="BZ96" i="2"/>
  <c r="CA53" i="3"/>
  <c r="BS6" i="47"/>
  <c r="BS7" i="47"/>
  <c r="CA37" i="4"/>
  <c r="CG92" i="1"/>
  <c r="CG60" i="3"/>
  <c r="CG82" i="3" s="1"/>
  <c r="CI8" i="3"/>
  <c r="CG78" i="1"/>
  <c r="F11" i="10"/>
  <c r="CG136" i="3"/>
  <c r="CG128" i="3"/>
  <c r="CG137" i="3"/>
  <c r="BR154" i="47"/>
  <c r="BR155" i="47"/>
  <c r="BR48" i="3" s="1"/>
  <c r="BR15" i="3" s="1"/>
  <c r="BR6" i="47"/>
  <c r="BR7" i="47"/>
  <c r="CG6" i="47"/>
  <c r="BZ94" i="2"/>
  <c r="CA50" i="3"/>
  <c r="CA21" i="3"/>
  <c r="BU112" i="47"/>
  <c r="BU113" i="47" s="1"/>
  <c r="BU30" i="47"/>
  <c r="CA112" i="47"/>
  <c r="CG113" i="47" s="1"/>
  <c r="BR31" i="47"/>
  <c r="BX32" i="47"/>
  <c r="BR32" i="47"/>
  <c r="BR37" i="47"/>
  <c r="BT154" i="47"/>
  <c r="BT155" i="47"/>
  <c r="BT48" i="3" s="1"/>
  <c r="BT15" i="3" s="1"/>
  <c r="CB94" i="2"/>
  <c r="CC67" i="3"/>
  <c r="CG18" i="3"/>
  <c r="CC21" i="3"/>
  <c r="CD113" i="47"/>
  <c r="BX113" i="47"/>
  <c r="CC38" i="47"/>
  <c r="CC39" i="47"/>
  <c r="CC33" i="47"/>
  <c r="BZ56" i="4"/>
  <c r="BX56" i="4"/>
  <c r="BU60" i="4"/>
  <c r="CA58" i="4"/>
  <c r="BU120" i="4"/>
  <c r="BU55" i="4"/>
  <c r="BU118" i="4"/>
  <c r="BU146" i="1"/>
  <c r="BU114" i="4"/>
  <c r="BU116" i="4"/>
  <c r="CA55" i="4"/>
  <c r="CC24" i="2"/>
  <c r="CB24" i="2"/>
  <c r="CC82" i="3"/>
  <c r="CG122" i="3"/>
  <c r="CF113" i="47"/>
  <c r="BZ113" i="47"/>
  <c r="BZ63" i="3"/>
  <c r="BS31" i="47"/>
  <c r="BS32" i="47"/>
  <c r="BS37" i="47"/>
  <c r="BY32" i="47"/>
  <c r="BX63" i="3"/>
  <c r="BU5" i="47"/>
  <c r="CA5" i="47"/>
  <c r="CG110" i="1"/>
  <c r="CG111" i="1" s="1"/>
  <c r="CB28" i="2"/>
  <c r="CE113" i="47"/>
  <c r="BY113" i="47"/>
  <c r="BU151" i="47"/>
  <c r="BU153" i="47"/>
  <c r="BY63" i="3"/>
  <c r="BS155" i="47"/>
  <c r="BS48" i="3" s="1"/>
  <c r="BS15" i="3" s="1"/>
  <c r="BS154" i="47"/>
  <c r="CC69" i="3"/>
  <c r="CB96" i="2"/>
  <c r="CG20" i="3"/>
  <c r="BW34" i="47"/>
  <c r="BW35" i="47" s="1"/>
  <c r="BW42" i="47"/>
  <c r="CA42" i="47" s="1"/>
  <c r="CC19" i="2"/>
  <c r="CB19" i="2"/>
  <c r="CC21" i="2"/>
  <c r="CB21" i="2"/>
  <c r="CG143" i="3"/>
  <c r="BW62" i="3"/>
  <c r="CA12" i="3"/>
  <c r="BW11" i="3"/>
  <c r="CG15" i="3"/>
  <c r="CC148" i="47"/>
  <c r="CC12" i="3"/>
  <c r="BR56" i="4"/>
  <c r="BT7" i="47"/>
  <c r="BT6" i="47"/>
  <c r="BU132" i="3"/>
  <c r="BU70" i="4"/>
  <c r="BU117" i="3"/>
  <c r="BU102" i="3"/>
  <c r="BU83" i="3" s="1"/>
  <c r="CJ32" i="47"/>
  <c r="CG31" i="47"/>
  <c r="CI30" i="47"/>
  <c r="CG32" i="47"/>
  <c r="CG37" i="47"/>
  <c r="BZ95" i="2"/>
  <c r="CA51" i="3"/>
  <c r="BT56" i="4"/>
  <c r="BY7" i="47"/>
  <c r="BY6" i="47"/>
  <c r="CE7" i="47"/>
  <c r="BR60" i="3"/>
  <c r="BR27" i="1"/>
  <c r="BR19" i="3"/>
  <c r="BR13" i="1"/>
  <c r="BR11" i="1"/>
  <c r="BX60" i="3"/>
  <c r="BU8" i="3"/>
  <c r="BU118" i="3" s="1"/>
  <c r="BR18" i="3"/>
  <c r="BR110" i="1"/>
  <c r="BR20" i="3"/>
  <c r="BS56" i="4"/>
  <c r="CA38" i="47"/>
  <c r="CA33" i="47"/>
  <c r="BY56" i="4"/>
  <c r="CG119" i="3"/>
  <c r="CG126" i="3"/>
  <c r="CG121" i="3"/>
  <c r="CC57" i="4"/>
  <c r="CC61" i="3"/>
  <c r="CC64" i="3" s="1"/>
  <c r="CG64" i="3" s="1"/>
  <c r="CG56" i="4"/>
  <c r="CG122" i="4"/>
  <c r="BX7" i="47"/>
  <c r="CD7" i="47"/>
  <c r="BX6" i="47"/>
  <c r="CA48" i="3"/>
  <c r="CA148" i="47"/>
  <c r="BW20" i="1"/>
  <c r="BW70" i="3"/>
  <c r="BW26" i="1"/>
  <c r="CA102" i="3"/>
  <c r="CA83" i="3" s="1"/>
  <c r="CA117" i="3"/>
  <c r="CA132" i="3"/>
  <c r="CA70" i="4"/>
  <c r="BZ6" i="47"/>
  <c r="BZ7" i="47"/>
  <c r="CF7" i="47"/>
  <c r="BU142" i="3" l="1"/>
  <c r="BU120" i="3"/>
  <c r="CG12" i="3"/>
  <c r="CC11" i="3"/>
  <c r="CG69" i="3"/>
  <c r="CG53" i="3"/>
  <c r="CF96" i="2"/>
  <c r="BT148" i="47"/>
  <c r="BT12" i="3"/>
  <c r="BT11" i="3" s="1"/>
  <c r="F12" i="10"/>
  <c r="G12" i="10" s="1"/>
  <c r="H12" i="10" s="1"/>
  <c r="I12" i="10" s="1"/>
  <c r="J12" i="10" s="1"/>
  <c r="K12" i="10" s="1"/>
  <c r="BS21" i="2"/>
  <c r="BR68" i="3"/>
  <c r="BU19" i="3"/>
  <c r="BQ95" i="2"/>
  <c r="BX68" i="3"/>
  <c r="BR94" i="2"/>
  <c r="BY67" i="3"/>
  <c r="BS67" i="3"/>
  <c r="BS21" i="3"/>
  <c r="BQ19" i="2"/>
  <c r="BR19" i="2"/>
  <c r="BR39" i="47"/>
  <c r="BR40" i="47" s="1"/>
  <c r="BX39" i="47"/>
  <c r="BR38" i="47"/>
  <c r="BR33" i="47"/>
  <c r="BR33" i="2"/>
  <c r="BZ68" i="3"/>
  <c r="BT68" i="3"/>
  <c r="BS95" i="2"/>
  <c r="BY61" i="3"/>
  <c r="BY64" i="3" s="1"/>
  <c r="BY57" i="4"/>
  <c r="BU136" i="3"/>
  <c r="BU143" i="3"/>
  <c r="BR82" i="3"/>
  <c r="BW65" i="3"/>
  <c r="BW46" i="3"/>
  <c r="CA11" i="3"/>
  <c r="BV93" i="2"/>
  <c r="BV97" i="2" s="1"/>
  <c r="BV98" i="2" s="1"/>
  <c r="BW12" i="1"/>
  <c r="BW25" i="1"/>
  <c r="BW14" i="3"/>
  <c r="BU7" i="47"/>
  <c r="BU6" i="47"/>
  <c r="BU122" i="4"/>
  <c r="BZ57" i="4"/>
  <c r="BZ61" i="3"/>
  <c r="BZ64" i="3" s="1"/>
  <c r="CA111" i="3"/>
  <c r="CA92" i="3" s="1"/>
  <c r="BU15" i="3"/>
  <c r="BR148" i="47"/>
  <c r="BR12" i="3"/>
  <c r="BS19" i="2"/>
  <c r="BZ82" i="3"/>
  <c r="BU60" i="3"/>
  <c r="BU82" i="3" s="1"/>
  <c r="D11" i="10"/>
  <c r="CI17" i="47"/>
  <c r="BU78" i="1"/>
  <c r="CA60" i="3"/>
  <c r="CA82" i="3" s="1"/>
  <c r="BX61" i="3"/>
  <c r="BX57" i="4"/>
  <c r="CA56" i="4"/>
  <c r="CA91" i="1"/>
  <c r="CA94" i="1"/>
  <c r="CA93" i="1"/>
  <c r="BZ33" i="2"/>
  <c r="E25" i="10"/>
  <c r="E26" i="10" s="1"/>
  <c r="BS69" i="3"/>
  <c r="BR96" i="2"/>
  <c r="BY69" i="3"/>
  <c r="BU121" i="3"/>
  <c r="CI37" i="47"/>
  <c r="CG39" i="47"/>
  <c r="CG38" i="47"/>
  <c r="CG33" i="47"/>
  <c r="CG148" i="47"/>
  <c r="CG48" i="3"/>
  <c r="CC70" i="3"/>
  <c r="CC26" i="1"/>
  <c r="CC20" i="1"/>
  <c r="BZ39" i="47"/>
  <c r="BT39" i="47"/>
  <c r="BT40" i="47" s="1"/>
  <c r="BT38" i="47"/>
  <c r="BT33" i="47"/>
  <c r="BW23" i="2"/>
  <c r="BU126" i="3"/>
  <c r="BU137" i="3"/>
  <c r="BT57" i="4"/>
  <c r="BT61" i="3"/>
  <c r="BT64" i="3" s="1"/>
  <c r="CF21" i="2"/>
  <c r="CG67" i="3"/>
  <c r="CG21" i="3"/>
  <c r="CG50" i="3"/>
  <c r="CF94" i="2"/>
  <c r="CF95" i="2"/>
  <c r="CG68" i="3"/>
  <c r="CG51" i="3"/>
  <c r="BR24" i="2"/>
  <c r="BU27" i="1"/>
  <c r="BS24" i="2"/>
  <c r="CF19" i="2"/>
  <c r="BT82" i="3"/>
  <c r="BS57" i="4"/>
  <c r="BS61" i="3"/>
  <c r="CA6" i="47"/>
  <c r="CA7" i="47"/>
  <c r="BZ67" i="3"/>
  <c r="BS94" i="2"/>
  <c r="BT67" i="3"/>
  <c r="BT21" i="3"/>
  <c r="BQ24" i="2"/>
  <c r="BX69" i="3"/>
  <c r="BR69" i="3"/>
  <c r="BQ96" i="2"/>
  <c r="BU20" i="3"/>
  <c r="BU127" i="3"/>
  <c r="CC42" i="47"/>
  <c r="CG42" i="47" s="1"/>
  <c r="CC34" i="47"/>
  <c r="CC35" i="47" s="1"/>
  <c r="BT69" i="3"/>
  <c r="BS96" i="2"/>
  <c r="BZ69" i="3"/>
  <c r="BU128" i="3"/>
  <c r="CJ31" i="47"/>
  <c r="CI31" i="47"/>
  <c r="BS148" i="47"/>
  <c r="BS12" i="3"/>
  <c r="BS11" i="3" s="1"/>
  <c r="CA113" i="47"/>
  <c r="CA113" i="3"/>
  <c r="CA94" i="3" s="1"/>
  <c r="BY82" i="3"/>
  <c r="BS33" i="2"/>
  <c r="BU13" i="1"/>
  <c r="BX82" i="3"/>
  <c r="CF24" i="2"/>
  <c r="BU133" i="3"/>
  <c r="BU154" i="47"/>
  <c r="BU155" i="47"/>
  <c r="CC62" i="3"/>
  <c r="CG62" i="3" s="1"/>
  <c r="CG61" i="3"/>
  <c r="BU122" i="3"/>
  <c r="BU141" i="3"/>
  <c r="CA63" i="3"/>
  <c r="BS82" i="3"/>
  <c r="BW9" i="2"/>
  <c r="BW155" i="1"/>
  <c r="CG57" i="4"/>
  <c r="BQ28" i="2"/>
  <c r="BR114" i="1"/>
  <c r="BU110" i="1"/>
  <c r="BU119" i="3"/>
  <c r="CA112" i="3"/>
  <c r="CA93" i="3" s="1"/>
  <c r="BR57" i="4"/>
  <c r="BU56" i="4"/>
  <c r="BR61" i="3"/>
  <c r="BR64" i="3" s="1"/>
  <c r="BX67" i="3"/>
  <c r="BQ94" i="2"/>
  <c r="BR67" i="3"/>
  <c r="BR21" i="3"/>
  <c r="BU18" i="3"/>
  <c r="BQ21" i="2"/>
  <c r="BR21" i="2"/>
  <c r="BU135" i="3"/>
  <c r="BU134" i="3"/>
  <c r="CF28" i="2"/>
  <c r="CB33" i="2"/>
  <c r="BS38" i="47"/>
  <c r="BY39" i="47"/>
  <c r="BS39" i="47"/>
  <c r="BS40" i="47" s="1"/>
  <c r="BS33" i="47"/>
  <c r="BU32" i="47"/>
  <c r="BU31" i="47"/>
  <c r="BU37" i="47"/>
  <c r="CA32" i="47"/>
  <c r="CG7" i="47"/>
  <c r="BY68" i="3"/>
  <c r="BR95" i="2"/>
  <c r="BS68" i="3"/>
  <c r="BU11" i="1"/>
  <c r="G11" i="10" l="1"/>
  <c r="G25" i="10" s="1"/>
  <c r="G26" i="10" s="1"/>
  <c r="BW22" i="2"/>
  <c r="BW28" i="1"/>
  <c r="BU111" i="1"/>
  <c r="BU114" i="1"/>
  <c r="BS62" i="3"/>
  <c r="CG113" i="3"/>
  <c r="CG94" i="3" s="1"/>
  <c r="BU39" i="47"/>
  <c r="BU38" i="47"/>
  <c r="CI10" i="47"/>
  <c r="CI11" i="47" s="1"/>
  <c r="CA39" i="47"/>
  <c r="BU33" i="47"/>
  <c r="BU61" i="3"/>
  <c r="BR62" i="3"/>
  <c r="CA46" i="3"/>
  <c r="BZ93" i="2"/>
  <c r="BZ97" i="2" s="1"/>
  <c r="CA14" i="3"/>
  <c r="F25" i="10"/>
  <c r="F26" i="10" s="1"/>
  <c r="CF33" i="2"/>
  <c r="BT28" i="2"/>
  <c r="BQ33" i="2"/>
  <c r="BX62" i="3"/>
  <c r="CA61" i="3"/>
  <c r="BU12" i="3"/>
  <c r="BR11" i="3"/>
  <c r="BR34" i="47"/>
  <c r="BR35" i="47" s="1"/>
  <c r="BR42" i="47"/>
  <c r="BX34" i="47"/>
  <c r="BX35" i="47" s="1"/>
  <c r="CC46" i="3"/>
  <c r="CG11" i="3"/>
  <c r="CC65" i="3"/>
  <c r="CC25" i="1"/>
  <c r="CB93" i="2"/>
  <c r="CB97" i="2" s="1"/>
  <c r="CB98" i="2" s="1"/>
  <c r="CC12" i="1"/>
  <c r="CC14" i="3"/>
  <c r="BX70" i="3"/>
  <c r="BR70" i="3"/>
  <c r="BR26" i="1"/>
  <c r="BR20" i="1"/>
  <c r="BS42" i="47"/>
  <c r="BS34" i="47"/>
  <c r="BS35" i="47" s="1"/>
  <c r="BY34" i="47"/>
  <c r="BY35" i="47" s="1"/>
  <c r="CG111" i="3"/>
  <c r="CG92" i="3" s="1"/>
  <c r="CG97" i="3" s="1"/>
  <c r="BW66" i="3"/>
  <c r="BW25" i="3"/>
  <c r="BW47" i="3"/>
  <c r="CG94" i="1"/>
  <c r="CG91" i="1"/>
  <c r="CG70" i="3"/>
  <c r="CG93" i="1"/>
  <c r="BT21" i="2"/>
  <c r="CC9" i="2"/>
  <c r="CB9" i="2"/>
  <c r="CC155" i="1"/>
  <c r="BW20" i="2"/>
  <c r="BZ98" i="2"/>
  <c r="BV11" i="2"/>
  <c r="D12" i="10"/>
  <c r="E12" i="10"/>
  <c r="BU57" i="4"/>
  <c r="BS64" i="3"/>
  <c r="BU64" i="3" s="1"/>
  <c r="BX64" i="3"/>
  <c r="CA64" i="3" s="1"/>
  <c r="BT62" i="3"/>
  <c r="BY62" i="3"/>
  <c r="BY70" i="3"/>
  <c r="BS70" i="3"/>
  <c r="BS26" i="1"/>
  <c r="BS20" i="1"/>
  <c r="BT46" i="3"/>
  <c r="BT65" i="3"/>
  <c r="BZ65" i="3"/>
  <c r="BT25" i="1"/>
  <c r="BS93" i="2"/>
  <c r="BS97" i="2" s="1"/>
  <c r="BS98" i="2" s="1"/>
  <c r="BS11" i="2" s="1"/>
  <c r="BT12" i="1"/>
  <c r="BT14" i="3"/>
  <c r="CG112" i="3"/>
  <c r="CG93" i="3" s="1"/>
  <c r="BV19" i="2"/>
  <c r="BY65" i="3"/>
  <c r="BS65" i="3"/>
  <c r="BS25" i="1"/>
  <c r="BS46" i="3"/>
  <c r="BR93" i="2"/>
  <c r="BR97" i="2" s="1"/>
  <c r="BR98" i="2" s="1"/>
  <c r="BR11" i="2" s="1"/>
  <c r="BS12" i="1"/>
  <c r="BS14" i="3"/>
  <c r="BZ70" i="3"/>
  <c r="BT70" i="3"/>
  <c r="BT26" i="1"/>
  <c r="BT20" i="1"/>
  <c r="BV24" i="2"/>
  <c r="CB23" i="2"/>
  <c r="CC23" i="2"/>
  <c r="CA57" i="4"/>
  <c r="BZ62" i="3"/>
  <c r="BR122" i="1"/>
  <c r="BR17" i="1" s="1"/>
  <c r="BS109" i="1"/>
  <c r="BT19" i="2"/>
  <c r="BU67" i="3"/>
  <c r="BT94" i="2"/>
  <c r="BU50" i="3"/>
  <c r="BU21" i="3"/>
  <c r="BU94" i="1" s="1"/>
  <c r="CA67" i="3"/>
  <c r="BU92" i="1"/>
  <c r="BV21" i="2"/>
  <c r="BU69" i="3"/>
  <c r="BT96" i="2"/>
  <c r="BU53" i="3"/>
  <c r="CA69" i="3"/>
  <c r="BT24" i="2"/>
  <c r="BT42" i="47"/>
  <c r="BT34" i="47"/>
  <c r="BT35" i="47" s="1"/>
  <c r="BZ34" i="47"/>
  <c r="BZ35" i="47" s="1"/>
  <c r="CG34" i="47"/>
  <c r="CG35" i="47" s="1"/>
  <c r="CI115" i="47"/>
  <c r="BU48" i="3"/>
  <c r="BU148" i="47"/>
  <c r="BT95" i="2"/>
  <c r="BU68" i="3"/>
  <c r="BU51" i="3"/>
  <c r="CA68" i="3"/>
  <c r="G21" i="10" l="1"/>
  <c r="G22" i="10" s="1"/>
  <c r="H11" i="10"/>
  <c r="H23" i="10" s="1"/>
  <c r="H24" i="10" s="1"/>
  <c r="G23" i="10"/>
  <c r="G24" i="10" s="1"/>
  <c r="CF9" i="2"/>
  <c r="BW139" i="3"/>
  <c r="CA139" i="3" s="1"/>
  <c r="BW109" i="3"/>
  <c r="BW124" i="3"/>
  <c r="BW90" i="3"/>
  <c r="BW96" i="3" s="1"/>
  <c r="BU12" i="1"/>
  <c r="BU111" i="3"/>
  <c r="BU92" i="3" s="1"/>
  <c r="BS20" i="2"/>
  <c r="CG46" i="3"/>
  <c r="CF93" i="2"/>
  <c r="CF97" i="2" s="1"/>
  <c r="CG65" i="3"/>
  <c r="CG14" i="3"/>
  <c r="CA47" i="3"/>
  <c r="CA25" i="3"/>
  <c r="BU20" i="1"/>
  <c r="BT155" i="1"/>
  <c r="BU34" i="47"/>
  <c r="BU35" i="47" s="1"/>
  <c r="CA34" i="47"/>
  <c r="CA35" i="47" s="1"/>
  <c r="BZ11" i="2"/>
  <c r="CG79" i="1"/>
  <c r="CB20" i="2"/>
  <c r="CC20" i="2"/>
  <c r="BU42" i="47"/>
  <c r="CA62" i="3"/>
  <c r="BZ21" i="2"/>
  <c r="BZ24" i="2"/>
  <c r="BU26" i="1"/>
  <c r="BS23" i="2"/>
  <c r="BS28" i="1"/>
  <c r="BZ66" i="3"/>
  <c r="BT66" i="3"/>
  <c r="BT47" i="3"/>
  <c r="BT25" i="3"/>
  <c r="BS9" i="2"/>
  <c r="BS155" i="1"/>
  <c r="BZ99" i="2"/>
  <c r="BR155" i="1"/>
  <c r="BR9" i="2"/>
  <c r="BQ9" i="2"/>
  <c r="CB11" i="2"/>
  <c r="CF98" i="2"/>
  <c r="H25" i="10"/>
  <c r="H26" i="10" s="1"/>
  <c r="BW32" i="1"/>
  <c r="BS114" i="1"/>
  <c r="BS117" i="1"/>
  <c r="CF23" i="2"/>
  <c r="BW18" i="2"/>
  <c r="BW54" i="3"/>
  <c r="BW71" i="3"/>
  <c r="BW147" i="1"/>
  <c r="CC66" i="3"/>
  <c r="CC47" i="3"/>
  <c r="CC25" i="3"/>
  <c r="CB22" i="2"/>
  <c r="CG80" i="1"/>
  <c r="CC22" i="2"/>
  <c r="CC28" i="1"/>
  <c r="BT33" i="2"/>
  <c r="D25" i="10"/>
  <c r="D26" i="10" s="1"/>
  <c r="BW109" i="1"/>
  <c r="BQ23" i="2"/>
  <c r="BR23" i="2"/>
  <c r="BU112" i="3"/>
  <c r="BU93" i="3" s="1"/>
  <c r="BU113" i="3"/>
  <c r="BU94" i="3" s="1"/>
  <c r="BU70" i="3"/>
  <c r="CA70" i="3"/>
  <c r="BY66" i="3"/>
  <c r="BS66" i="3"/>
  <c r="BS47" i="3"/>
  <c r="BS25" i="3"/>
  <c r="BZ19" i="2"/>
  <c r="BS22" i="2"/>
  <c r="BU25" i="1"/>
  <c r="BT28" i="1"/>
  <c r="BR65" i="3"/>
  <c r="BR46" i="3"/>
  <c r="BX65" i="3"/>
  <c r="BR12" i="1"/>
  <c r="BU11" i="3"/>
  <c r="BR25" i="1"/>
  <c r="BR22" i="2" s="1"/>
  <c r="BQ93" i="2"/>
  <c r="BQ97" i="2" s="1"/>
  <c r="BQ98" i="2" s="1"/>
  <c r="BR14" i="3"/>
  <c r="BU62" i="3"/>
  <c r="H21" i="10" l="1"/>
  <c r="H22" i="10" s="1"/>
  <c r="I11" i="10"/>
  <c r="I21" i="10" s="1"/>
  <c r="I22" i="10" s="1"/>
  <c r="G29" i="10"/>
  <c r="CF99" i="2"/>
  <c r="BT9" i="2"/>
  <c r="BV20" i="2"/>
  <c r="CA79" i="1"/>
  <c r="BT93" i="2"/>
  <c r="BT97" i="2" s="1"/>
  <c r="BU65" i="3"/>
  <c r="BU46" i="3"/>
  <c r="BU14" i="3"/>
  <c r="CA65" i="3"/>
  <c r="CC109" i="3"/>
  <c r="CC124" i="3"/>
  <c r="CC90" i="3"/>
  <c r="CC96" i="3" s="1"/>
  <c r="CC139" i="3"/>
  <c r="CG139" i="3" s="1"/>
  <c r="CC18" i="2"/>
  <c r="BU79" i="1"/>
  <c r="BQ20" i="2"/>
  <c r="BR20" i="2"/>
  <c r="CF11" i="2"/>
  <c r="CF20" i="2"/>
  <c r="CB18" i="2"/>
  <c r="BW117" i="1"/>
  <c r="BW114" i="1"/>
  <c r="CA109" i="1"/>
  <c r="CA114" i="1" s="1"/>
  <c r="BW149" i="1"/>
  <c r="BW150" i="1" s="1"/>
  <c r="I23" i="10"/>
  <c r="I24" i="10" s="1"/>
  <c r="BU28" i="1"/>
  <c r="CA80" i="1"/>
  <c r="BV22" i="2"/>
  <c r="BS120" i="1"/>
  <c r="BT116" i="1" s="1"/>
  <c r="BR10" i="2"/>
  <c r="BS23" i="3" s="1"/>
  <c r="BZ71" i="3"/>
  <c r="BT71" i="3"/>
  <c r="BT54" i="3"/>
  <c r="BT184" i="3" s="1"/>
  <c r="BT164" i="3" s="1"/>
  <c r="BT147" i="1"/>
  <c r="CG81" i="1"/>
  <c r="CC32" i="1"/>
  <c r="BS71" i="3"/>
  <c r="BY71" i="3"/>
  <c r="BS147" i="1"/>
  <c r="BS54" i="3"/>
  <c r="BS184" i="3" s="1"/>
  <c r="BS164" i="3" s="1"/>
  <c r="BS18" i="2"/>
  <c r="BT98" i="2"/>
  <c r="BQ11" i="2"/>
  <c r="BT23" i="2"/>
  <c r="BT109" i="1"/>
  <c r="H29" i="10"/>
  <c r="BT109" i="3"/>
  <c r="BT139" i="3"/>
  <c r="BT124" i="3"/>
  <c r="BT90" i="3"/>
  <c r="BS32" i="1"/>
  <c r="BT32" i="1"/>
  <c r="CG66" i="3"/>
  <c r="CG47" i="3"/>
  <c r="CG25" i="3"/>
  <c r="BS109" i="3"/>
  <c r="BS139" i="3"/>
  <c r="BS90" i="3"/>
  <c r="BS124" i="3"/>
  <c r="CF22" i="2"/>
  <c r="CA54" i="3"/>
  <c r="E13" i="10"/>
  <c r="CA147" i="1"/>
  <c r="BX66" i="3"/>
  <c r="BR66" i="3"/>
  <c r="BR25" i="3"/>
  <c r="BR47" i="3"/>
  <c r="BU80" i="1"/>
  <c r="BR28" i="1"/>
  <c r="BQ22" i="2"/>
  <c r="CC71" i="3"/>
  <c r="CC54" i="3"/>
  <c r="CC147" i="1"/>
  <c r="BW98" i="3"/>
  <c r="BW160" i="3"/>
  <c r="BU91" i="1"/>
  <c r="BV23" i="2"/>
  <c r="BV9" i="2"/>
  <c r="BZ9" i="2" s="1"/>
  <c r="BU155" i="1"/>
  <c r="BU93" i="1"/>
  <c r="CA109" i="3"/>
  <c r="CA124" i="3"/>
  <c r="CA90" i="3"/>
  <c r="BU97" i="3"/>
  <c r="CA97" i="3"/>
  <c r="J11" i="10" l="1"/>
  <c r="J25" i="10" s="1"/>
  <c r="J26" i="10" s="1"/>
  <c r="I25" i="10"/>
  <c r="I26" i="10" s="1"/>
  <c r="I29" i="10" s="1"/>
  <c r="BS122" i="1"/>
  <c r="BS17" i="1" s="1"/>
  <c r="BT99" i="2"/>
  <c r="BW151" i="1"/>
  <c r="BX109" i="1"/>
  <c r="BR109" i="3"/>
  <c r="BR124" i="3"/>
  <c r="BR90" i="3"/>
  <c r="BR139" i="3"/>
  <c r="BU139" i="3" s="1"/>
  <c r="BV10" i="2"/>
  <c r="BZ96" i="3"/>
  <c r="BT96" i="3"/>
  <c r="BT188" i="3"/>
  <c r="BT165" i="3" s="1"/>
  <c r="CF18" i="2"/>
  <c r="BT20" i="2"/>
  <c r="BQ18" i="2"/>
  <c r="J21" i="10"/>
  <c r="J22" i="10" s="1"/>
  <c r="J23" i="10"/>
  <c r="J24" i="10" s="1"/>
  <c r="K11" i="10"/>
  <c r="BZ20" i="2"/>
  <c r="BV18" i="2"/>
  <c r="BW161" i="3"/>
  <c r="BW167" i="3"/>
  <c r="BR23" i="3"/>
  <c r="BR147" i="1"/>
  <c r="BR71" i="3"/>
  <c r="BR54" i="3"/>
  <c r="BR184" i="3" s="1"/>
  <c r="BR164" i="3" s="1"/>
  <c r="BR33" i="3"/>
  <c r="BX71" i="3"/>
  <c r="BY96" i="3"/>
  <c r="BS96" i="3"/>
  <c r="BT117" i="1"/>
  <c r="BT120" i="1" s="1"/>
  <c r="BT114" i="1"/>
  <c r="BS191" i="3"/>
  <c r="CC149" i="1"/>
  <c r="CC150" i="1" s="1"/>
  <c r="BR32" i="1"/>
  <c r="BT11" i="2"/>
  <c r="BR36" i="1"/>
  <c r="E14" i="10"/>
  <c r="BZ98" i="3"/>
  <c r="BT98" i="3"/>
  <c r="BZ169" i="3"/>
  <c r="BT160" i="3"/>
  <c r="BY169" i="3"/>
  <c r="BY98" i="3"/>
  <c r="BS98" i="3"/>
  <c r="BS160" i="3"/>
  <c r="BR18" i="2"/>
  <c r="BS149" i="1"/>
  <c r="BS150" i="1" s="1"/>
  <c r="BZ22" i="2"/>
  <c r="BZ23" i="2"/>
  <c r="CA160" i="3"/>
  <c r="CG71" i="3"/>
  <c r="CG54" i="3"/>
  <c r="CG147" i="1"/>
  <c r="F13" i="10"/>
  <c r="BT191" i="3"/>
  <c r="BU32" i="1"/>
  <c r="BU81" i="1"/>
  <c r="BU66" i="3"/>
  <c r="BU47" i="3"/>
  <c r="BU25" i="3"/>
  <c r="CA66" i="3"/>
  <c r="BT22" i="2"/>
  <c r="CC98" i="3"/>
  <c r="CC160" i="3"/>
  <c r="CG124" i="3"/>
  <c r="CG109" i="3"/>
  <c r="CG90" i="3"/>
  <c r="CG96" i="3" s="1"/>
  <c r="BS188" i="3"/>
  <c r="BS165" i="3" s="1"/>
  <c r="BT149" i="1"/>
  <c r="BT150" i="1" s="1"/>
  <c r="CC109" i="1"/>
  <c r="CA81" i="1"/>
  <c r="BR188" i="3" l="1"/>
  <c r="BR165" i="3" s="1"/>
  <c r="BU165" i="3" s="1"/>
  <c r="J29" i="10"/>
  <c r="BS151" i="1"/>
  <c r="BT151" i="1"/>
  <c r="CC151" i="1"/>
  <c r="BT18" i="2"/>
  <c r="BX98" i="3"/>
  <c r="BR98" i="3"/>
  <c r="BX169" i="3"/>
  <c r="BR160" i="3"/>
  <c r="BR191" i="3"/>
  <c r="BU164" i="3"/>
  <c r="BZ168" i="3"/>
  <c r="BT161" i="3"/>
  <c r="BZ161" i="3"/>
  <c r="BT167" i="3"/>
  <c r="BZ55" i="3"/>
  <c r="BR35" i="3"/>
  <c r="BR36" i="3" s="1"/>
  <c r="BR56" i="3"/>
  <c r="BU71" i="3"/>
  <c r="BU54" i="3"/>
  <c r="BU188" i="3" s="1"/>
  <c r="BU147" i="1"/>
  <c r="D13" i="10"/>
  <c r="CA71" i="3"/>
  <c r="BW168" i="3"/>
  <c r="BW169" i="3"/>
  <c r="BT122" i="1"/>
  <c r="BT17" i="1" s="1"/>
  <c r="BY55" i="3"/>
  <c r="BZ18" i="2"/>
  <c r="BX117" i="1"/>
  <c r="BX114" i="1"/>
  <c r="CG98" i="3"/>
  <c r="CG160" i="3"/>
  <c r="BX96" i="3"/>
  <c r="BR96" i="3"/>
  <c r="F23" i="10"/>
  <c r="F24" i="10" s="1"/>
  <c r="CC161" i="3"/>
  <c r="CC167" i="3"/>
  <c r="CG109" i="1"/>
  <c r="CG114" i="1" s="1"/>
  <c r="CC114" i="1"/>
  <c r="CC117" i="1"/>
  <c r="CA167" i="3"/>
  <c r="BS10" i="2"/>
  <c r="BU117" i="1"/>
  <c r="BR98" i="1"/>
  <c r="BS36" i="1"/>
  <c r="K25" i="10"/>
  <c r="K26" i="10" s="1"/>
  <c r="K23" i="10"/>
  <c r="K24" i="10" s="1"/>
  <c r="L11" i="10"/>
  <c r="K21" i="10"/>
  <c r="K22" i="10" s="1"/>
  <c r="BY161" i="3"/>
  <c r="BS167" i="3"/>
  <c r="BS161" i="3"/>
  <c r="BY168" i="3"/>
  <c r="BU109" i="3"/>
  <c r="BU90" i="3"/>
  <c r="BU124" i="3"/>
  <c r="F14" i="10"/>
  <c r="BR149" i="1"/>
  <c r="BR150" i="1" s="1"/>
  <c r="BW23" i="3"/>
  <c r="BU184" i="3" l="1"/>
  <c r="BR151" i="1"/>
  <c r="G14" i="10"/>
  <c r="BR72" i="3"/>
  <c r="BR154" i="3"/>
  <c r="BR57" i="3"/>
  <c r="BR43" i="3"/>
  <c r="BR77" i="3"/>
  <c r="L25" i="10"/>
  <c r="L26" i="10" s="1"/>
  <c r="M11" i="10"/>
  <c r="L21" i="10"/>
  <c r="L22" i="10" s="1"/>
  <c r="L23" i="10"/>
  <c r="L24" i="10" s="1"/>
  <c r="BT23" i="3"/>
  <c r="BT10" i="2"/>
  <c r="CC169" i="3"/>
  <c r="CC168" i="3"/>
  <c r="E23" i="10"/>
  <c r="E24" i="10" s="1"/>
  <c r="BS98" i="1"/>
  <c r="BT36" i="1"/>
  <c r="CA169" i="3"/>
  <c r="BR167" i="3"/>
  <c r="BX168" i="3"/>
  <c r="BR161" i="3"/>
  <c r="BX161" i="3"/>
  <c r="K29" i="10"/>
  <c r="BS168" i="3"/>
  <c r="BS169" i="3"/>
  <c r="CB10" i="2"/>
  <c r="BW55" i="3"/>
  <c r="CG167" i="3"/>
  <c r="CG161" i="3"/>
  <c r="D14" i="10"/>
  <c r="D23" i="10"/>
  <c r="D24" i="10" s="1"/>
  <c r="BU17" i="1"/>
  <c r="BX55" i="3"/>
  <c r="CD109" i="1"/>
  <c r="BY109" i="1"/>
  <c r="BU98" i="3"/>
  <c r="BU160" i="3"/>
  <c r="CA168" i="3" s="1"/>
  <c r="CA98" i="3"/>
  <c r="BU96" i="3"/>
  <c r="CA96" i="3"/>
  <c r="BU120" i="1"/>
  <c r="BU118" i="1"/>
  <c r="BW10" i="2"/>
  <c r="BT169" i="3"/>
  <c r="BT168" i="3"/>
  <c r="CA55" i="3" l="1"/>
  <c r="M23" i="10"/>
  <c r="M24" i="10" s="1"/>
  <c r="M21" i="10"/>
  <c r="M22" i="10" s="1"/>
  <c r="M25" i="10"/>
  <c r="M26" i="10" s="1"/>
  <c r="N11" i="10"/>
  <c r="BQ63" i="2"/>
  <c r="BR73" i="3"/>
  <c r="BT98" i="1"/>
  <c r="BU98" i="1" s="1"/>
  <c r="BU36" i="1"/>
  <c r="CC23" i="3"/>
  <c r="BR99" i="1"/>
  <c r="BQ8" i="2"/>
  <c r="BR78" i="3"/>
  <c r="BS55" i="3"/>
  <c r="CD114" i="1"/>
  <c r="CD117" i="1"/>
  <c r="BR168" i="3"/>
  <c r="BR169" i="3"/>
  <c r="BT55" i="3"/>
  <c r="CC55" i="3"/>
  <c r="CG168" i="3"/>
  <c r="CG169" i="3"/>
  <c r="BW116" i="1"/>
  <c r="BU122" i="1"/>
  <c r="H14" i="10"/>
  <c r="G13" i="10"/>
  <c r="BX23" i="3"/>
  <c r="BY114" i="1"/>
  <c r="BY117" i="1"/>
  <c r="D21" i="10"/>
  <c r="D22" i="10" s="1"/>
  <c r="D29" i="10" s="1"/>
  <c r="BU23" i="3"/>
  <c r="BU161" i="3"/>
  <c r="BU167" i="3"/>
  <c r="CA161" i="3"/>
  <c r="L29" i="10"/>
  <c r="BR38" i="1" l="1"/>
  <c r="BQ25" i="2"/>
  <c r="CC10" i="2"/>
  <c r="CE109" i="1"/>
  <c r="I14" i="10"/>
  <c r="H13" i="10"/>
  <c r="BW36" i="1"/>
  <c r="M29" i="10"/>
  <c r="BZ109" i="1"/>
  <c r="N25" i="10"/>
  <c r="N26" i="10" s="1"/>
  <c r="O26" i="10" s="1"/>
  <c r="O11" i="10"/>
  <c r="N23" i="10"/>
  <c r="N24" i="10" s="1"/>
  <c r="N21" i="10"/>
  <c r="N22" i="10" s="1"/>
  <c r="BU168" i="3"/>
  <c r="BU169" i="3"/>
  <c r="CG55" i="3"/>
  <c r="BR55" i="3"/>
  <c r="BX10" i="2"/>
  <c r="BW120" i="1"/>
  <c r="CA116" i="1"/>
  <c r="O25" i="10" l="1"/>
  <c r="O21" i="10" s="1"/>
  <c r="O22" i="10" s="1"/>
  <c r="CE114" i="1"/>
  <c r="CE117" i="1"/>
  <c r="BQ53" i="2"/>
  <c r="BR85" i="1"/>
  <c r="BQ47" i="2"/>
  <c r="J14" i="10"/>
  <c r="I13" i="10"/>
  <c r="BY23" i="3"/>
  <c r="CD23" i="3"/>
  <c r="BR39" i="1"/>
  <c r="BZ114" i="1"/>
  <c r="BZ117" i="1"/>
  <c r="N29" i="10"/>
  <c r="O24" i="10"/>
  <c r="O23" i="10" s="1"/>
  <c r="BX116" i="1"/>
  <c r="BX120" i="1" s="1"/>
  <c r="BW122" i="1"/>
  <c r="BW17" i="1" s="1"/>
  <c r="BU55" i="3"/>
  <c r="BW98" i="1"/>
  <c r="BX36" i="1"/>
  <c r="K14" i="10" l="1"/>
  <c r="J13" i="10"/>
  <c r="BR37" i="3"/>
  <c r="BR86" i="1"/>
  <c r="BQ54" i="2"/>
  <c r="BY116" i="1"/>
  <c r="BY120" i="1" s="1"/>
  <c r="BX122" i="1"/>
  <c r="BX17" i="1" s="1"/>
  <c r="BR40" i="1"/>
  <c r="BR161" i="1"/>
  <c r="BR103" i="1"/>
  <c r="BR61" i="1"/>
  <c r="CD10" i="2"/>
  <c r="BX98" i="1"/>
  <c r="BY36" i="1"/>
  <c r="BR84" i="1"/>
  <c r="BQ49" i="2"/>
  <c r="BY10" i="2"/>
  <c r="CA117" i="1"/>
  <c r="CF109" i="1"/>
  <c r="L14" i="10" l="1"/>
  <c r="K13" i="10"/>
  <c r="BZ116" i="1"/>
  <c r="BZ120" i="1" s="1"/>
  <c r="BZ122" i="1" s="1"/>
  <c r="BZ17" i="1" s="1"/>
  <c r="BY122" i="1"/>
  <c r="BY17" i="1" s="1"/>
  <c r="BQ55" i="2"/>
  <c r="BR87" i="1"/>
  <c r="BR104" i="1"/>
  <c r="BS97" i="1"/>
  <c r="BZ23" i="3"/>
  <c r="BZ10" i="2"/>
  <c r="BR69" i="1"/>
  <c r="BY98" i="1"/>
  <c r="BZ36" i="1"/>
  <c r="CA118" i="1"/>
  <c r="CA120" i="1"/>
  <c r="CF117" i="1"/>
  <c r="CF114" i="1"/>
  <c r="BR48" i="2"/>
  <c r="BR8" i="1"/>
  <c r="BQ50" i="2" s="1"/>
  <c r="E21" i="10" l="1"/>
  <c r="E22" i="10" s="1"/>
  <c r="E29" i="10" s="1"/>
  <c r="CA23" i="3"/>
  <c r="CE10" i="2"/>
  <c r="CG117" i="1"/>
  <c r="CG118" i="1" s="1"/>
  <c r="M14" i="10"/>
  <c r="L13" i="10"/>
  <c r="CA17" i="1"/>
  <c r="BZ98" i="1"/>
  <c r="CA98" i="1" s="1"/>
  <c r="CA36" i="1"/>
  <c r="CC116" i="1"/>
  <c r="CA122" i="1"/>
  <c r="BR90" i="1"/>
  <c r="BR164" i="1"/>
  <c r="BR46" i="1"/>
  <c r="BR73" i="1"/>
  <c r="BR74" i="1"/>
  <c r="BS52" i="1"/>
  <c r="BS54" i="1" s="1"/>
  <c r="BR14" i="1"/>
  <c r="BR47" i="1" l="1"/>
  <c r="BR68" i="1"/>
  <c r="N14" i="10"/>
  <c r="M13" i="10"/>
  <c r="BR75" i="1"/>
  <c r="BR72" i="1"/>
  <c r="BR22" i="1"/>
  <c r="BS28" i="3"/>
  <c r="CE23" i="3"/>
  <c r="CF10" i="2"/>
  <c r="CC36" i="1"/>
  <c r="BR169" i="1"/>
  <c r="BR167" i="1"/>
  <c r="CG116" i="1"/>
  <c r="CG120" i="1" s="1"/>
  <c r="CG122" i="1" s="1"/>
  <c r="CC120" i="1"/>
  <c r="CD116" i="1" l="1"/>
  <c r="CD120" i="1" s="1"/>
  <c r="CC122" i="1"/>
  <c r="CC17" i="1" s="1"/>
  <c r="BR168" i="1"/>
  <c r="BR172" i="1" s="1"/>
  <c r="BS31" i="3"/>
  <c r="F21" i="10"/>
  <c r="F22" i="10" s="1"/>
  <c r="F29" i="10" s="1"/>
  <c r="CF23" i="3"/>
  <c r="CG23" i="3"/>
  <c r="BR48" i="1"/>
  <c r="BR49" i="1" s="1"/>
  <c r="BR62" i="1"/>
  <c r="BR42" i="1"/>
  <c r="O14" i="10"/>
  <c r="N13" i="10"/>
  <c r="BR170" i="1"/>
  <c r="BR173" i="1" s="1"/>
  <c r="CC98" i="1"/>
  <c r="CD36" i="1"/>
  <c r="CE116" i="1" l="1"/>
  <c r="CE120" i="1" s="1"/>
  <c r="CD122" i="1"/>
  <c r="CD17" i="1" s="1"/>
  <c r="BR175" i="1"/>
  <c r="BR176" i="1"/>
  <c r="BS33" i="3"/>
  <c r="O13" i="10"/>
  <c r="CD98" i="1"/>
  <c r="CE36" i="1"/>
  <c r="BR63" i="1"/>
  <c r="BS56" i="3" l="1"/>
  <c r="BS35" i="3"/>
  <c r="BS36" i="3" s="1"/>
  <c r="CE98" i="1"/>
  <c r="CF36" i="1"/>
  <c r="CF116" i="1"/>
  <c r="CF120" i="1" s="1"/>
  <c r="CF122" i="1" s="1"/>
  <c r="CF17" i="1" s="1"/>
  <c r="CE122" i="1"/>
  <c r="CE17" i="1" s="1"/>
  <c r="CG17" i="1" l="1"/>
  <c r="CF98" i="1"/>
  <c r="CG98" i="1" s="1"/>
  <c r="CG36" i="1"/>
  <c r="BS154" i="3"/>
  <c r="BS72" i="3"/>
  <c r="BS43" i="3"/>
  <c r="BS57" i="3"/>
  <c r="BS77" i="3"/>
  <c r="BS99" i="1" l="1"/>
  <c r="BS78" i="3"/>
  <c r="BR8" i="2"/>
  <c r="BS73" i="3"/>
  <c r="BR63" i="2"/>
  <c r="BR25" i="2" l="1"/>
  <c r="BS38" i="1"/>
  <c r="BS39" i="1" l="1"/>
  <c r="BS85" i="1"/>
  <c r="BR53" i="2"/>
  <c r="BR47" i="2"/>
  <c r="BS84" i="1" l="1"/>
  <c r="BR49" i="2"/>
  <c r="BS86" i="1"/>
  <c r="BR54" i="2"/>
  <c r="BS37" i="3"/>
  <c r="BS40" i="1"/>
  <c r="BS103" i="1"/>
  <c r="BS161" i="1"/>
  <c r="BS61" i="1"/>
  <c r="BS69" i="1" l="1"/>
  <c r="BT97" i="1"/>
  <c r="BS104" i="1"/>
  <c r="BS87" i="1"/>
  <c r="BR55" i="2"/>
  <c r="BS48" i="2"/>
  <c r="BS8" i="1"/>
  <c r="BR50" i="2" s="1"/>
  <c r="BS90" i="1" l="1"/>
  <c r="BS73" i="1"/>
  <c r="BT52" i="1"/>
  <c r="BT54" i="1" s="1"/>
  <c r="BS46" i="1"/>
  <c r="BS74" i="1"/>
  <c r="BS164" i="1"/>
  <c r="BS14" i="1"/>
  <c r="BS169" i="1" l="1"/>
  <c r="BS167" i="1"/>
  <c r="BT28" i="3"/>
  <c r="BU54" i="1"/>
  <c r="BS47" i="1"/>
  <c r="BS68" i="1"/>
  <c r="BS72" i="1"/>
  <c r="BS22" i="1"/>
  <c r="BS75" i="1"/>
  <c r="BS168" i="1" l="1"/>
  <c r="BS172" i="1" s="1"/>
  <c r="BS48" i="1"/>
  <c r="BS49" i="1" s="1"/>
  <c r="BS62" i="1"/>
  <c r="BS42" i="1"/>
  <c r="BT31" i="3"/>
  <c r="BU28" i="3"/>
  <c r="BS170" i="1"/>
  <c r="BS173" i="1" s="1"/>
  <c r="BU31" i="3" l="1"/>
  <c r="BT33" i="3"/>
  <c r="BS63" i="1"/>
  <c r="BS175" i="1"/>
  <c r="BS176" i="1"/>
  <c r="BT56" i="3" l="1"/>
  <c r="BT35" i="3"/>
  <c r="BU33" i="3"/>
  <c r="BU56" i="3" l="1"/>
  <c r="BU35" i="3"/>
  <c r="BT36" i="3"/>
  <c r="BT72" i="3" l="1"/>
  <c r="BT154" i="3"/>
  <c r="BT77" i="3"/>
  <c r="BT57" i="3"/>
  <c r="BT43" i="3"/>
  <c r="BU34" i="3"/>
  <c r="BU36" i="3"/>
  <c r="BS63" i="2" l="1"/>
  <c r="BT73" i="3"/>
  <c r="BS8" i="2"/>
  <c r="BT99" i="1"/>
  <c r="BT78" i="3"/>
  <c r="BU72" i="3"/>
  <c r="BU77" i="3"/>
  <c r="BU154" i="3"/>
  <c r="BU57" i="3"/>
  <c r="BU43" i="3"/>
  <c r="BU149" i="3"/>
  <c r="BU148" i="1"/>
  <c r="BU149" i="1" s="1"/>
  <c r="BU150" i="1" s="1"/>
  <c r="D18" i="10" l="1"/>
  <c r="D17" i="10" s="1"/>
  <c r="D19" i="10" s="1"/>
  <c r="D27" i="10" s="1"/>
  <c r="BU73" i="3"/>
  <c r="BT63" i="2"/>
  <c r="BS25" i="2"/>
  <c r="BT8" i="2"/>
  <c r="BT38" i="1"/>
  <c r="BU151" i="1"/>
  <c r="BU99" i="1"/>
  <c r="BU103" i="1" s="1"/>
  <c r="BU78" i="3"/>
  <c r="BU38" i="1" l="1"/>
  <c r="BT39" i="1"/>
  <c r="BW97" i="1"/>
  <c r="CA97" i="1"/>
  <c r="D28" i="10"/>
  <c r="D31" i="10"/>
  <c r="BT25" i="2"/>
  <c r="BS53" i="2"/>
  <c r="BT85" i="1"/>
  <c r="BS47" i="2"/>
  <c r="BU85" i="1" l="1"/>
  <c r="BT53" i="2"/>
  <c r="BT47" i="2"/>
  <c r="BT84" i="1"/>
  <c r="BS49" i="2"/>
  <c r="BU39" i="1"/>
  <c r="BT37" i="3"/>
  <c r="BS54" i="2"/>
  <c r="BT86" i="1"/>
  <c r="BT103" i="1"/>
  <c r="BT104" i="1" s="1"/>
  <c r="BT40" i="1"/>
  <c r="BT161" i="1"/>
  <c r="BT61" i="1"/>
  <c r="BU61" i="1"/>
  <c r="BU40" i="1" l="1"/>
  <c r="BU161" i="1"/>
  <c r="BU104" i="1"/>
  <c r="BU86" i="1"/>
  <c r="BT56" i="2"/>
  <c r="BT54" i="2"/>
  <c r="CN53" i="2"/>
  <c r="BU37" i="3"/>
  <c r="BT57" i="2"/>
  <c r="BS55" i="2"/>
  <c r="BT87" i="1"/>
  <c r="BT49" i="2"/>
  <c r="BU84" i="1"/>
  <c r="BT69" i="1"/>
  <c r="BT8" i="1"/>
  <c r="BV48" i="2" l="1"/>
  <c r="BZ48" i="2"/>
  <c r="BT164" i="1"/>
  <c r="BT90" i="1"/>
  <c r="BT73" i="1"/>
  <c r="BT74" i="1"/>
  <c r="BT46" i="1"/>
  <c r="BU52" i="1"/>
  <c r="BU53" i="1" s="1"/>
  <c r="BU8" i="1"/>
  <c r="BT50" i="2" s="1"/>
  <c r="BT14" i="1"/>
  <c r="BU87" i="1"/>
  <c r="BT55" i="2"/>
  <c r="BT58" i="2"/>
  <c r="BS50" i="2"/>
  <c r="BU69" i="1"/>
  <c r="BT75" i="1" l="1"/>
  <c r="BT22" i="1"/>
  <c r="BT72" i="1"/>
  <c r="BT68" i="1"/>
  <c r="BT47" i="1"/>
  <c r="BU164" i="1"/>
  <c r="BU46" i="1"/>
  <c r="BU90" i="1"/>
  <c r="BU73" i="1"/>
  <c r="BW52" i="1"/>
  <c r="BW54" i="1" s="1"/>
  <c r="BU74" i="1"/>
  <c r="BU14" i="1"/>
  <c r="BT169" i="1"/>
  <c r="BT167" i="1"/>
  <c r="BT48" i="1" l="1"/>
  <c r="BT49" i="1" s="1"/>
  <c r="BT62" i="1"/>
  <c r="BU62" i="1"/>
  <c r="BT42" i="1"/>
  <c r="BU167" i="1"/>
  <c r="BT168" i="1"/>
  <c r="BT172" i="1" s="1"/>
  <c r="BU169" i="1"/>
  <c r="BT170" i="1"/>
  <c r="BT173" i="1" s="1"/>
  <c r="BW28" i="3"/>
  <c r="C68" i="10"/>
  <c r="BU47" i="1"/>
  <c r="BU68" i="1"/>
  <c r="BU75" i="1"/>
  <c r="BU72" i="1"/>
  <c r="BU22" i="1"/>
  <c r="BU168" i="1" l="1"/>
  <c r="BU172" i="1" s="1"/>
  <c r="BU48" i="1"/>
  <c r="BU49" i="1" s="1"/>
  <c r="BU42" i="1"/>
  <c r="BW31" i="3"/>
  <c r="BT63" i="1"/>
  <c r="BT175" i="1"/>
  <c r="BT176" i="1"/>
  <c r="BU170" i="1"/>
  <c r="BU173" i="1" s="1"/>
  <c r="BU63" i="1" l="1"/>
  <c r="BU175" i="1"/>
  <c r="BU176" i="1"/>
  <c r="BW33" i="3"/>
  <c r="BW56" i="3" l="1"/>
  <c r="BW35" i="3"/>
  <c r="BW36" i="3" l="1"/>
  <c r="BW154" i="3" l="1"/>
  <c r="BW72" i="3"/>
  <c r="BW43" i="3"/>
  <c r="BW77" i="3"/>
  <c r="BW57" i="3"/>
  <c r="BV63" i="2" l="1"/>
  <c r="BW73" i="3"/>
  <c r="BW99" i="1"/>
  <c r="BV8" i="2"/>
  <c r="BW78" i="3"/>
  <c r="BV25" i="2" l="1"/>
  <c r="BW38" i="1"/>
  <c r="BV53" i="2" l="1"/>
  <c r="BW85" i="1"/>
  <c r="BV47" i="2"/>
  <c r="BW39" i="1"/>
  <c r="BW103" i="1" l="1"/>
  <c r="BW161" i="1"/>
  <c r="BW40" i="1"/>
  <c r="BW61" i="1"/>
  <c r="BW84" i="1"/>
  <c r="BV49" i="2"/>
  <c r="BW37" i="3"/>
  <c r="BV54" i="2"/>
  <c r="BW86" i="1"/>
  <c r="BW48" i="2" l="1"/>
  <c r="BW8" i="1"/>
  <c r="BW69" i="1"/>
  <c r="BV55" i="2"/>
  <c r="BW87" i="1"/>
  <c r="BX97" i="1"/>
  <c r="BW104" i="1"/>
  <c r="BW73" i="1" l="1"/>
  <c r="BW164" i="1"/>
  <c r="BW74" i="1"/>
  <c r="BW46" i="1"/>
  <c r="BX52" i="1"/>
  <c r="BX54" i="1" s="1"/>
  <c r="BW90" i="1"/>
  <c r="BW14" i="1"/>
  <c r="BV50" i="2"/>
  <c r="BX28" i="3" l="1"/>
  <c r="BW167" i="1"/>
  <c r="BW169" i="1"/>
  <c r="BW47" i="1"/>
  <c r="BW68" i="1"/>
  <c r="BW22" i="1"/>
  <c r="BW75" i="1"/>
  <c r="BW72" i="1"/>
  <c r="BW48" i="1" l="1"/>
  <c r="BW49" i="1" s="1"/>
  <c r="BW62" i="1"/>
  <c r="BW42" i="1"/>
  <c r="BW170" i="1"/>
  <c r="BW173" i="1" s="1"/>
  <c r="BW168" i="1"/>
  <c r="BW172" i="1" s="1"/>
  <c r="BX31" i="3"/>
  <c r="BX33" i="3" l="1"/>
  <c r="BW63" i="1"/>
  <c r="BW175" i="1"/>
  <c r="BW176" i="1"/>
  <c r="BX56" i="3" l="1"/>
  <c r="BX35" i="3"/>
  <c r="BX36" i="3" l="1"/>
  <c r="BX72" i="3" l="1"/>
  <c r="BX77" i="3"/>
  <c r="BX154" i="3"/>
  <c r="BX57" i="3"/>
  <c r="BX43" i="3"/>
  <c r="BX73" i="3" l="1"/>
  <c r="BW63" i="2"/>
  <c r="BW8" i="2"/>
  <c r="BX99" i="1"/>
  <c r="BX78" i="3"/>
  <c r="BW25" i="2" l="1"/>
  <c r="BX38" i="1"/>
  <c r="BX39" i="1" l="1"/>
  <c r="BX85" i="1"/>
  <c r="BW53" i="2"/>
  <c r="BW47" i="2"/>
  <c r="BX103" i="1" l="1"/>
  <c r="BX40" i="1"/>
  <c r="BX161" i="1"/>
  <c r="BX61" i="1"/>
  <c r="BX84" i="1"/>
  <c r="BW49" i="2"/>
  <c r="BX86" i="1"/>
  <c r="BW54" i="2"/>
  <c r="BX37" i="3"/>
  <c r="BX48" i="2" l="1"/>
  <c r="BX8" i="1"/>
  <c r="BX69" i="1"/>
  <c r="BX87" i="1"/>
  <c r="BW55" i="2"/>
  <c r="BY97" i="1"/>
  <c r="BX104" i="1"/>
  <c r="BX46" i="1" l="1"/>
  <c r="BX74" i="1"/>
  <c r="BX73" i="1"/>
  <c r="BX90" i="1"/>
  <c r="BX164" i="1"/>
  <c r="BX14" i="1"/>
  <c r="BY52" i="1"/>
  <c r="BY54" i="1" s="1"/>
  <c r="BW50" i="2"/>
  <c r="BX169" i="1" l="1"/>
  <c r="BX167" i="1"/>
  <c r="BX75" i="1"/>
  <c r="BX72" i="1"/>
  <c r="BX22" i="1"/>
  <c r="BY28" i="3"/>
  <c r="BX68" i="1"/>
  <c r="BX47" i="1"/>
  <c r="BY31" i="3" l="1"/>
  <c r="BX48" i="1"/>
  <c r="BX49" i="1" s="1"/>
  <c r="BX62" i="1"/>
  <c r="BX42" i="1"/>
  <c r="BX168" i="1"/>
  <c r="BX172" i="1" s="1"/>
  <c r="BX170" i="1"/>
  <c r="BX173" i="1" s="1"/>
  <c r="BX176" i="1" l="1"/>
  <c r="BX175" i="1"/>
  <c r="BY33" i="3"/>
  <c r="BX63" i="1"/>
  <c r="BY56" i="3" l="1"/>
  <c r="BY35" i="3"/>
  <c r="BY36" i="3" l="1"/>
  <c r="BY43" i="3" l="1"/>
  <c r="BY57" i="3"/>
  <c r="BY154" i="3"/>
  <c r="BY72" i="3"/>
  <c r="BY77" i="3"/>
  <c r="BY78" i="3" l="1"/>
  <c r="BY99" i="1"/>
  <c r="BX8" i="2"/>
  <c r="BX63" i="2"/>
  <c r="BY73" i="3"/>
  <c r="BX25" i="2" l="1"/>
  <c r="BY38" i="1"/>
  <c r="BY39" i="1" l="1"/>
  <c r="BY85" i="1"/>
  <c r="BX53" i="2"/>
  <c r="BX47" i="2"/>
  <c r="BY86" i="1" l="1"/>
  <c r="BY37" i="3"/>
  <c r="BX54" i="2"/>
  <c r="BY40" i="1"/>
  <c r="BY161" i="1"/>
  <c r="BY103" i="1"/>
  <c r="BY61" i="1"/>
  <c r="BY84" i="1"/>
  <c r="BX49" i="2"/>
  <c r="BZ97" i="1" l="1"/>
  <c r="BY104" i="1"/>
  <c r="BY69" i="1"/>
  <c r="BX55" i="2"/>
  <c r="BY87" i="1"/>
  <c r="BY48" i="2"/>
  <c r="BY8" i="1"/>
  <c r="BY73" i="1" l="1"/>
  <c r="BY90" i="1"/>
  <c r="BY46" i="1"/>
  <c r="BY74" i="1"/>
  <c r="BY164" i="1"/>
  <c r="BY14" i="1"/>
  <c r="BZ52" i="1"/>
  <c r="BZ54" i="1" s="1"/>
  <c r="BX50" i="2"/>
  <c r="BY167" i="1" l="1"/>
  <c r="BY169" i="1"/>
  <c r="BY72" i="1"/>
  <c r="BY75" i="1"/>
  <c r="BY22" i="1"/>
  <c r="BY68" i="1"/>
  <c r="BY47" i="1"/>
  <c r="BZ28" i="3"/>
  <c r="CA54" i="1"/>
  <c r="BZ31" i="3" l="1"/>
  <c r="CA28" i="3"/>
  <c r="BY170" i="1"/>
  <c r="BY173" i="1" s="1"/>
  <c r="BY48" i="1"/>
  <c r="BY49" i="1" s="1"/>
  <c r="BY62" i="1"/>
  <c r="BY42" i="1"/>
  <c r="BY168" i="1"/>
  <c r="BY172" i="1" s="1"/>
  <c r="BY176" i="1" l="1"/>
  <c r="BY175" i="1"/>
  <c r="CA31" i="3"/>
  <c r="BZ33" i="3"/>
  <c r="BY63" i="1"/>
  <c r="BZ35" i="3" l="1"/>
  <c r="BZ36" i="3" s="1"/>
  <c r="BZ56" i="3"/>
  <c r="CA33" i="3"/>
  <c r="CA56" i="3" l="1"/>
  <c r="BZ154" i="3"/>
  <c r="BZ72" i="3"/>
  <c r="BZ43" i="3"/>
  <c r="BZ57" i="3"/>
  <c r="BZ77" i="3"/>
  <c r="CA35" i="3"/>
  <c r="BZ73" i="3" l="1"/>
  <c r="BY63" i="2"/>
  <c r="CA34" i="3"/>
  <c r="BZ99" i="1"/>
  <c r="BZ78" i="3"/>
  <c r="BY8" i="2"/>
  <c r="CA36" i="3"/>
  <c r="BY25" i="2" l="1"/>
  <c r="BZ8" i="2"/>
  <c r="BZ38" i="1"/>
  <c r="CA148" i="1"/>
  <c r="CA149" i="1" s="1"/>
  <c r="CA150" i="1" s="1"/>
  <c r="CA149" i="3"/>
  <c r="CA154" i="3"/>
  <c r="CA77" i="3"/>
  <c r="CA57" i="3"/>
  <c r="CA43" i="3"/>
  <c r="CA72" i="3"/>
  <c r="CA78" i="3" l="1"/>
  <c r="CA99" i="1"/>
  <c r="CA103" i="1" s="1"/>
  <c r="E18" i="10"/>
  <c r="E17" i="10" s="1"/>
  <c r="E19" i="10" s="1"/>
  <c r="E27" i="10" s="1"/>
  <c r="CA151" i="1"/>
  <c r="CA73" i="3"/>
  <c r="BZ63" i="2"/>
  <c r="CA38" i="1"/>
  <c r="BZ39" i="1"/>
  <c r="BZ25" i="2"/>
  <c r="BZ85" i="1"/>
  <c r="BY53" i="2"/>
  <c r="BY47" i="2"/>
  <c r="BZ40" i="1" l="1"/>
  <c r="BZ161" i="1"/>
  <c r="BZ103" i="1"/>
  <c r="BZ104" i="1" s="1"/>
  <c r="BZ61" i="1"/>
  <c r="CA61" i="1"/>
  <c r="CA85" i="1"/>
  <c r="BZ53" i="2"/>
  <c r="BZ47" i="2"/>
  <c r="CA39" i="1"/>
  <c r="E28" i="10"/>
  <c r="E31" i="10"/>
  <c r="CC97" i="1"/>
  <c r="CG97" i="1"/>
  <c r="BY49" i="2"/>
  <c r="BZ84" i="1"/>
  <c r="BY54" i="2"/>
  <c r="BZ37" i="3"/>
  <c r="BZ86" i="1"/>
  <c r="CA40" i="1" l="1"/>
  <c r="CA161" i="1"/>
  <c r="BZ8" i="1"/>
  <c r="BY50" i="2" s="1"/>
  <c r="CA104" i="1"/>
  <c r="BZ54" i="2"/>
  <c r="BZ57" i="2"/>
  <c r="CA37" i="3"/>
  <c r="CA86" i="1"/>
  <c r="BZ69" i="1"/>
  <c r="BY55" i="2"/>
  <c r="BZ87" i="1"/>
  <c r="BZ49" i="2"/>
  <c r="CA84" i="1"/>
  <c r="BZ164" i="1" l="1"/>
  <c r="BZ73" i="1"/>
  <c r="CA52" i="1"/>
  <c r="CA53" i="1" s="1"/>
  <c r="BZ90" i="1"/>
  <c r="BZ14" i="1"/>
  <c r="BZ74" i="1"/>
  <c r="BZ46" i="1"/>
  <c r="CA8" i="1"/>
  <c r="CA69" i="1"/>
  <c r="CB48" i="2"/>
  <c r="CF48" i="2"/>
  <c r="BZ58" i="2"/>
  <c r="BZ55" i="2"/>
  <c r="CA87" i="1"/>
  <c r="BZ72" i="1" l="1"/>
  <c r="BZ22" i="1"/>
  <c r="BZ75" i="1"/>
  <c r="CA74" i="1"/>
  <c r="CA73" i="1"/>
  <c r="CA46" i="1"/>
  <c r="CA164" i="1"/>
  <c r="CA14" i="1"/>
  <c r="CA90" i="1"/>
  <c r="CC52" i="1"/>
  <c r="CC54" i="1" s="1"/>
  <c r="BZ167" i="1"/>
  <c r="BZ169" i="1"/>
  <c r="BZ50" i="2"/>
  <c r="BZ68" i="1"/>
  <c r="BZ47" i="1"/>
  <c r="CA72" i="1" l="1"/>
  <c r="CA75" i="1"/>
  <c r="CA22" i="1"/>
  <c r="CA169" i="1"/>
  <c r="BZ170" i="1"/>
  <c r="BZ173" i="1" s="1"/>
  <c r="CC28" i="3"/>
  <c r="BZ48" i="1"/>
  <c r="BZ49" i="1" s="1"/>
  <c r="BZ62" i="1"/>
  <c r="CA62" i="1"/>
  <c r="BZ42" i="1"/>
  <c r="CA47" i="1"/>
  <c r="CA68" i="1"/>
  <c r="CA167" i="1"/>
  <c r="BZ168" i="1"/>
  <c r="BZ172" i="1" s="1"/>
  <c r="CC31" i="3" l="1"/>
  <c r="CA170" i="1"/>
  <c r="CA173" i="1" s="1"/>
  <c r="BZ176" i="1"/>
  <c r="BZ175" i="1"/>
  <c r="CA168" i="1"/>
  <c r="CA172" i="1" s="1"/>
  <c r="BZ63" i="1"/>
  <c r="CA48" i="1"/>
  <c r="CA49" i="1" s="1"/>
  <c r="CA42" i="1"/>
  <c r="CA176" i="1" l="1"/>
  <c r="CA175" i="1"/>
  <c r="CA63" i="1"/>
  <c r="CC33" i="3"/>
  <c r="CC56" i="3" l="1"/>
  <c r="CC35" i="3"/>
  <c r="CC36" i="3" s="1"/>
  <c r="CC154" i="3" l="1"/>
  <c r="CC72" i="3"/>
  <c r="CC77" i="3"/>
  <c r="CC57" i="3"/>
  <c r="CC43" i="3"/>
  <c r="CC99" i="1" l="1"/>
  <c r="CB8" i="2"/>
  <c r="CC78" i="3"/>
  <c r="CC73" i="3"/>
  <c r="CB63" i="2"/>
  <c r="CB25" i="2" l="1"/>
  <c r="CC38" i="1"/>
  <c r="CC39" i="1" l="1"/>
  <c r="CB53" i="2"/>
  <c r="CC85" i="1"/>
  <c r="CB47" i="2"/>
  <c r="CC161" i="1" l="1"/>
  <c r="CC103" i="1"/>
  <c r="CC40" i="1"/>
  <c r="CC61" i="1"/>
  <c r="CC84" i="1"/>
  <c r="CB49" i="2"/>
  <c r="CC86" i="1"/>
  <c r="CB54" i="2"/>
  <c r="CC37" i="3"/>
  <c r="CC48" i="2" l="1"/>
  <c r="CC8" i="1"/>
  <c r="CC69" i="1"/>
  <c r="CD97" i="1"/>
  <c r="CC104" i="1"/>
  <c r="CC87" i="1"/>
  <c r="CB55" i="2"/>
  <c r="CC46" i="1" l="1"/>
  <c r="CC73" i="1"/>
  <c r="CC164" i="1"/>
  <c r="CC90" i="1"/>
  <c r="CD52" i="1"/>
  <c r="CD54" i="1" s="1"/>
  <c r="CC74" i="1"/>
  <c r="CC14" i="1"/>
  <c r="CB50" i="2"/>
  <c r="CC167" i="1" l="1"/>
  <c r="CC169" i="1"/>
  <c r="CC68" i="1"/>
  <c r="CC47" i="1"/>
  <c r="CD28" i="3"/>
  <c r="CC75" i="1"/>
  <c r="CC22" i="1"/>
  <c r="CC72" i="1"/>
  <c r="CD31" i="3" l="1"/>
  <c r="CC170" i="1"/>
  <c r="CC173" i="1" s="1"/>
  <c r="CC48" i="1"/>
  <c r="CC49" i="1" s="1"/>
  <c r="CC62" i="1"/>
  <c r="CC42" i="1"/>
  <c r="CC168" i="1"/>
  <c r="CC172" i="1" s="1"/>
  <c r="CC63" i="1" l="1"/>
  <c r="CC176" i="1"/>
  <c r="CC175" i="1"/>
  <c r="CD33" i="3"/>
  <c r="CD56" i="3" l="1"/>
  <c r="CD35" i="3"/>
  <c r="CD36" i="3" s="1"/>
  <c r="CD72" i="3" l="1"/>
  <c r="CD154" i="3"/>
  <c r="CD77" i="3"/>
  <c r="CD57" i="3"/>
  <c r="CD43" i="3"/>
  <c r="CC63" i="2" l="1"/>
  <c r="CD73" i="3"/>
  <c r="CD78" i="3"/>
  <c r="CC8" i="2"/>
  <c r="CD99" i="1"/>
  <c r="CC25" i="2" l="1"/>
  <c r="CD38" i="1"/>
  <c r="CD39" i="1" l="1"/>
  <c r="CD85" i="1"/>
  <c r="CC53" i="2"/>
  <c r="CC47" i="2"/>
  <c r="CD40" i="1" l="1"/>
  <c r="CD103" i="1"/>
  <c r="CD161" i="1"/>
  <c r="CD61" i="1"/>
  <c r="CD84" i="1"/>
  <c r="CC49" i="2"/>
  <c r="CC54" i="2"/>
  <c r="CD37" i="3"/>
  <c r="CD86" i="1"/>
  <c r="CD87" i="1" l="1"/>
  <c r="CC55" i="2"/>
  <c r="CD48" i="2"/>
  <c r="CD8" i="1"/>
  <c r="CC50" i="2" s="1"/>
  <c r="CD104" i="1"/>
  <c r="CE97" i="1"/>
  <c r="CD69" i="1"/>
  <c r="CD73" i="1" l="1"/>
  <c r="CD164" i="1"/>
  <c r="CD74" i="1"/>
  <c r="CD46" i="1"/>
  <c r="CD90" i="1"/>
  <c r="CE52" i="1"/>
  <c r="CE54" i="1" s="1"/>
  <c r="CD14" i="1"/>
  <c r="CE28" i="3" l="1"/>
  <c r="CD68" i="1"/>
  <c r="CD47" i="1"/>
  <c r="CD167" i="1"/>
  <c r="CD169" i="1"/>
  <c r="CD72" i="1"/>
  <c r="CD75" i="1"/>
  <c r="CD22" i="1"/>
  <c r="CD168" i="1" l="1"/>
  <c r="CD172" i="1" s="1"/>
  <c r="CD170" i="1"/>
  <c r="CD173" i="1" s="1"/>
  <c r="CD48" i="1"/>
  <c r="CD49" i="1" s="1"/>
  <c r="CD62" i="1"/>
  <c r="CD42" i="1"/>
  <c r="CE31" i="3"/>
  <c r="CD176" i="1" l="1"/>
  <c r="CD175" i="1"/>
  <c r="CD63" i="1"/>
  <c r="CE33" i="3"/>
  <c r="CE56" i="3" l="1"/>
  <c r="CE35" i="3"/>
  <c r="CE36" i="3" s="1"/>
  <c r="CE72" i="3" l="1"/>
  <c r="CE57" i="3"/>
  <c r="CE154" i="3"/>
  <c r="CE43" i="3"/>
  <c r="CE77" i="3"/>
  <c r="CD8" i="2" l="1"/>
  <c r="CE78" i="3"/>
  <c r="CE99" i="1"/>
  <c r="CE73" i="3"/>
  <c r="CD63" i="2"/>
  <c r="CD25" i="2" l="1"/>
  <c r="CE38" i="1"/>
  <c r="CE39" i="1" l="1"/>
  <c r="CE85" i="1"/>
  <c r="CD53" i="2"/>
  <c r="CD47" i="2"/>
  <c r="CD49" i="2" l="1"/>
  <c r="CE84" i="1"/>
  <c r="CE86" i="1"/>
  <c r="CD54" i="2"/>
  <c r="CE40" i="1"/>
  <c r="CE103" i="1"/>
  <c r="CE161" i="1"/>
  <c r="CE61" i="1"/>
  <c r="CF97" i="1" l="1"/>
  <c r="CE104" i="1"/>
  <c r="CE87" i="1"/>
  <c r="CD55" i="2"/>
  <c r="CE69" i="1"/>
  <c r="CE48" i="2"/>
  <c r="CE8" i="1"/>
  <c r="CD50" i="2" s="1"/>
  <c r="CE164" i="1" l="1"/>
  <c r="CE73" i="1"/>
  <c r="CE74" i="1"/>
  <c r="CE90" i="1"/>
  <c r="CF52" i="1"/>
  <c r="CF54" i="1" s="1"/>
  <c r="CE46" i="1"/>
  <c r="CE14" i="1"/>
  <c r="CF28" i="3" l="1"/>
  <c r="CG54" i="1"/>
  <c r="CE68" i="1"/>
  <c r="CE47" i="1"/>
  <c r="CE72" i="1"/>
  <c r="CE22" i="1"/>
  <c r="CE75" i="1"/>
  <c r="CE167" i="1"/>
  <c r="CE169" i="1"/>
  <c r="CE170" i="1" l="1"/>
  <c r="CE173" i="1" s="1"/>
  <c r="CE168" i="1"/>
  <c r="CE172" i="1" s="1"/>
  <c r="CE48" i="1"/>
  <c r="CE49" i="1" s="1"/>
  <c r="CE62" i="1"/>
  <c r="CE42" i="1"/>
  <c r="CF31" i="3"/>
  <c r="CG28" i="3"/>
  <c r="CG31" i="3" l="1"/>
  <c r="CE63" i="1"/>
  <c r="CE176" i="1"/>
  <c r="CE175" i="1"/>
  <c r="CF33" i="3"/>
  <c r="CF35" i="3" l="1"/>
  <c r="CF56" i="3"/>
  <c r="CG33" i="3"/>
  <c r="CG56" i="3" l="1"/>
  <c r="CG35" i="3"/>
  <c r="CF36" i="3"/>
  <c r="CG34" i="3" l="1"/>
  <c r="CF57" i="3"/>
  <c r="CF72" i="3"/>
  <c r="CF43" i="3"/>
  <c r="CF154" i="3"/>
  <c r="CF77" i="3"/>
  <c r="CG36" i="3"/>
  <c r="CE63" i="2" l="1"/>
  <c r="CF73" i="3"/>
  <c r="CF99" i="1"/>
  <c r="CF78" i="3"/>
  <c r="CE8" i="2"/>
  <c r="CG148" i="1"/>
  <c r="CG149" i="1" s="1"/>
  <c r="CG150" i="1" s="1"/>
  <c r="CG149" i="3"/>
  <c r="CG77" i="3"/>
  <c r="CG72" i="3"/>
  <c r="CG57" i="3"/>
  <c r="CG154" i="3"/>
  <c r="CG43" i="3"/>
  <c r="CG151" i="1" l="1"/>
  <c r="CG78" i="3"/>
  <c r="CG99" i="1"/>
  <c r="CG103" i="1" s="1"/>
  <c r="CG37" i="3"/>
  <c r="CE25" i="2"/>
  <c r="CF8" i="2"/>
  <c r="CF38" i="1"/>
  <c r="CF63" i="2"/>
  <c r="CG73" i="3"/>
  <c r="CI43" i="3"/>
  <c r="F18" i="10"/>
  <c r="CE47" i="2" l="1"/>
  <c r="CE53" i="2"/>
  <c r="CF85" i="1"/>
  <c r="CG38" i="1"/>
  <c r="CF39" i="1"/>
  <c r="G18" i="10"/>
  <c r="F17" i="10"/>
  <c r="F19" i="10" s="1"/>
  <c r="F27" i="10" s="1"/>
  <c r="CF25" i="2"/>
  <c r="CE49" i="2" l="1"/>
  <c r="CF84" i="1"/>
  <c r="CG85" i="1"/>
  <c r="CF53" i="2"/>
  <c r="CF47" i="2"/>
  <c r="CF86" i="1"/>
  <c r="CE37" i="3"/>
  <c r="CE54" i="2"/>
  <c r="CF40" i="1"/>
  <c r="CF161" i="1"/>
  <c r="CF103" i="1"/>
  <c r="CF104" i="1" s="1"/>
  <c r="CF61" i="1"/>
  <c r="CG61" i="1"/>
  <c r="F31" i="10"/>
  <c r="F28" i="10"/>
  <c r="G17" i="10"/>
  <c r="G19" i="10" s="1"/>
  <c r="G27" i="10" s="1"/>
  <c r="H18" i="10"/>
  <c r="CG39" i="1"/>
  <c r="CF8" i="1" l="1"/>
  <c r="CE50" i="2" s="1"/>
  <c r="G28" i="10"/>
  <c r="G31" i="10"/>
  <c r="CE55" i="2"/>
  <c r="CF87" i="1"/>
  <c r="CG84" i="1"/>
  <c r="CF49" i="2"/>
  <c r="CG40" i="1"/>
  <c r="CG161" i="1"/>
  <c r="CG104" i="1"/>
  <c r="CG86" i="1"/>
  <c r="CF54" i="2"/>
  <c r="CF37" i="3"/>
  <c r="H17" i="10"/>
  <c r="H19" i="10" s="1"/>
  <c r="H27" i="10" s="1"/>
  <c r="I18" i="10"/>
  <c r="CF69" i="1"/>
  <c r="CG69" i="1" l="1"/>
  <c r="CF55" i="2"/>
  <c r="CF58" i="2"/>
  <c r="CG87" i="1"/>
  <c r="H31" i="10"/>
  <c r="H28" i="10"/>
  <c r="CG52" i="1"/>
  <c r="CG53" i="1" s="1"/>
  <c r="CF164" i="1"/>
  <c r="CF90" i="1"/>
  <c r="CF46" i="1"/>
  <c r="CF73" i="1"/>
  <c r="CF74" i="1"/>
  <c r="CG8" i="1"/>
  <c r="CF50" i="2" s="1"/>
  <c r="CF14" i="1"/>
  <c r="I17" i="10"/>
  <c r="I19" i="10" s="1"/>
  <c r="I27" i="10" s="1"/>
  <c r="J18" i="10"/>
  <c r="J17" i="10" l="1"/>
  <c r="J19" i="10" s="1"/>
  <c r="J27" i="10" s="1"/>
  <c r="K18" i="10"/>
  <c r="CF167" i="1"/>
  <c r="CF169" i="1"/>
  <c r="CF72" i="1"/>
  <c r="CF22" i="1"/>
  <c r="CF75" i="1"/>
  <c r="CF47" i="1"/>
  <c r="CF68" i="1"/>
  <c r="I31" i="10"/>
  <c r="I28" i="10"/>
  <c r="CG74" i="1"/>
  <c r="CG73" i="1"/>
  <c r="CG164" i="1"/>
  <c r="CG90" i="1"/>
  <c r="CG46" i="1"/>
  <c r="CG14" i="1"/>
  <c r="K17" i="10" l="1"/>
  <c r="K19" i="10" s="1"/>
  <c r="K27" i="10" s="1"/>
  <c r="L18" i="10"/>
  <c r="CG75" i="1"/>
  <c r="CG72" i="1"/>
  <c r="CG22" i="1"/>
  <c r="CG68" i="1"/>
  <c r="CG47" i="1"/>
  <c r="CG169" i="1"/>
  <c r="CG170" i="1" s="1"/>
  <c r="CG173" i="1" s="1"/>
  <c r="CF170" i="1"/>
  <c r="CF173" i="1" s="1"/>
  <c r="CG167" i="1"/>
  <c r="CG168" i="1" s="1"/>
  <c r="CG172" i="1" s="1"/>
  <c r="CF168" i="1"/>
  <c r="CF172" i="1" s="1"/>
  <c r="J28" i="10"/>
  <c r="J31" i="10"/>
  <c r="CF48" i="1"/>
  <c r="CF49" i="1" s="1"/>
  <c r="CF62" i="1"/>
  <c r="CG62" i="1"/>
  <c r="CF42" i="1"/>
  <c r="CF63" i="1" l="1"/>
  <c r="CG63" i="1"/>
  <c r="CF176" i="1"/>
  <c r="CF175" i="1"/>
  <c r="CG48" i="1"/>
  <c r="CG49" i="1" s="1"/>
  <c r="CG42" i="1"/>
  <c r="L17" i="10"/>
  <c r="L19" i="10" s="1"/>
  <c r="L27" i="10" s="1"/>
  <c r="M18" i="10"/>
  <c r="CG175" i="1"/>
  <c r="CG176" i="1"/>
  <c r="K31" i="10"/>
  <c r="K28" i="10"/>
  <c r="L28" i="10" l="1"/>
  <c r="L31" i="10"/>
  <c r="N18" i="10"/>
  <c r="M17" i="10"/>
  <c r="M19" i="10" s="1"/>
  <c r="M27" i="10" s="1"/>
  <c r="M31" i="10" l="1"/>
  <c r="M28" i="10"/>
  <c r="O18" i="10"/>
  <c r="O17" i="10" s="1"/>
  <c r="O19" i="10" s="1"/>
  <c r="O27" i="10" s="1"/>
  <c r="N17" i="10"/>
  <c r="N19" i="10" s="1"/>
  <c r="N27" i="10" s="1"/>
  <c r="O28" i="10" l="1"/>
  <c r="O31" i="10"/>
  <c r="C63" i="10"/>
  <c r="N28" i="10"/>
  <c r="N31" i="10"/>
  <c r="C62" i="10" s="1"/>
  <c r="C66" i="10" l="1"/>
  <c r="C69" i="10" s="1"/>
  <c r="C71" i="10" s="1"/>
  <c r="C76" i="10" l="1"/>
  <c r="C78" i="10" s="1"/>
  <c r="C80" i="10" s="1"/>
</calcChain>
</file>

<file path=xl/comments1.xml><?xml version="1.0" encoding="utf-8"?>
<comments xmlns="http://schemas.openxmlformats.org/spreadsheetml/2006/main">
  <authors>
    <author>carlilew</author>
  </authors>
  <commentList>
    <comment ref="A1" authorId="0">
      <text>
        <r>
          <rPr>
            <b/>
            <sz val="8"/>
            <color indexed="81"/>
            <rFont val="Tahoma"/>
            <family val="2"/>
          </rPr>
          <t>卟䙄_x0003_＀＀偹丯@〳㐮常䕆䕟呓䵉呁⡅䔧卐Ⱗ䴧䅅❎✬䅃㑌Ⱗ㈧㄰✲丬坏Ⱜ✬䘬㈱㴳䅍ⱊ⤧_x001D_＀＀ ＀＀_x0005_＀＀_x0004_＀＀_x0001_＀＀_x0001_＀＀_x0008_＀＀乀A찀偸丯_x0017_呁䍅䙞彆䅓䕌⡓䅃ⱌㄭ奃착ō＀＀ ＀＀ĵ＀＀_x0008_＀＀_x0001_＀＀_x0001_＀＀_x0001_＀＀䖢蓽䁠摦畳㩰⼯楤敲瑣潩獮䘯呁嘠敩敷㽲捡楴湯唽䑐呁♅牣慥潴㵲慦瑣敳♴奄彎剁升吽啒♅佄彃䅎䕍䘽呁䘺䱑䅟䑕呉义彇䱃䕉呎呟䵅䱐呁⹅䅆♔楤灳慬役瑳楲杮䄽摵瑩嘦剁䬺奅圽䝊䍒䭌兔♌䅖㩒啑剅㵙歒晚さ䵆噒潍け䵆䍌砰ㅑ火圦义佄㵗䥆卒彔佐啐♐䕈䝉呈㐽〵圦䑉䡔㐽〵匦䅔呒䵟塁䵉婉䑅䘽䱁䕓嘦剁䌺䱁久䅄㵒单嘦剁区䵙佂㵌呁䍅嘦剁䤺䑎塅〽찀偸丯@䍋幉䕆䕟呓䵉呁⡅匧䱁卅Ⱗ䴧䅅❎✬䅃㑌Ⱗ㈧㄰✲丬坏Ⱜ✬䘬㈱㴳䅍ⱊ⤧!＀＀ ＀＀	＀＀_x0008_＀＀_x0001_＀＀_x0001_＀＀_x0001_＀＀譄ܻ䂡찀펚䷨ 呁䍅䥞彂䅐䝖㔨ㄯ㈯〰ⰷ⼷ㄳ㈯〰⤷ ＀＀ ＀＀_x0008_＀＀_x0008_＀＀_x0001_＀＀_x0001_＀＀_x0001_＀＀ነ뚻箷䀍偸丯_x0017_䱁乇䙞彆䅓䕌⡓䅃ⱌㄭ奃착ō＀＀ ＀＀ĵ＀＀_x0008_＀＀_x0001_＀＀_x0001_＀＀_x0001_＀＀_xD917_蕓䁳摦畳㩰⼯楤敲瑣潩獮䘯呁嘠敩敷㽲捡楴湯唽䑐呁♅牣慥潴㵲慦瑣敳♴奄彎剁升吽啒♅佄彃䅎䕍䘽呁䘺䱑䅟䑕呉义彇䱃䕉呎呟䵅䱐呁⹅䅆♔楤灳慬役瑳楲杮䄽摵瑩嘦剁䬺奅䄽奆坐午党♈䅖㩒啑剅㵙歒晚さ䵆噒潍け䵆䍌砰ㅑ火圦义佄㵗䥆卒彔佐啐♐䕈䝉呈㐽〵圦䑉䡔㐽〵匦䅔呒䵟塁䵉婉䑅䘽䱁䕓嘦剁䌺䱁久䅄㵒单嘦剁区䵙佂㵌䱁乇嘦剁䤺䑎塅〽찀偹丯@㈴㤮帹䕆䕟呓䵉呁⡅䔧卐Ⱗ䴧䅅❎✬䅃㑌Ⱗ㈧㄰✲丬坏Ⱜ✬䘬㈱㴳䅍ⱊ⤧_x001D_＀＀ ＀＀_x0005_＀＀_x0004_＀＀_x0001_＀＀_x0001_＀＀_x0008_＀＀乀A찀偸丯_x0016_佖䍌䙞彆䅓䕌⡓䅃ⱌ䌰⥙ō＀＀ ＀＀ĵ＀＀_x0008_＀＀_x0001_＀＀_x0001_＀＀_x0001_＀＀鍵И扖䁲摦畳㩰⼯楤敲瑣潩獮䘯呁嘠敩敷㽲捡楴湯唽䑐呁♅牣慥潴㵲慦瑣敳♴奄彎剁升吽啒♅佄彃䅎䕍䘽呁䘺䱑䅟䑕呉义彇䱃䕉呎呟䵅䱐呁⹅䅆♔楤灳慬役瑳楲杮䄽摵瑩嘦剁䬺奅䤽䭖佚䅆午♐䅖㩒啑剅㵙歒晚さ䵆噒潍け䵆䑌䑂南㵫圦义佄㵗䥆卒彔佐啐♐䕈䝉呈㐽〵圦䑉䡔㐽〵匦䅔呒䵟塁䵉婉䑅䘽䱁䕓嘦剁䌺䱁久䅄㵒单嘦剁区䵙佂㵌佖䍌嘦剁䤺䑎塅〽찀賹不 䱁乇䥞彂䅐䝖㐨ㄯ㈯〰ⰹ⼶〳㈯〰⤹ ＀＀ ＀＀_x0008_＀＀_x0008_＀＀_x0001_＀＀_x0001_＀＀_x0001_＀＀碞ᛎꨐ䀥剝䷰ 䅖幒䉉偟噁⡇⼱ㄳ㈯〰ⰷ⼳ㄳ㈯〰⤷ ＀＀ ＀＀_x0008_＀＀_x0008_＀＀_x0001_＀＀_x0001_＀＀_x0001_＀＀剪먊첽䁇暍䷰_x001F_䅖幒䉉偟噁⡇⼴⼱〲㤰㜬㌯⼱〲㤰착 ＀＀ ＀＀_x0008_＀＀_x0008_＀＀_x0001_＀＀_x0001_＀＀_x0001_＀＀瀻裎㻒䁁偹丯@㐳㤮帳䕆䕟呓䵉呁⡅䔧卐Ⱗ䴧䅅❎✬䅃㑌Ⱗ㈧㄰✲丬坏Ⱜ✬䘬㈱㴳䅍ⱊ⤧_x001D_＀＀ ＀＀_x0005_＀＀_x0004_＀＀_x0001_＀＀_x0001_＀＀_x0008_＀＀乀A찀퐶䷨ 呁䍅䥞彂䅐䝖㈨ㄯ㈯㄰ⰱ⼴〳㈯㄰⤱ ＀＀ ＀＀_x0008_＀＀_x0008_＀＀_x0001_＀＀_x0001_＀＀_x0001_＀＀桄ᬄῗ䀆偷丯_x0013_佐䑄偞偟䥒䕃㐨㜰〵착!＀＀ ＀＀	＀＀_x0008_＀＀_x0001_＀＀_x0001_＀＀_x0001_＀＀馚香妙䀴찀☬䵿!呁䍅䥞彂䅐䝖ㄨㄯ㈯㄰ⰰ㈱㌯⼱〲〱착 ＀＀ ＀＀_x0008_＀＀_x0008_＀＀_x0001_＀＀_x0001_＀＀_x0001_＀＀_xDEC5_例䀐偹丯@㌳㘮帵䕆䕟呓䵉呁⡅䔧卐Ⱗ䴧䅅❎✬䅃㑌Ⱗ㈧㄰✲丬坏Ⱜ✬䘬㈱㴳䅍ⱊ⤧_x001D_＀＀ ＀＀_x0005_＀＀_x0004_＀＀_x0001_＀＀_x0001_＀＀_x0008_＀＀乀A찀☬䵿 呁䍅䥞彂䅐䝖㜨ㄯ㈯㄰ⰰ⼹〳㈯㄰⤰ ＀＀ ＀＀_x0008_＀＀_x0008_＀＀_x0001_＀＀_x0001_＀＀_x0001_＀＀됗肐藑䀈☬䵿"呁䍅䥞彂䅐䝖ㄨ⼰⼱〲〱ㄬ⼲ㄳ㈯㄰⤰ ＀＀ ＀＀_x0008_＀＀_x0008_＀＀_x0001_＀＀_x0001_＀＀_x0001_＀＀Վ叜䀂偸丯?剁䍔䙞彅卅䥔䅍䕔✨偅❓✬䕍乁Ⱗ䌧䱁✴✬〲ㄱⰧ低ⱗⰬⰧㅆ㌲䴽䩁✬착!＀＀ ＀＀	＀＀_x0008_＀＀_x0001_＀＀_x0001_＀＀_x0001_＀＀竡긔㿲찀偶丯_x0013_剘奁偞偟䥒䕃㐨㜰〵착!＀＀ ＀＀	＀＀_x0008_＀＀_x0001_＀＀_x0001_＀＀_x0001_＀＀롑攞䁃찀偶丯_x0016_䥓佒䙞彆䅓䕌⡓䅃ⱌ䌰⥙ō＀＀ ＀＀ĵ＀＀_x0008_＀＀_x0001_＀＀_x0001_＀＀_x0001_＀＀ቮ삃룊䂈摦畳㩰⼯楤敲瑣潩獮䘯呁嘠敩敷㽲捡楴湯唽䑐呁♅牣慥潴㵲慦瑣敳♴奄彎剁升吽啒♅佄彃䅎䕍䘽呁䘺䱑䅟䑕呉义彇䱃䕉呎呟䵅䱐呁⹅䅆♔楤灳慬役瑳楲杮䄽摵瑩嘦剁䬺奅夽䕒啖䭄䅖♒䅖㩒啑剅㵙歒晚さ䵆噒潍け䵆䑌䑂南㵫圦义佄㵗䥆卒彔佐啐♐䕈䝉呈㐽〵圦䑉䡔㐽〵匦䅔呒䵟塁䵉婉䑅䘽䱁䕓嘦剁䌺䱁久䅄㵒单嘦剁区䵙佂㵌䥓佒嘦剁䤺䑎塅〽찀暍䷰!䅖幒䉉偟噁⡇〱ㄯ㈯㄰ⰰ㈱㌯⼱〲〱착 ＀＀ ＀＀_x0008_＀＀_x0008_＀＀_x0001_＀＀_x0001_＀＀_x0001_＀＀뛮촋䱵䁐偸丯?䙏塉䙞彅卅䥔䅍䕔✨偅❓✬䕍乁Ⱗ䌧䱁✴✬〲ㄱⰧ低ⱗⰬⰧㅆ㌲䴽䩁✬착!＀＀ ＀＀	＀＀_x0008_＀＀_x0001_＀＀_x0001_＀＀_x0001_＀＀塞ǵ_xDE50_㾨찀偷丯_x0013_剁䍔偞偟䥒䕃㐨㜰〵착!＀＀ ＀＀	＀＀_x0008_＀＀_x0001_＀＀_x0001_＀＀_x0001_＀＀㌳㌳팳䁀찀偷丯_x0012_偃協䙞彆偅⡓乁ⱎ⤰!＀＀ ＀＀	＀＀_x0008_＀＀_x0001_＀＀_x0001_＀＀_x0001_＀＀Ẹ롑䀄찀偷丯_x0013_偃協偞偟䥒䕃㐨㜰〵착!＀＀ ＀＀	＀＀_x0008_＀＀_x0001_＀＀_x0001_＀＀_x0001_＀＀蔟凫麸䀦찀☬䵿"呁䍅䥞彂䅐䝖ㄨ⼰⼱〲㤰ㄬ⼲ㄳ㈯〰⤹ ＀＀ ＀＀_x0008_＀＀_x0008_＀＀_x0001_＀＀_x0001_＀＀_x0001_＀＀幆쓖⼂䀓偷丯_x0016_呈剗䙞彆䅓䕌⡓䅃ⱌ䌰⥙ō＀＀ ＀＀ĵ＀＀_x0008_＀＀_x0001_＀＀_x0001_＀＀_x0001_＀＀_xDAE8_퀗锋䁋摦畳㩰⼯楤敲瑣潩獮䘯呁嘠敩敷㽲捡楴湯唽䑐呁♅牣慥潴㵲慦瑣敳♴奄彎剁升吽啒♅佄彃䅎䕍䘽呁䘺䱑䅟䑕呉义彇䱃䕉呎呟䵅䱐呁⹅䅆♔楤灳慬役瑳楲杮䄽摵瑩嘦剁䬺奅䔽䅖卌啌䕖♈䅖㩒啑剅㵙歒晚さ䵆噒潍け䵆䑌䑂南㵫圦义佄㵗䥆卒彔佐啐♐䕈䝉呈㐽〵圦䑉䡔㐽〵匦䅔呒䵟塁䵉婉䑅䘽䱁䕓嘦剁䌺䱁久䅄㵒单嘦剁区䵙佂㵌呈剗嘦剁䤺䑎塅〽찀賹不 䱁乇䥞彂䅐䝖ㄨㄯ㈯㄰ⰰ⼳ㄳ㈯㄰⤰ ＀＀ ＀＀_x0008_＀＀_x0008_＀＀_x0001_＀＀_x0001_＀＀_x0001_＀＀ﭕ㱴て䀲☬䵿!呁䍅䥞彂䅐䝖ㄨㄯ㈯〰ⰷ㈱㌯⼱〲㜰착 ＀＀ ＀＀_x0008_＀＀_x0008_＀＀_x0001_＀＀_x0001_＀＀_x0001_＀＀丅膶퀻䀏暍䷰ 䅖幒䉉偟噁⡇〱ㄯ㈯〰ⰹ⼹〳㈯㄰⤰ ＀＀ ＀＀_x0008_＀＀_x0008_＀＀_x0001_＀＀_x0001_＀＀_x0001_＀＀曐歪䁉偸丯P䱁乇⡞䙆䑟䉅⡔瑱Ⱳ⤰䘭彆䅃䡓卟⡔呑ⱒ⤰䀩䘨彆䕄呂儨剔⴬䘱⥑䘭彆䅃䡓卟⡔呑ⱒㄭ兆⤩Ɲ＀＀ ＀＀ƅ＀＀_x0008_＀＀_x0001_＀＀_x0001_＀＀_x0001_＀＀뙆ﷳ仔쁴摦畳㩰⼯楤敲瑣潩獮䘯呁嘠敩敷㽲捡楴湯唽䑐呁♅牣慥潴㵲慦瑣敳♴奄彎剁升吽啒♅佄彃䅎䕍䘽呁䘺䱑䅟䑕呉义彇䱃䕉呎呟䵅䱐呁⹅䅆♔楤灳慬役瑳楲杮䄽摵瑩嘦剁䬺奅䄽䍘佒坎䍐♒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䱁乇嘦剁䤺䑎塅〽찀偷丯_x0017_偃協䙞彆䅓䕌⡓䅃ⱌㄭ奃착ō＀＀ ＀＀ĵ＀＀_x0008_＀＀_x0001_＀＀_x0001_＀＀_x0001_＀＀⼛ⓝ洆䁠摦畳㩰⼯楤敲瑣潩獮䘯呁嘠敩敷㽲捡楴湯唽䑐呁♅牣慥潴㵲慦瑣敳♴奄彎剁升吽啒♅佄彃䅎䕍䘽呁䘺䱑䅟䑕呉义彇䱃䕉呎呟䵅䱐呁⹅䅆♔楤灳慬役瑳楲杮䄽摵瑩嘦剁䬺奅夽啔䍒䅄䕄♄䅖㩒啑剅㵙歒晚さ䵆噒潍け䵆䍌砰ㅑ火圦义佄㵗䥆卒彔佐啐♐䕈䝉呈㐽〵圦䑉䡔㐽〵匦䅔呒䵟塁䵉婉䑅䘽䱁䕓嘦剁䌺䱁久䅄㵒单嘦剁区䵙佂㵌偃協嘦剁䤺䑎塅〽찀틍䷨_x000F_䅖幒䝆偟䥒䕃〨착 ＀＀ ＀＀_x0008_＀＀_x0008_＀＀_x0001_＀＀_x0001_＀＀_x0001_＀＀롒蔞釫䁐☬䵿"呁䍅䥞彂䅐䝖ㄨ⼰⼱〲㜰ㄬ⼲ㄳ㈯〰⤷ ＀＀ ＀＀_x0008_＀＀_x0008_＀＀_x0001_＀＀_x0001_＀＀_x0001_＀＀Ẋ᣸墬䀑偸丯A䙏塉䙞彅卅䥔䅍䕔✨䅓䕌❓✬䕍乁Ⱗ䌧䱁✴✬〲㈱Ⱗ低ⱗⰬⰧㅆ㌲䴽䩁✬착!＀＀ ＀＀	＀＀_x0008_＀＀_x0001_＀＀_x0001_＀＀_x0001_＀＀馚香䊙䂃찀偸丯?佖䍌䙞彅卅䥔䅍䕔✨偅❓✬䕍乁Ⱗ䌧䱁✴✬〲ㄱⰧ低ⱗⰬⰧㅆ㌲䴽䩁✬착!＀＀ ＀＀	＀＀_x0008_＀＀_x0001_＀＀_x0001_＀＀_x0001_＀＀ᒓ䛽든㿊찀偶丯_x0016_剘奁䙞彆䅓䕌⡓䅃ⱌ䌰⥙ō＀＀ ＀＀ĵ＀＀_x0008_＀＀_x0001_＀＀_x0001_＀＀_x0001_＀＀ొ⬂娇䂡摦畳㩰⼯楤敲瑣潩獮䘯呁嘠敩敷㽲捡楴湯唽䑐呁♅牣慥潴㵲慦瑣敳♴奄彎剁升吽啒♅佄彃䅎䕍䘽呁䘺䱑䅟䑕呉义彇䱃䕉呎呟䵅䱐呁⹅䅆♔楤灳慬役瑳楲杮䄽摵瑩嘦剁䬺奅䴽奎佖佔奂♆䅖㩒啑剅㵙歒晚さ䵆噒潍け䵆䑌䑂南㵫圦义佄㵗䥆卒彔佐啐♐䕈䝉呈㐽〵圦䑉䡔㐽〵匦䅔呒䵟塁䵉婉䑅䘽䱁䕓嘦剁䌺䱁久䅄㵒单嘦剁区䵙佂㵌剘奁嘦剁䤺䑎塅〽찀튢䷨_x000F_䭎幅䝆偟䥒䕃〨착 ＀＀ ＀＀_x0008_＀＀_x0008_＀＀_x0001_＀＀_x0001_＀＀_x0001_＀＀馚香䦙䁔暍䷰_x001F_䅖幒䉉偟噁⡇⼴⼱〲〱㜬㌯⼱〲〱착 ＀＀ ＀＀_x0008_＀＀_x0008_＀＀_x0001_＀＀_x0001_＀＀_x0001_＀＀䞮竡긔䁊偸丯_x0012_呁䍅䙞彆偅⡓乁ⱎ⤰!＀＀ ＀＀	＀＀_x0008_＀＀_x0001_＀＀_x0001_＀＀_x0001_＀＀휊炣਽뿇찀偷丯_x0011_坅偞偟䥒䕃㐨㜰〵착!＀＀ ＀＀	＀＀_x0008_＀＀_x0001_＀＀_x0001_＀＀_x0001_＀＀蔟凫纸䁒찀偶丯S低乂䌭幈䘨彆䕄呂焨牴〬⴩䙆䍟十彈呓儨剔〬⤩⡀䙆䑟䉅⡔呑ⱒㄭ兆⴩䙆䍟十彈呓儨剔⴬䘱⥑착Ɵ＀＀ ＀＀Ƈ＀＀_x0008_＀＀_x0001_＀＀_x0001_＀＀_x0001_＀＀㥀剂ꥼ쀟摦畳㩰⼯楤敲瑣潩獮䘯呁嘠敩敷㽲捡楴湯唽䑐呁♅牣慥潴㵲慦瑣敳♴奄彎剁升吽啒♅佄彃䅎䕍䘽呁䘺䱑䅟䑕呉义彇䱃䕉呎呟䵅䱐呁⹅䅆♔楤灳慬役瑳楲杮䄽摵瑩嘦剁䬺奅䔽佘䍖䍄䵎♒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㔸㈷嘦剁䤺䑎塅〽찀☬䵿!呁䍅䥞彂䅐䝖ㄨㄯ㈯〰ⰹ㈱㌯⼱〲㤰착 ＀＀ ＀＀_x0008_＀＀_x0008_＀＀_x0001_＀＀_x0001_＀＀_x0001_＀＀㙋갞䀊删䷰ 䅖幒䉉偟噁⡇ㄱㄯ㈯〰ⰶ⼱ㄳ㈯〰⤷ ＀＀ ＀＀_x0008_＀＀_x0008_＀＀_x0001_＀＀_x0001_＀＀_x0001_＀＀둹쑱뱚䁈偸丯_x0012_啎䅖䙞彆偅⡓乁ⱎ⤰!＀＀ ＀＀	＀＀_x0008_＀＀_x0001_＀＀_x0001_＀＀_x0001_＀＀롑蔞㿻찀昦䷰!䅖幒䉉偟噁⡇〱ㄯ㈯〰ⰷ㈱㌯⼱〲㜰착 ＀＀ ＀＀_x0008_＀＀_x0008_＀＀_x0001_＀＀_x0001_＀＀_x0001_＀＀鉺쵴䁇偸丯A䱁乇䙞彅卅䥔䅍䕔✨䅓䕌❓✬䕍乁Ⱗ䌧䱁✴✬〲㈱Ⱗ低ⱗⰬⰧㅆ㌲䴽䩁✬착!＀＀ ＀＀	＀＀_x0008_＀＀_x0001_＀＀_x0001_＀＀_x0001_＀＀ᛰ偈㡼䂀찀偸丯_x0016_䡔剏䙞彆䅓䕌⡓䅃ⱌ䌰⥙ō＀＀ ＀＀ĵ＀＀_x0008_＀＀_x0001_＀＀_x0001_＀＀_x0001_＀＀뀡桲䁷摦畳㩰⼯楤敲瑣潩獮䘯呁嘠敩敷㽲捡楴湯唽䑐呁♅牣慥潴㵲慦瑣敳♴奄彎剁升吽啒♅佄彃䅎䕍䘽呁䘺䱑䅟䑕呉义彇䱃䕉呎呟䵅䱐呁⹅䅆♔楤灳慬役瑳楲杮䄽摵瑩嘦剁䬺奅䬽䥌啂䝆䥚♚䅖㩒啑剅㵙歒晚さ䵆噒潍け䵆䑌䑂南㵫圦义佄㵗䥆卒彔佐啐♐䕈䝉呈㐽〵圦䑉䡔㐽〵匦䅔呒䵟塁䵉婉䑅䘽䱁䕓嘦剁䌺䱁久䅄㵒单嘦剁区䵙佂㵌䡔剏嘦剁䤺䑎塅〽찀偷丯_x0013_啎䅖偞偟䥒䕃㐨㜰〵착!＀＀ ＀＀	＀＀_x0008_＀＀_x0001_＀＀_x0001_＀＀_x0001_＀＀ᑻ䞮竡䀾찀偷丯_x0013_䙏塉偞偟䥒䕃㐨㜰〵착!＀＀ ＀＀	＀＀_x0008_＀＀_x0001_＀＀_x0001_＀＀_x0001_＀＀蔟凫纸䁅찀☬䵿 呁䍅䥞彂䅐䝖㜨ㄯ㈯〰ⰸ⼹〳㈯〰⤸ ＀＀ ＀＀_x0008_＀＀_x0008_＀＀_x0001_＀＀_x0001_＀＀_x0001_＀＀뼦ᝅ䀒偸丯A佖䍌䙞彅卅䥔䅍䕔✨䅓䕌❓✬䕍乁Ⱗ䌧䱁✴✬〲㈱Ⱗ低ⱗⰬⰧㅆ㌲䴽䩁✬착!＀＀ ＀＀	＀＀_x0008_＀＀_x0001_＀＀_x0001_＀＀_x0001_＀＀즅䁹찀偸丯A啎䅖䙞彅卅䥔䅍䕔✨䅓䕌❓✬䕍乁Ⱗ䌧䱁✴✬〲㈱Ⱗ低ⱗⰬⰧㅆ㌲䴽䩁✬착!＀＀ ＀＀	＀＀_x0008_＀＀_x0001_＀＀_x0001_＀＀_x0001_＀＀_xD980_礽뗘䂂찀偸丯P呁䍅⡞䙆䑟䉅⡔瑱Ⱳ⤰䘭彆䅃䡓卟⡔呑ⱒ⤰䀩䘨彆䕄呂儨剔⴬䘱⥑䘭彆䅃䡓卟⡔呑ⱒㄭ兆⤩Ɲ＀＀ ＀＀ƅ＀＀_x0008_＀＀_x0001_＀＀_x0001_＀＀_x0001_＀＀퓽楸䀨摦畳㩰⼯楤敲瑣潩獮䘯呁嘠敩敷㽲捡楴湯唽䑐呁♅牣慥潴㵲慦瑣敳♴奄彎剁升吽啒♅佄彃䅎䕍䘽呁䘺䱑䅟䑕呉义彇䱃䕉呎呟䵅䱐呁⹅䅆♔楤灳慬役瑳楲杮䄽摵瑩嘦剁䬺奅圽兄奚䝈坒♈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呁䍅嘦剁䤺䑎塅〽찀賹不 䱁乇䥞彂䅐䝖㐨ㄯ㈯㄰ⰰ⼶〳㈯㄰⤰ ＀＀ ＀＀_x0008_＀＀_x0008_＀＀_x0001_＀＀_x0001_＀＀_x0001_＀＀_xDA13_⹲旅䀰暍䷰ 䅖幒䉉偟噁⡇〱ㄯ㈯〰ⰷ⼹〳㈯〰⤸ ＀＀ ＀＀_x0008_＀＀_x0008_＀＀_x0001_＀＀_x0001_＀＀_x0001_＀＀ᆇ쟂䁉퐟䷨!呁䍅䥞彂䅐䝖㠨ㄯ㈯㄰ⰰ〱㌯⼱〲〱착 ＀＀ ＀＀_x0008_＀＀_x0008_＀＀_x0001_＀＀_x0001_＀＀_x0001_＀＀猕琐઴䀃暍䷰!䅖幒䉉偟噁⡇〱ㄯ㈯〰ⰹ㈱㌯⼱〲㤰착 ＀＀ ＀＀_x0008_＀＀_x0008_＀＀_x0001_＀＀_x0001_＀＀_x0001_＀＀䪢ọᥨ䁆☬䵿 呁䍅䥞彂䅐䝖ㄨㄯ㈯〰ⰹ⼳ㄳ㈯〰⤹ ＀＀ ＀＀_x0008_＀＀_x0008_＀＀_x0001_＀＀_x0001_＀＀_x0001_＀＀艚肌✊䀀펚䷨!呁䍅䥞彂䅐䝖ㄨ⼱⼱〲㘰ㄬ㌯⼱〲㜰착 ＀＀ ＀＀_x0008_＀＀_x0008_＀＀_x0001_＀＀_x0001_＀＀_x0001_＀＀拏鈩ү䀎폵䷨ 呁䍅䥞彂䅐䝖㈨ㄯ㈯〰ⰹ⼴〳㈯〰⤹ ＀＀ ＀＀_x0008_＀＀_x0008_＀＀_x0001_＀＀_x0001_＀＀_x0001_＀＀⤟쌢鸪㿼暍䷰ 䅖幒䉉偟噁⡇⼸⼱〲〱ㄬ⼰ㄳ㈯㄰⤰ ＀＀ ＀＀_x0008_＀＀_x0008_＀＀_x0001_＀＀_x0001_＀＀_x0001_＀＀펚ㅥᶱ䁍偹丯?⸴㈹䙞彅卅䥔䅍䕔✨偅❓✬䕍乁Ⱗ䌧䱁✴✬〲㈱Ⱗ低ⱗⰬⰧㅆ㌲䴽䩁✬착_x001D_＀＀ ＀＀_x0005_＀＀_x0004_＀＀_x0001_＀＀_x0001_＀＀_x0008_＀＀乀A찀틶䷨"呁䍅䥞彂䅐䝖ㄨ⼱⼱〲㜰ㄬ⼰ㄳ㈯〰⤷ ＀＀ ＀＀_x0008_＀＀_x0008_＀＀_x0001_＀＀_x0001_＀＀_x0001_＀＀⣶轜䀐偸丯_x0012_協乏䙞彆偅⡓乁ⱎ⤰!＀＀ ＀＀	＀＀_x0008_＀＀_x0001_＀＀_x0001_＀＀_x0001_＀＀긔ᑺ뿮찀賹不 䱁乇䥞彂䅐䝖ㄨㄯ㈯〰ⰸ⼳ㄳ㈯〰⤸ ＀＀ ＀＀_x0008_＀＀_x0008_＀＀_x0001_＀＀_x0001_＀＀_x0001_＀＀陼☆䀩偸丯A呁䍅䙞彅卅䥔䅍䕔✨䅓䕌❓✬䕍乁Ⱗ䌧䱁✴✬〲㈱Ⱗ低ⱗⰬⰧㅆ㌲䴽䩁✬착!＀＀ ＀＀	＀＀_x0008_＀＀_x0001_＀＀_x0001_＀＀_x0001_＀＀ꊝ뤣䟼䁫찀偷丯P䱅塇⡞䙆䑟䉅⡔瑱Ⱳ⤰䘭彆䅃䡓卟⡔呑ⱒ⤰䀩䘨彆䕄呂儨剔⴬䘱⥑䘭彆䅃䡓卟⡔呑ⱒㄭ兆⤩Ɲ＀＀ ＀＀ƅ＀＀_x0008_＀＀_x0001_＀＀_x0001_＀＀_x0001_＀＀才堐␹쁁摦畳㩰⼯楤敲瑣潩獮䘯呁嘠敩敷㽲捡楴湯唽䑐呁♅牣慥潴㵲慦瑣敳♴奄彎剁升吽啒♅佄彃䅎䕍䘽呁䘺䱑䅟䑕呉义彇䱃䕉呎呟䵅䱐呁⹅䅆♔楤灳慬役瑳楲杮䄽摵瑩嘦剁䬺奅䔽坈卒啌啔♖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䱅塇嘦剁䤺䑎塅〽찀폵䷨!呁䍅䥞彂䅐䝖㠨ㄯ㈯〰ⰹ〱㌯⼱〲㤰착 ＀＀ ＀＀_x0008_＀＀_x0008_＀＀_x0001_＀＀_x0001_＀＀_x0001_＀＀ꫣ肊䀒偸丯P啎䅖⡞䙆䑟䉅⡔瑱Ⱳ⤰䘭彆䅃䡓卟⡔呑ⱒ⤰䀩䘨彆䕄呂儨剔⴬䘱⥑䘭彆䅃䡓卟⡔呑ⱒㄭ兆⤩Ɲ＀＀ ＀＀ƅ＀＀_x0008_＀＀_x0001_＀＀_x0001_＀＀_x0001_＀＀픀ᄦ䀸摦畳㩰⼯楤敲瑣潩獮䘯呁嘠敩敷㽲捡楴湯唽䑐呁♅牣慥潴㵲慦瑣敳♴奄彎剁升吽啒♅佄彃䅎䕍䘽呁䘺䱑䅟䑕呉义彇䱃䕉呎呟䵅䱐呁⹅䅆♔楤灳慬役瑳楲杮䄽摵瑩嘦剁䬺奅䬽䅈䕘䵈䥈♐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啎䅖嘦剁䤺䑎塅〽찀偷丯_x0016_呓乍䌭幈䝆䵟呋噟䱁䕕⤨!＀＀ ＀＀	＀＀_x0008_＀＀_x0001_＀＀_x0001_＀＀_x0001_＀＀ꐿ惿䂧찀暍䷰ 䅖幒䉉偟噁⡇⼸⼱〲㤰ㄬ⼰ㄳ㈯〰⤹ ＀＀ ＀＀_x0008_＀＀_x0008_＀＀_x0001_＀＀_x0001_＀＀_x0001_＀＀䥢䁄偸丯P剁䍔⡞䙆䑟䉅⡔瑱Ⱳ⤰䘭彆䅃䡓卟⡔呑ⱒ⤰䀩䘨彆䕄呂儨剔⴬䘱⥑䘭彆䅃䡓卟⡔呑ⱒㄭ兆⤩Ɲ＀＀ ＀＀ƅ＀＀_x0008_＀＀_x0001_＀＀_x0001_＀＀_x0001_＀＀犰酨热쁢摦畳㩰⼯楤敲瑣潩獮䘯呁嘠敩敷㽲捡楴湯唽䑐呁♅牣慥潴㵲慦瑣敳♴奄彎剁升吽啒♅佄彃䅎䕍䘽呁䘺䱑䅟䑕呉义彇䱃䕉呎呟䵅䱐呁⹅䅆♔楤灳慬役瑳楲杮䄽摵瑩嘦剁䬺奅䤽䝎䅚䕎䍌♄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剁䍔嘦剁䤺䑎塅〽찀偸丯_x0017_䙏塉䙞彆䅓䕌⡓䅃ⱌㄭ奃착ō＀＀ ＀＀ĵ＀＀_x0008_＀＀_x0001_＀＀_x0001_＀＀_x0001_＀＀䞯竡ഔ䂁摦畳㩰⼯楤敲瑣潩獮䘯呁嘠敩敷㽲捡楴湯唽䑐呁♅牣慥潴㵲慦瑣敳♴奄彎剁升吽啒♅佄彃䅎䕍䘽呁䘺䱑䅟䑕呉义彇䱃䕉呎呟䵅䱐呁⹅䅆♔楤灳慬役瑳楲杮䄽摵瑩嘦剁䬺奅䔽䵐䥐卂商♊䅖㩒啑剅㵙歒晚さ䵆噒潍け䵆䍌砰ㅑ火圦义佄㵗䥆卒彔佐啐♐䕈䝉呈㐽〵圦䑉䡔㐽〵匦䅔呒䵟塁䵉婉䑅䘽䱁䕓嘦剁䌺䱁久䅄㵒单嘦剁区䵙佂㵌䙏塉嘦剁䤺䑎塅〽찀☬䵿 呁䍅䥞彂䅐䝖㐨ㄯ㈯〰ⰹ⼶〳㈯〰⤹ ＀＀ ＀＀_x0008_＀＀_x0008_＀＀_x0001_＀＀_x0001_＀＀_x0001_＀＀鮦⃄犰䀂펚䷨!呁䍅䥞彂䅐䝖㠨ㄯ㈯〰ⰷ〱㌯⼱〲㜰착 ＀＀ ＀＀_x0008_＀＀_x0008_＀＀_x0001_＀＀_x0001_＀＀_x0001_＀＀밴荙헷䀎賹不 䱁乇䥞彂䅐䝖㜨ㄯ㈯〰ⰷ⼹〳㈯〰⤷ ＀＀ ＀＀_x0008_＀＀_x0008_＀＀_x0001_＀＀_x0001_＀＀_x0001_＀＀人ⴣ㞕䀹偷丯_x0017_䱅塇䙞彆䅓䕌⡓䅃ⱌㄭ奃착ō＀＀ ＀＀ĵ＀＀_x0008_＀＀_x0001_＀＀_x0001_＀＀_x0001_＀＀쒜뀠㡲䁊摦畳㩰⼯楤敲瑣潩獮䘯呁嘠敩敷㽲捡楴湯唽䑐呁♅牣慥潴㵲慦瑣敳♴奄彎剁升吽啒♅佄彃䅎䕍䘽呁䘺䱑䅟䑕呉义彇䱃䕉呎呟䵅䱐呁⹅䅆♔楤灳慬役瑳楲杮䄽摵瑩嘦剁䬺奅䬽䍚䵄䵎佔♊䅖㩒啑剅㵙歒晚さ䵆噒潍け䵆䍌砰ㅑ火圦义佄㵗䥆卒彔佐啐♐䕈䝉呈㐽〵圦䑉䡔㐽〵匦䅔呒䵟塁䵉婉䑅䘽䱁䕓嘦剁䌺䱁久䅄㵒单嘦剁区䵙佂㵌䱅塇嘦剁䤺䑎塅〽찀폄䷨"呁䍅䥞彂䅐䝖ㄨ⼱⼱〲㜰ㄬ⼰ㄳ㈯〰⤸ ＀＀ ＀＀_x0008_＀＀_x0008_＀＀_x0001_＀＀_x0001_＀＀_x0001_＀＀噹諒࡯䀓偶丯A剘奁䙞彅卅䥔䅍䕔✨䅓䕌❓✬䕍乁Ⱗ䌧䱁✴✬〲ㄱⰧ低ⱗⰬⰧㅆ㌲䴽䩁✬착!＀＀ ＀＀	＀＀_x0008_＀＀_x0001_＀＀_x0001_＀＀_x0001_＀＀䎖沋눧䂡찀劌䷰ 䅖幒䉉偟噁⡇⼸⼱〲㜰ㄬ⼰ㄳ㈯〰⤷ ＀＀ ＀＀_x0008_＀＀_x0008_＀＀_x0001_＀＀_x0001_＀＀_x0001_＀＀_xDDEC_䁄偶丯_x0013_䥓佒偞偟䥒䕃㐨㜰〵착!＀＀ ＀＀	＀＀_x0008_＀＀_x0001_＀＀_x0001_＀＀_x0001_＀＀ᑺ䞮䁊찀偸丯@䍋幉䕆䕟呓䵉呁⡅匧䱁卅Ⱗ䴧䅅❎✬䅃㑌Ⱗ㈧㄰✱丬坏Ⱜ✬䘬㈱㴳䅍ⱊ⤧!＀＀ ＀＀	＀＀_x0008_＀＀_x0001_＀＀_x0001_＀＀_x0001_＀＀譄夻䂠찀劌䷰_x001F_䅖幒䉉偟噁⡇⼱⼱〲㜰㌬㌯⼱〲㜰착 ＀＀ ＀＀_x0008_＀＀_x0008_＀＀_x0001_＀＀_x0001_＀＀_x0001_＀＀╜᱘䁇偷丯_x0013_䱅塇偞偟䥒䕃㐨㜰〵착!＀＀ ＀＀	＀＀_x0008_＀＀_x0001_＀＀_x0001_＀＀_x0001_＀＀ꏗ㵰휊䀡찀偸丯_x0016_䙏塉䙞彆䅓䕌⡓䅃ⱌ䌰⥙ō＀＀ ＀＀ĵ＀＀_x0008_＀＀_x0001_＀＀_x0001_＀＀_x0001_＀＀尨슏ꋵ䂁摦畳㩰⼯楤敲瑣潩獮䘯呁嘠敩敷㽲捡楴湯唽䑐呁♅牣慥潴㵲慦瑣敳♴奄彎剁升吽啒♅佄彃䅎䕍䘽呁䘺䱑䅟䑕呉义彇䱃䕉呎呟䵅䱐呁⹅䅆♔楤灳慬役瑳楲杮䄽摵瑩嘦剁䬺奅伽䕈䵌兖啂♎䅖㩒啑剅㵙歒晚さ䵆噒潍け䵆䑌䑂南㵫圦义佄㵗䥆卒彔佐啐♐䕈䝉呈㐽〵圦䑉䡔㐽〵匦䅔呒䵟塁䵉婉䑅䘽䱁䕓嘦剁䌺䱁久䅄㵒单嘦剁区䵙佂㵌䙏塉嘦剁䤺䑎塅〽찀偷丯_x0012_䍋幉䝆䵟呋噟䱁䕕⤨!＀＀ ＀＀	＀＀_x0008_＀＀_x0001_＀＀_x0001_＀＀_x0001_＀＀凬Ẹ孵䂳찀昦䷰_x001F_䅖幒䉉偟噁⡇⼴⼱〲㠰㜬㌯⼱〲㠰착 ＀＀ ＀＀_x0008_＀＀_x0008_＀＀_x0001_＀＀_x0001_＀＀_x0001_＀＀犰酨곭䁈偷丯_x0016_偃協䙞彆䅓䕌⡓䅃ⱌ䌰⥙ō＀＀ ＀＀ĵ＀＀_x0008_＀＀_x0001_＀＀_x0001_＀＀_x0001_＀＀롑锞䁡摦畳㩰⼯楤敲瑣潩獮䘯呁嘠敩敷㽲捡楴湯唽䑐呁♅牣慥潴㵲慦瑣敳♴奄彎剁升吽啒♅佄彃䅎䕍䘽呁䘺䱑䅟䑕呉义彇䱃䕉呎呟䵅䱐呁⹅䅆♔楤灳慬役瑳楲杮䄽摵瑩嘦剁䬺奅䌽協啒䭄䭒♆䅖㩒啑剅㵙歒晚さ䵆噒潍け䵆䑌䑂南㵫圦义佄㵗䥆卒彔佐啐♐䕈䝉呈㐽〵圦䑉䡔㐽〵匦䅔呒䵟塁䵉婉䑅䘽䱁䕓嘦剁䌺䱁久䅄㵒单嘦剁区䵙佂㵌偃協嘦剁䤺䑎塅〽찀퐟䷨ 呁䍅䥞彂䅐䝖㈨ㄯ㈯㄰ⰰ⼴〳㈯㄰⤰ ＀＀ ＀＀_x0008_＀＀_x0008_＀＀_x0001_＀＀_x0001_＀＀_x0001_＀＀_xDE09_䚐ฅ䀗偷丯_x0013_䉁䑍偞偟䥒䕃㐨㜰〵착!＀＀ ＀＀	＀＀_x0008_＀＀_x0001_＀＀_x0001_＀＀_x0001_＀＀馚香妙䀰찀偸丯P協乏⡞䙆䑟䉅⡔瑱Ⱳ⤰䘭彆䅃䡓卟⡔呑ⱒ⤰䀩䘨彆䕄呂儨剔⴬䘱⥑䘭彆䅃䡓卟⡔呑ⱒㄭ兆⤩Ɲ＀＀ ＀＀ƅ＀＀_x0008_＀＀_x0001_＀＀_x0001_＀＀_x0001_＀＀퓾䄦쁂摦畳㩰⼯楤敲瑣潩獮䘯呁嘠敩敷㽲捡楴湯唽䑐呁♅牣慥潴㵲慦瑣敳♴奄彎剁升吽啒♅佄彃䅎䕍䘽呁䘺䱑䅟䑕呉义彇䱃䕉呎呟䵅䱐呁⹅䅆♔楤灳慬役瑳楲杮䄽摵瑩嘦剁䬺奅䄽䵊佌䕄兆♒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協乏嘦剁䤺䑎塅〽찀賹不 䱁乇䥞彂䅐䝖㐨ㄯ㈯〰ⰸ⼶〳㈯〰⤸ ＀＀ ＀＀_x0008_＀＀_x0008_＀＀_x0001_＀＀_x0001_＀＀_x0001_＀＀鉊鋧䀧偶丯A䥓佒䙞彅卅䥔䅍䕔✨䅓䕌❓✬䕍乁Ⱗ䌧䱁✴✬〲㈱Ⱗ低ⱗⰬⰧㅆ㌲䴽䩁✬착!＀＀ ＀＀	＀＀_x0008_＀＀_x0001_＀＀_x0001_＀＀_x0001_＀＀묰༧ﮋ䂍찀偸丯_x0017_佐䑄䙞彆䅓䕌⡓䅃ⱌㄭ奃착ō＀＀ ＀＀ĵ＀＀_x0008_＀＀_x0001_＀＀_x0001_＀＀_x0001_＀＀帵䦺舌䁐摦畳㩰⼯楤敲瑣潩獮䘯呁嘠敩敷㽲捡楴湯唽䑐呁♅牣慥潴㵲慦瑣敳♴奄彎剁升吽啒♅佄彃䅎䕍䘽呁䘺䱑䅟䑕呉义彇䱃䕉呎呟䵅䱐呁⹅䅆♔楤灳慬役瑳楲杮䄽摵瑩嘦剁䬺奅儽坊䅒䕎啔♖䅖㩒啑剅㵙歒晚さ䵆噒潍け䵆䍌砰ㅑ火圦义佄㵗䥆卒彔佐啐♐䕈䝉呈㐽〵圦䑉䡔㐽〵匦䅔呒䵟塁䵉婉䑅䘽䱁䕓嘦剁䌺䱁久䅄㵒单嘦剁区䵙佂㵌佐䑄嘦剁䤺䑎塅〽찀賹不"䱁乇䥞彂䅐䝖ㄨ⼰⼱〲〱ㄬ⼲ㄳ㈯㄰⤰ ＀＀ ＀＀_x0008_＀＀_x0008_＀＀_x0001_＀＀_x0001_＀＀_x0001_＀＀淰돺섟䀲偷丯_x0012_呈剗䙞彆偅⡓乁ⱎ⤰!＀＀ ＀＀	＀＀_x0008_＀＀_x0001_＀＀_x0001_＀＀_x0001_＀＀轜尨쀁찀폵䷨ 呁䍅䥞彂䅐䝖㔨ㄯ㈯〰ⰹ⼷ㄳ㈯〰⤹ ＀＀ ＀＀_x0008_＀＀_x0008_＀＀_x0001_＀＀_x0001_＀＀_x0001_＀＀䄃ಀ묝䀆偷丯_x0013_佖䍌䙞彇䭍彔䅖啌⡅착!＀＀ ＀＀	＀＀_x0008_＀＀_x0001_＀＀_x0001_＀＀_x0001_＀＀ῲ㛒䂚찀偷丯A呈剗䙞彅卅䥔䅍䕔✨䅓䕌❓✬䕍乁Ⱗ䌧䱁✴✬〲ㄱⰧ低ⱗⰬⰧㅆ㌲䴽䩁✬착!＀＀ ＀＀	＀＀_x0008_＀＀_x0001_＀＀_x0001_＀＀_x0001_＀＀福렧潘䁕찀☬䵿 呁䍅䥞彂䅐䝖ㄨㄯ㈯㄰ⰰ⼳ㄳ㈯㄰⤰ ＀＀ ＀＀_x0008_＀＀_x0008_＀＀_x0001_＀＀_x0001_＀＀_x0001_＀＀✗_xDABE_䱑䀕偸丯_x0016_啎䅖䙞彆䅓䕌⡓䅃ⱌ䌰⥙ō＀＀ ＀＀ĵ＀＀_x0008_＀＀_x0001_＀＀_x0001_＀＀_x0001_＀＀ቯ삃䁽摦畳㩰⼯楤敲瑣潩獮䘯呁嘠敩敷㽲捡楴湯唽䑐呁♅牣慥潴㵲慦瑣敳♴奄彎剁升吽啒♅佄彃䅎䕍䘽呁䘺䱑䅟䑕呉义彇䱃䕉呎呟䵅䱐呁⹅䅆♔楤灳慬役瑳楲杮䄽摵瑩嘦剁䬺奅䄽䅎䵌䕌䥂♆䅖㩒啑剅㵙歒晚さ䵆噒潍け䵆䑌䑂南㵫圦义佄㵗䥆卒彔佐啐♐䕈䝉呈㐽〵圦䑉䡔㐽〵匦䅔呒䵟塁䵉婉䑅䘽䱁䕓嘦剁䌺䱁久䅄㵒单嘦剁区䵙佂㵌啎䅖嘦剁䤺䑎塅〽찀م䵿_x0010_呁䍅䙞彇剐䍉⡅⤰ ＀＀ ＀＀_x0008_＀＀_x0008_＀＀_x0001_＀＀_x0001_＀＀_x0001_＀＀竡긔䀄偸丯_x0017_協乏䙞彆䅓䕌⡓䅃ⱌㄭ奃착ō＀＀ ＀＀ĵ＀＀_x0008_＀＀_x0001_＀＀_x0001_＀＀_x0001_＀＀_xDF3B_赏캗䀽摦畳㩰⼯楤敲瑣潩獮䘯呁嘠敩敷㽲捡楴湯唽䑐呁♅牣慥潴㵲慦瑣敳♴奄彎剁升吽啒♅佄彃䅎䕍䘽呁䘺䱑䅟䑕呉义彇䱃䕉呎呟䵅䱐呁⹅䅆♔楤灳慬役瑳楲杮䄽摵瑩嘦剁䬺奅夽奘䭌䭈啌♔䅖㩒啑剅㵙歒晚さ䵆噒潍け䵆䍌砰ㅑ火圦义佄㵗䥆卒彔佐啐♐䕈䝉呈㐽〵圦䑉䡔㐽〵匦䅔呒䵟塁䵉婉䑅䘽䱁䕓嘦剁䌺䱁久䅄㵒单嘦剁区䵙佂㵌協乏嘦剁䤺䑎塅〽찀偷丯A偃協䙞彅卅䥔䅍䕔✨䅓䕌❓✬䕍乁Ⱗ䌧䱁✴✬〲㈱Ⱗ低ⱗⰬⰧㅆ㌲䴽䩁✬착!＀＀ ＀＀	＀＀_x0008_＀＀_x0001_＀＀_x0001_＀＀_x0001_＀＀_xDD2F_ؤ鶁䁡찀偸丯A䙏塉䙞彅卅䥔䅍䕔✨䅓䕌❓✬䕍乁Ⱗ䌧䱁✴✬〲ㄱⰧ低ⱗⰬⰧㅆ㌲䴽䩁✬착!＀＀ ＀＀	＀＀_x0008_＀＀_x0001_＀＀_x0001_＀＀_x0001_＀＀冃鵉Ⰰ䂂찀賹不"䱁乇䥞彂䅐䝖ㄨ⼰⼱〲㤰ㄬ⼲ㄳ㈯〰⤹ ＀＀ ＀＀_x0008_＀＀_x0008_＀＀_x0001_＀＀_x0001_＀＀_x0001_＀＀鿾糃ꅹ䀰偸丯A剁䍔䙞彅卅䥔䅍䕔✨䅓䕌❓✬䕍乁Ⱗ䌧䱁✴✬〲㈱Ⱗ低ⱗⰬⰧㅆ㌲䴽䩁✬착!＀＀ ＀＀	＀＀_x0008_＀＀_x0001_＀＀_x0001_＀＀_x0001_＀＀즅꥔䁸찀偷丯_x0013_呁䍅偞偟䥒䕃㐨㜰〵착!＀＀ ＀＀	＀＀_x0008_＀＀_x0001_＀＀_x0001_＀＀_x0001_＀＀㵱휊炣䀇찀偸丯&gt;䍋幉䕆䕟呓䵉呁⡅䔧卐Ⱗ䴧䅅❎✬䅃㑌Ⱗ㈧㄰✱丬坏Ⱜ✬䘬㈱㴳䅍ⱊ⤧!＀＀ ＀＀	＀＀_x0008_＀＀_x0001_＀＀_x0001_＀＀_x0001_＀＀ొ⬂ᚇ䀔찀偸丯A䱁乇䙞彅卅䥔䅍䕔✨䅓䕌❓✬䕍乁Ⱗ䌧䱁✴✬〲ㄱⰧ低ⱗⰬⰧㅆ㌲䴽䩁✬착!＀＀ ＀＀	＀＀_x0008_＀＀_x0001_＀＀_x0001_＀＀_x0001_＀＀ꦓ冂彉䁼찀偷丯_x0013_協乏偞偟䥒䕃㐨㜰〵착!＀＀ ＀＀	＀＀_x0008_＀＀_x0001_＀＀_x0001_＀＀_x0001_＀＀䞮竡긔䀓찀偷丯?䱅塇䙞彅卅䥔䅍䕔✨偅❓✬䕍乁Ⱗ䌧䱁✴✬〲ㄱⰧ低ⱗⰬⰧㅆ㌲䴽䩁✬착!＀＀ ＀＀	＀＀_x0008_＀＀_x0001_＀＀_x0001_＀＀_x0001_＀＀긕ᑺ뿞찀賹不"䱁乇䥞彂䅐䝖ㄨ⼰⼱〲㜰ㄬ⼲ㄳ㈯〰⤷ ＀＀ ＀＀_x0008_＀＀_x0008_＀＀_x0001_＀＀_x0001_＀＀_x0001_＀＀ක줲䇈䀴퐵䷨!呁䍅䥞彂䅐䝖ㄨ⼱⼱〲〱ㄬ㌯⼱〲ㄱ착 ＀＀ ＀＀_x0008_＀＀_x0008_＀＀_x0001_＀＀_x0001_＀＀_x0001_＀＀岉ٰ὿䀃偷丯?䡔剏䙞彅卅䥔䅍䕔✨偅❓✬䕍乁Ⱗ䌧䱁✴✬〲ㄱⰧ低ⱗⰬⰧㅆ㌲䴽䩁✬착!＀＀ ＀＀	＀＀_x0008_＀＀_x0001_＀＀_x0001_＀＀_x0001_＀＀䁨ᦽ鼵㿶찀☬䵿 呁䍅䥞彂䅐䝖㐨ㄯ㈯㄰ⰰ⼶〳㈯㄰⤰ ＀＀ ＀＀_x0008_＀＀_x0008_＀＀_x0001_＀＀_x0001_＀＀_x0001_＀＀⺭ҧ쓄䀖賹不!䱁乇䥞彂䅐䝖ㄨㄯ㈯〰ⰸ㈱㌯⼱〲㠰착 ＀＀ ＀＀_x0008_＀＀_x0008_＀＀_x0001_＀＀_x0001_＀＀_x0001_＀＀뭕ꐦ䀥偷丯_x0013_呈剗偞偟䥒䕃㐨㜰〵착!＀＀ ＀＀	＀＀_x0008_＀＀_x0001_＀＀_x0001_＀＀_x0001_＀＀尩슏_xD8F5_䁑찀偸丯A協乏䙞彅卅䥔䅍䕔✨䅓䕌❓✬䕍乁Ⱗ䌧䱁✴✬〲㈱Ⱗ低ⱗⰬⰧㅆ㌲䴽䩁✬착!＀＀ ＀＀	＀＀_x0008_＀＀_x0001_＀＀_x0001_＀＀_x0001_＀＀嘄ⴎ඲䀼찀偷丯N坅⡞䙆䑟䉅⡔瑱Ⱳ⤰䘭彆䅃䡓卟⡔呑ⱒ⤰䀩䘨彆䕄呂儨剔⴬䘱⥑䘭彆䅃䡓卟⡔呑ⱒㄭ兆⤩ƛ＀＀ ＀＀ƃ＀＀_x0008_＀＀_x0001_＀＀_x0001_＀＀_x0001_＀＀晦晦噦쁲摦畳㩰⼯楤敲瑣潩獮䘯呁嘠敩敷㽲捡楴湯唽䑐呁♅牣慥潴㵲慦瑣敳♴奄彎剁升吽啒♅佄彃䅎䕍䘽呁䘺䱑䅟䑕呉义彇䱃䕉呎呟䵅䱐呁⹅䅆♔楤灳慬役瑳楲杮䄽摵瑩嘦剁䬺奅匽䥈佐䥚坌♚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坅嘦剁䤺䑎塅〽찀旲䷰!呁䍅䥞彂䅐䝖ㄨ⼰⼱〲㘰㤬㌯⼰〲㜰착 ＀＀ ＀＀_x0008_＀＀_x0008_＀＀_x0001_＀＀_x0001_＀＀_x0001_＀＀Ḉ_xDEDF_蠵䀎偹丯@㈳㈮帴䕆䕟呓䵉呁⡅䔧卐Ⱗ䴧䅅❎✬䅃㑌Ⱗ㈧㄰✲丬坏Ⱜ✬䘬㈱㴳䅍ⱊ⤧_x001D_＀＀ ＀＀_x0005_＀＀_x0004_＀＀_x0001_＀＀_x0001_＀＀_x0008_＀＀乀A찀偷丯_x0012_䱅塇䙞彆偅⡓乁ⱎ⤰!＀＀ ＀＀	＀＀_x0008_＀＀_x0001_＀＀_x0001_＀＀_x0001_＀＀竡긔㿊찀旾䷰ 䅖幒䉉偟噁⡇〱ㄯ㈯〰ⰶ⼹〳㈯〰⤷ ＀＀ ＀＀_x0008_＀＀_x0008_＀＀_x0001_＀＀_x0001_＀＀_x0001_＀＀၎ή䁆偸丯A䡔剏䙞彅卅䥔䅍䕔✨䅓䕌❓✬䕍乁Ⱗ䌧䱁✴✬〲㈱Ⱗ低ⱗⰬⰧㅆ㌲䴽䩁✬착!＀＀ ＀＀	＀＀_x0008_＀＀_x0001_＀＀_x0001_＀＀_x0001_＀＀꾸벌䁼찀☬䵿 呁䍅䥞彂䅐䝖ㄨㄯ㈯〰ⰸ⼳ㄳ㈯〰⤸ ＀＀ ＀＀_x0008_＀＀_x0008_＀＀_x0001_＀＀_x0001_＀＀_x0001_＀＀꼔뚲ษ䀕폄䷨ 呁䍅䥞彂䅐䝖㈨ㄯ㈯〰ⰸ⼴〳㈯〰⤸ ＀＀ ＀＀_x0008_＀＀_x0008_＀＀_x0001_＀＀_x0001_＀＀_x0001_＀＀ꧼ틱㉍䀕偸丯_x0017_䡔剏䙞彆䅓䕌⡓䅃ⱌㄭ奃착ō＀＀ ＀＀ĵ＀＀_x0008_＀＀_x0001_＀＀_x0001_＀＀_x0001_＀＀䖢廽䁷摦畳㩰⼯楤敲瑣潩獮䘯呁嘠敩敷㽲捡楴湯唽䑐呁♅牣慥潴㵲慦瑣敳♴奄彎剁升吽啒♅佄彃䅎䕍䘽呁䘺䱑䅟䑕呉义彇䱃䕉呎呟䵅䱐呁⹅䅆♔楤灳慬役瑳楲杮䄽摵瑩嘦剁䬺奅伽卒佘䝎䵈♐䅖㩒啑剅㵙歒晚さ䵆噒潍け䵆䍌砰ㅑ火圦义佄㵗䥆卒彔佐啐♐䕈䝉呈㐽〵圦䑉䡔㐽〵匦䅔呒䵟塁䵉婉䑅䘽䱁䕓嘦剁䌺䱁久䅄㵒单嘦剁区䵙佂㵌䡔剏嘦剁䤺䑎塅〽찀偸丯_x0013_䱁乇偞偟䥒䕃㐨㜰〵착!＀＀ ＀＀	＀＀_x0008_＀＀_x0001_＀＀_x0001_＀＀_x0001_＀＀쳍쳌ೌ䀷찀偸丯A佖䍌䙞彅卅䥔䅍䕔✨䅓䕌❓✬䕍乁Ⱗ䌧䱁✴✬〲ㄱⰧ低ⱗⰬⰧㅆ㌲䴽䩁✬착!＀＀ ＀＀	＀＀_x0008_＀＀_x0001_＀＀_x0001_＀＀_x0001_＀＀桳ꥼ䁵찀偸丯A啎䅖䙞彅卅䥔䅍䕔✨䅓䕌❓✬䕍乁Ⱗ䌧䱁✴✬〲ㄱⰧ低ⱗⰬⰧㅆ㌲䴽䩁✬착!＀＀ ＀＀	＀＀_x0008_＀＀_x0001_＀＀_x0001_＀＀_x0001_＀＀鞍ቮ솃䂀찀偷丯_x0017_呈剗䙞彆䅓䕌⡓䅃ⱌㄭ奃착ō＀＀ ＀＀ĵ＀＀_x0008_＀＀_x0001_＀＀_x0001_＀＀_x0001_＀＀ȿ⯹䀸摦畳㩰⼯楤敲瑣潩獮䘯呁嘠敩敷㽲捡楴湯唽䑐呁♅牣慥潴㵲慦瑣敳♴奄彎剁升吽啒♅佄彃䅎䕍䘽呁䘺䱑䅟䑕呉义彇䱃䕉呎呟䵅䱐呁⹅䅆♔楤灳慬役瑳楲杮䄽摵瑩嘦剁䬺奅䌽䕊䥖啌奚♘䅖㩒啑剅㵙歒晚さ䵆噒潍け䵆䍌砰ㅑ火圦义佄㵗䥆卒彔佐啐♐䕈䝉呈㐽〵圦䑉䡔㐽〵匦䅔呒䵟塁䵉婉䑅䘽䱁䕓嘦剁䌺䱁久䅄㵒单嘦剁区䵙佂㵌呈剗嘦剁䤺䑎塅〽찀偷丯_x0013_佐䑄䙞彇䭍彔䅖啌⡅착!＀＀ ＀＀	＀＀_x0008_＀＀_x0001_＀＀_x0001_＀＀_x0001_＀＀脆䎕㬋䂍찀偸丯_x0016_呁䍅䙞彆䅓䕌⡓䅃ⱌ䌰⥙ō＀＀ ＀＀ĵ＀＀_x0008_＀＀_x0001_＀＀_x0001_＀＀_x0001_＀＀凬Ẹ玅䁥摦畳㩰⼯楤敲瑣潩獮䘯呁嘠敩敷㽲捡楴湯唽䑐呁♅牣慥潴㵲慦瑣敳♴奄彎剁升吽啒♅佄彃䅎䕍䘽呁䘺䱑䅟䑕呉义彇䱃䕉呎呟䵅䱐呁⹅䅆♔楤灳慬役瑳楲杮䄽摵瑩嘦剁䬺奅䴽䅔佊䥎䅖♌䅖㩒啑剅㵙歒晚さ䵆噒潍け䵆䑌䑂南㵫圦义佄㵗䥆卒彔佐啐♐䕈䝉呈㐽〵圦䑉䡔㐽〵匦䅔呒䵟塁䵉婉䑅䘽䱁䕓嘦剁䌺䱁久䅄㵒单嘦剁区䵙佂㵌呁䍅嘦剁䤺䑎塅〽찀☬䵿 呁䍅䥞彂䅐䝖㜨ㄯ㈯〰ⰷ⼹〳㈯〰⤷ ＀＀ ＀＀_x0008_＀＀_x0008_＀＀_x0001_＀＀_x0001_＀＀_x0001_＀＀㱹㼭異䀎暍䷰_x001F_䅖幒䉉偟噁⡇⼱⼱〲ㄱ㌬㌯⼱〲ㄱ착 ＀＀ ＀＀_x0008_＀＀_x0008_＀＀_x0001_＀＀_x0001_＀＀_x0001_＀＀_xFFFF_ｄᜄ⸫䁑偷丯_x0016_低乂䌭幈彐剐䍉⡅〴㔷⤰!＀＀ ＀＀	＀＀_x0008_＀＀_x0001_＀＀_x0001_＀＀_x0001_＀＀ᑺ䞮䀰찀偸丯_x0016_佐䑄䙞彆䅓䕌⡓䅃ⱌ䌰⥙ō＀＀ ＀＀ĵ＀＀_x0008_＀＀_x0001_＀＀_x0001_＀＀_x0001_＀＀ﯧ㷒䁘摦畳㩰⼯楤敲瑣潩獮䘯呁嘠敩敷㽲捡楴湯唽䑐呁♅牣慥潴㵲慦瑣敳♴奄彎剁升吽啒♅佄彃䅎䕍䘽呁䘺䱑䅟䑕呉义彇䱃䕉呎呟䵅䱐呁⹅䅆♔楤灳慬役瑳楲杮䄽摵瑩嘦剁䬺奅儽䝄卌䍐䭎♘䅖㩒啑剅㵙歒晚さ䵆噒潍け䵆䑌䑂南㵫圦义佄㵗䥆卒彔佐啐♐䕈䝉呈㐽〵圦䑉䡔㐽〵匦䅔呒䵟塁䵉婉䑅䘽䱁䕓嘦剁䌺䱁久䅄㵒单嘦剁区䵙佂㵌佐䑄嘦剁䤺䑎塅〽찀偷丯P佐䑄⡞䙆䑟䉅⡔瑱Ⱳ⤰䘭彆䅃䡓卟⡔呑ⱒ⤰䀩䘨彆䕄呂儨剔⴬䘱⥑䘭彆䅃䡓卟⡔呑ⱒㄭ兆⤩Ɲ＀＀ ＀＀ƅ＀＀_x0008_＀＀_x0001_＀＀_x0001_＀＀_x0001_＀＀鮥탄쁀摦畳㩰⼯楤敲瑣潩獮䘯呁嘠敩敷㽲捡楴湯唽䑐呁♅牣慥潴㵲慦瑣敳♴奄彎剁升吽啒♅佄彃䅎䕍䘽呁䘺䱑䅟䑕呉义彇䱃䕉呎呟䵅䱐呁⹅䅆♔楤灳慬役瑳楲杮䄽摵瑩嘦剁䬺奅䜽啘䍈佔䍐♊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佐䑄嘦剁䤺䑎塅〽찀늖丒_x0010_䱁乇䙞彇剐䍉⡅⤰ ＀＀ ＀＀_x0008_＀＀_x0008_＀＀_x0001_＀＀_x0001_＀＀_x0001_＀＀竡긔Ň䀷偷丯_x0013_剘奁䙞彇䭍彔䅖啌⡅착!＀＀ ＀＀	＀＀_x0008_＀＀_x0001_＀＀_x0001_＀＀_x0001_＀＀䉚咮䂵찀퐟䷨ 呁䍅䥞彂䅐䝖㔨ㄯ㈯㄰ⰰ⼷ㄳ㈯㄰⤰ ＀＀ ＀＀_x0008_＀＀_x0008_＀＀_x0001_＀＀_x0001_＀＀_x0001_＀＀骢겒凃䀔偸丯A呁䍅䙞彅卅䥔䅍䕔✨䅓䕌❓✬䕍乁Ⱗ䌧䱁✴✬〲ㄱⰧ低ⱗⰬⰧㅆ㌲䴽䩁✬착!＀＀ ＀＀	＀＀_x0008_＀＀_x0001_＀＀_x0001_＀＀_x0001_＀＀⢌⏭䁩찀偷丯_x0013_䡔剏偞偟䥒䕃㐨㜰〵착!＀＀ ＀＀	＀＀_x0008_＀＀_x0001_＀＀_x0001_＀＀_x0001_＀＀ꏗ㵰眊䁁찀偷丯P偃協⡞䙆䑟䉅⡔瑱Ⱳ⤰䘭彆䅃䡓卟⡔呑ⱒ⤰䀩䘨彆䕄呂儨剔⴬䘱⥑䘭彆䅃䡓卟⡔呑ⱒㄭ兆⤩Ɲ＀＀ ＀＀ƅ＀＀_x0008_＀＀_x0001_＀＀_x0001_＀＀_x0001_＀＀눰䚧䀚摦畳㩰⼯楤敲瑣潩獮䘯呁嘠敩敷㽲捡楴湯唽䑐呁♅牣慥潴㵲慦瑣敳♴奄彎剁升吽啒♅佄彃䅎䕍䘽呁䘺䱑䅟䑕呉义彇䱃䕉呎呟䵅䱐呁⹅䅆♔楤灳慬役瑳楲杮䄽摵瑩嘦剁䬺奅夽兘奌䥎啖♈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偃協嘦剁䤺䑎塅〽찀賹不 䱁乇䥞彂䅐䝖ㄨㄯ㈯〰ⰷ⼳ㄳ㈯〰⤷ ＀＀ ＀＀_x0008_＀＀_x0008_＀＀_x0001_＀＀_x0001_＀＀_x0001_＀＀⎅ꕈ觘䀯偷丯A䱅塇䙞彅卅䥔䅍䕔✨䅓䕌❓✬䕍乁Ⱗ䌧䱁✴✬〲㈱Ⱗ低ⱗⰬⰧㅆ㌲䴽䩁✬착!＀＀ ＀＀	＀＀_x0008_＀＀_x0001_＀＀_x0001_＀＀_x0001_＀＀ᬳ鉤辑䁙찀偷丯_x0013_剁䍔䙞彇䭍彔䅖啌⡅착!＀＀ ＀＀	＀＀_x0008_＀＀_x0001_＀＀_x0001_＀＀_x0001_＀＀▯菤촞䂌찀偷丯_x0013_偃協䙞彇䭍彔䅖啌⡅착!＀＀ ＀＀	＀＀_x0008_＀＀_x0001_＀＀_x0001_＀＀_x0001_＀＀点␠ఋ䁶찀偸丯_x0012_䙏塉䙞彆偅⡓乁ⱎ⤰!＀＀ ＀＀	＀＀_x0008_＀＀_x0001_＀＀_x0001_＀＀_x0001_＀＀긔ᑺ䀄찀劌䷰_x001F_䅖幒䉉偟噁⡇⼴⼱〲㜰㜬㌯⼱〲㜰착 ＀＀ ＀＀_x0008_＀＀_x0008_＀＀_x0001_＀＀_x0001_＀＀_x0001_＀＀ᑑᏨ鉹䁅폵䷨!呁䍅䥞彂䅐䝖ㄨ⼱⼱〲㠰ㄬ㌯⼱〲㤰착 ＀＀ ＀＀_x0008_＀＀_x0008_＀＀_x0001_＀＀_x0001_＀＀_x0001_＀＀쯄맓钢䀄☬䵿 呁䍅䥞彂䅐䝖㐨ㄯ㈯〰ⰸ⼶〳㈯〰⤸ ＀＀ ＀＀_x0008_＀＀_x0008_＀＀_x0001_＀＀_x0001_＀＀_x0001_＀＀䄩ꅿ䱇䀓☬䵿"呁䍅䥞彂䅐䝖ㄨ⼰⼱〲㠰ㄬ⼲ㄳ㈯〰⤸ ＀＀ ＀＀_x0008_＀＀_x0008_＀＀_x0001_＀＀_x0001_＀＀_x0001_＀＀戬懘婌䀉偶丯P䥓佒⡞䙆䑟䉅⡔瑱Ⱳ⤰䘭彆䅃䡓卟⡔呑ⱒ⤰䀩䘨彆䕄呂儨剔⴬䘱⥑䘭彆䅃䡓卟⡔呑ⱒㄭ兆⤩Ɲ＀＀ ＀＀ƅ＀＀_x0008_＀＀_x0001_＀＀_x0001_＀＀_x0001_＀＀ꗤ쒛堠䁔摦畳㩰⼯楤敲瑣潩獮䘯呁嘠敩敷㽲捡楴湯唽䑐呁♅牣慥潴㵲慦瑣敳♴奄彎剁升吽啒♅佄彃䅎䕍䘽呁䘺䱑䅟䑕呉义彇䱃䕉呎呟䵅䱐呁⹅䅆♔楤灳慬役瑳楲杮䄽摵瑩嘦剁䬺奅匽䕎䥎䕘䅘♌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䥓佒嘦剁䤺䑎塅〽찀偷丯_x0011_坅䙞彇䭍彔䅖啌⡅착!＀＀ ＀＀	＀＀_x0008_＀＀_x0001_＀＀_x0001_＀＀_x0001_＀＀긔釺䃀찀偶丯A䥓佒䙞彅卅䥔䅍䕔✨䅓䕌❓✬䕍乁Ⱗ䌧䱁✴✬〲ㄱⰧ低ⱗⰬⰧㅆ㌲䴽䩁✬착!＀＀ ＀＀	＀＀_x0008_＀＀_x0001_＀＀_x0001_＀＀_x0001_＀＀桳㏼䂌찀偷丯_x0013_啎䅖䙞彇䭍彔䅖啌⡅착!＀＀ ＀＀	＀＀_x0008_＀＀_x0001_＀＀_x0001_＀＀_x0001_＀＀漀ҁ䂒찀偸丯O䍋幉䘨彆䕄呂焨牴〬⴩䙆䍟十彈呓儨剔〬⤩⡀䙆䑟䉅⡔呑ⱒㄭ兆⴩䙆䍟十彈呓儨剔⴬䘱⥑착Ɯ＀＀ ＀＀Ƅ＀＀_x0008_＀＀_x0001_＀＀_x0001_＀＀_x0001_＀＀⋒率鑾䂃摦畳㩰⼯楤敲瑣潩獮䘯呁嘠敩敷㽲捡楴湯唽䑐呁♅牣慥潴㵲慦瑣敳♴奄彎剁升吽啒♅佄彃䅎䕍䘽呁䘺䱑䅟䑕呉义彇䱃䕉呎呟䵅䱐呁⹅䅆♔楤灳慬役瑳楲杮䄽摵瑩嘦剁䬺奅儽低兒商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䍋♉䅖㩒义䕄㵘0偷丯_x0013_䙏塉䙞彇䭍彔䅖啌⡅착!＀＀ ＀＀	＀＀_x0008_＀＀_x0001_＀＀_x0001_＀＀_x0001_＀＀뗝粄㛐䂈찀賹不 䱁乇䥞彂䅐䝖㐨ㄯ㈯〰ⰷ⼶〳㈯〰⤷ ＀＀ ＀＀_x0008_＀＀_x0008_＀＀_x0001_＀＀_x0001_＀＀_x0001_＀＀馯덼淍䀵偷丯?佐䑄䙞彅卅䥔䅍䕔✨偅❓✬䕍乁Ⱗ䌧䱁✴✬〲ㄱⰧ低ⱗⰬⰧㅆ㌲䴽䩁✬착!＀＀ ＀＀	＀＀_x0008_＀＀_x0001_＀＀_x0001_＀＀_x0001_＀＀霋_xD855_「뿧찀偸丯_x0016_䱁乇䙞彆䅓䕌⡓䅃ⱌ䌰⥙ō＀＀ ＀＀ĵ＀＀_x0008_＀＀_x0001_＀＀_x0001_＀＀_x0001_＀＀璼ᢓ㈄䁸摦畳㩰⼯楤敲瑣潩獮䘯呁嘠敩敷㽲捡楴湯唽䑐呁♅牣慥潴㵲慦瑣敳♴奄彎剁升吽啒♅佄彃䅎䕍䘽呁䘺䱑䅟䑕呉义彇䱃䕉呎呟䵅䱐呁⹅䅆♔楤灳慬役瑳楲杮䄽摵瑩嘦剁䬺奅儽䝆兎兎奒♂䅖㩒啑剅㵙歒晚さ䵆噒潍け䵆䑌䑂南㵫圦义佄㵗䥆卒彔佐啐♐䕈䝉呈㐽〵圦䑉䡔㐽〵匦䅔呒䵟塁䵉婉䑅䘽䱁䕓嘦剁䌺䱁久䅄㵒单嘦剁区䵙佂㵌䱁乇嘦剁䤺䑎塅〽찀☬䵿!呁䍅䥞彂䅐䝖ㄨㄯ㈯〰ⰸ㈱㌯⼱〲㠰착 ＀＀ ＀＀_x0008_＀＀_x0008_＀＀_x0001_＀＀_x0001_＀＀_x0001_＀＀藤硴쌈䀑偶丯_x0017_剘奁䙞彆䅓䕌⡓䅃ⱌㄭ奃착ō＀＀ ＀＀ĵ＀＀_x0008_＀＀_x0001_＀＀_x0001_＀＀_x0001_＀＀뙆ﷳ_xDFD4_䂠摦畳㩰⼯楤敲瑣潩獮䘯呁嘠敩敷㽲捡楴湯唽䑐呁♅牣慥潴㵲慦瑣敳♴奄彎剁升吽啒♅佄彃䅎䕍䘽呁䘺䱑䅟䑕呉义彇䱃䕉呎呟䵅䱐呁⹅䅆♔楤灳慬役瑳楲杮䄽摵瑩嘦剁䬺奅䬽卐䝆䥈䝎♂䅖㩒啑剅㵙歒晚さ䵆噒潍け䵆䍌砰ㅑ火圦义佄㵗䥆卒彔佐啐♐䕈䝉呈㐽〵圦䑉䡔㐽〵匦䅔呒䵟塁䵉婉䑅䘽䱁䕓嘦剁䌺䱁久䅄㵒单嘦剁区䵙佂㵌剘奁嘦剁䤺䑎塅〽찀賹不 䱁乇䥞彂䅐䝖㜨ㄯ㈯〰ⰹ⼹〳㈯〰⤹ ＀＀ ＀＀_x0008_＀＀_x0008_＀＀_x0001_＀＀_x0001_＀＀_x0001_＀＀廲㊵_xDFE1_䀧偸丯A剁䍔䙞彅卅䥔䅍䕔✨䅓䕌❓✬䕍乁Ⱗ䌧䱁✴✬〲ㄱⰧ低ⱗⰬⰧㅆ㌲䴽䩁✬착!＀＀ ＀＀	＀＀_x0008_＀＀_x0001_＀＀_x0001_＀＀_x0001_＀＀⭫韶⇝䁷찀偸丯_x0016_䍋幉䙆卟䱁卅䌨䱁⴬䌱⥙Ō＀＀ ＀＀Ĵ＀＀_x0008_＀＀_x0001_＀＀_x0001_＀＀_x0001_＀＀橿璼⊓䂟摦畳㩰⼯楤敲瑣潩獮䘯呁嘠敩敷㽲捡楴湯唽䑐呁♅牣慥潴㵲慦瑣敳♴奄彎剁升吽啒♅佄彃䅎䕍䘽呁䘺䱑䅟䑕呉义彇䱃䕉呎呟䵅䱐呁⹅䅆♔楤灳慬役瑳楲杮䄽摵瑩嘦剁䬺奅䤽兔䭈䵔䕊♊䅖㩒啑剅㵙歒晚さ䵆噒潍け䵆䍌砰ㅑ火圦义佄㵗䥆卒彔佐啐♐䕈䝉呈㐽〵圦䑉䡔㐽〵匦䅔呒䵟塁䵉婉䑅䘽䱁䕓嘦剁䌺䱁久䅄㵒单嘦剁区䵙佂㵌䍋♉䅖㩒义䕄㵘0偷丯_x0013_䥓佒䙞彇䭍彔䅖啌⡅착!＀＀ ＀＀	＀＀_x0008_＀＀_x0001_＀＀_x0001_＀＀_x0001_＀＀긔䂦찀暍䷰!䅖幒䉉偟噁⡇〱ㄯ㈯〰ⰸ㈱㌯⼱〲㠰착 ＀＀ ＀＀_x0008_＀＀_x0008_＀＀_x0001_＀＀_x0001_＀＀_x0001_＀＀휵ꑩ媥䁄暍䷰_x001F_䅖幒䉉偟噁⡇⼱⼱〲㤰㌬㌯⼱〲㤰착 ＀＀ ＀＀_x0008_＀＀_x0008_＀＀_x0001_＀＀_x0001_＀＀_x0001_＀＀Ⓣ朣ꝡ䁀偷丯_x0012_䡔剏䙞彆偅⡓乁ⱎ⤰!＀＀ ＀＀	＀＀_x0008_＀＀_x0001_＀＀_x0001_＀＀_x0001_＀＀쳍쳌쳌㿬찀偸丯A協乏䙞彅卅䥔䅍䕔✨䅓䕌❓✬䕍乁Ⱗ䌧䱁✴✬〲ㄱⰧ低ⱗⰬⰧㅆ㌲䴽䩁✬착!＀＀ ＀＀	＀＀_x0008_＀＀_x0001_＀＀_x0001_＀＀_x0001_＀＀䎖沋ᯧ䀵찀偸丯_x0017_佖䍌䙞彆䅓䕌⡓䅃ⱌㄭ奃착ō＀＀ ＀＀ĵ＀＀_x0008_＀＀_x0001_＀＀_x0001_＀＀_x0001_＀＀됹盈箾䁬摦畳㩰⼯楤敲瑣潩獮䘯呁嘠敩敷㽲捡楴湯唽䑐呁♅牣慥潴㵲慦瑣敳♴奄彎剁升吽啒♅佄彃䅎䕍䘽呁䘺䱑䅟䑕呉义彇䱃䕉呎呟䵅䱐呁⹅䅆♔楤灳慬役瑳楲杮䄽摵瑩嘦剁䬺奅夽単䭈䥒奔♌䅖㩒啑剅㵙歒晚さ䵆噒潍け䵆䍌砰ㅑ火圦义佄㵗䥆卒彔佐啐♐䕈䝉呈㐽〵圦䑉䡔㐽〵匦䅔呒䵟塁䵉婉䑅䘽䱁䕓嘦剁䌺䱁久䅄㵒单嘦剁区䵙佂㵌佖䍌嘦剁䤺䑎塅〽찀폄䷨ 呁䍅䥞彂䅐䝖㔨ㄯ㈯〰ⰸ⼷ㄳ㈯〰⤸ ＀＀ ＀＀_x0008_＀＀_x0008_＀＀_x0001_＀＀_x0001_＀＀_x0001_＀＀ݛ笇㌓䀒偷丯A偃協䙞彅卅䥔䅍䕔✨䅓䕌❓✬䕍乁Ⱗ䌧䱁✴✬〲ㄱⰧ低ⱗⰬⰧㅆ㌲䴽䩁✬착!＀＀ ＀＀	＀＀_x0008_＀＀_x0001_＀＀_x0001_＀＀_x0001_＀＀䔸遇䁠찀剀䷰!䅖幒䉉偟噁⡇〱ㄯ㈯〰ⰶ㈱㌯⼱〲㘰착 ＀＀ ＀＀_x0008_＀＀_x0008_＀＀_x0001_＀＀_x0001_＀＀_x0001_＀＀뇚蠑䇗䁉퐟䷨"呁䍅䥞彂䅐䝖ㄨ⼱⼱〲㤰ㄬ⼰ㄳ㈯㄰⤰ ＀＀ ＀＀_x0008_＀＀_x0008_＀＀_x0001_＀＀_x0001_＀＀_x0001_＀＀늖焌஬䀒昦䷰ 䅖幒䉉偟噁⡇⼸⼱〲㠰ㄬ⼰ㄳ㈯〰⤸ ＀＀ ＀＀_x0008_＀＀_x0008_＀＀_x0001_＀＀_x0001_＀＀_x0001_＀＀귫궁䐒䁌偸丯_x0011_䍋幉䙆䕟卐䄨乎〬착!＀＀ ＀＀	＀＀_x0008_＀＀_x0001_＀＀_x0001_＀＀_x0001_＀＀슏⣵轜䀌찀偷丯_x0013_䱅塇䙞彇䭍彔䅖啌⡅착!＀＀ ＀＀	＀＀_x0008_＀＀_x0001_＀＀_x0001_＀＀_x0001_＀＀ᒥ筴ꑉ䁿찀偸丯P䙏塉⡞䙆䑟䉅⡔瑱Ⱳ⤰䘭彆䅃䡓卟⡔呑ⱒ⤰䀩䘨彆䕄呂儨剔⴬䘱⥑䘭彆䅃䡓卟⡔呑ⱒㄭ兆⤩Ɲ＀＀ ＀＀ƅ＀＀_x0008_＀＀_x0001_＀＀_x0001_＀＀_x0001_＀＀⛩࠱Ҭ䁥摦畳㩰⼯楤敲瑣潩獮䘯呁嘠敩敷㽲捡楴湯唽䑐呁♅牣慥潴㵲慦瑣敳♴奄彎剁升吽啒♅佄彃䅎䕍䘽呁䘺䱑䅟䑕呉义彇䱃䕉呎呟䵅䱐呁⹅䅆♔楤灳慬役瑳楲杮䄽摵瑩嘦剁䬺奅儽䍊䅈䅆奒♖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䙏塉嘦剁䤺䑎塅〽찀偸丯_x0012_剁䍔䙞彆偅⡓乁ⱎ⤰!＀＀ ＀＀	＀＀_x0008_＀＀_x0001_＀＀_x0001_＀＀_x0001_＀＀ꏗ㵰휊㿳찀펚䷨ 呁䍅䥞彂䅐䝖㈨ㄯ㈯〰ⰷ⼴〳㈯〰⤷ ＀＀ ＀＀_x0008_＀＀_x0008_＀＀_x0001_＀＀_x0001_＀＀_x0001_＀＀延텼漞䀐偷丯_x0012_佐䑄䙞彆偅⡓乁ⱎ⤰!＀＀ ＀＀	＀＀_x0008_＀＀_x0001_＀＀_x0001_＀＀_x0001_＀＀炤਽ꏗ뿸찀팧䷨"呁䍅䥞彂䅐䝖ㄨ⼱⼱〲㘰ㄬ⼰ㄳ㈯〰⤷ ＀＀ ＀＀_x0008_＀＀_x0008_＀＀_x0001_＀＀_x0001_＀＀_x0001_＀＀閯巐윒䀎偸丯_x0016_剁䍔䙞彆䅓䕌⡓䅃ⱌ䌰⥙ō＀＀ ＀＀ĵ＀＀_x0008_＀＀_x0001_＀＀_x0001_＀＀_x0001_＀＀ㄧ갈Ⱌ䁵摦畳㩰⼯楤敲瑣潩獮䘯呁嘠敩敷㽲捡楴湯唽䑐呁♅牣慥潴㵲慦瑣敳♴奄彎剁升吽啒♅佄彃䅎䕍䘽呁䘺䱑䅟䑕呉义彇䱃䕉呎呟䵅䱐呁⹅䅆♔楤灳慬役瑳楲杮䄽摵瑩嘦剁䬺奅䴽䵆啒坖坊♎䅖㩒啑剅㵙歒晚さ䵆噒潍け䵆䑌䑂南㵫圦义佄㵗䥆卒彔佐啐♐䕈䝉呈㐽〵圦䑉䡔㐽〵匦䅔呒䵟塁䵉婉䑅䘽䱁䕓嘦剁䌺䱁久䅄㵒单嘦剁区䵙佂㵌剁䍔嘦剁䤺䑎塅〽찀偸丯?呁䍅䙞彅卅䥔䅍䕔✨偅❓✬䕍乁Ⱗ䌧䱁✴✬〲ㄱⰧ低ⱗⰬⰧㅆ㌲䴽䩁✬착!＀＀ ＀＀	＀＀_x0008_＀＀_x0001_＀＀_x0001_＀＀_x0001_＀＀ᑻ䞮竡㾔찀偸丯?協乏䙞彅卅䥔䅍䕔✨偅❓✬䕍乁Ⱗ䌧䱁✴✬〲ㄱⰧ低ⱗⰬⰧㅆ㌲䴽䩁✬착!＀＀ ＀＀	＀＀_x0008_＀＀_x0001_＀＀_x0001_＀＀_x0001_＀＀쳍쳌쳌뿬찀偶丯P剘奁⡞䙆䑟䉅⡔瑱Ⱳ⤰䘭彆䅃䡓卟⡔呑ⱒ⤰䀩䘨彆䕄呂儨剔⴬䘱⥑䘭彆䅃䡓卟⡔呑ⱒㄭ兆⤩Ɲ＀＀ ＀＀ƅ＀＀_x0008_＀＀_x0001_＀＀_x0001_＀＀_x0001_＀＀눨ầ䁖摦畳㩰⼯楤敲瑣潩獮䘯呁嘠敩敷㽲捡楴湯唽䑐呁♅牣慥潴㵲慦瑣敳♴奄彎剁升吽啒♅佄彃䅎䕍䘽呁䘺䱑䅟䑕呉义彇䱃䕉呎呟䵅䱐呁⹅䅆♔楤灳慬役瑳楲杮䄽摵瑩嘦剁䬺奅圽䝆佘商䍈♖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剘奁嘦剁䤺䑎塅〽찀偹丯@ㄷ㌮帹䕆䕟呓䵉呁⡅䔧卐Ⱗ䴧䅅❎✬䅃㑌Ⱗ㈧㄰✲丬坏Ⱜ✬䘬㈱㴳䅍ⱊ⤧_x001D_＀＀ ＀＀_x0005_＀＀_x0004_＀＀_x0001_＀＀_x0001_＀＀_x0008_＀＀乀A찀폄䷨!呁䍅䥞彂䅐䝖㠨ㄯ㈯〰ⰸ〱㌯⼱〲㠰착 ＀＀ ＀＀_x0008_＀＀_x0008_＀＀_x0001_＀＀_x0001_＀＀_x0001_＀＀뽞㝠㭬䀒偸丯A䡔剏䙞彅卅䥔䅍䕔✨䅓䕌❓✬䕍乁Ⱗ䌧䱁✴✬〲ㄱⰧ低ⱗⰬⰧㅆ㌲䴽䩁✬착!＀＀ ＀＀	＀＀_x0008_＀＀_x0001_＀＀_x0001_＀＀_x0001_＀＀춟쾪⇕䁺찀偸丯_x0016_協乏䙞彆䅓䕌⡓䅃ⱌ䌰⥙ō＀＀ ＀＀ĵ＀＀_x0008_＀＀_x0001_＀＀_x0001_＀＀_x0001_＀＀閁譃❬䀺摦畳㩰⼯楤敲瑣潩獮䘯呁嘠敩敷㽲捡楴湯唽䑐呁♅牣慥潴㵲慦瑣敳♴奄彎剁升吽啒♅佄彃䅎䕍䘽呁䘺䱑䅟䑕呉义彇䱃䕉呎呟䵅䱐呁⹅䅆♔楤灳慬役瑳楲杮䄽摵瑩嘦剁䬺奅唽但奊佘䍆♔䅖㩒啑剅㵙歒晚さ䵆噒潍け䵆䑌䑂南㵫圦义佄㵗䥆卒彔佐啐♐䕈䝉呈㐽〵圦䑉䡔㐽〵匦䅔呒䵟塁䵉婉䑅䘽䱁䕓嘦剁䌺䱁久䅄㵒单嘦剁区䵙佂㵌協乏嘦剁䤺䑎塅〽찀偶丯_x0017_䥓佒䙞彆䅓䕌⡓䅃ⱌㄭ奃착ō＀＀ ＀＀ĵ＀＀_x0008_＀＀_x0001_＀＀_x0001_＀＀_x0001_＀＀䦺Ȍ挫䂇摦畳㩰⼯楤敲瑣潩獮䘯呁嘠敩敷㽲捡楴湯唽䑐呁♅牣慥潴㵲慦瑣敳♴奄彎剁升吽啒♅佄彃䅎䕍䘽呁䘺䱑䅟䑕呉义彇䱃䕉呎呟䵅䱐呁⹅䅆♔楤灳慬役瑳楲杮䄽摵瑩嘦剁䬺奅䔽奄奄奈奔♒䅖㩒啑剅㵙歒晚さ䵆噒潍け䵆䍌砰ㅑ火圦义佄㵗䥆卒彔佐啐♐䕈䝉呈㐽〵圦䑉䡔㐽〵匦䅔呒䵟塁䵉婉䑅䘽䱁䕓嘦剁䌺䱁久䅄㵒单嘦剁区䵙佂㵌䥓佒嘦剁䤺䑎塅〽찀偷丯_x0013_䉁䑍䙞彇䭍彔䅖啌⡅착!＀＀ ＀＀	＀＀_x0008_＀＀_x0001_＀＀_x0001_＀＀_x0001_＀＀赐溗ꦒ䂃찀偷丯_x0016_呓乍䌭幈彐剐䍉⡅〴㔷⤰!＀＀ ＀＀	＀＀_x0008_＀＀_x0001_＀＀_x0001_＀＀_x0001_＀＀＀＀＀＀䁧찀賹不 䱁乇䥞彂䅐䝖ㄨㄯ㈯㄰ⰱ⼳ㄳ㈯㄰⤱ ＀＀ ＀＀_x0008_＀＀_x0008_＀＀_x0001_＀＀_x0001_＀＀_x0001_＀＀ᅝꟼ䀴폵䷨"呁䍅䥞彂䅐䝖ㄨ⼱⼱〲㠰ㄬ⼰ㄳ㈯〰⤹ ＀＀ ＀＀_x0008_＀＀_x0008_＀＀_x0001_＀＀_x0001_＀＀_x0001_＀＀⭍䂅넮䀇偷丯P呈剗⡞䙆䑟䉅⡔瑱Ⱳ⤰䘭彆䅃䡓卟⡔呑ⱒ⤰䀩䘨彆䕄呂儨剔⴬䘱⥑䘭彆䅃䡓卟⡔呑ⱒㄭ兆⤩Ɲ＀＀ ＀＀ƅ＀＀_x0008_＀＀_x0001_＀＀_x0001_＀＀_x0001_＀＀賞꾚쁞摦畳㩰⼯楤敲瑣潩獮䘯呁嘠敩敷㽲捡楴湯唽䑐呁♅牣慥潴㵲慦瑣敳♴奄彎剁升吽啒♅佄彃䅎䕍䘽呁䘺䱑䅟䑕呉义彇䱃䕉呎呟䵅䱐呁⹅䅆♔楤灳慬役瑳楲杮䄽摵瑩嘦剁䬺奅匽兘华啄佈♒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呈剗嘦剁䤺䑎塅〽찀퐞䷨!呁䍅䥞彂䅐䝖ㄨ⼱⼱〲㤰ㄬ㌯⼱〲〱착 ＀＀ ＀＀_x0008_＀＀_x0008_＀＀_x0001_＀＀_x0001_＀＀_x0001_＀＀嫀段穂䀓偸丯_x0012_佖䍌䙞彆偅⡓乁ⱎ⤰!＀＀ ＀＀	＀＀_x0008_＀＀_x0001_＀＀_x0001_＀＀_x0001_＀＀馚香香㾹찀☬䵿 呁䍅䥞彂䅐䝖ㄨㄯ㈯〰ⰷ⼳ㄳ㈯〰⤷ ＀＀ ＀＀_x0008_＀＀_x0008_＀＀_x0001_＀＀_x0001_＀＀_x0001_＀＀枺ꍝ烥䀐偸丯P佖䍌⡞䙆䑟䉅⡔瑱Ⱳ⤰䘭彆䅃䡓卟⡔呑ⱒ⤰䀩䘨彆䕄呂儨剔⴬䘱⥑䘭彆䅃䡓卟⡔呑ⱒㄭ兆⤩Ɲ＀＀ ＀＀ƅ＀＀_x0008_＀＀_x0001_＀＀_x0001_＀＀_x0001_＀＀䖢瓽쁜摦畳㩰⼯楤敲瑣潩獮䘯呁嘠敩敷㽲捡楴湯唽䑐呁♅牣慥潴㵲慦瑣敳♴奄彎剁升吽啒♅佄彃䅎䕍䘽呁䘺䱑䅟䑕呉义彇䱃䕉呎呟䵅䱐呁⹅䅆♔楤灳慬役瑳楲杮䄽摵瑩嘦剁䬺奅䔽卆奔兆䝎♖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佖䍌嘦剁䤺䑎塅〽찀賹不 䱁乇䥞彂䅐䝖㜨ㄯ㈯㄰ⰰ⼹〳㈯㄰⤰ ＀＀ ＀＀_x0008_＀＀_x0008_＀＀_x0001_＀＀_x0001_＀＀_x0001_＀＀ḻ倳ܙ䀱偸丯_x0017_啎䅖䙞彆䅓䕌⡓䅃ⱌㄭ奃착ō＀＀ ＀＀ĵ＀＀_x0008_＀＀_x0001_＀＀_x0001_＀＀_x0001_＀＀਽ꏗ╰䁷摦畳㩰⼯楤敲瑣潩獮䘯呁嘠敩敷㽲捡楴湯唽䑐呁♅牣慥潴㵲慦瑣敳♴奄彎剁升吽啒♅佄彃䅎䕍䘽呁䘺䱑䅟䑕呉义彇䱃䕉呎呟䵅䱐呁⹅䅆♔楤灳慬役瑳楲杮䄽摵瑩嘦剁䬺奅䔽児䝎啎华♖䅖㩒啑剅㵙歒晚さ䵆噒潍け䵆䍌砰ㅑ火圦义佄㵗䥆卒彔佐啐♐䕈䝉呈㐽〵圦䑉䡔㐽〵匦䅔呒䵟塁䵉婉䑅䘽䱁䕓嘦剁䌺䱁久䅄㵒单嘦剁区䵙佂㵌啎䅖嘦剁䤺䑎塅〽찀偷丯_x0016_䱅塇䙞彆䅓䕌⡓䅃ⱌ䌰⥙ō＀＀ ＀＀ĵ＀＀_x0008_＀＀_x0001_＀＀_x0001_＀＀_x0001_＀＀틲才퀐䁐摦畳㩰⼯楤敲瑣潩獮䘯呁嘠敩敷㽲捡楴湯唽䑐呁♅牣慥潴㵲慦瑣敳♴奄彎剁升吽啒♅佄彃䅎䕍䘽呁䘺䱑䅟䑕呉义彇䱃䕉呎呟䵅䱐呁⹅䅆♔楤灳慬役瑳楲杮䄽摵瑩嘦剁䬺奅䴽䝂佂䕂博♚䅖㩒啑剅㵙歒晚さ䵆噒潍け䵆䑌䑂南㵫圦义佄㵗䥆卒彔佐啐♐䕈䝉呈㐽〵圦䑉䡔㐽〵匦䅔呒䵟塁䵉婉䑅䘽䱁䕓嘦剁䌺䱁久䅄㵒单嘦剁区䵙佂㵌䱅塇嘦剁䤺䑎塅〽찀偷丯_x0012_䍋幉彐剐䍉⡅〴㔷⤰!＀＀ ＀＀	＀＀_x0008_＀＀_x0001_＀＀_x0001_＀＀_x0001_＀＀쳍쳌ﳌ䁐찀賹不!䱁乇䥞彂䅐䝖ㄨㄯ㈯㄰ⰰ㈱㌯⼱〲〱착 ＀＀ ＀＀_x0008_＀＀_x0008_＀＀_x0001_＀＀_x0001_＀＀_x0001_＀＀塥ᯅ鞙䀱暍䷰_x001F_䅖幒䉉偟噁⡇⼱⼱〲〱㌬㌯⼱〲〱착 ＀＀ ＀＀_x0008_＀＀_x0008_＀＀_x0001_＀＀_x0001_＀＀_x0001_＀＀጗辛᭫䁉偹丯@〲㌮帵䕆䕟呓䵉呁⡅䔧卐Ⱗ䴧䅅❎✬䅃㑌Ⱗ㈧㄰✲丬坏Ⱜ✬䘬㈱㴳䅍ⱊ⤧_x001D_＀＀ ＀＀_x0005_＀＀_x0004_＀＀_x0001_＀＀_x0001_＀＀_x0008_＀＀乀A찀偷丯_x0013_呁䍅䙞彇䭍彔䅖啌⡅착!＀＀ ＀＀	＀＀_x0008_＀＀_x0001_＀＀_x0001_＀＀_x0001_＀＀育_xDC09_刺䁰찀폄䷨!呁䍅䥞彂䅐䝖ㄨ⼱⼱〲㜰ㄬ㌯⼱〲㠰착 ＀＀ ＀＀_x0008_＀＀_x0008_＀＀_x0001_＀＀_x0001_＀＀_x0001_＀＀뒳獓醹䀒偷丯_x0013_協乏䙞彇䭍彔䅖啌⡅착!＀＀ ＀＀	＀＀_x0008_＀＀_x0001_＀＀_x0001_＀＀_x0001_＀＀౴廈뗯䁙찀☬䵿 呁䍅䥞彂䅐䝖㐨ㄯ㈯〰ⰷ⼶〳㈯〰⤷ ＀＀ ＀＀_x0008_＀＀_x0008_＀＀_x0001_＀＀_x0001_＀＀_x0001_＀＀➿꧖㷲䀍偷丯A䱅塇䙞彅卅䥔䅍䕔✨䅓䕌❓✬䕍乁Ⱗ䌧䱁✴✬〲ㄱⰧ低ⱗⰬⰧㅆ㌲䴽䩁✬착!＀＀ ＀＀	＀＀_x0008_＀＀_x0001_＀＀_x0001_＀＀_x0001_＀＀㤯铮㨎䁔찀偸丯_x0013_䱁乇䙞彇䭍彔䅖啌⡅착!＀＀ ＀＀	＀＀_x0008_＀＀_x0001_＀＀_x0001_＀＀_x0001_＀＀_xFFFF_Ｎﴡڶ䂜찀偷丯?呈剗䙞彅卅䥔䅍䕔✨偅❓✬䕍乁Ⱗ䌧䱁✴✬〲ㄱⰧ低ⱗⰬⰧㅆ㌲䴽䩁✬착!＀＀ ＀＀	＀＀_x0008_＀＀_x0001_＀＀_x0001_＀＀_x0001_＀＀쟳㚴䶍쀅찀賹不"䱁乇䥞彂䅐䝖ㄨ⼰⼱〲㠰ㄬ⼲ㄳ㈯〰⤸ ＀＀ ＀＀_x0008_＀＀_x0008_＀＀_x0001_＀＀_x0001_＀＀_x0001_＀＀濢ɻ䀝偷丯P䡔剏⡞䙆䑟䉅⡔瑱Ⱳ⤰䘭彆䅃䡓卟⡔呑ⱒ⤰䀩䘨彆䕄呂儨剔⴬䘱⥑䘭彆䅃䡓卟⡔呑ⱒㄭ兆⤩Ɲ＀＀ ＀＀ƅ＀＀_x0008_＀＀_x0001_＀＀_x0001_＀＀_x0001_＀＀䞮竡戔쁱摦畳㩰⼯楤敲瑣潩獮䘯呁嘠敩敷㽲捡楴湯唽䑐呁♅牣慥潴㵲慦瑣敳♴奄彎剁升吽啒♅佄彃䅎䕍䘽呁䘺䱑䅟䑕呉义彇䱃䕉呎呟䵅䱐呁⹅䅆♔楤灳慬役瑳楲杮䄽摵瑩嘦剁䬺奅䄽午但䍐啄♎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䡔剏嘦剁䤺䑎塅〽찀偷丯_x0013_呈剗䙞彇䭍彔䅖啌⡅착!＀＀ ＀＀	＀＀_x0008_＀＀_x0001_＀＀_x0001_＀＀_x0001_＀＀멞౉ຂ䂏찀☬䵿 呁䍅䥞彂䅐䝖㜨ㄯ㈯〰ⰹ⼹〳㈯〰⤹ ＀＀ ＀＀_x0008_＀＀_x0008_＀＀_x0001_＀＀_x0001_＀＀_x0001_＀＀⊞袇ꎛ䀐偸丯?啎䅖䙞彅卅䥔䅍䕔✨偅❓✬䕍乁Ⱗ䌧䱁✴✬〲ㄱⰧ低ⱗⰬⰧㅆ㌲䴽䩁✬착!＀＀ ＀＀	＀＀_x0008_＀＀_x0001_＀＀_x0001_＀＀_x0001_＀＀ꐞ좧∡㿲찀偷丯_x0013_佖䍌偞偟䥒䕃㐨㜰〵착!＀＀ ＀＀	＀＀_x0008_＀＀_x0001_＀＀_x0001_＀＀_x0001_＀＀蔟凫Ẹ䁀찀偷丯_x0016_低乂䌭幈䝆䵟呋噟䱁䕕⤨!＀＀ ＀＀	＀＀_x0008_＀＀_x0001_＀＀_x0001_＀＀_x0001_＀＀폃攫糙䂟찀偷丯P䉁䑍⡞䙆䑟䉅⡔瑱Ⱳ⤰䘭彆䅃䡓卟⡔呑ⱒ⤰䀩䘨彆䕄呂儨剔⴬䘱⥑䘭彆䅃䡓卟⡔呑ⱒㄭ兆⤩Ɲ＀＀ ＀＀ƅ＀＀_x0008_＀＀_x0001_＀＀_x0001_＀＀_x0001_＀＀ⴎ鶲⟯쁎摦畳㩰⼯楤敲瑣潩獮䘯呁嘠敩敷㽲捡楴湯唽䑐呁♅牣慥潴㵲慦瑣敳♴奄彎剁升吽啒♅佄彃䅎䕍䘽呁䘺䱑䅟䑕呉义彇䱃䕉呎呟䵅䱐呁⹅䅆♔楤灳慬役瑳楲杮䄽摵瑩嘦剁䬺奅䌽䥌䝆䝘兖♚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䉁䑍嘦剁䤺䑎塅〽찀暍䷰ 䅖幒䉉偟噁⡇〱ㄯ㈯〰ⰸ⼹〳㈯〰⤹ ＀＀ ＀＀_x0008_＀＀_x0008_＀＀_x0001_＀＀_x0001_＀＀_x0001_＀＀ⱒ뒷戚䁂賹不!䱁乇䥞彂䅐䝖ㄨㄯ㈯〰ⰷ㈱㌯⼱〲㜰착 ＀＀ ＀＀_x0008_＀＀_x0008_＀＀_x0001_＀＀_x0001_＀＀_x0001_＀＀ᕢ摯넞䀴賹不 䱁乇䥞彂䅐䝖㜨ㄯ㈯〰ⰸ⼹〳㈯〰⤸ ＀＀ ＀＀_x0008_＀＀_x0008_＀＀_x0001_＀＀_x0001_＀＀_x0001_＀＀珿⾘䀧偸丯_x0015_䍋幉䙆卟䱁卅䌨䱁〬奃착Ō＀＀ ＀＀Ĵ＀＀_x0008_＀＀_x0001_＀＀_x0001_＀＀_x0001_＀＀멞౉蜂䂟摦畳㩰⼯楤敲瑣潩獮䘯呁嘠敩敷㽲捡楴湯唽䑐呁♅牣慥潴㵲慦瑣敳♴奄彎剁升吽啒♅佄彃䅎䕍䘽呁䘺䱑䅟䑕呉义彇䱃䕉呎呟䵅䱐呁⹅䅆♔楤灳慬役瑳楲杮䄽摵瑩嘦剁䬺奅唽啎卆䭂奘♌䅖㩒啑剅㵙歒晚さ䵆噒潍け䵆䑌䑂南㵫圦义佄㵗䥆卒彔佐啐♐䕈䝉呈㐽〵圦䑉䡔㐽〵匦䅔呒䵟塁䵉婉䑅䘽䱁䕓嘦剁䌺䱁久䅄㵒单嘦剁区䵙佂㵌䍋♉䅖㩒义䕄㵘0偹丯?⸲㌹䙞彅卅䥔䅍䕔✨偅❓✬䕍乁Ⱗ䌧䱁✴✬〲㈱Ⱗ低ⱗⰬⰧㅆ㌲䴽䩁✬착_x001D_＀＀ ＀＀_x0005_＀＀_x0004_＀＀_x0001_＀＀_x0001_＀＀_x0008_＀＀乀A찀偷丯_x0013_䡔剏䙞彇䭍彔䅖啌⡅착!＀＀ ＀＀	＀＀_x0008_＀＀_x0001_＀＀_x0001_＀＀_x0001_＀＀稐ꬶ㤾䂟찀偸丯_x0017_剁䍔䙞彆䅓䕌⡓䅃ⱌㄭ奃착ō＀＀ ＀＀ĵ＀＀_x0008_＀＀_x0001_＀＀_x0001_＀＀_x0001_＀＀㽼밵䁳摦畳㩰⼯楤敲瑣潩獮䘯呁嘠敩敷㽲捡楴湯唽䑐呁♅牣慥潴㵲慦瑣敳♴奄彎剁升吽啒♅佄彃䅎䕍䘽呁䘺䱑䅟䑕呉义彇䱃䕉呎呟䵅䱐呁⹅䅆♔楤灳慬役瑳楲杮䄽摵瑩嘦剁䬺奅䤽䝂商䍊卖♈䅖㩒啑剅㵙歒晚さ䵆噒潍け䵆䍌砰ㅑ火圦义佄㵗䥆卒彔佐啐♐䕈䝉呈㐽〵圦䑉䡔㐽〵匦䅔呒䵟塁䵉婉䑅䘽䱁䕓嘦剁䌺䱁久䅄㵒单嘦剁区䵙佂㵌剁䍔嘦剁䤺䑎塅〽찀賹不 䱁乇䥞彂䅐䝖ㄨㄯ㈯〰ⰹ⼳ㄳ㈯〰⤹ ＀＀ ＀＀_x0008_＀＀_x0008_＀＀_x0001_＀＀_x0001_＀＀_x0001_＀＀썾荄Ⱄ䀠賹不!䱁乇䥞彂䅐䝖ㄨㄯ㈯〰ⰹ㈱㌯⼱〲㤰착 ＀＀ ＀＀_x0008_＀＀_x0008_＀＀_x0001_＀＀_x0001_＀＀_x0001_＀＀뱙ᡘ켢䀧昦䷰_x001F_䅖幒䉉偟噁⡇⼱⼱〲㠰㌬㌯⼱〲㠰착 ＀＀ ＀＀_x0008_＀＀_x0008_＀＀_x0001_＀＀_x0001_＀＀_x0001_＀＀闿⚕袥䁉偷丯?偃協䙞彅卅䥔䅍䕔✨偅❓✬䕍乁Ⱗ䌧䱁✴✬〲ㄱⰧ低ⱗⰬⰧㅆ㌲䴽䩁✬착!＀＀ ＀＀	＀＀_x0008_＀＀_x0001_＀＀_x0001_＀＀_x0001_＀＀尨슏㾕찀偹丯@㜶㤮帵䕆䕟呓䵉呁⡅䔧卐Ⱗ䴧䅅❎✬䅃㑌Ⱗ㈧㄰✲丬坏Ⱜ✬䘬㈱㴳䅍ⱊ⤧_x001D_＀＀ ＀＀_x0005_＀＀_x0004_＀＀_x0001_＀＀_x0001_＀＀_x0008_＀＀乀A찀</t>
        </r>
      </text>
    </comment>
    <comment ref="B1" authorId="0">
      <text>
        <r>
          <rPr>
            <b/>
            <sz val="8"/>
            <color indexed="81"/>
            <rFont val="Tahoma"/>
            <family val="2"/>
          </rPr>
          <t>19348</t>
        </r>
      </text>
    </comment>
  </commentList>
</comments>
</file>

<file path=xl/sharedStrings.xml><?xml version="1.0" encoding="utf-8"?>
<sst xmlns="http://schemas.openxmlformats.org/spreadsheetml/2006/main" count="1428" uniqueCount="954">
  <si>
    <t>ALGN.O,mscalc:salesConsensusMedian,,,FYR</t>
  </si>
  <si>
    <t>Implied Total Pricing</t>
  </si>
  <si>
    <t>Sandy</t>
  </si>
  <si>
    <t>Inorganics</t>
  </si>
  <si>
    <t>Vivera Timing</t>
  </si>
  <si>
    <t>Vivera +Consolidation</t>
  </si>
  <si>
    <t>Cash and cash equivalents</t>
  </si>
  <si>
    <t>Accounts receivable</t>
  </si>
  <si>
    <t>US Organic</t>
  </si>
  <si>
    <t>Intl Organic</t>
  </si>
  <si>
    <t xml:space="preserve">Total Docs Shipped to </t>
  </si>
  <si>
    <t>185.462992</t>
  </si>
  <si>
    <t>Stock-based compensation</t>
  </si>
  <si>
    <t>Provision for doubtful accounts</t>
  </si>
  <si>
    <t>Reported WW Blended ASP</t>
  </si>
  <si>
    <t>Effective WW ASP</t>
  </si>
  <si>
    <t>ex-FX</t>
  </si>
  <si>
    <t>Proceeds from issuance of common stock</t>
  </si>
  <si>
    <t>Tax Rate</t>
  </si>
  <si>
    <t>Discounted Cash Flow</t>
  </si>
  <si>
    <t>Discount Periods</t>
  </si>
  <si>
    <t>Operating Income</t>
  </si>
  <si>
    <t>- Minority Interest</t>
  </si>
  <si>
    <t>- Income Taxes</t>
  </si>
  <si>
    <t>Tax rate</t>
  </si>
  <si>
    <t>After Tax Earnings</t>
  </si>
  <si>
    <t>Two Year</t>
  </si>
  <si>
    <t>+ Depreciation &amp; Amortization</t>
  </si>
  <si>
    <t>- Increase in Working Capital</t>
  </si>
  <si>
    <t>- Capital Expenditures</t>
  </si>
  <si>
    <t>Free Cash Flows</t>
  </si>
  <si>
    <t>% growth</t>
  </si>
  <si>
    <t>Discount Factor</t>
  </si>
  <si>
    <t>Present Value of Free Cash Flows</t>
  </si>
  <si>
    <t>Sum of PV of Free Cash Flows</t>
  </si>
  <si>
    <t>+ PV of Terminal Value</t>
  </si>
  <si>
    <t>+ PV of Tax Benefits</t>
  </si>
  <si>
    <t>Enterprise Value</t>
  </si>
  <si>
    <t>ALGN.O,mscalc:salesConsensusMedian,2014FY,,FYR</t>
  </si>
  <si>
    <t>ALGN.O,mscalc:salesConsensusMedian,2014Q3,,FYR</t>
  </si>
  <si>
    <t>ALGN.O,mscalc:epsConsensusMedian,2014Q3,,FYR</t>
  </si>
  <si>
    <t>ALGN.O,mscalc:salesConsensusMedian,2014Q2,,FYR</t>
  </si>
  <si>
    <t>ALGN.O,mscalc:salesConsensusMedian,2014Q1,,FYR</t>
  </si>
  <si>
    <t>ALGN.O,mscalc:epsConsensusMedian,2014FY,,FYR</t>
  </si>
  <si>
    <t>- Net Debt</t>
  </si>
  <si>
    <t>Equity Value</t>
  </si>
  <si>
    <t>Levered Beta</t>
  </si>
  <si>
    <t>Market Risk Premium</t>
  </si>
  <si>
    <t>Cost of Equity:</t>
  </si>
  <si>
    <t>Marginal Cost of Debt</t>
  </si>
  <si>
    <t>Marginal Tax Rate</t>
  </si>
  <si>
    <t>After-tax Cost of Debt:</t>
  </si>
  <si>
    <t>Target Debt Ratio</t>
  </si>
  <si>
    <t>Target Equity Ratio</t>
  </si>
  <si>
    <t>Growth Rates</t>
  </si>
  <si>
    <t>Terminal Growth Rate</t>
  </si>
  <si>
    <t>WACC</t>
  </si>
  <si>
    <t>Total Revenues</t>
  </si>
  <si>
    <t>Total Operating Expenses</t>
  </si>
  <si>
    <t>Income Taxes</t>
  </si>
  <si>
    <t>NA</t>
  </si>
  <si>
    <t>Total Non-operating Expense</t>
  </si>
  <si>
    <t>Quarterly Income Statement</t>
  </si>
  <si>
    <t>Segment Sheet</t>
  </si>
  <si>
    <t>Quarterly Balance Sheet</t>
  </si>
  <si>
    <t>Quarterly Cash Flow Statement</t>
  </si>
  <si>
    <t>Diluted EPS</t>
  </si>
  <si>
    <t>MedTech Tax</t>
  </si>
  <si>
    <t>Pmts on short-term obligations</t>
  </si>
  <si>
    <t>Excess tax provision/benefit from share-based pmts</t>
  </si>
  <si>
    <t>Employees’ taxes paid upon the vesting of RSUs</t>
  </si>
  <si>
    <t>2 Year</t>
  </si>
  <si>
    <t>Contribution from 5-Tray</t>
  </si>
  <si>
    <t>iTero "Event"</t>
  </si>
  <si>
    <r>
      <t xml:space="preserve">Quality of Income </t>
    </r>
    <r>
      <rPr>
        <sz val="8"/>
        <rFont val="Arial"/>
        <family val="2"/>
      </rPr>
      <t>(FCF/Net Inc)</t>
    </r>
  </si>
  <si>
    <t>Int'l Calc'd</t>
  </si>
  <si>
    <t>Excess tax benefit from share-based payments</t>
  </si>
  <si>
    <t>NA Ortho</t>
  </si>
  <si>
    <t>NA GP Dentists</t>
  </si>
  <si>
    <t>q/q growth</t>
  </si>
  <si>
    <t>--</t>
  </si>
  <si>
    <t>US Price Increase</t>
  </si>
  <si>
    <t>Accrued Expenses and Other L-T Liabilities</t>
  </si>
  <si>
    <t>Geographic Growth</t>
  </si>
  <si>
    <t>653.816896</t>
  </si>
  <si>
    <t>Net Doctors</t>
  </si>
  <si>
    <t>Effective Pricing (000s)</t>
  </si>
  <si>
    <t>ALGN.O,mscalc:targetPrice,,,,USD</t>
  </si>
  <si>
    <t>ALGN.O,mscalc:closePriceCurrencyCalc</t>
  </si>
  <si>
    <t>ALGN.O,mscalc:sedolCodeCalc</t>
  </si>
  <si>
    <t>2679204</t>
  </si>
  <si>
    <t>Currency</t>
  </si>
  <si>
    <t>Current Stock Price</t>
  </si>
  <si>
    <t>Count</t>
  </si>
  <si>
    <t>Equity</t>
  </si>
  <si>
    <t>Yr/Yr</t>
  </si>
  <si>
    <t># Docs Cases Shipped to</t>
  </si>
  <si>
    <t>Fully Diluted Shares</t>
  </si>
  <si>
    <t>2-Year</t>
  </si>
  <si>
    <t>G&amp;A ex Excise Tax</t>
  </si>
  <si>
    <t>Average Basic Shares</t>
  </si>
  <si>
    <t>Period End Basic Shares</t>
  </si>
  <si>
    <t>Revenue</t>
  </si>
  <si>
    <t>Pre-Tax Income</t>
  </si>
  <si>
    <t>Cost of Revenues</t>
  </si>
  <si>
    <t>Operating Income / Loss</t>
  </si>
  <si>
    <t>Stockholders' Equity</t>
  </si>
  <si>
    <t>Modelware</t>
  </si>
  <si>
    <t>Income before Taxes</t>
  </si>
  <si>
    <t>Net Income / Loss</t>
  </si>
  <si>
    <t>FX Impact</t>
  </si>
  <si>
    <t xml:space="preserve">Constant Currency </t>
  </si>
  <si>
    <t>Reconciliation to GAAP</t>
  </si>
  <si>
    <t>Federal tax rate</t>
  </si>
  <si>
    <t>State and local tax rates</t>
  </si>
  <si>
    <t>Handicap factor</t>
  </si>
  <si>
    <t>GAAP  EPS</t>
  </si>
  <si>
    <t>Prepaid Expenses and Other Current Assets</t>
  </si>
  <si>
    <t>Deferred Revenues</t>
  </si>
  <si>
    <t>EQUITY</t>
  </si>
  <si>
    <t>Days Sales Outstanding (DSO)</t>
  </si>
  <si>
    <t>Acquisitions / write-offs</t>
  </si>
  <si>
    <t>Options Exercised</t>
  </si>
  <si>
    <t>Wtd Avg Exercise Price (of exercised)</t>
  </si>
  <si>
    <t xml:space="preserve">Align Technology Inc </t>
  </si>
  <si>
    <t>Fiscal year ends Dec 31</t>
  </si>
  <si>
    <t>Non-case</t>
  </si>
  <si>
    <t>General and administrative</t>
  </si>
  <si>
    <t>Research and development</t>
  </si>
  <si>
    <t>Marketable securities, short-term</t>
  </si>
  <si>
    <t>Prepaid expenses and other current assets</t>
  </si>
  <si>
    <t>Marketable securities, long-term</t>
  </si>
  <si>
    <t>Property and equipment, net</t>
  </si>
  <si>
    <t>Intangible assets, net</t>
  </si>
  <si>
    <t>Deferred tax asset</t>
  </si>
  <si>
    <t>Other assets</t>
  </si>
  <si>
    <t>Accrued liabilities</t>
  </si>
  <si>
    <t>Deferred revenues</t>
  </si>
  <si>
    <t>Other Long-term Liabilities</t>
  </si>
  <si>
    <t>Deferred taxes</t>
  </si>
  <si>
    <t>Loss on retirement and disposal of fixed assets</t>
  </si>
  <si>
    <t>Purchase of property and equipment</t>
  </si>
  <si>
    <t>Restricted cash</t>
  </si>
  <si>
    <t>Repurchases of common stock</t>
  </si>
  <si>
    <t>Extraordinary Items</t>
  </si>
  <si>
    <t>Cash Restatement</t>
  </si>
  <si>
    <t>Invisalign</t>
  </si>
  <si>
    <t>Invisalign Full</t>
  </si>
  <si>
    <t>Invisalign Teen</t>
  </si>
  <si>
    <t>Invisalign Assist</t>
  </si>
  <si>
    <t>Non-case Revenue</t>
  </si>
  <si>
    <t>Revenue by Channel</t>
  </si>
  <si>
    <t>International</t>
  </si>
  <si>
    <t>ALGN.O,mscalc:targetPrice</t>
  </si>
  <si>
    <t>Cases Shipped by Product</t>
  </si>
  <si>
    <t>Average Selling Price (ASP)</t>
  </si>
  <si>
    <t>Refinement/Correction</t>
  </si>
  <si>
    <t>TOTAL ex 5 Tray</t>
  </si>
  <si>
    <t>International ASP</t>
  </si>
  <si>
    <t>Doctor Utilization Rates</t>
  </si>
  <si>
    <t>Total Utilization Rate</t>
  </si>
  <si>
    <t>Total Doctors Trained Worldwide</t>
  </si>
  <si>
    <t>ND</t>
  </si>
  <si>
    <t>Realine/HSIC</t>
  </si>
  <si>
    <t>Teen/Express Accounting</t>
  </si>
  <si>
    <t>Purchase / Maturities of marketable securities, net</t>
  </si>
  <si>
    <t>Invisalign Revenue (Y/Y)</t>
  </si>
  <si>
    <t>Invisalign Full (Y/Y)</t>
  </si>
  <si>
    <t>Invisalign Express/Lite (Y/Y)</t>
  </si>
  <si>
    <t>Invisalign Teen (Y/Y)</t>
  </si>
  <si>
    <t>Invisalign Assist (Y/Y)</t>
  </si>
  <si>
    <t>Non-case Revenue (Y/Y)</t>
  </si>
  <si>
    <t>2 Year Growth</t>
  </si>
  <si>
    <t>Click on the following to go to specific sections of our ALGN model:</t>
  </si>
  <si>
    <t>NM</t>
  </si>
  <si>
    <t>Fully Diluted Shares (Non-GAAP)</t>
  </si>
  <si>
    <t>North America</t>
  </si>
  <si>
    <t>Europe</t>
  </si>
  <si>
    <t>Other international</t>
  </si>
  <si>
    <t>Total net revenues</t>
  </si>
  <si>
    <t>Revenue by Geography</t>
  </si>
  <si>
    <t>Net (cash)/debt (debt-cash)</t>
  </si>
  <si>
    <t>Net (cash)/debt per share</t>
  </si>
  <si>
    <t>Deferred taxes (% of OpExp)</t>
  </si>
  <si>
    <t>Deferred revenues (% of revenues)</t>
  </si>
  <si>
    <t>Net Operating Assets</t>
  </si>
  <si>
    <t>* Accruals</t>
  </si>
  <si>
    <t>Clear Aligners</t>
  </si>
  <si>
    <t>Scanners/CADCAM</t>
  </si>
  <si>
    <t>Modelware EPS</t>
  </si>
  <si>
    <t>ALGN.O</t>
  </si>
  <si>
    <t>ALGN.O,mscalc:salesConsensusMedian,2015FY,,FYR</t>
  </si>
  <si>
    <t>ALGN.O,mscalc:epsConsensusMedian,2015FY,,FYR</t>
  </si>
  <si>
    <t>Net Doctor Yield</t>
  </si>
  <si>
    <t>ALGN.O,mscalc:salesConsensusMedian,2013FY,,FYR</t>
  </si>
  <si>
    <t>Net to Common Shares</t>
  </si>
  <si>
    <t>Interest/other inc (expense)</t>
  </si>
  <si>
    <t>$millions, except per share data</t>
  </si>
  <si>
    <t>Geographic Mix</t>
  </si>
  <si>
    <t>Scanners</t>
  </si>
  <si>
    <t>CAD/CAM Services</t>
  </si>
  <si>
    <t>Align Technology Inc</t>
  </si>
  <si>
    <t>Quarterly Sales</t>
  </si>
  <si>
    <t>Align Technology</t>
  </si>
  <si>
    <t>Amort of intangibles</t>
  </si>
  <si>
    <t>Europe/Netherlands</t>
  </si>
  <si>
    <t>Scanners+CAD/CAM</t>
  </si>
  <si>
    <t>Doctors Trained WW</t>
  </si>
  <si>
    <t>2007A</t>
  </si>
  <si>
    <t>2008A</t>
  </si>
  <si>
    <t>2009A</t>
  </si>
  <si>
    <t>ASSETS</t>
  </si>
  <si>
    <t>Accounts Receivable</t>
  </si>
  <si>
    <t>Inventories</t>
  </si>
  <si>
    <t>Total Current Assets</t>
  </si>
  <si>
    <t>Goodwill</t>
  </si>
  <si>
    <t>Other</t>
  </si>
  <si>
    <t>Total Assets</t>
  </si>
  <si>
    <t>LIABILITIES</t>
  </si>
  <si>
    <t>Accounts Payable</t>
  </si>
  <si>
    <t>Total Current Liabilities</t>
  </si>
  <si>
    <t>One-Time EBIT Items</t>
  </si>
  <si>
    <t>Total Liabilities</t>
  </si>
  <si>
    <t>Dollars in millions, except per share data</t>
  </si>
  <si>
    <t>Common Stock</t>
  </si>
  <si>
    <t>Additional Paid in Capital</t>
  </si>
  <si>
    <t>AOCI</t>
  </si>
  <si>
    <t>Retained Earnings/(Accumulated Deficit)</t>
  </si>
  <si>
    <t>Total Liabilities &amp; Equity</t>
  </si>
  <si>
    <t>Check</t>
  </si>
  <si>
    <t>Financial Metrics</t>
  </si>
  <si>
    <t>Total Debt</t>
  </si>
  <si>
    <t>Returns</t>
  </si>
  <si>
    <t>Return on Equity (ROE)</t>
  </si>
  <si>
    <t>ex 5-Tray</t>
  </si>
  <si>
    <t>Yr/Yr Effective</t>
  </si>
  <si>
    <t>Yr/Yr Reported</t>
  </si>
  <si>
    <t>bps Growth vs Reported</t>
  </si>
  <si>
    <t>Return on Assets (ROA)</t>
  </si>
  <si>
    <t>Return on Invested Capital (ROIC)</t>
  </si>
  <si>
    <t>Debt Coverage</t>
  </si>
  <si>
    <t>EBITDA Coverage</t>
  </si>
  <si>
    <t>EBIT Coverage</t>
  </si>
  <si>
    <t>Net Debt / EBITDA</t>
  </si>
  <si>
    <t>Debt / Capital</t>
  </si>
  <si>
    <t>Liquidity</t>
  </si>
  <si>
    <t>Current Ratio (CA/CL)</t>
  </si>
  <si>
    <t>Quick Ratio ((Cash+Mkt Sec+AR)/CL)</t>
  </si>
  <si>
    <t>Cash Ratio</t>
  </si>
  <si>
    <t>Acid-Test Ratio</t>
  </si>
  <si>
    <t>Working Capital Metrics</t>
  </si>
  <si>
    <t>Inventory Days (DIO)</t>
  </si>
  <si>
    <t>Days Payable Outstanding (DPO)</t>
  </si>
  <si>
    <t>Cash Conversion Cycle</t>
  </si>
  <si>
    <t>Additional balance Sheet Metrics</t>
  </si>
  <si>
    <t>Cash &amp; equivalents per share</t>
  </si>
  <si>
    <t>Accrued expenses (% of OpExp)</t>
  </si>
  <si>
    <t>Changes in Shareholders' Equity</t>
  </si>
  <si>
    <t>Opening Balance</t>
  </si>
  <si>
    <t>Issue of Shares (including premium)</t>
  </si>
  <si>
    <t>Net Income</t>
  </si>
  <si>
    <t>Dividend</t>
  </si>
  <si>
    <t>Other AOCI</t>
  </si>
  <si>
    <t>2011A</t>
  </si>
  <si>
    <t>Closing Balance</t>
  </si>
  <si>
    <t>ASSET SCHEDULES</t>
  </si>
  <si>
    <t>PP&amp;E</t>
  </si>
  <si>
    <t>PP&amp;E, gross - BoP</t>
  </si>
  <si>
    <t>Capex</t>
  </si>
  <si>
    <t>% of sales</t>
  </si>
  <si>
    <t>Acquisitions</t>
  </si>
  <si>
    <t>PP&amp;E, gross - EoP</t>
  </si>
  <si>
    <t>Accumulated depreciation - BoP</t>
  </si>
  <si>
    <t>Depreciation</t>
  </si>
  <si>
    <t>% of beg gross</t>
  </si>
  <si>
    <t>Accum Depreciation - EoP</t>
  </si>
  <si>
    <t>PP&amp;E, net</t>
  </si>
  <si>
    <t>Intangibles</t>
  </si>
  <si>
    <t>Intangibles - BoP</t>
  </si>
  <si>
    <t>Amortization</t>
  </si>
  <si>
    <t>% of beg bal</t>
  </si>
  <si>
    <t>Intangibles - EoP</t>
  </si>
  <si>
    <t>Beg Balance</t>
  </si>
  <si>
    <t>Ending Balance</t>
  </si>
  <si>
    <t>OPERATING</t>
  </si>
  <si>
    <t>GAAP Net Income</t>
  </si>
  <si>
    <t>Changes in Operating Assets &amp; Liabilities</t>
  </si>
  <si>
    <t>Net Cash Provided by Operating Activities</t>
  </si>
  <si>
    <t>INVESTING</t>
  </si>
  <si>
    <t>Net Cash Used in Investing Activities</t>
  </si>
  <si>
    <t>FINANCING</t>
  </si>
  <si>
    <t>Net Cash From Financing Activities</t>
  </si>
  <si>
    <t>Effect of Exchange Rate on Cash &amp; CE</t>
  </si>
  <si>
    <t>Net Change in Cash</t>
  </si>
  <si>
    <t>Cash and Cash Equivalents (BOP)</t>
  </si>
  <si>
    <t>Cash and Cash Equivalents (EOP)</t>
  </si>
  <si>
    <t>Accounts payable</t>
  </si>
  <si>
    <t>Revenues</t>
  </si>
  <si>
    <t>Sales and marketing</t>
  </si>
  <si>
    <t>y/y growth</t>
  </si>
  <si>
    <t>EBITDA</t>
  </si>
  <si>
    <t>2010A</t>
  </si>
  <si>
    <t>days in period</t>
  </si>
  <si>
    <t>M&amp;A Accounting</t>
  </si>
  <si>
    <t>Total Purchase Price</t>
  </si>
  <si>
    <t xml:space="preserve">Total </t>
  </si>
  <si>
    <t>Additional Financial Metrics</t>
  </si>
  <si>
    <t>Dividends</t>
  </si>
  <si>
    <t>Model</t>
  </si>
  <si>
    <t>Organic EBIT</t>
  </si>
  <si>
    <t>Aligners $ y/y growth ex FX</t>
  </si>
  <si>
    <t>Dividends/Share</t>
  </si>
  <si>
    <t>payout ratio</t>
  </si>
  <si>
    <t>STOCK REPURCHASES / ISSUANCES</t>
  </si>
  <si>
    <t>Options Granted</t>
  </si>
  <si>
    <t>Options Lapsed</t>
  </si>
  <si>
    <t>Y/Y Growth</t>
  </si>
  <si>
    <t>Exercised shares as a % of outstanding</t>
  </si>
  <si>
    <t>Options lapsed as a % of outstanding</t>
  </si>
  <si>
    <t>Options granted - Y/Y Growth</t>
  </si>
  <si>
    <t>Repurchases</t>
  </si>
  <si>
    <t>Shares repurchased</t>
  </si>
  <si>
    <t>Cost of repurchases</t>
  </si>
  <si>
    <t>Avg cost</t>
  </si>
  <si>
    <t>% change</t>
  </si>
  <si>
    <t>Free Cash Flow (FCF)</t>
  </si>
  <si>
    <t>FCF per share</t>
  </si>
  <si>
    <t>Free Cash Flow Yield</t>
  </si>
  <si>
    <t>Market Price</t>
  </si>
  <si>
    <t>Proceeds from stock issuance ($m)</t>
  </si>
  <si>
    <t>Allocations</t>
  </si>
  <si>
    <t>STOCK-BASED COMPENSATION</t>
  </si>
  <si>
    <t>COGS</t>
  </si>
  <si>
    <t>Total OpEx</t>
  </si>
  <si>
    <t>Stock Comp Expense</t>
  </si>
  <si>
    <t>Comp Exp as a % of OpEx</t>
  </si>
  <si>
    <t>Margins</t>
  </si>
  <si>
    <t>Gross Profit</t>
  </si>
  <si>
    <t>Growth Rates (Y-o-Y)</t>
  </si>
  <si>
    <t>Sales</t>
  </si>
  <si>
    <t>Constant currency</t>
  </si>
  <si>
    <t>Organic</t>
  </si>
  <si>
    <t>FX</t>
  </si>
  <si>
    <t>EPS</t>
  </si>
  <si>
    <t>Scenarios</t>
  </si>
  <si>
    <t>GM Y/Y</t>
  </si>
  <si>
    <t>Base Case</t>
  </si>
  <si>
    <t>Bull Case</t>
  </si>
  <si>
    <t>Bear Case</t>
  </si>
  <si>
    <t>Sales and marketing Y/Y</t>
  </si>
  <si>
    <t>Basic Shares (BOP)</t>
  </si>
  <si>
    <t>Basic Shares (EOP)</t>
  </si>
  <si>
    <t>Statutory Tax Rate</t>
  </si>
  <si>
    <t>Operating margin Y/Y</t>
  </si>
  <si>
    <t>177.363008</t>
  </si>
  <si>
    <t>USD</t>
  </si>
  <si>
    <t>Total US</t>
  </si>
  <si>
    <t>Apac/EMEA Distribution</t>
  </si>
  <si>
    <t>Non-Organic Items</t>
  </si>
  <si>
    <t>M&amp;A/Other Impact</t>
  </si>
  <si>
    <t>Others</t>
  </si>
  <si>
    <t>Unrecorded Goodwill</t>
  </si>
  <si>
    <t>Total</t>
  </si>
  <si>
    <t>Prepaid Expenses &amp; Other (% of revenues)</t>
  </si>
  <si>
    <t>y/y Organic</t>
  </si>
  <si>
    <t>Income Statement</t>
  </si>
  <si>
    <t>2018E</t>
  </si>
  <si>
    <t>2013A</t>
  </si>
  <si>
    <t>$ millions, except per share data</t>
  </si>
  <si>
    <t>0.430000007152557</t>
  </si>
  <si>
    <t>189</t>
  </si>
  <si>
    <t>QQ</t>
  </si>
  <si>
    <t>QQ Historical</t>
  </si>
  <si>
    <t>Options &amp; RSU Outstanding BOP</t>
  </si>
  <si>
    <t>Options &amp; RSU Outstanding EOP</t>
  </si>
  <si>
    <t>Aligner volume</t>
  </si>
  <si>
    <t>Y-o-Y</t>
  </si>
  <si>
    <t>Aligner Gross Profit</t>
  </si>
  <si>
    <t>Aligner Adj. Revenue</t>
  </si>
  <si>
    <t>Aligner Revenue</t>
  </si>
  <si>
    <t>Adjusted Gross Margin</t>
  </si>
  <si>
    <t>Reported Gross Margin</t>
  </si>
  <si>
    <t>% of revenues</t>
  </si>
  <si>
    <t xml:space="preserve">Non-case revenue </t>
  </si>
  <si>
    <t>Non-case GP &amp; Adjustments</t>
  </si>
  <si>
    <t>Aligner Adjusted Gross Profit</t>
  </si>
  <si>
    <t>Scanner</t>
  </si>
  <si>
    <t>Quarterly Cash Flow Statement,  2007A–2018E</t>
  </si>
  <si>
    <t>Quarterly Balance Sheet,  2007A–2018E</t>
  </si>
  <si>
    <t>ALGN.O,mscalc:salesConsensusMedian,2015Q3,,FYR</t>
  </si>
  <si>
    <t>ALGN.O,mscalc:salesConsensusMedian,2015Q1,,FYR</t>
  </si>
  <si>
    <t>ALGN.O,mscalc:salesConsensusMedian,2015Q2,,FYR</t>
  </si>
  <si>
    <t>ALGN.O,mscalc:salesConsensusMedian,2015Q4,,FYR</t>
  </si>
  <si>
    <t>ALGN.O,mscalc:epsConsensusMedian,2015Q1,,FYR</t>
  </si>
  <si>
    <t>ALGN.O,mscalc:epsConsensusMedian,2015Q4,,FYR</t>
  </si>
  <si>
    <t>ALGN.O,mscalc:epsConsensusMedian,2015Q2,,FYR</t>
  </si>
  <si>
    <t>ALGN.O,mscalc:epsConsensusMedian,2015Q3,,FYR</t>
  </si>
  <si>
    <t>0.509999990463257</t>
  </si>
  <si>
    <t>Trailing Avg Q-Q</t>
  </si>
  <si>
    <t>2014A</t>
  </si>
  <si>
    <t>% penetration</t>
  </si>
  <si>
    <t>% margin</t>
  </si>
  <si>
    <t>2019E</t>
  </si>
  <si>
    <t>2020E</t>
  </si>
  <si>
    <t>Debt</t>
  </si>
  <si>
    <t>Premium to International Prices</t>
  </si>
  <si>
    <t>Effective NA ASP</t>
  </si>
  <si>
    <t>Effective NA ASP Ex Def'ls</t>
  </si>
  <si>
    <t>Normalized</t>
  </si>
  <si>
    <t>Terminal</t>
  </si>
  <si>
    <t>Risk-free Interest Rate (10-year)</t>
  </si>
  <si>
    <t>Options</t>
  </si>
  <si>
    <t># (mn)</t>
  </si>
  <si>
    <t>Current Share Price</t>
  </si>
  <si>
    <t>Strike</t>
  </si>
  <si>
    <t>Dilution</t>
  </si>
  <si>
    <t>Shares Outstanding (mn)</t>
  </si>
  <si>
    <t>Equity Value / share ($)</t>
  </si>
  <si>
    <t>(in millions of US dollars)</t>
  </si>
  <si>
    <t>2012A</t>
  </si>
  <si>
    <t>Company</t>
  </si>
  <si>
    <t>Summary Cash Flow</t>
  </si>
  <si>
    <t>Net Cash Flow</t>
  </si>
  <si>
    <t>Operating Cash Flow</t>
  </si>
  <si>
    <t>Free Cash Flow</t>
  </si>
  <si>
    <t>FCF/Share</t>
  </si>
  <si>
    <t>ALGN.O,mscalc:salesConsensusMedian,2016FY,,FYR</t>
  </si>
  <si>
    <t>760.648896</t>
  </si>
  <si>
    <t>191</t>
  </si>
  <si>
    <t>204.69</t>
  </si>
  <si>
    <t>208.806</t>
  </si>
  <si>
    <t xml:space="preserve">cost of new reps </t>
  </si>
  <si>
    <t>margin dilution</t>
  </si>
  <si>
    <t>Organic Margin</t>
  </si>
  <si>
    <t xml:space="preserve">Underlying incremental </t>
  </si>
  <si>
    <t>new US reps</t>
  </si>
  <si>
    <t>spend per US rep</t>
  </si>
  <si>
    <t>new Intl reps</t>
  </si>
  <si>
    <t>spend per Intl rep</t>
  </si>
  <si>
    <t>trainers</t>
  </si>
  <si>
    <t>per month</t>
  </si>
  <si>
    <t>months</t>
  </si>
  <si>
    <t>a 1/month, # of cases</t>
  </si>
  <si>
    <t>incremental</t>
  </si>
  <si>
    <t>981.756096</t>
  </si>
  <si>
    <t>840.706944</t>
  </si>
  <si>
    <t>ALGN.O,mscalc:salesConsensusMedian,2016Q3,,FYR</t>
  </si>
  <si>
    <t>ALGN.O,mscalc:salesConsensusMedian,2016Q2,,FYR</t>
  </si>
  <si>
    <t>ALGN.O,mscalc:salesConsensusMedian,2016Q4,,FYR</t>
  </si>
  <si>
    <t>ALGN.O,mscalc:epsConsensusMedian,2016Q4,,FYR</t>
  </si>
  <si>
    <t>ALGN.O,mscalc:epsConsensusMedian,2016Q1,,FYR</t>
  </si>
  <si>
    <t>ALGN.O,mscalc:epsConsensusMedian,2016Q2,,FYR</t>
  </si>
  <si>
    <t>ALGN.O,mscalc:epsConsensusMedian,2016Q3,,FYR</t>
  </si>
  <si>
    <t>ALGN.O,mscalc:salesConsensusMedian,2016Q1,,FYR</t>
  </si>
  <si>
    <t>244.3</t>
  </si>
  <si>
    <t>0.319999992847443</t>
  </si>
  <si>
    <t>245.3</t>
  </si>
  <si>
    <t>0.370000004768372</t>
  </si>
  <si>
    <t>0.310000002384186</t>
  </si>
  <si>
    <t>0.449999988079071</t>
  </si>
  <si>
    <t>0.529999971389771</t>
  </si>
  <si>
    <t>1.68799996376038</t>
  </si>
  <si>
    <t>223.9</t>
  </si>
  <si>
    <t>ALGN.O,mscalc:epsConsensusMedian,2016FY,,FYR</t>
  </si>
  <si>
    <t>2.10999989509583</t>
  </si>
  <si>
    <t>$BL$2</t>
  </si>
  <si>
    <t>Aligner impact %</t>
  </si>
  <si>
    <t>Reported Operating Margin</t>
  </si>
  <si>
    <t xml:space="preserve">     OSA</t>
  </si>
  <si>
    <t xml:space="preserve">     FX</t>
  </si>
  <si>
    <t xml:space="preserve">     Reps</t>
  </si>
  <si>
    <t>Aligner impact $ Rev</t>
  </si>
  <si>
    <t>EPS FX impact on margins</t>
  </si>
  <si>
    <t>FX impact on margins $</t>
  </si>
  <si>
    <t>FX impact on margins %</t>
  </si>
  <si>
    <t xml:space="preserve">Margin Build </t>
  </si>
  <si>
    <t>2015A</t>
  </si>
  <si>
    <t xml:space="preserve">    Y/Y Reported Op. Margin</t>
  </si>
  <si>
    <t xml:space="preserve">    Y/Y Organic Op. Margin</t>
  </si>
  <si>
    <t xml:space="preserve">     ERP </t>
  </si>
  <si>
    <t>ERP impact $ Rev</t>
  </si>
  <si>
    <t>ERP impact %</t>
  </si>
  <si>
    <t>Deceleration in revenue growth</t>
  </si>
  <si>
    <t>Normalized Growth Rate (2026E)</t>
  </si>
  <si>
    <t>Depreciation (% of revenues)</t>
  </si>
  <si>
    <t>EBIT margin expansion y/y</t>
  </si>
  <si>
    <t>Working Capital (% of revenues)</t>
  </si>
  <si>
    <t>Capex (% of revenues)</t>
  </si>
  <si>
    <t>% of Total</t>
  </si>
  <si>
    <t>ALGN Proportional Stake ($mn)</t>
  </si>
  <si>
    <t>% Margin</t>
  </si>
  <si>
    <t>% Growth</t>
  </si>
  <si>
    <t>Operating Margin ($mn)</t>
  </si>
  <si>
    <t>Aligner COGS ($mn)</t>
  </si>
  <si>
    <t>Total COGS ($mn)</t>
  </si>
  <si>
    <t>Smile Direct Club Impact</t>
  </si>
  <si>
    <t>Multiplier</t>
  </si>
  <si>
    <t>+ BV of Equity Investments</t>
  </si>
  <si>
    <t>SDC Retail Revenues ($mn)</t>
  </si>
  <si>
    <t>Equity in SmileDirect</t>
  </si>
  <si>
    <t>SmileDirectClub</t>
  </si>
  <si>
    <t>EPS SDC impact</t>
  </si>
  <si>
    <t>SDC impact on margins $</t>
  </si>
  <si>
    <t>SDC impact on margins %</t>
  </si>
  <si>
    <t>CAGR</t>
  </si>
  <si>
    <t>2016A</t>
  </si>
  <si>
    <t xml:space="preserve">     Aligner refinement policy</t>
  </si>
  <si>
    <t>Clear Aligners Revenue</t>
  </si>
  <si>
    <t>Start date</t>
  </si>
  <si>
    <t>End date</t>
  </si>
  <si>
    <t>Equity method impact</t>
  </si>
  <si>
    <t>Supply agreement impact</t>
  </si>
  <si>
    <t>Price</t>
  </si>
  <si>
    <t>SDC Price per Case ($ 000s)</t>
  </si>
  <si>
    <t>SDC Revenue to ALGN ($mn)</t>
  </si>
  <si>
    <t>Invisalign Cases by Channel</t>
  </si>
  <si>
    <t>EPS impact</t>
  </si>
  <si>
    <t>% of SDC served by ALGN</t>
  </si>
  <si>
    <t>ALGN Market share</t>
  </si>
  <si>
    <t>At-home market volumes</t>
  </si>
  <si>
    <t>SDC at-home % market share</t>
  </si>
  <si>
    <t>SDC Volumes (# 000s)</t>
  </si>
  <si>
    <t>Base Business DCF Per Share Value</t>
  </si>
  <si>
    <t>Base Business + At-Home DCF</t>
  </si>
  <si>
    <t>At-Home Volumes</t>
  </si>
  <si>
    <t>Interest income/expense</t>
  </si>
  <si>
    <t>Cash</t>
  </si>
  <si>
    <t>Interest rate</t>
  </si>
  <si>
    <t>Cash Interest rate</t>
  </si>
  <si>
    <t>Interest Income</t>
  </si>
  <si>
    <t xml:space="preserve">Interest expense </t>
  </si>
  <si>
    <t xml:space="preserve">Base Cost of Capital </t>
  </si>
  <si>
    <t>At-Home DCF</t>
  </si>
  <si>
    <t>At-Home WACC</t>
  </si>
  <si>
    <t>At-Home Business</t>
  </si>
  <si>
    <t>Invisalign Sales Forecast</t>
  </si>
  <si>
    <t>y/y growth ex-FX</t>
  </si>
  <si>
    <t>% Case Mix</t>
  </si>
  <si>
    <t>Invisalign Express/Lite/Go</t>
  </si>
  <si>
    <t>Stacked Comp</t>
  </si>
  <si>
    <t>Spread to trend</t>
  </si>
  <si>
    <t>Aligner Rev. Per Case ($s 000s)</t>
  </si>
  <si>
    <t>Implied COGS ($s 000s)</t>
  </si>
  <si>
    <t>% Mark Up to COGS</t>
  </si>
  <si>
    <t xml:space="preserve"> </t>
  </si>
  <si>
    <t xml:space="preserve">Adjusted EBIT </t>
  </si>
  <si>
    <t>Cash Taxes</t>
  </si>
  <si>
    <t>NOPAT (adjusted)</t>
  </si>
  <si>
    <t>NOPAT margin</t>
  </si>
  <si>
    <t>Net Deferred Tax Liabilities</t>
  </si>
  <si>
    <t>Other Long-Term Liabilities</t>
  </si>
  <si>
    <t>Off-balance sheet operating leases</t>
  </si>
  <si>
    <t>Minority Interest</t>
  </si>
  <si>
    <t>Preferred Equity</t>
  </si>
  <si>
    <t>Shareholders Equity</t>
  </si>
  <si>
    <t>Accumulated Asset write-downs</t>
  </si>
  <si>
    <t>(Less cash)</t>
  </si>
  <si>
    <t>(Less unconsolidated investments)</t>
  </si>
  <si>
    <t>(Less Goodwill)</t>
  </si>
  <si>
    <t>Total Invested Capital (inc-Goodwill)</t>
  </si>
  <si>
    <t>Total Invested Capital (ex-Goodwill)</t>
  </si>
  <si>
    <t>ROIC (inc-Goodwill)</t>
  </si>
  <si>
    <t>ROIC (ex-Goodwill)</t>
  </si>
  <si>
    <t>Non-performing Assets</t>
  </si>
  <si>
    <t>Return on Invested Capital (ROIC) (ex-Goodwill)</t>
  </si>
  <si>
    <t>At-Home</t>
  </si>
  <si>
    <t>Average Invested Capital (inc-Goodwill)</t>
  </si>
  <si>
    <t>Average Invested Capital (ex-Goodwill)</t>
  </si>
  <si>
    <t>ROIC - WACC</t>
  </si>
  <si>
    <t>ROIC/WACC</t>
  </si>
  <si>
    <t>US Teen cases</t>
  </si>
  <si>
    <t>International teen cases</t>
  </si>
  <si>
    <t>International Teen</t>
  </si>
  <si>
    <t>US Teen</t>
  </si>
  <si>
    <t>Global Teen cases</t>
  </si>
  <si>
    <t>Global ortho cases</t>
  </si>
  <si>
    <t>2017A</t>
  </si>
  <si>
    <t>Organic Incremental OP</t>
  </si>
  <si>
    <t>% of net revenues by product</t>
  </si>
  <si>
    <t>Comprehensive Products</t>
  </si>
  <si>
    <t>Non-comprehensive Products</t>
  </si>
  <si>
    <t>check</t>
  </si>
  <si>
    <t>Comprehensive pricing ($ in 000s)</t>
  </si>
  <si>
    <t>Non-Comprehensive pricing ($ in 000s)</t>
  </si>
  <si>
    <t>Global Adult cases</t>
  </si>
  <si>
    <t>US Adult cases</t>
  </si>
  <si>
    <t>International Adult cases</t>
  </si>
  <si>
    <t>Global Invisalign Adult cases (000s)</t>
  </si>
  <si>
    <t>US Adult</t>
  </si>
  <si>
    <t>International Adult</t>
  </si>
  <si>
    <t>Global Invisalign Teen cases (000s)</t>
  </si>
  <si>
    <t>270</t>
  </si>
  <si>
    <t>Research</t>
  </si>
  <si>
    <t>MSA12974</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</si>
  <si>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</si>
  <si>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</si>
  <si>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</si>
  <si>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</si>
  <si>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</si>
  <si>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</si>
  <si>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</si>
  <si>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Steve Beuchaw</t>
  </si>
  <si>
    <t>Date: 26 Apr 2018</t>
  </si>
  <si>
    <t>Ticker: ALGN.O</t>
  </si>
  <si>
    <t>Stock Rating: Equal-Weight</t>
  </si>
  <si>
    <t>Industry: Medical Technology</t>
  </si>
  <si>
    <t>Industry View: Attractive</t>
  </si>
  <si>
    <t>Price as of 26 Apr 2018: 259.89</t>
  </si>
  <si>
    <t>Target Price: 290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</si>
  <si>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</si>
  <si>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</si>
  <si>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</si>
  <si>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</si>
  <si>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Align Technology Inc.</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</si>
  <si>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</si>
  <si>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</si>
  <si>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</si>
  <si>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</si>
  <si>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</si>
  <si>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</si>
  <si>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</si>
  <si>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</si>
  <si>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</si>
  <si>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</si>
  <si>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</si>
  <si>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</si>
  <si>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</si>
  <si>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</si>
  <si>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</si>
  <si>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</si>
  <si>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</si>
  <si>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</si>
  <si>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</si>
  <si>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</si>
  <si>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</si>
  <si>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</si>
  <si>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</si>
  <si>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</si>
  <si>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</si>
  <si>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</si>
  <si>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</si>
  <si>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</si>
  <si>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</si>
  <si>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</si>
  <si>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</si>
  <si>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</si>
  <si>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</si>
  <si>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</si>
  <si>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</si>
  <si>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</si>
  <si>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</si>
  <si>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</si>
  <si>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</si>
  <si>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</si>
  <si>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</si>
  <si>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</si>
  <si>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</si>
  <si>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</si>
  <si>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</si>
  <si>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</si>
  <si>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</si>
  <si>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</si>
  <si>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</si>
  <si>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</si>
  <si>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</si>
  <si>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</si>
  <si>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</si>
  <si>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</si>
  <si>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</si>
  <si>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</si>
  <si>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</si>
  <si>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</si>
  <si>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</si>
  <si>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</si>
  <si>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</si>
  <si>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</si>
  <si>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</si>
  <si>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</si>
  <si>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</si>
  <si>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</si>
  <si>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</si>
  <si>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</si>
  <si>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</si>
  <si>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</si>
  <si>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</si>
  <si>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</si>
  <si>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</si>
  <si>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</si>
  <si>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</si>
  <si>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</si>
  <si>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</si>
  <si>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</si>
  <si>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</si>
  <si>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</si>
  <si>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</si>
  <si>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</si>
  <si>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</si>
  <si>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</si>
  <si>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</si>
  <si>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</si>
  <si>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</si>
  <si>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</si>
  <si>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</si>
  <si>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</si>
  <si>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</si>
  <si>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</si>
  <si>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</si>
  <si>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</si>
  <si>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</si>
  <si>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</si>
  <si>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</si>
  <si>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</si>
  <si>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</si>
  <si>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</si>
  <si>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</si>
  <si>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</si>
  <si>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</si>
  <si>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</si>
  <si>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</si>
  <si>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</si>
  <si>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</si>
  <si>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</si>
  <si>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</si>
  <si>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</si>
  <si>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</si>
  <si>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</si>
  <si>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</si>
  <si>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</si>
  <si>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</si>
  <si>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</si>
  <si>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</si>
  <si>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</si>
  <si>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</si>
  <si>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</si>
  <si>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</si>
  <si>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</si>
  <si>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</si>
  <si>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</si>
  <si>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</si>
  <si>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</si>
  <si>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</si>
  <si>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</si>
  <si>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</si>
  <si>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</si>
  <si>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</si>
  <si>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</si>
  <si>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</si>
  <si>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</si>
  <si>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</si>
  <si>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</si>
  <si>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</si>
  <si>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</si>
  <si>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</si>
  <si>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</si>
  <si>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</si>
  <si>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</si>
  <si>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</si>
  <si>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</si>
  <si>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</si>
  <si>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</si>
  <si>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</si>
  <si>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</si>
  <si>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</si>
  <si>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</si>
  <si>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</si>
  <si>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</si>
  <si>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</si>
  <si>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</si>
  <si>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</si>
  <si>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</si>
  <si>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</si>
  <si>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</si>
  <si>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</si>
  <si>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</si>
  <si>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</si>
  <si>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</si>
  <si>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</si>
  <si>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</si>
  <si>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</si>
  <si>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</si>
  <si>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</si>
  <si>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</si>
  <si>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</si>
  <si>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</si>
  <si>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</si>
  <si>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</si>
  <si>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</si>
  <si>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</si>
  <si>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</si>
  <si>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</si>
  <si>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</si>
  <si>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</si>
  <si>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</si>
  <si>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</si>
  <si>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</si>
  <si>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</si>
  <si>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</si>
  <si>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</si>
  <si>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</si>
  <si>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</si>
  <si>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</si>
  <si>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</si>
  <si>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</si>
  <si>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</si>
  <si>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</si>
  <si>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</si>
  <si>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</si>
  <si>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</si>
  <si>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</si>
  <si>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</si>
  <si>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</si>
  <si>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</si>
  <si>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</si>
  <si>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</si>
  <si>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</si>
  <si>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</si>
  <si>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</si>
  <si>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</si>
  <si>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</si>
  <si>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</si>
  <si>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</si>
  <si>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</si>
  <si>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</si>
  <si>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</si>
  <si>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</si>
  <si>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</si>
  <si>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</si>
  <si>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</si>
  <si>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</si>
  <si>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</si>
  <si>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</si>
  <si>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</si>
  <si>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</si>
  <si>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</si>
  <si>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</si>
  <si>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</si>
  <si>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</si>
  <si>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</si>
  <si>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</si>
  <si>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</si>
  <si>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</si>
  <si>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</si>
  <si>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</si>
  <si>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</si>
  <si>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</si>
  <si>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</si>
  <si>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</si>
  <si>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</si>
  <si>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</si>
  <si>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</si>
  <si>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</si>
  <si>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</si>
  <si>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</si>
  <si>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</si>
  <si>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</si>
  <si>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</si>
  <si>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Align Technology Inc.</t>
  </si>
  <si>
    <t>Within the last 12 months, Morgan Stanley has provided or is providing investment banking services to,</t>
  </si>
  <si>
    <t>or has an investment banking client relationship with, the following company: Align Technology Inc.</t>
  </si>
  <si>
    <t>Within the last 12 months, Morgan Stanley has received compensation for products and services other than</t>
  </si>
  <si>
    <t>investment banking services from Align Technology Inc.</t>
  </si>
  <si>
    <t>In the next 3 months, Morgan Stanley expects to receive or intends to seek compensation for investment</t>
  </si>
  <si>
    <t>banking services from Align Technology Inc.</t>
  </si>
  <si>
    <t>Within the last 12 months, Morgan Stanley has received compensation for investment banking services from</t>
  </si>
  <si>
    <t>Align Technology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</si>
  <si>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</si>
  <si>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</si>
  <si>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</si>
  <si>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</si>
  <si>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</si>
  <si>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Steve Beuchaw.</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</si>
  <si>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</si>
  <si>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</si>
  <si>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</si>
  <si>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</si>
  <si>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</si>
  <si>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</si>
  <si>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</si>
  <si>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</si>
  <si>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</si>
  <si>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</si>
  <si>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</si>
  <si>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</si>
  <si>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</si>
  <si>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</si>
  <si>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</si>
  <si>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</si>
  <si>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</si>
  <si>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</si>
  <si>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</si>
  <si>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</si>
  <si>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</si>
  <si>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</si>
  <si>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</si>
  <si>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</si>
  <si>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</si>
  <si>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</si>
  <si>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</si>
  <si>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</si>
  <si>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</si>
  <si>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</si>
  <si>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</si>
  <si>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</si>
  <si>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</si>
  <si>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</si>
  <si>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</si>
  <si>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</si>
  <si>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</si>
  <si>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</si>
  <si>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</si>
  <si>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</si>
  <si>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</si>
  <si>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</si>
  <si>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</si>
  <si>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</si>
  <si>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</si>
  <si>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</si>
  <si>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</si>
  <si>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</si>
  <si>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</si>
  <si>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</si>
  <si>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</si>
  <si>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</si>
  <si>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</si>
  <si>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</si>
  <si>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</si>
  <si>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TemplateRegion</t>
  </si>
  <si>
    <t>ObjectType</t>
  </si>
  <si>
    <t>excel</t>
  </si>
  <si>
    <t>LanguageCode</t>
  </si>
  <si>
    <t>en-US</t>
  </si>
  <si>
    <t>SubmitterUserId</t>
  </si>
  <si>
    <t>IndustryId</t>
  </si>
  <si>
    <t>TickerRegion</t>
  </si>
  <si>
    <t>AdditionalInstructions</t>
  </si>
  <si>
    <t>*Estimated</t>
  </si>
  <si>
    <t>Equal-Weight / Attractive</t>
  </si>
  <si>
    <t>Quarterly Update</t>
  </si>
  <si>
    <t>NorthAmerica</t>
  </si>
  <si>
    <t>wachter</t>
  </si>
  <si>
    <t>L:\HEALTH\Tools\Models\Published models\ALGN_Published1.xlsm</t>
  </si>
  <si>
    <t>[BRO MSA]</t>
  </si>
  <si>
    <t>[PRODUCT MODEL]</t>
  </si>
  <si>
    <t>[EMAIL_ALERT YES]</t>
  </si>
  <si>
    <t>[DISCIPLINE Company]</t>
  </si>
  <si>
    <t>[SUPPRESSED NO]</t>
  </si>
  <si>
    <t>[DOCDAT 2018-04-26]</t>
  </si>
  <si>
    <t>[DOCTIME 17:48]</t>
  </si>
  <si>
    <t>[PSYM ALGN.O(S&amp;P) (None)]</t>
  </si>
  <si>
    <t>[COU 1]</t>
  </si>
  <si>
    <t>[ANA ]</t>
  </si>
  <si>
    <t>[HL ALGN.O Model]</t>
  </si>
  <si>
    <t>[IND ]</t>
  </si>
  <si>
    <t>[PANA MSA12974]</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</si>
</sst>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409]mmm\-yy;@"/>
    <numFmt numFmtId="165" formatCode="_(* #,##0.0_);_(* \(#,##0.0\);_(* &quot;-&quot;??_);_(@_)"/>
    <numFmt numFmtId="166" formatCode="_(* #,##0.000_);_(* \(#,##0.000\);_(* &quot;-&quot;??_);_(@_)"/>
    <numFmt numFmtId="167" formatCode="#,##0.0_);\(#,##0.0\)"/>
    <numFmt numFmtId="168" formatCode="0.0%"/>
    <numFmt numFmtId="169" formatCode="0.0\x"/>
    <numFmt numFmtId="170" formatCode="0.0"/>
    <numFmt numFmtId="171" formatCode="0.0_);\(0.0\)"/>
    <numFmt numFmtId="172" formatCode="#,##0.000_);\(#,##0.000\)"/>
    <numFmt numFmtId="173" formatCode="&quot;$&quot;#,##0.0;[Red]&quot;$&quot;#,##0.0"/>
    <numFmt numFmtId="174" formatCode="#,##0.0%_);\(#,##0.0%\)"/>
    <numFmt numFmtId="175" formatCode="&quot;$&quot;#,##0.0_);\(&quot;$&quot;#,##0.0\)"/>
    <numFmt numFmtId="176" formatCode="_(* #,##0_);_(* \(#,##0\);_(* &quot;-&quot;??_);_(@_)"/>
    <numFmt numFmtId="177" formatCode="[&lt;=9999999]###\-####;\(###\)\ ###\-####"/>
    <numFmt numFmtId="179" formatCode="&quot;$&quot;#,##0.0"/>
    <numFmt numFmtId="180" formatCode="0_)"/>
    <numFmt numFmtId="184" formatCode="#,##0.0"/>
    <numFmt numFmtId="186" formatCode="#,##0.00%_);\(#,##0.00%\)"/>
    <numFmt numFmtId="193" formatCode="&quot;$&quot;#,##0.000_);\(&quot;$&quot;#,##0.000\)"/>
    <numFmt numFmtId="194" formatCode="_(* #,##0.000000_);_(* \(#,##0.000000\);_(* &quot;-&quot;??_);_(@_)"/>
    <numFmt numFmtId="198" formatCode="#,##0%_);\(#,##0%\)"/>
    <numFmt numFmtId="199" formatCode="_(* #,##0.0000_);_(* \(#,##0.0000\);_(* &quot;-&quot;??_);_(@_)"/>
    <numFmt numFmtId="200" formatCode="_(* #,##0.0_);_(* \(#,##0.0\);_(* &quot;-&quot;?_);_(@_)"/>
    <numFmt numFmtId="202" formatCode="_([$$-409]* #,##0_);_([$$-409]* \(#,##0\);_([$$-409]* &quot;-&quot;??_);_(@_)"/>
    <numFmt numFmtId="203" formatCode="_(&quot;$&quot;* #,##0.0_);_(&quot;$&quot;* \(#,##0.0\);_(&quot;$&quot;* &quot;-&quot;??_);_(@_)"/>
    <numFmt numFmtId="206" formatCode="General&quot;E&quot;"/>
    <numFmt numFmtId="207" formatCode="0.000"/>
    <numFmt numFmtId="210" formatCode="General&quot;A&quot;"/>
    <numFmt numFmtId="216" formatCode="mm/dd/yy\ hh:mm"/>
  </numFmts>
  <fonts count="110" x14ac:knownFonts="1">
    <font>
      <sz val="10"/>
      <name val="Arial"/>
    </font>
    <font>
      <sz val="11"/>
      <color theme="1"/>
      <name val="Calibri"/>
      <family val="2"/>
      <scheme val="minor"/>
    </font>
    <font>
      <sz val="11"/>
      <color theme="1"/>
      <name val="Calibri"/>
      <family val="2"/>
      <scheme val="minor"/>
    </font>
    <font>
      <sz val="10"/>
      <name val="Arial"/>
      <family val="2"/>
    </font>
    <font>
      <b/>
      <sz val="8"/>
      <name val="Arial"/>
      <family val="2"/>
    </font>
    <font>
      <sz val="10"/>
      <name val="Arial"/>
      <family val="2"/>
    </font>
    <font>
      <sz val="8"/>
      <name val="Arial"/>
      <family val="2"/>
    </font>
    <font>
      <b/>
      <sz val="8"/>
      <color indexed="9"/>
      <name val="Arial"/>
      <family val="2"/>
    </font>
    <font>
      <b/>
      <sz val="8"/>
      <color indexed="12"/>
      <name val="Arial"/>
      <family val="2"/>
    </font>
    <font>
      <b/>
      <sz val="10"/>
      <color indexed="8"/>
      <name val="Arial"/>
      <family val="2"/>
    </font>
    <font>
      <sz val="8"/>
      <name val="Tms Rmn"/>
    </font>
    <font>
      <i/>
      <sz val="8"/>
      <color indexed="8"/>
      <name val="Arial"/>
      <family val="2"/>
    </font>
    <font>
      <i/>
      <sz val="8"/>
      <name val="Arial"/>
      <family val="2"/>
    </font>
    <font>
      <sz val="8"/>
      <name val="Arial"/>
      <family val="2"/>
    </font>
    <font>
      <sz val="8"/>
      <color indexed="12"/>
      <name val="Arial"/>
      <family val="2"/>
    </font>
    <font>
      <b/>
      <u/>
      <sz val="8"/>
      <name val="Arial"/>
      <family val="2"/>
    </font>
    <font>
      <b/>
      <sz val="8"/>
      <color indexed="81"/>
      <name val="Tahoma"/>
      <family val="2"/>
    </font>
    <font>
      <b/>
      <sz val="10"/>
      <name val="Arial"/>
      <family val="2"/>
    </font>
    <font>
      <b/>
      <sz val="8"/>
      <name val="Arial"/>
      <family val="2"/>
    </font>
    <font>
      <sz val="8"/>
      <name val="Times New Roman"/>
      <family val="1"/>
    </font>
    <font>
      <sz val="10"/>
      <name val="Times New Roman"/>
      <family val="1"/>
    </font>
    <font>
      <b/>
      <sz val="10"/>
      <name val="Arial"/>
      <family val="2"/>
    </font>
    <font>
      <sz val="10"/>
      <name val="Arial"/>
      <family val="2"/>
    </font>
    <font>
      <sz val="8"/>
      <color indexed="12"/>
      <name val="Arial"/>
      <family val="2"/>
    </font>
    <font>
      <sz val="8"/>
      <color indexed="10"/>
      <name val="Arial"/>
      <family val="2"/>
    </font>
    <font>
      <sz val="10"/>
      <color indexed="10"/>
      <name val="Arial"/>
      <family val="2"/>
    </font>
    <font>
      <sz val="8"/>
      <color indexed="10"/>
      <name val="Arial"/>
      <family val="2"/>
    </font>
    <font>
      <sz val="10"/>
      <color indexed="10"/>
      <name val="Arial"/>
      <family val="2"/>
    </font>
    <font>
      <i/>
      <sz val="10"/>
      <name val="Arial"/>
      <family val="2"/>
    </font>
    <font>
      <i/>
      <sz val="8"/>
      <color indexed="10"/>
      <name val="Arial"/>
      <family val="2"/>
    </font>
    <font>
      <sz val="8"/>
      <color indexed="17"/>
      <name val="Arial"/>
      <family val="2"/>
    </font>
    <font>
      <i/>
      <sz val="8"/>
      <color indexed="12"/>
      <name val="Arial"/>
      <family val="2"/>
    </font>
    <font>
      <b/>
      <u/>
      <sz val="8"/>
      <name val="Arial"/>
      <family val="2"/>
    </font>
    <font>
      <sz val="11"/>
      <name val="Arial"/>
      <family val="2"/>
    </font>
    <font>
      <i/>
      <sz val="8"/>
      <name val="Arial"/>
      <family val="2"/>
    </font>
    <font>
      <sz val="10"/>
      <name val="MS Sans Serif"/>
      <family val="2"/>
    </font>
    <font>
      <b/>
      <sz val="12"/>
      <name val="Times New Roman"/>
      <family val="1"/>
    </font>
    <font>
      <b/>
      <sz val="10"/>
      <color indexed="8"/>
      <name val="Times New Roman"/>
      <family val="1"/>
    </font>
    <font>
      <u/>
      <sz val="10"/>
      <color indexed="12"/>
      <name val="Arial"/>
      <family val="2"/>
    </font>
    <font>
      <sz val="9"/>
      <name val="Times New Roman"/>
      <family val="1"/>
    </font>
    <font>
      <sz val="10"/>
      <color indexed="8"/>
      <name val="Times New Roman"/>
      <family val="1"/>
    </font>
    <font>
      <i/>
      <sz val="8"/>
      <name val="Times New Roman"/>
      <family val="1"/>
    </font>
    <font>
      <b/>
      <sz val="9"/>
      <name val="Arial"/>
      <family val="2"/>
    </font>
    <font>
      <b/>
      <sz val="10"/>
      <color indexed="10"/>
      <name val="Arial"/>
      <family val="2"/>
    </font>
    <font>
      <sz val="10"/>
      <name val="Times New Roman"/>
      <family val="1"/>
    </font>
    <font>
      <sz val="8"/>
      <color indexed="9"/>
      <name val="Arial"/>
      <family val="2"/>
    </font>
    <font>
      <b/>
      <i/>
      <u/>
      <sz val="8"/>
      <name val="Arial"/>
      <family val="2"/>
    </font>
    <font>
      <sz val="10"/>
      <name val="Courier"/>
      <family val="3"/>
    </font>
    <font>
      <b/>
      <sz val="16"/>
      <color indexed="9"/>
      <name val="Arial"/>
      <family val="2"/>
    </font>
    <font>
      <sz val="10"/>
      <color indexed="9"/>
      <name val="Times New Roman"/>
      <family val="1"/>
    </font>
    <font>
      <b/>
      <i/>
      <sz val="10"/>
      <name val="Arial"/>
      <family val="2"/>
    </font>
    <font>
      <b/>
      <i/>
      <sz val="10"/>
      <name val="Times New Roman"/>
      <family val="1"/>
    </font>
    <font>
      <sz val="8"/>
      <color indexed="12"/>
      <name val="Times New Roman"/>
      <family val="1"/>
    </font>
    <font>
      <b/>
      <u/>
      <sz val="10"/>
      <color indexed="12"/>
      <name val="Arial"/>
      <family val="2"/>
    </font>
    <font>
      <b/>
      <u/>
      <sz val="10"/>
      <name val="Arial"/>
      <family val="2"/>
    </font>
    <font>
      <b/>
      <i/>
      <sz val="8"/>
      <name val="Arial"/>
      <family val="2"/>
    </font>
    <font>
      <b/>
      <sz val="8"/>
      <color indexed="10"/>
      <name val="Arial"/>
      <family val="2"/>
    </font>
    <font>
      <sz val="8"/>
      <color indexed="10"/>
      <name val="Helvetica"/>
      <family val="2"/>
    </font>
    <font>
      <b/>
      <sz val="8"/>
      <color indexed="8"/>
      <name val="Arial"/>
      <family val="2"/>
    </font>
    <font>
      <sz val="8"/>
      <color indexed="8"/>
      <name val="Times New Roman"/>
      <family val="1"/>
    </font>
    <font>
      <i/>
      <sz val="8"/>
      <color indexed="20"/>
      <name val="Arial"/>
      <family val="2"/>
    </font>
    <font>
      <sz val="8"/>
      <color indexed="20"/>
      <name val="Arial"/>
      <family val="2"/>
    </font>
    <font>
      <sz val="10"/>
      <color indexed="20"/>
      <name val="Arial"/>
      <family val="2"/>
    </font>
    <font>
      <sz val="8"/>
      <color indexed="20"/>
      <name val="Arial"/>
      <family val="2"/>
    </font>
    <font>
      <b/>
      <sz val="8"/>
      <color indexed="20"/>
      <name val="Arial"/>
      <family val="2"/>
    </font>
    <font>
      <i/>
      <sz val="8"/>
      <color indexed="17"/>
      <name val="Arial"/>
      <family val="2"/>
    </font>
    <font>
      <sz val="8"/>
      <color indexed="17"/>
      <name val="Arial"/>
      <family val="2"/>
    </font>
    <font>
      <sz val="9"/>
      <name val="Arial"/>
      <family val="2"/>
    </font>
    <font>
      <b/>
      <sz val="9"/>
      <color indexed="10"/>
      <name val="Arial"/>
      <family val="2"/>
    </font>
    <font>
      <sz val="9"/>
      <color indexed="17"/>
      <name val="Arial"/>
      <family val="2"/>
    </font>
    <font>
      <sz val="9"/>
      <color indexed="10"/>
      <name val="Arial"/>
      <family val="2"/>
    </font>
    <font>
      <sz val="8"/>
      <color indexed="18"/>
      <name val="Arial"/>
      <family val="2"/>
    </font>
    <font>
      <sz val="8"/>
      <color indexed="18"/>
      <name val="Arial"/>
      <family val="2"/>
    </font>
    <font>
      <sz val="7"/>
      <name val="Arial"/>
      <family val="2"/>
    </font>
    <font>
      <sz val="5"/>
      <name val="Arial"/>
      <family val="2"/>
    </font>
    <font>
      <i/>
      <sz val="8"/>
      <color indexed="21"/>
      <name val="Arial"/>
      <family val="2"/>
    </font>
    <font>
      <i/>
      <sz val="8"/>
      <color indexed="19"/>
      <name val="Arial"/>
      <family val="2"/>
    </font>
    <font>
      <sz val="8"/>
      <name val="Arial"/>
      <family val="2"/>
    </font>
    <font>
      <sz val="8"/>
      <color indexed="18"/>
      <name val="Arial"/>
      <family val="2"/>
    </font>
    <font>
      <sz val="8"/>
      <color indexed="57"/>
      <name val="Arial"/>
      <family val="2"/>
    </font>
    <font>
      <sz val="10"/>
      <name val="Arial"/>
      <family val="2"/>
    </font>
    <font>
      <sz val="10"/>
      <name val="Arial"/>
      <family val="2"/>
    </font>
    <font>
      <b/>
      <sz val="8"/>
      <color rgb="FF0070C0"/>
      <name val="Arial"/>
      <family val="2"/>
    </font>
    <font>
      <sz val="8"/>
      <color rgb="FF0070C0"/>
      <name val="Arial"/>
      <family val="2"/>
    </font>
    <font>
      <sz val="8"/>
      <color rgb="FFFF0000"/>
      <name val="Arial"/>
      <family val="2"/>
    </font>
    <font>
      <sz val="10"/>
      <color rgb="FFFF0000"/>
      <name val="Arial"/>
      <family val="2"/>
    </font>
    <font>
      <sz val="8"/>
      <color rgb="FF7030A0"/>
      <name val="Arial"/>
      <family val="2"/>
    </font>
    <font>
      <b/>
      <sz val="8"/>
      <color rgb="FF7030A0"/>
      <name val="Arial"/>
      <family val="2"/>
    </font>
    <font>
      <sz val="10"/>
      <color rgb="FF00B0F0"/>
      <name val="Arial"/>
      <family val="2"/>
    </font>
    <font>
      <i/>
      <sz val="8"/>
      <color rgb="FF7030A0"/>
      <name val="Arial"/>
      <family val="2"/>
    </font>
    <font>
      <sz val="10"/>
      <color theme="3" tint="0.39997558519241921"/>
      <name val="Arial"/>
      <family val="2"/>
    </font>
    <font>
      <sz val="8"/>
      <color rgb="FF00B050"/>
      <name val="Arial"/>
      <family val="2"/>
    </font>
    <font>
      <b/>
      <sz val="8"/>
      <color theme="0"/>
      <name val="Arial"/>
      <family val="2"/>
    </font>
    <font>
      <i/>
      <sz val="8"/>
      <color theme="0"/>
      <name val="Arial"/>
      <family val="2"/>
    </font>
    <font>
      <i/>
      <sz val="8"/>
      <color theme="6" tint="-0.499984740745262"/>
      <name val="Arial"/>
      <family val="2"/>
    </font>
    <font>
      <i/>
      <sz val="8"/>
      <color rgb="FF0070C0"/>
      <name val="Arial"/>
      <family val="2"/>
    </font>
    <font>
      <i/>
      <sz val="8"/>
      <color rgb="FF349C63"/>
      <name val="Arial"/>
      <family val="2"/>
    </font>
    <font>
      <i/>
      <sz val="8"/>
      <color rgb="FF00B050"/>
      <name val="Arial"/>
      <family val="2"/>
    </font>
    <font>
      <sz val="8"/>
      <color rgb="FF2270AB"/>
      <name val="Arial"/>
      <family val="2"/>
    </font>
    <font>
      <b/>
      <sz val="8"/>
      <color rgb="FF2270AB"/>
      <name val="Arial"/>
      <family val="2"/>
    </font>
    <font>
      <sz val="8"/>
      <color rgb="FF0000FF"/>
      <name val="Arial"/>
      <family val="2"/>
    </font>
    <font>
      <i/>
      <sz val="8"/>
      <color rgb="FF0000FF"/>
      <name val="Arial"/>
      <family val="2"/>
    </font>
    <font>
      <i/>
      <sz val="8"/>
      <color rgb="FF009644"/>
      <name val="Arial"/>
      <family val="2"/>
    </font>
    <font>
      <sz val="8"/>
      <color rgb="FF009644"/>
      <name val="Arial"/>
      <family val="2"/>
    </font>
    <font>
      <i/>
      <sz val="8"/>
      <color rgb="FF3333FF"/>
      <name val="Arial"/>
      <family val="2"/>
    </font>
    <font>
      <u/>
      <sz val="11"/>
      <color theme="10"/>
      <name val="Calibri"/>
      <family val="2"/>
      <scheme val="minor"/>
    </font>
    <font>
      <sz val="8"/>
      <color theme="1"/>
      <name val="Arial"/>
      <family val="2"/>
    </font>
    <font>
      <sz val="8"/>
      <color rgb="FF3333FF"/>
      <name val="Arial"/>
      <family val="2"/>
    </font>
    <font>
      <sz val="10"/>
      <color rgb="FF000000"/>
      <name val="Arial"/>
      <family val="2"/>
    </font>
    <font>
      <b/>
      <sz val="12"/>
      <color rgb="FF000080"/>
      <name val="Arial"/>
      <family val="2"/>
    </font>
  </fonts>
  <fills count="19">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9"/>
        <bgColor indexed="64"/>
      </patternFill>
    </fill>
    <fill>
      <patternFill patternType="solid">
        <fgColor indexed="8"/>
        <bgColor indexed="64"/>
      </patternFill>
    </fill>
    <fill>
      <patternFill patternType="solid">
        <fgColor indexed="41"/>
        <bgColor indexed="64"/>
      </patternFill>
    </fill>
    <fill>
      <patternFill patternType="solid">
        <fgColor indexed="13"/>
        <bgColor indexed="64"/>
      </patternFill>
    </fill>
    <fill>
      <patternFill patternType="solid">
        <fgColor indexed="6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rgb="FF137CB1"/>
        <bgColor indexed="64"/>
      </patternFill>
    </fill>
    <fill>
      <patternFill patternType="solid">
        <fgColor rgb="FFFFC000"/>
        <bgColor indexed="64"/>
      </patternFill>
    </fill>
    <fill>
      <patternFill patternType="solid">
        <fgColor rgb="FFC0C0C0"/>
        <bgColor rgb="FF000000"/>
      </patternFill>
    </fill>
    <fill>
      <patternFill patternType="lightGray">
        <bgColor theme="0" tint="-0.499984740745262"/>
      </patternFill>
    </fill>
    <fill>
      <patternFill patternType="solid">
        <fgColor indexed="65"/>
        <bgColor indexed="64"/>
      </patternFill>
    </fill>
  </fills>
  <borders count="28">
    <border>
      <left/>
      <right/>
      <top/>
      <bottom/>
      <diagonal/>
    </border>
    <border>
      <left style="thin">
        <color indexed="64"/>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8"/>
      </bottom>
      <diagonal/>
    </border>
    <border>
      <left/>
      <right/>
      <top style="thin">
        <color indexed="64"/>
      </top>
      <bottom/>
      <diagonal/>
    </border>
    <border>
      <left/>
      <right/>
      <top style="thin">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8"/>
      </top>
      <bottom/>
      <diagonal/>
    </border>
    <border>
      <left/>
      <right/>
      <top/>
      <bottom style="double">
        <color indexed="64"/>
      </bottom>
      <diagonal/>
    </border>
    <border>
      <left/>
      <right/>
      <top/>
      <bottom style="hair">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1">
    <xf numFmtId="0" fontId="0"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3" fillId="0" borderId="0"/>
    <xf numFmtId="0" fontId="3" fillId="0" borderId="0"/>
    <xf numFmtId="0" fontId="3" fillId="4" borderId="0" applyNumberFormat="0" applyFont="0" applyBorder="0" applyAlignment="0" applyProtection="0"/>
    <xf numFmtId="0" fontId="35" fillId="0" borderId="0"/>
    <xf numFmtId="180" fontId="35" fillId="0" borderId="0"/>
    <xf numFmtId="180" fontId="35" fillId="0" borderId="0"/>
    <xf numFmtId="0" fontId="35" fillId="0" borderId="0"/>
    <xf numFmtId="0" fontId="37" fillId="0" borderId="0"/>
    <xf numFmtId="43" fontId="3" fillId="0" borderId="0" applyFont="0" applyFill="0" applyBorder="0" applyAlignment="0" applyProtection="0"/>
    <xf numFmtId="43" fontId="5" fillId="0" borderId="0" applyFont="0" applyFill="0" applyBorder="0" applyAlignment="0" applyProtection="0"/>
    <xf numFmtId="40" fontId="19" fillId="0" borderId="0" applyFont="0" applyFill="0" applyBorder="0" applyAlignment="0" applyProtection="0"/>
    <xf numFmtId="167" fontId="5" fillId="0" borderId="0" applyFont="0" applyFill="0" applyBorder="0" applyAlignment="0" applyProtection="0"/>
    <xf numFmtId="44" fontId="3" fillId="0" borderId="0" applyFont="0" applyFill="0" applyBorder="0" applyAlignment="0" applyProtection="0"/>
    <xf numFmtId="44" fontId="5" fillId="0" borderId="0" applyFont="0" applyFill="0" applyBorder="0" applyAlignment="0" applyProtection="0"/>
    <xf numFmtId="0" fontId="38" fillId="0" borderId="0" applyNumberFormat="0" applyFill="0" applyBorder="0" applyAlignment="0" applyProtection="0">
      <alignment vertical="top"/>
      <protection locked="0"/>
    </xf>
    <xf numFmtId="0" fontId="5" fillId="0" borderId="0"/>
    <xf numFmtId="0" fontId="5" fillId="0" borderId="0"/>
    <xf numFmtId="0" fontId="81" fillId="0" borderId="0"/>
    <xf numFmtId="0" fontId="19" fillId="0" borderId="0"/>
    <xf numFmtId="0" fontId="10" fillId="0" borderId="0"/>
    <xf numFmtId="0" fontId="10" fillId="0" borderId="0"/>
    <xf numFmtId="0" fontId="19" fillId="0" borderId="0"/>
    <xf numFmtId="0" fontId="3" fillId="0" borderId="0"/>
    <xf numFmtId="0" fontId="19" fillId="0" borderId="0"/>
    <xf numFmtId="0" fontId="3" fillId="0" borderId="0"/>
    <xf numFmtId="0" fontId="39" fillId="0" borderId="0">
      <alignment vertical="center"/>
    </xf>
    <xf numFmtId="9" fontId="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4" borderId="0" applyNumberFormat="0" applyFont="0" applyBorder="0" applyAlignment="0" applyProtection="0"/>
    <xf numFmtId="0" fontId="40" fillId="0" borderId="0"/>
    <xf numFmtId="0" fontId="40" fillId="0" borderId="6">
      <alignment horizontal="centerContinuous"/>
    </xf>
    <xf numFmtId="0" fontId="41" fillId="0" borderId="6"/>
    <xf numFmtId="0" fontId="3" fillId="0" borderId="0"/>
    <xf numFmtId="9" fontId="3" fillId="0" borderId="0" applyFont="0" applyFill="0" applyBorder="0" applyAlignment="0" applyProtection="0"/>
    <xf numFmtId="0" fontId="3" fillId="0" borderId="0" applyNumberFormat="0" applyFill="0" applyBorder="0" applyAlignment="0" applyProtection="0"/>
    <xf numFmtId="0" fontId="2" fillId="0" borderId="0"/>
    <xf numFmtId="0" fontId="105" fillId="0" borderId="0" applyNumberFormat="0" applyFill="0" applyBorder="0" applyAlignment="0" applyProtection="0"/>
    <xf numFmtId="0" fontId="106" fillId="0" borderId="0"/>
    <xf numFmtId="9" fontId="106" fillId="0" borderId="0" applyFont="0" applyFill="0" applyBorder="0" applyAlignment="0" applyProtection="0"/>
    <xf numFmtId="43" fontId="106" fillId="0" borderId="0" applyFont="0" applyFill="0" applyBorder="0" applyAlignment="0" applyProtection="0"/>
    <xf numFmtId="0" fontId="3" fillId="0" borderId="0" applyFill="0" applyAlignment="0">
      <protection locked="0"/>
    </xf>
    <xf numFmtId="180" fontId="35" fillId="0" borderId="0"/>
    <xf numFmtId="0" fontId="1" fillId="0" borderId="0"/>
    <xf numFmtId="167" fontId="40" fillId="0" borderId="0"/>
    <xf numFmtId="44" fontId="3" fillId="0" borderId="0" applyFont="0" applyFill="0" applyBorder="0" applyAlignment="0" applyProtection="0"/>
    <xf numFmtId="0" fontId="47" fillId="0" borderId="0"/>
  </cellStyleXfs>
  <cellXfs count="1033">
    <xf numFmtId="0" fontId="0" fillId="0" borderId="0" xfId="0"/>
    <xf numFmtId="0" fontId="3" fillId="0" borderId="0" xfId="37"/>
    <xf numFmtId="0" fontId="6" fillId="5" borderId="0" xfId="0" applyFont="1" applyFill="1" applyBorder="1"/>
    <xf numFmtId="164" fontId="7" fillId="6" borderId="2" xfId="0" applyNumberFormat="1" applyFont="1" applyFill="1" applyBorder="1" applyAlignment="1">
      <alignment horizontal="center"/>
    </xf>
    <xf numFmtId="0" fontId="8" fillId="5" borderId="0" xfId="0" applyFont="1" applyFill="1" applyBorder="1" applyAlignment="1">
      <alignment horizontal="center"/>
    </xf>
    <xf numFmtId="0" fontId="4" fillId="5" borderId="0" xfId="0" applyFont="1" applyFill="1" applyBorder="1" applyAlignment="1">
      <alignment horizontal="center"/>
    </xf>
    <xf numFmtId="0" fontId="4" fillId="5" borderId="0" xfId="0" applyFont="1" applyFill="1" applyBorder="1"/>
    <xf numFmtId="0" fontId="6" fillId="5" borderId="0" xfId="0" applyFont="1" applyFill="1" applyBorder="1" applyAlignment="1">
      <alignment horizontal="left" indent="1"/>
    </xf>
    <xf numFmtId="0" fontId="9" fillId="5" borderId="2" xfId="23" applyFont="1" applyFill="1" applyBorder="1" applyAlignment="1">
      <alignment horizontal="left"/>
    </xf>
    <xf numFmtId="0" fontId="11" fillId="5" borderId="0" xfId="23" applyFont="1" applyFill="1" applyBorder="1" applyAlignment="1">
      <alignment horizontal="left"/>
    </xf>
    <xf numFmtId="0" fontId="12" fillId="5" borderId="0" xfId="26" applyFont="1" applyFill="1" applyBorder="1" applyAlignment="1">
      <alignment horizontal="left"/>
    </xf>
    <xf numFmtId="0" fontId="13" fillId="0" borderId="0" xfId="0" applyFont="1"/>
    <xf numFmtId="165" fontId="13" fillId="0" borderId="0" xfId="12" applyNumberFormat="1" applyFont="1"/>
    <xf numFmtId="167" fontId="13" fillId="0" borderId="0" xfId="12" applyNumberFormat="1" applyFont="1"/>
    <xf numFmtId="167" fontId="4" fillId="0" borderId="0" xfId="12" applyNumberFormat="1" applyFont="1"/>
    <xf numFmtId="167" fontId="13" fillId="0" borderId="0" xfId="0" applyNumberFormat="1" applyFont="1"/>
    <xf numFmtId="0" fontId="15" fillId="5" borderId="0" xfId="0" applyFont="1" applyFill="1" applyBorder="1"/>
    <xf numFmtId="169" fontId="6" fillId="5" borderId="0" xfId="0" applyNumberFormat="1" applyFont="1" applyFill="1" applyBorder="1"/>
    <xf numFmtId="170" fontId="6" fillId="5" borderId="0" xfId="0" applyNumberFormat="1" applyFont="1" applyFill="1" applyBorder="1"/>
    <xf numFmtId="170" fontId="15" fillId="5" borderId="0" xfId="0" applyNumberFormat="1" applyFont="1" applyFill="1" applyBorder="1"/>
    <xf numFmtId="170" fontId="6" fillId="5" borderId="0" xfId="24" applyNumberFormat="1" applyFont="1" applyFill="1" applyBorder="1"/>
    <xf numFmtId="170" fontId="13" fillId="0" borderId="0" xfId="24" applyNumberFormat="1" applyFont="1" applyFill="1" applyBorder="1"/>
    <xf numFmtId="170" fontId="13" fillId="5" borderId="0" xfId="24" applyNumberFormat="1" applyFont="1" applyFill="1" applyBorder="1"/>
    <xf numFmtId="169" fontId="13" fillId="5" borderId="0" xfId="0" applyNumberFormat="1" applyFont="1" applyFill="1" applyAlignment="1">
      <alignment horizontal="right"/>
    </xf>
    <xf numFmtId="0" fontId="15" fillId="0" borderId="0" xfId="0" applyFont="1" applyFill="1" applyBorder="1"/>
    <xf numFmtId="0" fontId="0" fillId="5" borderId="0" xfId="0" applyFill="1" applyBorder="1"/>
    <xf numFmtId="165" fontId="6" fillId="5" borderId="0" xfId="12" applyNumberFormat="1" applyFont="1" applyFill="1" applyBorder="1" applyAlignment="1"/>
    <xf numFmtId="0" fontId="17" fillId="5" borderId="2" xfId="0" applyFont="1" applyFill="1" applyBorder="1"/>
    <xf numFmtId="0" fontId="6" fillId="5" borderId="0" xfId="0" applyFont="1" applyFill="1" applyBorder="1" applyAlignment="1">
      <alignment horizontal="left"/>
    </xf>
    <xf numFmtId="0" fontId="18" fillId="5" borderId="0" xfId="25" applyNumberFormat="1" applyFont="1" applyFill="1" applyBorder="1" applyAlignment="1" applyProtection="1">
      <alignment horizontal="left"/>
    </xf>
    <xf numFmtId="173" fontId="4" fillId="5" borderId="0" xfId="0" applyNumberFormat="1" applyFont="1" applyFill="1" applyBorder="1"/>
    <xf numFmtId="0" fontId="0" fillId="0" borderId="0" xfId="0" applyFill="1" applyBorder="1"/>
    <xf numFmtId="0" fontId="6" fillId="0" borderId="0" xfId="0" applyFont="1" applyFill="1" applyAlignment="1">
      <alignment horizontal="left" vertical="top" wrapText="1" indent="1"/>
    </xf>
    <xf numFmtId="0" fontId="6" fillId="0" borderId="0" xfId="0" applyFont="1" applyFill="1" applyAlignment="1">
      <alignment wrapText="1"/>
    </xf>
    <xf numFmtId="0" fontId="6" fillId="0" borderId="0" xfId="0" applyFont="1" applyFill="1" applyAlignment="1">
      <alignment horizontal="left" vertical="top" wrapText="1" indent="3"/>
    </xf>
    <xf numFmtId="165" fontId="13" fillId="0" borderId="0" xfId="12" applyNumberFormat="1" applyFont="1" applyFill="1"/>
    <xf numFmtId="165" fontId="6" fillId="0" borderId="0" xfId="12" applyNumberFormat="1" applyFont="1" applyFill="1" applyBorder="1" applyAlignment="1">
      <alignment horizontal="right" wrapText="1"/>
    </xf>
    <xf numFmtId="165" fontId="6" fillId="0" borderId="0" xfId="12" applyNumberFormat="1" applyFont="1" applyFill="1" applyBorder="1" applyAlignment="1">
      <alignment wrapText="1"/>
    </xf>
    <xf numFmtId="165" fontId="6" fillId="0" borderId="0" xfId="12" applyNumberFormat="1" applyFont="1" applyFill="1" applyBorder="1"/>
    <xf numFmtId="0" fontId="22" fillId="0" borderId="0" xfId="0" applyFont="1"/>
    <xf numFmtId="0" fontId="4" fillId="0" borderId="0" xfId="0" applyFont="1" applyFill="1" applyAlignment="1">
      <alignment horizontal="left" vertical="top" wrapText="1"/>
    </xf>
    <xf numFmtId="165" fontId="23" fillId="0" borderId="0" xfId="12" applyNumberFormat="1" applyFont="1" applyFill="1" applyBorder="1" applyAlignment="1">
      <alignment horizontal="right" wrapText="1"/>
    </xf>
    <xf numFmtId="0" fontId="0" fillId="0" borderId="0" xfId="0" applyFill="1"/>
    <xf numFmtId="0" fontId="17" fillId="0" borderId="0" xfId="0" applyFont="1" applyFill="1"/>
    <xf numFmtId="0" fontId="18" fillId="0" borderId="0" xfId="25" applyNumberFormat="1" applyFont="1" applyFill="1" applyAlignment="1" applyProtection="1">
      <alignment horizontal="left"/>
    </xf>
    <xf numFmtId="166" fontId="0" fillId="0" borderId="0" xfId="0" applyNumberFormat="1" applyFill="1"/>
    <xf numFmtId="0" fontId="6" fillId="0" borderId="0" xfId="0" applyFont="1" applyFill="1"/>
    <xf numFmtId="165" fontId="23" fillId="0" borderId="0" xfId="12" applyNumberFormat="1" applyFont="1" applyFill="1"/>
    <xf numFmtId="165" fontId="4" fillId="0" borderId="0" xfId="12" applyNumberFormat="1" applyFont="1" applyFill="1"/>
    <xf numFmtId="165" fontId="6" fillId="0" borderId="0" xfId="12" applyNumberFormat="1" applyFont="1" applyFill="1"/>
    <xf numFmtId="0" fontId="25" fillId="0" borderId="0" xfId="0" applyFont="1" applyFill="1"/>
    <xf numFmtId="0" fontId="5" fillId="0" borderId="0" xfId="0" applyFont="1" applyFill="1" applyBorder="1"/>
    <xf numFmtId="0" fontId="4" fillId="0" borderId="0" xfId="0" applyFont="1" applyFill="1" applyBorder="1" applyAlignment="1">
      <alignment horizontal="center"/>
    </xf>
    <xf numFmtId="0" fontId="6" fillId="0" borderId="0" xfId="0" applyFont="1"/>
    <xf numFmtId="0" fontId="5" fillId="0" borderId="0" xfId="0" applyFont="1"/>
    <xf numFmtId="168" fontId="12" fillId="0" borderId="0" xfId="30" applyNumberFormat="1" applyFont="1"/>
    <xf numFmtId="0" fontId="29" fillId="5" borderId="0" xfId="0" applyFont="1" applyFill="1" applyAlignment="1">
      <alignment horizontal="left" indent="1"/>
    </xf>
    <xf numFmtId="0" fontId="29" fillId="5" borderId="0" xfId="0" applyFont="1" applyFill="1" applyAlignment="1">
      <alignment horizontal="center"/>
    </xf>
    <xf numFmtId="9" fontId="23" fillId="5" borderId="0" xfId="0" applyNumberFormat="1" applyFont="1" applyFill="1" applyAlignment="1"/>
    <xf numFmtId="9" fontId="6" fillId="5" borderId="0" xfId="0" applyNumberFormat="1" applyFont="1" applyFill="1" applyAlignment="1"/>
    <xf numFmtId="7" fontId="6" fillId="5" borderId="0" xfId="0" applyNumberFormat="1" applyFont="1" applyFill="1"/>
    <xf numFmtId="0" fontId="5" fillId="5" borderId="0" xfId="0" applyFont="1" applyFill="1" applyBorder="1"/>
    <xf numFmtId="175" fontId="30" fillId="5" borderId="0" xfId="12" applyNumberFormat="1" applyFont="1" applyFill="1" applyBorder="1" applyAlignment="1"/>
    <xf numFmtId="167" fontId="23" fillId="5" borderId="0" xfId="12" applyNumberFormat="1" applyFont="1" applyFill="1" applyBorder="1" applyAlignment="1"/>
    <xf numFmtId="167" fontId="6" fillId="5" borderId="0" xfId="12" applyNumberFormat="1" applyFont="1" applyFill="1" applyBorder="1" applyAlignment="1"/>
    <xf numFmtId="167" fontId="4" fillId="5" borderId="0" xfId="12" applyNumberFormat="1" applyFont="1" applyFill="1" applyBorder="1" applyAlignment="1"/>
    <xf numFmtId="167" fontId="6" fillId="5" borderId="0" xfId="0" applyNumberFormat="1" applyFont="1" applyFill="1" applyBorder="1" applyAlignment="1">
      <alignment horizontal="center"/>
    </xf>
    <xf numFmtId="175" fontId="4" fillId="5" borderId="0" xfId="12" applyNumberFormat="1" applyFont="1" applyFill="1" applyBorder="1" applyAlignment="1"/>
    <xf numFmtId="175" fontId="23" fillId="5" borderId="0" xfId="12" applyNumberFormat="1" applyFont="1" applyFill="1" applyBorder="1" applyAlignment="1"/>
    <xf numFmtId="167" fontId="4" fillId="5" borderId="0" xfId="0" applyNumberFormat="1" applyFont="1" applyFill="1" applyBorder="1" applyAlignment="1">
      <alignment horizontal="center"/>
    </xf>
    <xf numFmtId="167" fontId="6" fillId="5" borderId="0" xfId="0" applyNumberFormat="1" applyFont="1" applyFill="1" applyBorder="1"/>
    <xf numFmtId="174" fontId="6" fillId="5" borderId="0" xfId="0" applyNumberFormat="1" applyFont="1" applyFill="1" applyBorder="1" applyAlignment="1"/>
    <xf numFmtId="167" fontId="6" fillId="5" borderId="0" xfId="0" applyNumberFormat="1" applyFont="1" applyFill="1" applyAlignment="1">
      <alignment horizontal="right"/>
    </xf>
    <xf numFmtId="167" fontId="6" fillId="5" borderId="0" xfId="0" applyNumberFormat="1" applyFont="1" applyFill="1"/>
    <xf numFmtId="9" fontId="6" fillId="5" borderId="0" xfId="0" applyNumberFormat="1" applyFont="1" applyFill="1" applyBorder="1" applyAlignment="1"/>
    <xf numFmtId="165" fontId="12" fillId="5" borderId="0" xfId="12" applyNumberFormat="1" applyFont="1" applyFill="1" applyBorder="1" applyAlignment="1"/>
    <xf numFmtId="9" fontId="6" fillId="5" borderId="0" xfId="0" applyNumberFormat="1" applyFont="1" applyFill="1" applyBorder="1" applyAlignment="1">
      <alignment horizontal="center"/>
    </xf>
    <xf numFmtId="0" fontId="0" fillId="0" borderId="0" xfId="0" applyBorder="1"/>
    <xf numFmtId="167" fontId="24" fillId="0" borderId="0" xfId="12" applyNumberFormat="1" applyFont="1" applyFill="1" applyBorder="1" applyAlignment="1"/>
    <xf numFmtId="0" fontId="6" fillId="0" borderId="0" xfId="0" applyFont="1" applyFill="1" applyBorder="1"/>
    <xf numFmtId="0" fontId="12" fillId="5" borderId="0" xfId="0" applyFont="1" applyFill="1" applyBorder="1" applyAlignment="1">
      <alignment horizontal="left" indent="1"/>
    </xf>
    <xf numFmtId="9" fontId="13" fillId="5" borderId="0" xfId="30" applyFont="1" applyFill="1"/>
    <xf numFmtId="0" fontId="13" fillId="5" borderId="0" xfId="0" applyFont="1" applyFill="1"/>
    <xf numFmtId="167" fontId="6" fillId="5" borderId="0" xfId="12" applyNumberFormat="1" applyFont="1" applyFill="1" applyAlignment="1"/>
    <xf numFmtId="7" fontId="6" fillId="0" borderId="0" xfId="12" applyNumberFormat="1" applyFont="1" applyFill="1" applyAlignment="1"/>
    <xf numFmtId="9" fontId="12" fillId="0" borderId="0" xfId="0" applyNumberFormat="1" applyFont="1" applyFill="1" applyAlignment="1">
      <alignment horizontal="right"/>
    </xf>
    <xf numFmtId="169" fontId="12" fillId="5" borderId="0" xfId="0" applyNumberFormat="1" applyFont="1" applyFill="1" applyAlignment="1">
      <alignment horizontal="right"/>
    </xf>
    <xf numFmtId="165" fontId="6" fillId="0" borderId="0" xfId="12" applyNumberFormat="1" applyFont="1" applyFill="1" applyAlignment="1"/>
    <xf numFmtId="8" fontId="23" fillId="0" borderId="0" xfId="0" applyNumberFormat="1" applyFont="1" applyFill="1" applyAlignment="1">
      <alignment horizontal="right"/>
    </xf>
    <xf numFmtId="165" fontId="23" fillId="0" borderId="0" xfId="12" applyNumberFormat="1" applyFont="1" applyFill="1" applyAlignment="1"/>
    <xf numFmtId="165" fontId="6" fillId="0" borderId="0" xfId="12" applyNumberFormat="1" applyFont="1" applyFill="1" applyAlignment="1">
      <alignment horizontal="center"/>
    </xf>
    <xf numFmtId="7" fontId="6" fillId="0" borderId="0" xfId="0" applyNumberFormat="1" applyFont="1" applyFill="1" applyBorder="1"/>
    <xf numFmtId="0" fontId="12" fillId="0" borderId="0" xfId="0" applyFont="1" applyFill="1" applyBorder="1"/>
    <xf numFmtId="168" fontId="12" fillId="0" borderId="0" xfId="0" applyNumberFormat="1" applyFont="1" applyFill="1"/>
    <xf numFmtId="0" fontId="4" fillId="0" borderId="0" xfId="0" applyFont="1" applyFill="1" applyBorder="1"/>
    <xf numFmtId="0" fontId="13" fillId="0" borderId="0" xfId="0" applyFont="1" applyFill="1"/>
    <xf numFmtId="165" fontId="6" fillId="0" borderId="9" xfId="12" applyNumberFormat="1" applyFont="1" applyFill="1" applyBorder="1" applyAlignment="1">
      <alignment horizontal="right" wrapText="1"/>
    </xf>
    <xf numFmtId="165" fontId="6" fillId="0" borderId="9" xfId="12" applyNumberFormat="1" applyFont="1" applyFill="1" applyBorder="1" applyAlignment="1">
      <alignment wrapText="1"/>
    </xf>
    <xf numFmtId="0" fontId="0" fillId="0" borderId="9" xfId="0" applyFill="1" applyBorder="1"/>
    <xf numFmtId="0" fontId="8" fillId="3" borderId="10" xfId="0" applyNumberFormat="1" applyFont="1" applyFill="1" applyBorder="1" applyAlignment="1">
      <alignment horizontal="center"/>
    </xf>
    <xf numFmtId="0" fontId="4" fillId="3" borderId="0" xfId="0" applyFont="1" applyFill="1" applyBorder="1" applyAlignment="1">
      <alignment horizontal="center"/>
    </xf>
    <xf numFmtId="174" fontId="13" fillId="3" borderId="0" xfId="0" applyNumberFormat="1" applyFont="1" applyFill="1"/>
    <xf numFmtId="0" fontId="13" fillId="3" borderId="0" xfId="0" applyFont="1" applyFill="1"/>
    <xf numFmtId="0" fontId="4" fillId="3" borderId="0" xfId="0" applyFont="1" applyFill="1"/>
    <xf numFmtId="174" fontId="14" fillId="3" borderId="0" xfId="0" applyNumberFormat="1" applyFont="1" applyFill="1"/>
    <xf numFmtId="168" fontId="13" fillId="3" borderId="0" xfId="0" applyNumberFormat="1" applyFont="1" applyFill="1"/>
    <xf numFmtId="175" fontId="8" fillId="5" borderId="0" xfId="12" applyNumberFormat="1" applyFont="1" applyFill="1" applyBorder="1" applyAlignment="1">
      <alignment horizontal="center"/>
    </xf>
    <xf numFmtId="174" fontId="14" fillId="0" borderId="0" xfId="0" applyNumberFormat="1" applyFont="1" applyFill="1"/>
    <xf numFmtId="174" fontId="14" fillId="0" borderId="0" xfId="0" applyNumberFormat="1" applyFont="1" applyFill="1" applyBorder="1"/>
    <xf numFmtId="167" fontId="6" fillId="0" borderId="0" xfId="0" applyNumberFormat="1" applyFont="1" applyFill="1" applyBorder="1"/>
    <xf numFmtId="174" fontId="6" fillId="0" borderId="0" xfId="0" applyNumberFormat="1" applyFont="1" applyFill="1" applyBorder="1" applyAlignment="1"/>
    <xf numFmtId="169" fontId="13" fillId="0" borderId="0" xfId="0" applyNumberFormat="1" applyFont="1" applyFill="1" applyBorder="1" applyAlignment="1">
      <alignment horizontal="right"/>
    </xf>
    <xf numFmtId="167" fontId="6" fillId="0" borderId="0" xfId="0" applyNumberFormat="1" applyFont="1" applyFill="1" applyBorder="1" applyAlignment="1">
      <alignment horizontal="right"/>
    </xf>
    <xf numFmtId="0" fontId="32" fillId="0" borderId="0" xfId="0" applyFont="1" applyFill="1" applyBorder="1"/>
    <xf numFmtId="0" fontId="13" fillId="0" borderId="0" xfId="0" applyFont="1" applyFill="1" applyBorder="1"/>
    <xf numFmtId="165" fontId="6" fillId="0" borderId="0" xfId="12" applyNumberFormat="1" applyFont="1" applyFill="1" applyBorder="1" applyAlignment="1"/>
    <xf numFmtId="165" fontId="12" fillId="0" borderId="0" xfId="12" applyNumberFormat="1" applyFont="1" applyFill="1" applyBorder="1" applyAlignment="1"/>
    <xf numFmtId="175" fontId="8" fillId="0" borderId="0" xfId="12" applyNumberFormat="1" applyFont="1" applyFill="1" applyBorder="1" applyAlignment="1">
      <alignment horizontal="center"/>
    </xf>
    <xf numFmtId="0" fontId="21" fillId="0" borderId="0" xfId="0" applyFont="1" applyFill="1"/>
    <xf numFmtId="0" fontId="22" fillId="0" borderId="0" xfId="0" applyFont="1" applyFill="1"/>
    <xf numFmtId="0" fontId="32" fillId="0" borderId="0" xfId="0" applyFont="1" applyFill="1"/>
    <xf numFmtId="0" fontId="4" fillId="0" borderId="0" xfId="0" applyFont="1" applyFill="1"/>
    <xf numFmtId="167" fontId="23" fillId="5" borderId="2" xfId="12" applyNumberFormat="1" applyFont="1" applyFill="1" applyBorder="1" applyAlignment="1"/>
    <xf numFmtId="43" fontId="23" fillId="0" borderId="0" xfId="12" applyFont="1" applyFill="1" applyBorder="1" applyAlignment="1"/>
    <xf numFmtId="0" fontId="4" fillId="0" borderId="0" xfId="0" applyFont="1"/>
    <xf numFmtId="0" fontId="5" fillId="0" borderId="9" xfId="0" applyFont="1" applyFill="1" applyBorder="1"/>
    <xf numFmtId="8" fontId="6" fillId="0" borderId="0" xfId="0" applyNumberFormat="1" applyFont="1" applyFill="1" applyAlignment="1">
      <alignment horizontal="right"/>
    </xf>
    <xf numFmtId="167" fontId="13" fillId="0" borderId="0" xfId="0" applyNumberFormat="1" applyFont="1" applyFill="1"/>
    <xf numFmtId="165" fontId="14" fillId="0" borderId="0" xfId="12" applyNumberFormat="1" applyFont="1" applyFill="1"/>
    <xf numFmtId="0" fontId="17" fillId="0" borderId="0" xfId="0" applyFont="1" applyFill="1" applyBorder="1"/>
    <xf numFmtId="171" fontId="6" fillId="0" borderId="0" xfId="0" applyNumberFormat="1" applyFont="1" applyFill="1" applyBorder="1"/>
    <xf numFmtId="0" fontId="6" fillId="0" borderId="0" xfId="0" applyFont="1" applyFill="1" applyBorder="1" applyAlignment="1">
      <alignment horizontal="left" indent="1"/>
    </xf>
    <xf numFmtId="0" fontId="7" fillId="5" borderId="2" xfId="0" applyFont="1" applyFill="1" applyBorder="1"/>
    <xf numFmtId="0" fontId="0" fillId="5" borderId="0" xfId="0" applyFill="1"/>
    <xf numFmtId="174" fontId="6" fillId="0" borderId="0" xfId="0" applyNumberFormat="1" applyFont="1" applyFill="1" applyAlignment="1"/>
    <xf numFmtId="0" fontId="6" fillId="0" borderId="0" xfId="28" applyFont="1"/>
    <xf numFmtId="0" fontId="4" fillId="0" borderId="0" xfId="28" applyFont="1"/>
    <xf numFmtId="0" fontId="6" fillId="0" borderId="0" xfId="28" applyFont="1" applyBorder="1"/>
    <xf numFmtId="164" fontId="6" fillId="0" borderId="0" xfId="0" applyNumberFormat="1" applyFont="1" applyBorder="1" applyAlignment="1">
      <alignment horizontal="center"/>
    </xf>
    <xf numFmtId="0" fontId="4" fillId="0" borderId="0" xfId="0" applyFont="1" applyBorder="1" applyAlignment="1">
      <alignment horizontal="center"/>
    </xf>
    <xf numFmtId="0" fontId="13" fillId="0" borderId="0" xfId="0" applyFont="1" applyBorder="1"/>
    <xf numFmtId="164" fontId="13" fillId="0" borderId="11" xfId="0" applyNumberFormat="1" applyFont="1" applyBorder="1" applyAlignment="1">
      <alignment horizontal="center"/>
    </xf>
    <xf numFmtId="39" fontId="4" fillId="0" borderId="0" xfId="28" applyNumberFormat="1" applyFont="1" applyFill="1" applyBorder="1"/>
    <xf numFmtId="175" fontId="4" fillId="0" borderId="0" xfId="28" applyNumberFormat="1" applyFont="1"/>
    <xf numFmtId="175" fontId="4" fillId="0" borderId="0" xfId="28" applyNumberFormat="1" applyFont="1" applyFill="1" applyAlignment="1">
      <alignment horizontal="center"/>
    </xf>
    <xf numFmtId="175" fontId="6" fillId="0" borderId="0" xfId="28" applyNumberFormat="1" applyFont="1"/>
    <xf numFmtId="175" fontId="6" fillId="0" borderId="0" xfId="28" quotePrefix="1" applyNumberFormat="1" applyFont="1" applyAlignment="1">
      <alignment horizontal="left" indent="1"/>
    </xf>
    <xf numFmtId="167" fontId="6" fillId="0" borderId="0" xfId="28" applyNumberFormat="1" applyFont="1" applyFill="1" applyAlignment="1">
      <alignment horizontal="center"/>
    </xf>
    <xf numFmtId="186" fontId="4" fillId="0" borderId="0" xfId="28" applyNumberFormat="1" applyFont="1" applyBorder="1"/>
    <xf numFmtId="179" fontId="4" fillId="0" borderId="0" xfId="28" applyNumberFormat="1" applyFont="1" applyFill="1" applyAlignment="1">
      <alignment horizontal="center"/>
    </xf>
    <xf numFmtId="186" fontId="6" fillId="0" borderId="0" xfId="28" applyNumberFormat="1" applyFont="1" applyBorder="1"/>
    <xf numFmtId="186" fontId="6" fillId="0" borderId="0" xfId="28" quotePrefix="1" applyNumberFormat="1" applyFont="1" applyBorder="1" applyAlignment="1">
      <alignment horizontal="left" indent="1"/>
    </xf>
    <xf numFmtId="175" fontId="12" fillId="0" borderId="0" xfId="28" applyNumberFormat="1" applyFont="1" applyBorder="1" applyAlignment="1">
      <alignment horizontal="left" indent="1"/>
    </xf>
    <xf numFmtId="175" fontId="6" fillId="0" borderId="0" xfId="28" applyNumberFormat="1" applyFont="1" applyBorder="1"/>
    <xf numFmtId="179" fontId="4" fillId="0" borderId="0" xfId="28" applyNumberFormat="1" applyFont="1" applyFill="1" applyBorder="1"/>
    <xf numFmtId="175" fontId="6" fillId="0" borderId="0" xfId="28" applyNumberFormat="1" applyFont="1" applyFill="1" applyBorder="1"/>
    <xf numFmtId="179" fontId="6" fillId="0" borderId="0" xfId="28" applyNumberFormat="1" applyFont="1" applyFill="1" applyBorder="1"/>
    <xf numFmtId="0" fontId="19" fillId="0" borderId="0" xfId="0" applyFont="1"/>
    <xf numFmtId="0" fontId="6" fillId="0" borderId="0" xfId="0" applyFont="1"/>
    <xf numFmtId="0" fontId="5" fillId="0" borderId="0" xfId="0" applyFont="1" applyBorder="1"/>
    <xf numFmtId="0" fontId="6" fillId="0" borderId="0" xfId="0" applyFont="1" applyBorder="1"/>
    <xf numFmtId="0" fontId="45" fillId="0" borderId="0" xfId="0" applyFont="1" applyFill="1" applyBorder="1"/>
    <xf numFmtId="0" fontId="7" fillId="0" borderId="0" xfId="0" applyFont="1" applyFill="1" applyBorder="1"/>
    <xf numFmtId="167" fontId="6" fillId="0" borderId="0" xfId="12" applyNumberFormat="1" applyFont="1" applyFill="1"/>
    <xf numFmtId="167" fontId="13" fillId="0" borderId="0" xfId="0" applyNumberFormat="1" applyFont="1" applyFill="1" applyAlignment="1"/>
    <xf numFmtId="167" fontId="13" fillId="0" borderId="9" xfId="0" applyNumberFormat="1" applyFont="1" applyFill="1" applyBorder="1"/>
    <xf numFmtId="0" fontId="43" fillId="0" borderId="0" xfId="0" applyFont="1" applyFill="1"/>
    <xf numFmtId="175" fontId="23" fillId="5" borderId="0" xfId="12" applyNumberFormat="1" applyFont="1" applyFill="1" applyAlignment="1"/>
    <xf numFmtId="175" fontId="6" fillId="5" borderId="0" xfId="12" applyNumberFormat="1" applyFont="1" applyFill="1" applyAlignment="1"/>
    <xf numFmtId="167" fontId="23" fillId="5" borderId="0" xfId="12" applyNumberFormat="1" applyFont="1" applyFill="1" applyAlignment="1"/>
    <xf numFmtId="167" fontId="6" fillId="5" borderId="2" xfId="12" applyNumberFormat="1" applyFont="1" applyFill="1" applyBorder="1" applyAlignment="1"/>
    <xf numFmtId="175" fontId="4" fillId="5" borderId="12" xfId="12" applyNumberFormat="1" applyFont="1" applyFill="1" applyBorder="1" applyAlignment="1"/>
    <xf numFmtId="167" fontId="4" fillId="5" borderId="7" xfId="12" applyNumberFormat="1" applyFont="1" applyFill="1" applyBorder="1" applyAlignment="1"/>
    <xf numFmtId="167" fontId="6" fillId="0" borderId="0" xfId="0" applyNumberFormat="1" applyFont="1" applyFill="1"/>
    <xf numFmtId="7" fontId="6" fillId="0" borderId="0" xfId="0" applyNumberFormat="1" applyFont="1" applyFill="1"/>
    <xf numFmtId="169" fontId="13" fillId="0" borderId="0" xfId="0" applyNumberFormat="1" applyFont="1" applyFill="1" applyAlignment="1">
      <alignment horizontal="right"/>
    </xf>
    <xf numFmtId="167" fontId="6" fillId="0" borderId="0" xfId="0" applyNumberFormat="1" applyFont="1" applyFill="1" applyAlignment="1">
      <alignment horizontal="right"/>
    </xf>
    <xf numFmtId="167" fontId="6" fillId="0" borderId="0" xfId="12" applyNumberFormat="1" applyFont="1" applyFill="1" applyAlignment="1"/>
    <xf numFmtId="167" fontId="6" fillId="0" borderId="0" xfId="12" applyNumberFormat="1" applyFont="1" applyFill="1" applyBorder="1" applyAlignment="1"/>
    <xf numFmtId="176" fontId="6" fillId="0" borderId="0" xfId="0" applyNumberFormat="1" applyFont="1" applyFill="1" applyBorder="1"/>
    <xf numFmtId="168" fontId="6" fillId="0" borderId="0" xfId="30" applyNumberFormat="1" applyFont="1" applyFill="1"/>
    <xf numFmtId="0" fontId="6" fillId="0" borderId="0" xfId="0" applyFont="1" applyFill="1" applyBorder="1" applyAlignment="1"/>
    <xf numFmtId="9" fontId="6" fillId="0" borderId="0" xfId="0" applyNumberFormat="1" applyFont="1" applyFill="1" applyAlignment="1"/>
    <xf numFmtId="9" fontId="6" fillId="0" borderId="0" xfId="0" applyNumberFormat="1" applyFont="1" applyFill="1" applyBorder="1" applyAlignment="1"/>
    <xf numFmtId="171" fontId="6" fillId="0" borderId="0" xfId="0" applyNumberFormat="1" applyFont="1" applyFill="1" applyAlignment="1"/>
    <xf numFmtId="171" fontId="23" fillId="0" borderId="0" xfId="0" applyNumberFormat="1" applyFont="1" applyFill="1" applyBorder="1" applyAlignment="1">
      <alignment horizontal="right"/>
    </xf>
    <xf numFmtId="171" fontId="6" fillId="0" borderId="0" xfId="0" applyNumberFormat="1" applyFont="1" applyFill="1" applyBorder="1" applyAlignment="1">
      <alignment horizontal="right"/>
    </xf>
    <xf numFmtId="168" fontId="12" fillId="0" borderId="0" xfId="12" applyNumberFormat="1" applyFont="1" applyFill="1" applyAlignment="1"/>
    <xf numFmtId="165" fontId="6" fillId="0" borderId="13" xfId="12" applyNumberFormat="1" applyFont="1" applyFill="1" applyBorder="1" applyAlignment="1"/>
    <xf numFmtId="165" fontId="23" fillId="0" borderId="13" xfId="12" applyNumberFormat="1" applyFont="1" applyFill="1" applyBorder="1" applyAlignment="1"/>
    <xf numFmtId="0" fontId="4" fillId="5" borderId="2" xfId="0" applyFont="1" applyFill="1" applyBorder="1" applyAlignment="1">
      <alignment horizontal="center"/>
    </xf>
    <xf numFmtId="9" fontId="23" fillId="0" borderId="0" xfId="0" applyNumberFormat="1" applyFont="1" applyFill="1" applyAlignment="1"/>
    <xf numFmtId="9" fontId="23" fillId="0" borderId="0" xfId="0" applyNumberFormat="1" applyFont="1" applyFill="1" applyBorder="1" applyAlignment="1"/>
    <xf numFmtId="7" fontId="6" fillId="0" borderId="0" xfId="12" applyNumberFormat="1" applyFont="1" applyFill="1" applyBorder="1" applyAlignment="1"/>
    <xf numFmtId="168" fontId="13" fillId="0" borderId="0" xfId="30" applyNumberFormat="1" applyFont="1" applyFill="1"/>
    <xf numFmtId="165" fontId="6" fillId="0" borderId="0" xfId="12" applyNumberFormat="1" applyFont="1" applyFill="1" applyAlignment="1">
      <alignment horizontal="right"/>
    </xf>
    <xf numFmtId="165" fontId="4" fillId="0" borderId="0" xfId="12" applyNumberFormat="1" applyFont="1" applyFill="1" applyBorder="1" applyAlignment="1">
      <alignment horizontal="right"/>
    </xf>
    <xf numFmtId="165" fontId="6" fillId="0" borderId="0" xfId="12" applyNumberFormat="1" applyFont="1" applyFill="1" applyBorder="1" applyAlignment="1">
      <alignment horizontal="right"/>
    </xf>
    <xf numFmtId="165" fontId="6" fillId="0" borderId="0" xfId="12" applyNumberFormat="1" applyFont="1" applyFill="1" applyBorder="1" applyAlignment="1">
      <alignment horizontal="center"/>
    </xf>
    <xf numFmtId="49" fontId="0" fillId="0" borderId="0" xfId="0" applyNumberFormat="1"/>
    <xf numFmtId="0" fontId="19" fillId="5" borderId="0" xfId="22" applyFill="1"/>
    <xf numFmtId="0" fontId="47" fillId="5" borderId="0" xfId="22" applyFont="1" applyFill="1"/>
    <xf numFmtId="0" fontId="47" fillId="5" borderId="0" xfId="22" applyFont="1" applyFill="1" applyBorder="1" applyAlignment="1">
      <alignment horizontal="center"/>
    </xf>
    <xf numFmtId="0" fontId="49" fillId="6" borderId="3" xfId="0" applyFont="1" applyFill="1" applyBorder="1"/>
    <xf numFmtId="0" fontId="48" fillId="6" borderId="14" xfId="22" applyFont="1" applyFill="1" applyBorder="1" applyAlignment="1">
      <alignment horizontal="center"/>
    </xf>
    <xf numFmtId="0" fontId="20" fillId="5" borderId="0" xfId="0" applyFont="1" applyFill="1"/>
    <xf numFmtId="0" fontId="50" fillId="5" borderId="0" xfId="22" applyFont="1" applyFill="1" applyAlignment="1">
      <alignment horizontal="left"/>
    </xf>
    <xf numFmtId="0" fontId="44" fillId="5" borderId="0" xfId="22" applyFont="1" applyFill="1"/>
    <xf numFmtId="0" fontId="51" fillId="5" borderId="0" xfId="22" applyFont="1" applyFill="1" applyAlignment="1">
      <alignment horizontal="left"/>
    </xf>
    <xf numFmtId="0" fontId="17" fillId="5" borderId="0" xfId="22" applyFont="1" applyFill="1"/>
    <xf numFmtId="0" fontId="52" fillId="5" borderId="0" xfId="22" applyFont="1" applyFill="1"/>
    <xf numFmtId="0" fontId="36" fillId="5" borderId="0" xfId="22" applyFont="1" applyFill="1"/>
    <xf numFmtId="0" fontId="53" fillId="5" borderId="0" xfId="0" applyFont="1" applyFill="1"/>
    <xf numFmtId="0" fontId="54" fillId="0" borderId="0" xfId="18" applyFont="1" applyAlignment="1" applyProtection="1"/>
    <xf numFmtId="177" fontId="57" fillId="0" borderId="0" xfId="15" applyNumberFormat="1" applyFont="1" applyFill="1" applyAlignment="1"/>
    <xf numFmtId="177" fontId="57" fillId="0" borderId="0" xfId="15" applyNumberFormat="1" applyFont="1" applyFill="1" applyAlignment="1">
      <alignment horizontal="right"/>
    </xf>
    <xf numFmtId="177" fontId="57" fillId="0" borderId="0" xfId="15" applyNumberFormat="1" applyFont="1" applyFill="1" applyBorder="1" applyAlignment="1">
      <alignment horizontal="right"/>
    </xf>
    <xf numFmtId="0" fontId="24" fillId="0" borderId="0" xfId="0" applyFont="1" applyFill="1" applyBorder="1"/>
    <xf numFmtId="0" fontId="26" fillId="0" borderId="0" xfId="0" applyFont="1" applyFill="1"/>
    <xf numFmtId="9" fontId="6" fillId="0" borderId="0" xfId="30" applyFont="1" applyFill="1"/>
    <xf numFmtId="0" fontId="26" fillId="2" borderId="3" xfId="0" applyFont="1" applyFill="1" applyBorder="1"/>
    <xf numFmtId="166" fontId="26" fillId="2" borderId="3" xfId="0" applyNumberFormat="1" applyFont="1" applyFill="1" applyBorder="1"/>
    <xf numFmtId="7" fontId="6" fillId="2" borderId="3" xfId="0" applyNumberFormat="1" applyFont="1" applyFill="1" applyBorder="1"/>
    <xf numFmtId="167" fontId="6" fillId="2" borderId="3" xfId="0" applyNumberFormat="1" applyFont="1" applyFill="1" applyBorder="1"/>
    <xf numFmtId="164" fontId="4" fillId="0" borderId="2" xfId="0" applyNumberFormat="1" applyFont="1" applyFill="1" applyBorder="1" applyAlignment="1">
      <alignment horizontal="center"/>
    </xf>
    <xf numFmtId="0" fontId="7" fillId="0" borderId="2" xfId="0" applyFont="1" applyFill="1" applyBorder="1"/>
    <xf numFmtId="168" fontId="13" fillId="0" borderId="0" xfId="0" applyNumberFormat="1" applyFont="1" applyFill="1" applyBorder="1"/>
    <xf numFmtId="168" fontId="6" fillId="0" borderId="0" xfId="0" applyNumberFormat="1" applyFont="1" applyFill="1" applyBorder="1"/>
    <xf numFmtId="176" fontId="0" fillId="0" borderId="0" xfId="0" applyNumberFormat="1" applyFill="1"/>
    <xf numFmtId="0" fontId="3" fillId="0" borderId="0" xfId="0" applyFont="1" applyFill="1"/>
    <xf numFmtId="0" fontId="27" fillId="0" borderId="0" xfId="0" applyFont="1" applyFill="1"/>
    <xf numFmtId="165" fontId="0" fillId="0" borderId="0" xfId="0" applyNumberFormat="1" applyFill="1"/>
    <xf numFmtId="168" fontId="13" fillId="3" borderId="0" xfId="0" applyNumberFormat="1" applyFont="1" applyFill="1" applyAlignment="1">
      <alignment horizontal="right"/>
    </xf>
    <xf numFmtId="0" fontId="13" fillId="3" borderId="0" xfId="0" applyFont="1" applyFill="1" applyAlignment="1">
      <alignment horizontal="left" indent="2"/>
    </xf>
    <xf numFmtId="0" fontId="6" fillId="3" borderId="0" xfId="0" applyFont="1" applyFill="1"/>
    <xf numFmtId="167" fontId="23" fillId="0" borderId="0" xfId="12" applyNumberFormat="1" applyFont="1" applyFill="1" applyAlignment="1"/>
    <xf numFmtId="167" fontId="23" fillId="0" borderId="0" xfId="12" applyNumberFormat="1" applyFont="1" applyFill="1" applyBorder="1" applyAlignment="1"/>
    <xf numFmtId="0" fontId="17" fillId="5" borderId="0" xfId="0" applyFont="1" applyFill="1"/>
    <xf numFmtId="171" fontId="23" fillId="0" borderId="0" xfId="0" applyNumberFormat="1" applyFont="1" applyFill="1" applyAlignment="1"/>
    <xf numFmtId="171" fontId="6" fillId="0" borderId="0" xfId="12" quotePrefix="1" applyNumberFormat="1" applyFont="1" applyFill="1" applyAlignment="1"/>
    <xf numFmtId="171" fontId="6" fillId="0" borderId="0" xfId="0" applyNumberFormat="1" applyFont="1" applyFill="1" applyAlignment="1">
      <alignment horizontal="right"/>
    </xf>
    <xf numFmtId="171" fontId="6" fillId="0" borderId="0" xfId="12" quotePrefix="1" applyNumberFormat="1" applyFont="1" applyFill="1" applyAlignment="1">
      <alignment horizontal="right"/>
    </xf>
    <xf numFmtId="171" fontId="23" fillId="0" borderId="0" xfId="0" applyNumberFormat="1" applyFont="1" applyFill="1" applyAlignment="1">
      <alignment horizontal="right"/>
    </xf>
    <xf numFmtId="171" fontId="6" fillId="0" borderId="13" xfId="0" applyNumberFormat="1" applyFont="1" applyFill="1" applyBorder="1" applyAlignment="1"/>
    <xf numFmtId="171" fontId="6" fillId="0" borderId="13" xfId="0" applyNumberFormat="1" applyFont="1" applyFill="1" applyBorder="1" applyAlignment="1">
      <alignment horizontal="right"/>
    </xf>
    <xf numFmtId="171" fontId="23" fillId="0" borderId="13" xfId="0" applyNumberFormat="1" applyFont="1" applyFill="1" applyBorder="1" applyAlignment="1"/>
    <xf numFmtId="0" fontId="5" fillId="0" borderId="0" xfId="0" applyFont="1" applyFill="1"/>
    <xf numFmtId="168" fontId="23" fillId="0" borderId="0" xfId="0" applyNumberFormat="1" applyFont="1" applyFill="1"/>
    <xf numFmtId="168" fontId="31" fillId="0" borderId="0" xfId="12" applyNumberFormat="1" applyFont="1" applyFill="1" applyAlignment="1"/>
    <xf numFmtId="168" fontId="31" fillId="0" borderId="0" xfId="30" applyNumberFormat="1" applyFont="1" applyFill="1" applyAlignment="1"/>
    <xf numFmtId="167" fontId="6" fillId="0" borderId="2" xfId="12" applyNumberFormat="1" applyFont="1" applyFill="1" applyBorder="1" applyAlignment="1"/>
    <xf numFmtId="167" fontId="4" fillId="0" borderId="0" xfId="12" applyNumberFormat="1" applyFont="1" applyFill="1"/>
    <xf numFmtId="167" fontId="4" fillId="0" borderId="0" xfId="12" applyNumberFormat="1" applyFont="1" applyFill="1" applyBorder="1" applyAlignment="1"/>
    <xf numFmtId="167" fontId="6" fillId="0" borderId="0" xfId="0" applyNumberFormat="1" applyFont="1" applyFill="1" applyBorder="1" applyAlignment="1">
      <alignment horizontal="center"/>
    </xf>
    <xf numFmtId="175" fontId="6" fillId="0" borderId="0" xfId="12" applyNumberFormat="1" applyFont="1" applyFill="1" applyAlignment="1"/>
    <xf numFmtId="175" fontId="4" fillId="0" borderId="0" xfId="12" applyNumberFormat="1" applyFont="1" applyFill="1" applyBorder="1" applyAlignment="1"/>
    <xf numFmtId="167" fontId="4" fillId="0" borderId="7" xfId="12" applyNumberFormat="1" applyFont="1" applyFill="1" applyBorder="1" applyAlignment="1"/>
    <xf numFmtId="165" fontId="58" fillId="0" borderId="0" xfId="12" applyNumberFormat="1" applyFont="1" applyFill="1" applyBorder="1" applyAlignment="1">
      <alignment horizontal="right" wrapText="1"/>
    </xf>
    <xf numFmtId="165" fontId="4" fillId="0" borderId="0" xfId="12" applyNumberFormat="1" applyFont="1" applyFill="1" applyBorder="1" applyAlignment="1">
      <alignment horizontal="right" wrapText="1"/>
    </xf>
    <xf numFmtId="165" fontId="4" fillId="0" borderId="9" xfId="12" applyNumberFormat="1" applyFont="1" applyFill="1" applyBorder="1" applyAlignment="1">
      <alignment horizontal="right" wrapText="1"/>
    </xf>
    <xf numFmtId="165" fontId="4" fillId="0" borderId="16" xfId="12" applyNumberFormat="1" applyFont="1" applyFill="1" applyBorder="1" applyAlignment="1">
      <alignment horizontal="right" wrapText="1"/>
    </xf>
    <xf numFmtId="165" fontId="4" fillId="2" borderId="0" xfId="12" applyNumberFormat="1" applyFont="1" applyFill="1" applyBorder="1"/>
    <xf numFmtId="0" fontId="48" fillId="6" borderId="14" xfId="22" applyFont="1" applyFill="1" applyBorder="1" applyAlignment="1">
      <alignment vertical="center" wrapText="1"/>
    </xf>
    <xf numFmtId="167" fontId="23" fillId="0" borderId="0" xfId="12" applyNumberFormat="1" applyFont="1"/>
    <xf numFmtId="0" fontId="13" fillId="0" borderId="0" xfId="0" applyFont="1" applyFill="1" applyAlignment="1">
      <alignment horizontal="left" indent="1"/>
    </xf>
    <xf numFmtId="167" fontId="13" fillId="0" borderId="0" xfId="12" applyNumberFormat="1" applyFont="1" applyFill="1" applyBorder="1" applyAlignment="1">
      <alignment horizontal="right"/>
    </xf>
    <xf numFmtId="167" fontId="6" fillId="0" borderId="9" xfId="12" applyNumberFormat="1" applyFont="1" applyFill="1" applyBorder="1" applyAlignment="1">
      <alignment horizontal="right"/>
    </xf>
    <xf numFmtId="168" fontId="12" fillId="0" borderId="0" xfId="30" applyNumberFormat="1" applyFont="1" applyFill="1"/>
    <xf numFmtId="0" fontId="12" fillId="0" borderId="0" xfId="0" applyFont="1" applyFill="1" applyBorder="1" applyAlignment="1">
      <alignment horizontal="left" indent="2"/>
    </xf>
    <xf numFmtId="0" fontId="6" fillId="0" borderId="2" xfId="0" applyFont="1" applyFill="1" applyBorder="1" applyAlignment="1">
      <alignment horizontal="left" vertical="top" wrapText="1" indent="1"/>
    </xf>
    <xf numFmtId="165" fontId="23" fillId="0" borderId="2" xfId="12" applyNumberFormat="1" applyFont="1" applyFill="1" applyBorder="1" applyAlignment="1">
      <alignment horizontal="right" wrapText="1"/>
    </xf>
    <xf numFmtId="165" fontId="6" fillId="0" borderId="17" xfId="12" applyNumberFormat="1" applyFont="1" applyFill="1" applyBorder="1" applyAlignment="1">
      <alignment horizontal="right" wrapText="1"/>
    </xf>
    <xf numFmtId="165" fontId="6" fillId="0" borderId="2" xfId="12" applyNumberFormat="1" applyFont="1" applyFill="1" applyBorder="1" applyAlignment="1">
      <alignment horizontal="right" wrapText="1"/>
    </xf>
    <xf numFmtId="0" fontId="0" fillId="0" borderId="2" xfId="0" applyFill="1" applyBorder="1"/>
    <xf numFmtId="167" fontId="14" fillId="0" borderId="2" xfId="0" applyNumberFormat="1" applyFont="1" applyFill="1" applyBorder="1"/>
    <xf numFmtId="167" fontId="13" fillId="0" borderId="2" xfId="0" applyNumberFormat="1" applyFont="1" applyFill="1" applyBorder="1"/>
    <xf numFmtId="0" fontId="0" fillId="5" borderId="2" xfId="0" applyFill="1" applyBorder="1"/>
    <xf numFmtId="165" fontId="13" fillId="0" borderId="0" xfId="0" applyNumberFormat="1" applyFont="1" applyFill="1"/>
    <xf numFmtId="0" fontId="13" fillId="3" borderId="0" xfId="0" applyFont="1" applyFill="1" applyAlignment="1">
      <alignment horizontal="left" indent="1"/>
    </xf>
    <xf numFmtId="168" fontId="14" fillId="3" borderId="0" xfId="0" applyNumberFormat="1" applyFont="1" applyFill="1" applyAlignment="1">
      <alignment horizontal="right"/>
    </xf>
    <xf numFmtId="0" fontId="18" fillId="3" borderId="0" xfId="0" applyFont="1" applyFill="1" applyBorder="1" applyAlignment="1">
      <alignment horizontal="center"/>
    </xf>
    <xf numFmtId="167" fontId="4" fillId="0" borderId="0" xfId="0" applyNumberFormat="1" applyFont="1" applyFill="1"/>
    <xf numFmtId="167" fontId="23" fillId="0" borderId="0" xfId="0" applyNumberFormat="1" applyFont="1" applyFill="1" applyBorder="1"/>
    <xf numFmtId="167" fontId="4" fillId="0" borderId="0" xfId="0" applyNumberFormat="1" applyFont="1" applyFill="1" applyBorder="1"/>
    <xf numFmtId="175" fontId="4" fillId="0" borderId="12" xfId="12" applyNumberFormat="1" applyFont="1" applyFill="1" applyBorder="1" applyAlignment="1"/>
    <xf numFmtId="172" fontId="6" fillId="0" borderId="0" xfId="12" applyNumberFormat="1" applyFont="1" applyFill="1"/>
    <xf numFmtId="174" fontId="13" fillId="0" borderId="0" xfId="0" applyNumberFormat="1" applyFont="1" applyFill="1"/>
    <xf numFmtId="166" fontId="26" fillId="0" borderId="0" xfId="0" applyNumberFormat="1" applyFont="1" applyFill="1"/>
    <xf numFmtId="7" fontId="6" fillId="0" borderId="0" xfId="0" applyNumberFormat="1" applyFont="1" applyFill="1" applyAlignment="1">
      <alignment horizontal="right"/>
    </xf>
    <xf numFmtId="7" fontId="6" fillId="0" borderId="0" xfId="0" applyNumberFormat="1" applyFont="1" applyFill="1" applyBorder="1" applyAlignment="1">
      <alignment horizontal="right"/>
    </xf>
    <xf numFmtId="9" fontId="12" fillId="0" borderId="0" xfId="0" applyNumberFormat="1" applyFont="1" applyFill="1" applyAlignment="1">
      <alignment horizontal="left" indent="2"/>
    </xf>
    <xf numFmtId="174" fontId="12" fillId="2" borderId="0" xfId="0" applyNumberFormat="1" applyFont="1" applyFill="1" applyBorder="1" applyAlignment="1">
      <alignment horizontal="right"/>
    </xf>
    <xf numFmtId="167" fontId="13" fillId="0" borderId="0" xfId="12" applyNumberFormat="1" applyFont="1" applyFill="1"/>
    <xf numFmtId="0" fontId="42" fillId="0" borderId="0" xfId="0" applyFont="1" applyFill="1"/>
    <xf numFmtId="168" fontId="12" fillId="0" borderId="0" xfId="0" applyNumberFormat="1" applyFont="1" applyFill="1" applyAlignment="1">
      <alignment horizontal="right"/>
    </xf>
    <xf numFmtId="168" fontId="12" fillId="0" borderId="0" xfId="0" applyNumberFormat="1" applyFont="1" applyFill="1" applyBorder="1" applyAlignment="1">
      <alignment horizontal="right"/>
    </xf>
    <xf numFmtId="168" fontId="12" fillId="0" borderId="0" xfId="0" applyNumberFormat="1" applyFont="1" applyFill="1" applyBorder="1"/>
    <xf numFmtId="0" fontId="55" fillId="0" borderId="0" xfId="0" applyFont="1" applyFill="1" applyBorder="1"/>
    <xf numFmtId="165" fontId="8" fillId="0" borderId="0" xfId="12" applyNumberFormat="1" applyFont="1" applyFill="1" applyBorder="1" applyAlignment="1">
      <alignment horizontal="right" wrapText="1"/>
    </xf>
    <xf numFmtId="193" fontId="4" fillId="5" borderId="12" xfId="12" applyNumberFormat="1" applyFont="1" applyFill="1" applyBorder="1" applyAlignment="1"/>
    <xf numFmtId="167" fontId="23" fillId="0" borderId="0" xfId="0" applyNumberFormat="1" applyFont="1" applyFill="1"/>
    <xf numFmtId="176" fontId="13" fillId="0" borderId="0" xfId="16" applyNumberFormat="1" applyFont="1" applyFill="1"/>
    <xf numFmtId="43" fontId="6" fillId="0" borderId="0" xfId="12" applyFont="1" applyFill="1" applyAlignment="1"/>
    <xf numFmtId="0" fontId="12" fillId="0" borderId="0" xfId="0" applyFont="1" applyFill="1" applyBorder="1" applyAlignment="1">
      <alignment horizontal="left" indent="1"/>
    </xf>
    <xf numFmtId="171" fontId="6" fillId="0" borderId="0" xfId="0" applyNumberFormat="1" applyFont="1" applyFill="1" applyBorder="1" applyAlignment="1">
      <alignment horizontal="left" indent="1"/>
    </xf>
    <xf numFmtId="38" fontId="6" fillId="0" borderId="0" xfId="0" applyNumberFormat="1" applyFont="1" applyFill="1" applyBorder="1" applyAlignment="1">
      <alignment horizontal="left" indent="1"/>
    </xf>
    <xf numFmtId="38" fontId="6" fillId="0" borderId="0" xfId="0" applyNumberFormat="1" applyFont="1" applyFill="1" applyBorder="1"/>
    <xf numFmtId="38" fontId="24" fillId="0" borderId="0" xfId="0" applyNumberFormat="1" applyFont="1" applyFill="1" applyBorder="1"/>
    <xf numFmtId="0" fontId="27" fillId="0" borderId="0" xfId="0" applyFont="1" applyFill="1" applyBorder="1"/>
    <xf numFmtId="43" fontId="0" fillId="0" borderId="0" xfId="0" applyNumberFormat="1" applyFill="1"/>
    <xf numFmtId="0" fontId="6" fillId="0" borderId="0" xfId="0" applyFont="1" applyFill="1" applyBorder="1" applyAlignment="1">
      <alignment horizontal="left" indent="2"/>
    </xf>
    <xf numFmtId="165" fontId="27" fillId="0" borderId="0" xfId="0" applyNumberFormat="1" applyFont="1" applyFill="1"/>
    <xf numFmtId="165" fontId="23" fillId="0" borderId="0" xfId="12" applyNumberFormat="1" applyFont="1" applyFill="1" applyAlignment="1">
      <alignment horizontal="right"/>
    </xf>
    <xf numFmtId="9" fontId="29" fillId="0" borderId="0" xfId="0" applyNumberFormat="1" applyFont="1" applyFill="1" applyBorder="1" applyAlignment="1">
      <alignment horizontal="left" indent="1"/>
    </xf>
    <xf numFmtId="0" fontId="6" fillId="0" borderId="0" xfId="0" applyFont="1" applyFill="1" applyBorder="1" applyAlignment="1">
      <alignment horizontal="left" vertical="top" wrapText="1" indent="1"/>
    </xf>
    <xf numFmtId="174" fontId="12" fillId="0" borderId="0" xfId="0" applyNumberFormat="1" applyFont="1" applyFill="1" applyAlignment="1">
      <alignment horizontal="right"/>
    </xf>
    <xf numFmtId="174" fontId="12" fillId="0" borderId="0" xfId="0" applyNumberFormat="1" applyFont="1" applyFill="1" applyBorder="1" applyAlignment="1">
      <alignment horizontal="right"/>
    </xf>
    <xf numFmtId="165" fontId="4" fillId="0" borderId="0" xfId="12" applyNumberFormat="1" applyFont="1" applyFill="1" applyBorder="1"/>
    <xf numFmtId="174" fontId="31" fillId="0" borderId="0" xfId="0" applyNumberFormat="1" applyFont="1" applyFill="1" applyBorder="1" applyAlignment="1">
      <alignment horizontal="right"/>
    </xf>
    <xf numFmtId="174" fontId="13" fillId="3" borderId="0" xfId="0" applyNumberFormat="1" applyFont="1" applyFill="1" applyAlignment="1">
      <alignment horizontal="right"/>
    </xf>
    <xf numFmtId="171" fontId="0" fillId="0" borderId="0" xfId="0" applyNumberFormat="1" applyFill="1"/>
    <xf numFmtId="165" fontId="26" fillId="0" borderId="0" xfId="0" applyNumberFormat="1" applyFont="1" applyFill="1"/>
    <xf numFmtId="166" fontId="0" fillId="0" borderId="0" xfId="0" applyNumberFormat="1"/>
    <xf numFmtId="194" fontId="23" fillId="0" borderId="2" xfId="12" applyNumberFormat="1" applyFont="1" applyFill="1" applyBorder="1" applyAlignment="1">
      <alignment horizontal="right" wrapText="1"/>
    </xf>
    <xf numFmtId="167" fontId="23" fillId="0" borderId="0" xfId="28" applyNumberFormat="1" applyFont="1" applyFill="1" applyAlignment="1">
      <alignment horizontal="center"/>
    </xf>
    <xf numFmtId="169" fontId="14" fillId="0" borderId="0" xfId="0" applyNumberFormat="1" applyFont="1" applyFill="1" applyAlignment="1">
      <alignment horizontal="right"/>
    </xf>
    <xf numFmtId="165" fontId="23" fillId="0" borderId="0" xfId="12" applyNumberFormat="1" applyFont="1" applyFill="1" applyBorder="1" applyAlignment="1">
      <alignment horizontal="center" wrapText="1"/>
    </xf>
    <xf numFmtId="165" fontId="6" fillId="0" borderId="0" xfId="12" applyNumberFormat="1" applyFont="1" applyFill="1" applyBorder="1" applyAlignment="1">
      <alignment horizontal="center" wrapText="1"/>
    </xf>
    <xf numFmtId="175" fontId="4" fillId="0" borderId="0" xfId="12" applyNumberFormat="1" applyFont="1" applyFill="1" applyBorder="1" applyAlignment="1">
      <alignment horizontal="center"/>
    </xf>
    <xf numFmtId="0" fontId="13" fillId="3" borderId="0" xfId="0" applyFont="1" applyFill="1" applyAlignment="1">
      <alignment horizontal="left"/>
    </xf>
    <xf numFmtId="0" fontId="18" fillId="0" borderId="0" xfId="0" applyFont="1" applyFill="1" applyBorder="1" applyAlignment="1">
      <alignment horizontal="center"/>
    </xf>
    <xf numFmtId="9" fontId="12" fillId="2" borderId="0" xfId="0" applyNumberFormat="1" applyFont="1" applyFill="1" applyBorder="1" applyAlignment="1">
      <alignment horizontal="left" indent="1"/>
    </xf>
    <xf numFmtId="165" fontId="6" fillId="2" borderId="0" xfId="12" applyNumberFormat="1" applyFont="1" applyFill="1" applyBorder="1" applyAlignment="1"/>
    <xf numFmtId="168" fontId="13" fillId="0" borderId="0" xfId="0" applyNumberFormat="1" applyFont="1" applyFill="1"/>
    <xf numFmtId="0" fontId="18" fillId="0" borderId="0" xfId="0" applyFont="1" applyFill="1"/>
    <xf numFmtId="0" fontId="6" fillId="0" borderId="0" xfId="0" applyFont="1" applyFill="1" applyAlignment="1">
      <alignment horizontal="left" vertical="top" wrapText="1" indent="2"/>
    </xf>
    <xf numFmtId="175" fontId="30" fillId="0" borderId="0" xfId="12" applyNumberFormat="1" applyFont="1" applyFill="1" applyBorder="1" applyAlignment="1"/>
    <xf numFmtId="175" fontId="23" fillId="0" borderId="0" xfId="12" applyNumberFormat="1" applyFont="1" applyFill="1" applyBorder="1" applyAlignment="1"/>
    <xf numFmtId="43" fontId="6" fillId="0" borderId="0" xfId="12" applyNumberFormat="1" applyFont="1" applyFill="1" applyBorder="1" applyAlignment="1">
      <alignment horizontal="center" wrapText="1"/>
    </xf>
    <xf numFmtId="165" fontId="4" fillId="0" borderId="7" xfId="12" applyNumberFormat="1" applyFont="1" applyFill="1" applyBorder="1" applyAlignment="1">
      <alignment horizontal="right" wrapText="1"/>
    </xf>
    <xf numFmtId="0" fontId="3" fillId="0" borderId="0" xfId="0" applyFont="1"/>
    <xf numFmtId="0" fontId="3" fillId="0" borderId="2" xfId="0" applyFont="1" applyBorder="1"/>
    <xf numFmtId="0" fontId="59" fillId="5" borderId="0" xfId="22" applyFont="1" applyFill="1"/>
    <xf numFmtId="0" fontId="3" fillId="0" borderId="9" xfId="0" applyFont="1" applyFill="1" applyBorder="1"/>
    <xf numFmtId="0" fontId="3" fillId="0" borderId="17" xfId="0" applyFont="1" applyFill="1" applyBorder="1"/>
    <xf numFmtId="0" fontId="3" fillId="0" borderId="0" xfId="0" applyFont="1" applyBorder="1"/>
    <xf numFmtId="166" fontId="3" fillId="0" borderId="0" xfId="0" applyNumberFormat="1" applyFont="1" applyFill="1"/>
    <xf numFmtId="43" fontId="3" fillId="0" borderId="0" xfId="0" applyNumberFormat="1" applyFont="1"/>
    <xf numFmtId="7" fontId="4" fillId="0" borderId="5" xfId="28" applyNumberFormat="1" applyFont="1" applyFill="1" applyBorder="1"/>
    <xf numFmtId="168" fontId="6" fillId="0" borderId="0" xfId="0" applyNumberFormat="1" applyFont="1"/>
    <xf numFmtId="0" fontId="12" fillId="0" borderId="0" xfId="0" applyFont="1" applyAlignment="1">
      <alignment horizontal="left" indent="1"/>
    </xf>
    <xf numFmtId="168" fontId="13" fillId="0" borderId="0" xfId="0" applyNumberFormat="1" applyFont="1"/>
    <xf numFmtId="165" fontId="30" fillId="0" borderId="0" xfId="12" applyNumberFormat="1" applyFont="1" applyFill="1"/>
    <xf numFmtId="165" fontId="64" fillId="0" borderId="0" xfId="12" applyNumberFormat="1" applyFont="1" applyFill="1" applyBorder="1" applyAlignment="1">
      <alignment horizontal="right" wrapText="1"/>
    </xf>
    <xf numFmtId="9" fontId="12" fillId="0" borderId="0" xfId="0" applyNumberFormat="1" applyFont="1" applyFill="1" applyBorder="1" applyAlignment="1">
      <alignment horizontal="left" indent="2"/>
    </xf>
    <xf numFmtId="9" fontId="6" fillId="0" borderId="0" xfId="30" applyFont="1" applyFill="1" applyBorder="1"/>
    <xf numFmtId="176" fontId="6" fillId="0" borderId="0" xfId="12" applyNumberFormat="1" applyFont="1" applyFill="1" applyBorder="1"/>
    <xf numFmtId="0" fontId="4" fillId="0" borderId="0" xfId="0" applyFont="1" applyFill="1" applyBorder="1" applyAlignment="1">
      <alignment horizontal="left" vertical="top" wrapText="1"/>
    </xf>
    <xf numFmtId="176" fontId="13" fillId="0" borderId="0" xfId="0" applyNumberFormat="1" applyFont="1" applyFill="1"/>
    <xf numFmtId="0" fontId="43" fillId="0" borderId="0" xfId="0" applyFont="1" applyFill="1" applyBorder="1"/>
    <xf numFmtId="0" fontId="4" fillId="2" borderId="0" xfId="0" applyFont="1" applyFill="1" applyBorder="1" applyAlignment="1">
      <alignment horizontal="left" vertical="top" wrapText="1"/>
    </xf>
    <xf numFmtId="167" fontId="6" fillId="0" borderId="0" xfId="12" applyNumberFormat="1" applyFont="1" applyFill="1" applyBorder="1" applyAlignment="1">
      <alignment horizontal="right"/>
    </xf>
    <xf numFmtId="167" fontId="13" fillId="0" borderId="0" xfId="0" applyNumberFormat="1" applyFont="1" applyFill="1" applyBorder="1"/>
    <xf numFmtId="165" fontId="29" fillId="2" borderId="0" xfId="12" applyNumberFormat="1" applyFont="1" applyFill="1" applyBorder="1"/>
    <xf numFmtId="166" fontId="26" fillId="0" borderId="0" xfId="0" applyNumberFormat="1" applyFont="1" applyFill="1" applyBorder="1"/>
    <xf numFmtId="165" fontId="0" fillId="0" borderId="0" xfId="0" applyNumberFormat="1" applyFill="1" applyBorder="1"/>
    <xf numFmtId="166" fontId="0" fillId="0" borderId="0" xfId="0" applyNumberFormat="1" applyFill="1" applyBorder="1"/>
    <xf numFmtId="176" fontId="4" fillId="0" borderId="0" xfId="12" applyNumberFormat="1" applyFont="1" applyFill="1"/>
    <xf numFmtId="176" fontId="23" fillId="0" borderId="0" xfId="12" applyNumberFormat="1" applyFont="1" applyFill="1"/>
    <xf numFmtId="176" fontId="6" fillId="0" borderId="0" xfId="12" applyNumberFormat="1" applyFont="1" applyFill="1"/>
    <xf numFmtId="2" fontId="13" fillId="7" borderId="0" xfId="0" applyNumberFormat="1" applyFont="1" applyFill="1"/>
    <xf numFmtId="0" fontId="30" fillId="2" borderId="0" xfId="0" applyFont="1" applyFill="1"/>
    <xf numFmtId="9" fontId="30" fillId="2" borderId="0" xfId="0" applyNumberFormat="1" applyFont="1" applyFill="1"/>
    <xf numFmtId="7" fontId="26" fillId="8" borderId="10" xfId="0" applyNumberFormat="1" applyFont="1" applyFill="1" applyBorder="1"/>
    <xf numFmtId="176" fontId="13" fillId="0" borderId="0" xfId="0" applyNumberFormat="1" applyFont="1" applyFill="1" applyBorder="1" applyAlignment="1">
      <alignment horizontal="center"/>
    </xf>
    <xf numFmtId="167" fontId="3" fillId="0" borderId="0" xfId="0" applyNumberFormat="1" applyFont="1"/>
    <xf numFmtId="0" fontId="29" fillId="2" borderId="2" xfId="0" applyFont="1" applyFill="1" applyBorder="1"/>
    <xf numFmtId="165" fontId="29" fillId="2" borderId="2" xfId="12" applyNumberFormat="1" applyFont="1" applyFill="1" applyBorder="1"/>
    <xf numFmtId="167" fontId="24" fillId="2" borderId="2" xfId="0" applyNumberFormat="1" applyFont="1" applyFill="1" applyBorder="1"/>
    <xf numFmtId="167" fontId="6" fillId="2" borderId="2" xfId="0" applyNumberFormat="1" applyFont="1" applyFill="1" applyBorder="1"/>
    <xf numFmtId="0" fontId="6" fillId="5" borderId="2" xfId="0" applyFont="1" applyFill="1" applyBorder="1"/>
    <xf numFmtId="165" fontId="13" fillId="0" borderId="2" xfId="12" applyNumberFormat="1" applyFont="1" applyBorder="1"/>
    <xf numFmtId="174" fontId="6" fillId="5" borderId="2" xfId="0" applyNumberFormat="1" applyFont="1" applyFill="1" applyBorder="1" applyAlignment="1"/>
    <xf numFmtId="174" fontId="6" fillId="0" borderId="2" xfId="0" applyNumberFormat="1" applyFont="1" applyFill="1" applyBorder="1" applyAlignment="1"/>
    <xf numFmtId="43" fontId="0" fillId="0" borderId="0" xfId="0" applyNumberFormat="1"/>
    <xf numFmtId="167" fontId="30" fillId="0" borderId="0" xfId="12" applyNumberFormat="1" applyFont="1" applyFill="1" applyAlignment="1"/>
    <xf numFmtId="168" fontId="65" fillId="0" borderId="0" xfId="30" applyNumberFormat="1" applyFont="1" applyFill="1"/>
    <xf numFmtId="168" fontId="65" fillId="0" borderId="0" xfId="0" applyNumberFormat="1" applyFont="1" applyFill="1" applyAlignment="1">
      <alignment horizontal="right"/>
    </xf>
    <xf numFmtId="168" fontId="65" fillId="0" borderId="0" xfId="0" applyNumberFormat="1" applyFont="1" applyFill="1"/>
    <xf numFmtId="9" fontId="65" fillId="0" borderId="0" xfId="0" applyNumberFormat="1" applyFont="1" applyFill="1" applyAlignment="1">
      <alignment horizontal="right"/>
    </xf>
    <xf numFmtId="2" fontId="68" fillId="0" borderId="9" xfId="0" applyNumberFormat="1" applyFont="1" applyFill="1" applyBorder="1"/>
    <xf numFmtId="1" fontId="0" fillId="0" borderId="0" xfId="0" applyNumberFormat="1"/>
    <xf numFmtId="168" fontId="0" fillId="0" borderId="0" xfId="30" applyNumberFormat="1" applyFont="1"/>
    <xf numFmtId="0" fontId="28" fillId="0" borderId="0" xfId="0" applyFont="1" applyBorder="1"/>
    <xf numFmtId="9" fontId="6" fillId="0" borderId="0" xfId="30" applyNumberFormat="1" applyFont="1" applyFill="1" applyBorder="1" applyAlignment="1">
      <alignment horizontal="right" wrapText="1"/>
    </xf>
    <xf numFmtId="9" fontId="0" fillId="0" borderId="0" xfId="30" applyFont="1"/>
    <xf numFmtId="176" fontId="5" fillId="0" borderId="0" xfId="0" applyNumberFormat="1" applyFont="1" applyFill="1" applyBorder="1"/>
    <xf numFmtId="7" fontId="4" fillId="0" borderId="0" xfId="0" applyNumberFormat="1" applyFont="1" applyFill="1" applyBorder="1" applyAlignment="1">
      <alignment horizontal="center"/>
    </xf>
    <xf numFmtId="5" fontId="56" fillId="0" borderId="0" xfId="0" applyNumberFormat="1" applyFont="1" applyFill="1" applyBorder="1"/>
    <xf numFmtId="164" fontId="7" fillId="6" borderId="0" xfId="0" applyNumberFormat="1" applyFont="1" applyFill="1" applyBorder="1" applyAlignment="1">
      <alignment horizontal="center"/>
    </xf>
    <xf numFmtId="0" fontId="7" fillId="5" borderId="0" xfId="0" applyFont="1" applyFill="1" applyBorder="1"/>
    <xf numFmtId="164" fontId="4" fillId="0" borderId="0" xfId="0" applyNumberFormat="1" applyFont="1" applyFill="1" applyBorder="1" applyAlignment="1">
      <alignment horizontal="center"/>
    </xf>
    <xf numFmtId="0" fontId="25" fillId="0" borderId="0" xfId="0" applyFont="1" applyFill="1" applyBorder="1"/>
    <xf numFmtId="165" fontId="23" fillId="0" borderId="0" xfId="12" applyNumberFormat="1" applyFont="1" applyFill="1" applyBorder="1"/>
    <xf numFmtId="165" fontId="14" fillId="0" borderId="0" xfId="0" applyNumberFormat="1" applyFont="1" applyFill="1" applyBorder="1" applyAlignment="1">
      <alignment wrapText="1"/>
    </xf>
    <xf numFmtId="165" fontId="23" fillId="0" borderId="9" xfId="12" applyNumberFormat="1" applyFont="1" applyFill="1" applyBorder="1" applyAlignment="1">
      <alignment horizontal="right" wrapText="1"/>
    </xf>
    <xf numFmtId="43" fontId="6" fillId="0" borderId="0" xfId="12" applyNumberFormat="1" applyFont="1" applyFill="1"/>
    <xf numFmtId="43" fontId="4" fillId="0" borderId="0" xfId="12" applyNumberFormat="1" applyFont="1" applyFill="1"/>
    <xf numFmtId="43" fontId="6" fillId="0" borderId="0" xfId="12" applyNumberFormat="1" applyFont="1" applyFill="1" applyBorder="1"/>
    <xf numFmtId="9" fontId="6" fillId="0" borderId="0" xfId="0" applyNumberFormat="1" applyFont="1" applyFill="1" applyBorder="1" applyAlignment="1">
      <alignment horizontal="center"/>
    </xf>
    <xf numFmtId="176" fontId="0" fillId="0" borderId="0" xfId="0" applyNumberFormat="1" applyFill="1" applyBorder="1"/>
    <xf numFmtId="168" fontId="0" fillId="0" borderId="0" xfId="0" applyNumberFormat="1" applyFill="1" applyBorder="1"/>
    <xf numFmtId="9" fontId="4" fillId="0" borderId="0" xfId="30" applyFont="1" applyFill="1"/>
    <xf numFmtId="167" fontId="14" fillId="0" borderId="0" xfId="0" applyNumberFormat="1" applyFont="1" applyFill="1" applyAlignment="1">
      <alignment horizontal="right"/>
    </xf>
    <xf numFmtId="165" fontId="71" fillId="0" borderId="0" xfId="12" applyNumberFormat="1" applyFont="1" applyFill="1"/>
    <xf numFmtId="176" fontId="71" fillId="0" borderId="0" xfId="12" applyNumberFormat="1" applyFont="1" applyFill="1"/>
    <xf numFmtId="176" fontId="71" fillId="0" borderId="0" xfId="12" applyNumberFormat="1" applyFont="1" applyFill="1" applyBorder="1"/>
    <xf numFmtId="165" fontId="71" fillId="0" borderId="0" xfId="12" applyNumberFormat="1" applyFont="1" applyFill="1" applyBorder="1"/>
    <xf numFmtId="165" fontId="6" fillId="0" borderId="0" xfId="12" applyNumberFormat="1" applyFont="1" applyFill="1" applyBorder="1" applyAlignment="1">
      <alignment horizontal="left" indent="1"/>
    </xf>
    <xf numFmtId="175" fontId="23" fillId="0" borderId="0" xfId="12" applyNumberFormat="1" applyFont="1" applyFill="1" applyAlignment="1"/>
    <xf numFmtId="167" fontId="23" fillId="0" borderId="2" xfId="12" applyNumberFormat="1" applyFont="1" applyFill="1" applyBorder="1" applyAlignment="1"/>
    <xf numFmtId="5" fontId="6" fillId="0" borderId="0" xfId="0" applyNumberFormat="1" applyFont="1" applyFill="1"/>
    <xf numFmtId="176" fontId="63" fillId="0" borderId="0" xfId="12" applyNumberFormat="1" applyFont="1" applyFill="1"/>
    <xf numFmtId="165" fontId="56" fillId="0" borderId="0" xfId="12" applyNumberFormat="1" applyFont="1" applyFill="1"/>
    <xf numFmtId="1" fontId="29" fillId="5" borderId="0" xfId="0" applyNumberFormat="1" applyFont="1" applyFill="1" applyAlignment="1">
      <alignment horizontal="center"/>
    </xf>
    <xf numFmtId="168" fontId="66" fillId="0" borderId="0" xfId="0" applyNumberFormat="1" applyFont="1" applyFill="1"/>
    <xf numFmtId="168" fontId="13" fillId="0" borderId="9" xfId="0" applyNumberFormat="1" applyFont="1" applyFill="1" applyBorder="1"/>
    <xf numFmtId="165" fontId="6" fillId="0" borderId="0" xfId="12" quotePrefix="1" applyNumberFormat="1" applyFont="1" applyFill="1" applyBorder="1" applyAlignment="1">
      <alignment horizontal="right" wrapText="1"/>
    </xf>
    <xf numFmtId="168" fontId="34" fillId="0" borderId="0" xfId="30" applyNumberFormat="1" applyFont="1" applyFill="1" applyAlignment="1">
      <alignment horizontal="right"/>
    </xf>
    <xf numFmtId="167" fontId="13" fillId="0" borderId="0" xfId="0" applyNumberFormat="1" applyFont="1" applyFill="1" applyAlignment="1">
      <alignment horizontal="right"/>
    </xf>
    <xf numFmtId="174" fontId="65" fillId="0" borderId="0" xfId="0" applyNumberFormat="1" applyFont="1" applyFill="1" applyBorder="1" applyAlignment="1">
      <alignment horizontal="right"/>
    </xf>
    <xf numFmtId="0" fontId="34" fillId="9" borderId="0" xfId="0" applyFont="1" applyFill="1" applyAlignment="1">
      <alignment horizontal="left" indent="1"/>
    </xf>
    <xf numFmtId="0" fontId="0" fillId="9" borderId="0" xfId="0" applyFill="1"/>
    <xf numFmtId="0" fontId="0" fillId="9" borderId="0" xfId="0" applyFill="1" applyBorder="1"/>
    <xf numFmtId="0" fontId="3" fillId="9" borderId="9" xfId="0" applyFont="1" applyFill="1" applyBorder="1"/>
    <xf numFmtId="7" fontId="6" fillId="9" borderId="0" xfId="0" applyNumberFormat="1" applyFont="1" applyFill="1"/>
    <xf numFmtId="168" fontId="61" fillId="9" borderId="0" xfId="30" applyNumberFormat="1" applyFont="1" applyFill="1" applyBorder="1" applyAlignment="1">
      <alignment horizontal="right"/>
    </xf>
    <xf numFmtId="168" fontId="13" fillId="9" borderId="9" xfId="30" applyNumberFormat="1" applyFont="1" applyFill="1" applyBorder="1" applyAlignment="1">
      <alignment horizontal="right"/>
    </xf>
    <xf numFmtId="0" fontId="3" fillId="9" borderId="0" xfId="0" applyFont="1" applyFill="1" applyBorder="1"/>
    <xf numFmtId="174" fontId="31" fillId="9" borderId="0" xfId="0" applyNumberFormat="1" applyFont="1" applyFill="1" applyAlignment="1">
      <alignment horizontal="right"/>
    </xf>
    <xf numFmtId="0" fontId="34" fillId="9" borderId="0" xfId="0" applyFont="1" applyFill="1" applyAlignment="1">
      <alignment horizontal="left" indent="2"/>
    </xf>
    <xf numFmtId="174" fontId="6" fillId="9" borderId="0" xfId="0" applyNumberFormat="1" applyFont="1" applyFill="1" applyBorder="1" applyAlignment="1"/>
    <xf numFmtId="168" fontId="13" fillId="9" borderId="0" xfId="30" applyNumberFormat="1" applyFont="1" applyFill="1" applyBorder="1" applyAlignment="1">
      <alignment horizontal="right"/>
    </xf>
    <xf numFmtId="174" fontId="6" fillId="9" borderId="0" xfId="0" applyNumberFormat="1" applyFont="1" applyFill="1" applyBorder="1" applyAlignment="1">
      <alignment horizontal="right"/>
    </xf>
    <xf numFmtId="168" fontId="13" fillId="9" borderId="0" xfId="0" applyNumberFormat="1" applyFont="1" applyFill="1" applyBorder="1" applyAlignment="1">
      <alignment horizontal="right"/>
    </xf>
    <xf numFmtId="168" fontId="14" fillId="9" borderId="0" xfId="30" applyNumberFormat="1" applyFont="1" applyFill="1" applyBorder="1" applyAlignment="1">
      <alignment horizontal="right"/>
    </xf>
    <xf numFmtId="168" fontId="72" fillId="9" borderId="0" xfId="30" applyNumberFormat="1" applyFont="1" applyFill="1" applyBorder="1" applyAlignment="1">
      <alignment horizontal="right"/>
    </xf>
    <xf numFmtId="167" fontId="6" fillId="9" borderId="0" xfId="0" applyNumberFormat="1" applyFont="1" applyFill="1" applyBorder="1"/>
    <xf numFmtId="174" fontId="6" fillId="9" borderId="0" xfId="0" applyNumberFormat="1" applyFont="1" applyFill="1"/>
    <xf numFmtId="179" fontId="56" fillId="0" borderId="0" xfId="28" applyNumberFormat="1" applyFont="1" applyFill="1" applyBorder="1"/>
    <xf numFmtId="167" fontId="23" fillId="0" borderId="0" xfId="0" applyNumberFormat="1" applyFont="1" applyFill="1" applyAlignment="1">
      <alignment horizontal="right"/>
    </xf>
    <xf numFmtId="175" fontId="13" fillId="0" borderId="0" xfId="12" applyNumberFormat="1" applyFont="1" applyFill="1"/>
    <xf numFmtId="175" fontId="4" fillId="5" borderId="7" xfId="12" applyNumberFormat="1" applyFont="1" applyFill="1" applyBorder="1" applyAlignment="1"/>
    <xf numFmtId="175" fontId="13" fillId="0" borderId="0" xfId="12" applyNumberFormat="1" applyFont="1"/>
    <xf numFmtId="175" fontId="13" fillId="0" borderId="2" xfId="12" applyNumberFormat="1" applyFont="1" applyBorder="1"/>
    <xf numFmtId="0" fontId="67" fillId="0" borderId="0" xfId="0" applyFont="1" applyFill="1"/>
    <xf numFmtId="170" fontId="67" fillId="0" borderId="0" xfId="0" applyNumberFormat="1" applyFont="1" applyFill="1"/>
    <xf numFmtId="0" fontId="69" fillId="0" borderId="0" xfId="0" applyFont="1" applyFill="1"/>
    <xf numFmtId="166" fontId="73" fillId="0" borderId="0" xfId="0" applyNumberFormat="1" applyFont="1"/>
    <xf numFmtId="165" fontId="13" fillId="0" borderId="2" xfId="12" applyNumberFormat="1" applyFont="1" applyFill="1" applyBorder="1"/>
    <xf numFmtId="166" fontId="13" fillId="0" borderId="0" xfId="12" applyNumberFormat="1" applyFont="1" applyFill="1"/>
    <xf numFmtId="166" fontId="74" fillId="0" borderId="0" xfId="12" applyNumberFormat="1" applyFont="1" applyFill="1"/>
    <xf numFmtId="43" fontId="26" fillId="2" borderId="3" xfId="0" applyNumberFormat="1" applyFont="1" applyFill="1" applyBorder="1"/>
    <xf numFmtId="43" fontId="6" fillId="2" borderId="3" xfId="0" applyNumberFormat="1" applyFont="1" applyFill="1" applyBorder="1"/>
    <xf numFmtId="0" fontId="4" fillId="0" borderId="2" xfId="0" applyFont="1" applyFill="1" applyBorder="1" applyAlignment="1">
      <alignment horizontal="center"/>
    </xf>
    <xf numFmtId="9" fontId="27" fillId="0" borderId="0" xfId="30" applyFont="1" applyFill="1"/>
    <xf numFmtId="43" fontId="23" fillId="0" borderId="0" xfId="12" applyFont="1" applyFill="1" applyAlignment="1"/>
    <xf numFmtId="168" fontId="72" fillId="0" borderId="0" xfId="0" applyNumberFormat="1" applyFont="1" applyFill="1"/>
    <xf numFmtId="5" fontId="4" fillId="0" borderId="12" xfId="12" applyNumberFormat="1" applyFont="1" applyFill="1" applyBorder="1" applyAlignment="1"/>
    <xf numFmtId="5" fontId="6" fillId="0" borderId="0" xfId="12" applyNumberFormat="1" applyFont="1" applyFill="1" applyAlignment="1"/>
    <xf numFmtId="5" fontId="4" fillId="0" borderId="0" xfId="0" applyNumberFormat="1" applyFont="1" applyFill="1" applyBorder="1" applyAlignment="1">
      <alignment horizontal="center"/>
    </xf>
    <xf numFmtId="0" fontId="13" fillId="0" borderId="0" xfId="0" applyFont="1" applyFill="1" applyAlignment="1">
      <alignment horizontal="left" vertical="top" wrapText="1" indent="1"/>
    </xf>
    <xf numFmtId="165" fontId="34" fillId="0" borderId="0" xfId="12" applyNumberFormat="1" applyFont="1" applyFill="1" applyBorder="1" applyAlignment="1"/>
    <xf numFmtId="168" fontId="6" fillId="0" borderId="0" xfId="0" applyNumberFormat="1" applyFont="1" applyFill="1" applyAlignment="1">
      <alignment horizontal="right"/>
    </xf>
    <xf numFmtId="43" fontId="0" fillId="0" borderId="0" xfId="0" applyNumberFormat="1" applyFill="1" applyBorder="1"/>
    <xf numFmtId="165" fontId="0" fillId="0" borderId="0" xfId="0" applyNumberFormat="1"/>
    <xf numFmtId="198" fontId="12" fillId="0" borderId="0" xfId="0" applyNumberFormat="1" applyFont="1" applyFill="1" applyAlignment="1">
      <alignment horizontal="right"/>
    </xf>
    <xf numFmtId="9" fontId="12" fillId="0" borderId="0" xfId="0" applyNumberFormat="1" applyFont="1" applyFill="1" applyAlignment="1">
      <alignment horizontal="left" indent="3"/>
    </xf>
    <xf numFmtId="174" fontId="75" fillId="0" borderId="0" xfId="0" applyNumberFormat="1" applyFont="1" applyFill="1" applyAlignment="1">
      <alignment horizontal="right"/>
    </xf>
    <xf numFmtId="198" fontId="6" fillId="0" borderId="0" xfId="12" applyNumberFormat="1" applyFont="1" applyFill="1" applyBorder="1" applyAlignment="1"/>
    <xf numFmtId="174" fontId="60" fillId="0" borderId="0" xfId="0" applyNumberFormat="1" applyFont="1" applyFill="1" applyBorder="1" applyAlignment="1">
      <alignment horizontal="right"/>
    </xf>
    <xf numFmtId="174" fontId="76" fillId="0" borderId="0" xfId="0" applyNumberFormat="1" applyFont="1" applyFill="1" applyAlignment="1">
      <alignment horizontal="right"/>
    </xf>
    <xf numFmtId="200" fontId="0" fillId="0" borderId="0" xfId="0" applyNumberFormat="1" applyFill="1"/>
    <xf numFmtId="175" fontId="12" fillId="0" borderId="2" xfId="28" applyNumberFormat="1" applyFont="1" applyBorder="1" applyAlignment="1">
      <alignment horizontal="left" indent="2"/>
    </xf>
    <xf numFmtId="0" fontId="6" fillId="0" borderId="0" xfId="27" quotePrefix="1" applyFont="1" applyBorder="1" applyAlignment="1" applyProtection="1">
      <alignment horizontal="left" indent="1"/>
      <protection locked="0"/>
    </xf>
    <xf numFmtId="167" fontId="6" fillId="0" borderId="0" xfId="28" applyNumberFormat="1" applyFont="1" applyFill="1" applyBorder="1" applyAlignment="1">
      <alignment horizontal="center"/>
    </xf>
    <xf numFmtId="175" fontId="6" fillId="0" borderId="1" xfId="28" applyNumberFormat="1" applyFont="1" applyBorder="1"/>
    <xf numFmtId="43" fontId="23" fillId="0" borderId="15" xfId="12" applyNumberFormat="1" applyFont="1" applyFill="1" applyBorder="1"/>
    <xf numFmtId="175" fontId="4" fillId="0" borderId="1" xfId="28" applyNumberFormat="1" applyFont="1" applyBorder="1" applyAlignment="1">
      <alignment horizontal="left" indent="2"/>
    </xf>
    <xf numFmtId="168" fontId="4" fillId="0" borderId="15" xfId="28" applyNumberFormat="1" applyFont="1" applyFill="1" applyBorder="1"/>
    <xf numFmtId="168" fontId="6" fillId="0" borderId="15" xfId="28" applyNumberFormat="1" applyFont="1" applyFill="1" applyBorder="1"/>
    <xf numFmtId="168" fontId="23" fillId="0" borderId="15" xfId="28" applyNumberFormat="1" applyFont="1" applyFill="1" applyBorder="1"/>
    <xf numFmtId="175" fontId="6" fillId="0" borderId="4" xfId="28" applyNumberFormat="1" applyFont="1" applyBorder="1"/>
    <xf numFmtId="175" fontId="6" fillId="0" borderId="19" xfId="28" applyNumberFormat="1" applyFont="1" applyBorder="1"/>
    <xf numFmtId="0" fontId="6" fillId="5" borderId="0" xfId="0" applyFont="1" applyFill="1"/>
    <xf numFmtId="9" fontId="0" fillId="0" borderId="0" xfId="0" applyNumberFormat="1"/>
    <xf numFmtId="1" fontId="67" fillId="0" borderId="0" xfId="0" applyNumberFormat="1" applyFont="1" applyFill="1"/>
    <xf numFmtId="167" fontId="23" fillId="0" borderId="0" xfId="12" applyNumberFormat="1" applyFont="1" applyFill="1"/>
    <xf numFmtId="43" fontId="26" fillId="2" borderId="3" xfId="12" applyFont="1" applyFill="1" applyBorder="1"/>
    <xf numFmtId="43" fontId="13" fillId="0" borderId="0" xfId="0" applyNumberFormat="1" applyFont="1" applyFill="1"/>
    <xf numFmtId="170" fontId="69" fillId="0" borderId="0" xfId="0" applyNumberFormat="1" applyFont="1" applyFill="1"/>
    <xf numFmtId="1" fontId="69" fillId="0" borderId="0" xfId="0" applyNumberFormat="1" applyFont="1" applyFill="1"/>
    <xf numFmtId="10" fontId="77" fillId="0" borderId="0" xfId="30" applyNumberFormat="1" applyFont="1" applyFill="1" applyBorder="1"/>
    <xf numFmtId="9" fontId="12" fillId="9" borderId="0" xfId="0" applyNumberFormat="1" applyFont="1" applyFill="1" applyBorder="1" applyAlignment="1">
      <alignment horizontal="left" indent="2"/>
    </xf>
    <xf numFmtId="174" fontId="12" fillId="9" borderId="0" xfId="0" applyNumberFormat="1" applyFont="1" applyFill="1" applyBorder="1" applyAlignment="1">
      <alignment horizontal="right"/>
    </xf>
    <xf numFmtId="167" fontId="6" fillId="9" borderId="0" xfId="12" applyNumberFormat="1" applyFont="1" applyFill="1" applyBorder="1" applyAlignment="1"/>
    <xf numFmtId="0" fontId="29" fillId="9" borderId="0" xfId="0" applyFont="1" applyFill="1" applyBorder="1" applyAlignment="1">
      <alignment horizontal="left" indent="2"/>
    </xf>
    <xf numFmtId="174" fontId="6" fillId="9" borderId="0" xfId="0" applyNumberFormat="1" applyFont="1" applyFill="1" applyBorder="1"/>
    <xf numFmtId="174" fontId="63" fillId="9" borderId="0" xfId="0" applyNumberFormat="1" applyFont="1" applyFill="1" applyBorder="1"/>
    <xf numFmtId="0" fontId="4" fillId="9" borderId="0" xfId="0" applyFont="1" applyFill="1" applyBorder="1" applyAlignment="1">
      <alignment horizontal="left" vertical="top" wrapText="1"/>
    </xf>
    <xf numFmtId="165" fontId="64" fillId="9" borderId="0" xfId="12" applyNumberFormat="1" applyFont="1" applyFill="1" applyBorder="1"/>
    <xf numFmtId="165" fontId="4" fillId="9" borderId="0" xfId="12" applyNumberFormat="1" applyFont="1" applyFill="1" applyBorder="1"/>
    <xf numFmtId="9" fontId="12" fillId="9" borderId="0" xfId="0" applyNumberFormat="1" applyFont="1" applyFill="1" applyBorder="1" applyAlignment="1">
      <alignment horizontal="left" indent="1"/>
    </xf>
    <xf numFmtId="174" fontId="31" fillId="9" borderId="0" xfId="0" applyNumberFormat="1" applyFont="1" applyFill="1" applyBorder="1" applyAlignment="1">
      <alignment horizontal="right"/>
    </xf>
    <xf numFmtId="0" fontId="12" fillId="9" borderId="0" xfId="0" applyFont="1" applyFill="1" applyBorder="1" applyAlignment="1">
      <alignment horizontal="left" indent="2"/>
    </xf>
    <xf numFmtId="174" fontId="60" fillId="9" borderId="0" xfId="0" applyNumberFormat="1" applyFont="1" applyFill="1" applyBorder="1" applyAlignment="1">
      <alignment horizontal="right"/>
    </xf>
    <xf numFmtId="174" fontId="12" fillId="9" borderId="0" xfId="0" applyNumberFormat="1" applyFont="1" applyFill="1" applyAlignment="1">
      <alignment horizontal="right"/>
    </xf>
    <xf numFmtId="165" fontId="6" fillId="9" borderId="0" xfId="12" applyNumberFormat="1" applyFont="1" applyFill="1" applyBorder="1" applyAlignment="1"/>
    <xf numFmtId="165" fontId="6" fillId="9" borderId="0" xfId="12" applyNumberFormat="1" applyFont="1" applyFill="1" applyBorder="1"/>
    <xf numFmtId="9" fontId="4" fillId="9" borderId="0" xfId="0" applyNumberFormat="1" applyFont="1" applyFill="1" applyBorder="1" applyAlignment="1">
      <alignment horizontal="left" indent="2"/>
    </xf>
    <xf numFmtId="9" fontId="6" fillId="9" borderId="0" xfId="0" applyNumberFormat="1" applyFont="1" applyFill="1" applyAlignment="1">
      <alignment horizontal="left" indent="3"/>
    </xf>
    <xf numFmtId="0" fontId="13" fillId="9" borderId="0" xfId="0" applyFont="1" applyFill="1"/>
    <xf numFmtId="0" fontId="13" fillId="9" borderId="0" xfId="0" applyFont="1" applyFill="1" applyBorder="1"/>
    <xf numFmtId="170" fontId="13" fillId="9" borderId="0" xfId="0" applyNumberFormat="1" applyFont="1" applyFill="1"/>
    <xf numFmtId="165" fontId="14" fillId="0" borderId="0" xfId="12" applyNumberFormat="1" applyFont="1" applyFill="1" applyBorder="1" applyAlignment="1">
      <alignment horizontal="right" wrapText="1"/>
    </xf>
    <xf numFmtId="164" fontId="45" fillId="6" borderId="0" xfId="0" applyNumberFormat="1" applyFont="1" applyFill="1" applyBorder="1" applyAlignment="1">
      <alignment horizontal="center"/>
    </xf>
    <xf numFmtId="164" fontId="6" fillId="0" borderId="0" xfId="0" applyNumberFormat="1" applyFont="1" applyFill="1" applyBorder="1" applyAlignment="1">
      <alignment horizontal="center"/>
    </xf>
    <xf numFmtId="0" fontId="3" fillId="0" borderId="0" xfId="0" applyFont="1" applyFill="1" applyBorder="1"/>
    <xf numFmtId="176" fontId="3" fillId="0" borderId="0" xfId="0" applyNumberFormat="1" applyFont="1" applyFill="1" applyBorder="1"/>
    <xf numFmtId="9" fontId="3" fillId="0" borderId="0" xfId="30" applyFont="1" applyFill="1" applyBorder="1"/>
    <xf numFmtId="165" fontId="58" fillId="3" borderId="0" xfId="12" applyNumberFormat="1" applyFont="1" applyFill="1" applyBorder="1" applyAlignment="1">
      <alignment horizontal="right" wrapText="1"/>
    </xf>
    <xf numFmtId="165" fontId="4" fillId="3" borderId="9" xfId="12" applyNumberFormat="1" applyFont="1" applyFill="1" applyBorder="1" applyAlignment="1">
      <alignment horizontal="right" wrapText="1"/>
    </xf>
    <xf numFmtId="167" fontId="13" fillId="3" borderId="0" xfId="0" applyNumberFormat="1" applyFont="1" applyFill="1"/>
    <xf numFmtId="165" fontId="14" fillId="3" borderId="0" xfId="12" applyNumberFormat="1" applyFont="1" applyFill="1" applyBorder="1" applyAlignment="1">
      <alignment horizontal="right" wrapText="1"/>
    </xf>
    <xf numFmtId="5" fontId="25" fillId="0" borderId="9" xfId="0" applyNumberFormat="1" applyFont="1" applyFill="1" applyBorder="1"/>
    <xf numFmtId="199" fontId="6" fillId="0" borderId="0" xfId="12" applyNumberFormat="1" applyFont="1" applyFill="1" applyBorder="1" applyAlignment="1">
      <alignment horizontal="right" wrapText="1"/>
    </xf>
    <xf numFmtId="0" fontId="42" fillId="0" borderId="0" xfId="0" applyFont="1"/>
    <xf numFmtId="165" fontId="30" fillId="0" borderId="0" xfId="12" applyNumberFormat="1" applyFont="1" applyFill="1" applyBorder="1"/>
    <xf numFmtId="165" fontId="78" fillId="0" borderId="0" xfId="12" applyNumberFormat="1" applyFont="1" applyFill="1"/>
    <xf numFmtId="165" fontId="79" fillId="0" borderId="0" xfId="12" applyNumberFormat="1" applyFont="1" applyFill="1"/>
    <xf numFmtId="0" fontId="6" fillId="7" borderId="0" xfId="0" applyFont="1" applyFill="1" applyAlignment="1">
      <alignment horizontal="left" vertical="top" wrapText="1" indent="1"/>
    </xf>
    <xf numFmtId="43" fontId="6" fillId="7" borderId="0" xfId="12" applyNumberFormat="1" applyFont="1" applyFill="1"/>
    <xf numFmtId="9" fontId="23" fillId="7" borderId="0" xfId="0" applyNumberFormat="1" applyFont="1" applyFill="1" applyBorder="1" applyAlignment="1"/>
    <xf numFmtId="9" fontId="12" fillId="7" borderId="0" xfId="0" applyNumberFormat="1" applyFont="1" applyFill="1" applyAlignment="1">
      <alignment horizontal="left" indent="2"/>
    </xf>
    <xf numFmtId="174" fontId="12" fillId="7" borderId="0" xfId="0" applyNumberFormat="1" applyFont="1" applyFill="1" applyAlignment="1">
      <alignment horizontal="right"/>
    </xf>
    <xf numFmtId="165" fontId="6" fillId="7" borderId="0" xfId="12" applyNumberFormat="1" applyFont="1" applyFill="1" applyBorder="1" applyAlignment="1"/>
    <xf numFmtId="165" fontId="13" fillId="0" borderId="0" xfId="12" applyNumberFormat="1" applyFont="1" applyFill="1" applyBorder="1"/>
    <xf numFmtId="165" fontId="82" fillId="0" borderId="0" xfId="12" applyNumberFormat="1" applyFont="1" applyFill="1" applyBorder="1" applyAlignment="1">
      <alignment horizontal="right" wrapText="1"/>
    </xf>
    <xf numFmtId="165" fontId="83" fillId="0" borderId="0" xfId="12" applyNumberFormat="1" applyFont="1" applyFill="1"/>
    <xf numFmtId="39" fontId="23" fillId="0" borderId="0" xfId="12" applyNumberFormat="1" applyFont="1" applyFill="1" applyAlignment="1"/>
    <xf numFmtId="165" fontId="84" fillId="0" borderId="0" xfId="12" applyNumberFormat="1" applyFont="1" applyFill="1"/>
    <xf numFmtId="172" fontId="6" fillId="5" borderId="0" xfId="12" applyNumberFormat="1" applyFont="1" applyFill="1" applyAlignment="1"/>
    <xf numFmtId="175" fontId="30" fillId="0" borderId="2" xfId="12" applyNumberFormat="1" applyFont="1" applyFill="1" applyBorder="1" applyAlignment="1"/>
    <xf numFmtId="0" fontId="4" fillId="0" borderId="0" xfId="0" applyFont="1" applyFill="1" applyAlignment="1">
      <alignment horizontal="left"/>
    </xf>
    <xf numFmtId="0" fontId="13" fillId="0" borderId="0" xfId="0" applyFont="1" applyFill="1" applyAlignment="1">
      <alignment horizontal="left" vertical="distributed" indent="1"/>
    </xf>
    <xf numFmtId="0" fontId="13" fillId="0" borderId="2" xfId="0" applyFont="1" applyFill="1" applyBorder="1" applyAlignment="1">
      <alignment horizontal="left" vertical="distributed" indent="1"/>
    </xf>
    <xf numFmtId="0" fontId="4" fillId="0" borderId="0" xfId="0" applyFont="1" applyFill="1" applyAlignment="1">
      <alignment vertical="distributed"/>
    </xf>
    <xf numFmtId="0" fontId="13" fillId="0" borderId="0" xfId="0" applyFont="1" applyFill="1" applyAlignment="1">
      <alignment vertical="distributed"/>
    </xf>
    <xf numFmtId="0" fontId="12" fillId="0" borderId="0" xfId="0" applyFont="1" applyFill="1" applyAlignment="1">
      <alignment horizontal="left" indent="1"/>
    </xf>
    <xf numFmtId="168" fontId="12" fillId="0" borderId="9" xfId="30" applyNumberFormat="1" applyFont="1" applyFill="1" applyBorder="1" applyAlignment="1">
      <alignment horizontal="right"/>
    </xf>
    <xf numFmtId="168" fontId="34" fillId="0" borderId="0" xfId="30" applyNumberFormat="1" applyFont="1" applyFill="1"/>
    <xf numFmtId="168" fontId="65" fillId="0" borderId="0" xfId="30" applyNumberFormat="1" applyFont="1" applyFill="1" applyAlignment="1">
      <alignment horizontal="right"/>
    </xf>
    <xf numFmtId="168" fontId="12" fillId="0" borderId="0" xfId="30" applyNumberFormat="1" applyFont="1" applyFill="1" applyBorder="1" applyAlignment="1">
      <alignment horizontal="right"/>
    </xf>
    <xf numFmtId="167" fontId="13" fillId="0" borderId="0" xfId="0" applyNumberFormat="1" applyFont="1" applyFill="1" applyAlignment="1">
      <alignment horizontal="left" indent="1"/>
    </xf>
    <xf numFmtId="167" fontId="14" fillId="0" borderId="9" xfId="0" applyNumberFormat="1" applyFont="1" applyFill="1" applyBorder="1"/>
    <xf numFmtId="165" fontId="14" fillId="0" borderId="0" xfId="12" applyNumberFormat="1" applyFont="1" applyFill="1" applyAlignment="1">
      <alignment horizontal="right"/>
    </xf>
    <xf numFmtId="7" fontId="4" fillId="0" borderId="3" xfId="0" applyNumberFormat="1" applyFont="1" applyFill="1" applyBorder="1" applyAlignment="1">
      <alignment horizontal="left" indent="1"/>
    </xf>
    <xf numFmtId="7" fontId="18" fillId="0" borderId="3" xfId="12" applyNumberFormat="1" applyFont="1" applyFill="1" applyBorder="1" applyAlignment="1">
      <alignment horizontal="right"/>
    </xf>
    <xf numFmtId="7" fontId="18" fillId="0" borderId="3" xfId="12" applyNumberFormat="1" applyFont="1" applyFill="1" applyBorder="1" applyAlignment="1"/>
    <xf numFmtId="7" fontId="18" fillId="0" borderId="5" xfId="12" applyNumberFormat="1" applyFont="1" applyFill="1" applyBorder="1"/>
    <xf numFmtId="7" fontId="18" fillId="0" borderId="3" xfId="0" applyNumberFormat="1" applyFont="1" applyFill="1" applyBorder="1" applyAlignment="1"/>
    <xf numFmtId="7" fontId="4" fillId="0" borderId="3" xfId="0" applyNumberFormat="1" applyFont="1" applyFill="1" applyBorder="1" applyAlignment="1"/>
    <xf numFmtId="7" fontId="18" fillId="0" borderId="0" xfId="12" applyNumberFormat="1" applyFont="1" applyFill="1" applyBorder="1"/>
    <xf numFmtId="167" fontId="3" fillId="0" borderId="0" xfId="0" applyNumberFormat="1" applyFont="1" applyFill="1"/>
    <xf numFmtId="0" fontId="15" fillId="0" borderId="0" xfId="0" applyFont="1" applyFill="1"/>
    <xf numFmtId="2" fontId="68" fillId="0" borderId="0" xfId="12" applyNumberFormat="1" applyFont="1" applyFill="1" applyBorder="1" applyAlignment="1"/>
    <xf numFmtId="168" fontId="3" fillId="0" borderId="0" xfId="30" applyNumberFormat="1" applyFont="1" applyFill="1"/>
    <xf numFmtId="2" fontId="68" fillId="0" borderId="0" xfId="0" applyNumberFormat="1" applyFont="1" applyFill="1"/>
    <xf numFmtId="0" fontId="13" fillId="0" borderId="0" xfId="0" applyFont="1" applyFill="1" applyAlignment="1">
      <alignment horizontal="left"/>
    </xf>
    <xf numFmtId="168" fontId="6" fillId="0" borderId="0" xfId="0" applyNumberFormat="1" applyFont="1" applyFill="1"/>
    <xf numFmtId="168" fontId="26" fillId="0" borderId="0" xfId="0" applyNumberFormat="1" applyFont="1" applyFill="1" applyBorder="1"/>
    <xf numFmtId="0" fontId="13" fillId="0" borderId="0" xfId="0" applyFont="1" applyFill="1" applyAlignment="1">
      <alignment horizontal="left" indent="2"/>
    </xf>
    <xf numFmtId="168" fontId="13" fillId="0" borderId="0" xfId="0" applyNumberFormat="1" applyFont="1" applyFill="1" applyAlignment="1">
      <alignment horizontal="right"/>
    </xf>
    <xf numFmtId="168" fontId="13" fillId="0" borderId="9" xfId="0" applyNumberFormat="1" applyFont="1" applyFill="1" applyBorder="1" applyAlignment="1">
      <alignment horizontal="right"/>
    </xf>
    <xf numFmtId="168" fontId="6" fillId="0" borderId="9" xfId="0" applyNumberFormat="1" applyFont="1" applyFill="1" applyBorder="1" applyAlignment="1">
      <alignment horizontal="right"/>
    </xf>
    <xf numFmtId="168" fontId="6" fillId="0" borderId="9" xfId="0" applyNumberFormat="1" applyFont="1" applyFill="1" applyBorder="1"/>
    <xf numFmtId="168" fontId="13" fillId="0" borderId="0" xfId="0" applyNumberFormat="1" applyFont="1" applyFill="1" applyBorder="1" applyAlignment="1">
      <alignment horizontal="right"/>
    </xf>
    <xf numFmtId="168" fontId="13" fillId="0" borderId="17" xfId="0" applyNumberFormat="1" applyFont="1" applyFill="1" applyBorder="1" applyAlignment="1">
      <alignment horizontal="right"/>
    </xf>
    <xf numFmtId="7" fontId="4" fillId="0" borderId="0" xfId="0" applyNumberFormat="1" applyFont="1" applyFill="1" applyBorder="1" applyAlignment="1">
      <alignment horizontal="left"/>
    </xf>
    <xf numFmtId="7" fontId="4" fillId="0" borderId="0" xfId="12" applyNumberFormat="1" applyFont="1" applyFill="1" applyBorder="1" applyAlignment="1"/>
    <xf numFmtId="7" fontId="4" fillId="0" borderId="17" xfId="12" applyNumberFormat="1" applyFont="1" applyFill="1" applyBorder="1"/>
    <xf numFmtId="7" fontId="4" fillId="0" borderId="0" xfId="0" applyNumberFormat="1" applyFont="1" applyFill="1" applyBorder="1" applyAlignment="1"/>
    <xf numFmtId="7" fontId="4" fillId="0" borderId="0" xfId="12" applyNumberFormat="1" applyFont="1" applyFill="1" applyBorder="1" applyAlignment="1">
      <alignment horizontal="right"/>
    </xf>
    <xf numFmtId="7" fontId="4" fillId="0" borderId="0" xfId="12" applyNumberFormat="1" applyFont="1" applyFill="1" applyBorder="1"/>
    <xf numFmtId="0" fontId="13" fillId="0" borderId="0" xfId="0" applyFont="1" applyFill="1" applyAlignment="1">
      <alignment horizontal="left" wrapText="1" indent="1"/>
    </xf>
    <xf numFmtId="0" fontId="12" fillId="0" borderId="0" xfId="23" applyFont="1" applyFill="1" applyBorder="1" applyAlignment="1">
      <alignment horizontal="left"/>
    </xf>
    <xf numFmtId="0" fontId="34" fillId="0" borderId="0" xfId="26" applyFont="1" applyFill="1" applyBorder="1" applyAlignment="1">
      <alignment horizontal="left"/>
    </xf>
    <xf numFmtId="168" fontId="62" fillId="0" borderId="0" xfId="30" applyNumberFormat="1" applyFont="1" applyFill="1"/>
    <xf numFmtId="0" fontId="67" fillId="0" borderId="0" xfId="0" applyFont="1" applyFill="1" applyBorder="1"/>
    <xf numFmtId="9" fontId="12" fillId="10" borderId="0" xfId="0" applyNumberFormat="1" applyFont="1" applyFill="1" applyBorder="1" applyAlignment="1">
      <alignment horizontal="left" indent="2"/>
    </xf>
    <xf numFmtId="174" fontId="12" fillId="10" borderId="0" xfId="0" applyNumberFormat="1" applyFont="1" applyFill="1" applyBorder="1" applyAlignment="1">
      <alignment horizontal="right"/>
    </xf>
    <xf numFmtId="167" fontId="6" fillId="10" borderId="0" xfId="12" applyNumberFormat="1" applyFont="1" applyFill="1" applyBorder="1" applyAlignment="1"/>
    <xf numFmtId="0" fontId="29" fillId="10" borderId="0" xfId="0" applyFont="1" applyFill="1" applyBorder="1" applyAlignment="1">
      <alignment horizontal="left" indent="2"/>
    </xf>
    <xf numFmtId="174" fontId="6" fillId="10" borderId="0" xfId="0" applyNumberFormat="1" applyFont="1" applyFill="1" applyBorder="1"/>
    <xf numFmtId="174" fontId="63" fillId="10" borderId="0" xfId="0" applyNumberFormat="1" applyFont="1" applyFill="1" applyBorder="1"/>
    <xf numFmtId="174" fontId="6" fillId="10" borderId="0" xfId="0" applyNumberFormat="1" applyFont="1" applyFill="1" applyBorder="1" applyAlignment="1">
      <alignment horizontal="right"/>
    </xf>
    <xf numFmtId="167" fontId="14" fillId="0" borderId="0" xfId="12" applyNumberFormat="1" applyFont="1" applyFill="1" applyAlignment="1"/>
    <xf numFmtId="164" fontId="6" fillId="0" borderId="2" xfId="0" applyNumberFormat="1" applyFont="1" applyFill="1" applyBorder="1" applyAlignment="1">
      <alignment horizontal="center"/>
    </xf>
    <xf numFmtId="164" fontId="45" fillId="6" borderId="2" xfId="0" applyNumberFormat="1" applyFont="1" applyFill="1" applyBorder="1" applyAlignment="1">
      <alignment horizontal="center"/>
    </xf>
    <xf numFmtId="0" fontId="45" fillId="5" borderId="2" xfId="0" applyFont="1" applyFill="1" applyBorder="1"/>
    <xf numFmtId="0" fontId="28" fillId="0" borderId="0" xfId="0" applyFont="1"/>
    <xf numFmtId="44" fontId="0" fillId="0" borderId="0" xfId="0" applyNumberFormat="1"/>
    <xf numFmtId="165" fontId="14" fillId="0" borderId="0" xfId="12" applyNumberFormat="1" applyFont="1" applyFill="1" applyBorder="1"/>
    <xf numFmtId="176" fontId="86" fillId="0" borderId="0" xfId="0" applyNumberFormat="1" applyFont="1" applyFill="1"/>
    <xf numFmtId="176" fontId="86" fillId="0" borderId="0" xfId="12" applyNumberFormat="1" applyFont="1" applyFill="1"/>
    <xf numFmtId="9" fontId="6" fillId="0" borderId="5" xfId="30" applyFont="1" applyFill="1" applyBorder="1"/>
    <xf numFmtId="203" fontId="0" fillId="0" borderId="0" xfId="16" applyNumberFormat="1" applyFont="1" applyFill="1"/>
    <xf numFmtId="202" fontId="0" fillId="0" borderId="0" xfId="0" applyNumberFormat="1" applyFill="1"/>
    <xf numFmtId="9" fontId="0" fillId="0" borderId="0" xfId="30" applyFont="1" applyFill="1"/>
    <xf numFmtId="9" fontId="80" fillId="0" borderId="0" xfId="30" applyFont="1" applyFill="1"/>
    <xf numFmtId="2" fontId="6" fillId="0" borderId="0" xfId="0" applyNumberFormat="1" applyFont="1" applyFill="1" applyAlignment="1">
      <alignment horizontal="left" vertical="top" wrapText="1" indent="2"/>
    </xf>
    <xf numFmtId="165" fontId="87" fillId="2" borderId="0" xfId="12" applyNumberFormat="1" applyFont="1" applyFill="1" applyBorder="1"/>
    <xf numFmtId="176" fontId="6" fillId="0" borderId="0" xfId="0" applyNumberFormat="1" applyFont="1" applyFill="1" applyBorder="1" applyAlignment="1">
      <alignment horizontal="center"/>
    </xf>
    <xf numFmtId="0" fontId="7" fillId="0" borderId="2" xfId="0" applyFont="1" applyFill="1" applyBorder="1" applyAlignment="1">
      <alignment horizontal="right"/>
    </xf>
    <xf numFmtId="0" fontId="45" fillId="0" borderId="2" xfId="0" applyFont="1" applyFill="1" applyBorder="1" applyAlignment="1">
      <alignment horizontal="right"/>
    </xf>
    <xf numFmtId="0" fontId="7" fillId="5" borderId="2" xfId="0" applyFont="1" applyFill="1" applyBorder="1" applyAlignment="1">
      <alignment horizontal="right"/>
    </xf>
    <xf numFmtId="168" fontId="86" fillId="0" borderId="0" xfId="0" applyNumberFormat="1" applyFont="1" applyFill="1"/>
    <xf numFmtId="0" fontId="9" fillId="0" borderId="0" xfId="23" applyFont="1" applyFill="1" applyBorder="1" applyAlignment="1">
      <alignment horizontal="left"/>
    </xf>
    <xf numFmtId="0" fontId="11" fillId="0" borderId="0" xfId="23" applyFont="1" applyFill="1" applyBorder="1" applyAlignment="1">
      <alignment horizontal="left"/>
    </xf>
    <xf numFmtId="43" fontId="3" fillId="0" borderId="0" xfId="0" applyNumberFormat="1" applyFont="1" applyFill="1"/>
    <xf numFmtId="0" fontId="12" fillId="0" borderId="0" xfId="26" applyFont="1" applyFill="1" applyBorder="1" applyAlignment="1">
      <alignment horizontal="left"/>
    </xf>
    <xf numFmtId="0" fontId="8" fillId="0" borderId="0" xfId="0" applyFont="1" applyFill="1" applyBorder="1" applyAlignment="1">
      <alignment horizontal="center"/>
    </xf>
    <xf numFmtId="0" fontId="14" fillId="0" borderId="0" xfId="0" applyFont="1" applyFill="1" applyBorder="1" applyAlignment="1">
      <alignment horizontal="center"/>
    </xf>
    <xf numFmtId="1" fontId="8" fillId="0" borderId="0" xfId="0" applyNumberFormat="1" applyFont="1" applyFill="1" applyBorder="1" applyAlignment="1">
      <alignment horizontal="center"/>
    </xf>
    <xf numFmtId="9" fontId="13" fillId="0" borderId="0" xfId="30" applyFont="1" applyFill="1" applyBorder="1" applyAlignment="1">
      <alignment horizontal="center"/>
    </xf>
    <xf numFmtId="7" fontId="0" fillId="0" borderId="0" xfId="0" applyNumberFormat="1"/>
    <xf numFmtId="9" fontId="0" fillId="0" borderId="0" xfId="30" quotePrefix="1" applyFont="1" applyFill="1" applyBorder="1"/>
    <xf numFmtId="167" fontId="83" fillId="0" borderId="9" xfId="0" applyNumberFormat="1" applyFont="1" applyFill="1" applyBorder="1"/>
    <xf numFmtId="165" fontId="83" fillId="0" borderId="0" xfId="12" applyNumberFormat="1" applyFont="1" applyFill="1" applyBorder="1" applyAlignment="1">
      <alignment horizontal="right" wrapText="1"/>
    </xf>
    <xf numFmtId="167" fontId="83" fillId="0" borderId="0" xfId="12" applyNumberFormat="1" applyFont="1" applyFill="1" applyAlignment="1"/>
    <xf numFmtId="165" fontId="83" fillId="0" borderId="0" xfId="12" applyNumberFormat="1" applyFont="1" applyFill="1" applyAlignment="1"/>
    <xf numFmtId="8" fontId="83" fillId="0" borderId="0" xfId="0" applyNumberFormat="1" applyFont="1" applyFill="1" applyAlignment="1">
      <alignment horizontal="right"/>
    </xf>
    <xf numFmtId="176" fontId="6" fillId="0" borderId="0" xfId="12" applyNumberFormat="1" applyFont="1"/>
    <xf numFmtId="0" fontId="0" fillId="12" borderId="0" xfId="0" applyFill="1"/>
    <xf numFmtId="43" fontId="0" fillId="0" borderId="0" xfId="12" applyFont="1"/>
    <xf numFmtId="43" fontId="5" fillId="0" borderId="0" xfId="0" applyNumberFormat="1" applyFont="1" applyFill="1"/>
    <xf numFmtId="176" fontId="0" fillId="0" borderId="0" xfId="0" applyNumberFormat="1"/>
    <xf numFmtId="0" fontId="6" fillId="0" borderId="0" xfId="0" applyFont="1" applyFill="1" applyBorder="1" applyAlignment="1">
      <alignment horizontal="center"/>
    </xf>
    <xf numFmtId="0" fontId="7" fillId="0" borderId="0" xfId="0" applyFont="1" applyFill="1" applyBorder="1" applyAlignment="1">
      <alignment horizontal="right"/>
    </xf>
    <xf numFmtId="165" fontId="4" fillId="3" borderId="0" xfId="12" applyNumberFormat="1" applyFont="1" applyFill="1" applyBorder="1" applyAlignment="1">
      <alignment horizontal="right" wrapText="1"/>
    </xf>
    <xf numFmtId="2" fontId="68" fillId="0" borderId="0" xfId="0" applyNumberFormat="1" applyFont="1" applyFill="1" applyBorder="1"/>
    <xf numFmtId="165" fontId="13" fillId="0" borderId="0" xfId="12" applyNumberFormat="1" applyFont="1" applyBorder="1"/>
    <xf numFmtId="203" fontId="6" fillId="0" borderId="0" xfId="16" applyNumberFormat="1" applyFont="1"/>
    <xf numFmtId="165" fontId="85" fillId="0" borderId="0" xfId="0" applyNumberFormat="1" applyFont="1" applyFill="1"/>
    <xf numFmtId="165" fontId="71" fillId="13" borderId="0" xfId="13" applyNumberFormat="1" applyFont="1" applyFill="1"/>
    <xf numFmtId="0" fontId="0" fillId="13" borderId="0" xfId="0" applyFill="1" applyBorder="1"/>
    <xf numFmtId="9" fontId="0" fillId="0" borderId="0" xfId="0" applyNumberFormat="1" applyFill="1"/>
    <xf numFmtId="168" fontId="0" fillId="0" borderId="0" xfId="30" applyNumberFormat="1" applyFont="1" applyFill="1"/>
    <xf numFmtId="0" fontId="6" fillId="0" borderId="0" xfId="0" applyFont="1" applyAlignment="1">
      <alignment horizontal="left" indent="1"/>
    </xf>
    <xf numFmtId="174" fontId="89" fillId="0" borderId="0" xfId="0" applyNumberFormat="1" applyFont="1" applyFill="1" applyAlignment="1">
      <alignment horizontal="right"/>
    </xf>
    <xf numFmtId="9" fontId="6" fillId="0" borderId="0" xfId="0" applyNumberFormat="1" applyFont="1"/>
    <xf numFmtId="0" fontId="90" fillId="0" borderId="0" xfId="0" applyFont="1" applyFill="1" applyBorder="1"/>
    <xf numFmtId="176" fontId="86" fillId="0" borderId="0" xfId="0" applyNumberFormat="1" applyFont="1" applyFill="1" applyBorder="1" applyAlignment="1">
      <alignment horizontal="center"/>
    </xf>
    <xf numFmtId="165" fontId="86" fillId="0" borderId="0" xfId="12" applyNumberFormat="1" applyFont="1" applyFill="1"/>
    <xf numFmtId="0" fontId="86" fillId="0" borderId="0" xfId="0" applyFont="1" applyFill="1" applyBorder="1"/>
    <xf numFmtId="9" fontId="12" fillId="0" borderId="5" xfId="30" applyFont="1" applyFill="1" applyBorder="1"/>
    <xf numFmtId="176" fontId="6" fillId="0" borderId="0" xfId="13" applyNumberFormat="1" applyFont="1" applyFill="1"/>
    <xf numFmtId="0" fontId="55" fillId="0" borderId="0" xfId="0" applyFont="1"/>
    <xf numFmtId="165" fontId="6" fillId="0" borderId="0" xfId="13" applyNumberFormat="1" applyFont="1" applyFill="1"/>
    <xf numFmtId="168" fontId="12" fillId="0" borderId="2" xfId="14" applyNumberFormat="1" applyFont="1" applyFill="1" applyBorder="1" applyAlignment="1" applyProtection="1">
      <alignment horizontal="center"/>
      <protection locked="0"/>
    </xf>
    <xf numFmtId="168" fontId="12" fillId="0" borderId="0" xfId="28" applyNumberFormat="1" applyFont="1" applyFill="1" applyBorder="1" applyAlignment="1">
      <alignment horizontal="center"/>
    </xf>
    <xf numFmtId="164" fontId="6" fillId="0" borderId="11" xfId="0" applyNumberFormat="1" applyFont="1" applyBorder="1" applyAlignment="1">
      <alignment horizontal="center"/>
    </xf>
    <xf numFmtId="39" fontId="6" fillId="0" borderId="0" xfId="28" quotePrefix="1" applyNumberFormat="1" applyFont="1" applyBorder="1" applyAlignment="1">
      <alignment horizontal="left" indent="1"/>
    </xf>
    <xf numFmtId="184" fontId="6" fillId="0" borderId="0" xfId="28" applyNumberFormat="1" applyFont="1" applyFill="1" applyBorder="1" applyAlignment="1">
      <alignment horizontal="center"/>
    </xf>
    <xf numFmtId="175" fontId="12" fillId="0" borderId="0" xfId="28" applyNumberFormat="1" applyFont="1" applyBorder="1" applyAlignment="1">
      <alignment horizontal="left" indent="2"/>
    </xf>
    <xf numFmtId="168" fontId="12" fillId="0" borderId="0" xfId="14" applyNumberFormat="1" applyFont="1" applyFill="1" applyBorder="1" applyAlignment="1" applyProtection="1">
      <alignment horizontal="center"/>
      <protection locked="0"/>
    </xf>
    <xf numFmtId="0" fontId="92" fillId="14" borderId="3" xfId="0" applyFont="1" applyFill="1" applyBorder="1" applyAlignment="1">
      <alignment horizontal="center"/>
    </xf>
    <xf numFmtId="0" fontId="93" fillId="14" borderId="3" xfId="0" applyFont="1" applyFill="1" applyBorder="1" applyAlignment="1">
      <alignment horizontal="left"/>
    </xf>
    <xf numFmtId="206" fontId="92" fillId="14" borderId="3" xfId="0" applyNumberFormat="1" applyFont="1" applyFill="1" applyBorder="1" applyAlignment="1">
      <alignment horizontal="center"/>
    </xf>
    <xf numFmtId="0" fontId="92" fillId="14" borderId="4" xfId="0" applyFont="1" applyFill="1" applyBorder="1"/>
    <xf numFmtId="0" fontId="92" fillId="14" borderId="7" xfId="0" applyFont="1" applyFill="1" applyBorder="1"/>
    <xf numFmtId="0" fontId="92" fillId="14" borderId="20" xfId="0" applyFont="1" applyFill="1" applyBorder="1"/>
    <xf numFmtId="5" fontId="6" fillId="0" borderId="15" xfId="28" applyNumberFormat="1" applyFont="1" applyFill="1" applyBorder="1"/>
    <xf numFmtId="175" fontId="6" fillId="0" borderId="1" xfId="28" quotePrefix="1" applyNumberFormat="1" applyFont="1" applyBorder="1"/>
    <xf numFmtId="175" fontId="6" fillId="0" borderId="19" xfId="28" quotePrefix="1" applyNumberFormat="1" applyFont="1" applyBorder="1"/>
    <xf numFmtId="175" fontId="6" fillId="0" borderId="1" xfId="28" applyNumberFormat="1" applyFont="1" applyBorder="1" applyAlignment="1">
      <alignment horizontal="left" indent="2"/>
    </xf>
    <xf numFmtId="175" fontId="6" fillId="0" borderId="19" xfId="28" applyNumberFormat="1" applyFont="1" applyBorder="1" applyAlignment="1">
      <alignment horizontal="left" indent="2"/>
    </xf>
    <xf numFmtId="43" fontId="4" fillId="0" borderId="0" xfId="12" applyFont="1" applyFill="1" applyBorder="1"/>
    <xf numFmtId="168" fontId="94" fillId="0" borderId="0" xfId="14" applyNumberFormat="1" applyFont="1" applyFill="1" applyBorder="1" applyAlignment="1" applyProtection="1">
      <alignment horizontal="center"/>
      <protection locked="0"/>
    </xf>
    <xf numFmtId="8" fontId="6" fillId="0" borderId="0" xfId="28" applyNumberFormat="1" applyFont="1" applyBorder="1"/>
    <xf numFmtId="0" fontId="6" fillId="0" borderId="14" xfId="0" applyFont="1" applyBorder="1"/>
    <xf numFmtId="0" fontId="6" fillId="0" borderId="3" xfId="0" applyFont="1" applyBorder="1"/>
    <xf numFmtId="0" fontId="92" fillId="14" borderId="7" xfId="0" applyFont="1" applyFill="1" applyBorder="1" applyAlignment="1">
      <alignment horizontal="right"/>
    </xf>
    <xf numFmtId="167" fontId="6" fillId="0" borderId="0" xfId="28" applyNumberFormat="1" applyFont="1" applyFill="1" applyAlignment="1">
      <alignment horizontal="right"/>
    </xf>
    <xf numFmtId="7" fontId="6" fillId="0" borderId="0" xfId="28" applyNumberFormat="1" applyFont="1" applyBorder="1"/>
    <xf numFmtId="10" fontId="23" fillId="0" borderId="15" xfId="28" applyNumberFormat="1" applyFont="1" applyFill="1" applyBorder="1"/>
    <xf numFmtId="168" fontId="5" fillId="0" borderId="9" xfId="0" applyNumberFormat="1" applyFont="1" applyFill="1" applyBorder="1"/>
    <xf numFmtId="0" fontId="6" fillId="0" borderId="2" xfId="0" applyFont="1" applyFill="1" applyBorder="1"/>
    <xf numFmtId="0" fontId="4" fillId="5" borderId="0" xfId="0" applyFont="1" applyFill="1"/>
    <xf numFmtId="166" fontId="6" fillId="0" borderId="0" xfId="12" applyNumberFormat="1" applyFont="1" applyFill="1"/>
    <xf numFmtId="174" fontId="12" fillId="10" borderId="0" xfId="0" applyNumberFormat="1" applyFont="1" applyFill="1" applyBorder="1"/>
    <xf numFmtId="165" fontId="14" fillId="0" borderId="2" xfId="12" applyNumberFormat="1" applyFont="1" applyFill="1" applyBorder="1" applyAlignment="1">
      <alignment horizontal="right" wrapText="1"/>
    </xf>
    <xf numFmtId="166" fontId="0" fillId="0" borderId="0" xfId="12" applyNumberFormat="1" applyFont="1" applyFill="1"/>
    <xf numFmtId="167" fontId="23" fillId="0" borderId="2" xfId="12" applyNumberFormat="1" applyFont="1" applyFill="1" applyBorder="1"/>
    <xf numFmtId="9" fontId="71" fillId="5" borderId="0" xfId="30" applyFont="1" applyFill="1" applyBorder="1" applyAlignment="1">
      <alignment horizontal="center" vertical="center"/>
    </xf>
    <xf numFmtId="168" fontId="88" fillId="0" borderId="5" xfId="31" applyNumberFormat="1" applyFont="1" applyBorder="1"/>
    <xf numFmtId="165" fontId="0" fillId="0" borderId="0" xfId="12" applyNumberFormat="1" applyFont="1" applyFill="1"/>
    <xf numFmtId="170" fontId="0" fillId="0" borderId="0" xfId="0" applyNumberFormat="1" applyFill="1"/>
    <xf numFmtId="39" fontId="12" fillId="0" borderId="0" xfId="28" quotePrefix="1" applyNumberFormat="1" applyFont="1" applyBorder="1" applyAlignment="1">
      <alignment horizontal="left" indent="1"/>
    </xf>
    <xf numFmtId="172" fontId="12" fillId="0" borderId="0" xfId="28" quotePrefix="1" applyNumberFormat="1" applyFont="1" applyBorder="1" applyAlignment="1">
      <alignment horizontal="left" indent="1"/>
    </xf>
    <xf numFmtId="0" fontId="6" fillId="12" borderId="0" xfId="28" applyFont="1" applyFill="1"/>
    <xf numFmtId="175" fontId="6" fillId="12" borderId="0" xfId="28" applyNumberFormat="1" applyFont="1" applyFill="1" applyAlignment="1">
      <alignment horizontal="center"/>
    </xf>
    <xf numFmtId="0" fontId="23" fillId="12" borderId="0" xfId="28" applyFont="1" applyFill="1" applyBorder="1"/>
    <xf numFmtId="2" fontId="23" fillId="12" borderId="0" xfId="28" applyNumberFormat="1" applyFont="1" applyFill="1" applyBorder="1" applyAlignment="1">
      <alignment horizontal="center"/>
    </xf>
    <xf numFmtId="184" fontId="0" fillId="0" borderId="0" xfId="0" applyNumberFormat="1" applyFill="1"/>
    <xf numFmtId="0" fontId="67" fillId="15" borderId="0" xfId="0" applyFont="1" applyFill="1"/>
    <xf numFmtId="170" fontId="15" fillId="10" borderId="0" xfId="0" applyNumberFormat="1" applyFont="1" applyFill="1" applyBorder="1"/>
    <xf numFmtId="167" fontId="6" fillId="10" borderId="0" xfId="0" applyNumberFormat="1" applyFont="1" applyFill="1" applyBorder="1"/>
    <xf numFmtId="167" fontId="6" fillId="10" borderId="0" xfId="0" applyNumberFormat="1" applyFont="1" applyFill="1"/>
    <xf numFmtId="170" fontId="13" fillId="10" borderId="0" xfId="24" applyNumberFormat="1" applyFont="1" applyFill="1" applyBorder="1"/>
    <xf numFmtId="167" fontId="6" fillId="10" borderId="0" xfId="12" applyNumberFormat="1" applyFont="1" applyFill="1" applyAlignment="1"/>
    <xf numFmtId="170" fontId="6" fillId="10" borderId="0" xfId="24" applyNumberFormat="1" applyFont="1" applyFill="1" applyBorder="1"/>
    <xf numFmtId="7" fontId="6" fillId="10" borderId="0" xfId="12" applyNumberFormat="1" applyFont="1" applyFill="1" applyAlignment="1"/>
    <xf numFmtId="176" fontId="6" fillId="0" borderId="0" xfId="12" applyNumberFormat="1" applyFont="1" applyFill="1" applyAlignment="1">
      <alignment horizontal="center"/>
    </xf>
    <xf numFmtId="4" fontId="12" fillId="0" borderId="0" xfId="0" applyNumberFormat="1" applyFont="1" applyFill="1" applyAlignment="1">
      <alignment horizontal="right"/>
    </xf>
    <xf numFmtId="168" fontId="4" fillId="0" borderId="0" xfId="0" applyNumberFormat="1" applyFont="1" applyFill="1"/>
    <xf numFmtId="2" fontId="70" fillId="0" borderId="0" xfId="0" applyNumberFormat="1" applyFont="1" applyFill="1"/>
    <xf numFmtId="2" fontId="70" fillId="0" borderId="0" xfId="12" applyNumberFormat="1" applyFont="1" applyFill="1" applyBorder="1" applyAlignment="1"/>
    <xf numFmtId="2" fontId="70" fillId="0" borderId="9" xfId="0" applyNumberFormat="1" applyFont="1" applyFill="1" applyBorder="1"/>
    <xf numFmtId="165" fontId="30" fillId="0" borderId="0" xfId="12" applyNumberFormat="1" applyFont="1" applyFill="1" applyBorder="1" applyAlignment="1">
      <alignment horizontal="right"/>
    </xf>
    <xf numFmtId="168" fontId="5" fillId="0" borderId="0" xfId="0" applyNumberFormat="1" applyFont="1" applyFill="1"/>
    <xf numFmtId="4" fontId="26" fillId="0" borderId="0" xfId="0" applyNumberFormat="1" applyFont="1" applyFill="1" applyBorder="1"/>
    <xf numFmtId="4" fontId="6" fillId="0" borderId="0" xfId="0" applyNumberFormat="1" applyFont="1"/>
    <xf numFmtId="2" fontId="6" fillId="0" borderId="0" xfId="0" applyNumberFormat="1" applyFont="1"/>
    <xf numFmtId="170" fontId="6" fillId="0" borderId="0" xfId="0" applyNumberFormat="1" applyFont="1"/>
    <xf numFmtId="0" fontId="15" fillId="0" borderId="0" xfId="0" applyFont="1"/>
    <xf numFmtId="168" fontId="4" fillId="0" borderId="0" xfId="0" applyNumberFormat="1" applyFont="1"/>
    <xf numFmtId="0" fontId="6" fillId="0" borderId="16" xfId="0" applyFont="1" applyBorder="1"/>
    <xf numFmtId="0" fontId="6" fillId="0" borderId="9" xfId="0" applyFont="1" applyBorder="1"/>
    <xf numFmtId="168" fontId="4" fillId="0" borderId="9" xfId="0" applyNumberFormat="1" applyFont="1" applyBorder="1"/>
    <xf numFmtId="168" fontId="6" fillId="0" borderId="9" xfId="0" applyNumberFormat="1" applyFont="1" applyBorder="1"/>
    <xf numFmtId="0" fontId="4" fillId="0" borderId="2" xfId="0" applyFont="1" applyBorder="1"/>
    <xf numFmtId="9" fontId="4" fillId="0" borderId="2" xfId="0" applyNumberFormat="1" applyFont="1" applyBorder="1"/>
    <xf numFmtId="9" fontId="4" fillId="0" borderId="17" xfId="0" applyNumberFormat="1" applyFont="1" applyBorder="1"/>
    <xf numFmtId="170" fontId="83" fillId="0" borderId="0" xfId="0" applyNumberFormat="1" applyFont="1"/>
    <xf numFmtId="2" fontId="83" fillId="0" borderId="0" xfId="0" applyNumberFormat="1" applyFont="1"/>
    <xf numFmtId="7" fontId="18" fillId="0" borderId="5" xfId="12" applyNumberFormat="1" applyFont="1" applyFill="1" applyBorder="1" applyAlignment="1"/>
    <xf numFmtId="166" fontId="6" fillId="0" borderId="0" xfId="12" applyNumberFormat="1" applyFont="1" applyFill="1" applyAlignment="1"/>
    <xf numFmtId="176" fontId="71" fillId="0" borderId="0" xfId="13" applyNumberFormat="1" applyFont="1" applyFill="1"/>
    <xf numFmtId="176" fontId="4" fillId="0" borderId="0" xfId="13" applyNumberFormat="1" applyFont="1" applyFill="1"/>
    <xf numFmtId="10" fontId="23" fillId="0" borderId="20" xfId="28" applyNumberFormat="1" applyFont="1" applyFill="1" applyBorder="1"/>
    <xf numFmtId="7" fontId="83" fillId="0" borderId="21" xfId="0" applyNumberFormat="1" applyFont="1" applyBorder="1" applyAlignment="1">
      <alignment horizontal="right"/>
    </xf>
    <xf numFmtId="174" fontId="95" fillId="9" borderId="0" xfId="0" applyNumberFormat="1" applyFont="1" applyFill="1" applyBorder="1" applyAlignment="1">
      <alignment horizontal="right"/>
    </xf>
    <xf numFmtId="165" fontId="83" fillId="0" borderId="0" xfId="12" applyNumberFormat="1" applyFont="1" applyFill="1" applyBorder="1" applyAlignment="1">
      <alignment horizontal="right"/>
    </xf>
    <xf numFmtId="165" fontId="83" fillId="0" borderId="0" xfId="12" applyNumberFormat="1" applyFont="1" applyFill="1" applyBorder="1"/>
    <xf numFmtId="166" fontId="4" fillId="0" borderId="0" xfId="12" applyNumberFormat="1" applyFont="1" applyFill="1"/>
    <xf numFmtId="165" fontId="86" fillId="0" borderId="0" xfId="12" applyNumberFormat="1" applyFont="1" applyFill="1" applyBorder="1" applyAlignment="1">
      <alignment horizontal="right" wrapText="1"/>
    </xf>
    <xf numFmtId="174" fontId="96" fillId="0" borderId="0" xfId="0" applyNumberFormat="1" applyFont="1" applyFill="1" applyAlignment="1">
      <alignment horizontal="right"/>
    </xf>
    <xf numFmtId="166" fontId="83" fillId="0" borderId="0" xfId="12" applyNumberFormat="1" applyFont="1" applyFill="1"/>
    <xf numFmtId="166" fontId="6" fillId="7" borderId="0" xfId="12" applyNumberFormat="1" applyFont="1" applyFill="1"/>
    <xf numFmtId="166" fontId="6" fillId="0" borderId="0" xfId="0" applyNumberFormat="1" applyFont="1" applyFill="1" applyBorder="1" applyAlignment="1">
      <alignment horizontal="center"/>
    </xf>
    <xf numFmtId="9" fontId="0" fillId="0" borderId="0" xfId="30" applyFont="1" applyFill="1" applyBorder="1"/>
    <xf numFmtId="165" fontId="91" fillId="0" borderId="0" xfId="12" applyNumberFormat="1" applyFont="1" applyFill="1"/>
    <xf numFmtId="165" fontId="6" fillId="0" borderId="0" xfId="13" applyNumberFormat="1" applyFont="1" applyFill="1" applyBorder="1"/>
    <xf numFmtId="166" fontId="6" fillId="0" borderId="0" xfId="13" applyNumberFormat="1" applyFont="1" applyFill="1"/>
    <xf numFmtId="165" fontId="6" fillId="0" borderId="0" xfId="12" applyNumberFormat="1" applyFont="1"/>
    <xf numFmtId="165" fontId="86" fillId="0" borderId="0" xfId="12" applyNumberFormat="1" applyFont="1" applyFill="1" applyBorder="1" applyAlignment="1">
      <alignment horizontal="right"/>
    </xf>
    <xf numFmtId="10" fontId="14" fillId="0" borderId="18" xfId="28" applyNumberFormat="1" applyFont="1" applyFill="1" applyBorder="1"/>
    <xf numFmtId="168" fontId="4" fillId="0" borderId="0" xfId="30" applyNumberFormat="1" applyFont="1" applyFill="1" applyBorder="1" applyAlignment="1">
      <alignment horizontal="right" wrapText="1"/>
    </xf>
    <xf numFmtId="0" fontId="6" fillId="0" borderId="0" xfId="0" applyFont="1" applyFill="1" applyAlignment="1">
      <alignment horizontal="left" vertical="distributed" indent="1"/>
    </xf>
    <xf numFmtId="5" fontId="83" fillId="0" borderId="18" xfId="28" applyNumberFormat="1" applyFont="1" applyFill="1" applyBorder="1"/>
    <xf numFmtId="176" fontId="6" fillId="0" borderId="0" xfId="30" applyNumberFormat="1" applyFont="1" applyFill="1"/>
    <xf numFmtId="168" fontId="0" fillId="0" borderId="0" xfId="30" applyNumberFormat="1" applyFont="1" applyBorder="1"/>
    <xf numFmtId="43" fontId="0" fillId="0" borderId="0" xfId="12" applyFont="1" applyFill="1"/>
    <xf numFmtId="176" fontId="91" fillId="0" borderId="0" xfId="12" applyNumberFormat="1" applyFont="1" applyFill="1"/>
    <xf numFmtId="0" fontId="4" fillId="0" borderId="0" xfId="0" applyFont="1" applyBorder="1"/>
    <xf numFmtId="7" fontId="4" fillId="0" borderId="0" xfId="28" applyNumberFormat="1" applyFont="1" applyFill="1" applyAlignment="1">
      <alignment horizontal="center"/>
    </xf>
    <xf numFmtId="165" fontId="8" fillId="0" borderId="0" xfId="13" applyNumberFormat="1" applyFont="1" applyFill="1" applyBorder="1" applyAlignment="1">
      <alignment horizontal="right" wrapText="1"/>
    </xf>
    <xf numFmtId="165" fontId="14" fillId="0" borderId="0" xfId="13" applyNumberFormat="1" applyFont="1" applyFill="1" applyBorder="1" applyAlignment="1">
      <alignment horizontal="right" wrapText="1"/>
    </xf>
    <xf numFmtId="165" fontId="6" fillId="0" borderId="0" xfId="13" applyNumberFormat="1" applyFont="1" applyFill="1" applyBorder="1" applyAlignment="1">
      <alignment horizontal="right" wrapText="1"/>
    </xf>
    <xf numFmtId="165" fontId="58" fillId="0" borderId="0" xfId="13" applyNumberFormat="1" applyFont="1" applyFill="1" applyBorder="1" applyAlignment="1">
      <alignment horizontal="right" wrapText="1"/>
    </xf>
    <xf numFmtId="165" fontId="4" fillId="0" borderId="0" xfId="13" applyNumberFormat="1" applyFont="1" applyFill="1" applyBorder="1" applyAlignment="1">
      <alignment horizontal="right" wrapText="1"/>
    </xf>
    <xf numFmtId="165" fontId="14" fillId="0" borderId="2" xfId="13" applyNumberFormat="1" applyFont="1" applyFill="1" applyBorder="1" applyAlignment="1">
      <alignment horizontal="right" wrapText="1"/>
    </xf>
    <xf numFmtId="167" fontId="6" fillId="0" borderId="0" xfId="13" applyNumberFormat="1" applyFont="1" applyFill="1" applyBorder="1" applyAlignment="1">
      <alignment horizontal="right"/>
    </xf>
    <xf numFmtId="165" fontId="6" fillId="0" borderId="0" xfId="13" applyNumberFormat="1" applyFont="1" applyFill="1" applyBorder="1" applyAlignment="1">
      <alignment wrapText="1"/>
    </xf>
    <xf numFmtId="165" fontId="58" fillId="3" borderId="0" xfId="13" applyNumberFormat="1" applyFont="1" applyFill="1" applyBorder="1" applyAlignment="1">
      <alignment horizontal="right" wrapText="1"/>
    </xf>
    <xf numFmtId="165" fontId="83" fillId="0" borderId="0" xfId="13" applyNumberFormat="1" applyFont="1" applyFill="1" applyBorder="1" applyAlignment="1">
      <alignment horizontal="right" wrapText="1"/>
    </xf>
    <xf numFmtId="165" fontId="6" fillId="0" borderId="2" xfId="13" applyNumberFormat="1" applyFont="1" applyFill="1" applyBorder="1" applyAlignment="1">
      <alignment horizontal="right" wrapText="1"/>
    </xf>
    <xf numFmtId="168" fontId="12" fillId="0" borderId="0" xfId="31" applyNumberFormat="1" applyFont="1" applyFill="1" applyAlignment="1">
      <alignment horizontal="right"/>
    </xf>
    <xf numFmtId="167" fontId="6" fillId="0" borderId="0" xfId="0" applyNumberFormat="1" applyFont="1" applyFill="1" applyAlignment="1"/>
    <xf numFmtId="165" fontId="83" fillId="0" borderId="0" xfId="13" applyNumberFormat="1" applyFont="1" applyFill="1"/>
    <xf numFmtId="7" fontId="4" fillId="0" borderId="3" xfId="13" applyNumberFormat="1" applyFont="1" applyFill="1" applyBorder="1" applyAlignment="1"/>
    <xf numFmtId="168" fontId="30" fillId="0" borderId="0" xfId="0" applyNumberFormat="1" applyFont="1" applyFill="1"/>
    <xf numFmtId="199" fontId="6" fillId="0" borderId="0" xfId="13" applyNumberFormat="1" applyFont="1" applyFill="1" applyBorder="1" applyAlignment="1">
      <alignment horizontal="right" wrapText="1"/>
    </xf>
    <xf numFmtId="7" fontId="4" fillId="0" borderId="0" xfId="13" applyNumberFormat="1" applyFont="1" applyFill="1" applyBorder="1" applyAlignment="1"/>
    <xf numFmtId="165" fontId="83" fillId="0" borderId="0" xfId="13" applyNumberFormat="1" applyFont="1" applyFill="1" applyBorder="1"/>
    <xf numFmtId="165" fontId="83" fillId="0" borderId="0" xfId="13" applyNumberFormat="1" applyFont="1" applyFill="1" applyBorder="1" applyAlignment="1">
      <alignment horizontal="right"/>
    </xf>
    <xf numFmtId="166" fontId="24" fillId="0" borderId="0" xfId="0" applyNumberFormat="1" applyFont="1" applyFill="1" applyBorder="1"/>
    <xf numFmtId="165" fontId="6" fillId="9" borderId="0" xfId="13" applyNumberFormat="1" applyFont="1" applyFill="1" applyBorder="1"/>
    <xf numFmtId="165" fontId="14" fillId="0" borderId="0" xfId="13" applyNumberFormat="1" applyFont="1" applyFill="1"/>
    <xf numFmtId="165" fontId="91" fillId="0" borderId="0" xfId="13" applyNumberFormat="1" applyFont="1" applyFill="1"/>
    <xf numFmtId="168" fontId="12" fillId="0" borderId="0" xfId="30" applyNumberFormat="1" applyFont="1" applyFill="1" applyAlignment="1">
      <alignment horizontal="right"/>
    </xf>
    <xf numFmtId="39" fontId="4" fillId="0" borderId="7" xfId="12" applyNumberFormat="1" applyFont="1" applyFill="1" applyBorder="1" applyAlignment="1"/>
    <xf numFmtId="9" fontId="70" fillId="0" borderId="9" xfId="30" applyFont="1" applyFill="1" applyBorder="1"/>
    <xf numFmtId="207" fontId="83" fillId="0" borderId="0" xfId="0" applyNumberFormat="1" applyFont="1"/>
    <xf numFmtId="0" fontId="83" fillId="0" borderId="0" xfId="0" applyFont="1"/>
    <xf numFmtId="176" fontId="71" fillId="13" borderId="0" xfId="12" applyNumberFormat="1" applyFont="1" applyFill="1"/>
    <xf numFmtId="166" fontId="26" fillId="0" borderId="0" xfId="0" applyNumberFormat="1" applyFont="1" applyFill="1" applyBorder="1" applyAlignment="1">
      <alignment horizontal="center"/>
    </xf>
    <xf numFmtId="165" fontId="6" fillId="13" borderId="0" xfId="12" applyNumberFormat="1" applyFont="1" applyFill="1"/>
    <xf numFmtId="174" fontId="76" fillId="13" borderId="0" xfId="0" applyNumberFormat="1" applyFont="1" applyFill="1" applyAlignment="1">
      <alignment horizontal="right"/>
    </xf>
    <xf numFmtId="174" fontId="12" fillId="13" borderId="0" xfId="0" applyNumberFormat="1" applyFont="1" applyFill="1" applyAlignment="1">
      <alignment horizontal="right"/>
    </xf>
    <xf numFmtId="165" fontId="4" fillId="13" borderId="0" xfId="12" applyNumberFormat="1" applyFont="1" applyFill="1"/>
    <xf numFmtId="0" fontId="86" fillId="0" borderId="0" xfId="0" applyFont="1" applyFill="1" applyAlignment="1">
      <alignment horizontal="left" vertical="top" wrapText="1" indent="1"/>
    </xf>
    <xf numFmtId="9" fontId="70" fillId="0" borderId="0" xfId="30" applyFont="1" applyFill="1"/>
    <xf numFmtId="168" fontId="6" fillId="0" borderId="0" xfId="30" applyNumberFormat="1" applyFont="1"/>
    <xf numFmtId="44" fontId="86" fillId="0" borderId="0" xfId="16" applyFont="1"/>
    <xf numFmtId="0" fontId="86" fillId="0" borderId="0" xfId="0" applyFont="1"/>
    <xf numFmtId="0" fontId="4" fillId="0" borderId="0" xfId="0" applyFont="1" applyFill="1" applyBorder="1" applyAlignment="1">
      <alignment horizontal="left" vertical="top"/>
    </xf>
    <xf numFmtId="174" fontId="97" fillId="0" borderId="0" xfId="0" applyNumberFormat="1" applyFont="1" applyFill="1" applyAlignment="1">
      <alignment horizontal="right"/>
    </xf>
    <xf numFmtId="174" fontId="97" fillId="13" borderId="0" xfId="0" applyNumberFormat="1" applyFont="1" applyFill="1" applyAlignment="1">
      <alignment horizontal="right"/>
    </xf>
    <xf numFmtId="14" fontId="14" fillId="2" borderId="0" xfId="0" applyNumberFormat="1" applyFont="1" applyFill="1"/>
    <xf numFmtId="14" fontId="98" fillId="16" borderId="0" xfId="0" applyNumberFormat="1" applyFont="1" applyFill="1" applyBorder="1"/>
    <xf numFmtId="14" fontId="6" fillId="2" borderId="0" xfId="0" applyNumberFormat="1" applyFont="1" applyFill="1"/>
    <xf numFmtId="41" fontId="6" fillId="2" borderId="0" xfId="0" applyNumberFormat="1" applyFont="1" applyFill="1"/>
    <xf numFmtId="41" fontId="14" fillId="2" borderId="0" xfId="0" applyNumberFormat="1" applyFont="1" applyFill="1"/>
    <xf numFmtId="7" fontId="83" fillId="0" borderId="0" xfId="0" applyNumberFormat="1" applyFont="1" applyFill="1" applyAlignment="1">
      <alignment horizontal="right"/>
    </xf>
    <xf numFmtId="43" fontId="6" fillId="0" borderId="0" xfId="0" applyNumberFormat="1" applyFont="1" applyFill="1" applyAlignment="1">
      <alignment horizontal="right"/>
    </xf>
    <xf numFmtId="176" fontId="6" fillId="0" borderId="0" xfId="0" applyNumberFormat="1" applyFont="1"/>
    <xf numFmtId="8" fontId="0" fillId="0" borderId="0" xfId="0" applyNumberFormat="1" applyFill="1"/>
    <xf numFmtId="175" fontId="14" fillId="5" borderId="0" xfId="12" applyNumberFormat="1" applyFont="1" applyFill="1" applyAlignment="1"/>
    <xf numFmtId="167" fontId="14" fillId="0" borderId="0" xfId="12" applyNumberFormat="1" applyFont="1" applyFill="1"/>
    <xf numFmtId="167" fontId="14" fillId="0" borderId="0" xfId="12" applyNumberFormat="1" applyFont="1"/>
    <xf numFmtId="167" fontId="14" fillId="5" borderId="0" xfId="12" applyNumberFormat="1" applyFont="1" applyFill="1" applyAlignment="1"/>
    <xf numFmtId="167" fontId="14" fillId="5" borderId="2" xfId="12" applyNumberFormat="1" applyFont="1" applyFill="1" applyBorder="1" applyAlignment="1"/>
    <xf numFmtId="167" fontId="6" fillId="0" borderId="0" xfId="12" applyNumberFormat="1" applyFont="1"/>
    <xf numFmtId="167" fontId="6" fillId="0" borderId="0" xfId="0" applyNumberFormat="1" applyFont="1"/>
    <xf numFmtId="7" fontId="29" fillId="5" borderId="0" xfId="0" applyNumberFormat="1" applyFont="1" applyFill="1" applyAlignment="1">
      <alignment horizontal="center"/>
    </xf>
    <xf numFmtId="168" fontId="12" fillId="0" borderId="0" xfId="30" applyNumberFormat="1" applyFont="1" applyBorder="1"/>
    <xf numFmtId="0" fontId="46" fillId="0" borderId="0" xfId="0" applyFont="1" applyBorder="1"/>
    <xf numFmtId="0" fontId="12" fillId="0" borderId="0" xfId="0" applyFont="1" applyBorder="1"/>
    <xf numFmtId="165" fontId="12" fillId="0" borderId="0" xfId="12" applyNumberFormat="1" applyFont="1" applyFill="1" applyBorder="1" applyAlignment="1">
      <alignment horizontal="right" wrapText="1"/>
    </xf>
    <xf numFmtId="7" fontId="4" fillId="0" borderId="0" xfId="13" applyNumberFormat="1" applyFont="1" applyFill="1" applyBorder="1"/>
    <xf numFmtId="7" fontId="6" fillId="0" borderId="0" xfId="13" applyNumberFormat="1" applyFont="1" applyFill="1" applyBorder="1" applyAlignment="1"/>
    <xf numFmtId="7" fontId="6" fillId="0" borderId="0" xfId="13" applyNumberFormat="1" applyFont="1" applyFill="1" applyBorder="1"/>
    <xf numFmtId="168" fontId="12" fillId="0" borderId="0" xfId="30" applyNumberFormat="1" applyFont="1" applyFill="1" applyBorder="1" applyAlignment="1">
      <alignment horizontal="right" wrapText="1"/>
    </xf>
    <xf numFmtId="9" fontId="12" fillId="0" borderId="0" xfId="30" applyFont="1" applyFill="1" applyBorder="1" applyAlignment="1">
      <alignment horizontal="right" wrapText="1"/>
    </xf>
    <xf numFmtId="168" fontId="0" fillId="0" borderId="0" xfId="0" applyNumberFormat="1" applyBorder="1"/>
    <xf numFmtId="165" fontId="99" fillId="0" borderId="0" xfId="12" applyNumberFormat="1" applyFont="1" applyFill="1" applyBorder="1" applyAlignment="1">
      <alignment horizontal="right" wrapText="1"/>
    </xf>
    <xf numFmtId="165" fontId="98" fillId="0" borderId="0" xfId="12" applyNumberFormat="1" applyFont="1" applyFill="1" applyBorder="1" applyAlignment="1">
      <alignment horizontal="right" wrapText="1"/>
    </xf>
    <xf numFmtId="165" fontId="98" fillId="0" borderId="2" xfId="12" applyNumberFormat="1" applyFont="1" applyFill="1" applyBorder="1" applyAlignment="1">
      <alignment horizontal="right" wrapText="1"/>
    </xf>
    <xf numFmtId="167" fontId="98" fillId="0" borderId="0" xfId="0" applyNumberFormat="1" applyFont="1" applyFill="1" applyAlignment="1"/>
    <xf numFmtId="43" fontId="6" fillId="0" borderId="0" xfId="12" applyFont="1" applyFill="1"/>
    <xf numFmtId="174" fontId="83" fillId="9" borderId="0" xfId="0" applyNumberFormat="1" applyFont="1" applyFill="1" applyBorder="1"/>
    <xf numFmtId="10" fontId="6" fillId="0" borderId="0" xfId="0" applyNumberFormat="1" applyFont="1"/>
    <xf numFmtId="7" fontId="32" fillId="0" borderId="0" xfId="0" applyNumberFormat="1" applyFont="1" applyFill="1"/>
    <xf numFmtId="10" fontId="6" fillId="0" borderId="0" xfId="0" applyNumberFormat="1" applyFont="1" applyFill="1"/>
    <xf numFmtId="1" fontId="13" fillId="0" borderId="0" xfId="16" applyNumberFormat="1" applyFont="1" applyFill="1"/>
    <xf numFmtId="166" fontId="100" fillId="0" borderId="0" xfId="13" applyNumberFormat="1" applyFont="1" applyFill="1"/>
    <xf numFmtId="0" fontId="6" fillId="0" borderId="0" xfId="0" applyFont="1" applyFill="1" applyAlignment="1">
      <alignment horizontal="left" vertical="top" indent="1"/>
    </xf>
    <xf numFmtId="176" fontId="100" fillId="0" borderId="0" xfId="13" applyNumberFormat="1" applyFont="1" applyFill="1"/>
    <xf numFmtId="44" fontId="86" fillId="0" borderId="0" xfId="16" applyNumberFormat="1" applyFont="1"/>
    <xf numFmtId="174" fontId="101" fillId="0" borderId="0" xfId="0" applyNumberFormat="1" applyFont="1" applyFill="1" applyAlignment="1">
      <alignment horizontal="right"/>
    </xf>
    <xf numFmtId="174" fontId="101" fillId="0" borderId="0" xfId="0" quotePrefix="1" applyNumberFormat="1" applyFont="1" applyFill="1" applyAlignment="1">
      <alignment horizontal="right"/>
    </xf>
    <xf numFmtId="43" fontId="6" fillId="0" borderId="0" xfId="13" quotePrefix="1" applyNumberFormat="1" applyFont="1" applyFill="1" applyAlignment="1">
      <alignment horizontal="right"/>
    </xf>
    <xf numFmtId="165" fontId="6" fillId="0" borderId="0" xfId="13" quotePrefix="1" applyNumberFormat="1" applyFont="1" applyFill="1" applyBorder="1" applyAlignment="1">
      <alignment horizontal="right"/>
    </xf>
    <xf numFmtId="39" fontId="6" fillId="0" borderId="0" xfId="28" applyNumberFormat="1" applyFont="1" applyFill="1" applyBorder="1"/>
    <xf numFmtId="176" fontId="86" fillId="0" borderId="0" xfId="12" applyNumberFormat="1" applyFont="1" applyFill="1" applyAlignment="1">
      <alignment horizontal="right"/>
    </xf>
    <xf numFmtId="176" fontId="86" fillId="0" borderId="0" xfId="12" applyNumberFormat="1" applyFont="1"/>
    <xf numFmtId="179" fontId="4" fillId="0" borderId="0" xfId="16" applyNumberFormat="1" applyFont="1" applyAlignment="1">
      <alignment horizontal="center"/>
    </xf>
    <xf numFmtId="168" fontId="102" fillId="0" borderId="0" xfId="14" applyNumberFormat="1" applyFont="1" applyFill="1" applyBorder="1" applyAlignment="1" applyProtection="1">
      <alignment horizontal="center"/>
      <protection locked="0"/>
    </xf>
    <xf numFmtId="168" fontId="102" fillId="0" borderId="2" xfId="14" applyNumberFormat="1" applyFont="1" applyFill="1" applyBorder="1" applyAlignment="1" applyProtection="1">
      <alignment horizontal="center"/>
      <protection locked="0"/>
    </xf>
    <xf numFmtId="168" fontId="89" fillId="0" borderId="2" xfId="14" applyNumberFormat="1" applyFont="1" applyFill="1" applyBorder="1" applyAlignment="1" applyProtection="1">
      <alignment horizontal="center"/>
      <protection locked="0"/>
    </xf>
    <xf numFmtId="168" fontId="89" fillId="0" borderId="0" xfId="14" applyNumberFormat="1" applyFont="1" applyFill="1" applyBorder="1" applyAlignment="1" applyProtection="1">
      <alignment horizontal="center"/>
      <protection locked="0"/>
    </xf>
    <xf numFmtId="9" fontId="6" fillId="0" borderId="0" xfId="16" applyNumberFormat="1" applyFont="1"/>
    <xf numFmtId="9" fontId="100" fillId="0" borderId="0" xfId="16" applyNumberFormat="1" applyFont="1"/>
    <xf numFmtId="168" fontId="6" fillId="0" borderId="0" xfId="30" applyNumberFormat="1" applyFont="1" applyFill="1" applyBorder="1"/>
    <xf numFmtId="44" fontId="86" fillId="0" borderId="0" xfId="16" applyFont="1"/>
    <xf numFmtId="39" fontId="12" fillId="0" borderId="0" xfId="28" applyNumberFormat="1" applyFont="1" applyFill="1" applyBorder="1"/>
    <xf numFmtId="9" fontId="12" fillId="0" borderId="0" xfId="0" applyNumberFormat="1" applyFont="1"/>
    <xf numFmtId="9" fontId="89" fillId="0" borderId="0" xfId="0" applyNumberFormat="1" applyFont="1"/>
    <xf numFmtId="174" fontId="104" fillId="0" borderId="0" xfId="0" applyNumberFormat="1" applyFont="1" applyFill="1" applyAlignment="1">
      <alignment horizontal="right"/>
    </xf>
    <xf numFmtId="9" fontId="103" fillId="0" borderId="0" xfId="16" applyNumberFormat="1" applyFont="1"/>
    <xf numFmtId="0" fontId="67" fillId="12" borderId="0" xfId="0" applyFont="1" applyFill="1"/>
    <xf numFmtId="43" fontId="0" fillId="12" borderId="0" xfId="12" applyFont="1" applyFill="1"/>
    <xf numFmtId="176" fontId="0" fillId="12" borderId="0" xfId="0" applyNumberFormat="1" applyFill="1"/>
    <xf numFmtId="0" fontId="86" fillId="12" borderId="0" xfId="0" applyFont="1" applyFill="1"/>
    <xf numFmtId="37" fontId="86" fillId="12" borderId="0" xfId="12" applyNumberFormat="1" applyFont="1" applyFill="1"/>
    <xf numFmtId="37" fontId="0" fillId="12" borderId="0" xfId="12" applyNumberFormat="1" applyFont="1" applyFill="1"/>
    <xf numFmtId="9" fontId="103" fillId="12" borderId="0" xfId="0" applyNumberFormat="1" applyFont="1" applyFill="1"/>
    <xf numFmtId="9" fontId="6" fillId="0" borderId="0" xfId="30" applyFont="1"/>
    <xf numFmtId="175" fontId="6" fillId="0" borderId="0" xfId="0" applyNumberFormat="1" applyFont="1" applyFill="1"/>
    <xf numFmtId="168" fontId="107" fillId="0" borderId="0" xfId="30" applyNumberFormat="1" applyFont="1" applyFill="1"/>
    <xf numFmtId="7" fontId="86" fillId="0" borderId="0" xfId="0" applyNumberFormat="1" applyFont="1" applyFill="1"/>
    <xf numFmtId="168" fontId="103" fillId="0" borderId="0" xfId="30" applyNumberFormat="1" applyFont="1" applyFill="1"/>
    <xf numFmtId="175" fontId="4" fillId="0" borderId="19" xfId="28" applyNumberFormat="1" applyFont="1" applyBorder="1" applyAlignment="1"/>
    <xf numFmtId="168" fontId="4" fillId="0" borderId="18" xfId="28" applyNumberFormat="1" applyFont="1" applyFill="1" applyBorder="1"/>
    <xf numFmtId="175" fontId="6" fillId="0" borderId="4" xfId="28" applyNumberFormat="1" applyFont="1" applyBorder="1" applyAlignment="1">
      <alignment horizontal="left" indent="2"/>
    </xf>
    <xf numFmtId="5" fontId="6" fillId="0" borderId="20" xfId="28" applyNumberFormat="1" applyFont="1" applyFill="1" applyBorder="1"/>
    <xf numFmtId="175" fontId="4" fillId="0" borderId="7" xfId="28" applyNumberFormat="1" applyFont="1" applyBorder="1"/>
    <xf numFmtId="175" fontId="4" fillId="0" borderId="7" xfId="28" applyNumberFormat="1" applyFont="1" applyFill="1" applyBorder="1" applyAlignment="1">
      <alignment horizontal="center"/>
    </xf>
    <xf numFmtId="165" fontId="65" fillId="0" borderId="0" xfId="12" applyNumberFormat="1" applyFont="1" applyFill="1" applyBorder="1" applyAlignment="1">
      <alignment horizontal="right"/>
    </xf>
    <xf numFmtId="174" fontId="102" fillId="0" borderId="0" xfId="0" applyNumberFormat="1" applyFont="1" applyFill="1" applyAlignment="1">
      <alignment horizontal="right"/>
    </xf>
    <xf numFmtId="165" fontId="103" fillId="0" borderId="0" xfId="12" applyNumberFormat="1" applyFont="1" applyFill="1"/>
    <xf numFmtId="174" fontId="102" fillId="0" borderId="0" xfId="0" applyNumberFormat="1" applyFont="1" applyFill="1" applyBorder="1" applyAlignment="1">
      <alignment horizontal="right"/>
    </xf>
    <xf numFmtId="165" fontId="6" fillId="11" borderId="0" xfId="12" applyNumberFormat="1" applyFont="1" applyFill="1"/>
    <xf numFmtId="174" fontId="12" fillId="11" borderId="0" xfId="0" applyNumberFormat="1" applyFont="1" applyFill="1" applyAlignment="1">
      <alignment horizontal="right"/>
    </xf>
    <xf numFmtId="166" fontId="83" fillId="13" borderId="0" xfId="12" applyNumberFormat="1" applyFont="1" applyFill="1"/>
    <xf numFmtId="174" fontId="102" fillId="13" borderId="0" xfId="0" applyNumberFormat="1" applyFont="1" applyFill="1" applyAlignment="1">
      <alignment horizontal="right"/>
    </xf>
    <xf numFmtId="165" fontId="87" fillId="9" borderId="0" xfId="12" applyNumberFormat="1" applyFont="1" applyFill="1" applyBorder="1"/>
    <xf numFmtId="176" fontId="83" fillId="0" borderId="0" xfId="13" applyNumberFormat="1" applyFont="1" applyFill="1"/>
    <xf numFmtId="174" fontId="95" fillId="0" borderId="0" xfId="0" applyNumberFormat="1" applyFont="1" applyFill="1" applyAlignment="1">
      <alignment horizontal="right"/>
    </xf>
    <xf numFmtId="9" fontId="83" fillId="0" borderId="0" xfId="16" applyNumberFormat="1" applyFont="1"/>
    <xf numFmtId="165" fontId="86" fillId="0" borderId="15" xfId="12" applyNumberFormat="1" applyFont="1" applyFill="1" applyBorder="1"/>
    <xf numFmtId="5" fontId="86" fillId="0" borderId="18" xfId="28" applyNumberFormat="1" applyFont="1" applyFill="1" applyBorder="1"/>
    <xf numFmtId="5" fontId="86" fillId="0" borderId="15" xfId="28" applyNumberFormat="1" applyFont="1" applyFill="1" applyBorder="1"/>
    <xf numFmtId="7" fontId="5" fillId="0" borderId="0" xfId="0" applyNumberFormat="1" applyFont="1" applyFill="1" applyBorder="1"/>
    <xf numFmtId="165" fontId="6" fillId="0" borderId="0" xfId="12" applyNumberFormat="1" applyFont="1" applyFill="1" applyBorder="1" applyAlignment="1" applyProtection="1">
      <alignment horizontal="right"/>
      <protection locked="0"/>
    </xf>
    <xf numFmtId="0" fontId="6" fillId="10" borderId="0" xfId="0" applyFont="1" applyFill="1" applyBorder="1"/>
    <xf numFmtId="0" fontId="6" fillId="0" borderId="0" xfId="0" applyFont="1" applyFill="1" applyBorder="1" applyAlignment="1" applyProtection="1">
      <protection locked="0"/>
    </xf>
    <xf numFmtId="169" fontId="6" fillId="0" borderId="0" xfId="12" applyNumberFormat="1" applyFont="1" applyFill="1" applyBorder="1" applyProtection="1"/>
    <xf numFmtId="167" fontId="86" fillId="0" borderId="0" xfId="12" applyNumberFormat="1" applyFont="1" applyFill="1" applyBorder="1" applyAlignment="1" applyProtection="1">
      <alignment horizontal="right"/>
      <protection locked="0"/>
    </xf>
    <xf numFmtId="167" fontId="86" fillId="0" borderId="0" xfId="12" applyNumberFormat="1" applyFont="1" applyFill="1" applyBorder="1" applyAlignment="1" applyProtection="1">
      <alignment horizontal="right"/>
    </xf>
    <xf numFmtId="168" fontId="6" fillId="0" borderId="0" xfId="30" applyNumberFormat="1" applyFont="1" applyFill="1" applyBorder="1" applyProtection="1"/>
    <xf numFmtId="168" fontId="86" fillId="0" borderId="0" xfId="30" applyNumberFormat="1" applyFont="1" applyFill="1" applyBorder="1" applyAlignment="1" applyProtection="1">
      <alignment horizontal="right"/>
      <protection locked="0"/>
    </xf>
    <xf numFmtId="168" fontId="6" fillId="0" borderId="0" xfId="30" applyNumberFormat="1" applyFont="1" applyFill="1" applyBorder="1" applyAlignment="1" applyProtection="1">
      <alignment horizontal="right"/>
      <protection locked="0"/>
    </xf>
    <xf numFmtId="167" fontId="6" fillId="0" borderId="0" xfId="30" applyNumberFormat="1" applyFont="1" applyFill="1" applyBorder="1" applyAlignment="1" applyProtection="1">
      <alignment horizontal="right"/>
    </xf>
    <xf numFmtId="0" fontId="4" fillId="0" borderId="0" xfId="0" applyFont="1" applyFill="1" applyBorder="1" applyAlignment="1" applyProtection="1">
      <protection locked="0"/>
    </xf>
    <xf numFmtId="168" fontId="4" fillId="0" borderId="0" xfId="30" applyNumberFormat="1" applyFont="1" applyFill="1" applyBorder="1" applyProtection="1"/>
    <xf numFmtId="167" fontId="4" fillId="0" borderId="0" xfId="30" applyNumberFormat="1" applyFont="1" applyFill="1" applyBorder="1" applyAlignment="1" applyProtection="1">
      <alignment horizontal="right"/>
    </xf>
    <xf numFmtId="9" fontId="4" fillId="0" borderId="0" xfId="30" applyFont="1" applyFill="1" applyBorder="1" applyProtection="1"/>
    <xf numFmtId="168" fontId="4" fillId="0" borderId="0" xfId="30" applyNumberFormat="1" applyFont="1" applyFill="1" applyBorder="1" applyAlignment="1" applyProtection="1">
      <alignment horizontal="right"/>
    </xf>
    <xf numFmtId="9" fontId="6" fillId="0" borderId="0" xfId="30" applyFont="1" applyFill="1" applyBorder="1" applyProtection="1"/>
    <xf numFmtId="9" fontId="6" fillId="0" borderId="0" xfId="30" applyFont="1" applyFill="1" applyBorder="1" applyAlignment="1" applyProtection="1">
      <alignment horizontal="right"/>
    </xf>
    <xf numFmtId="165" fontId="6" fillId="0" borderId="0" xfId="12" applyNumberFormat="1" applyFont="1" applyFill="1" applyBorder="1" applyAlignment="1" applyProtection="1">
      <alignment horizontal="right"/>
    </xf>
    <xf numFmtId="176" fontId="6" fillId="0" borderId="0" xfId="30" applyNumberFormat="1" applyFont="1" applyFill="1" applyBorder="1" applyProtection="1"/>
    <xf numFmtId="165" fontId="4" fillId="0" borderId="0" xfId="12" applyNumberFormat="1" applyFont="1" applyFill="1" applyBorder="1" applyAlignment="1" applyProtection="1">
      <alignment horizontal="right"/>
    </xf>
    <xf numFmtId="167" fontId="6" fillId="0" borderId="0" xfId="12" applyNumberFormat="1" applyFont="1" applyFill="1" applyBorder="1" applyProtection="1"/>
    <xf numFmtId="167" fontId="6" fillId="0" borderId="0" xfId="12" applyNumberFormat="1" applyFont="1" applyFill="1" applyBorder="1" applyAlignment="1" applyProtection="1">
      <alignment horizontal="right"/>
    </xf>
    <xf numFmtId="167" fontId="86" fillId="0" borderId="0" xfId="12" applyNumberFormat="1" applyFont="1" applyFill="1" applyBorder="1" applyProtection="1"/>
    <xf numFmtId="167" fontId="6" fillId="0" borderId="0" xfId="12" applyNumberFormat="1" applyFont="1" applyFill="1" applyBorder="1" applyAlignment="1" applyProtection="1">
      <alignment horizontal="right"/>
      <protection locked="0"/>
    </xf>
    <xf numFmtId="167" fontId="6" fillId="0" borderId="0" xfId="30" applyNumberFormat="1" applyFont="1" applyFill="1" applyBorder="1" applyProtection="1"/>
    <xf numFmtId="167" fontId="4" fillId="0" borderId="0" xfId="12" applyNumberFormat="1" applyFont="1" applyFill="1" applyBorder="1" applyAlignment="1" applyProtection="1">
      <alignment horizontal="right"/>
      <protection locked="0"/>
    </xf>
    <xf numFmtId="167" fontId="4" fillId="0" borderId="0" xfId="30" applyNumberFormat="1" applyFont="1" applyFill="1" applyBorder="1" applyProtection="1"/>
    <xf numFmtId="168" fontId="4" fillId="0" borderId="0" xfId="30" applyNumberFormat="1" applyFont="1" applyFill="1" applyBorder="1" applyAlignment="1" applyProtection="1">
      <alignment horizontal="right"/>
      <protection locked="0"/>
    </xf>
    <xf numFmtId="165" fontId="6" fillId="0" borderId="0" xfId="12" applyNumberFormat="1" applyFont="1" applyFill="1" applyBorder="1" applyProtection="1"/>
    <xf numFmtId="0" fontId="12" fillId="0" borderId="0" xfId="0" applyFont="1" applyFill="1" applyBorder="1" applyAlignment="1" applyProtection="1">
      <protection locked="0"/>
    </xf>
    <xf numFmtId="165" fontId="4" fillId="0" borderId="0" xfId="12" applyNumberFormat="1" applyFont="1" applyFill="1" applyBorder="1" applyAlignment="1" applyProtection="1">
      <alignment horizontal="right"/>
      <protection locked="0"/>
    </xf>
    <xf numFmtId="165" fontId="4" fillId="0" borderId="0" xfId="12" applyNumberFormat="1" applyFont="1" applyFill="1" applyBorder="1" applyProtection="1"/>
    <xf numFmtId="168" fontId="6" fillId="0" borderId="0" xfId="30" applyNumberFormat="1" applyFont="1" applyFill="1" applyBorder="1" applyAlignment="1" applyProtection="1">
      <alignment horizontal="right"/>
    </xf>
    <xf numFmtId="0" fontId="15" fillId="0" borderId="0" xfId="0" applyFont="1" applyFill="1" applyBorder="1" applyAlignment="1" applyProtection="1">
      <protection locked="0"/>
    </xf>
    <xf numFmtId="43" fontId="89" fillId="0" borderId="0" xfId="12" applyFont="1" applyFill="1" applyAlignment="1">
      <alignment horizontal="right"/>
    </xf>
    <xf numFmtId="168" fontId="86" fillId="0" borderId="0" xfId="30" applyNumberFormat="1" applyFont="1" applyFill="1"/>
    <xf numFmtId="176" fontId="26" fillId="0" borderId="0" xfId="0" applyNumberFormat="1" applyFont="1" applyFill="1" applyBorder="1"/>
    <xf numFmtId="0" fontId="92" fillId="17" borderId="4" xfId="0" applyFont="1" applyFill="1" applyBorder="1"/>
    <xf numFmtId="0" fontId="92" fillId="17" borderId="20" xfId="0" applyFont="1" applyFill="1" applyBorder="1"/>
    <xf numFmtId="175" fontId="6" fillId="17" borderId="1" xfId="28" applyNumberFormat="1" applyFont="1" applyFill="1" applyBorder="1"/>
    <xf numFmtId="5" fontId="6" fillId="17" borderId="15" xfId="28" applyNumberFormat="1" applyFont="1" applyFill="1" applyBorder="1"/>
    <xf numFmtId="175" fontId="6" fillId="17" borderId="1" xfId="28" quotePrefix="1" applyNumberFormat="1" applyFont="1" applyFill="1" applyBorder="1"/>
    <xf numFmtId="175" fontId="6" fillId="17" borderId="19" xfId="28" quotePrefix="1" applyNumberFormat="1" applyFont="1" applyFill="1" applyBorder="1"/>
    <xf numFmtId="5" fontId="83" fillId="17" borderId="18" xfId="28" applyNumberFormat="1" applyFont="1" applyFill="1" applyBorder="1"/>
    <xf numFmtId="175" fontId="6" fillId="17" borderId="1" xfId="28" applyNumberFormat="1" applyFont="1" applyFill="1" applyBorder="1" applyAlignment="1">
      <alignment horizontal="left" indent="2"/>
    </xf>
    <xf numFmtId="5" fontId="6" fillId="17" borderId="18" xfId="28" applyNumberFormat="1" applyFont="1" applyFill="1" applyBorder="1"/>
    <xf numFmtId="165" fontId="6" fillId="17" borderId="15" xfId="12" applyNumberFormat="1" applyFont="1" applyFill="1" applyBorder="1"/>
    <xf numFmtId="175" fontId="6" fillId="17" borderId="19" xfId="28" applyNumberFormat="1" applyFont="1" applyFill="1" applyBorder="1" applyAlignment="1">
      <alignment horizontal="left" indent="2"/>
    </xf>
    <xf numFmtId="7" fontId="4" fillId="17" borderId="18" xfId="28" applyNumberFormat="1" applyFont="1" applyFill="1" applyBorder="1"/>
    <xf numFmtId="176" fontId="6" fillId="0" borderId="0" xfId="12" applyNumberFormat="1" applyFont="1" applyFill="1" applyBorder="1" applyAlignment="1" applyProtection="1">
      <alignment horizontal="right"/>
      <protection locked="0"/>
    </xf>
    <xf numFmtId="176" fontId="6" fillId="0" borderId="0" xfId="12" applyNumberFormat="1" applyFont="1" applyFill="1" applyBorder="1" applyAlignment="1" applyProtection="1">
      <alignment horizontal="right"/>
    </xf>
    <xf numFmtId="176" fontId="6" fillId="0" borderId="0" xfId="12" applyNumberFormat="1" applyFont="1" applyFill="1" applyBorder="1" applyProtection="1"/>
    <xf numFmtId="168" fontId="86" fillId="0" borderId="0" xfId="30" applyNumberFormat="1" applyFont="1" applyFill="1" applyBorder="1"/>
    <xf numFmtId="0" fontId="92" fillId="0" borderId="0" xfId="0" applyFont="1" applyFill="1" applyBorder="1"/>
    <xf numFmtId="175" fontId="4" fillId="0" borderId="0" xfId="28" applyNumberFormat="1" applyFont="1" applyFill="1" applyBorder="1" applyAlignment="1"/>
    <xf numFmtId="168" fontId="4" fillId="0" borderId="0" xfId="28" applyNumberFormat="1" applyFont="1" applyFill="1" applyBorder="1"/>
    <xf numFmtId="43" fontId="6" fillId="0" borderId="0" xfId="12" applyFont="1"/>
    <xf numFmtId="176" fontId="83" fillId="0" borderId="0" xfId="12" applyNumberFormat="1" applyFont="1"/>
    <xf numFmtId="165" fontId="83" fillId="0" borderId="0" xfId="12" applyNumberFormat="1" applyFont="1"/>
    <xf numFmtId="165" fontId="6" fillId="0" borderId="0" xfId="0" applyNumberFormat="1" applyFont="1"/>
    <xf numFmtId="13" fontId="0" fillId="0" borderId="0" xfId="0" applyNumberFormat="1"/>
    <xf numFmtId="44" fontId="6" fillId="0" borderId="0" xfId="16" applyFont="1"/>
    <xf numFmtId="44" fontId="83" fillId="0" borderId="0" xfId="16" applyFont="1"/>
    <xf numFmtId="168" fontId="97" fillId="9" borderId="0" xfId="0" applyNumberFormat="1" applyFont="1" applyFill="1" applyBorder="1" applyAlignment="1">
      <alignment horizontal="right"/>
    </xf>
    <xf numFmtId="9" fontId="6" fillId="0" borderId="0" xfId="30" applyFont="1" applyFill="1" applyAlignment="1">
      <alignment horizontal="right"/>
    </xf>
    <xf numFmtId="9" fontId="4" fillId="0" borderId="0" xfId="30" applyFont="1" applyFill="1" applyAlignment="1">
      <alignment horizontal="right"/>
    </xf>
    <xf numFmtId="0" fontId="0" fillId="0" borderId="0" xfId="0" applyFill="1" applyBorder="1" applyAlignment="1">
      <alignment horizontal="right"/>
    </xf>
    <xf numFmtId="0" fontId="0" fillId="0" borderId="0" xfId="0" applyFill="1" applyAlignment="1">
      <alignment horizontal="right"/>
    </xf>
    <xf numFmtId="168" fontId="13" fillId="0" borderId="0" xfId="30" applyNumberFormat="1" applyFont="1" applyFill="1" applyAlignment="1">
      <alignment horizontal="right"/>
    </xf>
    <xf numFmtId="9" fontId="6" fillId="15" borderId="0" xfId="16" applyNumberFormat="1" applyFont="1" applyFill="1"/>
    <xf numFmtId="9" fontId="6" fillId="15" borderId="0" xfId="0" applyNumberFormat="1" applyFont="1" applyFill="1"/>
    <xf numFmtId="165" fontId="6" fillId="15" borderId="0" xfId="13" applyNumberFormat="1" applyFont="1" applyFill="1" applyBorder="1"/>
    <xf numFmtId="5" fontId="83" fillId="0" borderId="15" xfId="28" applyNumberFormat="1" applyFont="1" applyFill="1" applyBorder="1"/>
    <xf numFmtId="43" fontId="6" fillId="0" borderId="0" xfId="0" applyNumberFormat="1" applyFont="1"/>
    <xf numFmtId="9" fontId="83" fillId="0" borderId="0" xfId="0" applyNumberFormat="1" applyFont="1"/>
    <xf numFmtId="9" fontId="26" fillId="0" borderId="0" xfId="30" applyFont="1" applyFill="1" applyBorder="1"/>
    <xf numFmtId="0" fontId="6" fillId="0" borderId="2" xfId="0" applyFont="1" applyFill="1" applyBorder="1" applyAlignment="1">
      <alignment horizontal="center"/>
    </xf>
    <xf numFmtId="164" fontId="6" fillId="0" borderId="0" xfId="0" applyNumberFormat="1" applyFont="1" applyFill="1" applyBorder="1"/>
    <xf numFmtId="164" fontId="4" fillId="0" borderId="0" xfId="0" applyNumberFormat="1" applyFont="1" applyFill="1" applyBorder="1"/>
    <xf numFmtId="164" fontId="6" fillId="0" borderId="0" xfId="0" applyNumberFormat="1" applyFont="1"/>
    <xf numFmtId="43" fontId="67" fillId="0" borderId="0" xfId="0" applyNumberFormat="1" applyFont="1" applyFill="1"/>
    <xf numFmtId="210" fontId="92" fillId="14" borderId="3" xfId="0" applyNumberFormat="1" applyFont="1" applyFill="1" applyBorder="1" applyAlignment="1">
      <alignment horizontal="center"/>
    </xf>
    <xf numFmtId="9" fontId="91" fillId="0" borderId="0" xfId="0" applyNumberFormat="1" applyFont="1"/>
    <xf numFmtId="9" fontId="12" fillId="10" borderId="0" xfId="0" applyNumberFormat="1" applyFont="1" applyFill="1" applyAlignment="1">
      <alignment horizontal="left" indent="2"/>
    </xf>
    <xf numFmtId="174" fontId="12" fillId="10" borderId="0" xfId="0" applyNumberFormat="1" applyFont="1" applyFill="1" applyAlignment="1">
      <alignment horizontal="right"/>
    </xf>
    <xf numFmtId="165" fontId="6" fillId="10" borderId="0" xfId="12" applyNumberFormat="1" applyFont="1" applyFill="1" applyBorder="1" applyAlignment="1"/>
    <xf numFmtId="0" fontId="6" fillId="0" borderId="2" xfId="0" applyFont="1" applyFill="1" applyBorder="1" applyAlignment="1">
      <alignment horizontal="center"/>
    </xf>
    <xf numFmtId="0" fontId="6" fillId="5" borderId="2" xfId="0" applyFont="1" applyFill="1" applyBorder="1" applyAlignment="1">
      <alignment horizontal="center"/>
    </xf>
    <xf numFmtId="0" fontId="4" fillId="0" borderId="3" xfId="0" applyFont="1" applyFill="1" applyBorder="1" applyAlignment="1">
      <alignment horizontal="center"/>
    </xf>
    <xf numFmtId="0" fontId="4" fillId="0" borderId="8" xfId="0" applyFont="1" applyFill="1" applyBorder="1" applyAlignment="1">
      <alignment horizontal="center"/>
    </xf>
    <xf numFmtId="0" fontId="4" fillId="5" borderId="8" xfId="0" applyFont="1" applyFill="1" applyBorder="1" applyAlignment="1">
      <alignment horizontal="center"/>
    </xf>
    <xf numFmtId="0" fontId="3" fillId="18" borderId="0" xfId="50" applyFont="1" applyFill="1" applyAlignment="1">
      <alignment vertical="top"/>
    </xf>
    <xf numFmtId="0" fontId="3" fillId="18" borderId="0" xfId="37" applyFill="1" applyAlignment="1">
      <alignment vertical="top"/>
    </xf>
    <xf numFmtId="0" fontId="3" fillId="18" borderId="0" xfId="37" applyFill="1"/>
    <xf numFmtId="0" fontId="33" fillId="18" borderId="0" xfId="50" applyFont="1" applyFill="1" applyAlignment="1">
      <alignment horizontal="left" vertical="top"/>
    </xf>
    <xf numFmtId="0" fontId="3" fillId="18" borderId="0" xfId="37" applyFont="1" applyFill="1" applyAlignment="1">
      <alignment vertical="top"/>
    </xf>
    <xf numFmtId="0" fontId="28" fillId="18" borderId="0" xfId="50" applyFont="1" applyFill="1" applyAlignment="1">
      <alignment vertical="top"/>
    </xf>
    <xf numFmtId="0" fontId="0" fillId="18" borderId="0" xfId="0" applyFill="1" applyAlignment="1">
      <alignment vertical="top"/>
    </xf>
    <xf numFmtId="0" fontId="108" fillId="18" borderId="0" xfId="0" applyFont="1" applyFill="1" applyAlignment="1">
      <alignment vertical="top"/>
    </xf>
    <xf numFmtId="0" fontId="109" fillId="18" borderId="0" xfId="0" applyFont="1" applyFill="1" applyAlignment="1">
      <alignment vertical="top"/>
    </xf>
    <xf numFmtId="0" fontId="109" fillId="18" borderId="0" xfId="0" applyFont="1" applyFill="1" applyAlignment="1">
      <alignment vertical="top"/>
    </xf>
    <xf numFmtId="0" fontId="108" fillId="18" borderId="0" xfId="0" applyFont="1" applyFill="1" applyAlignment="1">
      <alignment vertical="top"/>
    </xf>
    <xf numFmtId="0" fontId="0" fillId="18" borderId="0" xfId="0" applyFill="1" applyAlignment="1">
      <alignment vertical="top"/>
    </xf>
    <xf numFmtId="0" fontId="0" fillId="18" borderId="26" xfId="0" applyFill="1" applyBorder="1" applyAlignment="1">
      <alignment vertical="top"/>
    </xf>
    <xf numFmtId="0" fontId="108" fillId="18" borderId="22" xfId="0" applyFont="1" applyFill="1" applyBorder="1" applyAlignment="1">
      <alignment vertical="top"/>
    </xf>
    <xf numFmtId="0" fontId="108" fillId="18" borderId="23" xfId="0" applyFont="1" applyFill="1" applyBorder="1" applyAlignment="1">
      <alignment vertical="top"/>
    </xf>
    <xf numFmtId="0" fontId="108" fillId="18" borderId="24" xfId="0" applyFont="1" applyFill="1" applyBorder="1" applyAlignment="1">
      <alignment vertical="top"/>
    </xf>
    <xf numFmtId="0" fontId="108" fillId="18" borderId="25" xfId="0" applyFont="1" applyFill="1" applyBorder="1" applyAlignment="1">
      <alignment vertical="top"/>
    </xf>
    <xf numFmtId="9" fontId="108" fillId="18" borderId="22" xfId="0" applyNumberFormat="1" applyFont="1" applyFill="1" applyBorder="1" applyAlignment="1">
      <alignment vertical="top"/>
    </xf>
    <xf numFmtId="3" fontId="108" fillId="18" borderId="22" xfId="0" applyNumberFormat="1" applyFont="1" applyFill="1" applyBorder="1" applyAlignment="1">
      <alignment vertical="top"/>
    </xf>
    <xf numFmtId="0" fontId="0" fillId="18" borderId="27" xfId="0" applyFill="1" applyBorder="1" applyAlignment="1">
      <alignment vertical="top"/>
    </xf>
    <xf numFmtId="2" fontId="3" fillId="0" borderId="0" xfId="37" applyNumberFormat="1" applyAlignment="1">
      <alignment horizontal="left"/>
    </xf>
    <xf numFmtId="0" fontId="3" fillId="0" borderId="0" xfId="37" applyNumberFormat="1" applyAlignment="1">
      <alignment horizontal="left"/>
    </xf>
    <xf numFmtId="1" fontId="3" fillId="0" borderId="0" xfId="37" applyNumberFormat="1" applyAlignment="1">
      <alignment horizontal="left"/>
    </xf>
    <xf numFmtId="0" fontId="3" fillId="0" borderId="0" xfId="37" applyFont="1"/>
    <xf numFmtId="216" fontId="3" fillId="0" borderId="0" xfId="37" applyNumberFormat="1" applyAlignment="1">
      <alignment horizontal="left"/>
    </xf>
    <xf numFmtId="49" fontId="3" fillId="0" borderId="0" xfId="37" applyNumberFormat="1"/>
  </cellXfs>
  <cellStyles count="51">
    <cellStyle name=" 1" xfId="1"/>
    <cellStyle name="_COV" xfId="2"/>
    <cellStyle name="_COV_A_Nov20 2 2" xfId="3"/>
    <cellStyle name="_SUMMARY " xfId="4"/>
    <cellStyle name="_Wireline Tel Forecast " xfId="45"/>
    <cellStyle name="=C:\WINNT35\SYSTEM32\COMMAND.COM" xfId="5"/>
    <cellStyle name="0_Capex &amp; Depreciation " xfId="7"/>
    <cellStyle name="0_Pension_UTX Example_Acute Care " xfId="8"/>
    <cellStyle name="0_TPP.N Ver 15_Acute Care " xfId="9"/>
    <cellStyle name="0_Valuing BP " xfId="10"/>
    <cellStyle name="0_Wireline Tel Forecast " xfId="46"/>
    <cellStyle name="c_HardInc " xfId="11"/>
    <cellStyle name="Comma" xfId="12" builtinId="3"/>
    <cellStyle name="Comma 2" xfId="13"/>
    <cellStyle name="Comma 3" xfId="44"/>
    <cellStyle name="Comma_BKS" xfId="14"/>
    <cellStyle name="Comma_Sheet1" xfId="15"/>
    <cellStyle name="Currency" xfId="16" builtinId="4"/>
    <cellStyle name="Currency 2" xfId="17"/>
    <cellStyle name="Currency 5 2 2" xfId="49"/>
    <cellStyle name="Hyperlink" xfId="18" builtinId="8"/>
    <cellStyle name="Hyperlink 2" xfId="41"/>
    <cellStyle name="Normal" xfId="0" builtinId="0"/>
    <cellStyle name="Normal 1" xfId="19"/>
    <cellStyle name="Normal 17" xfId="40"/>
    <cellStyle name="Normal 18" xfId="42"/>
    <cellStyle name="Normal 2" xfId="20"/>
    <cellStyle name="Normal 29" xfId="47"/>
    <cellStyle name="Normal 3" xfId="21"/>
    <cellStyle name="Normal 3 2" xfId="37"/>
    <cellStyle name="Normal 6" xfId="39"/>
    <cellStyle name="Normal_ABMD2Q2009_v2" xfId="22"/>
    <cellStyle name="Normal_bec" xfId="23"/>
    <cellStyle name="Normal_BS" xfId="24"/>
    <cellStyle name="Normal_CYTC" xfId="25"/>
    <cellStyle name="Normal_DisclaimerSheet Samples" xfId="50"/>
    <cellStyle name="Normal_HOLXcurrent" xfId="26"/>
    <cellStyle name="Normal_MAY" xfId="27"/>
    <cellStyle name="Normal_WBMD" xfId="28"/>
    <cellStyle name="p " xfId="29"/>
    <cellStyle name="Percent" xfId="30" builtinId="5"/>
    <cellStyle name="Percent 2" xfId="31"/>
    <cellStyle name="Percent 2 2" xfId="38"/>
    <cellStyle name="Percent 3" xfId="43"/>
    <cellStyle name="Percent 7" xfId="32"/>
    <cellStyle name="RRSInstruction" xfId="33"/>
    <cellStyle name="RRSInstruction 2" xfId="6"/>
    <cellStyle name="s_DCFLBO Code_Wireline Tel Forecast " xfId="48"/>
    <cellStyle name="s_HardInc " xfId="34"/>
    <cellStyle name="s_Valuation " xfId="35"/>
    <cellStyle name="ssp " xfId="36"/>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EEC960"/>
      <color rgb="FF009644"/>
      <color rgb="FF137CB1"/>
      <color rgb="FF3333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externalLinks/externalLink1.xml" Type="http://schemas.openxmlformats.org/officeDocument/2006/relationships/externalLink"/>
<Relationship Id="rId14" Target="externalLinks/externalLink2.xml" Type="http://schemas.openxmlformats.org/officeDocument/2006/relationships/externalLink"/>
<Relationship Id="rId15" Target="externalLinks/externalLink3.xml" Type="http://schemas.openxmlformats.org/officeDocument/2006/relationships/externalLink"/>
<Relationship Id="rId16" Target="externalLinks/externalLink4.xml" Type="http://schemas.openxmlformats.org/officeDocument/2006/relationships/externalLink"/>
<Relationship Id="rId17" Target="externalLinks/externalLink5.xml" Type="http://schemas.openxmlformats.org/officeDocument/2006/relationships/externalLink"/>
<Relationship Id="rId18" Target="externalLinks/externalLink6.xml" Type="http://schemas.openxmlformats.org/officeDocument/2006/relationships/externalLink"/>
<Relationship Id="rId19" Target="externalLinks/externalLink7.xml" Type="http://schemas.openxmlformats.org/officeDocument/2006/relationships/externalLink"/>
<Relationship Id="rId2" Target="worksheets/sheet2.xml" Type="http://schemas.openxmlformats.org/officeDocument/2006/relationships/worksheet"/>
<Relationship Id="rId20" Target="externalLinks/externalLink8.xml" Type="http://schemas.openxmlformats.org/officeDocument/2006/relationships/externalLink"/>
<Relationship Id="rId21" Target="externalLinks/externalLink9.xml" Type="http://schemas.openxmlformats.org/officeDocument/2006/relationships/externalLink"/>
<Relationship Id="rId22" Target="theme/theme1.xml" Type="http://schemas.openxmlformats.org/officeDocument/2006/relationships/theme"/>
<Relationship Id="rId23" Target="styles.xml" Type="http://schemas.openxmlformats.org/officeDocument/2006/relationships/styles"/>
<Relationship Id="rId24" Target="sharedStrings.xml" Type="http://schemas.openxmlformats.org/officeDocument/2006/relationships/sharedStrings"/>
<Relationship Id="rId25" Target="calcChain.xml" Type="http://schemas.openxmlformats.org/officeDocument/2006/relationships/calcChain"/>
<Relationship Id="rId26" Target="../customXml/item1.xml" Type="http://schemas.openxmlformats.org/officeDocument/2006/relationships/customXml"/>
<Relationship Id="rId27" Target="../customXml/item2.xml" Type="http://schemas.openxmlformats.org/officeDocument/2006/relationships/customXml"/>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Drop" dropStyle="combo" dx="16" fmlaLink="$B$81" fmlaRange="$CZ$2:$CZ$4" noThreeD="1" val="0"/>
</file>

<file path=xl/ctrlProps/ctrlProp2.xml><?xml version="1.0" encoding="utf-8"?>
<formControlPr xmlns="http://schemas.microsoft.com/office/spreadsheetml/2009/9/main" objectType="Drop" dropStyle="combo" dx="16" fmlaLink="$A$134" fmlaRange="$BS$2:$BS$4" noThreeD="1" sel="0" val="0"/>
</file>

<file path=xl/ctrlProps/ctrlProp3.xml><?xml version="1.0" encoding="utf-8"?>
<formControlPr xmlns="http://schemas.microsoft.com/office/spreadsheetml/2009/9/main" objectType="Drop" dropStyle="combo" dx="16" fmlaLink="'P&amp;L'!$B$81" fmlaRange="'P&amp;L'!$CZ$2:$CZ$4" noThreeD="1" val="0"/>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64751617" name="Picture 1" descr="C:\Users\wachter\AppData\Local\Temp\MercuryPriceRatingHistoryChart\ALGN.O_2018_04_26_00_10_19.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2891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1647825</xdr:colOff>
      <xdr:row>0</xdr:row>
      <xdr:rowOff>95250</xdr:rowOff>
    </xdr:from>
    <xdr:to>
      <xdr:col>4</xdr:col>
      <xdr:colOff>514350</xdr:colOff>
      <xdr:row>2</xdr:row>
      <xdr:rowOff>257175</xdr:rowOff>
    </xdr:to>
    <xdr:sp macro="" textlink="">
      <xdr:nvSpPr>
        <xdr:cNvPr id="8193" name="Text Box 1"/>
        <xdr:cNvSpPr txBox="1">
          <a:spLocks noChangeArrowheads="1"/>
        </xdr:cNvSpPr>
      </xdr:nvSpPr>
      <xdr:spPr bwMode="auto">
        <a:xfrm>
          <a:off x="5895975" y="95250"/>
          <a:ext cx="3448050" cy="79057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7432" rIns="27432" bIns="0" anchor="t" upright="1"/>
        <a:lstStyle/>
        <a:p>
          <a:pPr algn="r" rtl="0">
            <a:defRPr sz="1000"/>
          </a:pPr>
          <a:r>
            <a:rPr lang="en-US" sz="1100" b="1" i="0" u="none" strike="noStrike" baseline="0">
              <a:solidFill>
                <a:srgbClr val="000000"/>
              </a:solidFill>
              <a:latin typeface="Arial"/>
              <a:cs typeface="Arial"/>
            </a:rPr>
            <a:t>Steve Beuchaw</a:t>
          </a:r>
        </a:p>
        <a:p>
          <a:pPr algn="r" rtl="0">
            <a:defRPr sz="1000"/>
          </a:pPr>
          <a:r>
            <a:rPr lang="en-US" sz="1100" b="1" i="0" u="none" strike="noStrike" baseline="0">
              <a:solidFill>
                <a:srgbClr val="000000"/>
              </a:solidFill>
              <a:latin typeface="Arial"/>
              <a:cs typeface="Arial"/>
            </a:rPr>
            <a:t>Life Science Tools &amp; Diagnostics</a:t>
          </a:r>
        </a:p>
        <a:p>
          <a:pPr algn="r" rtl="0">
            <a:defRPr sz="1000"/>
          </a:pPr>
          <a:r>
            <a:rPr lang="en-US" sz="1100" b="0" i="0" u="none" strike="noStrike" baseline="0">
              <a:solidFill>
                <a:srgbClr val="000000"/>
              </a:solidFill>
              <a:latin typeface="Arial"/>
              <a:cs typeface="Arial"/>
            </a:rPr>
            <a:t>steve.beuchaw@ms.com</a:t>
          </a:r>
        </a:p>
        <a:p>
          <a:pPr algn="r" rtl="0">
            <a:defRPr sz="1000"/>
          </a:pPr>
          <a:r>
            <a:rPr lang="en-US" sz="1100" b="0" i="0" u="none" strike="noStrike" baseline="0">
              <a:solidFill>
                <a:srgbClr val="000000"/>
              </a:solidFill>
              <a:latin typeface="Arial"/>
              <a:cs typeface="Arial"/>
            </a:rPr>
            <a:t>        (212) 761-6672</a:t>
          </a:r>
        </a:p>
      </xdr:txBody>
    </xdr:sp>
    <xdr:clientData/>
  </xdr:twoCellAnchor>
  <xdr:twoCellAnchor editAs="oneCell">
    <xdr:from>
      <xdr:col>0</xdr:col>
      <xdr:colOff>47625</xdr:colOff>
      <xdr:row>1</xdr:row>
      <xdr:rowOff>38100</xdr:rowOff>
    </xdr:from>
    <xdr:to>
      <xdr:col>0</xdr:col>
      <xdr:colOff>3257550</xdr:colOff>
      <xdr:row>2</xdr:row>
      <xdr:rowOff>47625</xdr:rowOff>
    </xdr:to>
    <xdr:pic>
      <xdr:nvPicPr>
        <xdr:cNvPr id="9956168" name="Picture 2" descr="Morgan%20Stanley%20sm_57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200025"/>
          <a:ext cx="32099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4</xdr:row>
          <xdr:rowOff>9525</xdr:rowOff>
        </xdr:from>
        <xdr:to>
          <xdr:col>1</xdr:col>
          <xdr:colOff>733425</xdr:colOff>
          <xdr:row>4</xdr:row>
          <xdr:rowOff>133350</xdr:rowOff>
        </xdr:to>
        <xdr:sp macro="" textlink="">
          <xdr:nvSpPr>
            <xdr:cNvPr id="4101" name="Drop Down 5" hidden="1">
              <a:extLst>
                <a:ext uri="{63B3BB69-23CF-44E3-9099-C40C66FF867C}">
                  <a14:compatExt spid="_x0000_s410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66</xdr:col>
          <xdr:colOff>114300</xdr:colOff>
          <xdr:row>123</xdr:row>
          <xdr:rowOff>19050</xdr:rowOff>
        </xdr:from>
        <xdr:to>
          <xdr:col>67</xdr:col>
          <xdr:colOff>381000</xdr:colOff>
          <xdr:row>124</xdr:row>
          <xdr:rowOff>57150</xdr:rowOff>
        </xdr:to>
        <xdr:sp macro="" textlink="">
          <xdr:nvSpPr>
            <xdr:cNvPr id="6147" name="Drop Down 3"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66675</xdr:rowOff>
        </xdr:from>
        <xdr:to>
          <xdr:col>1</xdr:col>
          <xdr:colOff>1066800</xdr:colOff>
          <xdr:row>4</xdr:row>
          <xdr:rowOff>104775</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file://///172.16.68.11/Archimedes/TEMP/Regions%20Fin%20Stmts%20THE%20GOAL%20HC.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Documents%20and%20Settings/rockefel/Local%20Settings/Temporary%20Internet%20Files/OLK56/USERS/LADIWALA/VALTN/BBL/BIO-VL3.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Users/jerliu/AppData/Local/Microsoft/Windows/Temporary%20Internet%20Files/Content.Outlook/YQIN1JR6/Wearables_GoogleTrends_Region%20Breakout_Fitbit.xlsx" TargetMode="External" Type="http://schemas.openxmlformats.org/officeDocument/2006/relationships/externalLinkPath"/>
</Relationships>

</file>

<file path=xl/externalLinks/_rels/externalLink7.xml.rels><?xml version="1.0" encoding="UTF-8" standalone="yes"?>
<Relationships xmlns="http://schemas.openxmlformats.org/package/2006/relationships">
<Relationship Id="rId1" Target="Book4" TargetMode="External" Type="http://schemas.microsoft.com/office/2006/relationships/xlExternalLinkPath/xlPathMissing"/>
</Relationships>

</file>

<file path=xl/externalLinks/_rels/externalLink8.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9.xml.rels><?xml version="1.0" encoding="UTF-8" standalone="yes"?>
<Relationships xmlns="http://schemas.openxmlformats.org/package/2006/relationships">
<Relationship Id="rId1" Target="file:///U:/multiTimelinezltq.xlsx"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Notes"/>
      <sheetName val="ImportHistory"/>
      <sheetName val="Data"/>
      <sheetName val="Contents"/>
      <sheetName val="MW"/>
      <sheetName val="MW1"/>
      <sheetName val="MW2"/>
      <sheetName val="Graphs"/>
      <sheetName val="Americas Exec"/>
      <sheetName val="Consulting Services"/>
      <sheetName val="Corp OH"/>
      <sheetName val="Corp Funding"/>
      <sheetName val="SCEM"/>
      <sheetName val="SPS"/>
      <sheetName val="NA"/>
      <sheetName val="LA"/>
      <sheetName val="AMERICAS"/>
      <sheetName val="EUROPE"/>
      <sheetName val="Asia"/>
      <sheetName val="TOTAL SEI"/>
      <sheetName val="ROE"/>
    </sheetNames>
    <sheetDataSet>
      <sheetData sheetId="0" refreshError="1">
        <row r="16">
          <cell r="D16" t="str">
            <v>Hold Com</v>
          </cell>
          <cell r="E16">
            <v>547</v>
          </cell>
          <cell r="F16" t="str">
            <v>Accounts Payable Associated Companies</v>
          </cell>
        </row>
        <row r="17">
          <cell r="D17" t="str">
            <v>SE Americas Exec</v>
          </cell>
          <cell r="E17">
            <v>3</v>
          </cell>
          <cell r="F17" t="str">
            <v>ACCUMULATED DEPRECIATION</v>
          </cell>
        </row>
        <row r="18">
          <cell r="D18" t="str">
            <v>SE Consulting Serv</v>
          </cell>
          <cell r="E18">
            <v>507</v>
          </cell>
          <cell r="F18" t="str">
            <v>Administrative and General O&amp;M Expense</v>
          </cell>
        </row>
        <row r="19">
          <cell r="D19" t="str">
            <v>SE Corp Funding</v>
          </cell>
          <cell r="E19">
            <v>518</v>
          </cell>
          <cell r="F19" t="str">
            <v>AFUDC Debt</v>
          </cell>
        </row>
        <row r="23">
          <cell r="D23" t="str">
            <v>SEG SCEM</v>
          </cell>
          <cell r="E23">
            <v>493</v>
          </cell>
          <cell r="F23" t="str">
            <v>Associated Revenues</v>
          </cell>
        </row>
        <row r="24">
          <cell r="D24" t="str">
            <v>SEI Asia</v>
          </cell>
          <cell r="E24">
            <v>1130</v>
          </cell>
          <cell r="F24" t="str">
            <v>Average Price Per Share</v>
          </cell>
        </row>
        <row r="25">
          <cell r="D25" t="str">
            <v>SEI Europe</v>
          </cell>
          <cell r="E25">
            <v>291</v>
          </cell>
          <cell r="F25" t="str">
            <v>Average Return on Equity %</v>
          </cell>
        </row>
        <row r="83">
          <cell r="E83">
            <v>1104</v>
          </cell>
          <cell r="F83" t="str">
            <v>Intercompany Preferred Stock</v>
          </cell>
        </row>
        <row r="88">
          <cell r="E88">
            <v>16</v>
          </cell>
          <cell r="F88" t="str">
            <v>LONG TERM DEBT</v>
          </cell>
        </row>
        <row r="92">
          <cell r="E92">
            <v>579</v>
          </cell>
          <cell r="F92" t="str">
            <v>Minority Interest Debt B Redemptions</v>
          </cell>
        </row>
      </sheetData>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exh 11"/>
      <sheetName val="exh 14"/>
      <sheetName val="exh 12"/>
      <sheetName val="exh 10"/>
      <sheetName val="exh 1 and 5"/>
      <sheetName val="exh 15"/>
      <sheetName val="exh 3"/>
      <sheetName val="exh 9"/>
      <sheetName val="Good 12-00 (2)"/>
      <sheetName val="Good 11-36"/>
      <sheetName val="Good 11-50"/>
      <sheetName val="Sheet3 (5)"/>
      <sheetName val="WACC"/>
      <sheetName val="Sheet1"/>
      <sheetName val="Fixed Line Mkt"/>
      <sheetName val="Cash Flow"/>
      <sheetName val="upside_downside"/>
      <sheetName val="Income Statement"/>
      <sheetName val="Balance Sheet"/>
      <sheetName val="Valsum"/>
      <sheetName val="Total_Production"/>
      <sheetName val="RFS"/>
      <sheetName val="Corn_Uses"/>
      <sheetName val="US_Production"/>
      <sheetName val="DCF"/>
      <sheetName val="OP"/>
      <sheetName val="Inputs"/>
      <sheetName val="MWA RR"/>
      <sheetName val="Summary"/>
      <sheetName val="IS"/>
      <sheetName val="Risk-Reward_View_Chart"/>
      <sheetName val="variables"/>
      <sheetName val="IS Quarterly"/>
      <sheetName val="Sheet1 (2)"/>
      <sheetName val="1Q11 Preview"/>
      <sheetName val="2Q11 Preview"/>
      <sheetName val="Model"/>
      <sheetName val="Intrinsic Value"/>
      <sheetName val="Rev by Geo"/>
      <sheetName val="fin"/>
      <sheetName val="Report template"/>
      <sheetName val="Model (WIP)"/>
      <sheetName val="sales bkd"/>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Summary"/>
      <sheetName val="Floater Demand"/>
      <sheetName val="Inputs"/>
      <sheetName val="FX"/>
      <sheetName val="Good 12-00 (2)"/>
      <sheetName val="Good 11-36"/>
      <sheetName val="Good 11-50"/>
      <sheetName val="Sheet3 (5)"/>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Z"/>
      <sheetName val="TPP"/>
      <sheetName val="EPE"/>
      <sheetName val="WMZ"/>
      <sheetName val="HEP"/>
      <sheetName val="MGG"/>
      <sheetName val="ETE"/>
      <sheetName val="BGH"/>
      <sheetName val="SEP"/>
      <sheetName val="TCLP"/>
      <sheetName val="SXL"/>
      <sheetName val="WES"/>
      <sheetName val="WP Detail "/>
      <sheetName val="Model"/>
      <sheetName val="Sheet4"/>
      <sheetName val="ForeignStake"/>
      <sheetName val="rev change analysis"/>
      <sheetName val="rev contribution analysi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
      <sheetName val="Bio (2)"/>
      <sheetName val="Bio (3)"/>
      <sheetName val="Bio (4)"/>
      <sheetName val="Bio (5)"/>
      <sheetName val="Sheet1"/>
      <sheetName val="Sheet2"/>
      <sheetName val="FF-manpwr"/>
    </sheetNames>
    <sheetDataSet>
      <sheetData sheetId="0" refreshError="1">
        <row r="5">
          <cell r="A5" t="str">
            <v>Present Market Value</v>
          </cell>
        </row>
        <row r="6">
          <cell r="A6" t="str">
            <v>(Dollars in millions except per share data)</v>
          </cell>
        </row>
        <row r="8">
          <cell r="C8" t="str">
            <v>PUBLIC</v>
          </cell>
          <cell r="D8" t="str">
            <v>PUBLIC COMPARABLES(2)</v>
          </cell>
          <cell r="H8" t="str">
            <v>TRANSACTION COMPARABLES</v>
          </cell>
        </row>
        <row r="9">
          <cell r="B9" t="str">
            <v>Target</v>
          </cell>
          <cell r="C9" t="str">
            <v>COMP.</v>
          </cell>
          <cell r="J9" t="str">
            <v xml:space="preserve">J &amp; W </v>
          </cell>
          <cell r="K9" t="str">
            <v xml:space="preserve">Baxter </v>
          </cell>
          <cell r="L9" t="str">
            <v>E. Merck/</v>
          </cell>
        </row>
        <row r="10">
          <cell r="B10" t="str">
            <v>@ Offer</v>
          </cell>
          <cell r="C10" t="str">
            <v xml:space="preserve">AVG (1)  </v>
          </cell>
          <cell r="D10" t="str">
            <v>Fisher</v>
          </cell>
          <cell r="E10" t="str">
            <v>VWR</v>
          </cell>
          <cell r="H10" t="str">
            <v>Cosa Rocas</v>
          </cell>
          <cell r="I10" t="str">
            <v>CMS/ FSE</v>
          </cell>
          <cell r="J10" t="str">
            <v>Scientific</v>
          </cell>
          <cell r="K10" t="str">
            <v>Industrial</v>
          </cell>
          <cell r="L10" t="str">
            <v>VWR Equity Purch.</v>
          </cell>
        </row>
        <row r="12">
          <cell r="A12" t="str">
            <v>Market Value or Offer Price</v>
          </cell>
          <cell r="B12">
            <v>123.12350330737669</v>
          </cell>
          <cell r="D12">
            <v>562.5</v>
          </cell>
          <cell r="E12">
            <v>962.55</v>
          </cell>
          <cell r="H12">
            <v>5.5</v>
          </cell>
          <cell r="I12">
            <v>310</v>
          </cell>
          <cell r="J12">
            <v>35</v>
          </cell>
          <cell r="K12">
            <v>475</v>
          </cell>
          <cell r="L12">
            <v>250.88399999999999</v>
          </cell>
        </row>
        <row r="13">
          <cell r="A13" t="str">
            <v>Total Debt (net) (3)</v>
          </cell>
          <cell r="B13">
            <v>-43.806672424171659</v>
          </cell>
          <cell r="D13">
            <v>843.8</v>
          </cell>
          <cell r="E13">
            <v>232.4</v>
          </cell>
          <cell r="H13">
            <v>1</v>
          </cell>
          <cell r="I13">
            <v>0</v>
          </cell>
          <cell r="J13">
            <v>0</v>
          </cell>
          <cell r="K13">
            <v>0</v>
          </cell>
          <cell r="L13">
            <v>408.1</v>
          </cell>
        </row>
        <row r="14">
          <cell r="A14" t="str">
            <v xml:space="preserve">Market Capitalization </v>
          </cell>
          <cell r="B14">
            <v>79.316830883205029</v>
          </cell>
          <cell r="D14">
            <v>1406.3</v>
          </cell>
          <cell r="E14">
            <v>1194.95</v>
          </cell>
          <cell r="H14">
            <v>6.5</v>
          </cell>
          <cell r="I14">
            <v>310</v>
          </cell>
          <cell r="J14">
            <v>35</v>
          </cell>
          <cell r="K14">
            <v>475</v>
          </cell>
          <cell r="L14">
            <v>658.98400000000004</v>
          </cell>
        </row>
        <row r="15">
          <cell r="A15" t="str">
            <v>Annual Sales 1997</v>
          </cell>
          <cell r="B15">
            <v>72.008708029808247</v>
          </cell>
          <cell r="D15">
            <v>2175.3000000000002</v>
          </cell>
          <cell r="E15">
            <v>1230.2</v>
          </cell>
          <cell r="H15">
            <v>10.6</v>
          </cell>
          <cell r="I15">
            <v>764.6</v>
          </cell>
          <cell r="J15">
            <v>21.2</v>
          </cell>
          <cell r="K15">
            <v>479</v>
          </cell>
          <cell r="L15">
            <v>1066</v>
          </cell>
        </row>
        <row r="16">
          <cell r="A16" t="str">
            <v xml:space="preserve">P/E - 1995  </v>
          </cell>
        </row>
        <row r="17">
          <cell r="A17" t="str">
            <v xml:space="preserve">P/E - 1997  </v>
          </cell>
          <cell r="B17">
            <v>20.52516680159685</v>
          </cell>
          <cell r="C17">
            <v>18.990875803081629</v>
          </cell>
          <cell r="D17">
            <v>11.917372881355933</v>
          </cell>
          <cell r="E17">
            <v>32.547169811320757</v>
          </cell>
          <cell r="H17">
            <v>5.6701030927835054</v>
          </cell>
          <cell r="I17">
            <v>19.62025316455696</v>
          </cell>
          <cell r="J17">
            <v>11.29032258064516</v>
          </cell>
          <cell r="K17">
            <v>21.59090909090909</v>
          </cell>
          <cell r="L17">
            <v>30.299999999999997</v>
          </cell>
        </row>
        <row r="18">
          <cell r="A18" t="str">
            <v>P/E - 1998E</v>
          </cell>
          <cell r="B18">
            <v>15.338354997244787</v>
          </cell>
          <cell r="C18">
            <v>16.877516373793622</v>
          </cell>
          <cell r="D18">
            <v>26.533018867924525</v>
          </cell>
          <cell r="E18">
            <v>25.555555555555554</v>
          </cell>
          <cell r="H18">
            <v>4.9107142857142856</v>
          </cell>
          <cell r="I18">
            <v>23.308270676691727</v>
          </cell>
          <cell r="J18">
            <v>10.416666666666668</v>
          </cell>
          <cell r="K18">
            <v>14.660493827160494</v>
          </cell>
          <cell r="L18">
            <v>12.757894736842106</v>
          </cell>
        </row>
        <row r="19">
          <cell r="A19" t="str">
            <v>P/E - 1999E</v>
          </cell>
          <cell r="B19">
            <v>13.649789138902332</v>
          </cell>
          <cell r="C19">
            <v>12.811435440561425</v>
          </cell>
          <cell r="D19">
            <v>13.14252336448598</v>
          </cell>
          <cell r="E19">
            <v>20.17543859649123</v>
          </cell>
          <cell r="H19" t="str">
            <v>na</v>
          </cell>
          <cell r="I19">
            <v>14.761904761904763</v>
          </cell>
          <cell r="J19">
            <v>9.6106150793650809</v>
          </cell>
          <cell r="K19">
            <v>11.098130841121495</v>
          </cell>
          <cell r="L19">
            <v>8.08</v>
          </cell>
        </row>
        <row r="21">
          <cell r="A21" t="str">
            <v xml:space="preserve">Market Value/ Book Value </v>
          </cell>
          <cell r="B21">
            <v>1.8858988512728747</v>
          </cell>
          <cell r="C21">
            <v>2.1165257419001238</v>
          </cell>
          <cell r="D21">
            <v>-1.5818335208098986</v>
          </cell>
          <cell r="E21">
            <v>2.814473684210526</v>
          </cell>
          <cell r="H21">
            <v>1.9642857142857144</v>
          </cell>
          <cell r="I21">
            <v>1.2291831879460746</v>
          </cell>
          <cell r="J21">
            <v>1.8041237113402062</v>
          </cell>
          <cell r="K21">
            <v>6.4189189189189193</v>
          </cell>
          <cell r="L21">
            <v>2.1665284974093262</v>
          </cell>
        </row>
        <row r="22">
          <cell r="A22" t="str">
            <v>Market Cap/ Annual Sales</v>
          </cell>
          <cell r="B22">
            <v>1.1014894316722299</v>
          </cell>
          <cell r="C22">
            <v>0.84246521368052796</v>
          </cell>
          <cell r="D22">
            <v>0.64648554222406096</v>
          </cell>
          <cell r="E22">
            <v>0.97134612258169406</v>
          </cell>
          <cell r="H22">
            <v>0.6132075471698113</v>
          </cell>
          <cell r="I22">
            <v>0.40544075333507718</v>
          </cell>
          <cell r="J22">
            <v>1.6509433962264151</v>
          </cell>
          <cell r="K22">
            <v>0.99164926931106467</v>
          </cell>
          <cell r="L22">
            <v>0.61818386491557231</v>
          </cell>
        </row>
        <row r="23">
          <cell r="A23" t="str">
            <v>Market Cap/1997 EBIT</v>
          </cell>
          <cell r="B23">
            <v>8.328183563424167</v>
          </cell>
          <cell r="C23">
            <v>11.347888984485635</v>
          </cell>
          <cell r="D23">
            <v>12.973247232472323</v>
          </cell>
          <cell r="E23">
            <v>15.458602846054335</v>
          </cell>
          <cell r="H23">
            <v>5</v>
          </cell>
          <cell r="I23">
            <v>14.485981308411215</v>
          </cell>
          <cell r="J23">
            <v>6.7307692307692308</v>
          </cell>
          <cell r="K23">
            <v>10.795454545454545</v>
          </cell>
          <cell r="L23">
            <v>13.991167728237793</v>
          </cell>
        </row>
        <row r="24">
          <cell r="A24" t="str">
            <v>Market Cap/1997  EBITDA</v>
          </cell>
          <cell r="B24">
            <v>7.7583655034326382</v>
          </cell>
          <cell r="C24">
            <v>8.8797536968242294</v>
          </cell>
          <cell r="D24">
            <v>9.0495495495495497</v>
          </cell>
          <cell r="E24">
            <v>12.033736153071501</v>
          </cell>
          <cell r="H24">
            <v>4.6428571428571432</v>
          </cell>
          <cell r="I24">
            <v>8.7570621468926557</v>
          </cell>
          <cell r="J24">
            <v>5.7377049180327875</v>
          </cell>
          <cell r="K24">
            <v>10.416666666666666</v>
          </cell>
          <cell r="L24">
            <v>11.520699300699301</v>
          </cell>
        </row>
        <row r="25">
          <cell r="A25" t="str">
            <v>Market Cap/1998 EBIT</v>
          </cell>
          <cell r="B25">
            <v>7.63972247777241</v>
          </cell>
          <cell r="C25">
            <v>7.949698111747316</v>
          </cell>
          <cell r="D25">
            <v>9.4956110735989192</v>
          </cell>
          <cell r="E25">
            <v>13.687857961053838</v>
          </cell>
          <cell r="H25">
            <v>3.8235294117647061</v>
          </cell>
          <cell r="I25">
            <v>9.1715976331360949</v>
          </cell>
          <cell r="J25">
            <v>6.25</v>
          </cell>
          <cell r="K25">
            <v>7.3302469135802468</v>
          </cell>
          <cell r="L25">
            <v>5.8890437890974088</v>
          </cell>
        </row>
        <row r="26">
          <cell r="A26" t="str">
            <v>Market Cap/1998 EBITDA</v>
          </cell>
          <cell r="B26">
            <v>7.1150894065699646</v>
          </cell>
          <cell r="C26">
            <v>6.4657417325103301</v>
          </cell>
          <cell r="D26">
            <v>7.0279860069965014</v>
          </cell>
          <cell r="E26">
            <v>10.833635539437898</v>
          </cell>
          <cell r="H26">
            <v>3.6111111111111112</v>
          </cell>
          <cell r="I26">
            <v>6.485355648535565</v>
          </cell>
          <cell r="J26">
            <v>5.384615384615385</v>
          </cell>
          <cell r="K26">
            <v>7.0684523809523805</v>
          </cell>
          <cell r="L26">
            <v>4.8490360559234729</v>
          </cell>
        </row>
        <row r="27">
          <cell r="A27" t="str">
            <v>Market Cap/1999 EBIT</v>
          </cell>
          <cell r="B27">
            <v>6.8077486250560355</v>
          </cell>
          <cell r="C27">
            <v>7.7663158778228114</v>
          </cell>
          <cell r="D27">
            <v>9.2763852242744065</v>
          </cell>
          <cell r="E27">
            <v>11.413085004775549</v>
          </cell>
          <cell r="H27" t="str">
            <v>na</v>
          </cell>
          <cell r="I27">
            <v>10.898976412995106</v>
          </cell>
          <cell r="J27">
            <v>5.7294051434676447</v>
          </cell>
          <cell r="K27">
            <v>5.5490654205607477</v>
          </cell>
          <cell r="L27">
            <v>3.7309780608634115</v>
          </cell>
        </row>
        <row r="28">
          <cell r="A28" t="str">
            <v>Market Cap/1999 EBITDA</v>
          </cell>
          <cell r="B28">
            <v>6.3403612624054064</v>
          </cell>
          <cell r="C28">
            <v>5.9545385789637573</v>
          </cell>
          <cell r="D28">
            <v>6.6147695202257761</v>
          </cell>
          <cell r="E28">
            <v>9.2131842713955301</v>
          </cell>
          <cell r="H28" t="str">
            <v>na</v>
          </cell>
          <cell r="I28">
            <v>6.5886467581382835</v>
          </cell>
          <cell r="J28">
            <v>4.8840830731199594</v>
          </cell>
          <cell r="K28">
            <v>5.3543613707165116</v>
          </cell>
          <cell r="L28">
            <v>3.0721864801864802</v>
          </cell>
        </row>
        <row r="30">
          <cell r="A30" t="str">
            <v>Acquisition of Stock</v>
          </cell>
          <cell r="F30" t="str">
            <v>Target Assumptions</v>
          </cell>
        </row>
        <row r="31">
          <cell r="A31" t="str">
            <v>Accretion/(Dilution) To FSH</v>
          </cell>
          <cell r="F31" t="str">
            <v xml:space="preserve">Sales 5 Yr. CAGR </v>
          </cell>
          <cell r="I31">
            <v>7.0000000000000062E-2</v>
          </cell>
        </row>
        <row r="32">
          <cell r="F32" t="str">
            <v>Tax Rate</v>
          </cell>
          <cell r="I32">
            <v>0.4</v>
          </cell>
        </row>
        <row r="33">
          <cell r="B33">
            <v>1998</v>
          </cell>
          <cell r="C33">
            <v>1999</v>
          </cell>
          <cell r="D33">
            <v>2000</v>
          </cell>
          <cell r="F33" t="str">
            <v>Purchase Multiple of 1997 EBIT:</v>
          </cell>
          <cell r="I33">
            <v>8.328183563424167</v>
          </cell>
        </row>
        <row r="34">
          <cell r="A34" t="str">
            <v>Cash for Stock (Debt Financing) (4)</v>
          </cell>
          <cell r="F34" t="str">
            <v>Terminal Multiple of 2002E EBIT:</v>
          </cell>
          <cell r="I34">
            <v>7.204202264628802</v>
          </cell>
        </row>
        <row r="35">
          <cell r="A35" t="str">
            <v xml:space="preserve">            Incremental Net income (chk with Bob)</v>
          </cell>
          <cell r="B35">
            <v>-0.93498943367478837</v>
          </cell>
          <cell r="C35">
            <v>5.8021980701662201E-2</v>
          </cell>
          <cell r="D35">
            <v>1.2004916335835834</v>
          </cell>
        </row>
        <row r="36">
          <cell r="A36" t="str">
            <v xml:space="preserve">            Per share</v>
          </cell>
          <cell r="B36">
            <v>-2.3374735841869665E-2</v>
          </cell>
          <cell r="C36">
            <v>1.4505495175416439E-3</v>
          </cell>
          <cell r="D36">
            <v>3.0012290839589451E-2</v>
          </cell>
          <cell r="F36" t="str">
            <v>Fisher Assumptions</v>
          </cell>
        </row>
        <row r="37">
          <cell r="A37" t="str">
            <v xml:space="preserve">            Dilution Threshold</v>
          </cell>
          <cell r="B37">
            <v>0</v>
          </cell>
          <cell r="C37">
            <v>0</v>
          </cell>
          <cell r="D37">
            <v>0</v>
          </cell>
          <cell r="F37" t="str">
            <v>Tax rate</v>
          </cell>
          <cell r="I37">
            <v>0.4</v>
          </cell>
        </row>
        <row r="38">
          <cell r="F38" t="str">
            <v>Debt financing cost</v>
          </cell>
          <cell r="I38">
            <v>0.09</v>
          </cell>
        </row>
        <row r="39">
          <cell r="A39" t="str">
            <v>Stock for Stock (Purchase)</v>
          </cell>
          <cell r="D39" t="str">
            <v xml:space="preserve"> </v>
          </cell>
          <cell r="F39" t="str">
            <v>Goodwill amortization (Years)</v>
          </cell>
          <cell r="I39">
            <v>25</v>
          </cell>
        </row>
        <row r="40">
          <cell r="A40" t="str">
            <v xml:space="preserve">            Incremental Net income</v>
          </cell>
          <cell r="B40">
            <v>5.713679744923553</v>
          </cell>
          <cell r="C40">
            <v>6.7066911593000036</v>
          </cell>
          <cell r="D40">
            <v>7.8491608121819247</v>
          </cell>
          <cell r="F40" t="str">
            <v>Goodwill Tax Deductible</v>
          </cell>
          <cell r="I40" t="str">
            <v>No</v>
          </cell>
        </row>
        <row r="41">
          <cell r="A41" t="str">
            <v xml:space="preserve">            Per share</v>
          </cell>
          <cell r="B41">
            <v>2.2013779555791091E-2</v>
          </cell>
          <cell r="C41">
            <v>-5.4591629269827857E-2</v>
          </cell>
          <cell r="D41">
            <v>-0.12543788746897855</v>
          </cell>
        </row>
        <row r="42">
          <cell r="A42" t="str">
            <v xml:space="preserve">            Dilution Threshold</v>
          </cell>
          <cell r="B42">
            <v>0</v>
          </cell>
          <cell r="C42">
            <v>0</v>
          </cell>
          <cell r="D42">
            <v>0</v>
          </cell>
          <cell r="I42">
            <v>1998</v>
          </cell>
          <cell r="J42">
            <v>1999</v>
          </cell>
          <cell r="K42">
            <v>2000</v>
          </cell>
        </row>
        <row r="43">
          <cell r="F43" t="str">
            <v>EBIT</v>
          </cell>
          <cell r="I43">
            <v>10.382161277975143</v>
          </cell>
          <cell r="J43">
            <v>11.65096351990408</v>
          </cell>
          <cell r="K43">
            <v>13.0464277509508</v>
          </cell>
        </row>
        <row r="44">
          <cell r="F44" t="str">
            <v>Depreciation &amp; Amortization</v>
          </cell>
          <cell r="I44">
            <v>0.76553151278094744</v>
          </cell>
          <cell r="J44">
            <v>0.85886480068499138</v>
          </cell>
          <cell r="K44">
            <v>0.95085718078720227</v>
          </cell>
        </row>
        <row r="45">
          <cell r="A45" t="str">
            <v>IRR @</v>
          </cell>
          <cell r="B45">
            <v>79.316830883205029</v>
          </cell>
          <cell r="C45" t="str">
            <v>*    equals:</v>
          </cell>
          <cell r="D45">
            <v>0.1455104494284723</v>
          </cell>
          <cell r="F45" t="str">
            <v xml:space="preserve">Working Capital </v>
          </cell>
          <cell r="I45">
            <v>-1.254072741210507</v>
          </cell>
          <cell r="J45">
            <v>-1.3438219478321969</v>
          </cell>
          <cell r="K45">
            <v>-1.4380477381261798</v>
          </cell>
        </row>
        <row r="46">
          <cell r="F46" t="str">
            <v>Capex</v>
          </cell>
          <cell r="I46">
            <v>-1.1557397638784226</v>
          </cell>
          <cell r="J46">
            <v>-1.2366415473499122</v>
          </cell>
          <cell r="K46">
            <v>-1.3232064556644063</v>
          </cell>
        </row>
        <row r="47">
          <cell r="A47" t="str">
            <v>PV @</v>
          </cell>
          <cell r="B47">
            <v>0.15</v>
          </cell>
          <cell r="C47" t="str">
            <v>equals:</v>
          </cell>
          <cell r="D47">
            <v>77.935092001174382</v>
          </cell>
          <cell r="F47" t="str">
            <v>Purchase Accounting Outflows</v>
          </cell>
          <cell r="I47">
            <v>0</v>
          </cell>
          <cell r="J47">
            <v>0</v>
          </cell>
          <cell r="K47">
            <v>0</v>
          </cell>
        </row>
        <row r="48">
          <cell r="A48" t="str">
            <v>NPV @</v>
          </cell>
          <cell r="B48">
            <v>0.15</v>
          </cell>
          <cell r="C48" t="str">
            <v>equals:</v>
          </cell>
          <cell r="D48">
            <v>-1.3817388820306462</v>
          </cell>
          <cell r="F48" t="str">
            <v>Free Cash Flow</v>
          </cell>
          <cell r="I48">
            <v>8.7378802856671616</v>
          </cell>
          <cell r="J48">
            <v>9.929364825406962</v>
          </cell>
          <cell r="K48">
            <v>11.236030737947416</v>
          </cell>
        </row>
        <row r="49">
          <cell r="F49" t="str">
            <v>Interest (after tax)</v>
          </cell>
          <cell r="I49">
            <v>-4.2831088676930715</v>
          </cell>
          <cell r="J49">
            <v>-4.2668058947267342</v>
          </cell>
          <cell r="K49">
            <v>-4.2126885244999297</v>
          </cell>
        </row>
        <row r="50">
          <cell r="B50" t="str">
            <v>* Unlevered</v>
          </cell>
          <cell r="F50" t="str">
            <v>Taxes</v>
          </cell>
          <cell r="I50">
            <v>-4.1528645111900575</v>
          </cell>
          <cell r="J50">
            <v>-4.6603854079616323</v>
          </cell>
          <cell r="K50">
            <v>-5.2185711003803199</v>
          </cell>
        </row>
        <row r="51">
          <cell r="F51" t="str">
            <v>Excess Cash Flow</v>
          </cell>
          <cell r="I51">
            <v>0.30190690678403254</v>
          </cell>
          <cell r="J51">
            <v>1.0021735227185955</v>
          </cell>
          <cell r="K51">
            <v>1.8047711130671669</v>
          </cell>
        </row>
        <row r="52">
          <cell r="A52" t="str">
            <v>Fisher 1997 = Target 1998</v>
          </cell>
        </row>
        <row r="54">
          <cell r="A54" t="str">
            <v>(1) Average multiples include all figures.</v>
          </cell>
        </row>
        <row r="55">
          <cell r="A55" t="str">
            <v>(2) Excludes extraordinary items.  Balance sheet data as of latest quarter.  All data sourced from SEC filings and company earnings releases.</v>
          </cell>
        </row>
        <row r="56">
          <cell r="A56" t="str">
            <v xml:space="preserve">(3) Includes debt less cash.  Target balance sheet estimated as of 06/30/98.  </v>
          </cell>
        </row>
        <row r="57">
          <cell r="A57" t="str">
            <v>(4) Consideration: 100% Debt.</v>
          </cell>
        </row>
        <row r="58">
          <cell r="A58" t="str">
            <v>Present Market Value</v>
          </cell>
        </row>
        <row r="59">
          <cell r="A59" t="str">
            <v>(U.S. $ in millions except per share amounts)</v>
          </cell>
        </row>
        <row r="61">
          <cell r="D61" t="str">
            <v>PUBLIC COMPARABLES(1)</v>
          </cell>
          <cell r="H61" t="str">
            <v>TRANSACTION COMPARABLES</v>
          </cell>
        </row>
        <row r="62">
          <cell r="B62" t="str">
            <v>Target</v>
          </cell>
          <cell r="J62" t="str">
            <v xml:space="preserve">J &amp; W </v>
          </cell>
          <cell r="K62" t="str">
            <v>Baxter</v>
          </cell>
          <cell r="L62" t="str">
            <v>E. Merck/</v>
          </cell>
        </row>
        <row r="63">
          <cell r="A63" t="str">
            <v xml:space="preserve"> </v>
          </cell>
          <cell r="B63" t="str">
            <v>@ Offer</v>
          </cell>
          <cell r="D63" t="str">
            <v>Fisher</v>
          </cell>
          <cell r="E63" t="str">
            <v>VWR</v>
          </cell>
          <cell r="H63" t="str">
            <v>Cosa Rocas</v>
          </cell>
          <cell r="I63" t="str">
            <v>CMS/ FSE</v>
          </cell>
          <cell r="J63" t="str">
            <v>Scientific</v>
          </cell>
          <cell r="K63" t="str">
            <v>Industrial</v>
          </cell>
          <cell r="L63" t="str">
            <v>VWR Equity Purch.</v>
          </cell>
        </row>
        <row r="64">
          <cell r="D64" t="str">
            <v xml:space="preserve"> </v>
          </cell>
        </row>
        <row r="65">
          <cell r="A65" t="str">
            <v>Offer price per share</v>
          </cell>
          <cell r="B65">
            <v>60.118898099305028</v>
          </cell>
          <cell r="D65">
            <v>14.0625</v>
          </cell>
          <cell r="E65">
            <v>34.5</v>
          </cell>
          <cell r="H65">
            <v>5.5</v>
          </cell>
          <cell r="I65">
            <v>310</v>
          </cell>
          <cell r="J65">
            <v>35</v>
          </cell>
          <cell r="K65">
            <v>475</v>
          </cell>
          <cell r="L65">
            <v>12.12</v>
          </cell>
        </row>
        <row r="66">
          <cell r="A66" t="str">
            <v>Shares Outstanding (mms)</v>
          </cell>
          <cell r="B66">
            <v>2.048</v>
          </cell>
          <cell r="D66">
            <v>40</v>
          </cell>
          <cell r="E66">
            <v>27.9</v>
          </cell>
          <cell r="H66">
            <v>1</v>
          </cell>
          <cell r="I66" t="str">
            <v>n/a</v>
          </cell>
          <cell r="J66">
            <v>1</v>
          </cell>
          <cell r="K66" t="str">
            <v>n/a</v>
          </cell>
          <cell r="L66">
            <v>20.7</v>
          </cell>
        </row>
        <row r="68">
          <cell r="A68" t="str">
            <v>EPS - 1997</v>
          </cell>
          <cell r="B68">
            <v>2.9290333511261792</v>
          </cell>
          <cell r="D68">
            <v>1.18</v>
          </cell>
          <cell r="E68">
            <v>1.06</v>
          </cell>
          <cell r="H68">
            <v>0.97</v>
          </cell>
          <cell r="I68">
            <v>15.8</v>
          </cell>
          <cell r="J68">
            <v>3.1</v>
          </cell>
          <cell r="K68">
            <v>22</v>
          </cell>
          <cell r="L68">
            <v>0.4</v>
          </cell>
        </row>
        <row r="69">
          <cell r="A69" t="str">
            <v xml:space="preserve">EPS - 1998E </v>
          </cell>
          <cell r="B69">
            <v>3.9195140619775799</v>
          </cell>
          <cell r="D69">
            <v>0.53</v>
          </cell>
          <cell r="E69">
            <v>1.35</v>
          </cell>
          <cell r="H69">
            <v>1.1200000000000001</v>
          </cell>
          <cell r="I69">
            <v>13.3</v>
          </cell>
          <cell r="J69">
            <v>3.36</v>
          </cell>
          <cell r="K69">
            <v>32.4</v>
          </cell>
          <cell r="L69">
            <v>0.95</v>
          </cell>
        </row>
        <row r="70">
          <cell r="A70" t="str">
            <v>EPS - 1999E</v>
          </cell>
          <cell r="B70">
            <v>4.4043829166535815</v>
          </cell>
          <cell r="D70">
            <v>1.07</v>
          </cell>
          <cell r="E70">
            <v>1.71</v>
          </cell>
          <cell r="H70" t="str">
            <v>na</v>
          </cell>
          <cell r="I70">
            <v>21</v>
          </cell>
          <cell r="J70">
            <v>3.6418064516129025</v>
          </cell>
          <cell r="K70">
            <v>42.8</v>
          </cell>
          <cell r="L70">
            <v>1.5</v>
          </cell>
        </row>
        <row r="72">
          <cell r="A72" t="str">
            <v>Annual Sales (1997)</v>
          </cell>
          <cell r="B72">
            <v>72.008708029808247</v>
          </cell>
          <cell r="D72">
            <v>2175.3000000000002</v>
          </cell>
          <cell r="E72">
            <v>1230.2</v>
          </cell>
          <cell r="H72">
            <v>10.6</v>
          </cell>
          <cell r="I72">
            <v>764.6</v>
          </cell>
          <cell r="J72">
            <v>21.2</v>
          </cell>
          <cell r="K72">
            <v>479</v>
          </cell>
          <cell r="L72">
            <v>1066</v>
          </cell>
        </row>
        <row r="73">
          <cell r="A73" t="str">
            <v>1997 EBIT</v>
          </cell>
          <cell r="B73">
            <v>9.5239052164447724</v>
          </cell>
          <cell r="D73">
            <v>108.4</v>
          </cell>
          <cell r="E73">
            <v>77.3</v>
          </cell>
          <cell r="H73">
            <v>1.3</v>
          </cell>
          <cell r="I73">
            <v>21.4</v>
          </cell>
          <cell r="J73">
            <v>5.2</v>
          </cell>
          <cell r="K73">
            <v>44</v>
          </cell>
          <cell r="L73">
            <v>47.1</v>
          </cell>
        </row>
        <row r="74">
          <cell r="A74" t="str">
            <v>1997 EBITDA</v>
          </cell>
          <cell r="B74">
            <v>10.223394457004096</v>
          </cell>
          <cell r="D74">
            <v>155.4</v>
          </cell>
          <cell r="E74">
            <v>99.3</v>
          </cell>
          <cell r="H74">
            <v>1.4</v>
          </cell>
          <cell r="I74">
            <v>35.4</v>
          </cell>
          <cell r="J74">
            <v>6.1</v>
          </cell>
          <cell r="K74">
            <v>45.6</v>
          </cell>
          <cell r="L74">
            <v>57.2</v>
          </cell>
        </row>
        <row r="75">
          <cell r="A75" t="str">
            <v>1998 EBIT</v>
          </cell>
          <cell r="B75">
            <v>10.382161277975143</v>
          </cell>
          <cell r="D75">
            <v>148.1</v>
          </cell>
          <cell r="E75">
            <v>87.3</v>
          </cell>
          <cell r="H75">
            <v>1.7</v>
          </cell>
          <cell r="I75">
            <v>33.799999999999997</v>
          </cell>
          <cell r="J75">
            <v>5.6</v>
          </cell>
          <cell r="K75">
            <v>64.8</v>
          </cell>
          <cell r="L75">
            <v>111.9</v>
          </cell>
        </row>
        <row r="76">
          <cell r="A76" t="str">
            <v>1998 EBITDA</v>
          </cell>
          <cell r="B76">
            <v>11.147692790756091</v>
          </cell>
          <cell r="D76">
            <v>200.1</v>
          </cell>
          <cell r="E76">
            <v>110.3</v>
          </cell>
          <cell r="H76">
            <v>1.8</v>
          </cell>
          <cell r="I76">
            <v>47.8</v>
          </cell>
          <cell r="J76">
            <v>6.5</v>
          </cell>
          <cell r="K76">
            <v>67.2</v>
          </cell>
          <cell r="L76">
            <v>135.9</v>
          </cell>
        </row>
        <row r="77">
          <cell r="A77" t="str">
            <v>1999 EBIT</v>
          </cell>
          <cell r="B77">
            <v>11.65096351990408</v>
          </cell>
          <cell r="D77">
            <v>151.6</v>
          </cell>
          <cell r="E77">
            <v>104.7</v>
          </cell>
          <cell r="H77" t="str">
            <v>na</v>
          </cell>
          <cell r="I77">
            <v>28.443037974683541</v>
          </cell>
          <cell r="J77">
            <v>6.1088366285119653</v>
          </cell>
          <cell r="K77">
            <v>85.6</v>
          </cell>
          <cell r="L77">
            <v>176.625</v>
          </cell>
        </row>
        <row r="78">
          <cell r="A78" t="str">
            <v>1999 EBITDA</v>
          </cell>
          <cell r="B78">
            <v>12.509828320589071</v>
          </cell>
          <cell r="D78">
            <v>212.6</v>
          </cell>
          <cell r="E78">
            <v>129.69999999999999</v>
          </cell>
          <cell r="H78" t="str">
            <v>na</v>
          </cell>
          <cell r="I78">
            <v>47.050632911392405</v>
          </cell>
          <cell r="J78">
            <v>7.1661352757544208</v>
          </cell>
          <cell r="K78">
            <v>88.712727272727264</v>
          </cell>
          <cell r="L78">
            <v>214.5</v>
          </cell>
        </row>
        <row r="79">
          <cell r="A79" t="str">
            <v>Depreciation &amp; Amortization (1997)</v>
          </cell>
          <cell r="B79">
            <v>0.69948924055932338</v>
          </cell>
          <cell r="D79">
            <v>47</v>
          </cell>
          <cell r="E79">
            <v>22</v>
          </cell>
          <cell r="H79">
            <v>0.8</v>
          </cell>
          <cell r="I79">
            <v>14</v>
          </cell>
          <cell r="J79">
            <v>0.9</v>
          </cell>
          <cell r="K79" t="str">
            <v>n/a</v>
          </cell>
          <cell r="L79">
            <v>9.8000000000000007</v>
          </cell>
        </row>
        <row r="80">
          <cell r="A80" t="str">
            <v>Book Value (1997)</v>
          </cell>
          <cell r="B80">
            <v>65.286376957213434</v>
          </cell>
          <cell r="D80">
            <v>-355.6</v>
          </cell>
          <cell r="E80">
            <v>342</v>
          </cell>
          <cell r="H80">
            <v>2.8</v>
          </cell>
          <cell r="I80">
            <v>252.2</v>
          </cell>
          <cell r="J80">
            <v>19.399999999999999</v>
          </cell>
          <cell r="K80">
            <v>74</v>
          </cell>
          <cell r="L80">
            <v>115.8</v>
          </cell>
        </row>
        <row r="82">
          <cell r="A82" t="str">
            <v>(1) Excludes extraordinary items.  Balance sheet data as of latest quarter.  All data sourced from SEC filings and company earnings releases.</v>
          </cell>
        </row>
        <row r="84">
          <cell r="A84" t="str">
            <v>EPS Analysis</v>
          </cell>
        </row>
        <row r="86">
          <cell r="B86" t="str">
            <v>Acquisition of 100% Of Stock</v>
          </cell>
        </row>
        <row r="87">
          <cell r="A87" t="str">
            <v xml:space="preserve"> </v>
          </cell>
          <cell r="B87" t="str">
            <v xml:space="preserve">        Debt (1)</v>
          </cell>
          <cell r="F87" t="str">
            <v xml:space="preserve">          Stock (Purchase)</v>
          </cell>
          <cell r="J87" t="str">
            <v>Debt Balance</v>
          </cell>
        </row>
        <row r="88">
          <cell r="B88">
            <v>1998</v>
          </cell>
          <cell r="C88">
            <v>1999</v>
          </cell>
          <cell r="D88">
            <v>2000</v>
          </cell>
          <cell r="E88" t="str">
            <v>CAGR</v>
          </cell>
          <cell r="F88">
            <v>1998</v>
          </cell>
          <cell r="G88">
            <v>1999</v>
          </cell>
          <cell r="H88">
            <v>2000</v>
          </cell>
          <cell r="J88">
            <v>1998</v>
          </cell>
          <cell r="K88">
            <v>1999</v>
          </cell>
          <cell r="L88">
            <v>2000</v>
          </cell>
        </row>
        <row r="89">
          <cell r="A89" t="str">
            <v>Net Income (mm)</v>
          </cell>
          <cell r="B89">
            <v>8.0271647989300838</v>
          </cell>
          <cell r="C89">
            <v>9.0201762133065344</v>
          </cell>
          <cell r="D89">
            <v>10.162645866188456</v>
          </cell>
          <cell r="E89">
            <v>0.12518078364180929</v>
          </cell>
          <cell r="F89">
            <v>8.0271647989300838</v>
          </cell>
          <cell r="G89">
            <v>9.0201762133065344</v>
          </cell>
          <cell r="H89">
            <v>10.162645866188456</v>
          </cell>
          <cell r="J89">
            <v>79.316830883205029</v>
          </cell>
          <cell r="K89">
            <v>79.014923976421002</v>
          </cell>
          <cell r="L89">
            <v>78.012750453702409</v>
          </cell>
        </row>
        <row r="90">
          <cell r="A90" t="str">
            <v>Incremental Goodwill Amortization</v>
          </cell>
          <cell r="B90">
            <v>-2.3134850540065304</v>
          </cell>
          <cell r="C90">
            <v>-2.3134850540065304</v>
          </cell>
          <cell r="D90">
            <v>-2.3134850540065304</v>
          </cell>
          <cell r="F90">
            <v>-2.3134850540065304</v>
          </cell>
          <cell r="G90">
            <v>-2.3134850540065304</v>
          </cell>
          <cell r="H90">
            <v>-2.3134850540065304</v>
          </cell>
        </row>
        <row r="91">
          <cell r="A91" t="str">
            <v>Interest on Debt (after tax)</v>
          </cell>
          <cell r="B91">
            <v>-6.6486691785983414</v>
          </cell>
          <cell r="C91">
            <v>-6.6486691785983414</v>
          </cell>
          <cell r="D91">
            <v>-6.6486691785983414</v>
          </cell>
          <cell r="F91">
            <v>0</v>
          </cell>
          <cell r="G91">
            <v>0</v>
          </cell>
          <cell r="H91">
            <v>0</v>
          </cell>
        </row>
        <row r="92">
          <cell r="A92" t="str">
            <v>Incremental Net Income</v>
          </cell>
          <cell r="B92">
            <v>-0.93498943367478837</v>
          </cell>
          <cell r="C92">
            <v>5.8021980701662201E-2</v>
          </cell>
          <cell r="D92">
            <v>1.2004916335835834</v>
          </cell>
          <cell r="F92">
            <v>5.713679744923553</v>
          </cell>
          <cell r="G92">
            <v>6.7066911593000036</v>
          </cell>
          <cell r="H92">
            <v>7.8491608121819247</v>
          </cell>
        </row>
        <row r="93">
          <cell r="A93" t="str">
            <v>Fisher Fully-Diluted Net Income</v>
          </cell>
          <cell r="B93">
            <v>21.200000000000003</v>
          </cell>
          <cell r="C93">
            <v>42.800000000000004</v>
          </cell>
          <cell r="D93">
            <v>63.8</v>
          </cell>
          <cell r="E93">
            <v>0.7347720202563075</v>
          </cell>
          <cell r="F93">
            <v>21.200000000000003</v>
          </cell>
          <cell r="G93">
            <v>42.800000000000004</v>
          </cell>
          <cell r="H93">
            <v>63.8</v>
          </cell>
        </row>
        <row r="94">
          <cell r="A94" t="str">
            <v>Total Net Income</v>
          </cell>
          <cell r="B94">
            <v>20.265010566325216</v>
          </cell>
          <cell r="C94">
            <v>42.858021980701665</v>
          </cell>
          <cell r="D94">
            <v>65.000491633583579</v>
          </cell>
          <cell r="F94">
            <v>26.913679744923556</v>
          </cell>
          <cell r="G94">
            <v>49.506691159300004</v>
          </cell>
          <cell r="H94">
            <v>71.649160812181918</v>
          </cell>
        </row>
        <row r="95">
          <cell r="A95" t="str">
            <v>Fisher Shares (fully diluted) - pre-Acq.</v>
          </cell>
          <cell r="B95">
            <v>40</v>
          </cell>
          <cell r="C95">
            <v>40</v>
          </cell>
          <cell r="D95">
            <v>40</v>
          </cell>
          <cell r="F95">
            <v>40</v>
          </cell>
          <cell r="G95">
            <v>40</v>
          </cell>
          <cell r="H95">
            <v>40</v>
          </cell>
        </row>
        <row r="96">
          <cell r="A96" t="str">
            <v>Fisher Shares  issued - Acq. Currency</v>
          </cell>
          <cell r="B96">
            <v>0</v>
          </cell>
          <cell r="C96">
            <v>0</v>
          </cell>
          <cell r="D96">
            <v>0</v>
          </cell>
          <cell r="F96">
            <v>8.7554491240801209</v>
          </cell>
          <cell r="G96">
            <v>8.7554491240801209</v>
          </cell>
          <cell r="H96">
            <v>8.7554491240801209</v>
          </cell>
        </row>
        <row r="97">
          <cell r="A97" t="str">
            <v>Total Shares (pro forma for acquisition)</v>
          </cell>
          <cell r="B97">
            <v>40</v>
          </cell>
          <cell r="C97">
            <v>40</v>
          </cell>
          <cell r="D97">
            <v>40</v>
          </cell>
          <cell r="F97">
            <v>48.755449124080123</v>
          </cell>
          <cell r="G97">
            <v>48.755449124080123</v>
          </cell>
          <cell r="H97">
            <v>48.755449124080123</v>
          </cell>
        </row>
        <row r="98">
          <cell r="A98" t="str">
            <v>Fisher EPS (pro forma for acquisition)</v>
          </cell>
          <cell r="B98">
            <v>0.50662526415813036</v>
          </cell>
          <cell r="C98">
            <v>1.0714505495175417</v>
          </cell>
          <cell r="D98">
            <v>1.6250122908395894</v>
          </cell>
          <cell r="F98">
            <v>0.55201377955579112</v>
          </cell>
          <cell r="G98">
            <v>1.0154083707301722</v>
          </cell>
          <cell r="H98">
            <v>1.4695621125310214</v>
          </cell>
        </row>
        <row r="99">
          <cell r="A99" t="str">
            <v>Accretion (Dilution) per share</v>
          </cell>
          <cell r="B99">
            <v>-2.3374735841869665E-2</v>
          </cell>
          <cell r="C99">
            <v>1.4505495175416439E-3</v>
          </cell>
          <cell r="D99">
            <v>3.0012290839589451E-2</v>
          </cell>
          <cell r="F99">
            <v>2.2013779555791091E-2</v>
          </cell>
          <cell r="G99">
            <v>-5.4591629269827857E-2</v>
          </cell>
          <cell r="H99">
            <v>-0.12543788746897855</v>
          </cell>
        </row>
        <row r="101">
          <cell r="A101" t="str">
            <v>Goodwill Calculation</v>
          </cell>
        </row>
        <row r="102">
          <cell r="A102" t="str">
            <v>Purchase Price of Equity</v>
          </cell>
          <cell r="B102">
            <v>123.12350330737669</v>
          </cell>
          <cell r="C102">
            <v>123.12350330737669</v>
          </cell>
          <cell r="D102">
            <v>123.12350330737669</v>
          </cell>
          <cell r="F102">
            <v>123.12350330737669</v>
          </cell>
          <cell r="G102">
            <v>123.12350330737669</v>
          </cell>
          <cell r="H102">
            <v>123.12350330737669</v>
          </cell>
        </row>
        <row r="103">
          <cell r="A103" t="str">
            <v>Add Purchase Accounting</v>
          </cell>
          <cell r="B103">
            <v>0</v>
          </cell>
          <cell r="F103">
            <v>0</v>
          </cell>
        </row>
        <row r="104">
          <cell r="A104" t="str">
            <v>Less Net BV of Assets</v>
          </cell>
          <cell r="B104">
            <v>65.286376957213434</v>
          </cell>
          <cell r="C104">
            <v>65.286376957213434</v>
          </cell>
          <cell r="D104">
            <v>65.286376957213434</v>
          </cell>
          <cell r="F104">
            <v>65.286376957213434</v>
          </cell>
          <cell r="G104">
            <v>65.286376957213434</v>
          </cell>
          <cell r="H104">
            <v>65.286376957213434</v>
          </cell>
        </row>
        <row r="105">
          <cell r="A105" t="str">
            <v>Less Asset Write-up</v>
          </cell>
          <cell r="B105">
            <v>0</v>
          </cell>
          <cell r="C105">
            <v>0</v>
          </cell>
          <cell r="D105">
            <v>0</v>
          </cell>
          <cell r="F105">
            <v>0</v>
          </cell>
          <cell r="G105">
            <v>0</v>
          </cell>
          <cell r="H105">
            <v>0</v>
          </cell>
        </row>
        <row r="106">
          <cell r="A106" t="str">
            <v>Total Goodwill</v>
          </cell>
          <cell r="B106">
            <v>57.83712635016326</v>
          </cell>
          <cell r="C106">
            <v>57.83712635016326</v>
          </cell>
          <cell r="D106">
            <v>57.83712635016326</v>
          </cell>
          <cell r="F106">
            <v>57.83712635016326</v>
          </cell>
          <cell r="G106">
            <v>57.83712635016326</v>
          </cell>
          <cell r="H106">
            <v>57.83712635016326</v>
          </cell>
        </row>
        <row r="108">
          <cell r="A108" t="str">
            <v xml:space="preserve">Total Annual Goodwill Expense </v>
          </cell>
          <cell r="B108">
            <v>2.3134850540065304</v>
          </cell>
          <cell r="C108">
            <v>2.3134850540065304</v>
          </cell>
          <cell r="D108">
            <v>2.3134850540065304</v>
          </cell>
          <cell r="F108">
            <v>2.3134850540065304</v>
          </cell>
          <cell r="G108">
            <v>2.3134850540065304</v>
          </cell>
          <cell r="H108">
            <v>2.3134850540065304</v>
          </cell>
        </row>
        <row r="110">
          <cell r="A110" t="str">
            <v>Dilution Purchase Price Threshold</v>
          </cell>
          <cell r="B110">
            <v>0</v>
          </cell>
          <cell r="C110">
            <v>0</v>
          </cell>
          <cell r="D110">
            <v>0</v>
          </cell>
          <cell r="F110">
            <v>0</v>
          </cell>
          <cell r="G110">
            <v>0</v>
          </cell>
          <cell r="H110">
            <v>0</v>
          </cell>
        </row>
        <row r="112">
          <cell r="A112" t="str">
            <v>(1) Capital structure of acquisition: 100% debt.</v>
          </cell>
        </row>
        <row r="113">
          <cell r="G113">
            <v>1</v>
          </cell>
          <cell r="H113">
            <v>2</v>
          </cell>
          <cell r="J113">
            <v>3</v>
          </cell>
          <cell r="K113">
            <v>4</v>
          </cell>
          <cell r="L113">
            <v>5</v>
          </cell>
        </row>
        <row r="115">
          <cell r="A115" t="str">
            <v>Income Statements ($000's)</v>
          </cell>
          <cell r="O115" t="str">
            <v>Income Statements (FFR in millions)</v>
          </cell>
        </row>
        <row r="116">
          <cell r="A116" t="str">
            <v>Fiscal Year Ended June 30,</v>
          </cell>
          <cell r="O116" t="str">
            <v>Year Ended Dec 31,</v>
          </cell>
        </row>
        <row r="117">
          <cell r="A117" t="str">
            <v xml:space="preserve">Exchange rate: per Fr. Franc </v>
          </cell>
          <cell r="B117">
            <v>0.16746211169722849</v>
          </cell>
          <cell r="C117" t="str">
            <v>1995A</v>
          </cell>
          <cell r="D117" t="str">
            <v>1996A</v>
          </cell>
          <cell r="E117" t="str">
            <v>1997A</v>
          </cell>
          <cell r="F117" t="str">
            <v>1998E</v>
          </cell>
          <cell r="G117" t="str">
            <v>1999E</v>
          </cell>
          <cell r="H117" t="str">
            <v>2000E</v>
          </cell>
          <cell r="I117" t="str">
            <v>2001E</v>
          </cell>
          <cell r="J117" t="str">
            <v>2002E</v>
          </cell>
          <cell r="K117" t="str">
            <v>2003E</v>
          </cell>
          <cell r="Q117" t="str">
            <v>1995A</v>
          </cell>
          <cell r="R117" t="str">
            <v>1996A</v>
          </cell>
          <cell r="S117" t="str">
            <v>1997A</v>
          </cell>
        </row>
        <row r="119">
          <cell r="A119" t="str">
            <v>Total Sales (2)</v>
          </cell>
          <cell r="C119">
            <v>59.551369002763117</v>
          </cell>
          <cell r="D119">
            <v>62.831784308800131</v>
          </cell>
          <cell r="E119">
            <v>65.779117474671352</v>
          </cell>
          <cell r="F119">
            <v>72.008708029808247</v>
          </cell>
          <cell r="G119">
            <v>77.049317591894834</v>
          </cell>
          <cell r="H119">
            <v>82.442769823327481</v>
          </cell>
          <cell r="I119">
            <v>88.213763710960421</v>
          </cell>
          <cell r="J119">
            <v>94.388727170727662</v>
          </cell>
          <cell r="K119">
            <v>100.9959380726786</v>
          </cell>
          <cell r="O119" t="str">
            <v>Total Sales</v>
          </cell>
          <cell r="Q119">
            <v>355.61099999999999</v>
          </cell>
          <cell r="R119">
            <v>375.2</v>
          </cell>
          <cell r="S119">
            <v>392.8</v>
          </cell>
        </row>
        <row r="120">
          <cell r="A120" t="str">
            <v>Annual Growth</v>
          </cell>
          <cell r="C120" t="str">
            <v>na</v>
          </cell>
          <cell r="D120">
            <v>5.5085472609115005E-2</v>
          </cell>
          <cell r="E120">
            <v>4.6908315565032055E-2</v>
          </cell>
          <cell r="F120">
            <v>9.4704684317718835E-2</v>
          </cell>
          <cell r="G120">
            <v>7.0000000000000062E-2</v>
          </cell>
          <cell r="H120">
            <v>7.0000000000000062E-2</v>
          </cell>
          <cell r="I120">
            <v>7.0000000000000284E-2</v>
          </cell>
          <cell r="J120">
            <v>7.0000000000000062E-2</v>
          </cell>
          <cell r="K120">
            <v>7.0000000000000062E-2</v>
          </cell>
          <cell r="O120" t="str">
            <v>Annual Growth</v>
          </cell>
          <cell r="Q120" t="str">
            <v>n/a</v>
          </cell>
          <cell r="R120">
            <v>5.5085472609115005E-2</v>
          </cell>
          <cell r="S120">
            <v>4.6908315565032055E-2</v>
          </cell>
        </row>
        <row r="122">
          <cell r="A122" t="str">
            <v xml:space="preserve">Cost of Sales </v>
          </cell>
          <cell r="C122">
            <v>33.289458260068656</v>
          </cell>
          <cell r="D122">
            <v>34.816545256635685</v>
          </cell>
          <cell r="E122">
            <v>36.6407100393536</v>
          </cell>
          <cell r="F122">
            <v>40.00669848446789</v>
          </cell>
          <cell r="G122">
            <v>42.753077116302435</v>
          </cell>
          <cell r="H122">
            <v>45.333578665326968</v>
          </cell>
          <cell r="I122">
            <v>48.065860353345059</v>
          </cell>
          <cell r="J122">
            <v>50.958526942225582</v>
          </cell>
          <cell r="K122">
            <v>54.020644137817989</v>
          </cell>
          <cell r="O122" t="str">
            <v xml:space="preserve">Cost of Sales </v>
          </cell>
          <cell r="Q122">
            <v>198.78800000000001</v>
          </cell>
          <cell r="R122">
            <v>207.90700000000001</v>
          </cell>
          <cell r="S122">
            <v>218.8</v>
          </cell>
        </row>
        <row r="123">
          <cell r="A123" t="str">
            <v>Adjustments to COGS</v>
          </cell>
          <cell r="C123">
            <v>0</v>
          </cell>
          <cell r="D123">
            <v>0</v>
          </cell>
          <cell r="E123">
            <v>0</v>
          </cell>
          <cell r="F123">
            <v>0</v>
          </cell>
          <cell r="G123">
            <v>0</v>
          </cell>
          <cell r="H123">
            <v>0</v>
          </cell>
          <cell r="I123">
            <v>0</v>
          </cell>
          <cell r="J123">
            <v>0</v>
          </cell>
          <cell r="K123">
            <v>0</v>
          </cell>
          <cell r="O123" t="str">
            <v>Adjustments to COGS</v>
          </cell>
          <cell r="Q123">
            <v>0</v>
          </cell>
          <cell r="R123">
            <v>0</v>
          </cell>
          <cell r="S123">
            <v>0</v>
          </cell>
        </row>
        <row r="124">
          <cell r="A124" t="str">
            <v xml:space="preserve">Total Gross Profit </v>
          </cell>
          <cell r="C124">
            <v>26.261910742694461</v>
          </cell>
          <cell r="D124">
            <v>28.015239052164446</v>
          </cell>
          <cell r="E124">
            <v>29.138407435317752</v>
          </cell>
          <cell r="F124">
            <v>32.002009545340357</v>
          </cell>
          <cell r="G124">
            <v>34.296240475592398</v>
          </cell>
          <cell r="H124">
            <v>37.109191158000513</v>
          </cell>
          <cell r="I124">
            <v>40.147903357615363</v>
          </cell>
          <cell r="J124">
            <v>43.430200228502081</v>
          </cell>
          <cell r="K124">
            <v>46.975293934860609</v>
          </cell>
          <cell r="O124" t="str">
            <v xml:space="preserve">Total Gross Profit </v>
          </cell>
          <cell r="Q124">
            <v>156.82299999999998</v>
          </cell>
          <cell r="R124">
            <v>167.29299999999998</v>
          </cell>
          <cell r="S124">
            <v>174</v>
          </cell>
        </row>
        <row r="125">
          <cell r="A125" t="str">
            <v>Gross Margin %</v>
          </cell>
          <cell r="C125">
            <v>0.44099591969877194</v>
          </cell>
          <cell r="D125">
            <v>0.44587686567164181</v>
          </cell>
          <cell r="E125">
            <v>0.44297352342158852</v>
          </cell>
          <cell r="F125">
            <v>0.44441860465116273</v>
          </cell>
          <cell r="G125">
            <v>0.44512062595088026</v>
          </cell>
          <cell r="H125">
            <v>0.45012062595088032</v>
          </cell>
          <cell r="I125">
            <v>0.45512062595088038</v>
          </cell>
          <cell r="J125">
            <v>0.46012062595088038</v>
          </cell>
          <cell r="K125">
            <v>0.46512062595088027</v>
          </cell>
          <cell r="O125" t="str">
            <v>Gross Margin %</v>
          </cell>
          <cell r="Q125">
            <v>0.44099591969877194</v>
          </cell>
          <cell r="R125">
            <v>0.44587686567164175</v>
          </cell>
          <cell r="S125">
            <v>0.44297352342158858</v>
          </cell>
        </row>
        <row r="127">
          <cell r="A127" t="str">
            <v>Operating Expenses:</v>
          </cell>
          <cell r="O127" t="str">
            <v>Operating Expenses:</v>
          </cell>
        </row>
        <row r="128">
          <cell r="A128" t="str">
            <v>Employee costs</v>
          </cell>
          <cell r="C128">
            <v>7.7074436908649409</v>
          </cell>
          <cell r="D128">
            <v>8.3349242233944558</v>
          </cell>
          <cell r="E128">
            <v>9.0429540316503392</v>
          </cell>
          <cell r="F128">
            <v>9.5453403667420247</v>
          </cell>
          <cell r="G128">
            <v>10.180105501130368</v>
          </cell>
          <cell r="H128">
            <v>10.857082516955538</v>
          </cell>
          <cell r="I128">
            <v>11.579078504333081</v>
          </cell>
          <cell r="J128">
            <v>12.34908722487123</v>
          </cell>
          <cell r="K128">
            <v>13.170301525325167</v>
          </cell>
          <cell r="O128" t="str">
            <v>Employee costs</v>
          </cell>
          <cell r="Q128">
            <v>46.024999999999999</v>
          </cell>
          <cell r="R128">
            <v>49.771999999999998</v>
          </cell>
          <cell r="S128">
            <v>54</v>
          </cell>
        </row>
        <row r="129">
          <cell r="A129" t="str">
            <v>As a % of Sales</v>
          </cell>
          <cell r="C129">
            <v>0.12942513026874872</v>
          </cell>
          <cell r="D129">
            <v>0.13265458422174839</v>
          </cell>
          <cell r="E129">
            <v>0.13747454175152751</v>
          </cell>
          <cell r="F129">
            <v>0.13255813953488374</v>
          </cell>
          <cell r="G129">
            <v>0.13212453814388175</v>
          </cell>
          <cell r="H129">
            <v>0.13169235507518681</v>
          </cell>
          <cell r="I129">
            <v>0.13126158568942681</v>
          </cell>
          <cell r="J129">
            <v>0.1308322253624053</v>
          </cell>
          <cell r="K129">
            <v>0.13040426948505163</v>
          </cell>
          <cell r="O129" t="str">
            <v>As a % of Sales</v>
          </cell>
          <cell r="Q129">
            <v>0.12942513026874872</v>
          </cell>
          <cell r="R129">
            <v>0.13265458422174839</v>
          </cell>
          <cell r="S129">
            <v>0.13747454175152748</v>
          </cell>
        </row>
        <row r="131">
          <cell r="A131" t="str">
            <v>Allocation to provisions</v>
          </cell>
          <cell r="C131">
            <v>1.3050322364565017</v>
          </cell>
          <cell r="D131">
            <v>1.4302938960060285</v>
          </cell>
          <cell r="E131">
            <v>1.4974462027966173</v>
          </cell>
          <cell r="F131">
            <v>1.6387842250690781</v>
          </cell>
          <cell r="G131">
            <v>1.7534991208239135</v>
          </cell>
          <cell r="H131">
            <v>1.8762440592815874</v>
          </cell>
          <cell r="I131">
            <v>2.0075811434312985</v>
          </cell>
          <cell r="J131">
            <v>2.1481118234714898</v>
          </cell>
          <cell r="K131">
            <v>2.2984796511144943</v>
          </cell>
          <cell r="O131" t="str">
            <v>Allocation to provisions</v>
          </cell>
          <cell r="Q131">
            <v>7.7930000000000001</v>
          </cell>
          <cell r="R131">
            <v>8.5410000000000004</v>
          </cell>
          <cell r="S131">
            <v>8.9420000000000002</v>
          </cell>
        </row>
        <row r="132">
          <cell r="A132" t="str">
            <v>As a % of Sales</v>
          </cell>
          <cell r="C132">
            <v>2.191439522399476E-2</v>
          </cell>
          <cell r="D132">
            <v>2.2763859275053304E-2</v>
          </cell>
          <cell r="E132">
            <v>2.2764765784114054E-2</v>
          </cell>
          <cell r="F132">
            <v>2.2758139534883724E-2</v>
          </cell>
          <cell r="G132">
            <v>2.2758139534883721E-2</v>
          </cell>
          <cell r="H132">
            <v>2.2758139534883717E-2</v>
          </cell>
          <cell r="I132">
            <v>2.275813953488371E-2</v>
          </cell>
          <cell r="J132">
            <v>2.2758139534883714E-2</v>
          </cell>
          <cell r="K132">
            <v>2.2758139534883717E-2</v>
          </cell>
          <cell r="O132" t="str">
            <v>As a % of Sales</v>
          </cell>
          <cell r="Q132">
            <v>2.191439522399476E-2</v>
          </cell>
          <cell r="R132">
            <v>2.2763859275053307E-2</v>
          </cell>
          <cell r="S132">
            <v>2.2764765784114054E-2</v>
          </cell>
        </row>
        <row r="134">
          <cell r="A134" t="str">
            <v>Other Expenses</v>
          </cell>
          <cell r="C134">
            <v>8.5841078455999327</v>
          </cell>
          <cell r="D134">
            <v>9.3658209830025942</v>
          </cell>
          <cell r="E134">
            <v>9.421418404086074</v>
          </cell>
          <cell r="F134">
            <v>10.003349242233943</v>
          </cell>
          <cell r="G134">
            <v>10.598548522146864</v>
          </cell>
          <cell r="H134">
            <v>11.229162159214603</v>
          </cell>
          <cell r="I134">
            <v>11.897297307687875</v>
          </cell>
          <cell r="J134">
            <v>12.605186497495305</v>
          </cell>
          <cell r="K134">
            <v>13.355195094096278</v>
          </cell>
          <cell r="O134" t="str">
            <v>Other Expenses</v>
          </cell>
          <cell r="Q134">
            <v>51.26</v>
          </cell>
          <cell r="R134">
            <v>55.927999999999997</v>
          </cell>
          <cell r="S134">
            <v>56.26</v>
          </cell>
        </row>
        <row r="135">
          <cell r="A135" t="str">
            <v>As a % of Sales</v>
          </cell>
          <cell r="C135">
            <v>0.14414627219068027</v>
          </cell>
          <cell r="D135">
            <v>0.14906183368869935</v>
          </cell>
          <cell r="E135">
            <v>0.14322810590631363</v>
          </cell>
          <cell r="F135">
            <v>0.13891860465116279</v>
          </cell>
          <cell r="G135">
            <v>0.13755538469897846</v>
          </cell>
          <cell r="H135">
            <v>0.13620554213884831</v>
          </cell>
          <cell r="I135">
            <v>0.13486894569729888</v>
          </cell>
          <cell r="J135">
            <v>0.13354546538905435</v>
          </cell>
          <cell r="K135">
            <v>0.13223497250439542</v>
          </cell>
          <cell r="O135" t="str">
            <v>As a % of Sales</v>
          </cell>
          <cell r="Q135">
            <v>0.14414627219068027</v>
          </cell>
          <cell r="R135">
            <v>0.14906183368869935</v>
          </cell>
          <cell r="S135">
            <v>0.14322810590631363</v>
          </cell>
        </row>
        <row r="137">
          <cell r="A137" t="str">
            <v xml:space="preserve">Depreciation &amp; Amortization </v>
          </cell>
          <cell r="C137">
            <v>0.51930000837310553</v>
          </cell>
          <cell r="D137">
            <v>0.55882106673365151</v>
          </cell>
          <cell r="E137">
            <v>0.65276731139579669</v>
          </cell>
          <cell r="F137">
            <v>0.69948924055932338</v>
          </cell>
          <cell r="G137">
            <v>0.76553151278094744</v>
          </cell>
          <cell r="H137">
            <v>0.83619674405808542</v>
          </cell>
          <cell r="I137">
            <v>0.91180854152462287</v>
          </cell>
          <cell r="J137">
            <v>0.99271316481381811</v>
          </cell>
          <cell r="K137">
            <v>1.079281111733257</v>
          </cell>
          <cell r="O137" t="str">
            <v xml:space="preserve">Depreciation &amp; Amortization </v>
          </cell>
          <cell r="Q137">
            <v>3.101</v>
          </cell>
          <cell r="R137">
            <v>3.3370000000000002</v>
          </cell>
          <cell r="S137">
            <v>3.8980000000000001</v>
          </cell>
        </row>
        <row r="138">
          <cell r="A138" t="str">
            <v>As a % of Sales</v>
          </cell>
          <cell r="C138">
            <v>8.7202026933924995E-3</v>
          </cell>
          <cell r="D138">
            <v>8.8939232409381667E-3</v>
          </cell>
          <cell r="E138">
            <v>9.9236252545824855E-3</v>
          </cell>
          <cell r="F138">
            <v>9.7139534883720936E-3</v>
          </cell>
          <cell r="G138">
            <v>9.9356040612289236E-3</v>
          </cell>
          <cell r="H138">
            <v>1.0142754129319422E-2</v>
          </cell>
          <cell r="I138">
            <v>1.0336352323796519E-2</v>
          </cell>
          <cell r="J138">
            <v>1.0517285215831193E-2</v>
          </cell>
          <cell r="K138">
            <v>1.0686381376611263E-2</v>
          </cell>
          <cell r="O138" t="str">
            <v>As a % of Sales</v>
          </cell>
          <cell r="Q138">
            <v>8.7202026933924995E-3</v>
          </cell>
          <cell r="R138">
            <v>8.8939232409381667E-3</v>
          </cell>
          <cell r="S138">
            <v>9.9236252545824855E-3</v>
          </cell>
        </row>
        <row r="140">
          <cell r="A140" t="str">
            <v>Operating Income</v>
          </cell>
          <cell r="C140">
            <v>8.1460269613999792</v>
          </cell>
          <cell r="D140">
            <v>8.3253788830277173</v>
          </cell>
          <cell r="E140">
            <v>8.5238214853889254</v>
          </cell>
          <cell r="F140">
            <v>10.115046470735988</v>
          </cell>
          <cell r="G140">
            <v>10.998555818710303</v>
          </cell>
          <cell r="H140">
            <v>12.310505678490699</v>
          </cell>
          <cell r="I140">
            <v>13.752137860638483</v>
          </cell>
          <cell r="J140">
            <v>15.335101517850237</v>
          </cell>
          <cell r="K140">
            <v>17.072036552591417</v>
          </cell>
          <cell r="O140" t="str">
            <v>Operating Income</v>
          </cell>
          <cell r="Q140">
            <v>48.64399999999997</v>
          </cell>
          <cell r="R140">
            <v>49.714999999999989</v>
          </cell>
          <cell r="S140">
            <v>50.899999999999991</v>
          </cell>
        </row>
        <row r="141">
          <cell r="A141" t="str">
            <v>Operating Margin</v>
          </cell>
          <cell r="C141">
            <v>0.13678991932195569</v>
          </cell>
          <cell r="D141">
            <v>0.1325026652452026</v>
          </cell>
          <cell r="E141">
            <v>0.12958248472505085</v>
          </cell>
          <cell r="F141">
            <v>0.14046976744186038</v>
          </cell>
          <cell r="G141">
            <v>0.14274695951190736</v>
          </cell>
          <cell r="H141">
            <v>0.14932183507264207</v>
          </cell>
          <cell r="I141">
            <v>0.15589560270547442</v>
          </cell>
          <cell r="J141">
            <v>0.1624675104487058</v>
          </cell>
          <cell r="K141">
            <v>0.16903686304993826</v>
          </cell>
          <cell r="O141" t="str">
            <v>Operating Margin</v>
          </cell>
          <cell r="Q141">
            <v>0.13678991932195564</v>
          </cell>
          <cell r="R141">
            <v>0.13250266524520254</v>
          </cell>
          <cell r="S141">
            <v>0.12958248472505088</v>
          </cell>
        </row>
        <row r="143">
          <cell r="A143" t="str">
            <v>Employee Profit Sharing</v>
          </cell>
          <cell r="C143">
            <v>0.54709871891484552</v>
          </cell>
          <cell r="D143">
            <v>0.51578330402746375</v>
          </cell>
          <cell r="E143">
            <v>0.46889391275223974</v>
          </cell>
          <cell r="F143">
            <v>0.59114125429121656</v>
          </cell>
          <cell r="G143">
            <v>0.61639454073515865</v>
          </cell>
          <cell r="H143">
            <v>0.65954215858661991</v>
          </cell>
          <cell r="I143">
            <v>0.70571010968768333</v>
          </cell>
          <cell r="J143">
            <v>0.75510981736582139</v>
          </cell>
          <cell r="K143">
            <v>0.80796750458142885</v>
          </cell>
          <cell r="O143" t="str">
            <v>Employee Profit Sharing</v>
          </cell>
          <cell r="Q143">
            <v>3.2669999999999999</v>
          </cell>
          <cell r="R143">
            <v>3.08</v>
          </cell>
          <cell r="S143">
            <v>2.8</v>
          </cell>
        </row>
        <row r="144">
          <cell r="A144" t="str">
            <v>As a % of Sales</v>
          </cell>
          <cell r="C144">
            <v>9.1870049014231847E-3</v>
          </cell>
          <cell r="D144">
            <v>8.2089552238805968E-3</v>
          </cell>
          <cell r="E144">
            <v>7.1283095723014252E-3</v>
          </cell>
          <cell r="F144">
            <v>8.2093023255813951E-3</v>
          </cell>
          <cell r="G144">
            <v>8.0000000000000002E-3</v>
          </cell>
          <cell r="H144">
            <v>8.0000000000000002E-3</v>
          </cell>
          <cell r="I144">
            <v>8.0000000000000002E-3</v>
          </cell>
          <cell r="J144">
            <v>8.0000000000000002E-3</v>
          </cell>
          <cell r="K144">
            <v>8.0000000000000002E-3</v>
          </cell>
          <cell r="O144" t="str">
            <v>As a % of Sales</v>
          </cell>
          <cell r="Q144">
            <v>9.1870049014231847E-3</v>
          </cell>
          <cell r="R144">
            <v>8.2089552238805968E-3</v>
          </cell>
          <cell r="S144">
            <v>7.1283095723014252E-3</v>
          </cell>
        </row>
        <row r="146">
          <cell r="A146" t="str">
            <v>Adjustments / (Cost Savings)</v>
          </cell>
          <cell r="C146">
            <v>0</v>
          </cell>
          <cell r="D146">
            <v>0</v>
          </cell>
          <cell r="E146">
            <v>0</v>
          </cell>
          <cell r="F146">
            <v>0</v>
          </cell>
          <cell r="G146">
            <v>0</v>
          </cell>
          <cell r="H146">
            <v>0</v>
          </cell>
          <cell r="I146">
            <v>0</v>
          </cell>
          <cell r="J146">
            <v>0</v>
          </cell>
          <cell r="K146">
            <v>0</v>
          </cell>
          <cell r="O146" t="str">
            <v>Adjustments / Cost Savings</v>
          </cell>
          <cell r="Q146">
            <v>0</v>
          </cell>
          <cell r="R146">
            <v>0</v>
          </cell>
          <cell r="S146">
            <v>0</v>
          </cell>
        </row>
        <row r="147">
          <cell r="A147" t="str">
            <v>As a % of EBIT</v>
          </cell>
          <cell r="C147">
            <v>0</v>
          </cell>
          <cell r="D147">
            <v>0</v>
          </cell>
          <cell r="E147">
            <v>0</v>
          </cell>
          <cell r="F147">
            <v>0</v>
          </cell>
          <cell r="G147">
            <v>0</v>
          </cell>
          <cell r="H147">
            <v>0</v>
          </cell>
          <cell r="I147">
            <v>0</v>
          </cell>
          <cell r="J147">
            <v>0</v>
          </cell>
          <cell r="K147">
            <v>0</v>
          </cell>
          <cell r="O147" t="str">
            <v>As a % of EBIT</v>
          </cell>
          <cell r="Q147">
            <v>0</v>
          </cell>
          <cell r="R147">
            <v>0</v>
          </cell>
          <cell r="S147">
            <v>0</v>
          </cell>
        </row>
        <row r="149">
          <cell r="A149" t="str">
            <v>Adj. EBIT</v>
          </cell>
          <cell r="C149">
            <v>7.5989282424851332</v>
          </cell>
          <cell r="D149">
            <v>7.8095955790002538</v>
          </cell>
          <cell r="E149">
            <v>8.0549275726366858</v>
          </cell>
          <cell r="F149">
            <v>9.5239052164447724</v>
          </cell>
          <cell r="G149">
            <v>10.382161277975143</v>
          </cell>
          <cell r="H149">
            <v>11.65096351990408</v>
          </cell>
          <cell r="I149">
            <v>13.0464277509508</v>
          </cell>
          <cell r="J149">
            <v>14.579991700484415</v>
          </cell>
          <cell r="K149">
            <v>16.264069048009986</v>
          </cell>
          <cell r="O149" t="str">
            <v>Adj. EBIT</v>
          </cell>
          <cell r="Q149">
            <v>45.376999999999967</v>
          </cell>
          <cell r="R149">
            <v>46.634999999999991</v>
          </cell>
          <cell r="S149">
            <v>48.099999999999994</v>
          </cell>
        </row>
        <row r="150">
          <cell r="A150" t="str">
            <v>As a % Of Sales</v>
          </cell>
          <cell r="C150">
            <v>0.12760291442053248</v>
          </cell>
          <cell r="D150">
            <v>0.12429371002132202</v>
          </cell>
          <cell r="E150">
            <v>0.12245417515274942</v>
          </cell>
          <cell r="F150">
            <v>0.13226046511627898</v>
          </cell>
          <cell r="G150">
            <v>0.13474695951190735</v>
          </cell>
          <cell r="H150">
            <v>0.14132183507264209</v>
          </cell>
          <cell r="I150">
            <v>0.14789560270547442</v>
          </cell>
          <cell r="J150">
            <v>0.1544675104487058</v>
          </cell>
          <cell r="K150">
            <v>0.16103686304993822</v>
          </cell>
          <cell r="O150" t="str">
            <v>As a % Of Sales</v>
          </cell>
          <cell r="Q150">
            <v>0.12760291442053245</v>
          </cell>
          <cell r="R150">
            <v>0.12429371002132195</v>
          </cell>
          <cell r="S150">
            <v>0.12245417515274948</v>
          </cell>
        </row>
        <row r="152">
          <cell r="A152" t="str">
            <v>Other Expenses /  (Income)</v>
          </cell>
          <cell r="C152">
            <v>-0.15523737754333083</v>
          </cell>
          <cell r="D152">
            <v>-0.2850205141086829</v>
          </cell>
          <cell r="E152">
            <v>-0.30143180105501127</v>
          </cell>
          <cell r="F152">
            <v>0</v>
          </cell>
          <cell r="G152">
            <v>0</v>
          </cell>
          <cell r="H152">
            <v>0</v>
          </cell>
          <cell r="I152">
            <v>0</v>
          </cell>
          <cell r="J152">
            <v>0</v>
          </cell>
          <cell r="K152">
            <v>0</v>
          </cell>
          <cell r="O152" t="str">
            <v>Extra-ordinary (gains)/ losses</v>
          </cell>
          <cell r="Q152">
            <v>-0.92700000000000005</v>
          </cell>
          <cell r="R152">
            <v>-1.702</v>
          </cell>
          <cell r="S152">
            <v>-1.8</v>
          </cell>
        </row>
        <row r="153">
          <cell r="A153" t="str">
            <v>Financial (income)/ expense</v>
          </cell>
          <cell r="C153">
            <v>-2.1133718496190235</v>
          </cell>
          <cell r="D153">
            <v>-2.5852800803818137</v>
          </cell>
          <cell r="E153">
            <v>-2.5829356108180521</v>
          </cell>
          <cell r="F153">
            <v>-0.47375031399145945</v>
          </cell>
          <cell r="G153">
            <v>-2.9964467202416638</v>
          </cell>
          <cell r="H153">
            <v>-3.3826635022734748</v>
          </cell>
          <cell r="I153">
            <v>-3.8913153593632961</v>
          </cell>
          <cell r="J153">
            <v>-4.4721487484191682</v>
          </cell>
          <cell r="K153">
            <v>-5.1329555676969463</v>
          </cell>
          <cell r="O153" t="str">
            <v>Financial (income)/ expense</v>
          </cell>
          <cell r="Q153">
            <v>-12.62</v>
          </cell>
          <cell r="R153">
            <v>-15.438000000000001</v>
          </cell>
          <cell r="S153">
            <v>-15.423999999999999</v>
          </cell>
        </row>
        <row r="154">
          <cell r="A154" t="str">
            <v>Pre-tax Income</v>
          </cell>
          <cell r="C154">
            <v>9.8675374696474876</v>
          </cell>
          <cell r="D154">
            <v>10.67989617349075</v>
          </cell>
          <cell r="E154">
            <v>10.93929498450975</v>
          </cell>
          <cell r="F154">
            <v>9.9976555304362318</v>
          </cell>
          <cell r="G154">
            <v>13.378607998216808</v>
          </cell>
          <cell r="H154">
            <v>15.033627022177555</v>
          </cell>
          <cell r="I154">
            <v>16.937743110314095</v>
          </cell>
          <cell r="J154">
            <v>19.052140448903582</v>
          </cell>
          <cell r="K154">
            <v>21.397024615706933</v>
          </cell>
          <cell r="O154" t="str">
            <v>Pre-tax Income</v>
          </cell>
          <cell r="Q154">
            <v>58.923999999999964</v>
          </cell>
          <cell r="R154">
            <v>63.774999999999991</v>
          </cell>
          <cell r="S154">
            <v>65.323999999999984</v>
          </cell>
        </row>
        <row r="156">
          <cell r="A156" t="str">
            <v xml:space="preserve">Income Taxes @ </v>
          </cell>
          <cell r="C156">
            <v>3.6920371765887965</v>
          </cell>
          <cell r="D156">
            <v>3.0735995980909316</v>
          </cell>
          <cell r="E156">
            <v>4.3757849786485803</v>
          </cell>
          <cell r="F156">
            <v>3.9989952273298162</v>
          </cell>
          <cell r="G156">
            <v>5.3514431992867229</v>
          </cell>
          <cell r="H156">
            <v>6.0134508088710197</v>
          </cell>
          <cell r="I156">
            <v>6.7750972441256403</v>
          </cell>
          <cell r="J156">
            <v>7.6208561795614331</v>
          </cell>
          <cell r="K156">
            <v>8.5588098462827755</v>
          </cell>
          <cell r="O156" t="str">
            <v xml:space="preserve">Income Taxes @ </v>
          </cell>
          <cell r="Q156">
            <v>22.047000000000001</v>
          </cell>
          <cell r="R156">
            <v>18.353999999999999</v>
          </cell>
          <cell r="S156">
            <v>26.13</v>
          </cell>
        </row>
        <row r="157">
          <cell r="A157" t="str">
            <v>Net Income (check with RG)</v>
          </cell>
          <cell r="C157">
            <v>6.1755002930586915</v>
          </cell>
          <cell r="D157">
            <v>7.6062965753998188</v>
          </cell>
          <cell r="E157">
            <v>6.5635100058611702</v>
          </cell>
          <cell r="F157">
            <v>5.9986603031064156</v>
          </cell>
          <cell r="G157">
            <v>8.0271647989300838</v>
          </cell>
          <cell r="H157">
            <v>9.0201762133065344</v>
          </cell>
          <cell r="I157">
            <v>10.162645866188456</v>
          </cell>
          <cell r="J157">
            <v>11.43128426934215</v>
          </cell>
          <cell r="K157">
            <v>12.838214769424157</v>
          </cell>
          <cell r="O157" t="str">
            <v>Net Income (check with RG)</v>
          </cell>
          <cell r="Q157">
            <v>36.876999999999967</v>
          </cell>
          <cell r="R157">
            <v>45.420999999999992</v>
          </cell>
          <cell r="S157">
            <v>39.193999999999988</v>
          </cell>
        </row>
        <row r="159">
          <cell r="A159" t="str">
            <v>Return on Sales</v>
          </cell>
          <cell r="C159">
            <v>0.10370039172016608</v>
          </cell>
          <cell r="D159">
            <v>0.12105810234541584</v>
          </cell>
          <cell r="E159">
            <v>9.9781059063136404E-2</v>
          </cell>
          <cell r="F159">
            <v>8.3304651162790622E-2</v>
          </cell>
          <cell r="G159">
            <v>0.1041821660439274</v>
          </cell>
          <cell r="H159">
            <v>0.10941136782081093</v>
          </cell>
          <cell r="I159">
            <v>0.11520476441167607</v>
          </cell>
          <cell r="J159">
            <v>0.12110857527155298</v>
          </cell>
          <cell r="K159">
            <v>0.12711614956420855</v>
          </cell>
          <cell r="O159" t="str">
            <v>Return on Sales</v>
          </cell>
          <cell r="Q159">
            <v>0.10370039172016604</v>
          </cell>
          <cell r="R159">
            <v>0.12105810234541577</v>
          </cell>
          <cell r="S159">
            <v>9.9781059063136418E-2</v>
          </cell>
        </row>
        <row r="160">
          <cell r="A160" t="str">
            <v>Adj. EBIT Growth</v>
          </cell>
          <cell r="C160" t="str">
            <v>na</v>
          </cell>
          <cell r="D160">
            <v>2.7723295942879478E-2</v>
          </cell>
          <cell r="E160">
            <v>3.1414173903719478E-2</v>
          </cell>
          <cell r="F160">
            <v>0.18237006237006237</v>
          </cell>
          <cell r="G160">
            <v>9.0115980999940559E-2</v>
          </cell>
          <cell r="H160">
            <v>0.12220983742764524</v>
          </cell>
          <cell r="I160">
            <v>0.11977243158153916</v>
          </cell>
          <cell r="J160">
            <v>0.11754665559097988</v>
          </cell>
          <cell r="K160">
            <v>0.11550605666460134</v>
          </cell>
          <cell r="O160" t="str">
            <v>Adj. EBIT Growth</v>
          </cell>
          <cell r="Q160" t="str">
            <v>n/a</v>
          </cell>
          <cell r="R160">
            <v>2.7723295942879034E-2</v>
          </cell>
          <cell r="S160">
            <v>3.1414173903720366E-2</v>
          </cell>
        </row>
        <row r="161">
          <cell r="A161" t="str">
            <v>Book Value</v>
          </cell>
          <cell r="C161">
            <v>50.510926902788235</v>
          </cell>
          <cell r="D161">
            <v>55.225990119735414</v>
          </cell>
          <cell r="E161">
            <v>59.281085154483797</v>
          </cell>
          <cell r="F161">
            <v>65.286376957213434</v>
          </cell>
          <cell r="G161">
            <v>71.515673723998518</v>
          </cell>
          <cell r="H161">
            <v>80.535849937305045</v>
          </cell>
          <cell r="I161">
            <v>90.698495803493486</v>
          </cell>
          <cell r="J161">
            <v>102.12978007283563</v>
          </cell>
          <cell r="K161">
            <v>114.96799484225981</v>
          </cell>
          <cell r="O161" t="str">
            <v>Book Value</v>
          </cell>
          <cell r="Q161">
            <v>301.62599999999998</v>
          </cell>
          <cell r="R161">
            <v>329.78200000000004</v>
          </cell>
          <cell r="S161">
            <v>353.99700000000001</v>
          </cell>
        </row>
        <row r="162">
          <cell r="A162" t="str">
            <v>EPS</v>
          </cell>
          <cell r="O162" t="str">
            <v>EPS</v>
          </cell>
        </row>
        <row r="163">
          <cell r="A163" t="str">
            <v>Capital Expenditures  (4)</v>
          </cell>
          <cell r="C163">
            <v>7.1338859583019332E-2</v>
          </cell>
          <cell r="D163">
            <v>0.94247676463200203</v>
          </cell>
          <cell r="E163">
            <v>0.98668676212007034</v>
          </cell>
          <cell r="F163">
            <v>1.0801306204471237</v>
          </cell>
          <cell r="G163">
            <v>1.1557397638784226</v>
          </cell>
          <cell r="H163">
            <v>1.2366415473499122</v>
          </cell>
          <cell r="I163">
            <v>1.3232064556644063</v>
          </cell>
          <cell r="J163">
            <v>1.4158309075609148</v>
          </cell>
          <cell r="K163">
            <v>1.5149390710901789</v>
          </cell>
          <cell r="O163" t="str">
            <v>Capital Expenditures  (4)</v>
          </cell>
          <cell r="Q163">
            <v>0.42599999999999999</v>
          </cell>
          <cell r="R163">
            <v>5.6280000000000001</v>
          </cell>
          <cell r="S163">
            <v>5.8920000000000003</v>
          </cell>
        </row>
        <row r="164">
          <cell r="A164" t="str">
            <v>D&amp;A</v>
          </cell>
          <cell r="C164">
            <v>0.51930000837310553</v>
          </cell>
          <cell r="D164">
            <v>0.55882106673365151</v>
          </cell>
          <cell r="E164">
            <v>0.65276731139579669</v>
          </cell>
          <cell r="F164">
            <v>0.69948924055932338</v>
          </cell>
          <cell r="G164">
            <v>0.76553151278094744</v>
          </cell>
          <cell r="H164">
            <v>0.83619674405808542</v>
          </cell>
          <cell r="I164">
            <v>0.91180854152462287</v>
          </cell>
          <cell r="J164">
            <v>0.99271316481381811</v>
          </cell>
          <cell r="K164">
            <v>1.079281111733257</v>
          </cell>
          <cell r="O164" t="str">
            <v>D&amp;A</v>
          </cell>
          <cell r="Q164">
            <v>3.101</v>
          </cell>
          <cell r="R164">
            <v>3.3370000000000002</v>
          </cell>
          <cell r="S164">
            <v>3.8980000000000001</v>
          </cell>
        </row>
        <row r="165">
          <cell r="A165" t="str">
            <v>Tax Rate</v>
          </cell>
          <cell r="C165">
            <v>0.37415993483130827</v>
          </cell>
          <cell r="D165">
            <v>0.28779302234417864</v>
          </cell>
          <cell r="E165">
            <v>0.40000612332374025</v>
          </cell>
          <cell r="F165">
            <v>0.39999329994472477</v>
          </cell>
          <cell r="G165">
            <v>0.39999999999999997</v>
          </cell>
          <cell r="H165">
            <v>0.39999999999999986</v>
          </cell>
          <cell r="I165">
            <v>0.40000000000000013</v>
          </cell>
          <cell r="J165">
            <v>0.4</v>
          </cell>
          <cell r="K165">
            <v>0.40000000000000013</v>
          </cell>
          <cell r="O165" t="str">
            <v>Tax Rate</v>
          </cell>
          <cell r="Q165">
            <v>0.37415993483130838</v>
          </cell>
          <cell r="R165">
            <v>0.28779302234417881</v>
          </cell>
          <cell r="S165">
            <v>0.40000612332374019</v>
          </cell>
        </row>
        <row r="166">
          <cell r="A166" t="str">
            <v>EPS</v>
          </cell>
          <cell r="O166" t="str">
            <v>EPS</v>
          </cell>
        </row>
        <row r="169">
          <cell r="A169" t="str">
            <v>Cash Flow Statements ($000's)</v>
          </cell>
          <cell r="O169" t="str">
            <v>Cash Flow Statements (Lira in millions)</v>
          </cell>
        </row>
        <row r="171">
          <cell r="C171" t="str">
            <v>1995A</v>
          </cell>
          <cell r="D171" t="str">
            <v>1996A</v>
          </cell>
          <cell r="E171" t="str">
            <v>1997A</v>
          </cell>
          <cell r="F171" t="str">
            <v>1998E</v>
          </cell>
          <cell r="G171" t="str">
            <v>1999E</v>
          </cell>
          <cell r="H171" t="str">
            <v>2000E</v>
          </cell>
          <cell r="I171" t="str">
            <v>2001E</v>
          </cell>
          <cell r="J171" t="str">
            <v>2002E</v>
          </cell>
          <cell r="K171" t="str">
            <v>2003E</v>
          </cell>
          <cell r="Q171" t="str">
            <v>1995A</v>
          </cell>
          <cell r="R171" t="str">
            <v>1996A</v>
          </cell>
          <cell r="S171" t="str">
            <v>1997A</v>
          </cell>
        </row>
        <row r="172">
          <cell r="A172" t="str">
            <v>EBIT</v>
          </cell>
          <cell r="C172">
            <v>7.5989282424851332</v>
          </cell>
          <cell r="D172">
            <v>7.8095955790002538</v>
          </cell>
          <cell r="E172">
            <v>8.0549275726366858</v>
          </cell>
          <cell r="F172">
            <v>9.5239052164447724</v>
          </cell>
          <cell r="G172">
            <v>10.382161277975143</v>
          </cell>
          <cell r="H172">
            <v>11.65096351990408</v>
          </cell>
          <cell r="I172">
            <v>13.0464277509508</v>
          </cell>
          <cell r="J172">
            <v>14.579991700484415</v>
          </cell>
          <cell r="K172">
            <v>16.264069048009986</v>
          </cell>
          <cell r="O172" t="str">
            <v>EBIT</v>
          </cell>
          <cell r="Q172">
            <v>45.376999999999967</v>
          </cell>
          <cell r="R172">
            <v>46.634999999999991</v>
          </cell>
          <cell r="S172">
            <v>48.099999999999994</v>
          </cell>
        </row>
        <row r="173">
          <cell r="A173" t="str">
            <v xml:space="preserve">Taxes @ </v>
          </cell>
          <cell r="B173">
            <v>0.4</v>
          </cell>
          <cell r="C173">
            <v>3.0395712969940534</v>
          </cell>
          <cell r="D173">
            <v>3.1238382316001019</v>
          </cell>
          <cell r="E173">
            <v>3.2219710290546746</v>
          </cell>
          <cell r="F173">
            <v>3.809562086577909</v>
          </cell>
          <cell r="G173">
            <v>4.1528645111900575</v>
          </cell>
          <cell r="H173">
            <v>4.6603854079616323</v>
          </cell>
          <cell r="I173">
            <v>5.2185711003803199</v>
          </cell>
          <cell r="J173">
            <v>5.8319966801937664</v>
          </cell>
          <cell r="K173">
            <v>6.5056276192039952</v>
          </cell>
          <cell r="O173" t="str">
            <v xml:space="preserve">Taxes @ </v>
          </cell>
          <cell r="Q173">
            <v>18.150799999999986</v>
          </cell>
          <cell r="R173">
            <v>18.653999999999996</v>
          </cell>
          <cell r="S173">
            <v>19.239999999999998</v>
          </cell>
        </row>
        <row r="174">
          <cell r="A174" t="str">
            <v>EBIAT</v>
          </cell>
          <cell r="C174">
            <v>4.5593569454910803</v>
          </cell>
          <cell r="D174">
            <v>4.6857573474001519</v>
          </cell>
          <cell r="E174">
            <v>4.8329565435820108</v>
          </cell>
          <cell r="F174">
            <v>5.7143431298668634</v>
          </cell>
          <cell r="G174">
            <v>6.2292967667850858</v>
          </cell>
          <cell r="H174">
            <v>6.9905781119424475</v>
          </cell>
          <cell r="I174">
            <v>7.8278566505704799</v>
          </cell>
          <cell r="J174">
            <v>8.7479950202906487</v>
          </cell>
          <cell r="K174">
            <v>9.7584414288059911</v>
          </cell>
          <cell r="O174" t="str">
            <v>EBIAT</v>
          </cell>
          <cell r="Q174">
            <v>27.226199999999981</v>
          </cell>
          <cell r="R174">
            <v>27.980999999999995</v>
          </cell>
          <cell r="S174">
            <v>28.859999999999996</v>
          </cell>
        </row>
        <row r="176">
          <cell r="A176" t="str">
            <v>Pre-Deal Amortization</v>
          </cell>
          <cell r="C176">
            <v>0</v>
          </cell>
          <cell r="D176">
            <v>0</v>
          </cell>
          <cell r="E176">
            <v>0</v>
          </cell>
          <cell r="F176">
            <v>0</v>
          </cell>
          <cell r="G176">
            <v>0</v>
          </cell>
          <cell r="H176">
            <v>0</v>
          </cell>
          <cell r="I176">
            <v>0</v>
          </cell>
          <cell r="J176">
            <v>0</v>
          </cell>
          <cell r="K176">
            <v>0</v>
          </cell>
          <cell r="O176" t="str">
            <v>Pre-Deal Amortization</v>
          </cell>
          <cell r="Q176">
            <v>0</v>
          </cell>
          <cell r="R176">
            <v>0</v>
          </cell>
          <cell r="S176">
            <v>0</v>
          </cell>
        </row>
        <row r="177">
          <cell r="A177" t="str">
            <v>Depreciation</v>
          </cell>
          <cell r="C177">
            <v>0.51930000837310553</v>
          </cell>
          <cell r="D177">
            <v>0.55882106673365151</v>
          </cell>
          <cell r="E177">
            <v>0.65276731139579669</v>
          </cell>
          <cell r="F177">
            <v>0.69948924055932338</v>
          </cell>
          <cell r="G177">
            <v>0.76553151278094744</v>
          </cell>
          <cell r="H177">
            <v>0.85886480068499149</v>
          </cell>
          <cell r="I177">
            <v>0.9508571807872026</v>
          </cell>
          <cell r="J177">
            <v>1.0429747828851776</v>
          </cell>
          <cell r="K177">
            <v>1.1364773100214707</v>
          </cell>
          <cell r="O177" t="str">
            <v>Depreciation</v>
          </cell>
          <cell r="Q177">
            <v>3.101</v>
          </cell>
          <cell r="R177">
            <v>3.3370000000000002</v>
          </cell>
          <cell r="S177">
            <v>3.8980000000000001</v>
          </cell>
        </row>
        <row r="178">
          <cell r="A178" t="str">
            <v>Total D &amp; A</v>
          </cell>
          <cell r="C178">
            <v>0.51930000837310553</v>
          </cell>
          <cell r="D178">
            <v>0.55882106673365151</v>
          </cell>
          <cell r="E178">
            <v>0.65276731139579669</v>
          </cell>
          <cell r="F178">
            <v>0.69948924055932338</v>
          </cell>
          <cell r="G178">
            <v>0.76553151278094744</v>
          </cell>
          <cell r="H178">
            <v>0.85886480068499149</v>
          </cell>
          <cell r="I178">
            <v>0.9508571807872026</v>
          </cell>
          <cell r="J178">
            <v>1.0429747828851776</v>
          </cell>
          <cell r="K178">
            <v>1.1364773100214707</v>
          </cell>
          <cell r="O178" t="str">
            <v>Total D &amp; A</v>
          </cell>
          <cell r="Q178">
            <v>3.101</v>
          </cell>
          <cell r="R178">
            <v>3.3370000000000002</v>
          </cell>
          <cell r="S178">
            <v>3.8980000000000001</v>
          </cell>
        </row>
        <row r="180">
          <cell r="A180" t="str">
            <v>Capex / Sales</v>
          </cell>
          <cell r="C180">
            <v>1.1979381965124814E-3</v>
          </cell>
          <cell r="D180">
            <v>1.5000000000000001E-2</v>
          </cell>
          <cell r="E180">
            <v>1.5000000000000001E-2</v>
          </cell>
          <cell r="F180">
            <v>1.4999999999999999E-2</v>
          </cell>
          <cell r="G180">
            <v>1.5000000000000001E-2</v>
          </cell>
          <cell r="H180">
            <v>1.4999999999999999E-2</v>
          </cell>
          <cell r="I180">
            <v>1.4999999999999999E-2</v>
          </cell>
          <cell r="J180">
            <v>1.4999999999999998E-2</v>
          </cell>
          <cell r="K180">
            <v>1.4999999999999999E-2</v>
          </cell>
          <cell r="O180" t="str">
            <v>Capex / Sales</v>
          </cell>
          <cell r="Q180">
            <v>1.1979381965124814E-3</v>
          </cell>
          <cell r="R180">
            <v>1.5000000000000001E-2</v>
          </cell>
          <cell r="S180">
            <v>1.5000000000000001E-2</v>
          </cell>
        </row>
        <row r="181">
          <cell r="A181" t="str">
            <v>Capex (1)</v>
          </cell>
          <cell r="C181">
            <v>7.1338859583019332E-2</v>
          </cell>
          <cell r="D181">
            <v>0.94247676463200203</v>
          </cell>
          <cell r="E181">
            <v>0.98668676212007034</v>
          </cell>
          <cell r="F181">
            <v>1.0801306204471237</v>
          </cell>
          <cell r="G181">
            <v>1.1557397638784226</v>
          </cell>
          <cell r="H181">
            <v>1.2366415473499122</v>
          </cell>
          <cell r="I181">
            <v>1.3232064556644063</v>
          </cell>
          <cell r="J181">
            <v>1.4158309075609148</v>
          </cell>
          <cell r="K181">
            <v>1.5149390710901789</v>
          </cell>
          <cell r="O181" t="str">
            <v>Capex (1)</v>
          </cell>
          <cell r="Q181">
            <v>0.42599999999999999</v>
          </cell>
          <cell r="R181">
            <v>5.6280000000000001</v>
          </cell>
          <cell r="S181">
            <v>5.8920000000000003</v>
          </cell>
        </row>
        <row r="182">
          <cell r="H182" t="str">
            <v xml:space="preserve"> </v>
          </cell>
          <cell r="I182" t="str">
            <v xml:space="preserve"> </v>
          </cell>
          <cell r="J182" t="str">
            <v xml:space="preserve"> </v>
          </cell>
          <cell r="K182" t="str">
            <v xml:space="preserve"> </v>
          </cell>
        </row>
        <row r="183">
          <cell r="A183" t="str">
            <v>Purchase Accounting Outflows / Sales</v>
          </cell>
          <cell r="C183">
            <v>3.3686758747971279E-6</v>
          </cell>
          <cell r="D183">
            <v>3.9978678038379534E-5</v>
          </cell>
          <cell r="E183">
            <v>3.8187372708757641E-5</v>
          </cell>
          <cell r="F183">
            <v>0</v>
          </cell>
          <cell r="G183">
            <v>0</v>
          </cell>
          <cell r="H183">
            <v>0</v>
          </cell>
          <cell r="I183">
            <v>0</v>
          </cell>
          <cell r="J183">
            <v>0</v>
          </cell>
          <cell r="K183">
            <v>0</v>
          </cell>
          <cell r="O183" t="str">
            <v>Purchase Accounting Outflows / Sales</v>
          </cell>
          <cell r="Q183">
            <v>3.3686758747971279E-6</v>
          </cell>
          <cell r="R183">
            <v>3.9978678038379534E-5</v>
          </cell>
          <cell r="S183">
            <v>3.8187372708757641E-5</v>
          </cell>
        </row>
        <row r="184">
          <cell r="A184" t="str">
            <v>Purchase Accounting Outflows</v>
          </cell>
          <cell r="C184">
            <v>2.0060926007074961E-4</v>
          </cell>
          <cell r="D184">
            <v>2.5119316754584277E-3</v>
          </cell>
          <cell r="E184">
            <v>2.5119316754584277E-3</v>
          </cell>
          <cell r="F184">
            <v>0</v>
          </cell>
          <cell r="G184">
            <v>0</v>
          </cell>
          <cell r="H184">
            <v>0</v>
          </cell>
          <cell r="I184">
            <v>0</v>
          </cell>
          <cell r="J184">
            <v>0</v>
          </cell>
          <cell r="K184">
            <v>0</v>
          </cell>
          <cell r="O184" t="str">
            <v>Purchase Accounting Outflows</v>
          </cell>
          <cell r="Q184">
            <v>1.1979381965124814E-3</v>
          </cell>
          <cell r="R184">
            <v>1.5000000000000001E-2</v>
          </cell>
          <cell r="S184">
            <v>1.5000000000000001E-2</v>
          </cell>
        </row>
        <row r="185">
          <cell r="H185" t="str">
            <v xml:space="preserve"> </v>
          </cell>
          <cell r="I185" t="str">
            <v xml:space="preserve"> </v>
          </cell>
          <cell r="J185" t="str">
            <v xml:space="preserve"> </v>
          </cell>
          <cell r="K185" t="str">
            <v xml:space="preserve"> </v>
          </cell>
        </row>
        <row r="186">
          <cell r="A186" t="str">
            <v>Working Capital / Sales</v>
          </cell>
          <cell r="C186">
            <v>0.25159514188256266</v>
          </cell>
          <cell r="D186">
            <v>0.22048773987206821</v>
          </cell>
          <cell r="E186">
            <v>0.24872708757637482</v>
          </cell>
          <cell r="F186">
            <v>0.24873501306757897</v>
          </cell>
          <cell r="G186">
            <v>0.24873886327580416</v>
          </cell>
          <cell r="H186">
            <v>0.24876628557927766</v>
          </cell>
          <cell r="I186">
            <v>0.24879370788275113</v>
          </cell>
          <cell r="J186">
            <v>0.24882113018622462</v>
          </cell>
          <cell r="K186">
            <v>0.24884855248969814</v>
          </cell>
          <cell r="O186" t="str">
            <v>Working Capital / Sales</v>
          </cell>
          <cell r="Q186">
            <v>0.25159514188256271</v>
          </cell>
          <cell r="R186">
            <v>0.22048773987206824</v>
          </cell>
          <cell r="S186">
            <v>0.24872708757637479</v>
          </cell>
        </row>
        <row r="187">
          <cell r="A187" t="str">
            <v>Working Capital (2)</v>
          </cell>
          <cell r="C187">
            <v>14.982835133551031</v>
          </cell>
          <cell r="D187">
            <v>13.85363811437662</v>
          </cell>
          <cell r="E187">
            <v>16.361048312819229</v>
          </cell>
          <cell r="F187">
            <v>17.911086932773834</v>
          </cell>
          <cell r="G187">
            <v>19.165159673984341</v>
          </cell>
          <cell r="H187">
            <v>20.508981621816538</v>
          </cell>
          <cell r="I187">
            <v>21.947029359942718</v>
          </cell>
          <cell r="J187">
            <v>23.485909771459664</v>
          </cell>
          <cell r="K187">
            <v>25.132692996725265</v>
          </cell>
          <cell r="O187" t="str">
            <v>Working Capital (2)</v>
          </cell>
          <cell r="Q187">
            <v>89.47</v>
          </cell>
          <cell r="R187">
            <v>82.727000000000004</v>
          </cell>
          <cell r="S187">
            <v>97.700000000000017</v>
          </cell>
        </row>
        <row r="188">
          <cell r="A188" t="str">
            <v>Change In WC</v>
          </cell>
          <cell r="C188">
            <v>14.982835133551031</v>
          </cell>
          <cell r="D188">
            <v>-1.129197019174411</v>
          </cell>
          <cell r="E188">
            <v>2.5074101984426083</v>
          </cell>
          <cell r="F188">
            <v>1.5500386199546057</v>
          </cell>
          <cell r="G188">
            <v>1.254072741210507</v>
          </cell>
          <cell r="H188">
            <v>1.3438219478321969</v>
          </cell>
          <cell r="I188">
            <v>1.4380477381261798</v>
          </cell>
          <cell r="J188">
            <v>1.5388804115169457</v>
          </cell>
          <cell r="K188">
            <v>1.6467832252656009</v>
          </cell>
          <cell r="O188" t="str">
            <v>Change In WC</v>
          </cell>
          <cell r="Q188">
            <v>89.47</v>
          </cell>
          <cell r="R188">
            <v>-6.742999999999995</v>
          </cell>
          <cell r="S188">
            <v>14.973000000000013</v>
          </cell>
        </row>
        <row r="191">
          <cell r="A191" t="str">
            <v>Free Cash Flow</v>
          </cell>
          <cell r="C191">
            <v>-9.9757176485299368</v>
          </cell>
          <cell r="D191">
            <v>5.4287867370007534</v>
          </cell>
          <cell r="E191">
            <v>1.98911496273967</v>
          </cell>
          <cell r="F191">
            <v>3.7836631300244576</v>
          </cell>
          <cell r="G191">
            <v>4.5850157744771041</v>
          </cell>
          <cell r="H191">
            <v>5.2689794174453297</v>
          </cell>
          <cell r="I191">
            <v>6.0174596375670966</v>
          </cell>
          <cell r="J191">
            <v>6.8362584840979661</v>
          </cell>
          <cell r="K191">
            <v>7.7331964424716819</v>
          </cell>
          <cell r="O191" t="str">
            <v>Free Cash Flow</v>
          </cell>
          <cell r="Q191">
            <v>-59.569997938196529</v>
          </cell>
          <cell r="R191">
            <v>32.417999999999992</v>
          </cell>
          <cell r="S191">
            <v>11.877999999999982</v>
          </cell>
        </row>
        <row r="192">
          <cell r="A192" t="str">
            <v>Tax Savings For Goodwill Amort.</v>
          </cell>
          <cell r="B192" t="str">
            <v>No</v>
          </cell>
          <cell r="G192">
            <v>0</v>
          </cell>
          <cell r="H192">
            <v>0</v>
          </cell>
          <cell r="I192">
            <v>0</v>
          </cell>
          <cell r="J192">
            <v>0</v>
          </cell>
          <cell r="K192">
            <v>0</v>
          </cell>
          <cell r="O192" t="str">
            <v>Tax Savings For Goodwill Amort.</v>
          </cell>
          <cell r="P192" t="str">
            <v>No</v>
          </cell>
        </row>
        <row r="194">
          <cell r="A194" t="str">
            <v>Purchase Price Payments (3)</v>
          </cell>
          <cell r="F194">
            <v>-79.316830883205029</v>
          </cell>
          <cell r="O194" t="str">
            <v>Purchase Price Payments (3)</v>
          </cell>
        </row>
        <row r="195">
          <cell r="A195" t="str">
            <v>Terminal Value  (4)</v>
          </cell>
          <cell r="G195">
            <v>0</v>
          </cell>
          <cell r="H195">
            <v>0</v>
          </cell>
          <cell r="I195">
            <v>0</v>
          </cell>
          <cell r="J195">
            <v>0</v>
          </cell>
          <cell r="K195">
            <v>117.16964306775274</v>
          </cell>
          <cell r="O195" t="str">
            <v>Terminal Value  (4)</v>
          </cell>
        </row>
        <row r="196">
          <cell r="A196" t="str">
            <v>Unlevered IRR Calculation:</v>
          </cell>
          <cell r="B196">
            <v>0.1455104494284723</v>
          </cell>
          <cell r="F196">
            <v>-79.316830883205029</v>
          </cell>
          <cell r="G196">
            <v>4.5850157744771041</v>
          </cell>
          <cell r="H196">
            <v>5.2689794174453297</v>
          </cell>
          <cell r="I196">
            <v>6.0174596375670966</v>
          </cell>
          <cell r="J196">
            <v>6.8362584840979661</v>
          </cell>
          <cell r="K196">
            <v>124.90283951022442</v>
          </cell>
          <cell r="O196" t="str">
            <v>Unlevered IRR Calculation:</v>
          </cell>
          <cell r="P196">
            <v>0.14551044942847244</v>
          </cell>
        </row>
        <row r="199">
          <cell r="B199" t="str">
            <v>Company Valuation:</v>
          </cell>
          <cell r="E199" t="str">
            <v>As of June 30, 1998</v>
          </cell>
          <cell r="G199" t="str">
            <v>As of June 30, 1998</v>
          </cell>
          <cell r="I199" t="str">
            <v>As of June 30, 1998</v>
          </cell>
          <cell r="O199" t="str">
            <v>Company Valuation:</v>
          </cell>
          <cell r="Q199" t="str">
            <v>As of June 30, 1998</v>
          </cell>
          <cell r="S199" t="str">
            <v>As of June 30, 1998</v>
          </cell>
        </row>
        <row r="201">
          <cell r="B201" t="str">
            <v>PV of Cash Flows @:</v>
          </cell>
          <cell r="D201">
            <v>0.15</v>
          </cell>
          <cell r="E201">
            <v>19.681071384683161</v>
          </cell>
          <cell r="F201">
            <v>0.2</v>
          </cell>
          <cell r="G201">
            <v>17.366791105961902</v>
          </cell>
          <cell r="H201">
            <v>0.25</v>
          </cell>
          <cell r="I201">
            <v>15.455244066536697</v>
          </cell>
          <cell r="O201" t="str">
            <v>PV of Cash Flows @:</v>
          </cell>
          <cell r="P201">
            <v>0.15</v>
          </cell>
          <cell r="Q201">
            <v>117.5255177736355</v>
          </cell>
          <cell r="R201">
            <v>0.2</v>
          </cell>
          <cell r="S201">
            <v>103.7057930892515</v>
          </cell>
        </row>
        <row r="202">
          <cell r="B202" t="str">
            <v>PV of TV @ :</v>
          </cell>
          <cell r="D202">
            <v>0.15</v>
          </cell>
          <cell r="E202">
            <v>58.254020616491218</v>
          </cell>
          <cell r="F202">
            <v>0.2</v>
          </cell>
          <cell r="G202">
            <v>47.087851670103824</v>
          </cell>
          <cell r="H202">
            <v>0.25</v>
          </cell>
          <cell r="I202">
            <v>38.394148640441223</v>
          </cell>
          <cell r="O202" t="str">
            <v>PV of TV @ :</v>
          </cell>
          <cell r="P202">
            <v>0.15</v>
          </cell>
          <cell r="Q202">
            <v>347.86388411137739</v>
          </cell>
          <cell r="R202">
            <v>0.2</v>
          </cell>
          <cell r="S202">
            <v>281.18510624802508</v>
          </cell>
        </row>
        <row r="203">
          <cell r="B203" t="str">
            <v>PV of Tax Benefit @:</v>
          </cell>
          <cell r="D203">
            <v>0.09</v>
          </cell>
          <cell r="E203">
            <v>0</v>
          </cell>
          <cell r="F203">
            <v>0.09</v>
          </cell>
          <cell r="G203">
            <v>0</v>
          </cell>
          <cell r="H203">
            <v>0.09</v>
          </cell>
          <cell r="I203">
            <v>0</v>
          </cell>
          <cell r="O203" t="str">
            <v>PV of Tax Benefit @:</v>
          </cell>
          <cell r="P203">
            <v>0.09</v>
          </cell>
          <cell r="Q203">
            <v>0</v>
          </cell>
          <cell r="R203">
            <v>0.09</v>
          </cell>
          <cell r="S203">
            <v>0</v>
          </cell>
        </row>
        <row r="204">
          <cell r="B204" t="str">
            <v>PV of Firm</v>
          </cell>
          <cell r="E204">
            <v>77.935092001174382</v>
          </cell>
          <cell r="G204">
            <v>64.454642776065725</v>
          </cell>
          <cell r="I204">
            <v>53.849392706977923</v>
          </cell>
          <cell r="O204" t="str">
            <v>PV of Firm</v>
          </cell>
          <cell r="Q204">
            <v>465.38940188501289</v>
          </cell>
          <cell r="S204">
            <v>384.89089933727655</v>
          </cell>
        </row>
        <row r="205">
          <cell r="B205" t="str">
            <v xml:space="preserve">Less Net LT Debt </v>
          </cell>
          <cell r="E205">
            <v>-43.806672424171659</v>
          </cell>
          <cell r="G205">
            <v>-43.806672424171659</v>
          </cell>
          <cell r="I205">
            <v>-43.806672424171659</v>
          </cell>
          <cell r="O205" t="str">
            <v xml:space="preserve">Less Net LT Debt </v>
          </cell>
          <cell r="Q205">
            <v>-261.59154438094106</v>
          </cell>
          <cell r="S205">
            <v>-261.59154438094106</v>
          </cell>
        </row>
        <row r="206">
          <cell r="B206" t="str">
            <v>PV of Equity</v>
          </cell>
          <cell r="E206">
            <v>121.74176442534605</v>
          </cell>
          <cell r="G206">
            <v>108.26131520023739</v>
          </cell>
          <cell r="I206">
            <v>97.656065131149575</v>
          </cell>
          <cell r="O206" t="str">
            <v>PV of Equity</v>
          </cell>
          <cell r="Q206">
            <v>726.98094626595389</v>
          </cell>
          <cell r="S206">
            <v>646.48244371821761</v>
          </cell>
        </row>
        <row r="208">
          <cell r="B208" t="str">
            <v>PV of Purchase Price</v>
          </cell>
          <cell r="E208">
            <v>79.316830883205029</v>
          </cell>
          <cell r="G208">
            <v>79.316830883205029</v>
          </cell>
          <cell r="I208">
            <v>79.316830883205029</v>
          </cell>
          <cell r="O208" t="str">
            <v>PV of Purchase Price</v>
          </cell>
          <cell r="Q208">
            <v>473.64045561905886</v>
          </cell>
          <cell r="S208">
            <v>473.64045561905886</v>
          </cell>
        </row>
        <row r="210">
          <cell r="B210" t="str">
            <v>NPV</v>
          </cell>
          <cell r="E210">
            <v>-1.3817388820306462</v>
          </cell>
          <cell r="G210">
            <v>-14.862188107139303</v>
          </cell>
          <cell r="I210">
            <v>-25.467438176227105</v>
          </cell>
          <cell r="O210" t="str">
            <v>NPV</v>
          </cell>
          <cell r="Q210">
            <v>-8.2510537340459678</v>
          </cell>
          <cell r="S210">
            <v>-88.749556281782304</v>
          </cell>
        </row>
        <row r="213">
          <cell r="A213" t="str">
            <v xml:space="preserve">(1) Capex assumed to be 1.5% of Sales. </v>
          </cell>
          <cell r="O213" t="str">
            <v xml:space="preserve">(1) Capex assumed to be 1.0% of Sales. </v>
          </cell>
        </row>
        <row r="214">
          <cell r="A214" t="str">
            <v>(2) Defined as Receivables + Inventory - Payables.</v>
          </cell>
          <cell r="O214" t="str">
            <v>(2) Defined as Receivables + Inventory - Payables.</v>
          </cell>
        </row>
        <row r="215">
          <cell r="A215" t="str">
            <v xml:space="preserve">(3) Fisher acquires 100% of  company </v>
          </cell>
          <cell r="O215" t="str">
            <v>(3) Fisher acquires 100% of  company</v>
          </cell>
        </row>
        <row r="216">
          <cell r="A216" t="str">
            <v>(4) Terminal value calculated as a perpetuity</v>
          </cell>
          <cell r="E216">
            <v>6.6000000000000003E-2</v>
          </cell>
          <cell r="O216" t="str">
            <v>(4) Terminal value calculated as 10% perpetuity</v>
          </cell>
          <cell r="S216">
            <v>6.6000000000000003E-2</v>
          </cell>
        </row>
        <row r="218">
          <cell r="A218" t="str">
            <v>Balance Sheet ($000's)</v>
          </cell>
          <cell r="O218" t="str">
            <v>Balance Sheet (Lira in millions)</v>
          </cell>
        </row>
        <row r="219">
          <cell r="A219" t="str">
            <v>Fiscal Year Ended June 30,</v>
          </cell>
          <cell r="O219" t="str">
            <v>At Dec 31,</v>
          </cell>
        </row>
        <row r="220">
          <cell r="F220" t="str">
            <v>(1)</v>
          </cell>
        </row>
        <row r="221">
          <cell r="C221" t="str">
            <v>1995A</v>
          </cell>
          <cell r="D221" t="str">
            <v>1996A</v>
          </cell>
          <cell r="E221" t="str">
            <v>1997A</v>
          </cell>
          <cell r="F221" t="str">
            <v>1998E</v>
          </cell>
          <cell r="G221" t="str">
            <v>1999E</v>
          </cell>
          <cell r="H221" t="str">
            <v>2000E</v>
          </cell>
          <cell r="I221" t="str">
            <v>2001E</v>
          </cell>
          <cell r="J221" t="str">
            <v>2002E</v>
          </cell>
          <cell r="K221" t="str">
            <v>2003E</v>
          </cell>
          <cell r="Q221" t="str">
            <v>1995A</v>
          </cell>
          <cell r="R221" t="str">
            <v>1996A</v>
          </cell>
          <cell r="S221" t="str">
            <v>1997A</v>
          </cell>
        </row>
        <row r="222">
          <cell r="A222" t="str">
            <v>Assets</v>
          </cell>
          <cell r="G222" t="str">
            <v xml:space="preserve"> </v>
          </cell>
          <cell r="H222" t="str">
            <v xml:space="preserve"> </v>
          </cell>
          <cell r="I222" t="str">
            <v xml:space="preserve"> </v>
          </cell>
          <cell r="J222" t="str">
            <v xml:space="preserve"> </v>
          </cell>
          <cell r="K222" t="str">
            <v xml:space="preserve"> </v>
          </cell>
          <cell r="O222" t="str">
            <v>Assets</v>
          </cell>
        </row>
        <row r="223">
          <cell r="A223" t="str">
            <v xml:space="preserve">Cash/Equivalents </v>
          </cell>
          <cell r="C223">
            <v>36.739680147366656</v>
          </cell>
          <cell r="D223">
            <v>39.774428535543834</v>
          </cell>
          <cell r="E223">
            <v>39.738759105752322</v>
          </cell>
          <cell r="F223">
            <v>43.806672424171659</v>
          </cell>
          <cell r="G223">
            <v>48.391688198648758</v>
          </cell>
          <cell r="H223">
            <v>55.690265717458168</v>
          </cell>
          <cell r="I223">
            <v>64.042514570643249</v>
          </cell>
          <cell r="J223">
            <v>73.5620623037927</v>
          </cell>
          <cell r="K223">
            <v>84.37503208688257</v>
          </cell>
          <cell r="O223" t="str">
            <v xml:space="preserve">Cash/Equivalents </v>
          </cell>
          <cell r="Q223">
            <v>219.39099999999999</v>
          </cell>
          <cell r="R223">
            <v>237.51300000000001</v>
          </cell>
          <cell r="S223">
            <v>237.3</v>
          </cell>
        </row>
        <row r="224">
          <cell r="A224" t="str">
            <v>Accounts Receivable (Net)</v>
          </cell>
          <cell r="C224">
            <v>15.335845265008791</v>
          </cell>
          <cell r="D224">
            <v>15.042619107426944</v>
          </cell>
          <cell r="E224">
            <v>16.562002846855901</v>
          </cell>
          <cell r="F224">
            <v>18.130502098136549</v>
          </cell>
          <cell r="G224">
            <v>19.399637245006112</v>
          </cell>
          <cell r="H224">
            <v>20.75761185215654</v>
          </cell>
          <cell r="I224">
            <v>22.210644681807498</v>
          </cell>
          <cell r="J224">
            <v>23.765389809534028</v>
          </cell>
          <cell r="K224">
            <v>25.428967096201415</v>
          </cell>
          <cell r="O224" t="str">
            <v>Accounts Receivable (Net)</v>
          </cell>
          <cell r="Q224">
            <v>91.578000000000003</v>
          </cell>
          <cell r="R224">
            <v>89.826999999999998</v>
          </cell>
          <cell r="S224">
            <v>98.9</v>
          </cell>
        </row>
        <row r="225">
          <cell r="A225" t="str">
            <v>Inventories (Net)</v>
          </cell>
          <cell r="C225">
            <v>4.2079879427279572</v>
          </cell>
          <cell r="D225">
            <v>3.6972285020514106</v>
          </cell>
          <cell r="E225">
            <v>4.5549694381646146</v>
          </cell>
          <cell r="F225">
            <v>4.9734104148881455</v>
          </cell>
          <cell r="G225">
            <v>5.3148249431600822</v>
          </cell>
          <cell r="H225">
            <v>5.6356185543733703</v>
          </cell>
          <cell r="I225">
            <v>5.9752806289350335</v>
          </cell>
          <cell r="J225">
            <v>6.3348808630189009</v>
          </cell>
          <cell r="K225">
            <v>6.7155462547927289</v>
          </cell>
          <cell r="O225" t="str">
            <v>Inventories (Net)</v>
          </cell>
          <cell r="Q225">
            <v>25.128</v>
          </cell>
          <cell r="R225">
            <v>22.077999999999999</v>
          </cell>
          <cell r="S225">
            <v>27.2</v>
          </cell>
        </row>
        <row r="226">
          <cell r="A226" t="str">
            <v xml:space="preserve">Prepaid Expenses &amp; Other </v>
          </cell>
          <cell r="C226">
            <v>0.96357699070585279</v>
          </cell>
          <cell r="D226">
            <v>1.7452901281085154</v>
          </cell>
          <cell r="E226">
            <v>3.7946914510591978</v>
          </cell>
          <cell r="F226">
            <v>3.7946914510591978</v>
          </cell>
          <cell r="G226">
            <v>3.7946914510591978</v>
          </cell>
          <cell r="H226">
            <v>3.7946914510591978</v>
          </cell>
          <cell r="I226">
            <v>3.7946914510591978</v>
          </cell>
          <cell r="J226">
            <v>3.7946914510591978</v>
          </cell>
          <cell r="K226">
            <v>3.7946914510591978</v>
          </cell>
          <cell r="O226" t="str">
            <v xml:space="preserve">Prepaid Expenses &amp; Other </v>
          </cell>
          <cell r="Q226">
            <v>5.7540000000000004</v>
          </cell>
          <cell r="R226">
            <v>10.422000000000001</v>
          </cell>
          <cell r="S226">
            <v>22.66</v>
          </cell>
        </row>
        <row r="227">
          <cell r="A227" t="str">
            <v>Total Current Assets</v>
          </cell>
          <cell r="C227">
            <v>57.247090345809262</v>
          </cell>
          <cell r="D227">
            <v>60.259566273130702</v>
          </cell>
          <cell r="E227">
            <v>64.650422841832039</v>
          </cell>
          <cell r="F227">
            <v>70.705276388255555</v>
          </cell>
          <cell r="G227">
            <v>76.90084183787414</v>
          </cell>
          <cell r="H227">
            <v>85.878187575047264</v>
          </cell>
          <cell r="I227">
            <v>96.023131332444976</v>
          </cell>
          <cell r="J227">
            <v>107.45702442740482</v>
          </cell>
          <cell r="K227">
            <v>120.31423688893591</v>
          </cell>
          <cell r="O227" t="str">
            <v>Total Current Assets</v>
          </cell>
          <cell r="Q227">
            <v>341.851</v>
          </cell>
          <cell r="R227">
            <v>359.84000000000003</v>
          </cell>
          <cell r="S227">
            <v>386.06000000000006</v>
          </cell>
        </row>
        <row r="229">
          <cell r="A229" t="str">
            <v>Net PP&amp;E</v>
          </cell>
          <cell r="C229">
            <v>2.9866867621200703</v>
          </cell>
          <cell r="D229">
            <v>2.7137235200535876</v>
          </cell>
          <cell r="E229">
            <v>2.3277233525914762</v>
          </cell>
          <cell r="F229">
            <v>2.7083647324792768</v>
          </cell>
          <cell r="G229">
            <v>3.0985729835767515</v>
          </cell>
          <cell r="H229">
            <v>3.4763497302416719</v>
          </cell>
          <cell r="I229">
            <v>3.8486990051188754</v>
          </cell>
          <cell r="J229">
            <v>4.2215551297946119</v>
          </cell>
          <cell r="K229">
            <v>4.600016890863321</v>
          </cell>
          <cell r="O229" t="str">
            <v>Net PP&amp;E</v>
          </cell>
          <cell r="Q229">
            <v>17.835000000000001</v>
          </cell>
          <cell r="R229">
            <v>16.204999999999998</v>
          </cell>
          <cell r="S229">
            <v>13.9</v>
          </cell>
        </row>
        <row r="230">
          <cell r="A230" t="str">
            <v>Goodwill &amp; Other Intangibles</v>
          </cell>
          <cell r="C230">
            <v>0.66566189399648323</v>
          </cell>
          <cell r="D230">
            <v>1.5696223729381225</v>
          </cell>
          <cell r="E230">
            <v>1.4904127941053336</v>
          </cell>
          <cell r="F230">
            <v>1.4904127941053336</v>
          </cell>
          <cell r="G230">
            <v>1.4904127941053336</v>
          </cell>
          <cell r="H230">
            <v>1.4904127941053336</v>
          </cell>
          <cell r="I230">
            <v>1.4904127941053336</v>
          </cell>
          <cell r="J230">
            <v>1.4904127941053336</v>
          </cell>
          <cell r="K230">
            <v>1.4904127941053336</v>
          </cell>
          <cell r="O230" t="str">
            <v>Goodwill &amp; Other Intangibles</v>
          </cell>
          <cell r="Q230">
            <v>3.9750000000000001</v>
          </cell>
          <cell r="R230">
            <v>9.3729999999999993</v>
          </cell>
          <cell r="S230">
            <v>8.9</v>
          </cell>
        </row>
        <row r="231">
          <cell r="A231" t="str">
            <v>Other Assets</v>
          </cell>
          <cell r="C231">
            <v>0.2662647575985933</v>
          </cell>
          <cell r="D231">
            <v>0.3582014569203717</v>
          </cell>
          <cell r="E231">
            <v>0</v>
          </cell>
          <cell r="F231">
            <v>0</v>
          </cell>
          <cell r="G231">
            <v>0</v>
          </cell>
          <cell r="H231">
            <v>0</v>
          </cell>
          <cell r="I231">
            <v>0</v>
          </cell>
          <cell r="J231">
            <v>0</v>
          </cell>
          <cell r="K231">
            <v>0</v>
          </cell>
          <cell r="O231" t="str">
            <v>Other Assets</v>
          </cell>
          <cell r="Q231">
            <v>1.59</v>
          </cell>
          <cell r="R231">
            <v>2.1389999999999998</v>
          </cell>
          <cell r="S231">
            <v>0</v>
          </cell>
        </row>
        <row r="232">
          <cell r="A232" t="str">
            <v>TOTAL ASSETS</v>
          </cell>
          <cell r="C232">
            <v>61.165703759524412</v>
          </cell>
          <cell r="D232">
            <v>64.901113623042789</v>
          </cell>
          <cell r="E232">
            <v>68.468558988528855</v>
          </cell>
          <cell r="F232">
            <v>74.904053914840176</v>
          </cell>
          <cell r="G232">
            <v>81.489827615556237</v>
          </cell>
          <cell r="H232">
            <v>90.844950099394268</v>
          </cell>
          <cell r="I232">
            <v>101.36224313166919</v>
          </cell>
          <cell r="J232">
            <v>113.16899235130477</v>
          </cell>
          <cell r="K232">
            <v>126.40466657390456</v>
          </cell>
          <cell r="O232" t="str">
            <v>TOTAL ASSETS</v>
          </cell>
          <cell r="Q232">
            <v>365.25099999999998</v>
          </cell>
          <cell r="R232">
            <v>387.55700000000002</v>
          </cell>
          <cell r="S232">
            <v>408.86</v>
          </cell>
        </row>
        <row r="234">
          <cell r="A234" t="str">
            <v>Liabilities &amp; Equity</v>
          </cell>
          <cell r="O234" t="str">
            <v>Liabilities &amp; Equity</v>
          </cell>
        </row>
        <row r="235">
          <cell r="A235" t="str">
            <v>Accounts Payable</v>
          </cell>
          <cell r="C235">
            <v>4.560998074185715</v>
          </cell>
          <cell r="D235">
            <v>4.886209495101733</v>
          </cell>
          <cell r="E235">
            <v>4.7559239722012894</v>
          </cell>
          <cell r="F235">
            <v>5.1928255802508598</v>
          </cell>
          <cell r="G235">
            <v>5.5493025141818517</v>
          </cell>
          <cell r="H235">
            <v>5.8842487847133729</v>
          </cell>
          <cell r="I235">
            <v>6.2388959507998152</v>
          </cell>
          <cell r="J235">
            <v>6.6143609010932662</v>
          </cell>
          <cell r="K235">
            <v>7.0118203542688802</v>
          </cell>
          <cell r="O235" t="str">
            <v>Accounts Payable</v>
          </cell>
          <cell r="Q235">
            <v>27.236000000000001</v>
          </cell>
          <cell r="R235">
            <v>29.178000000000001</v>
          </cell>
          <cell r="S235">
            <v>28.4</v>
          </cell>
        </row>
        <row r="236">
          <cell r="A236" t="str">
            <v>Short term debt</v>
          </cell>
          <cell r="C236">
            <v>0</v>
          </cell>
          <cell r="D236">
            <v>0</v>
          </cell>
          <cell r="E236">
            <v>0</v>
          </cell>
          <cell r="F236">
            <v>0</v>
          </cell>
          <cell r="G236">
            <v>0</v>
          </cell>
          <cell r="H236">
            <v>0</v>
          </cell>
          <cell r="I236">
            <v>0</v>
          </cell>
          <cell r="J236">
            <v>0</v>
          </cell>
          <cell r="K236">
            <v>0</v>
          </cell>
          <cell r="O236" t="str">
            <v>Short term debt</v>
          </cell>
          <cell r="Q236">
            <v>0</v>
          </cell>
          <cell r="R236">
            <v>0</v>
          </cell>
          <cell r="S236">
            <v>0</v>
          </cell>
        </row>
        <row r="237">
          <cell r="A237" t="str">
            <v>Other Accrued Expenses</v>
          </cell>
          <cell r="C237">
            <v>4.842166959725362</v>
          </cell>
          <cell r="D237">
            <v>3.5227329816628981</v>
          </cell>
          <cell r="E237">
            <v>3.0851544837980409</v>
          </cell>
          <cell r="F237">
            <v>3.0851544837980409</v>
          </cell>
          <cell r="G237">
            <v>3.0851544837980409</v>
          </cell>
          <cell r="H237">
            <v>3.0851544837980409</v>
          </cell>
          <cell r="I237">
            <v>3.0851544837980409</v>
          </cell>
          <cell r="J237">
            <v>3.0851544837980409</v>
          </cell>
          <cell r="K237">
            <v>3.0851544837980409</v>
          </cell>
          <cell r="O237" t="str">
            <v>Other Accrued Expenses</v>
          </cell>
          <cell r="Q237">
            <v>28.914999999999999</v>
          </cell>
          <cell r="R237">
            <v>21.035999999999998</v>
          </cell>
          <cell r="S237">
            <v>18.423000000000002</v>
          </cell>
        </row>
        <row r="238">
          <cell r="A238" t="str">
            <v>Total Current Liabilities</v>
          </cell>
          <cell r="C238">
            <v>9.4031650339110762</v>
          </cell>
          <cell r="D238">
            <v>8.408942476764631</v>
          </cell>
          <cell r="E238">
            <v>7.8410784559993303</v>
          </cell>
          <cell r="F238">
            <v>8.2779800640489007</v>
          </cell>
          <cell r="G238">
            <v>8.6344569979798926</v>
          </cell>
          <cell r="H238">
            <v>8.9694032685114138</v>
          </cell>
          <cell r="I238">
            <v>9.3240504345978561</v>
          </cell>
          <cell r="J238">
            <v>9.6995153848913063</v>
          </cell>
          <cell r="K238">
            <v>10.09697483806692</v>
          </cell>
          <cell r="O238" t="str">
            <v>Total Current Liabilities</v>
          </cell>
          <cell r="Q238">
            <v>56.150999999999996</v>
          </cell>
          <cell r="R238">
            <v>50.213999999999999</v>
          </cell>
          <cell r="S238">
            <v>46.823</v>
          </cell>
        </row>
        <row r="240">
          <cell r="A240" t="str">
            <v>Total Debt</v>
          </cell>
          <cell r="C240">
            <v>0</v>
          </cell>
          <cell r="D240">
            <v>0</v>
          </cell>
          <cell r="E240">
            <v>0</v>
          </cell>
          <cell r="F240">
            <v>0</v>
          </cell>
          <cell r="G240">
            <v>0</v>
          </cell>
          <cell r="H240">
            <v>0</v>
          </cell>
          <cell r="I240">
            <v>0</v>
          </cell>
          <cell r="J240">
            <v>0</v>
          </cell>
          <cell r="K240">
            <v>0</v>
          </cell>
          <cell r="O240" t="str">
            <v>Total Debt</v>
          </cell>
          <cell r="Q240">
            <v>0</v>
          </cell>
          <cell r="R240">
            <v>0</v>
          </cell>
          <cell r="S240">
            <v>0</v>
          </cell>
        </row>
        <row r="241">
          <cell r="A241" t="str">
            <v>Other Non-Current</v>
          </cell>
          <cell r="C241">
            <v>1.2516118228250859</v>
          </cell>
          <cell r="D241">
            <v>1.3415389768064974</v>
          </cell>
          <cell r="E241">
            <v>1.339696893577828</v>
          </cell>
          <cell r="F241">
            <v>1.339696893577828</v>
          </cell>
          <cell r="G241">
            <v>1.339696893577828</v>
          </cell>
          <cell r="H241">
            <v>1.339696893577828</v>
          </cell>
          <cell r="I241">
            <v>1.339696893577828</v>
          </cell>
          <cell r="J241">
            <v>1.339696893577828</v>
          </cell>
          <cell r="K241">
            <v>1.339696893577828</v>
          </cell>
          <cell r="O241" t="str">
            <v>Other Non-Current</v>
          </cell>
          <cell r="Q241">
            <v>7.4740000000000002</v>
          </cell>
          <cell r="R241">
            <v>8.0109999999999992</v>
          </cell>
          <cell r="S241">
            <v>8</v>
          </cell>
        </row>
        <row r="242">
          <cell r="A242" t="str">
            <v>Total Liabilities</v>
          </cell>
          <cell r="C242">
            <v>10.654776856736163</v>
          </cell>
          <cell r="D242">
            <v>9.7504814535711279</v>
          </cell>
          <cell r="E242">
            <v>9.1807753495771589</v>
          </cell>
          <cell r="F242">
            <v>9.6176769576267294</v>
          </cell>
          <cell r="G242">
            <v>9.9741538915577213</v>
          </cell>
          <cell r="H242">
            <v>10.309100162089242</v>
          </cell>
          <cell r="I242">
            <v>10.663747328175685</v>
          </cell>
          <cell r="J242">
            <v>11.039212278469135</v>
          </cell>
          <cell r="K242">
            <v>11.436671731644749</v>
          </cell>
          <cell r="O242" t="str">
            <v>Total Liabilities</v>
          </cell>
          <cell r="Q242">
            <v>63.625</v>
          </cell>
          <cell r="R242">
            <v>58.224999999999994</v>
          </cell>
          <cell r="S242">
            <v>54.823</v>
          </cell>
        </row>
        <row r="244">
          <cell r="A244" t="str">
            <v>Shareholders' Equity</v>
          </cell>
          <cell r="C244">
            <v>50.510926902788235</v>
          </cell>
          <cell r="D244">
            <v>55.225990119735414</v>
          </cell>
          <cell r="E244">
            <v>59.281085154483797</v>
          </cell>
          <cell r="F244">
            <v>65.286376957213434</v>
          </cell>
          <cell r="G244">
            <v>71.515673723998518</v>
          </cell>
          <cell r="H244">
            <v>80.535849937305045</v>
          </cell>
          <cell r="I244">
            <v>90.698495803493486</v>
          </cell>
          <cell r="J244">
            <v>102.12978007283563</v>
          </cell>
          <cell r="K244">
            <v>114.96799484225981</v>
          </cell>
          <cell r="O244" t="str">
            <v>Shareholders' Equity</v>
          </cell>
          <cell r="Q244">
            <v>301.62599999999998</v>
          </cell>
          <cell r="R244">
            <v>329.78200000000004</v>
          </cell>
          <cell r="S244">
            <v>353.99700000000001</v>
          </cell>
        </row>
        <row r="245">
          <cell r="A245" t="str">
            <v>TOTAL LIABILITIES &amp; EQUITY</v>
          </cell>
          <cell r="C245">
            <v>61.165703759524398</v>
          </cell>
          <cell r="D245">
            <v>64.97647157330654</v>
          </cell>
          <cell r="E245">
            <v>68.461860504060951</v>
          </cell>
          <cell r="F245">
            <v>74.904053914840162</v>
          </cell>
          <cell r="G245">
            <v>81.489827615556237</v>
          </cell>
          <cell r="H245">
            <v>90.844950099394282</v>
          </cell>
          <cell r="I245">
            <v>101.36224313166917</v>
          </cell>
          <cell r="J245">
            <v>113.16899235130477</v>
          </cell>
          <cell r="K245">
            <v>126.40466657390456</v>
          </cell>
          <cell r="O245" t="str">
            <v>TOTAL LIABILITIES &amp; EQUITY</v>
          </cell>
          <cell r="Q245">
            <v>365.25099999999998</v>
          </cell>
          <cell r="R245">
            <v>388.00700000000006</v>
          </cell>
          <cell r="S245">
            <v>408.82</v>
          </cell>
        </row>
        <row r="246">
          <cell r="H246" t="str">
            <v xml:space="preserve"> </v>
          </cell>
          <cell r="I246" t="str">
            <v xml:space="preserve"> </v>
          </cell>
        </row>
        <row r="248">
          <cell r="A248" t="str">
            <v>(1) Estimated Balance Sheet as of June 30, 1998 .</v>
          </cell>
        </row>
        <row r="253">
          <cell r="A253" t="str">
            <v>Balance Sheet Turnover Analysis</v>
          </cell>
        </row>
        <row r="255">
          <cell r="C255">
            <v>1994</v>
          </cell>
          <cell r="D255" t="str">
            <v>1996A</v>
          </cell>
          <cell r="E255" t="str">
            <v>1997A</v>
          </cell>
          <cell r="F255" t="str">
            <v>1998E</v>
          </cell>
          <cell r="G255" t="str">
            <v>1999E</v>
          </cell>
          <cell r="H255" t="str">
            <v>2000E</v>
          </cell>
          <cell r="I255" t="str">
            <v>2001E</v>
          </cell>
          <cell r="J255" t="str">
            <v>2002E</v>
          </cell>
          <cell r="K255" t="str">
            <v>2003E</v>
          </cell>
        </row>
        <row r="256">
          <cell r="A256" t="str">
            <v>(days)</v>
          </cell>
        </row>
        <row r="257">
          <cell r="A257" t="str">
            <v>Accounts Receivable</v>
          </cell>
          <cell r="C257">
            <v>93.995883141972556</v>
          </cell>
          <cell r="D257">
            <v>87.385007995735606</v>
          </cell>
          <cell r="E257">
            <v>91.900458248472518</v>
          </cell>
          <cell r="F257">
            <v>91.900458248472518</v>
          </cell>
          <cell r="G257">
            <v>91.900458248472518</v>
          </cell>
          <cell r="H257">
            <v>91.900458248472518</v>
          </cell>
          <cell r="I257">
            <v>91.900458248472518</v>
          </cell>
          <cell r="J257">
            <v>91.900458248472518</v>
          </cell>
          <cell r="K257">
            <v>91.900458248472518</v>
          </cell>
        </row>
        <row r="258">
          <cell r="A258" t="str">
            <v>Inventory</v>
          </cell>
          <cell r="C258">
            <v>46.138197476708854</v>
          </cell>
          <cell r="D258">
            <v>38.759974411635973</v>
          </cell>
          <cell r="E258">
            <v>45.374771480804377</v>
          </cell>
          <cell r="F258">
            <v>45.374771480804377</v>
          </cell>
          <cell r="G258">
            <v>45.374771480804377</v>
          </cell>
          <cell r="H258">
            <v>45.374771480804377</v>
          </cell>
          <cell r="I258">
            <v>45.374771480804377</v>
          </cell>
          <cell r="J258">
            <v>45.374771480804377</v>
          </cell>
          <cell r="K258">
            <v>45.374771480804377</v>
          </cell>
        </row>
        <row r="259">
          <cell r="A259" t="str">
            <v>Accounts Payable</v>
          </cell>
          <cell r="C259">
            <v>50.008753043443264</v>
          </cell>
          <cell r="D259">
            <v>51.224682189632865</v>
          </cell>
          <cell r="E259">
            <v>47.376599634369285</v>
          </cell>
          <cell r="F259">
            <v>47.376599634369285</v>
          </cell>
          <cell r="G259">
            <v>47.376599634369285</v>
          </cell>
          <cell r="H259">
            <v>47.376599634369285</v>
          </cell>
          <cell r="I259">
            <v>47.376599634369285</v>
          </cell>
          <cell r="J259">
            <v>47.376599634369285</v>
          </cell>
          <cell r="K259">
            <v>47.376599634369285</v>
          </cell>
        </row>
        <row r="262">
          <cell r="A262" t="str">
            <v>Percentage of Sales</v>
          </cell>
        </row>
        <row r="264">
          <cell r="C264" t="str">
            <v>1995A</v>
          </cell>
          <cell r="D264" t="str">
            <v>1996A</v>
          </cell>
          <cell r="E264" t="str">
            <v>1997A</v>
          </cell>
          <cell r="F264" t="str">
            <v>1998E</v>
          </cell>
          <cell r="G264" t="str">
            <v>1999E</v>
          </cell>
          <cell r="H264" t="str">
            <v>2000E</v>
          </cell>
          <cell r="I264" t="str">
            <v>2001E</v>
          </cell>
          <cell r="J264" t="str">
            <v>2002E</v>
          </cell>
          <cell r="K264" t="str">
            <v>2003E</v>
          </cell>
        </row>
        <row r="266">
          <cell r="A266" t="str">
            <v>Sales Growth</v>
          </cell>
          <cell r="C266" t="str">
            <v>na</v>
          </cell>
          <cell r="D266">
            <v>5.5085472609115109E-2</v>
          </cell>
          <cell r="E266">
            <v>4.6908315565031979E-2</v>
          </cell>
          <cell r="F266">
            <v>9.4704684317718862E-2</v>
          </cell>
          <cell r="G266">
            <v>7.0000000000000007E-2</v>
          </cell>
          <cell r="H266">
            <v>7.0000000000000007E-2</v>
          </cell>
          <cell r="I266">
            <v>7.0000000000000007E-2</v>
          </cell>
          <cell r="J266">
            <v>7.0000000000000007E-2</v>
          </cell>
          <cell r="K266">
            <v>7.0000000000000007E-2</v>
          </cell>
        </row>
        <row r="267">
          <cell r="A267" t="str">
            <v>Cost of Sales</v>
          </cell>
          <cell r="C267">
            <v>0.55900408030122806</v>
          </cell>
          <cell r="D267">
            <v>0.55412313432835825</v>
          </cell>
          <cell r="E267">
            <v>0.55702647657841153</v>
          </cell>
          <cell r="F267">
            <v>0.55558139534883733</v>
          </cell>
          <cell r="G267">
            <v>0.55487937404911969</v>
          </cell>
          <cell r="H267">
            <v>0.54987937404911968</v>
          </cell>
          <cell r="I267">
            <v>0.54487937404911968</v>
          </cell>
          <cell r="J267">
            <v>0.53987937404911968</v>
          </cell>
          <cell r="K267">
            <v>0.53487937404911967</v>
          </cell>
        </row>
        <row r="268">
          <cell r="A268" t="str">
            <v>Total Gross Profit</v>
          </cell>
          <cell r="C268">
            <v>0.44099591969877194</v>
          </cell>
          <cell r="D268">
            <v>0.44587686567164181</v>
          </cell>
          <cell r="E268">
            <v>0.44297352342158852</v>
          </cell>
          <cell r="F268">
            <v>0.44441860465116273</v>
          </cell>
          <cell r="G268">
            <v>0.44512062595088026</v>
          </cell>
          <cell r="H268">
            <v>0.45012062595088032</v>
          </cell>
          <cell r="I268">
            <v>0.45512062595088038</v>
          </cell>
          <cell r="J268">
            <v>0.46012062595088038</v>
          </cell>
          <cell r="K268">
            <v>0.46512062595088027</v>
          </cell>
        </row>
        <row r="269">
          <cell r="F269" t="str">
            <v xml:space="preserve"> </v>
          </cell>
          <cell r="G269" t="str">
            <v xml:space="preserve"> </v>
          </cell>
          <cell r="H269" t="str">
            <v xml:space="preserve"> </v>
          </cell>
          <cell r="I269" t="str">
            <v xml:space="preserve"> </v>
          </cell>
          <cell r="J269" t="str">
            <v xml:space="preserve"> </v>
          </cell>
          <cell r="K269" t="str">
            <v xml:space="preserve"> </v>
          </cell>
        </row>
        <row r="270">
          <cell r="A270" t="str">
            <v>SG&amp;A</v>
          </cell>
          <cell r="C270">
            <v>0.12942513026874872</v>
          </cell>
          <cell r="D270">
            <v>0.13265458422174839</v>
          </cell>
          <cell r="E270">
            <v>0.13747454175152751</v>
          </cell>
          <cell r="F270">
            <v>0.13255813953488374</v>
          </cell>
          <cell r="G270">
            <v>0.13212453814388175</v>
          </cell>
          <cell r="H270">
            <v>0.13169235507518681</v>
          </cell>
          <cell r="I270">
            <v>0.13126158568942681</v>
          </cell>
          <cell r="J270">
            <v>0.1308322253624053</v>
          </cell>
          <cell r="K270">
            <v>0.13040426948505163</v>
          </cell>
        </row>
        <row r="271">
          <cell r="A271" t="str">
            <v>Other Expenses</v>
          </cell>
          <cell r="C271">
            <v>2.191439522399476E-2</v>
          </cell>
          <cell r="D271">
            <v>2.2763859275053304E-2</v>
          </cell>
          <cell r="E271">
            <v>2.2764765784114054E-2</v>
          </cell>
          <cell r="F271">
            <v>2.2758139534883724E-2</v>
          </cell>
          <cell r="G271">
            <v>2.2758139534883721E-2</v>
          </cell>
          <cell r="H271">
            <v>2.2758139534883717E-2</v>
          </cell>
          <cell r="I271">
            <v>2.275813953488371E-2</v>
          </cell>
          <cell r="J271">
            <v>2.2758139534883714E-2</v>
          </cell>
          <cell r="K271">
            <v>2.2758139534883717E-2</v>
          </cell>
        </row>
        <row r="272">
          <cell r="A272" t="str">
            <v>Depreciation &amp; Amortization</v>
          </cell>
          <cell r="C272">
            <v>8.7202026933924995E-3</v>
          </cell>
          <cell r="D272">
            <v>8.8939232409381667E-3</v>
          </cell>
          <cell r="E272">
            <v>9.9236252545824855E-3</v>
          </cell>
          <cell r="F272">
            <v>9.7139534883720936E-3</v>
          </cell>
          <cell r="G272">
            <v>9.9356040612289236E-3</v>
          </cell>
          <cell r="H272">
            <v>1.0142754129319422E-2</v>
          </cell>
          <cell r="I272">
            <v>1.0336352323796519E-2</v>
          </cell>
          <cell r="J272">
            <v>1.0517285215831193E-2</v>
          </cell>
          <cell r="K272">
            <v>1.0686381376611263E-2</v>
          </cell>
        </row>
        <row r="273">
          <cell r="A273" t="str">
            <v>Operating Income</v>
          </cell>
          <cell r="C273">
            <v>0.12760291442053248</v>
          </cell>
          <cell r="D273">
            <v>0.12429371002132202</v>
          </cell>
          <cell r="E273">
            <v>0.12245417515274942</v>
          </cell>
          <cell r="F273">
            <v>0.13226046511627898</v>
          </cell>
          <cell r="G273">
            <v>0.13474695951190735</v>
          </cell>
          <cell r="H273">
            <v>0.14132183507264209</v>
          </cell>
          <cell r="I273">
            <v>0.14789560270547442</v>
          </cell>
          <cell r="J273">
            <v>0.1544675104487058</v>
          </cell>
          <cell r="K273">
            <v>0.16103686304993822</v>
          </cell>
        </row>
        <row r="275">
          <cell r="A275" t="str">
            <v>Adjustments / Cost Savings</v>
          </cell>
          <cell r="C275">
            <v>9.1870049014231847E-3</v>
          </cell>
          <cell r="D275">
            <v>8.2089552238805968E-3</v>
          </cell>
          <cell r="E275">
            <v>7.1283095723014252E-3</v>
          </cell>
          <cell r="F275">
            <v>8.2093023255813951E-3</v>
          </cell>
          <cell r="G275">
            <v>8.0000000000000002E-3</v>
          </cell>
          <cell r="H275">
            <v>8.0000000000000002E-3</v>
          </cell>
          <cell r="I275">
            <v>8.0000000000000002E-3</v>
          </cell>
          <cell r="J275">
            <v>8.0000000000000002E-3</v>
          </cell>
          <cell r="K275">
            <v>8.0000000000000002E-3</v>
          </cell>
        </row>
        <row r="277">
          <cell r="A277" t="str">
            <v>Adjusted Operating Income</v>
          </cell>
          <cell r="C277">
            <v>0.12760291442053248</v>
          </cell>
          <cell r="D277">
            <v>0.12429371002132202</v>
          </cell>
          <cell r="E277">
            <v>0.12245417515274942</v>
          </cell>
          <cell r="F277">
            <v>0.13226046511627898</v>
          </cell>
          <cell r="G277">
            <v>0.13474695951190735</v>
          </cell>
          <cell r="H277">
            <v>0.14132183507264209</v>
          </cell>
          <cell r="I277">
            <v>0.14789560270547442</v>
          </cell>
          <cell r="J277">
            <v>0.1544675104487058</v>
          </cell>
          <cell r="K277">
            <v>0.16103686304993822</v>
          </cell>
        </row>
        <row r="278">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row>
        <row r="279">
          <cell r="A279" t="str">
            <v>Net Interest Expense</v>
          </cell>
          <cell r="C279">
            <v>-3.5488216056308718E-2</v>
          </cell>
          <cell r="D279">
            <v>-4.1146055437100218E-2</v>
          </cell>
          <cell r="E279">
            <v>-3.9266802443991854E-2</v>
          </cell>
          <cell r="F279">
            <v>-6.5790697674418617E-3</v>
          </cell>
          <cell r="G279">
            <v>-3.8889983894638332E-2</v>
          </cell>
          <cell r="H279">
            <v>-4.1030444628709431E-2</v>
          </cell>
          <cell r="I279">
            <v>-4.4112337980652401E-2</v>
          </cell>
          <cell r="J279">
            <v>-4.7380115003882527E-2</v>
          </cell>
          <cell r="K279">
            <v>-5.0823386223742717E-2</v>
          </cell>
        </row>
        <row r="280">
          <cell r="A280" t="str">
            <v>Income Taxes</v>
          </cell>
          <cell r="C280">
            <v>6.1997519761762154E-2</v>
          </cell>
          <cell r="D280">
            <v>4.8917910447761191E-2</v>
          </cell>
          <cell r="E280">
            <v>6.6522403258655799E-2</v>
          </cell>
          <cell r="F280">
            <v>5.5534883720930232E-2</v>
          </cell>
          <cell r="G280">
            <v>6.9454777362618264E-2</v>
          </cell>
          <cell r="H280">
            <v>7.2940911880540582E-2</v>
          </cell>
          <cell r="I280">
            <v>7.6803176274450755E-2</v>
          </cell>
          <cell r="J280">
            <v>8.0739050181035318E-2</v>
          </cell>
          <cell r="K280">
            <v>8.4744099709472401E-2</v>
          </cell>
        </row>
        <row r="281">
          <cell r="A281" t="str">
            <v>Net Income</v>
          </cell>
          <cell r="C281">
            <v>0.10370039172016608</v>
          </cell>
          <cell r="D281">
            <v>0.12105810234541584</v>
          </cell>
          <cell r="E281">
            <v>9.9781059063136404E-2</v>
          </cell>
          <cell r="F281">
            <v>8.3304651162790622E-2</v>
          </cell>
          <cell r="G281">
            <v>0.1041821660439274</v>
          </cell>
          <cell r="H281">
            <v>0.10941136782081093</v>
          </cell>
          <cell r="I281">
            <v>0.11520476441167607</v>
          </cell>
          <cell r="J281">
            <v>0.12110857527155298</v>
          </cell>
          <cell r="K281">
            <v>0.12711614956420855</v>
          </cell>
        </row>
        <row r="284">
          <cell r="A284" t="str">
            <v>Capex</v>
          </cell>
          <cell r="D284">
            <v>1.5000000000000001E-2</v>
          </cell>
          <cell r="E284">
            <v>1.5000000000000001E-2</v>
          </cell>
          <cell r="F284">
            <v>1.4999999999999999E-2</v>
          </cell>
          <cell r="G284">
            <v>1.5000000000000001E-2</v>
          </cell>
          <cell r="H284">
            <v>1.4999999999999999E-2</v>
          </cell>
          <cell r="I284">
            <v>1.4999999999999999E-2</v>
          </cell>
          <cell r="J284">
            <v>1.4999999999999998E-2</v>
          </cell>
          <cell r="K284">
            <v>1.4999999999999999E-2</v>
          </cell>
        </row>
        <row r="285">
          <cell r="A285" t="str">
            <v>Depreciation</v>
          </cell>
          <cell r="D285">
            <v>8.8939232409381667E-3</v>
          </cell>
          <cell r="E285">
            <v>9.9236252545824855E-3</v>
          </cell>
          <cell r="F285">
            <v>9.7139534883720936E-3</v>
          </cell>
          <cell r="G285">
            <v>9.9356040612289236E-3</v>
          </cell>
          <cell r="H285">
            <v>1.0417709188149724E-2</v>
          </cell>
          <cell r="I285">
            <v>1.0779011582622906E-2</v>
          </cell>
          <cell r="J285">
            <v>1.1049781198963243E-2</v>
          </cell>
          <cell r="K285">
            <v>1.1252703145384322E-2</v>
          </cell>
        </row>
        <row r="286">
          <cell r="A286" t="str">
            <v>Depreciation/Net PPE</v>
          </cell>
          <cell r="D286">
            <v>0.2059240975007714</v>
          </cell>
          <cell r="E286">
            <v>0.28043165467625897</v>
          </cell>
          <cell r="F286">
            <v>0.25826995609967224</v>
          </cell>
          <cell r="G286">
            <v>0.24705937760332417</v>
          </cell>
          <cell r="H286">
            <v>0.24705937760332417</v>
          </cell>
          <cell r="I286">
            <v>0.24705937760332417</v>
          </cell>
          <cell r="J286">
            <v>0.24705937760332417</v>
          </cell>
          <cell r="K286">
            <v>0.24705937760332417</v>
          </cell>
        </row>
        <row r="287">
          <cell r="A287" t="str">
            <v>Capex/Depreciation</v>
          </cell>
          <cell r="D287">
            <v>1.686544800719209</v>
          </cell>
          <cell r="E287">
            <v>1.5115443817342227</v>
          </cell>
          <cell r="F287">
            <v>1.5441704572659805</v>
          </cell>
          <cell r="G287">
            <v>1.5097219965249569</v>
          </cell>
          <cell r="H287">
            <v>1.4398558962523824</v>
          </cell>
          <cell r="I287">
            <v>1.3915932722608673</v>
          </cell>
          <cell r="J287">
            <v>1.3574929430645548</v>
          </cell>
          <cell r="K287">
            <v>1.3330130375075928</v>
          </cell>
        </row>
        <row r="288">
          <cell r="A288" t="str">
            <v>Working Capital</v>
          </cell>
          <cell r="D288">
            <v>0.22048773987206821</v>
          </cell>
          <cell r="E288">
            <v>0.24872708757637482</v>
          </cell>
          <cell r="F288">
            <v>0.24873501306757897</v>
          </cell>
          <cell r="G288">
            <v>0.24873886327580416</v>
          </cell>
          <cell r="H288">
            <v>0.24876628557927766</v>
          </cell>
          <cell r="I288">
            <v>0.24879370788275113</v>
          </cell>
          <cell r="J288">
            <v>0.24882113018622462</v>
          </cell>
          <cell r="K288">
            <v>0.24884855248969814</v>
          </cell>
        </row>
        <row r="289">
          <cell r="A289" t="str">
            <v>Prepaid Expenses &amp; Other Current</v>
          </cell>
          <cell r="D289">
            <v>2.7777185501066098E-2</v>
          </cell>
          <cell r="E289">
            <v>5.7688391038696538E-2</v>
          </cell>
          <cell r="F289">
            <v>5.2697674418604658E-2</v>
          </cell>
          <cell r="G289">
            <v>4.9250163008041727E-2</v>
          </cell>
          <cell r="H289">
            <v>4.6028189727141795E-2</v>
          </cell>
          <cell r="I289">
            <v>4.3016999744992325E-2</v>
          </cell>
          <cell r="J289">
            <v>4.0202803499992827E-2</v>
          </cell>
          <cell r="K289">
            <v>3.7572713551395159E-2</v>
          </cell>
        </row>
        <row r="290">
          <cell r="A290" t="str">
            <v>Other Assets</v>
          </cell>
          <cell r="D290">
            <v>5.7009594882729206E-3</v>
          </cell>
          <cell r="E290">
            <v>0</v>
          </cell>
          <cell r="F290">
            <v>0</v>
          </cell>
          <cell r="G290">
            <v>0</v>
          </cell>
          <cell r="H290">
            <v>0</v>
          </cell>
          <cell r="I290">
            <v>0</v>
          </cell>
          <cell r="J290">
            <v>0</v>
          </cell>
          <cell r="K290">
            <v>0</v>
          </cell>
        </row>
        <row r="291">
          <cell r="A291" t="str">
            <v>Accrued Expenses &amp; Other</v>
          </cell>
          <cell r="D291">
            <v>5.6066098081023447E-2</v>
          </cell>
          <cell r="E291">
            <v>4.6901731160896139E-2</v>
          </cell>
          <cell r="F291">
            <v>4.2844186046511634E-2</v>
          </cell>
          <cell r="G291">
            <v>4.004129537057162E-2</v>
          </cell>
          <cell r="H291">
            <v>3.7421771374365996E-2</v>
          </cell>
          <cell r="I291">
            <v>3.4973618106884097E-2</v>
          </cell>
          <cell r="J291">
            <v>3.26856243989571E-2</v>
          </cell>
          <cell r="K291">
            <v>3.0547312522389812E-2</v>
          </cell>
        </row>
        <row r="292">
          <cell r="A292" t="str">
            <v>Other Liabilities</v>
          </cell>
          <cell r="D292">
            <v>2.1351279317697227E-2</v>
          </cell>
          <cell r="E292">
            <v>2.0366598778004074E-2</v>
          </cell>
          <cell r="F292">
            <v>1.8604651162790697E-2</v>
          </cell>
          <cell r="G292">
            <v>1.7387524451206258E-2</v>
          </cell>
          <cell r="H292">
            <v>1.6250022851594631E-2</v>
          </cell>
          <cell r="I292">
            <v>1.5186937244480963E-2</v>
          </cell>
          <cell r="J292">
            <v>1.4193399293907439E-2</v>
          </cell>
          <cell r="K292">
            <v>1.3264859153184523E-2</v>
          </cell>
        </row>
      </sheetData>
      <sheetData sheetId="1"/>
      <sheetData sheetId="2"/>
      <sheetData sheetId="3"/>
      <sheetData sheetId="4"/>
      <sheetData sheetId="5"/>
      <sheetData sheetId="6"/>
      <sheetData sheetId="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Data"/>
      <sheetName val="IDC Data"/>
      <sheetName val="IDC Breakdown"/>
      <sheetName val="Google &amp; Transformation"/>
      <sheetName val="comScore_RawData"/>
      <sheetName val="Other_Input"/>
      <sheetName val="Fitbit_Transformation"/>
      <sheetName val="Fitbit_Model"/>
      <sheetName val="Tmall_Data"/>
    </sheetNames>
    <sheetDataSet>
      <sheetData sheetId="0"/>
      <sheetData sheetId="1"/>
      <sheetData sheetId="2"/>
      <sheetData sheetId="3"/>
      <sheetData sheetId="4"/>
      <sheetData sheetId="5"/>
      <sheetData sheetId="6"/>
      <sheetData sheetId="7">
        <row r="6">
          <cell r="B6">
            <v>1</v>
          </cell>
        </row>
        <row r="7">
          <cell r="B7">
            <v>1</v>
          </cell>
        </row>
        <row r="8">
          <cell r="B8">
            <v>1</v>
          </cell>
        </row>
        <row r="9">
          <cell r="B9">
            <v>1</v>
          </cell>
        </row>
        <row r="10">
          <cell r="B10">
            <v>1</v>
          </cell>
        </row>
        <row r="11">
          <cell r="B11">
            <v>1</v>
          </cell>
        </row>
        <row r="12">
          <cell r="B12">
            <v>1</v>
          </cell>
        </row>
        <row r="13">
          <cell r="B13">
            <v>1</v>
          </cell>
        </row>
        <row r="14">
          <cell r="B14">
            <v>1</v>
          </cell>
        </row>
        <row r="15">
          <cell r="B15">
            <v>1</v>
          </cell>
        </row>
        <row r="16">
          <cell r="B16">
            <v>0</v>
          </cell>
        </row>
        <row r="17">
          <cell r="B17">
            <v>0</v>
          </cell>
        </row>
        <row r="18">
          <cell r="B18">
            <v>1</v>
          </cell>
        </row>
        <row r="19">
          <cell r="B19">
            <v>1</v>
          </cell>
        </row>
        <row r="20">
          <cell r="B20">
            <v>1</v>
          </cell>
        </row>
        <row r="21">
          <cell r="B21">
            <v>1</v>
          </cell>
        </row>
        <row r="22">
          <cell r="B22">
            <v>1</v>
          </cell>
        </row>
        <row r="24">
          <cell r="C24">
            <v>1</v>
          </cell>
        </row>
        <row r="25">
          <cell r="C25">
            <v>4</v>
          </cell>
        </row>
        <row r="26">
          <cell r="C26">
            <v>2</v>
          </cell>
        </row>
        <row r="27">
          <cell r="C27">
            <v>1</v>
          </cell>
        </row>
        <row r="29">
          <cell r="C29">
            <v>0</v>
          </cell>
        </row>
      </sheetData>
      <sheetData sheetId="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alysts"/>
      <sheetName val="Comps"/>
      <sheetName val="US JobMkt"/>
      <sheetName val="Model Chgs"/>
      <sheetName val="DCF"/>
      <sheetName val="HSIC+PDCO"/>
      <sheetName val="Graphs"/>
      <sheetName val="Timeline"/>
      <sheetName val="GOOG_XRAY"/>
      <sheetName val="Ortho+A-T"/>
      <sheetName val="GOOG_SIRO"/>
      <sheetName val="DHR"/>
    </sheetNames>
    <sheetDataSet>
      <sheetData sheetId="0">
        <row r="3">
          <cell r="E3" t="str">
            <v>2015E</v>
          </cell>
          <cell r="F3" t="str">
            <v>2016E</v>
          </cell>
          <cell r="H3" t="str">
            <v>2016E</v>
          </cell>
          <cell r="I3" t="str">
            <v>2017E</v>
          </cell>
          <cell r="K3" t="str">
            <v>2017E</v>
          </cell>
          <cell r="L3" t="str">
            <v>2018E</v>
          </cell>
          <cell r="N3" t="str">
            <v>2018E</v>
          </cell>
          <cell r="O3" t="str">
            <v>2019E</v>
          </cell>
          <cell r="Q3" t="str">
            <v>2019E</v>
          </cell>
          <cell r="R3" t="str">
            <v>2020E</v>
          </cell>
          <cell r="T3" t="str">
            <v>2020E</v>
          </cell>
        </row>
        <row r="4">
          <cell r="C4" t="str">
            <v>US</v>
          </cell>
          <cell r="D4" t="str">
            <v>Int'l</v>
          </cell>
          <cell r="E4" t="str">
            <v>Total</v>
          </cell>
          <cell r="F4" t="str">
            <v>US</v>
          </cell>
          <cell r="G4" t="str">
            <v>Int'l</v>
          </cell>
          <cell r="H4" t="str">
            <v>Total</v>
          </cell>
          <cell r="I4" t="str">
            <v>US</v>
          </cell>
          <cell r="J4" t="str">
            <v>Int'l</v>
          </cell>
          <cell r="K4" t="str">
            <v>Total</v>
          </cell>
          <cell r="L4" t="str">
            <v>US</v>
          </cell>
          <cell r="M4" t="str">
            <v>Int'l</v>
          </cell>
          <cell r="N4" t="str">
            <v>Total</v>
          </cell>
          <cell r="O4" t="str">
            <v>US</v>
          </cell>
          <cell r="P4" t="str">
            <v>Int'l</v>
          </cell>
          <cell r="Q4" t="str">
            <v>Total</v>
          </cell>
          <cell r="R4" t="str">
            <v>US</v>
          </cell>
          <cell r="S4" t="str">
            <v>Int'l</v>
          </cell>
          <cell r="T4" t="str">
            <v>Total</v>
          </cell>
        </row>
        <row r="5">
          <cell r="B5" t="str">
            <v xml:space="preserve">Impact of New Customers from Interoperability with SIRO Omnicam </v>
          </cell>
        </row>
        <row r="6">
          <cell r="B6" t="str">
            <v>CADCAM Installs (000s)</v>
          </cell>
          <cell r="C6">
            <v>17.760000000000002</v>
          </cell>
          <cell r="D6">
            <v>23.24</v>
          </cell>
          <cell r="E6">
            <v>41</v>
          </cell>
          <cell r="F6">
            <v>19.713600000000003</v>
          </cell>
          <cell r="G6">
            <v>25.564</v>
          </cell>
          <cell r="H6">
            <v>45.277600000000007</v>
          </cell>
          <cell r="I6">
            <v>21.882096000000004</v>
          </cell>
          <cell r="J6">
            <v>28.120400000000004</v>
          </cell>
          <cell r="K6">
            <v>50.002496000000008</v>
          </cell>
          <cell r="L6">
            <v>24.289126560000007</v>
          </cell>
          <cell r="M6">
            <v>30.932440000000007</v>
          </cell>
          <cell r="N6">
            <v>55.221566560000014</v>
          </cell>
          <cell r="O6">
            <v>26.960930481600009</v>
          </cell>
          <cell r="P6">
            <v>34.025684000000012</v>
          </cell>
          <cell r="Q6">
            <v>60.986614481600022</v>
          </cell>
          <cell r="R6">
            <v>29.926632834576012</v>
          </cell>
          <cell r="S6">
            <v>37.428252400000019</v>
          </cell>
          <cell r="T6">
            <v>67.354885234576031</v>
          </cell>
        </row>
        <row r="7">
          <cell r="B7" t="str">
            <v>% growth</v>
          </cell>
          <cell r="C7">
            <v>0.11</v>
          </cell>
          <cell r="D7">
            <v>0.1</v>
          </cell>
          <cell r="F7">
            <v>0.11</v>
          </cell>
          <cell r="G7">
            <v>0.1</v>
          </cell>
          <cell r="I7">
            <v>0.11</v>
          </cell>
          <cell r="J7">
            <v>0.1</v>
          </cell>
          <cell r="L7">
            <v>0.11</v>
          </cell>
          <cell r="M7">
            <v>0.1</v>
          </cell>
          <cell r="O7">
            <v>0.11</v>
          </cell>
          <cell r="P7">
            <v>0.1</v>
          </cell>
          <cell r="R7">
            <v>0.11</v>
          </cell>
          <cell r="S7">
            <v>0.1</v>
          </cell>
        </row>
        <row r="8">
          <cell r="B8" t="str">
            <v>Converted to OmniCam (000s)</v>
          </cell>
          <cell r="C8">
            <v>7.104000000000001</v>
          </cell>
          <cell r="D8">
            <v>9.2959999999999994</v>
          </cell>
          <cell r="E8">
            <v>16.399999999999999</v>
          </cell>
          <cell r="F8">
            <v>11.581740000000002</v>
          </cell>
          <cell r="G8">
            <v>15.01885</v>
          </cell>
          <cell r="H8">
            <v>26.600590000000004</v>
          </cell>
          <cell r="I8">
            <v>16.958624400000005</v>
          </cell>
          <cell r="J8">
            <v>21.793310000000002</v>
          </cell>
          <cell r="K8">
            <v>38.75193440000001</v>
          </cell>
          <cell r="L8">
            <v>21.860213904000005</v>
          </cell>
          <cell r="M8">
            <v>27.839196000000008</v>
          </cell>
          <cell r="N8">
            <v>49.699409904000014</v>
          </cell>
          <cell r="O8">
            <v>25.612883957520008</v>
          </cell>
          <cell r="P8">
            <v>32.324399800000009</v>
          </cell>
          <cell r="Q8">
            <v>57.937283757520021</v>
          </cell>
          <cell r="R8">
            <v>28.43030119284721</v>
          </cell>
          <cell r="S8">
            <v>35.556839780000018</v>
          </cell>
          <cell r="T8">
            <v>63.987140972847229</v>
          </cell>
        </row>
        <row r="9">
          <cell r="B9" t="str">
            <v>% conversion</v>
          </cell>
          <cell r="C9">
            <v>0.4</v>
          </cell>
          <cell r="D9">
            <v>0.4</v>
          </cell>
          <cell r="F9">
            <v>0.58750000000000002</v>
          </cell>
          <cell r="G9">
            <v>0.58750000000000002</v>
          </cell>
          <cell r="I9">
            <v>0.77500000000000002</v>
          </cell>
          <cell r="J9">
            <v>0.77500000000000002</v>
          </cell>
          <cell r="L9">
            <v>0.9</v>
          </cell>
          <cell r="M9">
            <v>0.9</v>
          </cell>
          <cell r="O9">
            <v>0.95</v>
          </cell>
          <cell r="P9">
            <v>0.95</v>
          </cell>
          <cell r="R9">
            <v>0.95</v>
          </cell>
          <cell r="S9">
            <v>0.95</v>
          </cell>
        </row>
        <row r="10">
          <cell r="B10" t="str">
            <v>Potential Customers (000s)</v>
          </cell>
          <cell r="C10">
            <v>7.104000000000001</v>
          </cell>
          <cell r="D10">
            <v>9.2959999999999994</v>
          </cell>
          <cell r="E10">
            <v>16.399999999999999</v>
          </cell>
          <cell r="F10">
            <v>11.581740000000002</v>
          </cell>
          <cell r="G10">
            <v>15.01885</v>
          </cell>
          <cell r="H10">
            <v>26.600590000000004</v>
          </cell>
          <cell r="I10">
            <v>16.958624400000005</v>
          </cell>
          <cell r="J10">
            <v>21.793310000000002</v>
          </cell>
          <cell r="K10">
            <v>38.75193440000001</v>
          </cell>
          <cell r="L10">
            <v>21.860213904000005</v>
          </cell>
          <cell r="M10">
            <v>27.839196000000008</v>
          </cell>
          <cell r="N10">
            <v>49.699409904000014</v>
          </cell>
          <cell r="O10">
            <v>25.612883957520008</v>
          </cell>
          <cell r="P10">
            <v>32.324399800000009</v>
          </cell>
          <cell r="Q10">
            <v>57.937283757520021</v>
          </cell>
          <cell r="R10">
            <v>28.43030119284721</v>
          </cell>
          <cell r="S10">
            <v>35.556839780000018</v>
          </cell>
          <cell r="T10">
            <v>63.987140972847229</v>
          </cell>
        </row>
        <row r="11">
          <cell r="B11" t="str">
            <v>% overlap with ALGN</v>
          </cell>
          <cell r="C11">
            <v>0</v>
          </cell>
          <cell r="D11">
            <v>0</v>
          </cell>
          <cell r="E11">
            <v>1</v>
          </cell>
          <cell r="F11">
            <v>0</v>
          </cell>
          <cell r="G11">
            <v>0</v>
          </cell>
          <cell r="H11">
            <v>1</v>
          </cell>
          <cell r="I11">
            <v>0</v>
          </cell>
          <cell r="J11">
            <v>0</v>
          </cell>
          <cell r="K11">
            <v>1</v>
          </cell>
          <cell r="L11">
            <v>0</v>
          </cell>
          <cell r="M11">
            <v>0</v>
          </cell>
          <cell r="N11">
            <v>1</v>
          </cell>
          <cell r="O11">
            <v>0</v>
          </cell>
          <cell r="P11">
            <v>0</v>
          </cell>
          <cell r="Q11">
            <v>1</v>
          </cell>
          <cell r="R11">
            <v>0</v>
          </cell>
          <cell r="S11">
            <v>0</v>
          </cell>
          <cell r="T11">
            <v>1</v>
          </cell>
        </row>
        <row r="12">
          <cell r="B12" t="str">
            <v>% penetration</v>
          </cell>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row>
        <row r="13">
          <cell r="B13" t="str">
            <v>Incremental Customer Base (000s)</v>
          </cell>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row>
        <row r="14">
          <cell r="B14" t="str">
            <v>New Customers per Yr (000s)</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row>
        <row r="15">
          <cell r="B15" t="str">
            <v>% of Omnicam Users with Invisalign</v>
          </cell>
          <cell r="C15">
            <v>0</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row>
        <row r="16">
          <cell r="B16" t="str">
            <v>Invisalign Impact</v>
          </cell>
        </row>
        <row r="17">
          <cell r="B17" t="str">
            <v>GP Cases/Customer/Yr</v>
          </cell>
          <cell r="C17" t="e">
            <v>#DIV/0!</v>
          </cell>
          <cell r="D17" t="e">
            <v>#DIV/0!</v>
          </cell>
          <cell r="E17" t="e">
            <v>#DIV/0!</v>
          </cell>
          <cell r="F17" t="e">
            <v>#DIV/0!</v>
          </cell>
          <cell r="G17" t="e">
            <v>#DIV/0!</v>
          </cell>
          <cell r="H17" t="e">
            <v>#DIV/0!</v>
          </cell>
          <cell r="I17" t="e">
            <v>#DIV/0!</v>
          </cell>
          <cell r="J17" t="e">
            <v>#DIV/0!</v>
          </cell>
          <cell r="K17" t="e">
            <v>#DIV/0!</v>
          </cell>
          <cell r="L17" t="e">
            <v>#DIV/0!</v>
          </cell>
          <cell r="M17" t="e">
            <v>#DIV/0!</v>
          </cell>
          <cell r="N17" t="e">
            <v>#DIV/0!</v>
          </cell>
          <cell r="O17" t="e">
            <v>#DIV/0!</v>
          </cell>
          <cell r="P17" t="e">
            <v>#DIV/0!</v>
          </cell>
          <cell r="Q17" t="e">
            <v>#DIV/0!</v>
          </cell>
          <cell r="R17" t="e">
            <v>#DIV/0!</v>
          </cell>
          <cell r="S17" t="e">
            <v>#DIV/0!</v>
          </cell>
          <cell r="T17" t="e">
            <v>#DIV/0!</v>
          </cell>
        </row>
        <row r="18">
          <cell r="B18" t="str">
            <v>Incremental Cases/Yr (000s)</v>
          </cell>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row>
        <row r="19">
          <cell r="B19" t="str">
            <v>ASP ($)</v>
          </cell>
          <cell r="C19">
            <v>1266.3905411506903</v>
          </cell>
          <cell r="D19">
            <v>1393.0295952657593</v>
          </cell>
          <cell r="E19" t="e">
            <v>#DIV/0!</v>
          </cell>
          <cell r="F19">
            <v>1110.9946136705887</v>
          </cell>
          <cell r="G19">
            <v>1222.0940750376476</v>
          </cell>
          <cell r="H19" t="e">
            <v>#DIV/0!</v>
          </cell>
          <cell r="I19" t="e">
            <v>#DIV/0!</v>
          </cell>
          <cell r="J19" t="e">
            <v>#DIV/0!</v>
          </cell>
          <cell r="K19" t="e">
            <v>#DIV/0!</v>
          </cell>
          <cell r="L19" t="e">
            <v>#DIV/0!</v>
          </cell>
          <cell r="M19" t="e">
            <v>#DIV/0!</v>
          </cell>
          <cell r="N19" t="e">
            <v>#DIV/0!</v>
          </cell>
          <cell r="O19" t="e">
            <v>#DIV/0!</v>
          </cell>
          <cell r="P19" t="e">
            <v>#DIV/0!</v>
          </cell>
          <cell r="Q19" t="e">
            <v>#DIV/0!</v>
          </cell>
          <cell r="R19" t="e">
            <v>#DIV/0!</v>
          </cell>
          <cell r="S19" t="e">
            <v>#DIV/0!</v>
          </cell>
          <cell r="T19" t="e">
            <v>#DIV/0!</v>
          </cell>
        </row>
        <row r="20">
          <cell r="B20" t="str">
            <v>% discount to WW ASP Calc by IP</v>
          </cell>
          <cell r="C20">
            <v>0</v>
          </cell>
          <cell r="D20">
            <v>0</v>
          </cell>
          <cell r="F20">
            <v>-0.1</v>
          </cell>
          <cell r="G20">
            <v>-0.1</v>
          </cell>
          <cell r="I20">
            <v>-0.1</v>
          </cell>
          <cell r="J20">
            <v>-0.1</v>
          </cell>
          <cell r="L20">
            <v>-0.1</v>
          </cell>
          <cell r="M20">
            <v>-0.1</v>
          </cell>
          <cell r="O20">
            <v>-0.1</v>
          </cell>
          <cell r="P20">
            <v>-0.1</v>
          </cell>
          <cell r="R20">
            <v>-0.1</v>
          </cell>
          <cell r="S20">
            <v>-0.1</v>
          </cell>
        </row>
        <row r="21">
          <cell r="B21" t="str">
            <v>Revenue impact ($ mn)</v>
          </cell>
          <cell r="C21">
            <v>0</v>
          </cell>
          <cell r="D21">
            <v>0</v>
          </cell>
          <cell r="E21">
            <v>0</v>
          </cell>
          <cell r="F21">
            <v>0</v>
          </cell>
          <cell r="G21">
            <v>0</v>
          </cell>
          <cell r="H21">
            <v>0</v>
          </cell>
          <cell r="I21" t="e">
            <v>#DIV/0!</v>
          </cell>
          <cell r="J21" t="e">
            <v>#DIV/0!</v>
          </cell>
          <cell r="K21" t="e">
            <v>#DIV/0!</v>
          </cell>
          <cell r="L21" t="e">
            <v>#DIV/0!</v>
          </cell>
          <cell r="M21" t="e">
            <v>#DIV/0!</v>
          </cell>
          <cell r="N21" t="e">
            <v>#DIV/0!</v>
          </cell>
          <cell r="O21" t="e">
            <v>#DIV/0!</v>
          </cell>
          <cell r="P21" t="e">
            <v>#DIV/0!</v>
          </cell>
          <cell r="Q21" t="e">
            <v>#DIV/0!</v>
          </cell>
          <cell r="R21" t="e">
            <v>#DIV/0!</v>
          </cell>
          <cell r="S21" t="e">
            <v>#DIV/0!</v>
          </cell>
          <cell r="T21" t="e">
            <v>#DIV/0!</v>
          </cell>
        </row>
        <row r="22">
          <cell r="B22" t="str">
            <v>EBIT impact ($ mn)</v>
          </cell>
          <cell r="C22">
            <v>0</v>
          </cell>
          <cell r="D22">
            <v>0</v>
          </cell>
          <cell r="E22">
            <v>0</v>
          </cell>
          <cell r="F22">
            <v>0</v>
          </cell>
          <cell r="G22">
            <v>0</v>
          </cell>
          <cell r="H22">
            <v>0</v>
          </cell>
          <cell r="I22" t="e">
            <v>#DIV/0!</v>
          </cell>
          <cell r="J22" t="e">
            <v>#DIV/0!</v>
          </cell>
          <cell r="K22" t="e">
            <v>#DIV/0!</v>
          </cell>
          <cell r="L22" t="e">
            <v>#DIV/0!</v>
          </cell>
          <cell r="M22" t="e">
            <v>#DIV/0!</v>
          </cell>
          <cell r="N22" t="e">
            <v>#DIV/0!</v>
          </cell>
          <cell r="O22" t="e">
            <v>#DIV/0!</v>
          </cell>
          <cell r="P22" t="e">
            <v>#DIV/0!</v>
          </cell>
          <cell r="Q22" t="e">
            <v>#DIV/0!</v>
          </cell>
          <cell r="R22" t="e">
            <v>#DIV/0!</v>
          </cell>
          <cell r="S22" t="e">
            <v>#DIV/0!</v>
          </cell>
          <cell r="T22" t="e">
            <v>#DIV/0!</v>
          </cell>
        </row>
        <row r="23">
          <cell r="B23" t="str">
            <v xml:space="preserve">% margin </v>
          </cell>
          <cell r="C23">
            <v>0.25</v>
          </cell>
          <cell r="D23">
            <v>0.255</v>
          </cell>
          <cell r="E23" t="e">
            <v>#DIV/0!</v>
          </cell>
          <cell r="F23">
            <v>0.27500000000000002</v>
          </cell>
          <cell r="G23">
            <v>0.28499999999999998</v>
          </cell>
          <cell r="H23" t="e">
            <v>#DIV/0!</v>
          </cell>
          <cell r="I23">
            <v>0.27600000000000002</v>
          </cell>
          <cell r="J23">
            <v>0.30499999999999999</v>
          </cell>
          <cell r="K23" t="e">
            <v>#DIV/0!</v>
          </cell>
          <cell r="L23">
            <v>0.27500000000000002</v>
          </cell>
          <cell r="M23">
            <v>0.32</v>
          </cell>
          <cell r="N23" t="e">
            <v>#DIV/0!</v>
          </cell>
          <cell r="O23">
            <v>0.27500000000000002</v>
          </cell>
          <cell r="P23">
            <v>0.32</v>
          </cell>
          <cell r="Q23" t="e">
            <v>#DIV/0!</v>
          </cell>
          <cell r="R23">
            <v>0.27500000000000002</v>
          </cell>
          <cell r="S23">
            <v>0.32</v>
          </cell>
          <cell r="T23" t="e">
            <v>#DIV/0!</v>
          </cell>
        </row>
        <row r="24">
          <cell r="B24" t="str">
            <v>% margin calculated</v>
          </cell>
          <cell r="C24" t="e">
            <v>#DIV/0!</v>
          </cell>
          <cell r="D24" t="e">
            <v>#DIV/0!</v>
          </cell>
          <cell r="E24">
            <v>0.23735102834932831</v>
          </cell>
          <cell r="F24" t="e">
            <v>#DIV/0!</v>
          </cell>
          <cell r="G24" t="e">
            <v>#DIV/0!</v>
          </cell>
          <cell r="H24">
            <v>0.25646964072551265</v>
          </cell>
          <cell r="I24" t="e">
            <v>#DIV/0!</v>
          </cell>
          <cell r="J24" t="e">
            <v>#DIV/0!</v>
          </cell>
          <cell r="K24">
            <v>0.26485204273698387</v>
          </cell>
          <cell r="L24" t="e">
            <v>#DIV/0!</v>
          </cell>
          <cell r="M24" t="e">
            <v>#DIV/0!</v>
          </cell>
          <cell r="N24">
            <v>0.26906404805546014</v>
          </cell>
          <cell r="O24" t="e">
            <v>#DIV/0!</v>
          </cell>
          <cell r="P24" t="e">
            <v>#DIV/0!</v>
          </cell>
          <cell r="Q24">
            <v>0.27452300264263119</v>
          </cell>
          <cell r="R24" t="e">
            <v>#DIV/0!</v>
          </cell>
          <cell r="S24" t="e">
            <v>#DIV/0!</v>
          </cell>
          <cell r="T24">
            <v>0.28483118322549772</v>
          </cell>
        </row>
        <row r="25">
          <cell r="B25" t="str">
            <v>Impact of Interoperability with SIRO Omnicam to iTero Sales</v>
          </cell>
        </row>
        <row r="26">
          <cell r="B26" t="str">
            <v>iTero Installed Base Pre-SIRO (000s)</v>
          </cell>
          <cell r="C26">
            <v>5.3685000000000009</v>
          </cell>
          <cell r="D26">
            <v>1.0645833333333332</v>
          </cell>
          <cell r="E26">
            <v>6.4330833333333342</v>
          </cell>
          <cell r="F26">
            <v>6.7106250000000012</v>
          </cell>
          <cell r="G26">
            <v>1.3307291666666665</v>
          </cell>
          <cell r="H26">
            <v>8.0413541666666681</v>
          </cell>
          <cell r="I26">
            <v>7.8849843750000019</v>
          </cell>
          <cell r="J26">
            <v>1.5636067708333332</v>
          </cell>
          <cell r="K26">
            <v>9.4485911458333351</v>
          </cell>
          <cell r="L26">
            <v>9.0677320312500012</v>
          </cell>
          <cell r="M26">
            <v>1.7981477864583331</v>
          </cell>
          <cell r="N26">
            <v>10.865879817708334</v>
          </cell>
          <cell r="O26">
            <v>10.2465371953125</v>
          </cell>
          <cell r="P26">
            <v>2.0319069986979161</v>
          </cell>
          <cell r="Q26">
            <v>12.278444194010417</v>
          </cell>
          <cell r="R26">
            <v>11.476121658750001</v>
          </cell>
          <cell r="S26">
            <v>2.2757358385416664</v>
          </cell>
          <cell r="T26">
            <v>13.751857497291667</v>
          </cell>
        </row>
        <row r="27">
          <cell r="B27" t="str">
            <v>iTero Installs (000s)</v>
          </cell>
          <cell r="C27">
            <v>1.0737000000000001</v>
          </cell>
          <cell r="D27">
            <v>0.21291666666666664</v>
          </cell>
          <cell r="E27">
            <v>1.2866166666666667</v>
          </cell>
          <cell r="F27">
            <v>1.0737000000000001</v>
          </cell>
          <cell r="G27">
            <v>0.21291666666666664</v>
          </cell>
          <cell r="H27">
            <v>1.2866166666666667</v>
          </cell>
          <cell r="I27">
            <v>1.1743593750000001</v>
          </cell>
          <cell r="J27">
            <v>0.23287760416666661</v>
          </cell>
          <cell r="K27">
            <v>1.4072369791666668</v>
          </cell>
          <cell r="L27">
            <v>1.1827476562500003</v>
          </cell>
          <cell r="M27">
            <v>0.23454101562499996</v>
          </cell>
          <cell r="N27">
            <v>1.4172886718750002</v>
          </cell>
          <cell r="O27">
            <v>1.1788051640625001</v>
          </cell>
          <cell r="P27">
            <v>0.23375921223958332</v>
          </cell>
          <cell r="Q27">
            <v>1.4125643763020834</v>
          </cell>
          <cell r="R27">
            <v>1.2295844634374999</v>
          </cell>
          <cell r="S27">
            <v>0.24382883984374992</v>
          </cell>
          <cell r="T27">
            <v>1.4734133032812498</v>
          </cell>
        </row>
        <row r="28">
          <cell r="B28" t="str">
            <v>% of installed base</v>
          </cell>
          <cell r="C28">
            <v>0.25</v>
          </cell>
          <cell r="D28">
            <v>0.25</v>
          </cell>
          <cell r="E28">
            <v>0.25</v>
          </cell>
          <cell r="F28">
            <v>0.25</v>
          </cell>
          <cell r="G28">
            <v>0.25</v>
          </cell>
          <cell r="H28">
            <v>0.25</v>
          </cell>
          <cell r="I28">
            <v>0.17499999999999999</v>
          </cell>
          <cell r="J28">
            <v>0.17499999999999999</v>
          </cell>
          <cell r="K28">
            <v>0.17499999999999999</v>
          </cell>
          <cell r="L28">
            <v>0.15</v>
          </cell>
          <cell r="M28">
            <v>0.15</v>
          </cell>
          <cell r="N28">
            <v>0.15</v>
          </cell>
          <cell r="O28">
            <v>0.13</v>
          </cell>
          <cell r="P28">
            <v>0.13</v>
          </cell>
          <cell r="Q28">
            <v>0.13</v>
          </cell>
          <cell r="R28">
            <v>0.12</v>
          </cell>
          <cell r="S28">
            <v>0.12</v>
          </cell>
          <cell r="T28">
            <v>0.12</v>
          </cell>
        </row>
        <row r="29">
          <cell r="B29" t="str">
            <v>iTero Losses (000s)</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row>
        <row r="30">
          <cell r="B30" t="str">
            <v>iTero Adjusted Base (000s)</v>
          </cell>
          <cell r="C30">
            <v>5.3685000000000009</v>
          </cell>
          <cell r="D30">
            <v>1.0645833333333332</v>
          </cell>
          <cell r="E30">
            <v>6.4330833333333342</v>
          </cell>
          <cell r="F30">
            <v>6.4422000000000015</v>
          </cell>
          <cell r="G30">
            <v>1.2774999999999999</v>
          </cell>
          <cell r="H30">
            <v>7.7197000000000013</v>
          </cell>
          <cell r="I30">
            <v>7.6165593750000014</v>
          </cell>
          <cell r="J30">
            <v>1.5103776041666666</v>
          </cell>
          <cell r="K30">
            <v>9.1269369791666684</v>
          </cell>
          <cell r="L30">
            <v>8.7993070312500024</v>
          </cell>
          <cell r="M30">
            <v>1.7449186197916666</v>
          </cell>
          <cell r="N30">
            <v>10.544225651041669</v>
          </cell>
          <cell r="O30">
            <v>9.9781121953125016</v>
          </cell>
          <cell r="P30">
            <v>1.9786778320312499</v>
          </cell>
          <cell r="Q30">
            <v>11.956790027343752</v>
          </cell>
          <cell r="R30">
            <v>11.207696658750002</v>
          </cell>
          <cell r="S30">
            <v>2.2225066718749997</v>
          </cell>
          <cell r="T30">
            <v>13.430203330625002</v>
          </cell>
        </row>
        <row r="31">
          <cell r="B31" t="str">
            <v>% growth</v>
          </cell>
          <cell r="F31">
            <v>0.19999999999999996</v>
          </cell>
          <cell r="G31">
            <v>0.19999999999999996</v>
          </cell>
          <cell r="H31">
            <v>0.19999999999999996</v>
          </cell>
          <cell r="I31">
            <v>0.18229166666666652</v>
          </cell>
          <cell r="J31">
            <v>0.18229166666666674</v>
          </cell>
          <cell r="K31">
            <v>0.18229166666666674</v>
          </cell>
          <cell r="L31">
            <v>0.15528634361233484</v>
          </cell>
          <cell r="M31">
            <v>0.15528634361233484</v>
          </cell>
          <cell r="N31">
            <v>0.15528634361233484</v>
          </cell>
          <cell r="O31">
            <v>0.13396568160152511</v>
          </cell>
          <cell r="P31">
            <v>0.13396568160152533</v>
          </cell>
          <cell r="Q31">
            <v>0.13396568160152511</v>
          </cell>
          <cell r="R31">
            <v>0.12322816574613515</v>
          </cell>
          <cell r="S31">
            <v>0.12322816574613493</v>
          </cell>
          <cell r="T31">
            <v>0.12322816574613493</v>
          </cell>
        </row>
        <row r="32">
          <cell r="B32" t="str">
            <v>% of Pre-SIRO Base</v>
          </cell>
          <cell r="C32">
            <v>1</v>
          </cell>
          <cell r="D32">
            <v>1</v>
          </cell>
          <cell r="E32">
            <v>1</v>
          </cell>
          <cell r="F32">
            <v>0.96000000000000008</v>
          </cell>
          <cell r="G32">
            <v>0.96</v>
          </cell>
          <cell r="H32">
            <v>0.96</v>
          </cell>
          <cell r="I32">
            <v>0.96595744680851059</v>
          </cell>
          <cell r="J32">
            <v>0.96595744680851059</v>
          </cell>
          <cell r="K32">
            <v>0.96595744680851059</v>
          </cell>
          <cell r="L32">
            <v>0.97039777983348763</v>
          </cell>
          <cell r="M32">
            <v>0.97039777983348763</v>
          </cell>
          <cell r="N32">
            <v>0.97039777983348763</v>
          </cell>
          <cell r="O32">
            <v>0.97380334498538734</v>
          </cell>
          <cell r="P32">
            <v>0.97380334498538734</v>
          </cell>
          <cell r="Q32">
            <v>0.97380334498538734</v>
          </cell>
          <cell r="R32">
            <v>0.97661012945123871</v>
          </cell>
          <cell r="S32">
            <v>0.9766101294512386</v>
          </cell>
          <cell r="T32">
            <v>0.97661012945123871</v>
          </cell>
        </row>
        <row r="33">
          <cell r="B33" t="str">
            <v>iTero ASP ($)</v>
          </cell>
          <cell r="C33">
            <v>21000</v>
          </cell>
          <cell r="D33">
            <v>21000</v>
          </cell>
          <cell r="E33">
            <v>21000</v>
          </cell>
          <cell r="F33">
            <v>21000</v>
          </cell>
          <cell r="G33">
            <v>21000</v>
          </cell>
          <cell r="H33">
            <v>21000</v>
          </cell>
          <cell r="I33">
            <v>21000</v>
          </cell>
          <cell r="J33">
            <v>21000</v>
          </cell>
          <cell r="K33">
            <v>21000</v>
          </cell>
          <cell r="L33">
            <v>21000</v>
          </cell>
          <cell r="M33">
            <v>21000</v>
          </cell>
          <cell r="N33">
            <v>21000</v>
          </cell>
          <cell r="O33">
            <v>21000</v>
          </cell>
          <cell r="P33">
            <v>21000</v>
          </cell>
          <cell r="Q33">
            <v>21000</v>
          </cell>
          <cell r="R33">
            <v>21000</v>
          </cell>
          <cell r="S33">
            <v>21000</v>
          </cell>
          <cell r="T33">
            <v>21000</v>
          </cell>
        </row>
        <row r="34">
          <cell r="B34" t="str">
            <v>Scanner revenues ($ mn)</v>
          </cell>
          <cell r="C34">
            <v>22.547699999999999</v>
          </cell>
          <cell r="D34">
            <v>4.4712499999999995</v>
          </cell>
          <cell r="E34">
            <v>27.018949999999997</v>
          </cell>
          <cell r="F34">
            <v>22.547699999999999</v>
          </cell>
          <cell r="G34">
            <v>4.4712499999999995</v>
          </cell>
          <cell r="H34">
            <v>27.018949999999997</v>
          </cell>
          <cell r="I34">
            <v>24.661546875000003</v>
          </cell>
          <cell r="J34">
            <v>4.8904296874999993</v>
          </cell>
          <cell r="K34">
            <v>29.551976562500002</v>
          </cell>
          <cell r="L34">
            <v>24.83770078125001</v>
          </cell>
          <cell r="M34">
            <v>4.9253613281249988</v>
          </cell>
          <cell r="N34">
            <v>29.76306210937501</v>
          </cell>
          <cell r="O34">
            <v>24.754908445312502</v>
          </cell>
          <cell r="P34">
            <v>4.90894345703125</v>
          </cell>
          <cell r="Q34">
            <v>29.663851902343751</v>
          </cell>
          <cell r="R34">
            <v>25.8212737321875</v>
          </cell>
          <cell r="S34">
            <v>5.1204056367187487</v>
          </cell>
          <cell r="T34">
            <v>30.94167936890625</v>
          </cell>
        </row>
        <row r="35">
          <cell r="B35" t="str">
            <v>% growth</v>
          </cell>
          <cell r="E35">
            <v>0.16090522182372791</v>
          </cell>
          <cell r="H35">
            <v>0</v>
          </cell>
          <cell r="K35">
            <v>9.3750000000000222E-2</v>
          </cell>
          <cell r="N35">
            <v>7.1428571428573395E-3</v>
          </cell>
          <cell r="Q35">
            <v>-3.3333333333336324E-3</v>
          </cell>
          <cell r="T35">
            <v>4.3076923076923013E-2</v>
          </cell>
        </row>
        <row r="36">
          <cell r="B36" t="str">
            <v>CAD/CAM Services Revenues ($ mn)</v>
          </cell>
          <cell r="E36">
            <v>22.662161283302002</v>
          </cell>
          <cell r="H36">
            <v>24.928377411632205</v>
          </cell>
          <cell r="K36">
            <v>27.421215152795426</v>
          </cell>
          <cell r="N36">
            <v>30.163336668074972</v>
          </cell>
          <cell r="Q36">
            <v>33.179670334882474</v>
          </cell>
          <cell r="T36">
            <v>36.497637368370725</v>
          </cell>
        </row>
        <row r="37">
          <cell r="B37" t="str">
            <v>% growth</v>
          </cell>
          <cell r="E37">
            <v>0.1</v>
          </cell>
          <cell r="H37">
            <v>0.1</v>
          </cell>
          <cell r="K37">
            <v>0.1</v>
          </cell>
          <cell r="N37">
            <v>0.1</v>
          </cell>
          <cell r="Q37">
            <v>0.1</v>
          </cell>
          <cell r="T37">
            <v>0.1</v>
          </cell>
        </row>
        <row r="38">
          <cell r="B38" t="str">
            <v>Scanners + CAD/CAM Revenues ($ mn)</v>
          </cell>
          <cell r="E38">
            <v>49.681111283302002</v>
          </cell>
          <cell r="H38">
            <v>51.947327411632202</v>
          </cell>
          <cell r="K38">
            <v>56.973191715295428</v>
          </cell>
          <cell r="N38">
            <v>59.926398777449982</v>
          </cell>
          <cell r="Q38">
            <v>62.843522237226225</v>
          </cell>
          <cell r="T38">
            <v>67.439316737276982</v>
          </cell>
        </row>
        <row r="39">
          <cell r="E39">
            <v>1.1752836496049301E-2</v>
          </cell>
          <cell r="H39">
            <v>4.5615246313781332E-2</v>
          </cell>
          <cell r="K39">
            <v>9.67492372386769E-2</v>
          </cell>
          <cell r="N39">
            <v>5.1835029304874158E-2</v>
          </cell>
          <cell r="Q39">
            <v>4.8678437538181241E-2</v>
          </cell>
          <cell r="T39">
            <v>7.3130759327941997E-2</v>
          </cell>
        </row>
        <row r="40">
          <cell r="B40" t="str">
            <v>Total revenue impact ($ mn)</v>
          </cell>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row>
        <row r="41">
          <cell r="B41" t="str">
            <v>Prior Revenues ($ mn)</v>
          </cell>
          <cell r="E41">
            <v>50.59602619751098</v>
          </cell>
          <cell r="H41">
            <v>47.344423193680647</v>
          </cell>
          <cell r="K41">
            <v>50.333042018116927</v>
          </cell>
          <cell r="N41">
            <v>53.620522724996825</v>
          </cell>
          <cell r="Q41">
            <v>57.236751502564715</v>
          </cell>
          <cell r="T41">
            <v>61.214603157889385</v>
          </cell>
        </row>
        <row r="42">
          <cell r="B42" t="str">
            <v>Revenue impact unaccounted ($ mn)</v>
          </cell>
          <cell r="C42" t="e">
            <v>#DIV/0!</v>
          </cell>
          <cell r="D42" t="e">
            <v>#DIV/0!</v>
          </cell>
          <cell r="E42">
            <v>-0.9149149142089783</v>
          </cell>
          <cell r="F42" t="e">
            <v>#DIV/0!</v>
          </cell>
          <cell r="G42" t="e">
            <v>#DIV/0!</v>
          </cell>
          <cell r="H42">
            <v>4.6029042179515542</v>
          </cell>
          <cell r="I42" t="e">
            <v>#DIV/0!</v>
          </cell>
          <cell r="J42" t="e">
            <v>#DIV/0!</v>
          </cell>
          <cell r="K42">
            <v>6.6401496971785008</v>
          </cell>
          <cell r="L42" t="e">
            <v>#DIV/0!</v>
          </cell>
          <cell r="M42" t="e">
            <v>#DIV/0!</v>
          </cell>
          <cell r="N42">
            <v>6.3058760524531579</v>
          </cell>
          <cell r="O42" t="e">
            <v>#DIV/0!</v>
          </cell>
          <cell r="P42" t="e">
            <v>#DIV/0!</v>
          </cell>
          <cell r="Q42">
            <v>5.6067707346615094</v>
          </cell>
          <cell r="R42" t="e">
            <v>#DIV/0!</v>
          </cell>
          <cell r="S42" t="e">
            <v>#DIV/0!</v>
          </cell>
          <cell r="T42">
            <v>6.224713579387597</v>
          </cell>
        </row>
        <row r="43">
          <cell r="B43" t="str">
            <v>Total EBIT impact ($ mn)</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B44" t="str">
            <v>% EBIT margin</v>
          </cell>
          <cell r="C44">
            <v>0.1</v>
          </cell>
          <cell r="D44">
            <v>0.1</v>
          </cell>
          <cell r="E44" t="e">
            <v>#DIV/0!</v>
          </cell>
          <cell r="F44">
            <v>0.1</v>
          </cell>
          <cell r="G44">
            <v>0.1</v>
          </cell>
          <cell r="H44" t="e">
            <v>#DIV/0!</v>
          </cell>
          <cell r="I44">
            <v>0.1</v>
          </cell>
          <cell r="J44">
            <v>0.1</v>
          </cell>
          <cell r="K44" t="e">
            <v>#DIV/0!</v>
          </cell>
          <cell r="L44">
            <v>0.1</v>
          </cell>
          <cell r="M44">
            <v>0.1</v>
          </cell>
          <cell r="N44" t="e">
            <v>#DIV/0!</v>
          </cell>
          <cell r="O44">
            <v>0.1</v>
          </cell>
          <cell r="P44">
            <v>0.1</v>
          </cell>
          <cell r="Q44" t="e">
            <v>#DIV/0!</v>
          </cell>
          <cell r="R44">
            <v>0.1</v>
          </cell>
          <cell r="S44">
            <v>0.1</v>
          </cell>
          <cell r="T44" t="e">
            <v>#DIV/0!</v>
          </cell>
        </row>
        <row r="45">
          <cell r="B45" t="str">
            <v>EBIT impact unaccounted ($ mn)</v>
          </cell>
          <cell r="C45" t="e">
            <v>#DIV/0!</v>
          </cell>
          <cell r="D45" t="e">
            <v>#DIV/0!</v>
          </cell>
          <cell r="E45" t="e">
            <v>#DIV/0!</v>
          </cell>
          <cell r="F45" t="e">
            <v>#DIV/0!</v>
          </cell>
          <cell r="G45" t="e">
            <v>#DIV/0!</v>
          </cell>
          <cell r="H45" t="e">
            <v>#DIV/0!</v>
          </cell>
          <cell r="I45" t="e">
            <v>#DIV/0!</v>
          </cell>
          <cell r="J45" t="e">
            <v>#DIV/0!</v>
          </cell>
          <cell r="K45" t="e">
            <v>#DIV/0!</v>
          </cell>
          <cell r="L45" t="e">
            <v>#DIV/0!</v>
          </cell>
          <cell r="M45" t="e">
            <v>#DIV/0!</v>
          </cell>
          <cell r="N45" t="e">
            <v>#DIV/0!</v>
          </cell>
          <cell r="O45" t="e">
            <v>#DIV/0!</v>
          </cell>
          <cell r="P45" t="e">
            <v>#DIV/0!</v>
          </cell>
          <cell r="Q45" t="e">
            <v>#DIV/0!</v>
          </cell>
          <cell r="R45" t="e">
            <v>#DIV/0!</v>
          </cell>
          <cell r="S45" t="e">
            <v>#DIV/0!</v>
          </cell>
          <cell r="T45" t="e">
            <v>#DIV/0!</v>
          </cell>
        </row>
        <row r="46">
          <cell r="B46" t="str">
            <v xml:space="preserve">Financial Impact of Interoperability with SIRO Omnicam </v>
          </cell>
        </row>
        <row r="47">
          <cell r="B47" t="str">
            <v>Revenue impact ($ mn)</v>
          </cell>
          <cell r="C47" t="e">
            <v>#DIV/0!</v>
          </cell>
          <cell r="D47" t="e">
            <v>#DIV/0!</v>
          </cell>
          <cell r="E47">
            <v>-0.9149149142089783</v>
          </cell>
          <cell r="F47" t="e">
            <v>#DIV/0!</v>
          </cell>
          <cell r="G47" t="e">
            <v>#DIV/0!</v>
          </cell>
          <cell r="H47">
            <v>4.6029042179515542</v>
          </cell>
          <cell r="I47" t="e">
            <v>#DIV/0!</v>
          </cell>
          <cell r="J47" t="e">
            <v>#DIV/0!</v>
          </cell>
          <cell r="K47" t="e">
            <v>#DIV/0!</v>
          </cell>
          <cell r="L47" t="e">
            <v>#DIV/0!</v>
          </cell>
          <cell r="M47" t="e">
            <v>#DIV/0!</v>
          </cell>
          <cell r="N47" t="e">
            <v>#DIV/0!</v>
          </cell>
          <cell r="O47" t="e">
            <v>#DIV/0!</v>
          </cell>
          <cell r="P47" t="e">
            <v>#DIV/0!</v>
          </cell>
          <cell r="Q47" t="e">
            <v>#DIV/0!</v>
          </cell>
          <cell r="R47" t="e">
            <v>#DIV/0!</v>
          </cell>
          <cell r="S47" t="e">
            <v>#DIV/0!</v>
          </cell>
          <cell r="T47" t="e">
            <v>#DIV/0!</v>
          </cell>
        </row>
        <row r="48">
          <cell r="B48" t="str">
            <v>EBIT impact ($ mn)</v>
          </cell>
          <cell r="C48" t="e">
            <v>#DIV/0!</v>
          </cell>
          <cell r="D48" t="e">
            <v>#DIV/0!</v>
          </cell>
          <cell r="E48" t="e">
            <v>#DIV/0!</v>
          </cell>
          <cell r="F48" t="e">
            <v>#DIV/0!</v>
          </cell>
          <cell r="G48" t="e">
            <v>#DIV/0!</v>
          </cell>
          <cell r="H48" t="e">
            <v>#DIV/0!</v>
          </cell>
          <cell r="I48" t="e">
            <v>#DIV/0!</v>
          </cell>
          <cell r="J48" t="e">
            <v>#DIV/0!</v>
          </cell>
          <cell r="K48" t="e">
            <v>#DIV/0!</v>
          </cell>
          <cell r="L48" t="e">
            <v>#DIV/0!</v>
          </cell>
          <cell r="M48" t="e">
            <v>#DIV/0!</v>
          </cell>
          <cell r="N48" t="e">
            <v>#DIV/0!</v>
          </cell>
          <cell r="O48" t="e">
            <v>#DIV/0!</v>
          </cell>
          <cell r="P48" t="e">
            <v>#DIV/0!</v>
          </cell>
          <cell r="Q48" t="e">
            <v>#DIV/0!</v>
          </cell>
          <cell r="R48" t="e">
            <v>#DIV/0!</v>
          </cell>
          <cell r="S48" t="e">
            <v>#DIV/0!</v>
          </cell>
          <cell r="T48" t="e">
            <v>#DIV/0!</v>
          </cell>
        </row>
        <row r="49">
          <cell r="B49" t="str">
            <v>Net income impact ($ mn)</v>
          </cell>
          <cell r="C49" t="e">
            <v>#DIV/0!</v>
          </cell>
          <cell r="D49" t="e">
            <v>#DIV/0!</v>
          </cell>
          <cell r="E49" t="e">
            <v>#DIV/0!</v>
          </cell>
          <cell r="F49" t="e">
            <v>#DIV/0!</v>
          </cell>
          <cell r="G49" t="e">
            <v>#DIV/0!</v>
          </cell>
          <cell r="H49" t="e">
            <v>#DIV/0!</v>
          </cell>
          <cell r="I49" t="e">
            <v>#DIV/0!</v>
          </cell>
          <cell r="J49" t="e">
            <v>#DIV/0!</v>
          </cell>
          <cell r="K49" t="e">
            <v>#DIV/0!</v>
          </cell>
          <cell r="L49" t="e">
            <v>#DIV/0!</v>
          </cell>
          <cell r="M49" t="e">
            <v>#DIV/0!</v>
          </cell>
          <cell r="N49" t="e">
            <v>#DIV/0!</v>
          </cell>
          <cell r="O49" t="e">
            <v>#DIV/0!</v>
          </cell>
          <cell r="P49" t="e">
            <v>#DIV/0!</v>
          </cell>
          <cell r="Q49" t="e">
            <v>#DIV/0!</v>
          </cell>
          <cell r="R49" t="e">
            <v>#DIV/0!</v>
          </cell>
          <cell r="S49" t="e">
            <v>#DIV/0!</v>
          </cell>
          <cell r="T49" t="e">
            <v>#DIV/0!</v>
          </cell>
        </row>
        <row r="50">
          <cell r="B50" t="str">
            <v>% tax rate</v>
          </cell>
          <cell r="C50">
            <v>0.25174454411903835</v>
          </cell>
          <cell r="D50">
            <v>0.25174454411903835</v>
          </cell>
          <cell r="E50" t="e">
            <v>#DIV/0!</v>
          </cell>
          <cell r="F50">
            <v>0.23499999999999999</v>
          </cell>
          <cell r="G50">
            <v>0.23499999999999999</v>
          </cell>
          <cell r="H50" t="e">
            <v>#DIV/0!</v>
          </cell>
          <cell r="I50">
            <v>0.23499999999999993</v>
          </cell>
          <cell r="J50">
            <v>0.23499999999999993</v>
          </cell>
          <cell r="K50" t="e">
            <v>#DIV/0!</v>
          </cell>
          <cell r="L50">
            <v>0.23499999999999988</v>
          </cell>
          <cell r="M50">
            <v>0.23499999999999988</v>
          </cell>
          <cell r="N50" t="e">
            <v>#DIV/0!</v>
          </cell>
          <cell r="O50">
            <v>0.23499999999999988</v>
          </cell>
          <cell r="P50">
            <v>0.23499999999999988</v>
          </cell>
          <cell r="Q50" t="e">
            <v>#DIV/0!</v>
          </cell>
          <cell r="R50">
            <v>0.23499999999999988</v>
          </cell>
          <cell r="S50">
            <v>0.23499999999999988</v>
          </cell>
          <cell r="T50" t="e">
            <v>#DIV/0!</v>
          </cell>
        </row>
        <row r="51">
          <cell r="B51" t="str">
            <v>Incremental Capital Deployment ($ mn)</v>
          </cell>
          <cell r="E51">
            <v>50</v>
          </cell>
          <cell r="H51">
            <v>50</v>
          </cell>
          <cell r="K51">
            <v>125</v>
          </cell>
          <cell r="N51">
            <v>150</v>
          </cell>
          <cell r="Q51">
            <v>175</v>
          </cell>
          <cell r="T51">
            <v>200</v>
          </cell>
        </row>
        <row r="52">
          <cell r="B52" t="str">
            <v>Expected Share Price ($)</v>
          </cell>
          <cell r="E52">
            <v>48.58810695174374</v>
          </cell>
          <cell r="H52">
            <v>55.876322994505294</v>
          </cell>
          <cell r="K52">
            <v>64.257771443681079</v>
          </cell>
          <cell r="N52">
            <v>73.896437160233233</v>
          </cell>
          <cell r="Q52">
            <v>84.980902734268213</v>
          </cell>
          <cell r="T52">
            <v>97.728038144408444</v>
          </cell>
        </row>
        <row r="53">
          <cell r="B53" t="str">
            <v>Shares outstanding (mn)</v>
          </cell>
          <cell r="C53">
            <v>80.218124939348698</v>
          </cell>
          <cell r="D53">
            <v>80.218124939348698</v>
          </cell>
          <cell r="E53">
            <v>80.218124939348698</v>
          </cell>
          <cell r="F53">
            <v>77.296749280055366</v>
          </cell>
          <cell r="G53">
            <v>77.296749280055366</v>
          </cell>
          <cell r="H53">
            <v>77.296749280055366</v>
          </cell>
          <cell r="I53">
            <v>72.763681442316752</v>
          </cell>
          <cell r="J53">
            <v>72.763681442316752</v>
          </cell>
          <cell r="K53">
            <v>72.763681442316752</v>
          </cell>
          <cell r="L53">
            <v>68.182240678274852</v>
          </cell>
          <cell r="M53">
            <v>68.182240678274852</v>
          </cell>
          <cell r="N53">
            <v>68.182240678274852</v>
          </cell>
          <cell r="O53">
            <v>64.058844621672591</v>
          </cell>
          <cell r="P53">
            <v>64.058844621672591</v>
          </cell>
          <cell r="Q53">
            <v>64.058844621672591</v>
          </cell>
          <cell r="R53">
            <v>59.931143769892827</v>
          </cell>
          <cell r="S53">
            <v>59.931143769892827</v>
          </cell>
          <cell r="T53">
            <v>59.931143769892827</v>
          </cell>
        </row>
        <row r="55">
          <cell r="B55" t="str">
            <v>EPS impact ($)</v>
          </cell>
          <cell r="C55" t="e">
            <v>#DIV/0!</v>
          </cell>
          <cell r="D55" t="e">
            <v>#DIV/0!</v>
          </cell>
          <cell r="E55" t="e">
            <v>#DIV/0!</v>
          </cell>
          <cell r="F55" t="e">
            <v>#DIV/0!</v>
          </cell>
          <cell r="G55" t="e">
            <v>#DIV/0!</v>
          </cell>
          <cell r="H55" t="e">
            <v>#DIV/0!</v>
          </cell>
          <cell r="I55" t="e">
            <v>#DIV/0!</v>
          </cell>
          <cell r="J55" t="e">
            <v>#DIV/0!</v>
          </cell>
          <cell r="K55" t="e">
            <v>#DIV/0!</v>
          </cell>
          <cell r="L55" t="e">
            <v>#DIV/0!</v>
          </cell>
          <cell r="M55" t="e">
            <v>#DIV/0!</v>
          </cell>
          <cell r="N55" t="e">
            <v>#DIV/0!</v>
          </cell>
          <cell r="O55" t="e">
            <v>#DIV/0!</v>
          </cell>
          <cell r="P55" t="e">
            <v>#DIV/0!</v>
          </cell>
          <cell r="Q55" t="e">
            <v>#DIV/0!</v>
          </cell>
          <cell r="R55" t="e">
            <v>#DIV/0!</v>
          </cell>
          <cell r="S55" t="e">
            <v>#DIV/0!</v>
          </cell>
          <cell r="T55" t="e">
            <v>#DIV/0!</v>
          </cell>
        </row>
        <row r="60">
          <cell r="E60" t="str">
            <v>2015E</v>
          </cell>
          <cell r="F60" t="str">
            <v>2016E</v>
          </cell>
          <cell r="H60" t="str">
            <v>2016E</v>
          </cell>
          <cell r="I60" t="str">
            <v>2017E</v>
          </cell>
          <cell r="K60" t="str">
            <v>2017E</v>
          </cell>
          <cell r="L60" t="str">
            <v>2018E</v>
          </cell>
          <cell r="N60" t="str">
            <v>2018E</v>
          </cell>
          <cell r="O60" t="str">
            <v>2019E</v>
          </cell>
          <cell r="Q60" t="str">
            <v>2019E</v>
          </cell>
          <cell r="R60" t="str">
            <v>2020E</v>
          </cell>
          <cell r="T60" t="str">
            <v>2020E</v>
          </cell>
        </row>
        <row r="61">
          <cell r="C61" t="str">
            <v>US</v>
          </cell>
          <cell r="D61" t="str">
            <v>Int'l</v>
          </cell>
          <cell r="E61" t="str">
            <v>Total</v>
          </cell>
          <cell r="F61" t="str">
            <v>US</v>
          </cell>
          <cell r="G61" t="str">
            <v>Int'l</v>
          </cell>
          <cell r="H61" t="str">
            <v>Total</v>
          </cell>
          <cell r="I61" t="str">
            <v>US</v>
          </cell>
          <cell r="J61" t="str">
            <v>Int'l</v>
          </cell>
          <cell r="K61" t="str">
            <v>Total</v>
          </cell>
          <cell r="L61" t="str">
            <v>US</v>
          </cell>
          <cell r="M61" t="str">
            <v>Int'l</v>
          </cell>
          <cell r="N61" t="str">
            <v>Total</v>
          </cell>
          <cell r="O61" t="str">
            <v>US</v>
          </cell>
          <cell r="P61" t="str">
            <v>Int'l</v>
          </cell>
          <cell r="Q61" t="str">
            <v>Total</v>
          </cell>
          <cell r="R61" t="str">
            <v>US</v>
          </cell>
          <cell r="S61" t="str">
            <v>Int'l</v>
          </cell>
          <cell r="T61" t="str">
            <v>Total</v>
          </cell>
        </row>
        <row r="62">
          <cell r="B62" t="str">
            <v>Impact of IP on North America Volumes</v>
          </cell>
        </row>
        <row r="63">
          <cell r="B63" t="str">
            <v>North America GP Cases (000s)</v>
          </cell>
          <cell r="C63">
            <v>0</v>
          </cell>
          <cell r="E63">
            <v>0</v>
          </cell>
          <cell r="F63">
            <v>195.95334000000003</v>
          </cell>
          <cell r="H63">
            <v>195.95334000000003</v>
          </cell>
          <cell r="I63">
            <v>0</v>
          </cell>
          <cell r="K63">
            <v>0</v>
          </cell>
          <cell r="L63">
            <v>0</v>
          </cell>
          <cell r="N63">
            <v>0</v>
          </cell>
          <cell r="O63">
            <v>0</v>
          </cell>
          <cell r="Q63">
            <v>0</v>
          </cell>
          <cell r="R63">
            <v>0</v>
          </cell>
          <cell r="T63">
            <v>0</v>
          </cell>
        </row>
        <row r="64">
          <cell r="B64" t="str">
            <v>% growth</v>
          </cell>
          <cell r="C64">
            <v>0.12993440951411839</v>
          </cell>
          <cell r="E64">
            <v>0.12993440951411839</v>
          </cell>
          <cell r="F64" t="e">
            <v>#DIV/0!</v>
          </cell>
          <cell r="H64" t="e">
            <v>#DIV/0!</v>
          </cell>
          <cell r="I64">
            <v>-1</v>
          </cell>
          <cell r="K64">
            <v>-1</v>
          </cell>
          <cell r="L64" t="e">
            <v>#DIV/0!</v>
          </cell>
          <cell r="N64" t="e">
            <v>#DIV/0!</v>
          </cell>
          <cell r="O64" t="e">
            <v>#DIV/0!</v>
          </cell>
          <cell r="Q64" t="e">
            <v>#DIV/0!</v>
          </cell>
          <cell r="R64" t="e">
            <v>#DIV/0!</v>
          </cell>
          <cell r="T64" t="e">
            <v>#DIV/0!</v>
          </cell>
        </row>
        <row r="65">
          <cell r="B65" t="str">
            <v>High-Volume Cases (000s)</v>
          </cell>
          <cell r="C65">
            <v>0</v>
          </cell>
          <cell r="E65">
            <v>0</v>
          </cell>
          <cell r="F65">
            <v>0</v>
          </cell>
          <cell r="H65">
            <v>0</v>
          </cell>
          <cell r="I65">
            <v>0</v>
          </cell>
          <cell r="K65">
            <v>0</v>
          </cell>
          <cell r="L65">
            <v>0</v>
          </cell>
          <cell r="N65">
            <v>0</v>
          </cell>
          <cell r="O65">
            <v>0</v>
          </cell>
          <cell r="Q65">
            <v>0</v>
          </cell>
          <cell r="R65">
            <v>0</v>
          </cell>
          <cell r="T65">
            <v>0</v>
          </cell>
        </row>
        <row r="66">
          <cell r="B66" t="str">
            <v>% growth</v>
          </cell>
          <cell r="C66">
            <v>0.12993440951411839</v>
          </cell>
          <cell r="E66">
            <v>0.12993440951411839</v>
          </cell>
          <cell r="F66" t="e">
            <v>#DIV/0!</v>
          </cell>
          <cell r="H66" t="e">
            <v>#DIV/0!</v>
          </cell>
          <cell r="I66" t="e">
            <v>#DIV/0!</v>
          </cell>
          <cell r="K66" t="e">
            <v>#DIV/0!</v>
          </cell>
          <cell r="L66" t="e">
            <v>#DIV/0!</v>
          </cell>
          <cell r="N66" t="e">
            <v>#DIV/0!</v>
          </cell>
          <cell r="O66" t="e">
            <v>#DIV/0!</v>
          </cell>
          <cell r="Q66" t="e">
            <v>#DIV/0!</v>
          </cell>
          <cell r="R66" t="e">
            <v>#DIV/0!</v>
          </cell>
          <cell r="T66" t="e">
            <v>#DIV/0!</v>
          </cell>
        </row>
        <row r="67">
          <cell r="B67" t="str">
            <v>Low-Volume Cases (000s)</v>
          </cell>
          <cell r="C67">
            <v>0</v>
          </cell>
          <cell r="E67">
            <v>0</v>
          </cell>
          <cell r="F67">
            <v>0</v>
          </cell>
          <cell r="H67">
            <v>0</v>
          </cell>
          <cell r="I67">
            <v>0</v>
          </cell>
          <cell r="K67">
            <v>0</v>
          </cell>
          <cell r="L67">
            <v>0</v>
          </cell>
          <cell r="N67">
            <v>0</v>
          </cell>
          <cell r="O67">
            <v>0</v>
          </cell>
          <cell r="Q67">
            <v>0</v>
          </cell>
          <cell r="R67">
            <v>0</v>
          </cell>
          <cell r="T67">
            <v>0</v>
          </cell>
        </row>
        <row r="68">
          <cell r="B68" t="str">
            <v>% growth</v>
          </cell>
          <cell r="C68">
            <v>0.12993440951411839</v>
          </cell>
          <cell r="E68">
            <v>0.12993440951411839</v>
          </cell>
          <cell r="F68" t="e">
            <v>#DIV/0!</v>
          </cell>
          <cell r="H68" t="e">
            <v>#DIV/0!</v>
          </cell>
          <cell r="I68" t="e">
            <v>#DIV/0!</v>
          </cell>
          <cell r="K68" t="e">
            <v>#DIV/0!</v>
          </cell>
          <cell r="L68" t="e">
            <v>#DIV/0!</v>
          </cell>
          <cell r="N68" t="e">
            <v>#DIV/0!</v>
          </cell>
          <cell r="O68" t="e">
            <v>#DIV/0!</v>
          </cell>
          <cell r="Q68" t="e">
            <v>#DIV/0!</v>
          </cell>
          <cell r="R68" t="e">
            <v>#DIV/0!</v>
          </cell>
          <cell r="T68" t="e">
            <v>#DIV/0!</v>
          </cell>
        </row>
        <row r="69">
          <cell r="B69" t="str">
            <v>"Lost Case Volume" (000s)</v>
          </cell>
          <cell r="C69">
            <v>0</v>
          </cell>
          <cell r="E69">
            <v>0</v>
          </cell>
          <cell r="F69">
            <v>0</v>
          </cell>
          <cell r="H69">
            <v>0</v>
          </cell>
          <cell r="I69">
            <v>0</v>
          </cell>
          <cell r="K69">
            <v>0</v>
          </cell>
          <cell r="L69">
            <v>0</v>
          </cell>
          <cell r="N69">
            <v>0</v>
          </cell>
          <cell r="O69">
            <v>0</v>
          </cell>
          <cell r="Q69">
            <v>0</v>
          </cell>
          <cell r="R69">
            <v>0</v>
          </cell>
          <cell r="T69">
            <v>0</v>
          </cell>
        </row>
        <row r="70">
          <cell r="B70" t="str">
            <v>North America Ortho Cases (000s)</v>
          </cell>
          <cell r="C70">
            <v>196.31</v>
          </cell>
          <cell r="E70">
            <v>196.31</v>
          </cell>
          <cell r="F70">
            <v>211.03324999999998</v>
          </cell>
          <cell r="H70">
            <v>211.03324999999998</v>
          </cell>
          <cell r="I70">
            <v>0</v>
          </cell>
          <cell r="K70">
            <v>0</v>
          </cell>
          <cell r="L70">
            <v>0</v>
          </cell>
          <cell r="N70">
            <v>0</v>
          </cell>
          <cell r="O70">
            <v>0</v>
          </cell>
          <cell r="Q70">
            <v>0</v>
          </cell>
          <cell r="R70">
            <v>0</v>
          </cell>
          <cell r="T70">
            <v>0</v>
          </cell>
        </row>
        <row r="71">
          <cell r="B71" t="str">
            <v>% growth</v>
          </cell>
          <cell r="C71">
            <v>0.16835293303600785</v>
          </cell>
          <cell r="E71">
            <v>0.16835293303600785</v>
          </cell>
          <cell r="F71">
            <v>7.4999999999999956E-2</v>
          </cell>
          <cell r="H71">
            <v>7.4999999999999956E-2</v>
          </cell>
          <cell r="I71">
            <v>-1</v>
          </cell>
          <cell r="K71">
            <v>-1</v>
          </cell>
          <cell r="L71" t="e">
            <v>#DIV/0!</v>
          </cell>
          <cell r="N71" t="e">
            <v>#DIV/0!</v>
          </cell>
          <cell r="O71" t="e">
            <v>#DIV/0!</v>
          </cell>
          <cell r="Q71" t="e">
            <v>#DIV/0!</v>
          </cell>
          <cell r="R71" t="e">
            <v>#DIV/0!</v>
          </cell>
          <cell r="T71" t="e">
            <v>#DIV/0!</v>
          </cell>
        </row>
        <row r="72">
          <cell r="B72" t="str">
            <v>High-Volume Cases (000s)</v>
          </cell>
          <cell r="C72">
            <v>147.23250000000002</v>
          </cell>
          <cell r="E72">
            <v>147.23250000000002</v>
          </cell>
          <cell r="F72">
            <v>0</v>
          </cell>
          <cell r="H72">
            <v>0</v>
          </cell>
          <cell r="I72">
            <v>0</v>
          </cell>
          <cell r="K72">
            <v>0</v>
          </cell>
          <cell r="L72">
            <v>0</v>
          </cell>
          <cell r="N72">
            <v>0</v>
          </cell>
          <cell r="O72">
            <v>0</v>
          </cell>
          <cell r="Q72">
            <v>0</v>
          </cell>
          <cell r="R72">
            <v>0</v>
          </cell>
          <cell r="T72">
            <v>0</v>
          </cell>
        </row>
        <row r="73">
          <cell r="B73" t="str">
            <v>% growth</v>
          </cell>
          <cell r="C73">
            <v>0.16835293303600785</v>
          </cell>
          <cell r="E73">
            <v>0.16835293303600785</v>
          </cell>
          <cell r="F73">
            <v>0.17000129158538302</v>
          </cell>
          <cell r="H73">
            <v>0.17000129158538302</v>
          </cell>
          <cell r="I73" t="e">
            <v>#DIV/0!</v>
          </cell>
          <cell r="K73" t="e">
            <v>#DIV/0!</v>
          </cell>
          <cell r="L73" t="e">
            <v>#DIV/0!</v>
          </cell>
          <cell r="N73" t="e">
            <v>#DIV/0!</v>
          </cell>
          <cell r="O73" t="e">
            <v>#DIV/0!</v>
          </cell>
          <cell r="Q73" t="e">
            <v>#DIV/0!</v>
          </cell>
          <cell r="R73" t="e">
            <v>#DIV/0!</v>
          </cell>
          <cell r="T73" t="e">
            <v>#DIV/0!</v>
          </cell>
        </row>
        <row r="74">
          <cell r="B74" t="str">
            <v>Low-Volume Cases (000s)</v>
          </cell>
          <cell r="C74">
            <v>49.077499999999986</v>
          </cell>
          <cell r="E74">
            <v>49.077499999999986</v>
          </cell>
          <cell r="F74">
            <v>0</v>
          </cell>
          <cell r="H74">
            <v>0</v>
          </cell>
          <cell r="I74">
            <v>0</v>
          </cell>
          <cell r="K74">
            <v>0</v>
          </cell>
          <cell r="L74">
            <v>0</v>
          </cell>
          <cell r="N74">
            <v>0</v>
          </cell>
          <cell r="O74">
            <v>0</v>
          </cell>
          <cell r="Q74">
            <v>0</v>
          </cell>
          <cell r="R74">
            <v>0</v>
          </cell>
          <cell r="T74">
            <v>0</v>
          </cell>
        </row>
        <row r="75">
          <cell r="B75" t="str">
            <v>% growth</v>
          </cell>
          <cell r="C75">
            <v>0.16835293303600785</v>
          </cell>
          <cell r="E75">
            <v>0.16835293303600785</v>
          </cell>
          <cell r="F75">
            <v>-1</v>
          </cell>
          <cell r="H75">
            <v>-1</v>
          </cell>
          <cell r="I75" t="e">
            <v>#DIV/0!</v>
          </cell>
          <cell r="K75" t="e">
            <v>#DIV/0!</v>
          </cell>
          <cell r="L75" t="e">
            <v>#DIV/0!</v>
          </cell>
          <cell r="N75" t="e">
            <v>#DIV/0!</v>
          </cell>
          <cell r="O75" t="e">
            <v>#DIV/0!</v>
          </cell>
          <cell r="Q75" t="e">
            <v>#DIV/0!</v>
          </cell>
          <cell r="R75" t="e">
            <v>#DIV/0!</v>
          </cell>
          <cell r="T75" t="e">
            <v>#DIV/0!</v>
          </cell>
        </row>
        <row r="76">
          <cell r="B76" t="str">
            <v>"Lost Case Volume" (000s)</v>
          </cell>
          <cell r="C76">
            <v>0</v>
          </cell>
          <cell r="E76">
            <v>0</v>
          </cell>
          <cell r="F76">
            <v>0</v>
          </cell>
          <cell r="H76">
            <v>0</v>
          </cell>
          <cell r="I76">
            <v>0</v>
          </cell>
          <cell r="K76">
            <v>0</v>
          </cell>
          <cell r="L76">
            <v>0</v>
          </cell>
          <cell r="N76">
            <v>0</v>
          </cell>
          <cell r="O76">
            <v>0</v>
          </cell>
          <cell r="Q76">
            <v>0</v>
          </cell>
          <cell r="R76">
            <v>0</v>
          </cell>
          <cell r="T76">
            <v>0</v>
          </cell>
        </row>
        <row r="77">
          <cell r="B77" t="str">
            <v>Total Cases (000s)</v>
          </cell>
          <cell r="C77">
            <v>196.31</v>
          </cell>
          <cell r="D77">
            <v>165.54800784999995</v>
          </cell>
          <cell r="E77">
            <v>361.85800784999992</v>
          </cell>
          <cell r="F77">
            <v>406.98658999999998</v>
          </cell>
          <cell r="G77">
            <v>214.20418567887631</v>
          </cell>
          <cell r="H77">
            <v>621.19077567887632</v>
          </cell>
          <cell r="I77">
            <v>0</v>
          </cell>
          <cell r="J77">
            <v>237.63869580874356</v>
          </cell>
          <cell r="K77">
            <v>237.63869580874356</v>
          </cell>
          <cell r="L77">
            <v>0</v>
          </cell>
          <cell r="M77">
            <v>227.780682313916</v>
          </cell>
          <cell r="N77">
            <v>227.780682313916</v>
          </cell>
          <cell r="O77">
            <v>0</v>
          </cell>
          <cell r="P77">
            <v>221.63010864689869</v>
          </cell>
          <cell r="Q77">
            <v>221.63010864689869</v>
          </cell>
          <cell r="R77">
            <v>0</v>
          </cell>
          <cell r="S77">
            <v>215.49085293920547</v>
          </cell>
          <cell r="T77">
            <v>215.49085293920547</v>
          </cell>
        </row>
        <row r="78">
          <cell r="B78" t="str">
            <v>% growth</v>
          </cell>
          <cell r="C78">
            <v>-0.42048016484802009</v>
          </cell>
          <cell r="D78">
            <v>0.18697933498243291</v>
          </cell>
          <cell r="E78">
            <v>-0.24331673992349356</v>
          </cell>
          <cell r="F78">
            <v>1.0731831796648157</v>
          </cell>
          <cell r="G78">
            <v>0.29390977554355624</v>
          </cell>
          <cell r="H78">
            <v>0.71666997054926851</v>
          </cell>
          <cell r="I78">
            <v>-1</v>
          </cell>
          <cell r="J78">
            <v>0.10940267136048898</v>
          </cell>
          <cell r="K78">
            <v>-0.61744651544602047</v>
          </cell>
          <cell r="L78" t="e">
            <v>#DIV/0!</v>
          </cell>
          <cell r="M78">
            <v>-4.1483199784775326E-2</v>
          </cell>
          <cell r="N78">
            <v>-4.1483199784775326E-2</v>
          </cell>
          <cell r="O78" t="e">
            <v>#DIV/0!</v>
          </cell>
          <cell r="P78">
            <v>-2.7002174216604113E-2</v>
          </cell>
          <cell r="Q78">
            <v>-2.7002174216604113E-2</v>
          </cell>
          <cell r="R78" t="e">
            <v>#DIV/0!</v>
          </cell>
          <cell r="S78">
            <v>-2.7700458864432953E-2</v>
          </cell>
          <cell r="T78">
            <v>-2.7700458864432953E-2</v>
          </cell>
        </row>
        <row r="79">
          <cell r="B79" t="str">
            <v>"Lost Case Volume" (000s)</v>
          </cell>
          <cell r="C79">
            <v>0</v>
          </cell>
          <cell r="E79">
            <v>0</v>
          </cell>
          <cell r="F79">
            <v>0</v>
          </cell>
          <cell r="H79">
            <v>0</v>
          </cell>
          <cell r="I79">
            <v>0</v>
          </cell>
          <cell r="K79">
            <v>0</v>
          </cell>
          <cell r="L79">
            <v>0</v>
          </cell>
          <cell r="N79">
            <v>0</v>
          </cell>
          <cell r="O79">
            <v>0</v>
          </cell>
          <cell r="Q79">
            <v>0</v>
          </cell>
          <cell r="R79">
            <v>0</v>
          </cell>
          <cell r="T79">
            <v>0</v>
          </cell>
        </row>
        <row r="80">
          <cell r="B80" t="str">
            <v>% of total volume</v>
          </cell>
          <cell r="C80">
            <v>0</v>
          </cell>
          <cell r="E80">
            <v>0</v>
          </cell>
          <cell r="F80">
            <v>0</v>
          </cell>
          <cell r="H80">
            <v>0</v>
          </cell>
          <cell r="I80" t="e">
            <v>#DIV/0!</v>
          </cell>
          <cell r="K80">
            <v>0</v>
          </cell>
          <cell r="L80" t="e">
            <v>#DIV/0!</v>
          </cell>
          <cell r="N80">
            <v>0</v>
          </cell>
          <cell r="O80" t="e">
            <v>#DIV/0!</v>
          </cell>
          <cell r="Q80">
            <v>0</v>
          </cell>
          <cell r="R80" t="e">
            <v>#DIV/0!</v>
          </cell>
          <cell r="T80">
            <v>0</v>
          </cell>
        </row>
        <row r="81">
          <cell r="B81" t="str">
            <v>Volume by Product</v>
          </cell>
        </row>
        <row r="82">
          <cell r="B82" t="str">
            <v>Invisalign Full (000s)</v>
          </cell>
          <cell r="E82">
            <v>359.05972360965643</v>
          </cell>
          <cell r="H82">
            <v>447.08610815945048</v>
          </cell>
          <cell r="K82">
            <v>560.31476336992455</v>
          </cell>
          <cell r="N82">
            <v>680.87906203226623</v>
          </cell>
          <cell r="Q82">
            <v>781.23543835221574</v>
          </cell>
          <cell r="T82">
            <v>857.59228674968369</v>
          </cell>
        </row>
        <row r="83">
          <cell r="B83" t="str">
            <v>% growth</v>
          </cell>
          <cell r="H83">
            <v>0.24515805801012069</v>
          </cell>
          <cell r="K83">
            <v>0.25325916673325</v>
          </cell>
          <cell r="N83">
            <v>0.21517244688900705</v>
          </cell>
          <cell r="Q83">
            <v>0.14739236659798149</v>
          </cell>
          <cell r="T83">
            <v>9.7738587689416789E-2</v>
          </cell>
        </row>
        <row r="84">
          <cell r="B84" t="str">
            <v>% of total volume</v>
          </cell>
          <cell r="E84">
            <v>0.63071375646870387</v>
          </cell>
          <cell r="H84">
            <v>0.63072553032981071</v>
          </cell>
          <cell r="K84">
            <v>0.61074374333102466</v>
          </cell>
          <cell r="N84">
            <v>0.60310701330478678</v>
          </cell>
          <cell r="Q84">
            <v>0.59310701330478677</v>
          </cell>
          <cell r="T84">
            <v>0.59310701330478688</v>
          </cell>
        </row>
        <row r="85">
          <cell r="B85" t="str">
            <v>Invisalign Express/Lite (000s)</v>
          </cell>
          <cell r="E85">
            <v>103.40261999999998</v>
          </cell>
          <cell r="H85">
            <v>113.74288199999999</v>
          </cell>
          <cell r="K85">
            <v>225.34043325306834</v>
          </cell>
          <cell r="N85">
            <v>307.46249297274255</v>
          </cell>
          <cell r="Q85">
            <v>389.15369316749945</v>
          </cell>
          <cell r="T85">
            <v>437.49819578089239</v>
          </cell>
        </row>
        <row r="86">
          <cell r="B86" t="str">
            <v>% growth</v>
          </cell>
          <cell r="H86">
            <v>0.10000000000000009</v>
          </cell>
          <cell r="K86">
            <v>0.98113876922046295</v>
          </cell>
          <cell r="N86">
            <v>0.36443552776632471</v>
          </cell>
          <cell r="Q86">
            <v>0.26569484754031136</v>
          </cell>
          <cell r="T86">
            <v>0.12422984404926241</v>
          </cell>
        </row>
        <row r="87">
          <cell r="B87" t="str">
            <v>% of total volume</v>
          </cell>
          <cell r="E87">
            <v>0.18163400292650364</v>
          </cell>
          <cell r="H87">
            <v>0.16046246631556096</v>
          </cell>
          <cell r="K87">
            <v>0.2456213341606216</v>
          </cell>
          <cell r="N87">
            <v>0.27234320480726909</v>
          </cell>
          <cell r="Q87">
            <v>0.29544203109619266</v>
          </cell>
          <cell r="T87">
            <v>0.30257180741362782</v>
          </cell>
        </row>
        <row r="88">
          <cell r="B88" t="str">
            <v>Invisalign Teen (000s)</v>
          </cell>
          <cell r="E88">
            <v>83.909164799999999</v>
          </cell>
          <cell r="H88">
            <v>96.495539519999994</v>
          </cell>
          <cell r="K88">
            <v>108.49993264799998</v>
          </cell>
          <cell r="N88">
            <v>116.63742759659998</v>
          </cell>
          <cell r="Q88">
            <v>122.46929897642998</v>
          </cell>
          <cell r="T88">
            <v>126.14337794572289</v>
          </cell>
        </row>
        <row r="89">
          <cell r="B89" t="str">
            <v>% growth</v>
          </cell>
          <cell r="H89">
            <v>0.14999999999999991</v>
          </cell>
          <cell r="K89">
            <v>0.12440360650568638</v>
          </cell>
          <cell r="N89">
            <v>7.4999999999999997E-2</v>
          </cell>
          <cell r="Q89">
            <v>0.05</v>
          </cell>
          <cell r="T89">
            <v>0.03</v>
          </cell>
        </row>
        <row r="90">
          <cell r="B90" t="str">
            <v>% of total volume</v>
          </cell>
          <cell r="E90">
            <v>0.14739237250316944</v>
          </cell>
          <cell r="H90">
            <v>0.13613082407943455</v>
          </cell>
          <cell r="K90">
            <v>0.11826505269655802</v>
          </cell>
          <cell r="N90">
            <v>0.1033147507684781</v>
          </cell>
          <cell r="Q90">
            <v>9.297760517706212E-2</v>
          </cell>
          <cell r="T90">
            <v>8.7240199448531508E-2</v>
          </cell>
        </row>
        <row r="91">
          <cell r="B91" t="str">
            <v>Invisalign Assist (000s)</v>
          </cell>
          <cell r="E91">
            <v>21.939</v>
          </cell>
          <cell r="H91">
            <v>22.597170000000002</v>
          </cell>
          <cell r="K91">
            <v>23.275085100000002</v>
          </cell>
          <cell r="N91">
            <v>23.973337653000002</v>
          </cell>
          <cell r="Q91">
            <v>24.332937717794998</v>
          </cell>
          <cell r="T91">
            <v>24.69793178356192</v>
          </cell>
        </row>
        <row r="92">
          <cell r="B92" t="str">
            <v>% growth</v>
          </cell>
          <cell r="H92">
            <v>3.0000000000000027E-2</v>
          </cell>
          <cell r="K92">
            <v>0.03</v>
          </cell>
          <cell r="N92">
            <v>0.03</v>
          </cell>
          <cell r="Q92">
            <v>1.4999999999999999E-2</v>
          </cell>
          <cell r="T92">
            <v>1.4999999999999999E-2</v>
          </cell>
        </row>
        <row r="93">
          <cell r="B93" t="str">
            <v>% of total volume</v>
          </cell>
          <cell r="E93">
            <v>3.8537402535879305E-2</v>
          </cell>
          <cell r="H93">
            <v>3.1878897089595508E-2</v>
          </cell>
          <cell r="K93">
            <v>2.53698698117958E-2</v>
          </cell>
          <cell r="N93">
            <v>2.1235031119466032E-2</v>
          </cell>
          <cell r="Q93">
            <v>1.8473350421958433E-2</v>
          </cell>
          <cell r="T93">
            <v>1.708097983305373E-2</v>
          </cell>
        </row>
        <row r="94">
          <cell r="B94" t="str">
            <v>Total Cases (000s)</v>
          </cell>
          <cell r="E94">
            <v>569.29109271374045</v>
          </cell>
          <cell r="H94">
            <v>708.84415908400933</v>
          </cell>
          <cell r="K94">
            <v>917.43021437099287</v>
          </cell>
          <cell r="N94">
            <v>1128.9523202546088</v>
          </cell>
          <cell r="Q94">
            <v>1317.1913682139402</v>
          </cell>
          <cell r="T94">
            <v>1445.9317922598609</v>
          </cell>
        </row>
        <row r="95">
          <cell r="B95" t="str">
            <v>Impact of IP on Product Prices</v>
          </cell>
        </row>
        <row r="96">
          <cell r="B96" t="str">
            <v>Invisalign Full ASP ($)</v>
          </cell>
          <cell r="E96">
            <v>1378.947968144797</v>
          </cell>
          <cell r="H96">
            <v>1351.3690087819009</v>
          </cell>
          <cell r="K96">
            <v>1297.3142484306247</v>
          </cell>
          <cell r="N96">
            <v>1232.4485360090935</v>
          </cell>
          <cell r="Q96">
            <v>1201.637322608866</v>
          </cell>
          <cell r="T96">
            <v>1201.637322608866</v>
          </cell>
        </row>
        <row r="97">
          <cell r="B97" t="str">
            <v>% growth</v>
          </cell>
          <cell r="H97">
            <v>-0.02</v>
          </cell>
          <cell r="K97">
            <v>-0.04</v>
          </cell>
          <cell r="N97">
            <v>-0.05</v>
          </cell>
          <cell r="Q97">
            <v>-2.5000000000000001E-2</v>
          </cell>
          <cell r="T97">
            <v>0</v>
          </cell>
        </row>
        <row r="98">
          <cell r="B98" t="str">
            <v>Invisalign Express/Lite ASP ($)</v>
          </cell>
          <cell r="E98">
            <v>912.85637279472178</v>
          </cell>
          <cell r="H98">
            <v>894.59924533882736</v>
          </cell>
          <cell r="K98">
            <v>805.13932080494465</v>
          </cell>
          <cell r="N98">
            <v>724.6253887244502</v>
          </cell>
          <cell r="Q98">
            <v>673.90161151373866</v>
          </cell>
          <cell r="T98">
            <v>653.68456316832646</v>
          </cell>
        </row>
        <row r="99">
          <cell r="B99" t="str">
            <v>% growth</v>
          </cell>
          <cell r="H99">
            <v>-0.02</v>
          </cell>
          <cell r="K99">
            <v>-0.1</v>
          </cell>
          <cell r="N99">
            <v>-0.1</v>
          </cell>
          <cell r="Q99">
            <v>-7.0000000000000007E-2</v>
          </cell>
          <cell r="T99">
            <v>-0.03</v>
          </cell>
        </row>
        <row r="100">
          <cell r="B100" t="str">
            <v>Invisalign Teen ASP ($)</v>
          </cell>
          <cell r="E100">
            <v>1416.1262453650538</v>
          </cell>
          <cell r="H100">
            <v>1401.9649829114032</v>
          </cell>
          <cell r="K100">
            <v>1373.9256832531751</v>
          </cell>
          <cell r="N100">
            <v>1332.7079127555799</v>
          </cell>
          <cell r="Q100">
            <v>1319.380833628024</v>
          </cell>
          <cell r="T100">
            <v>1319.380833628024</v>
          </cell>
        </row>
        <row r="101">
          <cell r="B101" t="str">
            <v>% growth</v>
          </cell>
          <cell r="H101">
            <v>-0.01</v>
          </cell>
          <cell r="K101">
            <v>-0.02</v>
          </cell>
          <cell r="N101">
            <v>-0.03</v>
          </cell>
          <cell r="Q101">
            <v>-0.01</v>
          </cell>
          <cell r="T101">
            <v>0</v>
          </cell>
        </row>
        <row r="102">
          <cell r="B102" t="str">
            <v>Invisalign Assist ASP ($)</v>
          </cell>
          <cell r="E102">
            <v>1440.4708154373982</v>
          </cell>
          <cell r="H102">
            <v>1476.482585823333</v>
          </cell>
          <cell r="K102">
            <v>1513.3946504689161</v>
          </cell>
          <cell r="N102">
            <v>1551.2295167306388</v>
          </cell>
          <cell r="Q102">
            <v>1590.0102546489047</v>
          </cell>
          <cell r="T102">
            <v>1629.7605110151271</v>
          </cell>
        </row>
        <row r="103">
          <cell r="B103" t="str">
            <v>% growth</v>
          </cell>
          <cell r="H103">
            <v>2.5000000000000001E-2</v>
          </cell>
          <cell r="K103">
            <v>2.5000000000000001E-2</v>
          </cell>
          <cell r="N103">
            <v>2.5000000000000001E-2</v>
          </cell>
          <cell r="Q103">
            <v>2.5000000000000001E-2</v>
          </cell>
          <cell r="T103">
            <v>2.5000000000000001E-2</v>
          </cell>
        </row>
        <row r="104">
          <cell r="B104" t="str">
            <v>WW ASP Based on Product Mix ($)</v>
          </cell>
          <cell r="C104">
            <v>1266.3905411506903</v>
          </cell>
          <cell r="D104">
            <v>1393.0295952657593</v>
          </cell>
          <cell r="E104">
            <v>1299.7654207752237</v>
          </cell>
          <cell r="F104">
            <v>1234.4384596339873</v>
          </cell>
          <cell r="G104">
            <v>1357.8823055973862</v>
          </cell>
          <cell r="H104">
            <v>1233.8118208686246</v>
          </cell>
          <cell r="I104" t="e">
            <v>#DIV/0!</v>
          </cell>
          <cell r="J104" t="e">
            <v>#DIV/0!</v>
          </cell>
          <cell r="K104">
            <v>1190.9679731118376</v>
          </cell>
          <cell r="L104" t="e">
            <v>#DIV/0!</v>
          </cell>
          <cell r="M104" t="e">
            <v>#DIV/0!</v>
          </cell>
          <cell r="N104">
            <v>1111.273949168962</v>
          </cell>
          <cell r="O104" t="e">
            <v>#DIV/0!</v>
          </cell>
          <cell r="P104" t="e">
            <v>#DIV/0!</v>
          </cell>
          <cell r="Q104">
            <v>1063.8440711886076</v>
          </cell>
          <cell r="R104" t="e">
            <v>#DIV/0!</v>
          </cell>
          <cell r="S104" t="e">
            <v>#DIV/0!</v>
          </cell>
          <cell r="T104">
            <v>1053.4269967399689</v>
          </cell>
        </row>
        <row r="105">
          <cell r="B105" t="str">
            <v>% growth</v>
          </cell>
          <cell r="H105">
            <v>-5.074269468352377E-2</v>
          </cell>
          <cell r="J105" t="e">
            <v>#DIV/0!</v>
          </cell>
          <cell r="K105">
            <v>-3.4724783011581328E-2</v>
          </cell>
          <cell r="N105">
            <v>-6.6915337559116717E-2</v>
          </cell>
          <cell r="Q105">
            <v>-4.2680635153756308E-2</v>
          </cell>
          <cell r="T105">
            <v>-9.7919185064404557E-3</v>
          </cell>
        </row>
        <row r="106">
          <cell r="B106" t="str">
            <v xml:space="preserve">Product Prices in Ex-IP Scenario </v>
          </cell>
        </row>
        <row r="107">
          <cell r="B107" t="str">
            <v>Invisalign Full ASP ($)</v>
          </cell>
          <cell r="E107">
            <v>1378.947968144797</v>
          </cell>
          <cell r="H107">
            <v>1406.526927507693</v>
          </cell>
          <cell r="K107">
            <v>1434.6574660578469</v>
          </cell>
          <cell r="N107">
            <v>1463.3506153790038</v>
          </cell>
          <cell r="Q107">
            <v>1492.6176276865838</v>
          </cell>
          <cell r="T107">
            <v>1522.4699802403154</v>
          </cell>
        </row>
        <row r="108">
          <cell r="B108" t="str">
            <v>% growth</v>
          </cell>
          <cell r="H108">
            <v>0.02</v>
          </cell>
          <cell r="K108">
            <v>0.02</v>
          </cell>
          <cell r="N108">
            <v>0.02</v>
          </cell>
          <cell r="Q108">
            <v>0.02</v>
          </cell>
          <cell r="T108">
            <v>0.02</v>
          </cell>
        </row>
        <row r="109">
          <cell r="B109" t="str">
            <v>Invisalign Express/Lite ASP ($)</v>
          </cell>
          <cell r="E109">
            <v>912.85637279472178</v>
          </cell>
          <cell r="H109">
            <v>931.1135002506162</v>
          </cell>
          <cell r="K109">
            <v>949.73577025562849</v>
          </cell>
          <cell r="N109">
            <v>968.73048566074112</v>
          </cell>
          <cell r="Q109">
            <v>988.10509537395592</v>
          </cell>
          <cell r="T109">
            <v>1007.8671972814351</v>
          </cell>
        </row>
        <row r="110">
          <cell r="B110" t="str">
            <v>% growth</v>
          </cell>
          <cell r="H110">
            <v>0.02</v>
          </cell>
          <cell r="K110">
            <v>0.02</v>
          </cell>
          <cell r="N110">
            <v>0.02</v>
          </cell>
          <cell r="Q110">
            <v>0.02</v>
          </cell>
          <cell r="T110">
            <v>0.02</v>
          </cell>
        </row>
        <row r="111">
          <cell r="B111" t="str">
            <v>Invisalign Teen ASP ($)</v>
          </cell>
          <cell r="E111">
            <v>1416.1262453650538</v>
          </cell>
          <cell r="H111">
            <v>1472.7712951796561</v>
          </cell>
          <cell r="K111">
            <v>1531.6821469868423</v>
          </cell>
          <cell r="N111">
            <v>1592.9494328663161</v>
          </cell>
          <cell r="Q111">
            <v>1656.6674101809688</v>
          </cell>
          <cell r="T111">
            <v>1722.9341065882077</v>
          </cell>
        </row>
        <row r="112">
          <cell r="B112" t="str">
            <v>% growth</v>
          </cell>
          <cell r="H112">
            <v>0.04</v>
          </cell>
          <cell r="K112">
            <v>0.04</v>
          </cell>
          <cell r="N112">
            <v>0.04</v>
          </cell>
          <cell r="Q112">
            <v>0.04</v>
          </cell>
          <cell r="T112">
            <v>0.04</v>
          </cell>
        </row>
        <row r="113">
          <cell r="B113" t="str">
            <v>Invisalign Assist ASP ($)</v>
          </cell>
          <cell r="E113">
            <v>1440.4708154373982</v>
          </cell>
          <cell r="H113">
            <v>1498.0896480548943</v>
          </cell>
          <cell r="K113">
            <v>1558.0132339770901</v>
          </cell>
          <cell r="N113">
            <v>1620.3337633361737</v>
          </cell>
          <cell r="Q113">
            <v>1685.1471138696206</v>
          </cell>
          <cell r="T113">
            <v>1752.5529984244056</v>
          </cell>
        </row>
        <row r="114">
          <cell r="B114" t="str">
            <v>% growth</v>
          </cell>
          <cell r="H114">
            <v>0.04</v>
          </cell>
          <cell r="K114">
            <v>0.04</v>
          </cell>
          <cell r="N114">
            <v>0.04</v>
          </cell>
          <cell r="Q114">
            <v>0.04</v>
          </cell>
          <cell r="T114">
            <v>0.04</v>
          </cell>
        </row>
        <row r="115">
          <cell r="B115" t="str">
            <v>WW ASP Based on Product Mix ($)</v>
          </cell>
          <cell r="E115">
            <v>1299.7654207752237</v>
          </cell>
          <cell r="H115">
            <v>1284.7882267600505</v>
          </cell>
          <cell r="K115">
            <v>1330.1545009470547</v>
          </cell>
          <cell r="N115">
            <v>1345.3671956500382</v>
          </cell>
          <cell r="Q115">
            <v>1362.3730409976222</v>
          </cell>
          <cell r="T115">
            <v>1388.1842598587605</v>
          </cell>
        </row>
        <row r="116">
          <cell r="B116" t="str">
            <v>% growth</v>
          </cell>
          <cell r="H116">
            <v>-1.152299774696286E-2</v>
          </cell>
          <cell r="K116">
            <v>3.5310312814281986E-2</v>
          </cell>
          <cell r="N116">
            <v>1.1436787750710442E-2</v>
          </cell>
          <cell r="Q116">
            <v>1.2640300285727823E-2</v>
          </cell>
          <cell r="T116">
            <v>1.8945779228160209E-2</v>
          </cell>
        </row>
        <row r="117">
          <cell r="B117" t="str">
            <v>Impact to Financial Projections</v>
          </cell>
        </row>
        <row r="118">
          <cell r="B118" t="str">
            <v>Revenues IP Scenario</v>
          </cell>
          <cell r="E118">
            <v>739.94487666466171</v>
          </cell>
          <cell r="H118">
            <v>874.58030263153057</v>
          </cell>
          <cell r="K118">
            <v>1092.6300028809801</v>
          </cell>
          <cell r="N118">
            <v>1254.5753033528019</v>
          </cell>
          <cell r="Q118">
            <v>1401.2862276952103</v>
          </cell>
          <cell r="T118">
            <v>1523.1835854111457</v>
          </cell>
        </row>
        <row r="119">
          <cell r="B119" t="str">
            <v>% growth</v>
          </cell>
          <cell r="H119">
            <v>0.18195331870361042</v>
          </cell>
          <cell r="K119">
            <v>0.24931924443456865</v>
          </cell>
          <cell r="N119">
            <v>0.14821604755938833</v>
          </cell>
          <cell r="Q119">
            <v>0.11694070810283708</v>
          </cell>
          <cell r="T119">
            <v>8.6989620897386599E-2</v>
          </cell>
        </row>
        <row r="120">
          <cell r="B120" t="str">
            <v>Revenues Ex-IP</v>
          </cell>
          <cell r="E120">
            <v>739.94487666466171</v>
          </cell>
          <cell r="H120">
            <v>910.71463019876353</v>
          </cell>
          <cell r="K120">
            <v>1220.3239289503972</v>
          </cell>
          <cell r="N120">
            <v>1518.8554171235469</v>
          </cell>
          <cell r="Q120">
            <v>1794.5060098894444</v>
          </cell>
          <cell r="T120">
            <v>2007.219754844506</v>
          </cell>
        </row>
        <row r="121">
          <cell r="B121" t="str">
            <v>Impact to Financial Projections</v>
          </cell>
        </row>
        <row r="122">
          <cell r="B122" t="str">
            <v>Revenue impact ($ mn)</v>
          </cell>
          <cell r="E122">
            <v>0</v>
          </cell>
          <cell r="H122">
            <v>-36.134327567232958</v>
          </cell>
          <cell r="K122">
            <v>-127.6939260694171</v>
          </cell>
          <cell r="N122">
            <v>-264.28011377074495</v>
          </cell>
          <cell r="Q122">
            <v>-393.21978219423409</v>
          </cell>
          <cell r="T122">
            <v>-484.03616943336033</v>
          </cell>
        </row>
        <row r="123">
          <cell r="B123" t="str">
            <v>% of IP Scenario revenues</v>
          </cell>
          <cell r="H123">
            <v>-4.1316191844829042E-2</v>
          </cell>
          <cell r="K123">
            <v>-0.11686840534556213</v>
          </cell>
          <cell r="N123">
            <v>-0.21065304973281954</v>
          </cell>
          <cell r="Q123">
            <v>-0.28061346384670399</v>
          </cell>
          <cell r="T123">
            <v>-0.3177792710408619</v>
          </cell>
        </row>
        <row r="124">
          <cell r="B124" t="str">
            <v>EBIT impact ($ mn)</v>
          </cell>
          <cell r="E124" t="e">
            <v>#DIV/0!</v>
          </cell>
          <cell r="H124" t="e">
            <v>#DIV/0!</v>
          </cell>
          <cell r="K124" t="e">
            <v>#DIV/0!</v>
          </cell>
          <cell r="N124" t="e">
            <v>#DIV/0!</v>
          </cell>
          <cell r="Q124" t="e">
            <v>#DIV/0!</v>
          </cell>
          <cell r="T124" t="e">
            <v>#DIV/0!</v>
          </cell>
        </row>
        <row r="125">
          <cell r="B125" t="str">
            <v>% margin</v>
          </cell>
          <cell r="E125" t="e">
            <v>#DIV/0!</v>
          </cell>
          <cell r="H125" t="e">
            <v>#DIV/0!</v>
          </cell>
          <cell r="K125" t="e">
            <v>#DIV/0!</v>
          </cell>
          <cell r="N125" t="e">
            <v>#DIV/0!</v>
          </cell>
          <cell r="Q125" t="e">
            <v>#DIV/0!</v>
          </cell>
          <cell r="T125" t="e">
            <v>#DIV/0!</v>
          </cell>
        </row>
        <row r="126">
          <cell r="B126" t="str">
            <v>Net income impact ($ mn)</v>
          </cell>
          <cell r="E126" t="e">
            <v>#DIV/0!</v>
          </cell>
          <cell r="H126" t="e">
            <v>#DIV/0!</v>
          </cell>
          <cell r="K126" t="e">
            <v>#DIV/0!</v>
          </cell>
          <cell r="N126" t="e">
            <v>#DIV/0!</v>
          </cell>
          <cell r="Q126" t="e">
            <v>#DIV/0!</v>
          </cell>
          <cell r="T126" t="e">
            <v>#DIV/0!</v>
          </cell>
        </row>
        <row r="127">
          <cell r="B127" t="str">
            <v>% tax rate</v>
          </cell>
          <cell r="E127" t="e">
            <v>#DIV/0!</v>
          </cell>
          <cell r="H127" t="e">
            <v>#DIV/0!</v>
          </cell>
          <cell r="K127" t="e">
            <v>#DIV/0!</v>
          </cell>
          <cell r="N127" t="e">
            <v>#DIV/0!</v>
          </cell>
          <cell r="Q127" t="e">
            <v>#DIV/0!</v>
          </cell>
          <cell r="T127" t="e">
            <v>#DIV/0!</v>
          </cell>
        </row>
        <row r="128">
          <cell r="B128" t="str">
            <v>Shares outstanding (mn)</v>
          </cell>
          <cell r="E128">
            <v>80.218124939348698</v>
          </cell>
          <cell r="H128">
            <v>77.296749280055366</v>
          </cell>
          <cell r="K128">
            <v>72.763681442316752</v>
          </cell>
          <cell r="N128">
            <v>68.182240678274852</v>
          </cell>
          <cell r="Q128">
            <v>64.058844621672591</v>
          </cell>
          <cell r="T128">
            <v>59.931143769892827</v>
          </cell>
        </row>
        <row r="129">
          <cell r="B129" t="str">
            <v>EPS Impact ($)</v>
          </cell>
          <cell r="E129" t="e">
            <v>#DIV/0!</v>
          </cell>
          <cell r="H129" t="e">
            <v>#DIV/0!</v>
          </cell>
          <cell r="K129" t="e">
            <v>#DIV/0!</v>
          </cell>
          <cell r="N129" t="e">
            <v>#DIV/0!</v>
          </cell>
          <cell r="Q129" t="e">
            <v>#DIV/0!</v>
          </cell>
          <cell r="T129" t="e">
            <v>#DIV/0!</v>
          </cell>
        </row>
        <row r="130">
          <cell r="B130" t="str">
            <v>% of prior EPS</v>
          </cell>
          <cell r="E130" t="e">
            <v>#DIV/0!</v>
          </cell>
          <cell r="H130" t="e">
            <v>#DIV/0!</v>
          </cell>
          <cell r="K130" t="e">
            <v>#DIV/0!</v>
          </cell>
          <cell r="N130" t="e">
            <v>#DIV/0!</v>
          </cell>
          <cell r="Q130" t="e">
            <v>#DIV/0!</v>
          </cell>
          <cell r="T130" t="e">
            <v>#DIV/0!</v>
          </cell>
        </row>
        <row r="131">
          <cell r="B131" t="str">
            <v>EPS Impact Uaccounted ($)</v>
          </cell>
          <cell r="E131" t="e">
            <v>#DIV/0!</v>
          </cell>
          <cell r="H131" t="e">
            <v>#DIV/0!</v>
          </cell>
          <cell r="K131" t="e">
            <v>#DIV/0!</v>
          </cell>
          <cell r="N131" t="e">
            <v>#DIV/0!</v>
          </cell>
          <cell r="Q131" t="e">
            <v>#DIV/0!</v>
          </cell>
          <cell r="T131" t="e">
            <v>#DIV/0!</v>
          </cell>
        </row>
        <row r="134">
          <cell r="C134" t="str">
            <v>2015E</v>
          </cell>
          <cell r="E134" t="str">
            <v>2015E</v>
          </cell>
          <cell r="F134" t="str">
            <v>2016E</v>
          </cell>
          <cell r="H134" t="str">
            <v>2016E</v>
          </cell>
          <cell r="I134" t="str">
            <v>2017E</v>
          </cell>
          <cell r="K134" t="str">
            <v>2017E</v>
          </cell>
          <cell r="L134" t="str">
            <v>2018E</v>
          </cell>
          <cell r="N134" t="str">
            <v>2018E</v>
          </cell>
          <cell r="O134" t="str">
            <v>2019E</v>
          </cell>
          <cell r="Q134" t="str">
            <v>2019E</v>
          </cell>
          <cell r="R134" t="str">
            <v>2020E</v>
          </cell>
          <cell r="T134" t="str">
            <v>2020E</v>
          </cell>
        </row>
        <row r="135">
          <cell r="C135" t="str">
            <v>US</v>
          </cell>
          <cell r="D135" t="str">
            <v>Int'l</v>
          </cell>
          <cell r="E135" t="str">
            <v>Total</v>
          </cell>
          <cell r="F135" t="str">
            <v>US</v>
          </cell>
          <cell r="G135" t="str">
            <v>Int'l</v>
          </cell>
          <cell r="H135" t="str">
            <v>Total</v>
          </cell>
          <cell r="I135" t="str">
            <v>US</v>
          </cell>
          <cell r="J135" t="str">
            <v>Int'l</v>
          </cell>
          <cell r="K135" t="str">
            <v>Total</v>
          </cell>
          <cell r="L135" t="str">
            <v>US</v>
          </cell>
          <cell r="M135" t="str">
            <v>Int'l</v>
          </cell>
          <cell r="N135" t="str">
            <v>Total</v>
          </cell>
          <cell r="O135" t="str">
            <v>US</v>
          </cell>
          <cell r="P135" t="str">
            <v>Int'l</v>
          </cell>
          <cell r="Q135" t="str">
            <v>Total</v>
          </cell>
          <cell r="R135" t="str">
            <v>US</v>
          </cell>
          <cell r="S135" t="str">
            <v>Int'l</v>
          </cell>
          <cell r="T135" t="str">
            <v>Total</v>
          </cell>
        </row>
        <row r="136">
          <cell r="B136" t="str">
            <v>Digital Case Submission from Existing North American Orthos</v>
          </cell>
        </row>
        <row r="137">
          <cell r="B137" t="str">
            <v>% of Cases NA Digital Submission</v>
          </cell>
          <cell r="C137">
            <v>0</v>
          </cell>
          <cell r="E137">
            <v>0</v>
          </cell>
          <cell r="F137">
            <v>0</v>
          </cell>
          <cell r="H137">
            <v>0</v>
          </cell>
          <cell r="I137">
            <v>0</v>
          </cell>
          <cell r="K137">
            <v>0</v>
          </cell>
          <cell r="L137">
            <v>0</v>
          </cell>
          <cell r="N137">
            <v>0</v>
          </cell>
          <cell r="O137">
            <v>0</v>
          </cell>
          <cell r="Q137">
            <v>0</v>
          </cell>
          <cell r="R137">
            <v>0</v>
          </cell>
          <cell r="T137">
            <v>0</v>
          </cell>
        </row>
        <row r="138">
          <cell r="B138" t="str">
            <v>NA Ortho Ex-Dig Utilization (Cases/Yr)</v>
          </cell>
          <cell r="C138">
            <v>0</v>
          </cell>
          <cell r="E138">
            <v>0</v>
          </cell>
          <cell r="F138">
            <v>0</v>
          </cell>
          <cell r="H138">
            <v>0</v>
          </cell>
          <cell r="I138">
            <v>0</v>
          </cell>
          <cell r="K138">
            <v>0</v>
          </cell>
          <cell r="L138">
            <v>0</v>
          </cell>
          <cell r="N138">
            <v>0</v>
          </cell>
          <cell r="O138">
            <v>0</v>
          </cell>
          <cell r="Q138">
            <v>0</v>
          </cell>
          <cell r="R138">
            <v>0</v>
          </cell>
          <cell r="T138">
            <v>0</v>
          </cell>
        </row>
        <row r="139">
          <cell r="B139" t="str">
            <v>% growth</v>
          </cell>
          <cell r="F139" t="e">
            <v>#DIV/0!</v>
          </cell>
          <cell r="H139" t="e">
            <v>#DIV/0!</v>
          </cell>
          <cell r="I139" t="e">
            <v>#DIV/0!</v>
          </cell>
          <cell r="K139" t="e">
            <v>#DIV/0!</v>
          </cell>
          <cell r="L139" t="e">
            <v>#DIV/0!</v>
          </cell>
          <cell r="N139" t="e">
            <v>#DIV/0!</v>
          </cell>
          <cell r="O139" t="e">
            <v>#DIV/0!</v>
          </cell>
          <cell r="Q139" t="e">
            <v>#DIV/0!</v>
          </cell>
          <cell r="R139" t="e">
            <v>#DIV/0!</v>
          </cell>
          <cell r="T139" t="e">
            <v>#DIV/0!</v>
          </cell>
        </row>
        <row r="140">
          <cell r="B140" t="str">
            <v>NA Ortho Digital Utilization (Cases/Yr)</v>
          </cell>
          <cell r="C140">
            <v>0</v>
          </cell>
          <cell r="E140">
            <v>0</v>
          </cell>
          <cell r="F140">
            <v>0</v>
          </cell>
          <cell r="H140">
            <v>0</v>
          </cell>
          <cell r="I140">
            <v>0</v>
          </cell>
          <cell r="K140">
            <v>0</v>
          </cell>
          <cell r="L140">
            <v>0</v>
          </cell>
          <cell r="N140">
            <v>0</v>
          </cell>
          <cell r="O140">
            <v>0</v>
          </cell>
          <cell r="Q140">
            <v>0</v>
          </cell>
          <cell r="R140">
            <v>0</v>
          </cell>
          <cell r="T140">
            <v>0</v>
          </cell>
        </row>
        <row r="141">
          <cell r="B141" t="str">
            <v>% growth</v>
          </cell>
          <cell r="F141" t="e">
            <v>#DIV/0!</v>
          </cell>
          <cell r="H141" t="e">
            <v>#DIV/0!</v>
          </cell>
          <cell r="I141" t="e">
            <v>#DIV/0!</v>
          </cell>
          <cell r="K141" t="e">
            <v>#DIV/0!</v>
          </cell>
          <cell r="L141" t="e">
            <v>#DIV/0!</v>
          </cell>
          <cell r="N141" t="e">
            <v>#DIV/0!</v>
          </cell>
          <cell r="O141" t="e">
            <v>#DIV/0!</v>
          </cell>
          <cell r="Q141" t="e">
            <v>#DIV/0!</v>
          </cell>
          <cell r="R141" t="e">
            <v>#DIV/0!</v>
          </cell>
          <cell r="T141" t="e">
            <v>#DIV/0!</v>
          </cell>
        </row>
        <row r="142">
          <cell r="B142" t="str">
            <v>Updated NA Ortho Utilization (Cases/Yr)</v>
          </cell>
          <cell r="C142">
            <v>0</v>
          </cell>
          <cell r="E142">
            <v>0</v>
          </cell>
          <cell r="F142">
            <v>0</v>
          </cell>
          <cell r="H142">
            <v>0</v>
          </cell>
          <cell r="I142">
            <v>0</v>
          </cell>
          <cell r="K142">
            <v>0</v>
          </cell>
          <cell r="L142">
            <v>0</v>
          </cell>
          <cell r="N142">
            <v>0</v>
          </cell>
          <cell r="O142">
            <v>0</v>
          </cell>
          <cell r="Q142">
            <v>0</v>
          </cell>
          <cell r="R142">
            <v>0</v>
          </cell>
          <cell r="T142">
            <v>0</v>
          </cell>
        </row>
        <row r="143">
          <cell r="B143" t="str">
            <v>% growth</v>
          </cell>
          <cell r="F143" t="e">
            <v>#DIV/0!</v>
          </cell>
          <cell r="H143" t="e">
            <v>#DIV/0!</v>
          </cell>
          <cell r="I143" t="e">
            <v>#DIV/0!</v>
          </cell>
          <cell r="K143" t="e">
            <v>#DIV/0!</v>
          </cell>
          <cell r="L143" t="e">
            <v>#DIV/0!</v>
          </cell>
          <cell r="N143" t="e">
            <v>#DIV/0!</v>
          </cell>
          <cell r="O143" t="e">
            <v>#DIV/0!</v>
          </cell>
          <cell r="Q143" t="e">
            <v>#DIV/0!</v>
          </cell>
          <cell r="R143" t="e">
            <v>#DIV/0!</v>
          </cell>
          <cell r="T143" t="e">
            <v>#DIV/0!</v>
          </cell>
        </row>
        <row r="144">
          <cell r="B144" t="str">
            <v>Prior NA Ortho Utilization (Cases/Yr)</v>
          </cell>
          <cell r="C144">
            <v>37.467820275774962</v>
          </cell>
          <cell r="E144">
            <v>37.467820275774962</v>
          </cell>
          <cell r="F144">
            <v>41.879289198532554</v>
          </cell>
          <cell r="H144">
            <v>41.879289198532554</v>
          </cell>
          <cell r="I144">
            <v>47.107316783728855</v>
          </cell>
          <cell r="K144">
            <v>47.107316783728855</v>
          </cell>
          <cell r="L144">
            <v>53.57169898185785</v>
          </cell>
          <cell r="N144">
            <v>53.57169898185785</v>
          </cell>
          <cell r="O144">
            <v>60.469036522584446</v>
          </cell>
          <cell r="Q144">
            <v>60.469036522584446</v>
          </cell>
          <cell r="R144">
            <v>67.233870284093541</v>
          </cell>
          <cell r="T144">
            <v>67.233870284093541</v>
          </cell>
        </row>
        <row r="145">
          <cell r="B145" t="str">
            <v>% growth</v>
          </cell>
          <cell r="F145">
            <v>0.11774020720414979</v>
          </cell>
          <cell r="H145">
            <v>0.11774020720414979</v>
          </cell>
          <cell r="I145">
            <v>0.12483563320314173</v>
          </cell>
          <cell r="K145">
            <v>0.12483563320314173</v>
          </cell>
          <cell r="L145">
            <v>0.13722671210094961</v>
          </cell>
          <cell r="N145">
            <v>0.13722671210094961</v>
          </cell>
          <cell r="O145">
            <v>0.12874965087559365</v>
          </cell>
          <cell r="Q145">
            <v>0.12874965087559365</v>
          </cell>
          <cell r="R145">
            <v>0.1118726897357214</v>
          </cell>
          <cell r="T145">
            <v>0.1118726897357214</v>
          </cell>
        </row>
        <row r="146">
          <cell r="B146" t="str">
            <v>NA Ortho Doctors (000s)</v>
          </cell>
          <cell r="C146">
            <v>0</v>
          </cell>
          <cell r="E146">
            <v>0</v>
          </cell>
          <cell r="F146">
            <v>0</v>
          </cell>
          <cell r="H146">
            <v>0</v>
          </cell>
          <cell r="I146">
            <v>0</v>
          </cell>
          <cell r="K146">
            <v>0</v>
          </cell>
          <cell r="L146">
            <v>0</v>
          </cell>
          <cell r="N146">
            <v>0</v>
          </cell>
          <cell r="O146">
            <v>0</v>
          </cell>
          <cell r="Q146">
            <v>0</v>
          </cell>
          <cell r="R146">
            <v>0</v>
          </cell>
          <cell r="T146">
            <v>0</v>
          </cell>
        </row>
        <row r="147">
          <cell r="B147" t="str">
            <v>Ortho Doctor Attrition from IP (000s)</v>
          </cell>
          <cell r="C147">
            <v>0</v>
          </cell>
          <cell r="E147">
            <v>0</v>
          </cell>
          <cell r="F147">
            <v>0</v>
          </cell>
          <cell r="H147">
            <v>0</v>
          </cell>
          <cell r="I147">
            <v>0</v>
          </cell>
          <cell r="K147">
            <v>0</v>
          </cell>
          <cell r="L147">
            <v>0</v>
          </cell>
          <cell r="N147">
            <v>0</v>
          </cell>
          <cell r="O147">
            <v>0</v>
          </cell>
          <cell r="Q147">
            <v>0</v>
          </cell>
          <cell r="R147">
            <v>0</v>
          </cell>
          <cell r="T147">
            <v>0</v>
          </cell>
        </row>
        <row r="148">
          <cell r="B148" t="str">
            <v>"Additional Cases" (000s)</v>
          </cell>
          <cell r="C148">
            <v>0</v>
          </cell>
          <cell r="E148">
            <v>0</v>
          </cell>
          <cell r="F148">
            <v>0</v>
          </cell>
          <cell r="H148">
            <v>0</v>
          </cell>
          <cell r="I148">
            <v>0</v>
          </cell>
          <cell r="K148">
            <v>0</v>
          </cell>
          <cell r="L148">
            <v>0</v>
          </cell>
          <cell r="N148">
            <v>0</v>
          </cell>
          <cell r="O148">
            <v>0</v>
          </cell>
          <cell r="Q148">
            <v>0</v>
          </cell>
          <cell r="R148">
            <v>0</v>
          </cell>
          <cell r="T148">
            <v>0</v>
          </cell>
        </row>
        <row r="149">
          <cell r="B149" t="str">
            <v>ASP ($)</v>
          </cell>
          <cell r="C149">
            <v>1266.3905411506903</v>
          </cell>
          <cell r="E149">
            <v>1266.3905411506903</v>
          </cell>
          <cell r="F149">
            <v>1234.4384596339873</v>
          </cell>
          <cell r="H149">
            <v>1234.4384596339873</v>
          </cell>
          <cell r="I149" t="e">
            <v>#DIV/0!</v>
          </cell>
          <cell r="K149" t="e">
            <v>#DIV/0!</v>
          </cell>
          <cell r="L149" t="e">
            <v>#DIV/0!</v>
          </cell>
          <cell r="N149" t="e">
            <v>#DIV/0!</v>
          </cell>
          <cell r="O149" t="e">
            <v>#DIV/0!</v>
          </cell>
          <cell r="Q149" t="e">
            <v>#DIV/0!</v>
          </cell>
          <cell r="R149" t="e">
            <v>#DIV/0!</v>
          </cell>
          <cell r="T149" t="e">
            <v>#DIV/0!</v>
          </cell>
        </row>
        <row r="150">
          <cell r="B150" t="str">
            <v>Revenue impact ($ mn)</v>
          </cell>
          <cell r="C150">
            <v>0</v>
          </cell>
          <cell r="E150">
            <v>0</v>
          </cell>
          <cell r="F150">
            <v>0</v>
          </cell>
          <cell r="H150">
            <v>0</v>
          </cell>
          <cell r="I150" t="e">
            <v>#DIV/0!</v>
          </cell>
          <cell r="K150" t="e">
            <v>#DIV/0!</v>
          </cell>
          <cell r="L150" t="e">
            <v>#DIV/0!</v>
          </cell>
          <cell r="N150" t="e">
            <v>#DIV/0!</v>
          </cell>
          <cell r="O150" t="e">
            <v>#DIV/0!</v>
          </cell>
          <cell r="Q150" t="e">
            <v>#DIV/0!</v>
          </cell>
          <cell r="R150" t="e">
            <v>#DIV/0!</v>
          </cell>
          <cell r="T150" t="e">
            <v>#DIV/0!</v>
          </cell>
        </row>
        <row r="151">
          <cell r="B151" t="str">
            <v>Accelerated Utilization from Invisalign Customers with Omnicam (CEREC JV)</v>
          </cell>
        </row>
        <row r="152">
          <cell r="B152" t="str">
            <v>OmniCam Users (000s)</v>
          </cell>
          <cell r="C152">
            <v>7.104000000000001</v>
          </cell>
          <cell r="D152">
            <v>9.2959999999999994</v>
          </cell>
          <cell r="E152">
            <v>16.399999999999999</v>
          </cell>
          <cell r="F152">
            <v>11.581740000000002</v>
          </cell>
          <cell r="G152">
            <v>15.01885</v>
          </cell>
          <cell r="H152">
            <v>26.600590000000004</v>
          </cell>
          <cell r="I152">
            <v>16.958624400000005</v>
          </cell>
          <cell r="J152">
            <v>21.793310000000002</v>
          </cell>
          <cell r="K152">
            <v>38.75193440000001</v>
          </cell>
          <cell r="L152">
            <v>21.860213904000005</v>
          </cell>
          <cell r="M152">
            <v>27.839196000000008</v>
          </cell>
          <cell r="N152">
            <v>49.699409904000014</v>
          </cell>
          <cell r="O152">
            <v>25.612883957520008</v>
          </cell>
          <cell r="P152">
            <v>32.324399800000009</v>
          </cell>
          <cell r="Q152">
            <v>57.937283757520021</v>
          </cell>
          <cell r="R152">
            <v>28.43030119284721</v>
          </cell>
          <cell r="S152">
            <v>35.556839780000018</v>
          </cell>
          <cell r="T152">
            <v>63.987140972847229</v>
          </cell>
        </row>
        <row r="153">
          <cell r="B153" t="str">
            <v>% conversion</v>
          </cell>
          <cell r="C153">
            <v>0.4</v>
          </cell>
          <cell r="D153">
            <v>0.4</v>
          </cell>
          <cell r="F153">
            <v>0.58750000000000002</v>
          </cell>
          <cell r="G153">
            <v>0.58750000000000002</v>
          </cell>
          <cell r="I153">
            <v>0.77500000000000002</v>
          </cell>
          <cell r="J153">
            <v>0.77500000000000002</v>
          </cell>
          <cell r="L153">
            <v>0.9</v>
          </cell>
          <cell r="M153">
            <v>0.9</v>
          </cell>
          <cell r="O153">
            <v>0.95</v>
          </cell>
          <cell r="P153">
            <v>0.95</v>
          </cell>
          <cell r="R153">
            <v>0.95</v>
          </cell>
          <cell r="S153">
            <v>0.95</v>
          </cell>
        </row>
        <row r="154">
          <cell r="B154" t="str">
            <v>% overlap with ALGN</v>
          </cell>
          <cell r="C154">
            <v>0</v>
          </cell>
          <cell r="D154">
            <v>0</v>
          </cell>
          <cell r="E154">
            <v>1</v>
          </cell>
          <cell r="F154">
            <v>0</v>
          </cell>
          <cell r="G154">
            <v>0</v>
          </cell>
          <cell r="H154">
            <v>1</v>
          </cell>
          <cell r="I154">
            <v>0</v>
          </cell>
          <cell r="J154">
            <v>0</v>
          </cell>
          <cell r="K154">
            <v>1</v>
          </cell>
          <cell r="L154">
            <v>0</v>
          </cell>
          <cell r="M154">
            <v>0</v>
          </cell>
          <cell r="N154">
            <v>1</v>
          </cell>
          <cell r="O154">
            <v>0</v>
          </cell>
          <cell r="P154">
            <v>0</v>
          </cell>
          <cell r="Q154">
            <v>1</v>
          </cell>
          <cell r="R154">
            <v>0</v>
          </cell>
          <cell r="S154">
            <v>0</v>
          </cell>
          <cell r="T154">
            <v>1</v>
          </cell>
        </row>
        <row r="155">
          <cell r="B155" t="str">
            <v>% penetration</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row>
        <row r="156">
          <cell r="B156" t="str">
            <v>Invisalign Existing Dentists (000s)</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row>
        <row r="157">
          <cell r="B157" t="str">
            <v>Digital Submission Dentists (000s)</v>
          </cell>
          <cell r="C157">
            <v>0</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row>
        <row r="158">
          <cell r="B158" t="str">
            <v>Updated GP Utilization Digital (Cases/Yr)</v>
          </cell>
          <cell r="C158">
            <v>0</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row>
        <row r="159">
          <cell r="B159" t="str">
            <v>Prior NA GP Utilization Ex-Dig (Cases/Yr)</v>
          </cell>
          <cell r="C159">
            <v>0</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row>
        <row r="160">
          <cell r="B160" t="str">
            <v>"Additional Cases" (000s)</v>
          </cell>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row>
        <row r="161">
          <cell r="B161" t="str">
            <v>ASP ($)</v>
          </cell>
          <cell r="C161">
            <v>1266.3905411506903</v>
          </cell>
          <cell r="D161">
            <v>1393.0295952657593</v>
          </cell>
          <cell r="E161" t="e">
            <v>#DIV/0!</v>
          </cell>
          <cell r="F161">
            <v>1110.9946136705887</v>
          </cell>
          <cell r="G161">
            <v>1222.0940750376476</v>
          </cell>
          <cell r="H161" t="e">
            <v>#DIV/0!</v>
          </cell>
          <cell r="I161" t="e">
            <v>#DIV/0!</v>
          </cell>
          <cell r="J161" t="e">
            <v>#DIV/0!</v>
          </cell>
          <cell r="K161" t="e">
            <v>#DIV/0!</v>
          </cell>
          <cell r="L161" t="e">
            <v>#DIV/0!</v>
          </cell>
          <cell r="M161" t="e">
            <v>#DIV/0!</v>
          </cell>
          <cell r="N161" t="e">
            <v>#DIV/0!</v>
          </cell>
          <cell r="O161" t="e">
            <v>#DIV/0!</v>
          </cell>
          <cell r="P161" t="e">
            <v>#DIV/0!</v>
          </cell>
          <cell r="Q161" t="e">
            <v>#DIV/0!</v>
          </cell>
          <cell r="R161" t="e">
            <v>#DIV/0!</v>
          </cell>
          <cell r="S161" t="e">
            <v>#DIV/0!</v>
          </cell>
          <cell r="T161" t="e">
            <v>#DIV/0!</v>
          </cell>
        </row>
        <row r="162">
          <cell r="B162" t="str">
            <v>Revenue impact ($ mn)</v>
          </cell>
          <cell r="C162">
            <v>0</v>
          </cell>
          <cell r="D162">
            <v>0</v>
          </cell>
          <cell r="E162">
            <v>0</v>
          </cell>
          <cell r="F162">
            <v>0</v>
          </cell>
          <cell r="G162">
            <v>0</v>
          </cell>
          <cell r="H162">
            <v>0</v>
          </cell>
          <cell r="I162" t="e">
            <v>#DIV/0!</v>
          </cell>
          <cell r="J162" t="e">
            <v>#DIV/0!</v>
          </cell>
          <cell r="K162" t="e">
            <v>#DIV/0!</v>
          </cell>
          <cell r="L162" t="e">
            <v>#DIV/0!</v>
          </cell>
          <cell r="M162" t="e">
            <v>#DIV/0!</v>
          </cell>
          <cell r="N162" t="e">
            <v>#DIV/0!</v>
          </cell>
          <cell r="O162" t="e">
            <v>#DIV/0!</v>
          </cell>
          <cell r="P162" t="e">
            <v>#DIV/0!</v>
          </cell>
          <cell r="Q162" t="e">
            <v>#DIV/0!</v>
          </cell>
          <cell r="R162" t="e">
            <v>#DIV/0!</v>
          </cell>
          <cell r="S162" t="e">
            <v>#DIV/0!</v>
          </cell>
          <cell r="T162" t="e">
            <v>#DIV/0!</v>
          </cell>
        </row>
        <row r="163">
          <cell r="B163" t="str">
            <v>Impact to Financial Projections</v>
          </cell>
        </row>
        <row r="164">
          <cell r="B164" t="str">
            <v>Revenue impact ($ mn)</v>
          </cell>
          <cell r="C164">
            <v>0</v>
          </cell>
          <cell r="D164">
            <v>0</v>
          </cell>
          <cell r="E164">
            <v>0</v>
          </cell>
          <cell r="F164">
            <v>0</v>
          </cell>
          <cell r="G164">
            <v>0</v>
          </cell>
          <cell r="H164">
            <v>0</v>
          </cell>
          <cell r="I164" t="e">
            <v>#DIV/0!</v>
          </cell>
          <cell r="J164" t="e">
            <v>#DIV/0!</v>
          </cell>
          <cell r="K164" t="e">
            <v>#DIV/0!</v>
          </cell>
          <cell r="L164" t="e">
            <v>#DIV/0!</v>
          </cell>
          <cell r="M164" t="e">
            <v>#DIV/0!</v>
          </cell>
          <cell r="N164" t="e">
            <v>#DIV/0!</v>
          </cell>
          <cell r="O164" t="e">
            <v>#DIV/0!</v>
          </cell>
          <cell r="P164" t="e">
            <v>#DIV/0!</v>
          </cell>
          <cell r="Q164" t="e">
            <v>#DIV/0!</v>
          </cell>
          <cell r="R164" t="e">
            <v>#DIV/0!</v>
          </cell>
          <cell r="S164" t="e">
            <v>#DIV/0!</v>
          </cell>
          <cell r="T164" t="e">
            <v>#DIV/0!</v>
          </cell>
        </row>
        <row r="165">
          <cell r="B165" t="str">
            <v>EBIT impact ($ mn)</v>
          </cell>
          <cell r="C165">
            <v>0</v>
          </cell>
          <cell r="D165">
            <v>0</v>
          </cell>
          <cell r="E165">
            <v>0</v>
          </cell>
          <cell r="F165">
            <v>0</v>
          </cell>
          <cell r="G165">
            <v>0</v>
          </cell>
          <cell r="H165">
            <v>0</v>
          </cell>
          <cell r="I165" t="e">
            <v>#DIV/0!</v>
          </cell>
          <cell r="J165" t="e">
            <v>#DIV/0!</v>
          </cell>
          <cell r="K165" t="e">
            <v>#DIV/0!</v>
          </cell>
          <cell r="L165" t="e">
            <v>#DIV/0!</v>
          </cell>
          <cell r="M165" t="e">
            <v>#DIV/0!</v>
          </cell>
          <cell r="N165" t="e">
            <v>#DIV/0!</v>
          </cell>
          <cell r="O165" t="e">
            <v>#DIV/0!</v>
          </cell>
          <cell r="P165" t="e">
            <v>#DIV/0!</v>
          </cell>
          <cell r="Q165" t="e">
            <v>#DIV/0!</v>
          </cell>
          <cell r="R165" t="e">
            <v>#DIV/0!</v>
          </cell>
          <cell r="S165" t="e">
            <v>#DIV/0!</v>
          </cell>
          <cell r="T165" t="e">
            <v>#DIV/0!</v>
          </cell>
        </row>
        <row r="166">
          <cell r="B166" t="str">
            <v>% margin</v>
          </cell>
          <cell r="C166">
            <v>0.25</v>
          </cell>
          <cell r="D166">
            <v>0.255</v>
          </cell>
          <cell r="E166" t="e">
            <v>#DIV/0!</v>
          </cell>
          <cell r="F166">
            <v>0.27500000000000002</v>
          </cell>
          <cell r="G166">
            <v>0.28499999999999998</v>
          </cell>
          <cell r="H166" t="e">
            <v>#DIV/0!</v>
          </cell>
          <cell r="I166">
            <v>0.27600000000000002</v>
          </cell>
          <cell r="J166">
            <v>0.30499999999999999</v>
          </cell>
          <cell r="K166" t="e">
            <v>#DIV/0!</v>
          </cell>
          <cell r="L166">
            <v>0.27500000000000002</v>
          </cell>
          <cell r="M166">
            <v>0.32</v>
          </cell>
          <cell r="N166" t="e">
            <v>#DIV/0!</v>
          </cell>
          <cell r="O166">
            <v>0.27500000000000002</v>
          </cell>
          <cell r="P166">
            <v>0.32</v>
          </cell>
          <cell r="Q166" t="e">
            <v>#DIV/0!</v>
          </cell>
          <cell r="R166">
            <v>0.27500000000000002</v>
          </cell>
          <cell r="S166">
            <v>0.32</v>
          </cell>
          <cell r="T166" t="e">
            <v>#DIV/0!</v>
          </cell>
        </row>
        <row r="167">
          <cell r="B167" t="str">
            <v>Net income impact ($ mn)</v>
          </cell>
          <cell r="C167">
            <v>0</v>
          </cell>
          <cell r="D167">
            <v>0</v>
          </cell>
          <cell r="E167" t="e">
            <v>#DIV/0!</v>
          </cell>
          <cell r="F167">
            <v>0</v>
          </cell>
          <cell r="G167">
            <v>0</v>
          </cell>
          <cell r="H167" t="e">
            <v>#DIV/0!</v>
          </cell>
          <cell r="I167" t="e">
            <v>#DIV/0!</v>
          </cell>
          <cell r="J167" t="e">
            <v>#DIV/0!</v>
          </cell>
          <cell r="K167" t="e">
            <v>#DIV/0!</v>
          </cell>
          <cell r="L167" t="e">
            <v>#DIV/0!</v>
          </cell>
          <cell r="M167" t="e">
            <v>#DIV/0!</v>
          </cell>
          <cell r="N167" t="e">
            <v>#DIV/0!</v>
          </cell>
          <cell r="O167" t="e">
            <v>#DIV/0!</v>
          </cell>
          <cell r="P167" t="e">
            <v>#DIV/0!</v>
          </cell>
          <cell r="Q167" t="e">
            <v>#DIV/0!</v>
          </cell>
          <cell r="R167" t="e">
            <v>#DIV/0!</v>
          </cell>
          <cell r="S167" t="e">
            <v>#DIV/0!</v>
          </cell>
          <cell r="T167" t="e">
            <v>#DIV/0!</v>
          </cell>
        </row>
        <row r="168">
          <cell r="B168" t="str">
            <v>% tax rate</v>
          </cell>
          <cell r="C168">
            <v>0.25174454411903835</v>
          </cell>
          <cell r="D168">
            <v>0.25174454411903835</v>
          </cell>
          <cell r="E168" t="e">
            <v>#DIV/0!</v>
          </cell>
          <cell r="F168">
            <v>0.23499999999999999</v>
          </cell>
          <cell r="G168">
            <v>0.23499999999999999</v>
          </cell>
          <cell r="H168" t="e">
            <v>#DIV/0!</v>
          </cell>
          <cell r="I168">
            <v>0.23499999999999993</v>
          </cell>
          <cell r="J168">
            <v>0.23499999999999993</v>
          </cell>
          <cell r="K168" t="e">
            <v>#DIV/0!</v>
          </cell>
          <cell r="L168">
            <v>0.23499999999999988</v>
          </cell>
          <cell r="M168">
            <v>0.23499999999999988</v>
          </cell>
          <cell r="N168" t="e">
            <v>#DIV/0!</v>
          </cell>
          <cell r="O168">
            <v>0.23499999999999988</v>
          </cell>
          <cell r="P168">
            <v>0.23499999999999988</v>
          </cell>
          <cell r="Q168" t="e">
            <v>#DIV/0!</v>
          </cell>
          <cell r="R168">
            <v>0.23499999999999988</v>
          </cell>
          <cell r="S168">
            <v>0.23499999999999988</v>
          </cell>
          <cell r="T168" t="e">
            <v>#DIV/0!</v>
          </cell>
        </row>
        <row r="169">
          <cell r="B169" t="str">
            <v>Shares outstanding (mn)</v>
          </cell>
          <cell r="C169">
            <v>80.218124939348698</v>
          </cell>
          <cell r="D169">
            <v>80.218124939348698</v>
          </cell>
          <cell r="E169">
            <v>80.218124939348698</v>
          </cell>
          <cell r="F169">
            <v>77.296749280055366</v>
          </cell>
          <cell r="G169">
            <v>77.296749280055366</v>
          </cell>
          <cell r="H169">
            <v>77.296749280055366</v>
          </cell>
          <cell r="I169">
            <v>72.763681442316752</v>
          </cell>
          <cell r="J169">
            <v>72.763681442316752</v>
          </cell>
          <cell r="K169">
            <v>72.763681442316752</v>
          </cell>
          <cell r="L169">
            <v>68.182240678274852</v>
          </cell>
          <cell r="M169">
            <v>68.182240678274852</v>
          </cell>
          <cell r="N169">
            <v>68.182240678274852</v>
          </cell>
          <cell r="O169">
            <v>64.058844621672591</v>
          </cell>
          <cell r="P169">
            <v>64.058844621672591</v>
          </cell>
          <cell r="Q169">
            <v>64.058844621672591</v>
          </cell>
          <cell r="R169">
            <v>59.931143769892827</v>
          </cell>
          <cell r="S169">
            <v>59.931143769892827</v>
          </cell>
          <cell r="T169">
            <v>59.931143769892827</v>
          </cell>
        </row>
        <row r="170">
          <cell r="B170" t="str">
            <v>EPS impact ($)</v>
          </cell>
          <cell r="C170">
            <v>0</v>
          </cell>
          <cell r="D170">
            <v>0</v>
          </cell>
          <cell r="E170" t="e">
            <v>#DIV/0!</v>
          </cell>
          <cell r="F170">
            <v>0</v>
          </cell>
          <cell r="G170">
            <v>0</v>
          </cell>
          <cell r="H170" t="e">
            <v>#DIV/0!</v>
          </cell>
          <cell r="I170" t="e">
            <v>#DIV/0!</v>
          </cell>
          <cell r="J170" t="e">
            <v>#DIV/0!</v>
          </cell>
          <cell r="K170" t="e">
            <v>#DIV/0!</v>
          </cell>
          <cell r="L170" t="e">
            <v>#DIV/0!</v>
          </cell>
          <cell r="M170" t="e">
            <v>#DIV/0!</v>
          </cell>
          <cell r="N170" t="e">
            <v>#DIV/0!</v>
          </cell>
          <cell r="O170" t="e">
            <v>#DIV/0!</v>
          </cell>
          <cell r="P170" t="e">
            <v>#DIV/0!</v>
          </cell>
          <cell r="Q170" t="e">
            <v>#DIV/0!</v>
          </cell>
          <cell r="R170" t="e">
            <v>#DIV/0!</v>
          </cell>
          <cell r="S170" t="e">
            <v>#DIV/0!</v>
          </cell>
          <cell r="T170" t="e">
            <v>#DIV/0!</v>
          </cell>
        </row>
        <row r="172">
          <cell r="C172" t="str">
            <v>2015E</v>
          </cell>
          <cell r="E172" t="str">
            <v>2015E</v>
          </cell>
          <cell r="F172" t="str">
            <v>2016E</v>
          </cell>
          <cell r="H172" t="str">
            <v>2016E</v>
          </cell>
          <cell r="I172" t="str">
            <v>2017E</v>
          </cell>
          <cell r="K172" t="str">
            <v>2017E</v>
          </cell>
          <cell r="L172" t="str">
            <v>2018E</v>
          </cell>
          <cell r="N172" t="str">
            <v>2018E</v>
          </cell>
          <cell r="O172" t="str">
            <v>2019E</v>
          </cell>
          <cell r="Q172" t="str">
            <v>2019E</v>
          </cell>
          <cell r="R172" t="str">
            <v>2020E</v>
          </cell>
          <cell r="T172" t="str">
            <v>2020E</v>
          </cell>
        </row>
        <row r="173">
          <cell r="C173" t="str">
            <v>US</v>
          </cell>
          <cell r="D173" t="str">
            <v>Int'l</v>
          </cell>
          <cell r="E173" t="str">
            <v>Total</v>
          </cell>
          <cell r="F173" t="str">
            <v>US</v>
          </cell>
          <cell r="G173" t="str">
            <v>Int'l</v>
          </cell>
          <cell r="H173" t="str">
            <v>Total</v>
          </cell>
          <cell r="I173" t="str">
            <v>US</v>
          </cell>
          <cell r="J173" t="str">
            <v>Int'l</v>
          </cell>
          <cell r="K173" t="str">
            <v>Total</v>
          </cell>
          <cell r="L173" t="str">
            <v>US</v>
          </cell>
          <cell r="M173" t="str">
            <v>Int'l</v>
          </cell>
          <cell r="N173" t="str">
            <v>Total</v>
          </cell>
          <cell r="O173" t="str">
            <v>US</v>
          </cell>
          <cell r="P173" t="str">
            <v>Int'l</v>
          </cell>
          <cell r="Q173" t="str">
            <v>Total</v>
          </cell>
          <cell r="R173" t="str">
            <v>US</v>
          </cell>
          <cell r="S173" t="str">
            <v>Int'l</v>
          </cell>
          <cell r="T173" t="str">
            <v>Total</v>
          </cell>
        </row>
        <row r="174">
          <cell r="B174" t="str">
            <v xml:space="preserve">International Growth </v>
          </cell>
        </row>
        <row r="175">
          <cell r="B175" t="str">
            <v>% of Cases Int'l Digital Submission</v>
          </cell>
          <cell r="D175">
            <v>0</v>
          </cell>
          <cell r="E175">
            <v>0</v>
          </cell>
          <cell r="G175">
            <v>0</v>
          </cell>
          <cell r="H175">
            <v>0</v>
          </cell>
          <cell r="J175">
            <v>0</v>
          </cell>
          <cell r="K175">
            <v>0</v>
          </cell>
          <cell r="M175">
            <v>0</v>
          </cell>
          <cell r="N175">
            <v>0</v>
          </cell>
          <cell r="P175">
            <v>0</v>
          </cell>
          <cell r="Q175">
            <v>0</v>
          </cell>
          <cell r="S175">
            <v>0</v>
          </cell>
          <cell r="T175">
            <v>0</v>
          </cell>
        </row>
        <row r="176">
          <cell r="B176" t="str">
            <v>International Doctors ('000s)</v>
          </cell>
          <cell r="D176">
            <v>9.8108499295486382</v>
          </cell>
          <cell r="E176">
            <v>9.8108499295486382</v>
          </cell>
          <cell r="G176">
            <v>11.937665600329826</v>
          </cell>
          <cell r="H176">
            <v>11.937665600329826</v>
          </cell>
          <cell r="J176">
            <v>14.654531542082509</v>
          </cell>
          <cell r="K176">
            <v>14.654531542082509</v>
          </cell>
          <cell r="M176">
            <v>17.699313832310015</v>
          </cell>
          <cell r="N176">
            <v>17.699313832310015</v>
          </cell>
          <cell r="P176">
            <v>20.054618932396753</v>
          </cell>
          <cell r="Q176">
            <v>20.054618932396753</v>
          </cell>
          <cell r="S176">
            <v>21.003879132916495</v>
          </cell>
          <cell r="T176">
            <v>21.003879132916495</v>
          </cell>
        </row>
        <row r="177">
          <cell r="B177" t="str">
            <v>% growth</v>
          </cell>
          <cell r="D177">
            <v>0.23542892234202895</v>
          </cell>
          <cell r="E177">
            <v>0.23542892234202895</v>
          </cell>
          <cell r="G177">
            <v>0.21678200013798743</v>
          </cell>
          <cell r="H177">
            <v>0.21678200013798743</v>
          </cell>
          <cell r="J177">
            <v>0.22758770707043596</v>
          </cell>
          <cell r="K177">
            <v>0.22758770707043596</v>
          </cell>
          <cell r="M177">
            <v>0.20777070092510241</v>
          </cell>
          <cell r="N177">
            <v>0.20777070092510241</v>
          </cell>
          <cell r="P177">
            <v>0.13307324353937044</v>
          </cell>
          <cell r="Q177">
            <v>0.13307324353937044</v>
          </cell>
          <cell r="S177">
            <v>4.7333744097539654E-2</v>
          </cell>
          <cell r="T177">
            <v>4.7333744097539654E-2</v>
          </cell>
        </row>
        <row r="178">
          <cell r="B178" t="str">
            <v>Int'l Ex-Dig Utilization (Cases/Yr)</v>
          </cell>
          <cell r="D178">
            <v>0</v>
          </cell>
          <cell r="G178">
            <v>0</v>
          </cell>
          <cell r="J178">
            <v>0</v>
          </cell>
          <cell r="M178">
            <v>0</v>
          </cell>
          <cell r="P178">
            <v>0</v>
          </cell>
          <cell r="S178">
            <v>0</v>
          </cell>
        </row>
        <row r="179">
          <cell r="B179" t="str">
            <v>% growth</v>
          </cell>
          <cell r="G179" t="e">
            <v>#DIV/0!</v>
          </cell>
          <cell r="J179" t="e">
            <v>#DIV/0!</v>
          </cell>
          <cell r="M179" t="e">
            <v>#DIV/0!</v>
          </cell>
          <cell r="P179" t="e">
            <v>#DIV/0!</v>
          </cell>
          <cell r="S179" t="e">
            <v>#DIV/0!</v>
          </cell>
        </row>
        <row r="180">
          <cell r="B180" t="str">
            <v>Int'l Digital Utilization (Cases/Yr)</v>
          </cell>
          <cell r="D180">
            <v>0</v>
          </cell>
          <cell r="G180">
            <v>0</v>
          </cell>
          <cell r="J180">
            <v>0</v>
          </cell>
          <cell r="M180">
            <v>0</v>
          </cell>
          <cell r="P180">
            <v>0</v>
          </cell>
          <cell r="S180">
            <v>0</v>
          </cell>
        </row>
        <row r="181">
          <cell r="B181" t="str">
            <v>% growth</v>
          </cell>
          <cell r="G181" t="e">
            <v>#DIV/0!</v>
          </cell>
          <cell r="J181" t="e">
            <v>#DIV/0!</v>
          </cell>
          <cell r="M181" t="e">
            <v>#DIV/0!</v>
          </cell>
          <cell r="P181" t="e">
            <v>#DIV/0!</v>
          </cell>
          <cell r="S181" t="e">
            <v>#DIV/0!</v>
          </cell>
        </row>
        <row r="182">
          <cell r="B182" t="str">
            <v>Updated Int'l Utilization (Cases/Yr)</v>
          </cell>
          <cell r="D182">
            <v>0</v>
          </cell>
          <cell r="E182">
            <v>0</v>
          </cell>
          <cell r="G182">
            <v>0</v>
          </cell>
          <cell r="H182">
            <v>0</v>
          </cell>
          <cell r="J182">
            <v>0</v>
          </cell>
          <cell r="K182">
            <v>0</v>
          </cell>
          <cell r="M182">
            <v>0</v>
          </cell>
          <cell r="N182">
            <v>0</v>
          </cell>
          <cell r="P182">
            <v>0</v>
          </cell>
          <cell r="Q182">
            <v>0</v>
          </cell>
          <cell r="S182">
            <v>0</v>
          </cell>
          <cell r="T182">
            <v>0</v>
          </cell>
        </row>
        <row r="183">
          <cell r="B183" t="str">
            <v>% growth</v>
          </cell>
          <cell r="G183" t="e">
            <v>#DIV/0!</v>
          </cell>
          <cell r="J183" t="e">
            <v>#DIV/0!</v>
          </cell>
          <cell r="M183" t="e">
            <v>#DIV/0!</v>
          </cell>
          <cell r="P183" t="e">
            <v>#DIV/0!</v>
          </cell>
          <cell r="S183" t="e">
            <v>#DIV/0!</v>
          </cell>
        </row>
        <row r="184">
          <cell r="B184" t="str">
            <v>Updated International Cases ('000s)</v>
          </cell>
          <cell r="D184">
            <v>0</v>
          </cell>
          <cell r="E184">
            <v>0</v>
          </cell>
          <cell r="G184">
            <v>0</v>
          </cell>
          <cell r="H184">
            <v>0</v>
          </cell>
          <cell r="J184">
            <v>0</v>
          </cell>
          <cell r="K184">
            <v>0</v>
          </cell>
          <cell r="M184">
            <v>0</v>
          </cell>
          <cell r="N184">
            <v>0</v>
          </cell>
          <cell r="P184">
            <v>0</v>
          </cell>
          <cell r="Q184">
            <v>0</v>
          </cell>
          <cell r="S184">
            <v>0</v>
          </cell>
          <cell r="T184">
            <v>0</v>
          </cell>
        </row>
        <row r="185">
          <cell r="B185" t="str">
            <v>% growth</v>
          </cell>
          <cell r="D185">
            <v>0.18697933498243291</v>
          </cell>
          <cell r="E185">
            <v>0.18697933498243291</v>
          </cell>
          <cell r="G185" t="e">
            <v>#DIV/0!</v>
          </cell>
          <cell r="H185" t="e">
            <v>#DIV/0!</v>
          </cell>
          <cell r="J185" t="e">
            <v>#DIV/0!</v>
          </cell>
          <cell r="K185" t="e">
            <v>#DIV/0!</v>
          </cell>
          <cell r="M185" t="e">
            <v>#DIV/0!</v>
          </cell>
          <cell r="N185" t="e">
            <v>#DIV/0!</v>
          </cell>
          <cell r="P185" t="e">
            <v>#DIV/0!</v>
          </cell>
          <cell r="Q185" t="e">
            <v>#DIV/0!</v>
          </cell>
          <cell r="S185" t="e">
            <v>#DIV/0!</v>
          </cell>
          <cell r="T185" t="e">
            <v>#DIV/0!</v>
          </cell>
        </row>
        <row r="186">
          <cell r="B186" t="str">
            <v>Prior International Vol ('000s)</v>
          </cell>
          <cell r="D186">
            <v>165.54800784999995</v>
          </cell>
          <cell r="E186">
            <v>165.54800784999995</v>
          </cell>
          <cell r="G186">
            <v>214.20418567887631</v>
          </cell>
          <cell r="H186">
            <v>214.20418567887631</v>
          </cell>
          <cell r="J186">
            <v>237.63869580874356</v>
          </cell>
          <cell r="K186">
            <v>237.63869580874356</v>
          </cell>
          <cell r="M186">
            <v>227.780682313916</v>
          </cell>
          <cell r="N186">
            <v>227.780682313916</v>
          </cell>
          <cell r="P186">
            <v>221.63010864689869</v>
          </cell>
          <cell r="Q186">
            <v>221.63010864689869</v>
          </cell>
          <cell r="S186">
            <v>215.49085293920547</v>
          </cell>
          <cell r="T186">
            <v>215.49085293920547</v>
          </cell>
        </row>
        <row r="187">
          <cell r="B187" t="str">
            <v>% growth</v>
          </cell>
          <cell r="D187">
            <v>0.18697933498243291</v>
          </cell>
          <cell r="E187">
            <v>0.18697933498243291</v>
          </cell>
          <cell r="G187">
            <v>0.29390977554355624</v>
          </cell>
          <cell r="H187">
            <v>0.29390977554355624</v>
          </cell>
          <cell r="J187">
            <v>0.10940267136048898</v>
          </cell>
          <cell r="K187">
            <v>0.10940267136048898</v>
          </cell>
          <cell r="M187">
            <v>-4.1483199784775326E-2</v>
          </cell>
          <cell r="N187">
            <v>-4.1483199784775326E-2</v>
          </cell>
          <cell r="P187">
            <v>-2.7002174216604113E-2</v>
          </cell>
          <cell r="Q187">
            <v>-2.7002174216604113E-2</v>
          </cell>
          <cell r="S187">
            <v>-2.7700458864432953E-2</v>
          </cell>
          <cell r="T187">
            <v>-2.7700458864432953E-2</v>
          </cell>
        </row>
        <row r="188">
          <cell r="B188" t="str">
            <v>"Additional Cases" ('000s)</v>
          </cell>
          <cell r="D188">
            <v>-165.54800784999995</v>
          </cell>
          <cell r="E188">
            <v>-165.54800784999995</v>
          </cell>
          <cell r="G188">
            <v>-214.20418567887631</v>
          </cell>
          <cell r="H188">
            <v>-214.20418567887631</v>
          </cell>
          <cell r="J188">
            <v>-237.63869580874356</v>
          </cell>
          <cell r="K188">
            <v>-237.63869580874356</v>
          </cell>
          <cell r="M188">
            <v>-227.780682313916</v>
          </cell>
          <cell r="N188">
            <v>-227.780682313916</v>
          </cell>
          <cell r="P188">
            <v>-221.63010864689869</v>
          </cell>
          <cell r="Q188">
            <v>-221.63010864689869</v>
          </cell>
          <cell r="S188">
            <v>-215.49085293920547</v>
          </cell>
          <cell r="T188">
            <v>-215.49085293920547</v>
          </cell>
        </row>
        <row r="189">
          <cell r="B189" t="str">
            <v>ASP ($)</v>
          </cell>
          <cell r="D189">
            <v>1393.0295952657593</v>
          </cell>
          <cell r="E189">
            <v>1393.0295952657593</v>
          </cell>
          <cell r="G189">
            <v>1357.8823055973862</v>
          </cell>
          <cell r="H189">
            <v>1357.8823055973862</v>
          </cell>
          <cell r="J189" t="e">
            <v>#DIV/0!</v>
          </cell>
          <cell r="K189" t="e">
            <v>#DIV/0!</v>
          </cell>
          <cell r="M189" t="e">
            <v>#DIV/0!</v>
          </cell>
          <cell r="N189" t="e">
            <v>#DIV/0!</v>
          </cell>
          <cell r="P189" t="e">
            <v>#DIV/0!</v>
          </cell>
          <cell r="Q189" t="e">
            <v>#DIV/0!</v>
          </cell>
          <cell r="S189" t="e">
            <v>#DIV/0!</v>
          </cell>
          <cell r="T189" t="e">
            <v>#DIV/0!</v>
          </cell>
        </row>
        <row r="190">
          <cell r="B190" t="str">
            <v>% growth</v>
          </cell>
          <cell r="D190">
            <v>-0.11587988354194645</v>
          </cell>
          <cell r="E190">
            <v>-0.11587988354194645</v>
          </cell>
          <cell r="G190">
            <v>-2.5230827677905743E-2</v>
          </cell>
          <cell r="H190">
            <v>-2.5230827677905743E-2</v>
          </cell>
          <cell r="J190" t="e">
            <v>#DIV/0!</v>
          </cell>
          <cell r="K190" t="e">
            <v>#DIV/0!</v>
          </cell>
          <cell r="M190" t="e">
            <v>#DIV/0!</v>
          </cell>
          <cell r="N190" t="e">
            <v>#DIV/0!</v>
          </cell>
          <cell r="P190" t="e">
            <v>#DIV/0!</v>
          </cell>
          <cell r="Q190" t="e">
            <v>#DIV/0!</v>
          </cell>
          <cell r="S190" t="e">
            <v>#DIV/0!</v>
          </cell>
          <cell r="T190" t="e">
            <v>#DIV/0!</v>
          </cell>
        </row>
        <row r="191">
          <cell r="B191" t="str">
            <v>Impact to Financial Projections</v>
          </cell>
        </row>
        <row r="192">
          <cell r="B192" t="str">
            <v>Revenue impact ($ mn)</v>
          </cell>
          <cell r="D192">
            <v>-230.61327437233817</v>
          </cell>
          <cell r="E192">
            <v>-230.61327437233817</v>
          </cell>
          <cell r="G192">
            <v>-290.86407351824323</v>
          </cell>
          <cell r="H192">
            <v>-290.86407351824323</v>
          </cell>
          <cell r="J192" t="e">
            <v>#DIV/0!</v>
          </cell>
          <cell r="K192" t="e">
            <v>#DIV/0!</v>
          </cell>
          <cell r="M192" t="e">
            <v>#DIV/0!</v>
          </cell>
          <cell r="N192" t="e">
            <v>#DIV/0!</v>
          </cell>
          <cell r="P192" t="e">
            <v>#DIV/0!</v>
          </cell>
          <cell r="Q192" t="e">
            <v>#DIV/0!</v>
          </cell>
          <cell r="S192" t="e">
            <v>#DIV/0!</v>
          </cell>
          <cell r="T192" t="e">
            <v>#DIV/0!</v>
          </cell>
        </row>
        <row r="193">
          <cell r="B193" t="str">
            <v>EBIT impact ($ mn)</v>
          </cell>
          <cell r="D193">
            <v>-58.806384964946233</v>
          </cell>
          <cell r="E193">
            <v>-58.806384964946233</v>
          </cell>
          <cell r="G193">
            <v>-82.896260952699308</v>
          </cell>
          <cell r="H193">
            <v>-82.896260952699308</v>
          </cell>
          <cell r="J193" t="e">
            <v>#DIV/0!</v>
          </cell>
          <cell r="K193" t="e">
            <v>#DIV/0!</v>
          </cell>
          <cell r="M193" t="e">
            <v>#DIV/0!</v>
          </cell>
          <cell r="N193" t="e">
            <v>#DIV/0!</v>
          </cell>
          <cell r="P193" t="e">
            <v>#DIV/0!</v>
          </cell>
          <cell r="Q193" t="e">
            <v>#DIV/0!</v>
          </cell>
          <cell r="S193" t="e">
            <v>#DIV/0!</v>
          </cell>
          <cell r="T193" t="e">
            <v>#DIV/0!</v>
          </cell>
        </row>
        <row r="194">
          <cell r="B194" t="str">
            <v>% margin</v>
          </cell>
          <cell r="C194">
            <v>0.25</v>
          </cell>
          <cell r="D194">
            <v>0.255</v>
          </cell>
          <cell r="E194">
            <v>0.255</v>
          </cell>
          <cell r="F194">
            <v>0.27500000000000002</v>
          </cell>
          <cell r="G194">
            <v>0.28499999999999998</v>
          </cell>
          <cell r="H194">
            <v>0.28499999999999998</v>
          </cell>
          <cell r="I194">
            <v>0.27600000000000002</v>
          </cell>
          <cell r="J194">
            <v>0.30499999999999999</v>
          </cell>
          <cell r="K194">
            <v>0</v>
          </cell>
          <cell r="L194">
            <v>0.27500000000000002</v>
          </cell>
          <cell r="M194">
            <v>0.32</v>
          </cell>
          <cell r="N194">
            <v>0</v>
          </cell>
          <cell r="O194">
            <v>0.27500000000000002</v>
          </cell>
          <cell r="P194">
            <v>0.32</v>
          </cell>
          <cell r="Q194">
            <v>0</v>
          </cell>
          <cell r="R194">
            <v>0.27500000000000002</v>
          </cell>
          <cell r="S194">
            <v>0.32</v>
          </cell>
          <cell r="T194">
            <v>0</v>
          </cell>
        </row>
        <row r="195">
          <cell r="B195" t="str">
            <v>Net income impact ($ mn)</v>
          </cell>
          <cell r="C195">
            <v>0</v>
          </cell>
          <cell r="D195">
            <v>-44.002198390657171</v>
          </cell>
          <cell r="E195" t="e">
            <v>#DIV/0!</v>
          </cell>
          <cell r="F195">
            <v>0</v>
          </cell>
          <cell r="G195">
            <v>-63.415639628814972</v>
          </cell>
          <cell r="H195" t="e">
            <v>#DIV/0!</v>
          </cell>
          <cell r="I195">
            <v>0</v>
          </cell>
          <cell r="J195" t="e">
            <v>#DIV/0!</v>
          </cell>
          <cell r="K195" t="e">
            <v>#DIV/0!</v>
          </cell>
          <cell r="L195">
            <v>0</v>
          </cell>
          <cell r="M195" t="e">
            <v>#DIV/0!</v>
          </cell>
          <cell r="N195" t="e">
            <v>#DIV/0!</v>
          </cell>
          <cell r="O195">
            <v>0</v>
          </cell>
          <cell r="P195" t="e">
            <v>#DIV/0!</v>
          </cell>
          <cell r="Q195" t="e">
            <v>#DIV/0!</v>
          </cell>
          <cell r="R195">
            <v>0</v>
          </cell>
          <cell r="S195" t="e">
            <v>#DIV/0!</v>
          </cell>
          <cell r="T195" t="e">
            <v>#DIV/0!</v>
          </cell>
        </row>
        <row r="196">
          <cell r="B196" t="str">
            <v>% tax rate</v>
          </cell>
          <cell r="C196">
            <v>0.25174454411903835</v>
          </cell>
          <cell r="D196">
            <v>0.25174454411903835</v>
          </cell>
          <cell r="E196" t="e">
            <v>#DIV/0!</v>
          </cell>
          <cell r="F196">
            <v>0.23499999999999999</v>
          </cell>
          <cell r="G196">
            <v>0.23499999999999999</v>
          </cell>
          <cell r="H196" t="e">
            <v>#DIV/0!</v>
          </cell>
          <cell r="I196">
            <v>0.23499999999999993</v>
          </cell>
          <cell r="J196">
            <v>0.23499999999999993</v>
          </cell>
          <cell r="K196" t="e">
            <v>#DIV/0!</v>
          </cell>
          <cell r="L196">
            <v>0.23499999999999988</v>
          </cell>
          <cell r="M196">
            <v>0.23499999999999988</v>
          </cell>
          <cell r="N196" t="e">
            <v>#DIV/0!</v>
          </cell>
          <cell r="O196">
            <v>0.23499999999999988</v>
          </cell>
          <cell r="P196">
            <v>0.23499999999999988</v>
          </cell>
          <cell r="Q196" t="e">
            <v>#DIV/0!</v>
          </cell>
          <cell r="R196">
            <v>0.23499999999999988</v>
          </cell>
          <cell r="S196">
            <v>0.23499999999999988</v>
          </cell>
          <cell r="T196" t="e">
            <v>#DIV/0!</v>
          </cell>
        </row>
        <row r="197">
          <cell r="B197" t="str">
            <v>Shares outstanding (mn)</v>
          </cell>
          <cell r="C197">
            <v>80.218124939348698</v>
          </cell>
          <cell r="D197">
            <v>80.218124939348698</v>
          </cell>
          <cell r="E197">
            <v>80.218124939348698</v>
          </cell>
          <cell r="F197">
            <v>77.296749280055366</v>
          </cell>
          <cell r="G197">
            <v>77.296749280055366</v>
          </cell>
          <cell r="H197">
            <v>77.296749280055366</v>
          </cell>
          <cell r="I197">
            <v>72.763681442316752</v>
          </cell>
          <cell r="J197">
            <v>72.763681442316752</v>
          </cell>
          <cell r="K197">
            <v>72.763681442316752</v>
          </cell>
          <cell r="L197">
            <v>68.182240678274852</v>
          </cell>
          <cell r="M197">
            <v>68.182240678274852</v>
          </cell>
          <cell r="N197">
            <v>68.182240678274852</v>
          </cell>
          <cell r="O197">
            <v>64.058844621672591</v>
          </cell>
          <cell r="P197">
            <v>64.058844621672591</v>
          </cell>
          <cell r="Q197">
            <v>64.058844621672591</v>
          </cell>
          <cell r="R197">
            <v>59.931143769892827</v>
          </cell>
          <cell r="S197">
            <v>59.931143769892827</v>
          </cell>
          <cell r="T197">
            <v>59.931143769892827</v>
          </cell>
        </row>
        <row r="198">
          <cell r="B198" t="str">
            <v>EPS impact ($)</v>
          </cell>
          <cell r="C198">
            <v>0</v>
          </cell>
          <cell r="D198">
            <v>-0.54853187386175306</v>
          </cell>
          <cell r="E198" t="e">
            <v>#DIV/0!</v>
          </cell>
          <cell r="F198">
            <v>0</v>
          </cell>
          <cell r="G198">
            <v>-0.82041793761665871</v>
          </cell>
          <cell r="H198" t="e">
            <v>#DIV/0!</v>
          </cell>
          <cell r="I198">
            <v>0</v>
          </cell>
          <cell r="J198" t="e">
            <v>#DIV/0!</v>
          </cell>
          <cell r="K198" t="e">
            <v>#DIV/0!</v>
          </cell>
          <cell r="L198">
            <v>0</v>
          </cell>
          <cell r="M198" t="e">
            <v>#DIV/0!</v>
          </cell>
          <cell r="N198" t="e">
            <v>#DIV/0!</v>
          </cell>
          <cell r="O198">
            <v>0</v>
          </cell>
          <cell r="P198" t="e">
            <v>#DIV/0!</v>
          </cell>
          <cell r="Q198" t="e">
            <v>#DIV/0!</v>
          </cell>
          <cell r="R198">
            <v>0</v>
          </cell>
          <cell r="S198" t="e">
            <v>#DIV/0!</v>
          </cell>
          <cell r="T198" t="e">
            <v>#DIV/0!</v>
          </cell>
        </row>
        <row r="200">
          <cell r="C200" t="str">
            <v>2015E</v>
          </cell>
          <cell r="E200" t="str">
            <v>2015E</v>
          </cell>
          <cell r="F200" t="str">
            <v>2016E</v>
          </cell>
          <cell r="H200" t="str">
            <v>2016E</v>
          </cell>
          <cell r="I200" t="str">
            <v>2017E</v>
          </cell>
          <cell r="K200" t="str">
            <v>2017E</v>
          </cell>
          <cell r="L200" t="str">
            <v>2018E</v>
          </cell>
          <cell r="N200" t="str">
            <v>2018E</v>
          </cell>
          <cell r="O200" t="str">
            <v>2019E</v>
          </cell>
          <cell r="Q200" t="str">
            <v>2019E</v>
          </cell>
          <cell r="R200" t="str">
            <v>2020E</v>
          </cell>
          <cell r="T200" t="str">
            <v>2020E</v>
          </cell>
        </row>
        <row r="201">
          <cell r="C201" t="str">
            <v>US</v>
          </cell>
          <cell r="D201" t="str">
            <v>Int'l</v>
          </cell>
          <cell r="E201" t="str">
            <v>Total</v>
          </cell>
          <cell r="F201" t="str">
            <v>US</v>
          </cell>
          <cell r="G201" t="str">
            <v>Int'l</v>
          </cell>
          <cell r="H201" t="str">
            <v>Total</v>
          </cell>
          <cell r="I201" t="str">
            <v>US</v>
          </cell>
          <cell r="J201" t="str">
            <v>Int'l</v>
          </cell>
          <cell r="K201" t="str">
            <v>Total</v>
          </cell>
          <cell r="L201" t="str">
            <v>US</v>
          </cell>
          <cell r="M201" t="str">
            <v>Int'l</v>
          </cell>
          <cell r="N201" t="str">
            <v>Total</v>
          </cell>
          <cell r="O201" t="str">
            <v>US</v>
          </cell>
          <cell r="P201" t="str">
            <v>Int'l</v>
          </cell>
          <cell r="Q201" t="str">
            <v>Total</v>
          </cell>
          <cell r="R201" t="str">
            <v>US</v>
          </cell>
          <cell r="S201" t="str">
            <v>Int'l</v>
          </cell>
          <cell r="T201" t="str">
            <v>Total</v>
          </cell>
        </row>
        <row r="202">
          <cell r="B202" t="str">
            <v>Financial Impact of Operating Leverage</v>
          </cell>
        </row>
        <row r="203">
          <cell r="B203" t="str">
            <v>Prior EBIT ($ mn)</v>
          </cell>
          <cell r="E203">
            <v>173.71027818129994</v>
          </cell>
          <cell r="H203">
            <v>232.48404846036067</v>
          </cell>
          <cell r="K203">
            <v>296.08570991222643</v>
          </cell>
          <cell r="N203">
            <v>348.71881399675647</v>
          </cell>
          <cell r="Q203">
            <v>400.82470860788499</v>
          </cell>
          <cell r="T203">
            <v>458.42198659327119</v>
          </cell>
        </row>
        <row r="204">
          <cell r="B204" t="str">
            <v>% margin</v>
          </cell>
          <cell r="E204">
            <v>0.20671639949730036</v>
          </cell>
          <cell r="H204">
            <v>0.2313371408685323</v>
          </cell>
          <cell r="K204">
            <v>0.24166956004874068</v>
          </cell>
          <cell r="N204">
            <v>0.24826986818130389</v>
          </cell>
          <cell r="Q204">
            <v>0.25452546340901017</v>
          </cell>
          <cell r="T204">
            <v>0.2656427353553058</v>
          </cell>
        </row>
        <row r="205">
          <cell r="B205" t="str">
            <v>CEREC JV (Unaccounted) EBIT ($ mn)</v>
          </cell>
          <cell r="C205" t="e">
            <v>#DIV/0!</v>
          </cell>
          <cell r="D205" t="e">
            <v>#DIV/0!</v>
          </cell>
          <cell r="E205" t="e">
            <v>#DIV/0!</v>
          </cell>
          <cell r="F205" t="e">
            <v>#DIV/0!</v>
          </cell>
          <cell r="G205" t="e">
            <v>#DIV/0!</v>
          </cell>
          <cell r="H205" t="e">
            <v>#DIV/0!</v>
          </cell>
          <cell r="I205" t="e">
            <v>#DIV/0!</v>
          </cell>
          <cell r="J205" t="e">
            <v>#DIV/0!</v>
          </cell>
          <cell r="K205" t="e">
            <v>#DIV/0!</v>
          </cell>
          <cell r="L205" t="e">
            <v>#DIV/0!</v>
          </cell>
          <cell r="M205" t="e">
            <v>#DIV/0!</v>
          </cell>
          <cell r="N205" t="e">
            <v>#DIV/0!</v>
          </cell>
          <cell r="O205" t="e">
            <v>#DIV/0!</v>
          </cell>
          <cell r="P205" t="e">
            <v>#DIV/0!</v>
          </cell>
          <cell r="Q205" t="e">
            <v>#DIV/0!</v>
          </cell>
          <cell r="R205" t="e">
            <v>#DIV/0!</v>
          </cell>
          <cell r="S205" t="e">
            <v>#DIV/0!</v>
          </cell>
          <cell r="T205" t="e">
            <v>#DIV/0!</v>
          </cell>
        </row>
        <row r="206">
          <cell r="B206" t="str">
            <v>Digital Submissions EBIT ($ mn)</v>
          </cell>
          <cell r="C206">
            <v>0</v>
          </cell>
          <cell r="D206">
            <v>0</v>
          </cell>
          <cell r="E206">
            <v>0</v>
          </cell>
          <cell r="F206">
            <v>0</v>
          </cell>
          <cell r="G206">
            <v>0</v>
          </cell>
          <cell r="H206">
            <v>0</v>
          </cell>
          <cell r="I206" t="e">
            <v>#DIV/0!</v>
          </cell>
          <cell r="J206" t="e">
            <v>#DIV/0!</v>
          </cell>
          <cell r="K206" t="e">
            <v>#DIV/0!</v>
          </cell>
          <cell r="L206" t="e">
            <v>#DIV/0!</v>
          </cell>
          <cell r="M206" t="e">
            <v>#DIV/0!</v>
          </cell>
          <cell r="N206" t="e">
            <v>#DIV/0!</v>
          </cell>
          <cell r="O206" t="e">
            <v>#DIV/0!</v>
          </cell>
          <cell r="P206" t="e">
            <v>#DIV/0!</v>
          </cell>
          <cell r="Q206" t="e">
            <v>#DIV/0!</v>
          </cell>
          <cell r="R206" t="e">
            <v>#DIV/0!</v>
          </cell>
          <cell r="S206" t="e">
            <v>#DIV/0!</v>
          </cell>
          <cell r="T206" t="e">
            <v>#DIV/0!</v>
          </cell>
        </row>
        <row r="207">
          <cell r="B207" t="str">
            <v>International EBIT ($ mn)</v>
          </cell>
          <cell r="C207">
            <v>0</v>
          </cell>
          <cell r="D207">
            <v>-58.806384964946233</v>
          </cell>
          <cell r="E207">
            <v>-58.806384964946233</v>
          </cell>
          <cell r="F207">
            <v>0</v>
          </cell>
          <cell r="G207">
            <v>-82.896260952699308</v>
          </cell>
          <cell r="H207">
            <v>-82.896260952699308</v>
          </cell>
          <cell r="I207">
            <v>0</v>
          </cell>
          <cell r="J207" t="e">
            <v>#DIV/0!</v>
          </cell>
          <cell r="K207" t="e">
            <v>#DIV/0!</v>
          </cell>
          <cell r="L207">
            <v>0</v>
          </cell>
          <cell r="M207" t="e">
            <v>#DIV/0!</v>
          </cell>
          <cell r="N207" t="e">
            <v>#DIV/0!</v>
          </cell>
          <cell r="O207">
            <v>0</v>
          </cell>
          <cell r="P207" t="e">
            <v>#DIV/0!</v>
          </cell>
          <cell r="Q207" t="e">
            <v>#DIV/0!</v>
          </cell>
          <cell r="R207">
            <v>0</v>
          </cell>
          <cell r="S207" t="e">
            <v>#DIV/0!</v>
          </cell>
          <cell r="T207" t="e">
            <v>#DIV/0!</v>
          </cell>
        </row>
        <row r="208">
          <cell r="B208" t="str">
            <v>IP (Unaccounted) EBIT ($ mn)</v>
          </cell>
          <cell r="E208" t="e">
            <v>#DIV/0!</v>
          </cell>
          <cell r="H208" t="e">
            <v>#DIV/0!</v>
          </cell>
          <cell r="K208" t="e">
            <v>#DIV/0!</v>
          </cell>
          <cell r="N208" t="e">
            <v>#DIV/0!</v>
          </cell>
          <cell r="Q208" t="e">
            <v>#DIV/0!</v>
          </cell>
          <cell r="T208" t="e">
            <v>#DIV/0!</v>
          </cell>
        </row>
        <row r="209">
          <cell r="B209" t="str">
            <v>EBIT Including Other Impacts ($ mn)</v>
          </cell>
          <cell r="E209" t="e">
            <v>#DIV/0!</v>
          </cell>
          <cell r="H209" t="e">
            <v>#DIV/0!</v>
          </cell>
          <cell r="K209" t="e">
            <v>#DIV/0!</v>
          </cell>
          <cell r="N209" t="e">
            <v>#DIV/0!</v>
          </cell>
          <cell r="Q209" t="e">
            <v>#DIV/0!</v>
          </cell>
          <cell r="T209" t="e">
            <v>#DIV/0!</v>
          </cell>
        </row>
        <row r="210">
          <cell r="B210" t="str">
            <v>% margin</v>
          </cell>
          <cell r="E210" t="e">
            <v>#DIV/0!</v>
          </cell>
          <cell r="H210" t="e">
            <v>#DIV/0!</v>
          </cell>
          <cell r="K210" t="e">
            <v>#DIV/0!</v>
          </cell>
          <cell r="N210" t="e">
            <v>#DIV/0!</v>
          </cell>
          <cell r="Q210" t="e">
            <v>#DIV/0!</v>
          </cell>
          <cell r="T210" t="e">
            <v>#DIV/0!</v>
          </cell>
        </row>
        <row r="211">
          <cell r="B211" t="str">
            <v>Incremental Operational Leverage  ($ mn)</v>
          </cell>
          <cell r="E211">
            <v>0</v>
          </cell>
          <cell r="H211">
            <v>5.1322856550262115</v>
          </cell>
          <cell r="K211" t="e">
            <v>#DIV/0!</v>
          </cell>
          <cell r="N211" t="e">
            <v>#DIV/0!</v>
          </cell>
          <cell r="Q211" t="e">
            <v>#DIV/0!</v>
          </cell>
          <cell r="T211" t="e">
            <v>#DIV/0!</v>
          </cell>
        </row>
        <row r="212">
          <cell r="B212" t="str">
            <v>% bps of margin expansion</v>
          </cell>
          <cell r="E212">
            <v>0</v>
          </cell>
          <cell r="H212">
            <v>7.4999999999999997E-3</v>
          </cell>
          <cell r="K212">
            <v>0.01</v>
          </cell>
          <cell r="N212">
            <v>0.02</v>
          </cell>
          <cell r="Q212">
            <v>0.02</v>
          </cell>
          <cell r="T212">
            <v>0.02</v>
          </cell>
        </row>
        <row r="213">
          <cell r="B213" t="str">
            <v>Updated EBIT ($ mn)</v>
          </cell>
          <cell r="E213" t="e">
            <v>#DIV/0!</v>
          </cell>
          <cell r="H213" t="e">
            <v>#DIV/0!</v>
          </cell>
          <cell r="K213" t="e">
            <v>#DIV/0!</v>
          </cell>
          <cell r="N213" t="e">
            <v>#DIV/0!</v>
          </cell>
          <cell r="Q213" t="e">
            <v>#DIV/0!</v>
          </cell>
          <cell r="T213" t="e">
            <v>#DIV/0!</v>
          </cell>
        </row>
        <row r="214">
          <cell r="B214" t="str">
            <v>% margin</v>
          </cell>
          <cell r="E214" t="e">
            <v>#DIV/0!</v>
          </cell>
          <cell r="H214" t="e">
            <v>#DIV/0!</v>
          </cell>
          <cell r="K214" t="e">
            <v>#DIV/0!</v>
          </cell>
          <cell r="N214" t="e">
            <v>#DIV/0!</v>
          </cell>
          <cell r="Q214" t="e">
            <v>#DIV/0!</v>
          </cell>
          <cell r="T214" t="e">
            <v>#DIV/0!</v>
          </cell>
        </row>
        <row r="215">
          <cell r="B215" t="str">
            <v>EBIT impact ($ mn)</v>
          </cell>
          <cell r="E215">
            <v>0</v>
          </cell>
          <cell r="H215">
            <v>5.1322856550262115</v>
          </cell>
          <cell r="K215" t="e">
            <v>#DIV/0!</v>
          </cell>
          <cell r="N215" t="e">
            <v>#DIV/0!</v>
          </cell>
          <cell r="Q215" t="e">
            <v>#DIV/0!</v>
          </cell>
          <cell r="T215" t="e">
            <v>#DIV/0!</v>
          </cell>
        </row>
        <row r="216">
          <cell r="B216" t="str">
            <v>Net income impact ($ mn)</v>
          </cell>
          <cell r="E216" t="e">
            <v>#DIV/0!</v>
          </cell>
          <cell r="H216" t="e">
            <v>#DIV/0!</v>
          </cell>
          <cell r="K216" t="e">
            <v>#DIV/0!</v>
          </cell>
          <cell r="N216" t="e">
            <v>#DIV/0!</v>
          </cell>
          <cell r="Q216" t="e">
            <v>#DIV/0!</v>
          </cell>
          <cell r="T216" t="e">
            <v>#DIV/0!</v>
          </cell>
        </row>
        <row r="217">
          <cell r="B217" t="str">
            <v>% tax rate</v>
          </cell>
          <cell r="E217" t="e">
            <v>#DIV/0!</v>
          </cell>
          <cell r="H217" t="e">
            <v>#DIV/0!</v>
          </cell>
          <cell r="K217" t="e">
            <v>#DIV/0!</v>
          </cell>
          <cell r="N217" t="e">
            <v>#DIV/0!</v>
          </cell>
          <cell r="Q217" t="e">
            <v>#DIV/0!</v>
          </cell>
          <cell r="T217" t="e">
            <v>#DIV/0!</v>
          </cell>
        </row>
        <row r="218">
          <cell r="B218" t="str">
            <v>Shares outstanding (mn)</v>
          </cell>
          <cell r="E218">
            <v>80.218124939348698</v>
          </cell>
          <cell r="H218">
            <v>77.296749280055366</v>
          </cell>
          <cell r="K218">
            <v>72.763681442316752</v>
          </cell>
          <cell r="N218">
            <v>68.182240678274852</v>
          </cell>
          <cell r="Q218">
            <v>64.058844621672591</v>
          </cell>
          <cell r="T218">
            <v>59.931143769892827</v>
          </cell>
        </row>
        <row r="219">
          <cell r="B219" t="str">
            <v>EPS impact ($)</v>
          </cell>
          <cell r="E219" t="e">
            <v>#DIV/0!</v>
          </cell>
          <cell r="H219" t="e">
            <v>#DIV/0!</v>
          </cell>
          <cell r="K219" t="e">
            <v>#DIV/0!</v>
          </cell>
          <cell r="N219" t="e">
            <v>#DIV/0!</v>
          </cell>
          <cell r="Q219" t="e">
            <v>#DIV/0!</v>
          </cell>
          <cell r="T219" t="e">
            <v>#DIV/0!</v>
          </cell>
        </row>
        <row r="221">
          <cell r="C221" t="str">
            <v>2015E</v>
          </cell>
          <cell r="E221" t="str">
            <v>2015E</v>
          </cell>
          <cell r="F221" t="str">
            <v>2016E</v>
          </cell>
          <cell r="H221" t="str">
            <v>2016E</v>
          </cell>
          <cell r="I221" t="str">
            <v>2017E</v>
          </cell>
          <cell r="K221" t="str">
            <v>2017E</v>
          </cell>
          <cell r="L221" t="str">
            <v>2018E</v>
          </cell>
          <cell r="N221" t="str">
            <v>2018E</v>
          </cell>
          <cell r="O221" t="str">
            <v>2019E</v>
          </cell>
          <cell r="Q221" t="str">
            <v>2019E</v>
          </cell>
          <cell r="R221" t="str">
            <v>2020E</v>
          </cell>
          <cell r="T221" t="str">
            <v>2020E</v>
          </cell>
        </row>
        <row r="222">
          <cell r="C222" t="str">
            <v>US</v>
          </cell>
          <cell r="D222" t="str">
            <v>Int'l</v>
          </cell>
          <cell r="E222" t="str">
            <v>Total</v>
          </cell>
          <cell r="F222" t="str">
            <v>US</v>
          </cell>
          <cell r="G222" t="str">
            <v>Int'l</v>
          </cell>
          <cell r="H222" t="str">
            <v>Total</v>
          </cell>
          <cell r="I222" t="str">
            <v>US</v>
          </cell>
          <cell r="J222" t="str">
            <v>Int'l</v>
          </cell>
          <cell r="K222" t="str">
            <v>Total</v>
          </cell>
          <cell r="L222" t="str">
            <v>US</v>
          </cell>
          <cell r="M222" t="str">
            <v>Int'l</v>
          </cell>
          <cell r="N222" t="str">
            <v>Total</v>
          </cell>
          <cell r="O222" t="str">
            <v>US</v>
          </cell>
          <cell r="P222" t="str">
            <v>Int'l</v>
          </cell>
          <cell r="Q222" t="str">
            <v>Total</v>
          </cell>
          <cell r="R222" t="str">
            <v>US</v>
          </cell>
          <cell r="S222" t="str">
            <v>Int'l</v>
          </cell>
          <cell r="T222" t="str">
            <v>Total</v>
          </cell>
        </row>
        <row r="223">
          <cell r="K223">
            <v>0.5</v>
          </cell>
          <cell r="N223">
            <v>1.5</v>
          </cell>
          <cell r="Q223">
            <v>2.5</v>
          </cell>
          <cell r="T223">
            <v>3.5</v>
          </cell>
        </row>
        <row r="224">
          <cell r="B224" t="str">
            <v>Summary Operational Figures</v>
          </cell>
        </row>
        <row r="225">
          <cell r="B225" t="str">
            <v>Total Cases (000s)</v>
          </cell>
          <cell r="E225">
            <v>0</v>
          </cell>
          <cell r="H225">
            <v>0</v>
          </cell>
          <cell r="K225">
            <v>0</v>
          </cell>
          <cell r="N225">
            <v>0</v>
          </cell>
          <cell r="Q225">
            <v>0</v>
          </cell>
          <cell r="T225">
            <v>0</v>
          </cell>
        </row>
        <row r="226">
          <cell r="B226" t="str">
            <v>% growth</v>
          </cell>
          <cell r="E226">
            <v>-1</v>
          </cell>
          <cell r="H226" t="e">
            <v>#DIV/0!</v>
          </cell>
          <cell r="K226" t="e">
            <v>#DIV/0!</v>
          </cell>
          <cell r="N226" t="e">
            <v>#DIV/0!</v>
          </cell>
          <cell r="Q226" t="e">
            <v>#DIV/0!</v>
          </cell>
          <cell r="T226" t="e">
            <v>#DIV/0!</v>
          </cell>
        </row>
        <row r="227">
          <cell r="B227" t="str">
            <v>North America Cases (000s)</v>
          </cell>
          <cell r="E227">
            <v>0</v>
          </cell>
          <cell r="H227">
            <v>0</v>
          </cell>
          <cell r="K227">
            <v>0</v>
          </cell>
          <cell r="N227">
            <v>0</v>
          </cell>
          <cell r="Q227">
            <v>0</v>
          </cell>
          <cell r="T227">
            <v>0</v>
          </cell>
        </row>
        <row r="228">
          <cell r="B228" t="str">
            <v>% growth</v>
          </cell>
          <cell r="E228">
            <v>-1</v>
          </cell>
          <cell r="H228" t="e">
            <v>#DIV/0!</v>
          </cell>
          <cell r="K228" t="e">
            <v>#DIV/0!</v>
          </cell>
          <cell r="N228" t="e">
            <v>#DIV/0!</v>
          </cell>
          <cell r="Q228" t="e">
            <v>#DIV/0!</v>
          </cell>
          <cell r="T228" t="e">
            <v>#DIV/0!</v>
          </cell>
        </row>
        <row r="229">
          <cell r="B229" t="str">
            <v>% of total volume</v>
          </cell>
          <cell r="E229" t="e">
            <v>#DIV/0!</v>
          </cell>
          <cell r="H229" t="e">
            <v>#DIV/0!</v>
          </cell>
          <cell r="K229" t="e">
            <v>#DIV/0!</v>
          </cell>
          <cell r="N229" t="e">
            <v>#DIV/0!</v>
          </cell>
          <cell r="Q229" t="e">
            <v>#DIV/0!</v>
          </cell>
          <cell r="T229" t="e">
            <v>#DIV/0!</v>
          </cell>
        </row>
        <row r="230">
          <cell r="B230" t="str">
            <v>International Cases (000s)</v>
          </cell>
          <cell r="E230">
            <v>0</v>
          </cell>
          <cell r="H230">
            <v>0</v>
          </cell>
          <cell r="K230">
            <v>0</v>
          </cell>
          <cell r="N230">
            <v>0</v>
          </cell>
          <cell r="Q230">
            <v>0</v>
          </cell>
          <cell r="T230">
            <v>0</v>
          </cell>
        </row>
        <row r="231">
          <cell r="B231" t="str">
            <v>% growth</v>
          </cell>
          <cell r="E231">
            <v>-1</v>
          </cell>
          <cell r="H231" t="e">
            <v>#DIV/0!</v>
          </cell>
          <cell r="K231" t="e">
            <v>#DIV/0!</v>
          </cell>
          <cell r="N231" t="e">
            <v>#DIV/0!</v>
          </cell>
          <cell r="Q231" t="e">
            <v>#DIV/0!</v>
          </cell>
          <cell r="T231" t="e">
            <v>#DIV/0!</v>
          </cell>
        </row>
        <row r="232">
          <cell r="B232" t="str">
            <v>% of total volume</v>
          </cell>
          <cell r="E232" t="e">
            <v>#DIV/0!</v>
          </cell>
          <cell r="H232" t="e">
            <v>#DIV/0!</v>
          </cell>
          <cell r="K232" t="e">
            <v>#DIV/0!</v>
          </cell>
          <cell r="N232" t="e">
            <v>#DIV/0!</v>
          </cell>
          <cell r="Q232" t="e">
            <v>#DIV/0!</v>
          </cell>
          <cell r="T232" t="e">
            <v>#DIV/0!</v>
          </cell>
        </row>
        <row r="233">
          <cell r="B233" t="str">
            <v>Digital Submission Cases (000s)</v>
          </cell>
          <cell r="E233">
            <v>0</v>
          </cell>
          <cell r="H233">
            <v>0</v>
          </cell>
          <cell r="K233">
            <v>0</v>
          </cell>
          <cell r="N233">
            <v>0</v>
          </cell>
          <cell r="Q233">
            <v>0</v>
          </cell>
          <cell r="T233">
            <v>0</v>
          </cell>
        </row>
        <row r="234">
          <cell r="B234" t="str">
            <v>% of total volume digital submission</v>
          </cell>
          <cell r="E234">
            <v>0</v>
          </cell>
          <cell r="H234">
            <v>0</v>
          </cell>
          <cell r="K234">
            <v>0</v>
          </cell>
          <cell r="N234">
            <v>0</v>
          </cell>
          <cell r="Q234">
            <v>0</v>
          </cell>
          <cell r="T234">
            <v>0</v>
          </cell>
        </row>
        <row r="235">
          <cell r="B235" t="str">
            <v>WW Effective ASP ($)</v>
          </cell>
          <cell r="E235" t="e">
            <v>#DIV/0!</v>
          </cell>
          <cell r="H235" t="e">
            <v>#DIV/0!</v>
          </cell>
          <cell r="K235" t="e">
            <v>#DIV/0!</v>
          </cell>
          <cell r="N235" t="e">
            <v>#DIV/0!</v>
          </cell>
          <cell r="Q235" t="e">
            <v>#DIV/0!</v>
          </cell>
          <cell r="T235" t="e">
            <v>#DIV/0!</v>
          </cell>
        </row>
        <row r="236">
          <cell r="B236" t="str">
            <v>% growth</v>
          </cell>
          <cell r="E236" t="e">
            <v>#DIV/0!</v>
          </cell>
          <cell r="H236" t="e">
            <v>#DIV/0!</v>
          </cell>
          <cell r="K236" t="e">
            <v>#DIV/0!</v>
          </cell>
          <cell r="N236" t="e">
            <v>#DIV/0!</v>
          </cell>
          <cell r="Q236" t="e">
            <v>#DIV/0!</v>
          </cell>
          <cell r="T236" t="e">
            <v>#DIV/0!</v>
          </cell>
        </row>
        <row r="237">
          <cell r="B237" t="str">
            <v>Revenue Bridge</v>
          </cell>
        </row>
        <row r="238">
          <cell r="B238" t="str">
            <v>Prior Revenues ($ mn)</v>
          </cell>
          <cell r="E238">
            <v>831.76737237688405</v>
          </cell>
          <cell r="H238">
            <v>915.7677766297636</v>
          </cell>
          <cell r="K238">
            <v>931.85490042382071</v>
          </cell>
          <cell r="N238">
            <v>907.30111562205616</v>
          </cell>
          <cell r="Q238">
            <v>904.61963300281366</v>
          </cell>
          <cell r="T238">
            <v>909.68850556296093</v>
          </cell>
        </row>
        <row r="239">
          <cell r="B239" t="str">
            <v>Impact of CEREC JV (Unaccounted) ($ mn)</v>
          </cell>
          <cell r="C239" t="e">
            <v>#DIV/0!</v>
          </cell>
          <cell r="D239" t="e">
            <v>#DIV/0!</v>
          </cell>
          <cell r="E239">
            <v>-0.9149149142089783</v>
          </cell>
          <cell r="F239" t="e">
            <v>#DIV/0!</v>
          </cell>
          <cell r="G239" t="e">
            <v>#DIV/0!</v>
          </cell>
          <cell r="H239">
            <v>4.6029042179515542</v>
          </cell>
          <cell r="I239" t="e">
            <v>#DIV/0!</v>
          </cell>
          <cell r="J239" t="e">
            <v>#DIV/0!</v>
          </cell>
          <cell r="K239" t="e">
            <v>#DIV/0!</v>
          </cell>
          <cell r="L239" t="e">
            <v>#DIV/0!</v>
          </cell>
          <cell r="M239" t="e">
            <v>#DIV/0!</v>
          </cell>
          <cell r="N239" t="e">
            <v>#DIV/0!</v>
          </cell>
          <cell r="O239" t="e">
            <v>#DIV/0!</v>
          </cell>
          <cell r="P239" t="e">
            <v>#DIV/0!</v>
          </cell>
          <cell r="Q239" t="e">
            <v>#DIV/0!</v>
          </cell>
          <cell r="R239" t="e">
            <v>#DIV/0!</v>
          </cell>
          <cell r="S239" t="e">
            <v>#DIV/0!</v>
          </cell>
          <cell r="T239" t="e">
            <v>#DIV/0!</v>
          </cell>
        </row>
        <row r="240">
          <cell r="B240" t="str">
            <v>Total Impact of CEREC JV ($ mn)</v>
          </cell>
          <cell r="C240">
            <v>0</v>
          </cell>
          <cell r="D240">
            <v>0</v>
          </cell>
          <cell r="E240">
            <v>0</v>
          </cell>
          <cell r="F240">
            <v>0</v>
          </cell>
          <cell r="G240">
            <v>0</v>
          </cell>
          <cell r="H240">
            <v>0</v>
          </cell>
          <cell r="I240" t="e">
            <v>#DIV/0!</v>
          </cell>
          <cell r="J240" t="e">
            <v>#DIV/0!</v>
          </cell>
          <cell r="K240" t="e">
            <v>#DIV/0!</v>
          </cell>
          <cell r="L240" t="e">
            <v>#DIV/0!</v>
          </cell>
          <cell r="M240" t="e">
            <v>#DIV/0!</v>
          </cell>
          <cell r="N240" t="e">
            <v>#DIV/0!</v>
          </cell>
          <cell r="O240" t="e">
            <v>#DIV/0!</v>
          </cell>
          <cell r="P240" t="e">
            <v>#DIV/0!</v>
          </cell>
          <cell r="Q240" t="e">
            <v>#DIV/0!</v>
          </cell>
          <cell r="R240" t="e">
            <v>#DIV/0!</v>
          </cell>
          <cell r="S240" t="e">
            <v>#DIV/0!</v>
          </cell>
          <cell r="T240" t="e">
            <v>#DIV/0!</v>
          </cell>
        </row>
        <row r="241">
          <cell r="B241" t="str">
            <v>Impact of Digital Submissions ($ mn)</v>
          </cell>
          <cell r="C241">
            <v>0</v>
          </cell>
          <cell r="D241">
            <v>0</v>
          </cell>
          <cell r="E241">
            <v>0</v>
          </cell>
          <cell r="F241">
            <v>0</v>
          </cell>
          <cell r="G241">
            <v>0</v>
          </cell>
          <cell r="H241">
            <v>0</v>
          </cell>
          <cell r="I241" t="e">
            <v>#DIV/0!</v>
          </cell>
          <cell r="J241" t="e">
            <v>#DIV/0!</v>
          </cell>
          <cell r="K241" t="e">
            <v>#DIV/0!</v>
          </cell>
          <cell r="L241" t="e">
            <v>#DIV/0!</v>
          </cell>
          <cell r="M241" t="e">
            <v>#DIV/0!</v>
          </cell>
          <cell r="N241" t="e">
            <v>#DIV/0!</v>
          </cell>
          <cell r="O241" t="e">
            <v>#DIV/0!</v>
          </cell>
          <cell r="P241" t="e">
            <v>#DIV/0!</v>
          </cell>
          <cell r="Q241" t="e">
            <v>#DIV/0!</v>
          </cell>
          <cell r="R241" t="e">
            <v>#DIV/0!</v>
          </cell>
          <cell r="S241" t="e">
            <v>#DIV/0!</v>
          </cell>
          <cell r="T241" t="e">
            <v>#DIV/0!</v>
          </cell>
        </row>
        <row r="242">
          <cell r="B242" t="str">
            <v>Impact of International ($ mn)</v>
          </cell>
          <cell r="C242">
            <v>0</v>
          </cell>
          <cell r="D242">
            <v>-230.61327437233817</v>
          </cell>
          <cell r="E242">
            <v>-230.61327437233817</v>
          </cell>
          <cell r="F242">
            <v>0</v>
          </cell>
          <cell r="G242">
            <v>-290.86407351824323</v>
          </cell>
          <cell r="H242">
            <v>-290.86407351824323</v>
          </cell>
          <cell r="I242">
            <v>0</v>
          </cell>
          <cell r="J242" t="e">
            <v>#DIV/0!</v>
          </cell>
          <cell r="K242" t="e">
            <v>#DIV/0!</v>
          </cell>
          <cell r="L242">
            <v>0</v>
          </cell>
          <cell r="M242" t="e">
            <v>#DIV/0!</v>
          </cell>
          <cell r="N242" t="e">
            <v>#DIV/0!</v>
          </cell>
          <cell r="O242">
            <v>0</v>
          </cell>
          <cell r="P242" t="e">
            <v>#DIV/0!</v>
          </cell>
          <cell r="Q242" t="e">
            <v>#DIV/0!</v>
          </cell>
          <cell r="R242">
            <v>0</v>
          </cell>
          <cell r="S242" t="e">
            <v>#DIV/0!</v>
          </cell>
          <cell r="T242" t="e">
            <v>#DIV/0!</v>
          </cell>
        </row>
        <row r="243">
          <cell r="B243" t="str">
            <v>Impact of IP (Unaccounted) ($ mn)</v>
          </cell>
          <cell r="E243">
            <v>5.2011514930943576</v>
          </cell>
          <cell r="H243">
            <v>54.798146674022973</v>
          </cell>
          <cell r="K243">
            <v>262.18140182778029</v>
          </cell>
          <cell r="N243">
            <v>454.52163067587185</v>
          </cell>
          <cell r="Q243">
            <v>610.21161242609696</v>
          </cell>
          <cell r="T243">
            <v>733.83336254876679</v>
          </cell>
        </row>
        <row r="244">
          <cell r="B244" t="str">
            <v>Total Impact of IP ($ mn)</v>
          </cell>
          <cell r="E244">
            <v>0</v>
          </cell>
          <cell r="H244">
            <v>-36.134327567232958</v>
          </cell>
          <cell r="K244">
            <v>-127.6939260694171</v>
          </cell>
          <cell r="N244">
            <v>-264.28011377074495</v>
          </cell>
          <cell r="Q244">
            <v>-393.21978219423409</v>
          </cell>
          <cell r="T244">
            <v>-484.03616943336033</v>
          </cell>
        </row>
        <row r="245">
          <cell r="B245" t="str">
            <v>Updated Revenues ($ mn)</v>
          </cell>
          <cell r="E245">
            <v>605.44033458343119</v>
          </cell>
          <cell r="H245">
            <v>684.30475400349485</v>
          </cell>
          <cell r="K245" t="e">
            <v>#DIV/0!</v>
          </cell>
          <cell r="N245" t="e">
            <v>#DIV/0!</v>
          </cell>
          <cell r="Q245" t="e">
            <v>#DIV/0!</v>
          </cell>
          <cell r="T245" t="e">
            <v>#DIV/0!</v>
          </cell>
        </row>
        <row r="246">
          <cell r="B246" t="str">
            <v>% growth</v>
          </cell>
          <cell r="E246">
            <v>-0.20509689506450945</v>
          </cell>
          <cell r="H246">
            <v>0.13025960596815156</v>
          </cell>
          <cell r="K246" t="e">
            <v>#DIV/0!</v>
          </cell>
          <cell r="N246" t="e">
            <v>#DIV/0!</v>
          </cell>
          <cell r="Q246" t="e">
            <v>#DIV/0!</v>
          </cell>
          <cell r="T246" t="e">
            <v>#DIV/0!</v>
          </cell>
        </row>
        <row r="247">
          <cell r="B247" t="str">
            <v>EPS Bridge</v>
          </cell>
        </row>
        <row r="248">
          <cell r="B248" t="str">
            <v>Prior EPS ($)</v>
          </cell>
          <cell r="E248">
            <v>1.7206363100249285</v>
          </cell>
          <cell r="H248">
            <v>2.2188967070693364</v>
          </cell>
          <cell r="K248">
            <v>2.3499001964027646</v>
          </cell>
          <cell r="N248">
            <v>2.2881798281036558</v>
          </cell>
          <cell r="Q248">
            <v>2.3177798365909008</v>
          </cell>
          <cell r="T248">
            <v>2.3665167041329553</v>
          </cell>
        </row>
        <row r="249">
          <cell r="B249" t="str">
            <v>Impact of CEREC JV (Unaccounted) ($)</v>
          </cell>
          <cell r="C249" t="e">
            <v>#DIV/0!</v>
          </cell>
          <cell r="D249" t="e">
            <v>#DIV/0!</v>
          </cell>
          <cell r="E249" t="e">
            <v>#DIV/0!</v>
          </cell>
          <cell r="F249" t="e">
            <v>#DIV/0!</v>
          </cell>
          <cell r="G249" t="e">
            <v>#DIV/0!</v>
          </cell>
          <cell r="H249" t="e">
            <v>#DIV/0!</v>
          </cell>
          <cell r="I249" t="e">
            <v>#DIV/0!</v>
          </cell>
          <cell r="J249" t="e">
            <v>#DIV/0!</v>
          </cell>
          <cell r="K249" t="e">
            <v>#DIV/0!</v>
          </cell>
          <cell r="L249" t="e">
            <v>#DIV/0!</v>
          </cell>
          <cell r="M249" t="e">
            <v>#DIV/0!</v>
          </cell>
          <cell r="N249" t="e">
            <v>#DIV/0!</v>
          </cell>
          <cell r="O249" t="e">
            <v>#DIV/0!</v>
          </cell>
          <cell r="P249" t="e">
            <v>#DIV/0!</v>
          </cell>
          <cell r="Q249" t="e">
            <v>#DIV/0!</v>
          </cell>
          <cell r="R249" t="e">
            <v>#DIV/0!</v>
          </cell>
          <cell r="S249" t="e">
            <v>#DIV/0!</v>
          </cell>
          <cell r="T249" t="e">
            <v>#DIV/0!</v>
          </cell>
        </row>
        <row r="250">
          <cell r="B250" t="str">
            <v>Total Impact of CEREC JV ($)</v>
          </cell>
          <cell r="C250">
            <v>0</v>
          </cell>
          <cell r="D250">
            <v>0</v>
          </cell>
          <cell r="E250" t="e">
            <v>#DIV/0!</v>
          </cell>
          <cell r="F250">
            <v>0</v>
          </cell>
          <cell r="G250">
            <v>0</v>
          </cell>
          <cell r="H250" t="e">
            <v>#DIV/0!</v>
          </cell>
          <cell r="I250" t="e">
            <v>#DIV/0!</v>
          </cell>
          <cell r="J250" t="e">
            <v>#DIV/0!</v>
          </cell>
          <cell r="K250" t="e">
            <v>#DIV/0!</v>
          </cell>
          <cell r="L250" t="e">
            <v>#DIV/0!</v>
          </cell>
          <cell r="M250" t="e">
            <v>#DIV/0!</v>
          </cell>
          <cell r="N250" t="e">
            <v>#DIV/0!</v>
          </cell>
          <cell r="O250" t="e">
            <v>#DIV/0!</v>
          </cell>
          <cell r="P250" t="e">
            <v>#DIV/0!</v>
          </cell>
          <cell r="Q250" t="e">
            <v>#DIV/0!</v>
          </cell>
          <cell r="R250" t="e">
            <v>#DIV/0!</v>
          </cell>
          <cell r="S250" t="e">
            <v>#DIV/0!</v>
          </cell>
          <cell r="T250" t="e">
            <v>#DIV/0!</v>
          </cell>
        </row>
        <row r="251">
          <cell r="B251" t="str">
            <v>Impact of Digital Submissions ($)</v>
          </cell>
          <cell r="C251">
            <v>0</v>
          </cell>
          <cell r="D251">
            <v>0</v>
          </cell>
          <cell r="E251" t="e">
            <v>#DIV/0!</v>
          </cell>
          <cell r="F251">
            <v>0</v>
          </cell>
          <cell r="G251">
            <v>0</v>
          </cell>
          <cell r="H251" t="e">
            <v>#DIV/0!</v>
          </cell>
          <cell r="I251" t="e">
            <v>#DIV/0!</v>
          </cell>
          <cell r="J251" t="e">
            <v>#DIV/0!</v>
          </cell>
          <cell r="K251" t="e">
            <v>#DIV/0!</v>
          </cell>
          <cell r="L251" t="e">
            <v>#DIV/0!</v>
          </cell>
          <cell r="M251" t="e">
            <v>#DIV/0!</v>
          </cell>
          <cell r="N251" t="e">
            <v>#DIV/0!</v>
          </cell>
          <cell r="O251" t="e">
            <v>#DIV/0!</v>
          </cell>
          <cell r="P251" t="e">
            <v>#DIV/0!</v>
          </cell>
          <cell r="Q251" t="e">
            <v>#DIV/0!</v>
          </cell>
          <cell r="R251" t="e">
            <v>#DIV/0!</v>
          </cell>
          <cell r="S251" t="e">
            <v>#DIV/0!</v>
          </cell>
          <cell r="T251" t="e">
            <v>#DIV/0!</v>
          </cell>
        </row>
        <row r="252">
          <cell r="B252" t="str">
            <v>Impact of International  ($)</v>
          </cell>
          <cell r="C252">
            <v>0</v>
          </cell>
          <cell r="D252">
            <v>-0.54853187386175306</v>
          </cell>
          <cell r="E252" t="e">
            <v>#DIV/0!</v>
          </cell>
          <cell r="F252">
            <v>0</v>
          </cell>
          <cell r="G252">
            <v>-0.82041793761665871</v>
          </cell>
          <cell r="H252" t="e">
            <v>#DIV/0!</v>
          </cell>
          <cell r="I252">
            <v>0</v>
          </cell>
          <cell r="J252" t="e">
            <v>#DIV/0!</v>
          </cell>
          <cell r="K252" t="e">
            <v>#DIV/0!</v>
          </cell>
          <cell r="L252">
            <v>0</v>
          </cell>
          <cell r="M252" t="e">
            <v>#DIV/0!</v>
          </cell>
          <cell r="N252" t="e">
            <v>#DIV/0!</v>
          </cell>
          <cell r="O252">
            <v>0</v>
          </cell>
          <cell r="P252" t="e">
            <v>#DIV/0!</v>
          </cell>
          <cell r="Q252" t="e">
            <v>#DIV/0!</v>
          </cell>
          <cell r="R252">
            <v>0</v>
          </cell>
          <cell r="S252" t="e">
            <v>#DIV/0!</v>
          </cell>
          <cell r="T252" t="e">
            <v>#DIV/0!</v>
          </cell>
        </row>
        <row r="253">
          <cell r="B253" t="str">
            <v>Impact of IP (Unaccounted) ($)</v>
          </cell>
          <cell r="E253" t="e">
            <v>#DIV/0!</v>
          </cell>
          <cell r="H253" t="e">
            <v>#DIV/0!</v>
          </cell>
          <cell r="K253" t="e">
            <v>#DIV/0!</v>
          </cell>
          <cell r="N253" t="e">
            <v>#DIV/0!</v>
          </cell>
          <cell r="Q253" t="e">
            <v>#DIV/0!</v>
          </cell>
          <cell r="T253" t="e">
            <v>#DIV/0!</v>
          </cell>
        </row>
        <row r="254">
          <cell r="B254" t="str">
            <v>Total Impact of IP ($)</v>
          </cell>
          <cell r="E254" t="e">
            <v>#DIV/0!</v>
          </cell>
          <cell r="H254" t="e">
            <v>#DIV/0!</v>
          </cell>
          <cell r="K254" t="e">
            <v>#DIV/0!</v>
          </cell>
          <cell r="N254" t="e">
            <v>#DIV/0!</v>
          </cell>
          <cell r="Q254" t="e">
            <v>#DIV/0!</v>
          </cell>
          <cell r="T254" t="e">
            <v>#DIV/0!</v>
          </cell>
        </row>
        <row r="255">
          <cell r="B255" t="str">
            <v>Impact of Operational Leverage ($)</v>
          </cell>
          <cell r="E255" t="e">
            <v>#DIV/0!</v>
          </cell>
          <cell r="H255" t="e">
            <v>#DIV/0!</v>
          </cell>
          <cell r="K255" t="e">
            <v>#DIV/0!</v>
          </cell>
          <cell r="N255" t="e">
            <v>#DIV/0!</v>
          </cell>
          <cell r="Q255" t="e">
            <v>#DIV/0!</v>
          </cell>
          <cell r="T255" t="e">
            <v>#DIV/0!</v>
          </cell>
        </row>
        <row r="256">
          <cell r="B256" t="str">
            <v>Updated EPS ($)</v>
          </cell>
          <cell r="E256" t="e">
            <v>#DIV/0!</v>
          </cell>
          <cell r="H256" t="e">
            <v>#DIV/0!</v>
          </cell>
          <cell r="K256" t="e">
            <v>#DIV/0!</v>
          </cell>
          <cell r="N256" t="e">
            <v>#DIV/0!</v>
          </cell>
          <cell r="Q256" t="e">
            <v>#DIV/0!</v>
          </cell>
        </row>
        <row r="257">
          <cell r="B257" t="str">
            <v>% growth</v>
          </cell>
          <cell r="E257" t="e">
            <v>#DIV/0!</v>
          </cell>
          <cell r="H257" t="e">
            <v>#DIV/0!</v>
          </cell>
          <cell r="K257" t="e">
            <v>#DIV/0!</v>
          </cell>
          <cell r="N257" t="e">
            <v>#DIV/0!</v>
          </cell>
          <cell r="Q257" t="e">
            <v>#DIV/0!</v>
          </cell>
        </row>
        <row r="349">
          <cell r="B349" t="str">
            <v>Former JV Model - Included 2015 Outlook</v>
          </cell>
          <cell r="C349" t="str">
            <v>US</v>
          </cell>
          <cell r="D349" t="str">
            <v>Int'l</v>
          </cell>
          <cell r="E349" t="str">
            <v xml:space="preserve">Total </v>
          </cell>
        </row>
        <row r="350">
          <cell r="B350" t="str">
            <v>Current ALGN</v>
          </cell>
        </row>
        <row r="351">
          <cell r="B351" t="str">
            <v>Customers Est. (000s)</v>
          </cell>
          <cell r="C351">
            <v>14.716494872899414</v>
          </cell>
          <cell r="D351">
            <v>5</v>
          </cell>
          <cell r="E351">
            <v>19.716494872899414</v>
          </cell>
        </row>
        <row r="354">
          <cell r="B354" t="str">
            <v>SIRO OmniCam</v>
          </cell>
        </row>
        <row r="355">
          <cell r="B355" t="str">
            <v>CADCAM Installs (000s)</v>
          </cell>
          <cell r="C355">
            <v>20.070400000000003</v>
          </cell>
          <cell r="D355">
            <v>29.539600000000004</v>
          </cell>
          <cell r="E355">
            <v>49.610000000000007</v>
          </cell>
        </row>
        <row r="356">
          <cell r="B356" t="str">
            <v>Converted to OmniCam (000s)</v>
          </cell>
          <cell r="C356">
            <v>12.042240000000001</v>
          </cell>
          <cell r="D356">
            <v>17.723760000000002</v>
          </cell>
          <cell r="E356">
            <v>29.766000000000005</v>
          </cell>
        </row>
        <row r="357">
          <cell r="B357" t="str">
            <v>Overlap with ALGN</v>
          </cell>
          <cell r="C357">
            <v>0.75</v>
          </cell>
          <cell r="D357">
            <v>0.2</v>
          </cell>
        </row>
        <row r="359">
          <cell r="B359" t="str">
            <v>ALGN Incremental Cases</v>
          </cell>
        </row>
        <row r="360">
          <cell r="B360" t="str">
            <v>Potential Customers (000s)</v>
          </cell>
          <cell r="C360">
            <v>3.0105600000000003</v>
          </cell>
          <cell r="D360">
            <v>14.179008000000003</v>
          </cell>
          <cell r="E360">
            <v>17.189568000000005</v>
          </cell>
        </row>
        <row r="361">
          <cell r="B361" t="str">
            <v>New Customers</v>
          </cell>
          <cell r="C361">
            <v>0.60211200000000009</v>
          </cell>
          <cell r="D361">
            <v>2.8358016000000008</v>
          </cell>
          <cell r="E361">
            <v>3.4379136000000008</v>
          </cell>
        </row>
        <row r="362">
          <cell r="B362" t="str">
            <v>GP Cases/Customer/Yr ('16E)</v>
          </cell>
          <cell r="C362">
            <v>17.243669100993188</v>
          </cell>
          <cell r="D362">
            <v>17.243669100993188</v>
          </cell>
        </row>
        <row r="363">
          <cell r="B363" t="str">
            <v>Penetration</v>
          </cell>
          <cell r="C363">
            <v>0.2</v>
          </cell>
          <cell r="D363">
            <v>0.2</v>
          </cell>
        </row>
        <row r="364">
          <cell r="B364" t="str">
            <v>Utilization vs. Current GP</v>
          </cell>
          <cell r="C364">
            <v>1.5</v>
          </cell>
          <cell r="D364">
            <v>1.5</v>
          </cell>
        </row>
        <row r="365">
          <cell r="B365" t="str">
            <v>Cases/Yr (000s)</v>
          </cell>
          <cell r="C365">
            <v>15.573930134605817</v>
          </cell>
          <cell r="D365">
            <v>73.349436639700585</v>
          </cell>
          <cell r="E365">
            <v>88.923366774306402</v>
          </cell>
        </row>
        <row r="366">
          <cell r="B366" t="str">
            <v>Revenue Impact (ASP $1,300)</v>
          </cell>
          <cell r="C366">
            <v>20.246109174987563</v>
          </cell>
          <cell r="D366">
            <v>95.354267631610767</v>
          </cell>
          <cell r="E366">
            <v>115.60037680659833</v>
          </cell>
        </row>
        <row r="367">
          <cell r="B367" t="str">
            <v>EBIT Impact (30% margin)</v>
          </cell>
          <cell r="C367">
            <v>6.0738327524962683</v>
          </cell>
          <cell r="D367">
            <v>28.60628028948323</v>
          </cell>
          <cell r="E367">
            <v>34.680113041979496</v>
          </cell>
        </row>
        <row r="369">
          <cell r="B369" t="str">
            <v>Cadent Impact</v>
          </cell>
        </row>
        <row r="370">
          <cell r="B370" t="str">
            <v xml:space="preserve">'16 System Sales Est. </v>
          </cell>
          <cell r="C370">
            <v>21.502943033964481</v>
          </cell>
          <cell r="D370">
            <v>1.26945</v>
          </cell>
          <cell r="E370">
            <v>22.77239303396448</v>
          </cell>
        </row>
        <row r="371">
          <cell r="B371" t="str">
            <v>16 Lost Sales</v>
          </cell>
          <cell r="C371">
            <v>0.75459659051134365</v>
          </cell>
          <cell r="D371">
            <v>4.4548443453138499E-2</v>
          </cell>
          <cell r="E371">
            <v>0.79914503396448211</v>
          </cell>
        </row>
        <row r="372">
          <cell r="B372" t="str">
            <v>EBIT Impact (10% margin)</v>
          </cell>
          <cell r="C372">
            <v>-7.5459659051134373E-2</v>
          </cell>
          <cell r="D372">
            <v>-4.4548443453138499E-3</v>
          </cell>
          <cell r="E372">
            <v>-7.9914503396448219E-2</v>
          </cell>
        </row>
        <row r="374">
          <cell r="B374" t="str">
            <v>ALGN Impact ('17E)</v>
          </cell>
        </row>
        <row r="375">
          <cell r="B375" t="str">
            <v>Total EBIT Impact</v>
          </cell>
          <cell r="C375">
            <v>5.9983730934451343</v>
          </cell>
          <cell r="D375">
            <v>28.601825445137916</v>
          </cell>
          <cell r="E375">
            <v>34.600198538583051</v>
          </cell>
        </row>
        <row r="376">
          <cell r="B376" t="str">
            <v>ALGN EPS $/Year</v>
          </cell>
          <cell r="C376">
            <v>0.23951893337296878</v>
          </cell>
          <cell r="D376">
            <v>1.1420894659962906</v>
          </cell>
          <cell r="E376">
            <v>1.3816083993692594</v>
          </cell>
        </row>
        <row r="377">
          <cell r="B377" t="str">
            <v>ALGN EPS %/Year</v>
          </cell>
          <cell r="C377">
            <v>8.0845589780032756E-2</v>
          </cell>
          <cell r="D377">
            <v>0.38549310135852966</v>
          </cell>
          <cell r="E377">
            <v>0.46633869113856241</v>
          </cell>
        </row>
      </sheetData>
      <sheetData sheetId="1" refreshError="1"/>
      <sheetData sheetId="2"/>
      <sheetData sheetId="3"/>
      <sheetData sheetId="4"/>
      <sheetData sheetId="5"/>
      <sheetData sheetId="6"/>
      <sheetData sheetId="7"/>
      <sheetData sheetId="8"/>
      <sheetData sheetId="9" refreshError="1"/>
      <sheetData sheetId="10"/>
      <sheetData sheetId="1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Cashflow Forecast Port"/>
      <sheetName val="FX Adjustment"/>
      <sheetName val="LBO Control"/>
      <sheetName val="Standalone"/>
      <sheetName val="Balance Sheet"/>
      <sheetName val="Data Validation Names"/>
      <sheetName val="c1"/>
      <sheetName val="DCF 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Timelinezltq"/>
    </sheetNames>
    <sheetDataSet>
      <sheetData sheetId="0">
        <row r="12">
          <cell r="A12" t="str">
            <v>2010-09</v>
          </cell>
        </row>
        <row r="13">
          <cell r="A13" t="str">
            <v>2010-10</v>
          </cell>
        </row>
        <row r="14">
          <cell r="A14" t="str">
            <v>2010-11</v>
          </cell>
        </row>
        <row r="15">
          <cell r="A15" t="str">
            <v>2010-12</v>
          </cell>
        </row>
        <row r="16">
          <cell r="A16" t="str">
            <v>2011-01</v>
          </cell>
        </row>
        <row r="17">
          <cell r="A17" t="str">
            <v>2011-02</v>
          </cell>
        </row>
        <row r="18">
          <cell r="A18" t="str">
            <v>2011-03</v>
          </cell>
        </row>
        <row r="19">
          <cell r="A19" t="str">
            <v>2011-04</v>
          </cell>
        </row>
        <row r="20">
          <cell r="A20" t="str">
            <v>2011-05</v>
          </cell>
        </row>
        <row r="21">
          <cell r="A21" t="str">
            <v>2011-06</v>
          </cell>
        </row>
        <row r="22">
          <cell r="A22" t="str">
            <v>2011-07</v>
          </cell>
        </row>
        <row r="23">
          <cell r="A23" t="str">
            <v>2011-08</v>
          </cell>
        </row>
        <row r="24">
          <cell r="A24" t="str">
            <v>2011-09</v>
          </cell>
        </row>
        <row r="25">
          <cell r="A25" t="str">
            <v>2011-10</v>
          </cell>
        </row>
        <row r="26">
          <cell r="A26" t="str">
            <v>2011-11</v>
          </cell>
        </row>
        <row r="27">
          <cell r="A27" t="str">
            <v>2011-12</v>
          </cell>
        </row>
        <row r="28">
          <cell r="A28" t="str">
            <v>2012-01</v>
          </cell>
        </row>
        <row r="29">
          <cell r="A29" t="str">
            <v>2012-02</v>
          </cell>
        </row>
        <row r="30">
          <cell r="A30" t="str">
            <v>2012-03</v>
          </cell>
        </row>
        <row r="31">
          <cell r="A31" t="str">
            <v>2012-04</v>
          </cell>
        </row>
        <row r="32">
          <cell r="A32" t="str">
            <v>2012-05</v>
          </cell>
        </row>
        <row r="33">
          <cell r="A33" t="str">
            <v>2012-06</v>
          </cell>
        </row>
        <row r="34">
          <cell r="A34" t="str">
            <v>2012-07</v>
          </cell>
        </row>
        <row r="35">
          <cell r="A35" t="str">
            <v>2012-08</v>
          </cell>
        </row>
        <row r="36">
          <cell r="A36" t="str">
            <v>2012-09</v>
          </cell>
        </row>
        <row r="37">
          <cell r="A37" t="str">
            <v>2012-10</v>
          </cell>
        </row>
        <row r="38">
          <cell r="A38" t="str">
            <v>2012-11</v>
          </cell>
        </row>
        <row r="39">
          <cell r="A39" t="str">
            <v>2012-12</v>
          </cell>
        </row>
        <row r="40">
          <cell r="A40" t="str">
            <v>2013-01</v>
          </cell>
        </row>
        <row r="41">
          <cell r="A41" t="str">
            <v>2013-02</v>
          </cell>
        </row>
        <row r="42">
          <cell r="A42" t="str">
            <v>2013-03</v>
          </cell>
        </row>
        <row r="43">
          <cell r="A43" t="str">
            <v>2013-04</v>
          </cell>
        </row>
        <row r="44">
          <cell r="A44" t="str">
            <v>2013-05</v>
          </cell>
        </row>
        <row r="45">
          <cell r="A45" t="str">
            <v>2013-06</v>
          </cell>
        </row>
        <row r="46">
          <cell r="A46" t="str">
            <v>2013-07</v>
          </cell>
        </row>
        <row r="47">
          <cell r="A47" t="str">
            <v>2013-08</v>
          </cell>
        </row>
        <row r="48">
          <cell r="A48" t="str">
            <v>2013-09</v>
          </cell>
        </row>
        <row r="49">
          <cell r="A49" t="str">
            <v>2013-10</v>
          </cell>
        </row>
        <row r="50">
          <cell r="A50" t="str">
            <v>2013-11</v>
          </cell>
        </row>
        <row r="51">
          <cell r="A51" t="str">
            <v>2013-12</v>
          </cell>
        </row>
        <row r="52">
          <cell r="A52" t="str">
            <v>2014-01</v>
          </cell>
        </row>
        <row r="53">
          <cell r="A53" t="str">
            <v>2014-02</v>
          </cell>
        </row>
        <row r="54">
          <cell r="A54" t="str">
            <v>2014-03</v>
          </cell>
        </row>
        <row r="55">
          <cell r="A55" t="str">
            <v>2014-04</v>
          </cell>
        </row>
        <row r="56">
          <cell r="A56" t="str">
            <v>2014-05</v>
          </cell>
        </row>
        <row r="57">
          <cell r="A57" t="str">
            <v>2014-06</v>
          </cell>
        </row>
        <row r="58">
          <cell r="A58" t="str">
            <v>2014-07</v>
          </cell>
        </row>
        <row r="59">
          <cell r="A59" t="str">
            <v>2014-08</v>
          </cell>
        </row>
        <row r="60">
          <cell r="A60" t="str">
            <v>2014-09</v>
          </cell>
        </row>
        <row r="61">
          <cell r="A61" t="str">
            <v>2014-10</v>
          </cell>
        </row>
        <row r="62">
          <cell r="A62" t="str">
            <v>2014-11</v>
          </cell>
        </row>
        <row r="63">
          <cell r="A63" t="str">
            <v>2014-12</v>
          </cell>
        </row>
        <row r="64">
          <cell r="A64" t="str">
            <v>2015-01</v>
          </cell>
        </row>
        <row r="65">
          <cell r="A65" t="str">
            <v>2015-02</v>
          </cell>
        </row>
        <row r="66">
          <cell r="A66" t="str">
            <v>2015-03</v>
          </cell>
        </row>
        <row r="67">
          <cell r="A67" t="str">
            <v>2015-04</v>
          </cell>
        </row>
        <row r="68">
          <cell r="A68" t="str">
            <v>2015-05</v>
          </cell>
        </row>
        <row r="69">
          <cell r="A69" t="str">
            <v>2015-06</v>
          </cell>
        </row>
        <row r="70">
          <cell r="A70" t="str">
            <v>2015-07</v>
          </cell>
        </row>
        <row r="71">
          <cell r="A71" t="str">
            <v>2015-08</v>
          </cell>
        </row>
        <row r="72">
          <cell r="A72" t="str">
            <v>2015-09</v>
          </cell>
        </row>
        <row r="73">
          <cell r="A73" t="str">
            <v>2015-10</v>
          </cell>
        </row>
        <row r="74">
          <cell r="A74" t="str">
            <v>2015-11</v>
          </cell>
        </row>
        <row r="75">
          <cell r="A75" t="str">
            <v>2015-12</v>
          </cell>
        </row>
        <row r="76">
          <cell r="A76" t="str">
            <v>2016-01</v>
          </cell>
        </row>
        <row r="77">
          <cell r="A77" t="str">
            <v>2016-02</v>
          </cell>
        </row>
        <row r="78">
          <cell r="A78" t="str">
            <v>2016-03</v>
          </cell>
        </row>
        <row r="79">
          <cell r="A79" t="str">
            <v>2016-04</v>
          </cell>
        </row>
        <row r="80">
          <cell r="A80" t="str">
            <v>2016-05</v>
          </cell>
        </row>
        <row r="81">
          <cell r="A81" t="str">
            <v>2016-06</v>
          </cell>
        </row>
        <row r="82">
          <cell r="A82" t="str">
            <v>2016-07</v>
          </cell>
        </row>
        <row r="83">
          <cell r="A83" t="str">
            <v>2016-08</v>
          </cell>
        </row>
        <row r="84">
          <cell r="A84" t="str">
            <v>2016-09</v>
          </cell>
        </row>
        <row r="85">
          <cell r="A85" t="str">
            <v>2016-10</v>
          </cell>
        </row>
        <row r="86">
          <cell r="A86" t="str">
            <v>2016-11</v>
          </cell>
        </row>
        <row r="87">
          <cell r="A87" t="str">
            <v>2016-12</v>
          </cell>
        </row>
        <row r="88">
          <cell r="A88" t="str">
            <v>2017-01</v>
          </cell>
        </row>
        <row r="89">
          <cell r="A89" t="str">
            <v>2017-02</v>
          </cell>
        </row>
        <row r="90">
          <cell r="A90" t="str">
            <v>2017-03</v>
          </cell>
        </row>
        <row r="91">
          <cell r="A91" t="str">
            <v>2017-04</v>
          </cell>
        </row>
        <row r="92">
          <cell r="A92" t="str">
            <v>2017-05</v>
          </cell>
        </row>
        <row r="93">
          <cell r="A93" t="str">
            <v>2017-06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trlProps/ctrlProp2.xml" Type="http://schemas.openxmlformats.org/officeDocument/2006/relationships/ctrlProp"/>
<Relationship Id="rId5" Target="../ctrlProps/ctrlProp3.xml" Type="http://schemas.openxmlformats.org/officeDocument/2006/relationships/ctrlProp"/>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91"/>
  <sheetViews>
    <sheetView showGridLines="0" tabSelected="1" workbookViewId="0">
      <selection activeCell="Z1" sqref="Z1"/>
    </sheetView>
  </sheetViews>
  <sheetFormatPr defaultRowHeight="12.75" x14ac:dyDescent="0.2"/>
  <cols>
    <col min="1" max="1" width="25.7109375" style="1009" customWidth="1"/>
    <col min="2" max="5" width="9.140625" style="1009"/>
    <col min="6" max="6" width="18.7109375" style="1009" customWidth="1"/>
    <col min="7" max="256" width="9.140625" style="1009"/>
    <col min="257" max="257" width="100.7109375" style="1009" customWidth="1"/>
    <col min="258" max="512" width="9.140625" style="1009"/>
    <col min="513" max="513" width="100.7109375" style="1009" customWidth="1"/>
    <col min="514" max="768" width="9.140625" style="1009"/>
    <col min="769" max="769" width="100.7109375" style="1009" customWidth="1"/>
    <col min="770" max="1024" width="9.140625" style="1009"/>
    <col min="1025" max="1025" width="100.7109375" style="1009" customWidth="1"/>
    <col min="1026" max="1280" width="9.140625" style="1009"/>
    <col min="1281" max="1281" width="100.7109375" style="1009" customWidth="1"/>
    <col min="1282" max="1536" width="9.140625" style="1009"/>
    <col min="1537" max="1537" width="100.7109375" style="1009" customWidth="1"/>
    <col min="1538" max="1792" width="9.140625" style="1009"/>
    <col min="1793" max="1793" width="100.7109375" style="1009" customWidth="1"/>
    <col min="1794" max="2048" width="9.140625" style="1009"/>
    <col min="2049" max="2049" width="100.7109375" style="1009" customWidth="1"/>
    <col min="2050" max="2304" width="9.140625" style="1009"/>
    <col min="2305" max="2305" width="100.7109375" style="1009" customWidth="1"/>
    <col min="2306" max="2560" width="9.140625" style="1009"/>
    <col min="2561" max="2561" width="100.7109375" style="1009" customWidth="1"/>
    <col min="2562" max="2816" width="9.140625" style="1009"/>
    <col min="2817" max="2817" width="100.7109375" style="1009" customWidth="1"/>
    <col min="2818" max="3072" width="9.140625" style="1009"/>
    <col min="3073" max="3073" width="100.7109375" style="1009" customWidth="1"/>
    <col min="3074" max="3328" width="9.140625" style="1009"/>
    <col min="3329" max="3329" width="100.7109375" style="1009" customWidth="1"/>
    <col min="3330" max="3584" width="9.140625" style="1009"/>
    <col min="3585" max="3585" width="100.7109375" style="1009" customWidth="1"/>
    <col min="3586" max="3840" width="9.140625" style="1009"/>
    <col min="3841" max="3841" width="100.7109375" style="1009" customWidth="1"/>
    <col min="3842" max="4096" width="9.140625" style="1009"/>
    <col min="4097" max="4097" width="100.7109375" style="1009" customWidth="1"/>
    <col min="4098" max="4352" width="9.140625" style="1009"/>
    <col min="4353" max="4353" width="100.7109375" style="1009" customWidth="1"/>
    <col min="4354" max="4608" width="9.140625" style="1009"/>
    <col min="4609" max="4609" width="100.7109375" style="1009" customWidth="1"/>
    <col min="4610" max="4864" width="9.140625" style="1009"/>
    <col min="4865" max="4865" width="100.7109375" style="1009" customWidth="1"/>
    <col min="4866" max="5120" width="9.140625" style="1009"/>
    <col min="5121" max="5121" width="100.7109375" style="1009" customWidth="1"/>
    <col min="5122" max="5376" width="9.140625" style="1009"/>
    <col min="5377" max="5377" width="100.7109375" style="1009" customWidth="1"/>
    <col min="5378" max="5632" width="9.140625" style="1009"/>
    <col min="5633" max="5633" width="100.7109375" style="1009" customWidth="1"/>
    <col min="5634" max="5888" width="9.140625" style="1009"/>
    <col min="5889" max="5889" width="100.7109375" style="1009" customWidth="1"/>
    <col min="5890" max="6144" width="9.140625" style="1009"/>
    <col min="6145" max="6145" width="100.7109375" style="1009" customWidth="1"/>
    <col min="6146" max="6400" width="9.140625" style="1009"/>
    <col min="6401" max="6401" width="100.7109375" style="1009" customWidth="1"/>
    <col min="6402" max="6656" width="9.140625" style="1009"/>
    <col min="6657" max="6657" width="100.7109375" style="1009" customWidth="1"/>
    <col min="6658" max="6912" width="9.140625" style="1009"/>
    <col min="6913" max="6913" width="100.7109375" style="1009" customWidth="1"/>
    <col min="6914" max="7168" width="9.140625" style="1009"/>
    <col min="7169" max="7169" width="100.7109375" style="1009" customWidth="1"/>
    <col min="7170" max="7424" width="9.140625" style="1009"/>
    <col min="7425" max="7425" width="100.7109375" style="1009" customWidth="1"/>
    <col min="7426" max="7680" width="9.140625" style="1009"/>
    <col min="7681" max="7681" width="100.7109375" style="1009" customWidth="1"/>
    <col min="7682" max="7936" width="9.140625" style="1009"/>
    <col min="7937" max="7937" width="100.7109375" style="1009" customWidth="1"/>
    <col min="7938" max="8192" width="9.140625" style="1009"/>
    <col min="8193" max="8193" width="100.7109375" style="1009" customWidth="1"/>
    <col min="8194" max="8448" width="9.140625" style="1009"/>
    <col min="8449" max="8449" width="100.7109375" style="1009" customWidth="1"/>
    <col min="8450" max="8704" width="9.140625" style="1009"/>
    <col min="8705" max="8705" width="100.7109375" style="1009" customWidth="1"/>
    <col min="8706" max="8960" width="9.140625" style="1009"/>
    <col min="8961" max="8961" width="100.7109375" style="1009" customWidth="1"/>
    <col min="8962" max="9216" width="9.140625" style="1009"/>
    <col min="9217" max="9217" width="100.7109375" style="1009" customWidth="1"/>
    <col min="9218" max="9472" width="9.140625" style="1009"/>
    <col min="9473" max="9473" width="100.7109375" style="1009" customWidth="1"/>
    <col min="9474" max="9728" width="9.140625" style="1009"/>
    <col min="9729" max="9729" width="100.7109375" style="1009" customWidth="1"/>
    <col min="9730" max="9984" width="9.140625" style="1009"/>
    <col min="9985" max="9985" width="100.7109375" style="1009" customWidth="1"/>
    <col min="9986" max="10240" width="9.140625" style="1009"/>
    <col min="10241" max="10241" width="100.7109375" style="1009" customWidth="1"/>
    <col min="10242" max="10496" width="9.140625" style="1009"/>
    <col min="10497" max="10497" width="100.7109375" style="1009" customWidth="1"/>
    <col min="10498" max="10752" width="9.140625" style="1009"/>
    <col min="10753" max="10753" width="100.7109375" style="1009" customWidth="1"/>
    <col min="10754" max="11008" width="9.140625" style="1009"/>
    <col min="11009" max="11009" width="100.7109375" style="1009" customWidth="1"/>
    <col min="11010" max="11264" width="9.140625" style="1009"/>
    <col min="11265" max="11265" width="100.7109375" style="1009" customWidth="1"/>
    <col min="11266" max="11520" width="9.140625" style="1009"/>
    <col min="11521" max="11521" width="100.7109375" style="1009" customWidth="1"/>
    <col min="11522" max="11776" width="9.140625" style="1009"/>
    <col min="11777" max="11777" width="100.7109375" style="1009" customWidth="1"/>
    <col min="11778" max="12032" width="9.140625" style="1009"/>
    <col min="12033" max="12033" width="100.7109375" style="1009" customWidth="1"/>
    <col min="12034" max="12288" width="9.140625" style="1009"/>
    <col min="12289" max="12289" width="100.7109375" style="1009" customWidth="1"/>
    <col min="12290" max="12544" width="9.140625" style="1009"/>
    <col min="12545" max="12545" width="100.7109375" style="1009" customWidth="1"/>
    <col min="12546" max="12800" width="9.140625" style="1009"/>
    <col min="12801" max="12801" width="100.7109375" style="1009" customWidth="1"/>
    <col min="12802" max="13056" width="9.140625" style="1009"/>
    <col min="13057" max="13057" width="100.7109375" style="1009" customWidth="1"/>
    <col min="13058" max="13312" width="9.140625" style="1009"/>
    <col min="13313" max="13313" width="100.7109375" style="1009" customWidth="1"/>
    <col min="13314" max="13568" width="9.140625" style="1009"/>
    <col min="13569" max="13569" width="100.7109375" style="1009" customWidth="1"/>
    <col min="13570" max="13824" width="9.140625" style="1009"/>
    <col min="13825" max="13825" width="100.7109375" style="1009" customWidth="1"/>
    <col min="13826" max="14080" width="9.140625" style="1009"/>
    <col min="14081" max="14081" width="100.7109375" style="1009" customWidth="1"/>
    <col min="14082" max="14336" width="9.140625" style="1009"/>
    <col min="14337" max="14337" width="100.7109375" style="1009" customWidth="1"/>
    <col min="14338" max="14592" width="9.140625" style="1009"/>
    <col min="14593" max="14593" width="100.7109375" style="1009" customWidth="1"/>
    <col min="14594" max="14848" width="9.140625" style="1009"/>
    <col min="14849" max="14849" width="100.7109375" style="1009" customWidth="1"/>
    <col min="14850" max="15104" width="9.140625" style="1009"/>
    <col min="15105" max="15105" width="100.7109375" style="1009" customWidth="1"/>
    <col min="15106" max="15360" width="9.140625" style="1009"/>
    <col min="15361" max="15361" width="100.7109375" style="1009" customWidth="1"/>
    <col min="15362" max="15616" width="9.140625" style="1009"/>
    <col min="15617" max="15617" width="100.7109375" style="1009" customWidth="1"/>
    <col min="15618" max="15872" width="9.140625" style="1009"/>
    <col min="15873" max="15873" width="100.7109375" style="1009" customWidth="1"/>
    <col min="15874" max="16128" width="9.140625" style="1009"/>
    <col min="16129" max="16129" width="100.7109375" style="1009" customWidth="1"/>
    <col min="16130" max="16384" width="9.140625" style="1009"/>
  </cols>
  <sheetData>
    <row r="1" spans="1:8" ht="30" customHeight="1" x14ac:dyDescent="0.2">
      <c r="A1" s="1007"/>
      <c r="B1" s="1008"/>
      <c r="C1" s="1008"/>
      <c r="D1" s="1008"/>
      <c r="E1" s="1008"/>
      <c r="F1" s="1008"/>
      <c r="G1" s="1008"/>
      <c r="H1" s="1008"/>
    </row>
    <row r="2" spans="1:8" ht="14.25" x14ac:dyDescent="0.2">
      <c r="A2" s="1010" t="s">
        <v>597</v>
      </c>
      <c r="B2" s="1008"/>
      <c r="C2" s="1008"/>
      <c r="D2" s="1008"/>
      <c r="E2" s="1008"/>
      <c r="F2" s="1008"/>
      <c r="G2" s="1008"/>
      <c r="H2" s="1008"/>
    </row>
    <row r="3" spans="1:8" ht="14.25" x14ac:dyDescent="0.2">
      <c r="A3" s="1010" t="s">
        <v>598</v>
      </c>
      <c r="B3" s="1008"/>
      <c r="C3" s="1008"/>
      <c r="D3" s="1008"/>
      <c r="E3" s="1008"/>
      <c r="F3" s="1008"/>
      <c r="G3" s="1008"/>
      <c r="H3" s="1008"/>
    </row>
    <row r="4" spans="1:8" ht="14.25" x14ac:dyDescent="0.2">
      <c r="A4" s="1010" t="s">
        <v>599</v>
      </c>
      <c r="B4" s="1008"/>
      <c r="C4" s="1008"/>
      <c r="D4" s="1008"/>
      <c r="E4" s="1008"/>
      <c r="F4" s="1008"/>
      <c r="G4" s="1008"/>
      <c r="H4" s="1008"/>
    </row>
    <row r="5" spans="1:8" ht="14.25" x14ac:dyDescent="0.2">
      <c r="A5" s="1010" t="s">
        <v>600</v>
      </c>
      <c r="B5" s="1008"/>
      <c r="C5" s="1008"/>
      <c r="D5" s="1008"/>
      <c r="E5" s="1008"/>
      <c r="F5" s="1008"/>
      <c r="G5" s="1008"/>
      <c r="H5" s="1008"/>
    </row>
    <row r="6" spans="1:8" ht="14.25" x14ac:dyDescent="0.2">
      <c r="A6" s="1010"/>
      <c r="B6" s="1008"/>
      <c r="C6" s="1008"/>
      <c r="D6" s="1008"/>
      <c r="E6" s="1008"/>
      <c r="F6" s="1008"/>
      <c r="G6" s="1008"/>
      <c r="H6" s="1008"/>
    </row>
    <row r="7" spans="1:8" x14ac:dyDescent="0.2">
      <c r="A7" s="1007" t="s">
        <v>601</v>
      </c>
      <c r="B7" s="1008"/>
      <c r="C7" s="1008"/>
      <c r="D7" s="1008"/>
      <c r="E7" s="1008"/>
      <c r="F7" s="1008"/>
      <c r="G7" s="1008"/>
      <c r="H7" s="1008"/>
    </row>
    <row r="8" spans="1:8" x14ac:dyDescent="0.2">
      <c r="A8" s="1007" t="s">
        <v>602</v>
      </c>
      <c r="B8" s="1008"/>
      <c r="C8" s="1008"/>
      <c r="D8" s="1008"/>
      <c r="E8" s="1008"/>
      <c r="F8" s="1008"/>
      <c r="G8" s="1008"/>
      <c r="H8" s="1008"/>
    </row>
    <row r="9" spans="1:8" x14ac:dyDescent="0.2">
      <c r="A9" s="1007"/>
      <c r="B9" s="1008"/>
      <c r="C9" s="1008"/>
      <c r="D9" s="1008"/>
      <c r="E9" s="1008"/>
      <c r="F9" s="1008"/>
      <c r="G9" s="1008"/>
      <c r="H9" s="1008"/>
    </row>
    <row r="10" spans="1:8" x14ac:dyDescent="0.2">
      <c r="A10" s="1011" t="s">
        <v>603</v>
      </c>
      <c r="B10" s="1008"/>
      <c r="C10" s="1008"/>
      <c r="D10" s="1008"/>
      <c r="E10" s="1008"/>
      <c r="F10" s="1008"/>
      <c r="G10" s="1008"/>
      <c r="H10" s="1008"/>
    </row>
    <row r="11" spans="1:8" x14ac:dyDescent="0.2">
      <c r="A11" s="1011" t="s">
        <v>604</v>
      </c>
      <c r="B11" s="1008"/>
      <c r="C11" s="1008"/>
      <c r="D11" s="1008"/>
      <c r="E11" s="1008"/>
      <c r="F11" s="1008"/>
      <c r="G11" s="1008"/>
      <c r="H11" s="1008"/>
    </row>
    <row r="12" spans="1:8" x14ac:dyDescent="0.2">
      <c r="A12" s="1011" t="s">
        <v>605</v>
      </c>
      <c r="B12" s="1008"/>
      <c r="C12" s="1008"/>
      <c r="D12" s="1008"/>
      <c r="E12" s="1008"/>
      <c r="F12" s="1008"/>
      <c r="G12" s="1008"/>
      <c r="H12" s="1008"/>
    </row>
    <row r="13" spans="1:8" x14ac:dyDescent="0.2">
      <c r="A13" s="1011" t="s">
        <v>606</v>
      </c>
      <c r="B13" s="1008"/>
      <c r="C13" s="1008"/>
      <c r="D13" s="1008"/>
      <c r="E13" s="1008"/>
      <c r="F13" s="1008"/>
      <c r="G13" s="1008"/>
      <c r="H13" s="1008"/>
    </row>
    <row r="14" spans="1:8" x14ac:dyDescent="0.2">
      <c r="A14" s="1011" t="s">
        <v>607</v>
      </c>
      <c r="B14" s="1008"/>
      <c r="C14" s="1008"/>
      <c r="D14" s="1008"/>
      <c r="E14" s="1008"/>
      <c r="F14" s="1008"/>
      <c r="G14" s="1008"/>
      <c r="H14" s="1008"/>
    </row>
    <row r="15" spans="1:8" x14ac:dyDescent="0.2">
      <c r="A15" s="1011" t="s">
        <v>608</v>
      </c>
      <c r="B15" s="1008"/>
      <c r="C15" s="1008"/>
      <c r="D15" s="1008"/>
      <c r="E15" s="1008"/>
      <c r="F15" s="1008"/>
      <c r="G15" s="1008"/>
      <c r="H15" s="1008"/>
    </row>
    <row r="16" spans="1:8" x14ac:dyDescent="0.2">
      <c r="A16" s="1011"/>
      <c r="B16" s="1008"/>
      <c r="C16" s="1008"/>
      <c r="D16" s="1008"/>
      <c r="E16" s="1008"/>
      <c r="F16" s="1008"/>
      <c r="G16" s="1008"/>
      <c r="H16" s="1008"/>
    </row>
    <row r="17" spans="1:8" x14ac:dyDescent="0.2">
      <c r="A17" s="1011" t="s">
        <v>594</v>
      </c>
      <c r="B17" s="1008"/>
      <c r="C17" s="1008"/>
      <c r="D17" s="1008"/>
      <c r="E17" s="1008"/>
      <c r="F17" s="1008"/>
      <c r="G17" s="1008"/>
      <c r="H17" s="1008"/>
    </row>
    <row r="18" spans="1:8" x14ac:dyDescent="0.2">
      <c r="A18" s="1011"/>
      <c r="B18" s="1008"/>
      <c r="C18" s="1008"/>
      <c r="D18" s="1008"/>
      <c r="E18" s="1008"/>
      <c r="F18" s="1008"/>
      <c r="G18" s="1008"/>
      <c r="H18" s="1008"/>
    </row>
    <row r="19" spans="1:8" x14ac:dyDescent="0.2">
      <c r="A19" s="1011" t="s">
        <v>595</v>
      </c>
      <c r="B19" s="1008"/>
      <c r="C19" s="1008"/>
      <c r="D19" s="1008"/>
      <c r="E19" s="1008"/>
      <c r="F19" s="1008"/>
      <c r="G19" s="1008"/>
      <c r="H19" s="1008"/>
    </row>
    <row r="20" spans="1:8" x14ac:dyDescent="0.2">
      <c r="A20" s="1007"/>
      <c r="B20" s="1008"/>
      <c r="C20" s="1008"/>
      <c r="D20" s="1008"/>
      <c r="E20" s="1008"/>
      <c r="F20" s="1008"/>
      <c r="G20" s="1008"/>
      <c r="H20" s="1008"/>
    </row>
    <row r="21" spans="1:8" x14ac:dyDescent="0.2">
      <c r="A21" s="1012" t="s">
        <v>596</v>
      </c>
      <c r="B21" s="1008"/>
      <c r="C21" s="1008"/>
      <c r="D21" s="1008"/>
      <c r="E21" s="1008"/>
      <c r="F21" s="1008"/>
      <c r="G21" s="1008"/>
      <c r="H21" s="1008"/>
    </row>
    <row r="22" spans="1:8" x14ac:dyDescent="0.2">
      <c r="A22" s="1013"/>
      <c r="B22" s="1013"/>
      <c r="C22" s="1013"/>
      <c r="D22" s="1013"/>
      <c r="E22" s="1013"/>
      <c r="F22" s="1013"/>
      <c r="G22" s="1013"/>
      <c r="H22" s="1013"/>
    </row>
    <row r="23" spans="1:8" x14ac:dyDescent="0.2">
      <c r="A23" s="1014" t="s">
        <v>886</v>
      </c>
      <c r="B23" s="1013"/>
      <c r="C23" s="1013"/>
      <c r="D23" s="1013"/>
      <c r="E23" s="1013"/>
      <c r="F23" s="1013"/>
      <c r="G23" s="1013"/>
      <c r="H23" s="1013"/>
    </row>
    <row r="24" spans="1:8" x14ac:dyDescent="0.2">
      <c r="A24" s="1014" t="s">
        <v>887</v>
      </c>
      <c r="B24" s="1013"/>
      <c r="C24" s="1013"/>
      <c r="D24" s="1013"/>
      <c r="E24" s="1013"/>
      <c r="F24" s="1013"/>
      <c r="G24" s="1013"/>
      <c r="H24" s="1013"/>
    </row>
    <row r="25" spans="1:8" x14ac:dyDescent="0.2">
      <c r="A25" s="1014" t="s">
        <v>888</v>
      </c>
      <c r="B25" s="1013"/>
      <c r="C25" s="1013"/>
      <c r="D25" s="1013"/>
      <c r="E25" s="1013"/>
      <c r="F25" s="1013"/>
      <c r="G25" s="1013"/>
      <c r="H25" s="1013"/>
    </row>
    <row r="26" spans="1:8" x14ac:dyDescent="0.2">
      <c r="A26" s="1014" t="s">
        <v>889</v>
      </c>
      <c r="B26" s="1013"/>
      <c r="C26" s="1013"/>
      <c r="D26" s="1013"/>
      <c r="E26" s="1013"/>
      <c r="F26" s="1013"/>
      <c r="G26" s="1013"/>
      <c r="H26" s="1013"/>
    </row>
    <row r="27" spans="1:8" x14ac:dyDescent="0.2">
      <c r="A27" s="1013"/>
      <c r="B27" s="1013"/>
      <c r="C27" s="1013"/>
      <c r="D27" s="1013"/>
      <c r="E27" s="1013"/>
      <c r="F27" s="1013"/>
      <c r="G27" s="1013"/>
      <c r="H27" s="1013"/>
    </row>
    <row r="28" spans="1:8" x14ac:dyDescent="0.2">
      <c r="A28" s="1013"/>
      <c r="B28" s="1013"/>
      <c r="C28" s="1013"/>
      <c r="D28" s="1013"/>
      <c r="E28" s="1013"/>
      <c r="F28" s="1013"/>
      <c r="G28" s="1013"/>
      <c r="H28" s="1013"/>
    </row>
    <row r="29" spans="1:8" x14ac:dyDescent="0.2">
      <c r="A29" s="1014" t="s">
        <v>881</v>
      </c>
      <c r="B29" s="1013"/>
      <c r="C29" s="1013"/>
      <c r="D29" s="1013"/>
      <c r="E29" s="1013"/>
      <c r="F29" s="1013"/>
      <c r="G29" s="1013"/>
      <c r="H29" s="1013"/>
    </row>
    <row r="30" spans="1:8" x14ac:dyDescent="0.2">
      <c r="A30" s="1014" t="s">
        <v>882</v>
      </c>
      <c r="B30" s="1013"/>
      <c r="C30" s="1013"/>
      <c r="D30" s="1013"/>
      <c r="E30" s="1013"/>
      <c r="F30" s="1013"/>
      <c r="G30" s="1013"/>
      <c r="H30" s="1013"/>
    </row>
    <row r="31" spans="1:8" x14ac:dyDescent="0.2">
      <c r="A31" s="1014" t="s">
        <v>883</v>
      </c>
      <c r="B31" s="1013"/>
      <c r="C31" s="1013"/>
      <c r="D31" s="1013"/>
      <c r="E31" s="1013"/>
      <c r="F31" s="1013"/>
      <c r="G31" s="1013"/>
      <c r="H31" s="1013"/>
    </row>
    <row r="32" spans="1:8" x14ac:dyDescent="0.2">
      <c r="A32" s="1014" t="s">
        <v>884</v>
      </c>
      <c r="B32" s="1013"/>
      <c r="C32" s="1013"/>
      <c r="D32" s="1013"/>
      <c r="E32" s="1013"/>
      <c r="F32" s="1013"/>
      <c r="G32" s="1013"/>
      <c r="H32" s="1013"/>
    </row>
    <row r="33" spans="1:8" x14ac:dyDescent="0.2">
      <c r="A33" s="1014" t="s">
        <v>885</v>
      </c>
      <c r="B33" s="1013"/>
      <c r="C33" s="1013"/>
      <c r="D33" s="1013"/>
      <c r="E33" s="1013"/>
      <c r="F33" s="1013"/>
      <c r="G33" s="1013"/>
      <c r="H33" s="1013"/>
    </row>
    <row r="34" spans="1:8" x14ac:dyDescent="0.2">
      <c r="A34" s="1013"/>
      <c r="B34" s="1013"/>
      <c r="C34" s="1013"/>
      <c r="D34" s="1013"/>
      <c r="E34" s="1013"/>
      <c r="F34" s="1013"/>
      <c r="G34" s="1013"/>
      <c r="H34" s="1013"/>
    </row>
    <row r="35" spans="1:8" x14ac:dyDescent="0.2">
      <c r="A35" s="1014" t="s">
        <v>877</v>
      </c>
      <c r="B35" s="1013"/>
      <c r="C35" s="1013"/>
      <c r="D35" s="1013"/>
      <c r="E35" s="1013"/>
      <c r="F35" s="1013"/>
      <c r="G35" s="1013"/>
      <c r="H35" s="1013"/>
    </row>
    <row r="36" spans="1:8" x14ac:dyDescent="0.2">
      <c r="A36" s="1014" t="s">
        <v>878</v>
      </c>
      <c r="B36" s="1013"/>
      <c r="C36" s="1013"/>
      <c r="D36" s="1013"/>
      <c r="E36" s="1013"/>
      <c r="F36" s="1013"/>
      <c r="G36" s="1013"/>
      <c r="H36" s="1013"/>
    </row>
    <row r="37" spans="1:8" x14ac:dyDescent="0.2">
      <c r="A37" s="1014" t="s">
        <v>879</v>
      </c>
      <c r="B37" s="1013"/>
      <c r="C37" s="1013"/>
      <c r="D37" s="1013"/>
      <c r="E37" s="1013"/>
      <c r="F37" s="1013"/>
      <c r="G37" s="1013"/>
      <c r="H37" s="1013"/>
    </row>
    <row r="38" spans="1:8" x14ac:dyDescent="0.2">
      <c r="A38" s="1014" t="s">
        <v>880</v>
      </c>
      <c r="B38" s="1013"/>
      <c r="C38" s="1013"/>
      <c r="D38" s="1013"/>
      <c r="E38" s="1013"/>
      <c r="F38" s="1013"/>
      <c r="G38" s="1013"/>
      <c r="H38" s="1013"/>
    </row>
    <row r="39" spans="1:8" x14ac:dyDescent="0.2">
      <c r="A39" s="1013"/>
      <c r="B39" s="1013"/>
      <c r="C39" s="1013"/>
      <c r="D39" s="1013"/>
      <c r="E39" s="1013"/>
      <c r="F39" s="1013"/>
      <c r="G39" s="1013"/>
      <c r="H39" s="1013"/>
    </row>
    <row r="40" spans="1:8" x14ac:dyDescent="0.2">
      <c r="A40" s="1014" t="s">
        <v>871</v>
      </c>
      <c r="B40" s="1013"/>
      <c r="C40" s="1013"/>
      <c r="D40" s="1013"/>
      <c r="E40" s="1013"/>
      <c r="F40" s="1013"/>
      <c r="G40" s="1013"/>
      <c r="H40" s="1013"/>
    </row>
    <row r="41" spans="1:8" x14ac:dyDescent="0.2">
      <c r="A41" s="1014" t="s">
        <v>872</v>
      </c>
      <c r="B41" s="1013"/>
      <c r="C41" s="1013"/>
      <c r="D41" s="1013"/>
      <c r="E41" s="1013"/>
      <c r="F41" s="1013"/>
      <c r="G41" s="1013"/>
      <c r="H41" s="1013"/>
    </row>
    <row r="42" spans="1:8" x14ac:dyDescent="0.2">
      <c r="A42" s="1014" t="s">
        <v>873</v>
      </c>
      <c r="B42" s="1013"/>
      <c r="C42" s="1013"/>
      <c r="D42" s="1013"/>
      <c r="E42" s="1013"/>
      <c r="F42" s="1013"/>
      <c r="G42" s="1013"/>
      <c r="H42" s="1013"/>
    </row>
    <row r="43" spans="1:8" x14ac:dyDescent="0.2">
      <c r="A43" s="1014" t="s">
        <v>874</v>
      </c>
      <c r="B43" s="1013"/>
      <c r="C43" s="1013"/>
      <c r="D43" s="1013"/>
      <c r="E43" s="1013"/>
      <c r="F43" s="1013"/>
      <c r="G43" s="1013"/>
      <c r="H43" s="1013"/>
    </row>
    <row r="44" spans="1:8" x14ac:dyDescent="0.2">
      <c r="A44" s="1014" t="s">
        <v>875</v>
      </c>
      <c r="B44" s="1013"/>
      <c r="C44" s="1013"/>
      <c r="D44" s="1013"/>
      <c r="E44" s="1013"/>
      <c r="F44" s="1013"/>
      <c r="G44" s="1013"/>
      <c r="H44" s="1013"/>
    </row>
    <row r="45" spans="1:8" x14ac:dyDescent="0.2">
      <c r="A45" s="1014" t="s">
        <v>876</v>
      </c>
      <c r="B45" s="1013"/>
      <c r="C45" s="1013"/>
      <c r="D45" s="1013"/>
      <c r="E45" s="1013"/>
      <c r="F45" s="1013"/>
      <c r="G45" s="1013"/>
      <c r="H45" s="1013"/>
    </row>
    <row r="46" spans="1:8" x14ac:dyDescent="0.2">
      <c r="A46" s="1013"/>
      <c r="B46" s="1013"/>
      <c r="C46" s="1013"/>
      <c r="D46" s="1013"/>
      <c r="E46" s="1013"/>
      <c r="F46" s="1013"/>
      <c r="G46" s="1013"/>
      <c r="H46" s="1013"/>
    </row>
    <row r="47" spans="1:8" ht="15.75" x14ac:dyDescent="0.2">
      <c r="A47" s="1015" t="s">
        <v>609</v>
      </c>
      <c r="B47" s="1013"/>
      <c r="C47" s="1013"/>
      <c r="D47" s="1013"/>
      <c r="E47" s="1013"/>
      <c r="F47" s="1013"/>
      <c r="G47" s="1013"/>
      <c r="H47" s="1013"/>
    </row>
    <row r="48" spans="1:8" x14ac:dyDescent="0.2">
      <c r="A48" s="1013"/>
      <c r="B48" s="1013"/>
      <c r="C48" s="1013"/>
      <c r="D48" s="1013"/>
      <c r="E48" s="1013"/>
      <c r="F48" s="1013"/>
      <c r="G48" s="1013"/>
      <c r="H48" s="1013"/>
    </row>
    <row r="49" spans="1:8" x14ac:dyDescent="0.2">
      <c r="A49" s="1014" t="s">
        <v>867</v>
      </c>
      <c r="B49" s="1013"/>
      <c r="C49" s="1013"/>
      <c r="D49" s="1013"/>
      <c r="E49" s="1013"/>
      <c r="F49" s="1013"/>
      <c r="G49" s="1013"/>
      <c r="H49" s="1013"/>
    </row>
    <row r="50" spans="1:8" x14ac:dyDescent="0.2">
      <c r="A50" s="1014" t="s">
        <v>868</v>
      </c>
      <c r="B50" s="1013"/>
      <c r="C50" s="1013"/>
      <c r="D50" s="1013"/>
      <c r="E50" s="1013"/>
      <c r="F50" s="1013"/>
      <c r="G50" s="1013"/>
      <c r="H50" s="1013"/>
    </row>
    <row r="51" spans="1:8" x14ac:dyDescent="0.2">
      <c r="A51" s="1014" t="s">
        <v>869</v>
      </c>
      <c r="B51" s="1013"/>
      <c r="C51" s="1013"/>
      <c r="D51" s="1013"/>
      <c r="E51" s="1013"/>
      <c r="F51" s="1013"/>
      <c r="G51" s="1013"/>
      <c r="H51" s="1013"/>
    </row>
    <row r="52" spans="1:8" x14ac:dyDescent="0.2">
      <c r="A52" s="1014" t="s">
        <v>870</v>
      </c>
      <c r="B52" s="1013"/>
      <c r="C52" s="1013"/>
      <c r="D52" s="1013"/>
      <c r="E52" s="1013"/>
      <c r="F52" s="1013"/>
      <c r="G52" s="1013"/>
      <c r="H52" s="1013"/>
    </row>
    <row r="53" spans="1:8" x14ac:dyDescent="0.2">
      <c r="A53" s="1013"/>
      <c r="B53" s="1013"/>
      <c r="C53" s="1013"/>
      <c r="D53" s="1013"/>
      <c r="E53" s="1013"/>
      <c r="F53" s="1013"/>
      <c r="G53" s="1013"/>
      <c r="H53" s="1013"/>
    </row>
    <row r="54" spans="1:8" x14ac:dyDescent="0.2">
      <c r="A54" s="1014" t="s">
        <v>610</v>
      </c>
      <c r="B54" s="1013"/>
      <c r="C54" s="1013"/>
      <c r="D54" s="1013"/>
      <c r="E54" s="1013"/>
      <c r="F54" s="1013"/>
      <c r="G54" s="1013"/>
      <c r="H54" s="1013"/>
    </row>
    <row r="55" spans="1:8" x14ac:dyDescent="0.2">
      <c r="A55" s="1013"/>
      <c r="B55" s="1013"/>
      <c r="C55" s="1013"/>
      <c r="D55" s="1013"/>
      <c r="E55" s="1013"/>
      <c r="F55" s="1013"/>
      <c r="G55" s="1013"/>
      <c r="H55" s="1013"/>
    </row>
    <row r="56" spans="1:8" ht="15.75" x14ac:dyDescent="0.2">
      <c r="A56" s="1015" t="s">
        <v>611</v>
      </c>
      <c r="B56" s="1013"/>
      <c r="C56" s="1013"/>
      <c r="D56" s="1013"/>
      <c r="E56" s="1013"/>
      <c r="F56" s="1013"/>
      <c r="G56" s="1013"/>
      <c r="H56" s="1013"/>
    </row>
    <row r="57" spans="1:8" x14ac:dyDescent="0.2">
      <c r="A57" s="1013"/>
      <c r="B57" s="1013"/>
      <c r="C57" s="1013"/>
      <c r="D57" s="1013"/>
      <c r="E57" s="1013"/>
      <c r="F57" s="1013"/>
      <c r="G57" s="1013"/>
      <c r="H57" s="1013"/>
    </row>
    <row r="58" spans="1:8" x14ac:dyDescent="0.2">
      <c r="A58" s="1014" t="s">
        <v>865</v>
      </c>
      <c r="B58" s="1013"/>
      <c r="C58" s="1013"/>
      <c r="D58" s="1013"/>
      <c r="E58" s="1013"/>
      <c r="F58" s="1013"/>
      <c r="G58" s="1013"/>
      <c r="H58" s="1013"/>
    </row>
    <row r="59" spans="1:8" x14ac:dyDescent="0.2">
      <c r="A59" s="1014" t="s">
        <v>866</v>
      </c>
      <c r="B59" s="1013"/>
      <c r="C59" s="1013"/>
      <c r="D59" s="1013"/>
      <c r="E59" s="1013"/>
      <c r="F59" s="1013"/>
      <c r="G59" s="1013"/>
      <c r="H59" s="1013"/>
    </row>
    <row r="60" spans="1:8" x14ac:dyDescent="0.2">
      <c r="A60" s="1013"/>
      <c r="B60" s="1013"/>
      <c r="C60" s="1013"/>
      <c r="D60" s="1013"/>
      <c r="E60" s="1013"/>
      <c r="F60" s="1013"/>
      <c r="G60" s="1013"/>
      <c r="H60" s="1013"/>
    </row>
    <row r="61" spans="1:8" ht="15.75" x14ac:dyDescent="0.2">
      <c r="A61" s="1015" t="s">
        <v>612</v>
      </c>
      <c r="B61" s="1013"/>
      <c r="C61" s="1013"/>
      <c r="D61" s="1013"/>
      <c r="E61" s="1013"/>
      <c r="F61" s="1013"/>
      <c r="G61" s="1013"/>
      <c r="H61" s="1013"/>
    </row>
    <row r="62" spans="1:8" x14ac:dyDescent="0.2">
      <c r="A62" s="1013"/>
      <c r="B62" s="1013"/>
      <c r="C62" s="1013"/>
      <c r="D62" s="1013"/>
      <c r="E62" s="1013"/>
      <c r="F62" s="1013"/>
      <c r="G62" s="1013"/>
      <c r="H62" s="1013"/>
    </row>
    <row r="63" spans="1:8" x14ac:dyDescent="0.2">
      <c r="A63" s="1014" t="s">
        <v>863</v>
      </c>
      <c r="B63" s="1013"/>
      <c r="C63" s="1013"/>
      <c r="D63" s="1013"/>
      <c r="E63" s="1013"/>
      <c r="F63" s="1013"/>
      <c r="G63" s="1013"/>
      <c r="H63" s="1013"/>
    </row>
    <row r="64" spans="1:8" x14ac:dyDescent="0.2">
      <c r="A64" s="1014" t="s">
        <v>864</v>
      </c>
      <c r="B64" s="1013"/>
      <c r="C64" s="1013"/>
      <c r="D64" s="1013"/>
      <c r="E64" s="1013"/>
      <c r="F64" s="1013"/>
      <c r="G64" s="1013"/>
      <c r="H64" s="1013"/>
    </row>
    <row r="65" spans="1:8" x14ac:dyDescent="0.2">
      <c r="A65" s="1013"/>
      <c r="B65" s="1013"/>
      <c r="C65" s="1013"/>
      <c r="D65" s="1013"/>
      <c r="E65" s="1013"/>
      <c r="F65" s="1013"/>
      <c r="G65" s="1013"/>
      <c r="H65" s="1013"/>
    </row>
    <row r="66" spans="1:8" x14ac:dyDescent="0.2">
      <c r="A66" s="1014" t="s">
        <v>861</v>
      </c>
      <c r="B66" s="1013"/>
      <c r="C66" s="1013"/>
      <c r="D66" s="1013"/>
      <c r="E66" s="1013"/>
      <c r="F66" s="1013"/>
      <c r="G66" s="1013"/>
      <c r="H66" s="1013"/>
    </row>
    <row r="67" spans="1:8" x14ac:dyDescent="0.2">
      <c r="A67" s="1014" t="s">
        <v>862</v>
      </c>
      <c r="B67" s="1013"/>
      <c r="C67" s="1013"/>
      <c r="D67" s="1013"/>
      <c r="E67" s="1013"/>
      <c r="F67" s="1013"/>
      <c r="G67" s="1013"/>
      <c r="H67" s="1013"/>
    </row>
    <row r="68" spans="1:8" x14ac:dyDescent="0.2">
      <c r="A68" s="1013"/>
      <c r="B68" s="1013"/>
      <c r="C68" s="1013"/>
      <c r="D68" s="1013"/>
      <c r="E68" s="1013"/>
      <c r="F68" s="1013"/>
      <c r="G68" s="1013"/>
      <c r="H68" s="1013"/>
    </row>
    <row r="69" spans="1:8" x14ac:dyDescent="0.2">
      <c r="A69" s="1014" t="s">
        <v>859</v>
      </c>
      <c r="B69" s="1013"/>
      <c r="C69" s="1013"/>
      <c r="D69" s="1013"/>
      <c r="E69" s="1013"/>
      <c r="F69" s="1013"/>
      <c r="G69" s="1013"/>
      <c r="H69" s="1013"/>
    </row>
    <row r="70" spans="1:8" x14ac:dyDescent="0.2">
      <c r="A70" s="1014" t="s">
        <v>860</v>
      </c>
      <c r="B70" s="1013"/>
      <c r="C70" s="1013"/>
      <c r="D70" s="1013"/>
      <c r="E70" s="1013"/>
      <c r="F70" s="1013"/>
      <c r="G70" s="1013"/>
      <c r="H70" s="1013"/>
    </row>
    <row r="71" spans="1:8" x14ac:dyDescent="0.2">
      <c r="A71" s="1013"/>
      <c r="B71" s="1013"/>
      <c r="C71" s="1013"/>
      <c r="D71" s="1013"/>
      <c r="E71" s="1013"/>
      <c r="F71" s="1013"/>
      <c r="G71" s="1013"/>
      <c r="H71" s="1013"/>
    </row>
    <row r="72" spans="1:8" x14ac:dyDescent="0.2">
      <c r="A72" s="1014" t="s">
        <v>857</v>
      </c>
      <c r="B72" s="1013"/>
      <c r="C72" s="1013"/>
      <c r="D72" s="1013"/>
      <c r="E72" s="1013"/>
      <c r="F72" s="1013"/>
      <c r="G72" s="1013"/>
      <c r="H72" s="1013"/>
    </row>
    <row r="73" spans="1:8" x14ac:dyDescent="0.2">
      <c r="A73" s="1014" t="s">
        <v>858</v>
      </c>
      <c r="B73" s="1013"/>
      <c r="C73" s="1013"/>
      <c r="D73" s="1013"/>
      <c r="E73" s="1013"/>
      <c r="F73" s="1013"/>
      <c r="G73" s="1013"/>
      <c r="H73" s="1013"/>
    </row>
    <row r="74" spans="1:8" x14ac:dyDescent="0.2">
      <c r="A74" s="1013"/>
      <c r="B74" s="1013"/>
      <c r="C74" s="1013"/>
      <c r="D74" s="1013"/>
      <c r="E74" s="1013"/>
      <c r="F74" s="1013"/>
      <c r="G74" s="1013"/>
      <c r="H74" s="1013"/>
    </row>
    <row r="75" spans="1:8" x14ac:dyDescent="0.2">
      <c r="A75" s="1014" t="s">
        <v>854</v>
      </c>
      <c r="B75" s="1013"/>
      <c r="C75" s="1013"/>
      <c r="D75" s="1013"/>
      <c r="E75" s="1013"/>
      <c r="F75" s="1013"/>
      <c r="G75" s="1013"/>
      <c r="H75" s="1013"/>
    </row>
    <row r="76" spans="1:8" x14ac:dyDescent="0.2">
      <c r="A76" s="1014" t="s">
        <v>855</v>
      </c>
      <c r="B76" s="1013"/>
      <c r="C76" s="1013"/>
      <c r="D76" s="1013"/>
      <c r="E76" s="1013"/>
      <c r="F76" s="1013"/>
      <c r="G76" s="1013"/>
      <c r="H76" s="1013"/>
    </row>
    <row r="77" spans="1:8" x14ac:dyDescent="0.2">
      <c r="A77" s="1014" t="s">
        <v>856</v>
      </c>
      <c r="B77" s="1013"/>
      <c r="C77" s="1013"/>
      <c r="D77" s="1013"/>
      <c r="E77" s="1013"/>
      <c r="F77" s="1013"/>
      <c r="G77" s="1013"/>
      <c r="H77" s="1013"/>
    </row>
    <row r="78" spans="1:8" x14ac:dyDescent="0.2">
      <c r="A78" s="1013"/>
      <c r="B78" s="1013"/>
      <c r="C78" s="1013"/>
      <c r="D78" s="1013"/>
      <c r="E78" s="1013"/>
      <c r="F78" s="1013"/>
      <c r="G78" s="1013"/>
      <c r="H78" s="1013"/>
    </row>
    <row r="79" spans="1:8" x14ac:dyDescent="0.2">
      <c r="A79" s="1014" t="s">
        <v>613</v>
      </c>
      <c r="B79" s="1013"/>
      <c r="C79" s="1013"/>
      <c r="D79" s="1013"/>
      <c r="E79" s="1013"/>
      <c r="F79" s="1013"/>
      <c r="G79" s="1013"/>
      <c r="H79" s="1013"/>
    </row>
    <row r="80" spans="1:8" x14ac:dyDescent="0.2">
      <c r="A80" s="1013"/>
      <c r="B80" s="1013"/>
      <c r="C80" s="1013"/>
      <c r="D80" s="1013"/>
      <c r="E80" s="1013"/>
      <c r="F80" s="1013"/>
      <c r="G80" s="1013"/>
      <c r="H80" s="1013"/>
    </row>
    <row r="81" spans="1:8" x14ac:dyDescent="0.2">
      <c r="A81" s="1014" t="s">
        <v>849</v>
      </c>
      <c r="B81" s="1013"/>
      <c r="C81" s="1013"/>
      <c r="D81" s="1013"/>
      <c r="E81" s="1013"/>
      <c r="F81" s="1013"/>
      <c r="G81" s="1013"/>
      <c r="H81" s="1013"/>
    </row>
    <row r="82" spans="1:8" x14ac:dyDescent="0.2">
      <c r="A82" s="1014" t="s">
        <v>850</v>
      </c>
      <c r="B82" s="1013"/>
      <c r="C82" s="1013"/>
      <c r="D82" s="1013"/>
      <c r="E82" s="1013"/>
      <c r="F82" s="1013"/>
      <c r="G82" s="1013"/>
      <c r="H82" s="1013"/>
    </row>
    <row r="83" spans="1:8" x14ac:dyDescent="0.2">
      <c r="A83" s="1014" t="s">
        <v>851</v>
      </c>
      <c r="B83" s="1013"/>
      <c r="C83" s="1013"/>
      <c r="D83" s="1013"/>
      <c r="E83" s="1013"/>
      <c r="F83" s="1013"/>
      <c r="G83" s="1013"/>
      <c r="H83" s="1013"/>
    </row>
    <row r="84" spans="1:8" x14ac:dyDescent="0.2">
      <c r="A84" s="1014" t="s">
        <v>852</v>
      </c>
      <c r="B84" s="1013"/>
      <c r="C84" s="1013"/>
      <c r="D84" s="1013"/>
      <c r="E84" s="1013"/>
      <c r="F84" s="1013"/>
      <c r="G84" s="1013"/>
      <c r="H84" s="1013"/>
    </row>
    <row r="85" spans="1:8" x14ac:dyDescent="0.2">
      <c r="A85" s="1014" t="s">
        <v>853</v>
      </c>
      <c r="B85" s="1013"/>
      <c r="C85" s="1013"/>
      <c r="D85" s="1013"/>
      <c r="E85" s="1013"/>
      <c r="F85" s="1013"/>
      <c r="G85" s="1013"/>
      <c r="H85" s="1013"/>
    </row>
    <row r="86" spans="1:8" x14ac:dyDescent="0.2">
      <c r="A86" s="1014" t="s">
        <v>738</v>
      </c>
      <c r="B86" s="1013"/>
      <c r="C86" s="1013"/>
      <c r="D86" s="1013"/>
      <c r="E86" s="1013"/>
      <c r="F86" s="1013"/>
      <c r="G86" s="1013"/>
      <c r="H86" s="1013"/>
    </row>
    <row r="87" spans="1:8" x14ac:dyDescent="0.2">
      <c r="A87" s="1013"/>
      <c r="B87" s="1013"/>
      <c r="C87" s="1013"/>
      <c r="D87" s="1013"/>
      <c r="E87" s="1013"/>
      <c r="F87" s="1013"/>
      <c r="G87" s="1013"/>
      <c r="H87" s="1013"/>
    </row>
    <row r="88" spans="1:8" x14ac:dyDescent="0.2">
      <c r="A88" s="1014" t="s">
        <v>842</v>
      </c>
      <c r="B88" s="1013"/>
      <c r="C88" s="1013"/>
      <c r="D88" s="1013"/>
      <c r="E88" s="1013"/>
      <c r="F88" s="1013"/>
      <c r="G88" s="1013"/>
      <c r="H88" s="1013"/>
    </row>
    <row r="89" spans="1:8" x14ac:dyDescent="0.2">
      <c r="A89" s="1014" t="s">
        <v>843</v>
      </c>
      <c r="B89" s="1013"/>
      <c r="C89" s="1013"/>
      <c r="D89" s="1013"/>
      <c r="E89" s="1013"/>
      <c r="F89" s="1013"/>
      <c r="G89" s="1013"/>
      <c r="H89" s="1013"/>
    </row>
    <row r="90" spans="1:8" x14ac:dyDescent="0.2">
      <c r="A90" s="1014" t="s">
        <v>844</v>
      </c>
      <c r="B90" s="1013"/>
      <c r="C90" s="1013"/>
      <c r="D90" s="1013"/>
      <c r="E90" s="1013"/>
      <c r="F90" s="1013"/>
      <c r="G90" s="1013"/>
      <c r="H90" s="1013"/>
    </row>
    <row r="91" spans="1:8" x14ac:dyDescent="0.2">
      <c r="A91" s="1014" t="s">
        <v>845</v>
      </c>
      <c r="B91" s="1013"/>
      <c r="C91" s="1013"/>
      <c r="D91" s="1013"/>
      <c r="E91" s="1013"/>
      <c r="F91" s="1013"/>
      <c r="G91" s="1013"/>
      <c r="H91" s="1013"/>
    </row>
    <row r="92" spans="1:8" x14ac:dyDescent="0.2">
      <c r="A92" s="1014" t="s">
        <v>846</v>
      </c>
      <c r="B92" s="1013"/>
      <c r="C92" s="1013"/>
      <c r="D92" s="1013"/>
      <c r="E92" s="1013"/>
      <c r="F92" s="1013"/>
      <c r="G92" s="1013"/>
      <c r="H92" s="1013"/>
    </row>
    <row r="93" spans="1:8" x14ac:dyDescent="0.2">
      <c r="A93" s="1014" t="s">
        <v>847</v>
      </c>
      <c r="B93" s="1013"/>
      <c r="C93" s="1013"/>
      <c r="D93" s="1013"/>
      <c r="E93" s="1013"/>
      <c r="F93" s="1013"/>
      <c r="G93" s="1013"/>
      <c r="H93" s="1013"/>
    </row>
    <row r="94" spans="1:8" x14ac:dyDescent="0.2">
      <c r="A94" s="1014" t="s">
        <v>848</v>
      </c>
      <c r="B94" s="1013"/>
      <c r="C94" s="1013"/>
      <c r="D94" s="1013"/>
      <c r="E94" s="1013"/>
      <c r="F94" s="1013"/>
      <c r="G94" s="1013"/>
      <c r="H94" s="1013"/>
    </row>
    <row r="95" spans="1:8" x14ac:dyDescent="0.2">
      <c r="A95" s="1013"/>
      <c r="B95" s="1013"/>
      <c r="C95" s="1013"/>
      <c r="D95" s="1013"/>
      <c r="E95" s="1013"/>
      <c r="F95" s="1013"/>
      <c r="G95" s="1013"/>
      <c r="H95" s="1013"/>
    </row>
    <row r="96" spans="1:8" x14ac:dyDescent="0.2">
      <c r="A96" s="1014" t="s">
        <v>840</v>
      </c>
      <c r="B96" s="1013"/>
      <c r="C96" s="1013"/>
      <c r="D96" s="1013"/>
      <c r="E96" s="1013"/>
      <c r="F96" s="1013"/>
      <c r="G96" s="1013"/>
      <c r="H96" s="1013"/>
    </row>
    <row r="97" spans="1:8" x14ac:dyDescent="0.2">
      <c r="A97" s="1014" t="s">
        <v>841</v>
      </c>
      <c r="B97" s="1013"/>
      <c r="C97" s="1013"/>
      <c r="D97" s="1013"/>
      <c r="E97" s="1013"/>
      <c r="F97" s="1013"/>
      <c r="G97" s="1013"/>
      <c r="H97" s="1013"/>
    </row>
    <row r="98" spans="1:8" x14ac:dyDescent="0.2">
      <c r="A98" s="1013"/>
      <c r="B98" s="1013"/>
      <c r="C98" s="1013"/>
      <c r="D98" s="1013"/>
      <c r="E98" s="1013"/>
      <c r="F98" s="1013"/>
      <c r="G98" s="1013"/>
      <c r="H98" s="1013"/>
    </row>
    <row r="99" spans="1:8" ht="15.75" x14ac:dyDescent="0.2">
      <c r="A99" s="1015" t="s">
        <v>614</v>
      </c>
      <c r="B99" s="1013"/>
      <c r="C99" s="1013"/>
      <c r="D99" s="1013"/>
      <c r="E99" s="1013"/>
      <c r="F99" s="1013"/>
      <c r="G99" s="1013"/>
      <c r="H99" s="1013"/>
    </row>
    <row r="100" spans="1:8" x14ac:dyDescent="0.2">
      <c r="A100" s="1013"/>
      <c r="B100" s="1013"/>
      <c r="C100" s="1013"/>
      <c r="D100" s="1013"/>
      <c r="E100" s="1013"/>
      <c r="F100" s="1013"/>
      <c r="G100" s="1013"/>
      <c r="H100" s="1013"/>
    </row>
    <row r="101" spans="1:8" x14ac:dyDescent="0.2">
      <c r="A101" s="1014" t="s">
        <v>831</v>
      </c>
      <c r="B101" s="1013"/>
      <c r="C101" s="1013"/>
      <c r="D101" s="1013"/>
      <c r="E101" s="1013"/>
      <c r="F101" s="1013"/>
      <c r="G101" s="1013"/>
      <c r="H101" s="1013"/>
    </row>
    <row r="102" spans="1:8" x14ac:dyDescent="0.2">
      <c r="A102" s="1014" t="s">
        <v>832</v>
      </c>
      <c r="B102" s="1013"/>
      <c r="C102" s="1013"/>
      <c r="D102" s="1013"/>
      <c r="E102" s="1013"/>
      <c r="F102" s="1013"/>
      <c r="G102" s="1013"/>
      <c r="H102" s="1013"/>
    </row>
    <row r="103" spans="1:8" x14ac:dyDescent="0.2">
      <c r="A103" s="1014" t="s">
        <v>833</v>
      </c>
      <c r="B103" s="1013"/>
      <c r="C103" s="1013"/>
      <c r="D103" s="1013"/>
      <c r="E103" s="1013"/>
      <c r="F103" s="1013"/>
      <c r="G103" s="1013"/>
      <c r="H103" s="1013"/>
    </row>
    <row r="104" spans="1:8" x14ac:dyDescent="0.2">
      <c r="A104" s="1014" t="s">
        <v>834</v>
      </c>
      <c r="B104" s="1013"/>
      <c r="C104" s="1013"/>
      <c r="D104" s="1013"/>
      <c r="E104" s="1013"/>
      <c r="F104" s="1013"/>
      <c r="G104" s="1013"/>
      <c r="H104" s="1013"/>
    </row>
    <row r="105" spans="1:8" x14ac:dyDescent="0.2">
      <c r="A105" s="1014" t="s">
        <v>835</v>
      </c>
      <c r="B105" s="1013"/>
      <c r="C105" s="1013"/>
      <c r="D105" s="1013"/>
      <c r="E105" s="1013"/>
      <c r="F105" s="1013"/>
      <c r="G105" s="1013"/>
      <c r="H105" s="1013"/>
    </row>
    <row r="106" spans="1:8" x14ac:dyDescent="0.2">
      <c r="A106" s="1014" t="s">
        <v>836</v>
      </c>
      <c r="B106" s="1013"/>
      <c r="C106" s="1013"/>
      <c r="D106" s="1013"/>
      <c r="E106" s="1013"/>
      <c r="F106" s="1013"/>
      <c r="G106" s="1013"/>
      <c r="H106" s="1013"/>
    </row>
    <row r="107" spans="1:8" x14ac:dyDescent="0.2">
      <c r="A107" s="1014" t="s">
        <v>837</v>
      </c>
      <c r="B107" s="1013"/>
      <c r="C107" s="1013"/>
      <c r="D107" s="1013"/>
      <c r="E107" s="1013"/>
      <c r="F107" s="1013"/>
      <c r="G107" s="1013"/>
      <c r="H107" s="1013"/>
    </row>
    <row r="108" spans="1:8" x14ac:dyDescent="0.2">
      <c r="A108" s="1014" t="s">
        <v>838</v>
      </c>
      <c r="B108" s="1013"/>
      <c r="C108" s="1013"/>
      <c r="D108" s="1013"/>
      <c r="E108" s="1013"/>
      <c r="F108" s="1013"/>
      <c r="G108" s="1013"/>
      <c r="H108" s="1013"/>
    </row>
    <row r="109" spans="1:8" x14ac:dyDescent="0.2">
      <c r="A109" s="1014" t="s">
        <v>839</v>
      </c>
      <c r="B109" s="1013"/>
      <c r="C109" s="1013"/>
      <c r="D109" s="1013"/>
      <c r="E109" s="1013"/>
      <c r="F109" s="1013"/>
      <c r="G109" s="1013"/>
      <c r="H109" s="1013"/>
    </row>
    <row r="110" spans="1:8" x14ac:dyDescent="0.2">
      <c r="A110" s="1013"/>
      <c r="B110" s="1013"/>
      <c r="C110" s="1013"/>
      <c r="D110" s="1013"/>
      <c r="E110" s="1013"/>
      <c r="F110" s="1013"/>
      <c r="G110" s="1013"/>
      <c r="H110" s="1013"/>
    </row>
    <row r="111" spans="1:8" ht="15.75" x14ac:dyDescent="0.2">
      <c r="A111" s="1016" t="s">
        <v>615</v>
      </c>
      <c r="B111" s="1016"/>
      <c r="C111" s="1016"/>
      <c r="D111" s="1016"/>
      <c r="E111" s="1016"/>
      <c r="F111" s="1016"/>
      <c r="G111" s="1016"/>
      <c r="H111" s="1016"/>
    </row>
    <row r="112" spans="1:8" x14ac:dyDescent="0.2">
      <c r="A112" s="1017" t="s">
        <v>616</v>
      </c>
      <c r="B112" s="1017"/>
      <c r="C112" s="1017"/>
      <c r="D112" s="1017"/>
      <c r="E112" s="1017"/>
      <c r="F112" s="1017"/>
      <c r="G112" s="1017"/>
      <c r="H112" s="1017"/>
    </row>
    <row r="113" spans="1:8" x14ac:dyDescent="0.2">
      <c r="A113" s="1018"/>
      <c r="B113" s="1018"/>
      <c r="C113" s="1018"/>
      <c r="D113" s="1018"/>
      <c r="E113" s="1018"/>
      <c r="F113" s="1018"/>
      <c r="G113" s="1018"/>
      <c r="H113" s="1018"/>
    </row>
    <row r="114" spans="1:8" x14ac:dyDescent="0.2">
      <c r="A114" s="1017" t="s">
        <v>829</v>
      </c>
      <c r="B114" s="1017"/>
      <c r="C114" s="1017"/>
      <c r="D114" s="1017"/>
      <c r="E114" s="1017"/>
      <c r="F114" s="1017"/>
      <c r="G114" s="1017"/>
      <c r="H114" s="1017"/>
    </row>
    <row r="115" spans="1:8" x14ac:dyDescent="0.2">
      <c r="A115" s="1014" t="s">
        <v>830</v>
      </c>
      <c r="B115" s="1014"/>
      <c r="C115" s="1014"/>
      <c r="D115" s="1014"/>
      <c r="E115" s="1014"/>
      <c r="F115" s="1014"/>
      <c r="G115" s="1014"/>
      <c r="H115" s="1014"/>
    </row>
    <row r="116" spans="1:8" x14ac:dyDescent="0.2">
      <c r="A116" s="1018"/>
      <c r="B116" s="1018"/>
      <c r="C116" s="1018"/>
      <c r="D116" s="1018"/>
      <c r="E116" s="1018"/>
      <c r="F116" s="1018"/>
      <c r="G116" s="1018"/>
      <c r="H116" s="1018"/>
    </row>
    <row r="117" spans="1:8" x14ac:dyDescent="0.2">
      <c r="A117" s="1017" t="s">
        <v>822</v>
      </c>
      <c r="B117" s="1017"/>
      <c r="C117" s="1017"/>
      <c r="D117" s="1017"/>
      <c r="E117" s="1017"/>
      <c r="F117" s="1017"/>
      <c r="G117" s="1017"/>
      <c r="H117" s="1017"/>
    </row>
    <row r="118" spans="1:8" x14ac:dyDescent="0.2">
      <c r="A118" s="1014" t="s">
        <v>823</v>
      </c>
      <c r="B118" s="1014"/>
      <c r="C118" s="1014"/>
      <c r="D118" s="1014"/>
      <c r="E118" s="1014"/>
      <c r="F118" s="1014"/>
      <c r="G118" s="1014"/>
      <c r="H118" s="1014"/>
    </row>
    <row r="119" spans="1:8" x14ac:dyDescent="0.2">
      <c r="A119" s="1014" t="s">
        <v>824</v>
      </c>
      <c r="B119" s="1014"/>
      <c r="C119" s="1014"/>
      <c r="D119" s="1014"/>
      <c r="E119" s="1014"/>
      <c r="F119" s="1014"/>
      <c r="G119" s="1014"/>
      <c r="H119" s="1014"/>
    </row>
    <row r="120" spans="1:8" x14ac:dyDescent="0.2">
      <c r="A120" s="1014" t="s">
        <v>825</v>
      </c>
      <c r="B120" s="1014"/>
      <c r="C120" s="1014"/>
      <c r="D120" s="1014"/>
      <c r="E120" s="1014"/>
      <c r="F120" s="1014"/>
      <c r="G120" s="1014"/>
      <c r="H120" s="1014"/>
    </row>
    <row r="121" spans="1:8" x14ac:dyDescent="0.2">
      <c r="A121" s="1014" t="s">
        <v>826</v>
      </c>
      <c r="B121" s="1014"/>
      <c r="C121" s="1014"/>
      <c r="D121" s="1014"/>
      <c r="E121" s="1014"/>
      <c r="F121" s="1014"/>
      <c r="G121" s="1014"/>
      <c r="H121" s="1014"/>
    </row>
    <row r="122" spans="1:8" x14ac:dyDescent="0.2">
      <c r="A122" s="1014" t="s">
        <v>827</v>
      </c>
      <c r="B122" s="1014"/>
      <c r="C122" s="1014"/>
      <c r="D122" s="1014"/>
      <c r="E122" s="1014"/>
      <c r="F122" s="1014"/>
      <c r="G122" s="1014"/>
      <c r="H122" s="1014"/>
    </row>
    <row r="123" spans="1:8" x14ac:dyDescent="0.2">
      <c r="A123" s="1014" t="s">
        <v>828</v>
      </c>
      <c r="B123" s="1014"/>
      <c r="C123" s="1014"/>
      <c r="D123" s="1014"/>
      <c r="E123" s="1014"/>
      <c r="F123" s="1014"/>
      <c r="G123" s="1014"/>
      <c r="H123" s="1014"/>
    </row>
    <row r="124" spans="1:8" x14ac:dyDescent="0.2">
      <c r="A124" s="1019"/>
      <c r="B124" s="1019"/>
      <c r="C124" s="1019"/>
      <c r="D124" s="1019"/>
      <c r="E124" s="1019"/>
      <c r="F124" s="1019"/>
      <c r="G124" s="1019"/>
      <c r="H124" s="1019"/>
    </row>
    <row r="125" spans="1:8" x14ac:dyDescent="0.2">
      <c r="A125" s="1020"/>
      <c r="B125" s="1021" t="s">
        <v>617</v>
      </c>
      <c r="C125" s="1022"/>
      <c r="D125" s="1021" t="s">
        <v>618</v>
      </c>
      <c r="E125" s="1023"/>
      <c r="F125" s="1022"/>
      <c r="G125" s="1021" t="s">
        <v>619</v>
      </c>
      <c r="H125" s="1022"/>
    </row>
    <row r="126" spans="1:8" x14ac:dyDescent="0.2">
      <c r="A126" s="1020" t="s">
        <v>620</v>
      </c>
      <c r="B126" s="1020" t="s">
        <v>93</v>
      </c>
      <c r="C126" s="1020" t="s">
        <v>488</v>
      </c>
      <c r="D126" s="1020" t="s">
        <v>93</v>
      </c>
      <c r="E126" s="1020" t="s">
        <v>621</v>
      </c>
      <c r="F126" s="1020" t="s">
        <v>622</v>
      </c>
      <c r="G126" s="1020" t="s">
        <v>93</v>
      </c>
      <c r="H126" s="1020" t="s">
        <v>623</v>
      </c>
    </row>
    <row r="127" spans="1:8" x14ac:dyDescent="0.2">
      <c r="A127" s="1020" t="s">
        <v>624</v>
      </c>
      <c r="B127" s="1020">
        <v>1189</v>
      </c>
      <c r="C127" s="1024">
        <v>0.38</v>
      </c>
      <c r="D127" s="1020">
        <v>315</v>
      </c>
      <c r="E127" s="1024">
        <v>0.41</v>
      </c>
      <c r="F127" s="1024">
        <v>0.26</v>
      </c>
      <c r="G127" s="1020">
        <v>555</v>
      </c>
      <c r="H127" s="1024">
        <v>0.39</v>
      </c>
    </row>
    <row r="128" spans="1:8" x14ac:dyDescent="0.2">
      <c r="A128" s="1020" t="s">
        <v>625</v>
      </c>
      <c r="B128" s="1020">
        <v>1355</v>
      </c>
      <c r="C128" s="1024">
        <v>0.43</v>
      </c>
      <c r="D128" s="1020">
        <v>364</v>
      </c>
      <c r="E128" s="1024">
        <v>0.47</v>
      </c>
      <c r="F128" s="1024">
        <v>0.27</v>
      </c>
      <c r="G128" s="1020">
        <v>644</v>
      </c>
      <c r="H128" s="1024">
        <v>0.45</v>
      </c>
    </row>
    <row r="129" spans="1:8" x14ac:dyDescent="0.2">
      <c r="A129" s="1020" t="s">
        <v>626</v>
      </c>
      <c r="B129" s="1020">
        <v>53</v>
      </c>
      <c r="C129" s="1024">
        <v>0.02</v>
      </c>
      <c r="D129" s="1020">
        <v>4</v>
      </c>
      <c r="E129" s="1024">
        <v>0.01</v>
      </c>
      <c r="F129" s="1024">
        <v>0.08</v>
      </c>
      <c r="G129" s="1020">
        <v>7</v>
      </c>
      <c r="H129" s="1024">
        <v>0</v>
      </c>
    </row>
    <row r="130" spans="1:8" x14ac:dyDescent="0.2">
      <c r="A130" s="1020" t="s">
        <v>627</v>
      </c>
      <c r="B130" s="1020">
        <v>545</v>
      </c>
      <c r="C130" s="1024">
        <v>0.17</v>
      </c>
      <c r="D130" s="1020">
        <v>84</v>
      </c>
      <c r="E130" s="1024">
        <v>0.11</v>
      </c>
      <c r="F130" s="1024">
        <v>0.15</v>
      </c>
      <c r="G130" s="1020">
        <v>214</v>
      </c>
      <c r="H130" s="1024">
        <v>0.15</v>
      </c>
    </row>
    <row r="131" spans="1:8" x14ac:dyDescent="0.2">
      <c r="A131" s="1020" t="s">
        <v>362</v>
      </c>
      <c r="B131" s="1025">
        <v>3142</v>
      </c>
      <c r="C131" s="1020"/>
      <c r="D131" s="1020">
        <v>767</v>
      </c>
      <c r="E131" s="1020"/>
      <c r="F131" s="1020"/>
      <c r="G131" s="1020">
        <v>1420</v>
      </c>
      <c r="H131" s="1020"/>
    </row>
    <row r="132" spans="1:8" x14ac:dyDescent="0.2">
      <c r="A132" s="1026"/>
      <c r="B132" s="1026"/>
      <c r="C132" s="1026"/>
      <c r="D132" s="1026"/>
      <c r="E132" s="1026"/>
      <c r="F132" s="1026"/>
      <c r="G132" s="1026"/>
      <c r="H132" s="1026"/>
    </row>
    <row r="133" spans="1:8" x14ac:dyDescent="0.2">
      <c r="A133" s="1017" t="s">
        <v>818</v>
      </c>
      <c r="B133" s="1017"/>
      <c r="C133" s="1017"/>
      <c r="D133" s="1017"/>
      <c r="E133" s="1017"/>
      <c r="F133" s="1017"/>
      <c r="G133" s="1017"/>
      <c r="H133" s="1017"/>
    </row>
    <row r="134" spans="1:8" x14ac:dyDescent="0.2">
      <c r="A134" s="1014" t="s">
        <v>819</v>
      </c>
      <c r="B134" s="1014"/>
      <c r="C134" s="1014"/>
      <c r="D134" s="1014"/>
      <c r="E134" s="1014"/>
      <c r="F134" s="1014"/>
      <c r="G134" s="1014"/>
      <c r="H134" s="1014"/>
    </row>
    <row r="135" spans="1:8" x14ac:dyDescent="0.2">
      <c r="A135" s="1014" t="s">
        <v>820</v>
      </c>
      <c r="B135" s="1014"/>
      <c r="C135" s="1014"/>
      <c r="D135" s="1014"/>
      <c r="E135" s="1014"/>
      <c r="F135" s="1014"/>
      <c r="G135" s="1014"/>
      <c r="H135" s="1014"/>
    </row>
    <row r="136" spans="1:8" x14ac:dyDescent="0.2">
      <c r="A136" s="1014" t="s">
        <v>821</v>
      </c>
      <c r="B136" s="1014"/>
      <c r="C136" s="1014"/>
      <c r="D136" s="1014"/>
      <c r="E136" s="1014"/>
      <c r="F136" s="1014"/>
      <c r="G136" s="1014"/>
      <c r="H136" s="1014"/>
    </row>
    <row r="137" spans="1:8" x14ac:dyDescent="0.2">
      <c r="A137" s="1013"/>
      <c r="B137" s="1013"/>
      <c r="C137" s="1013"/>
      <c r="D137" s="1013"/>
      <c r="E137" s="1013"/>
      <c r="F137" s="1013"/>
      <c r="G137" s="1013"/>
      <c r="H137" s="1013"/>
    </row>
    <row r="138" spans="1:8" ht="15.75" x14ac:dyDescent="0.2">
      <c r="A138" s="1015" t="s">
        <v>628</v>
      </c>
      <c r="B138" s="1013"/>
      <c r="C138" s="1013"/>
      <c r="D138" s="1013"/>
      <c r="E138" s="1013"/>
      <c r="F138" s="1013"/>
      <c r="G138" s="1013"/>
      <c r="H138" s="1013"/>
    </row>
    <row r="139" spans="1:8" x14ac:dyDescent="0.2">
      <c r="A139" s="1013"/>
      <c r="B139" s="1013"/>
      <c r="C139" s="1013"/>
      <c r="D139" s="1013"/>
      <c r="E139" s="1013"/>
      <c r="F139" s="1013"/>
      <c r="G139" s="1013"/>
      <c r="H139" s="1013"/>
    </row>
    <row r="140" spans="1:8" x14ac:dyDescent="0.2">
      <c r="A140" s="1014" t="s">
        <v>816</v>
      </c>
      <c r="B140" s="1013"/>
      <c r="C140" s="1013"/>
      <c r="D140" s="1013"/>
      <c r="E140" s="1013"/>
      <c r="F140" s="1013"/>
      <c r="G140" s="1013"/>
      <c r="H140" s="1013"/>
    </row>
    <row r="141" spans="1:8" x14ac:dyDescent="0.2">
      <c r="A141" s="1014" t="s">
        <v>817</v>
      </c>
      <c r="B141" s="1013"/>
      <c r="C141" s="1013"/>
      <c r="D141" s="1013"/>
      <c r="E141" s="1013"/>
      <c r="F141" s="1013"/>
      <c r="G141" s="1013"/>
      <c r="H141" s="1013"/>
    </row>
    <row r="142" spans="1:8" x14ac:dyDescent="0.2">
      <c r="A142" s="1013"/>
      <c r="B142" s="1013"/>
      <c r="C142" s="1013"/>
      <c r="D142" s="1013"/>
      <c r="E142" s="1013"/>
      <c r="F142" s="1013"/>
      <c r="G142" s="1013"/>
      <c r="H142" s="1013"/>
    </row>
    <row r="143" spans="1:8" x14ac:dyDescent="0.2">
      <c r="A143" s="1014" t="s">
        <v>813</v>
      </c>
      <c r="B143" s="1013"/>
      <c r="C143" s="1013"/>
      <c r="D143" s="1013"/>
      <c r="E143" s="1013"/>
      <c r="F143" s="1013"/>
      <c r="G143" s="1013"/>
      <c r="H143" s="1013"/>
    </row>
    <row r="144" spans="1:8" x14ac:dyDescent="0.2">
      <c r="A144" s="1014" t="s">
        <v>814</v>
      </c>
      <c r="B144" s="1013"/>
      <c r="C144" s="1013"/>
      <c r="D144" s="1013"/>
      <c r="E144" s="1013"/>
      <c r="F144" s="1013"/>
      <c r="G144" s="1013"/>
      <c r="H144" s="1013"/>
    </row>
    <row r="145" spans="1:8" x14ac:dyDescent="0.2">
      <c r="A145" s="1014" t="s">
        <v>815</v>
      </c>
      <c r="B145" s="1013"/>
      <c r="C145" s="1013"/>
      <c r="D145" s="1013"/>
      <c r="E145" s="1013"/>
      <c r="F145" s="1013"/>
      <c r="G145" s="1013"/>
      <c r="H145" s="1013"/>
    </row>
    <row r="146" spans="1:8" x14ac:dyDescent="0.2">
      <c r="A146" s="1013"/>
      <c r="B146" s="1013"/>
      <c r="C146" s="1013"/>
      <c r="D146" s="1013"/>
      <c r="E146" s="1013"/>
      <c r="F146" s="1013"/>
      <c r="G146" s="1013"/>
      <c r="H146" s="1013"/>
    </row>
    <row r="147" spans="1:8" x14ac:dyDescent="0.2">
      <c r="A147" s="1014" t="s">
        <v>810</v>
      </c>
      <c r="B147" s="1013"/>
      <c r="C147" s="1013"/>
      <c r="D147" s="1013"/>
      <c r="E147" s="1013"/>
      <c r="F147" s="1013"/>
      <c r="G147" s="1013"/>
      <c r="H147" s="1013"/>
    </row>
    <row r="148" spans="1:8" x14ac:dyDescent="0.2">
      <c r="A148" s="1014" t="s">
        <v>811</v>
      </c>
      <c r="B148" s="1013"/>
      <c r="C148" s="1013"/>
      <c r="D148" s="1013"/>
      <c r="E148" s="1013"/>
      <c r="F148" s="1013"/>
      <c r="G148" s="1013"/>
      <c r="H148" s="1013"/>
    </row>
    <row r="149" spans="1:8" x14ac:dyDescent="0.2">
      <c r="A149" s="1014" t="s">
        <v>812</v>
      </c>
      <c r="B149" s="1013"/>
      <c r="C149" s="1013"/>
      <c r="D149" s="1013"/>
      <c r="E149" s="1013"/>
      <c r="F149" s="1013"/>
      <c r="G149" s="1013"/>
      <c r="H149" s="1013"/>
    </row>
    <row r="150" spans="1:8" x14ac:dyDescent="0.2">
      <c r="A150" s="1013"/>
      <c r="B150" s="1013"/>
      <c r="C150" s="1013"/>
      <c r="D150" s="1013"/>
      <c r="E150" s="1013"/>
      <c r="F150" s="1013"/>
      <c r="G150" s="1013"/>
      <c r="H150" s="1013"/>
    </row>
    <row r="151" spans="1:8" x14ac:dyDescent="0.2">
      <c r="A151" s="1014" t="s">
        <v>807</v>
      </c>
      <c r="B151" s="1013"/>
      <c r="C151" s="1013"/>
      <c r="D151" s="1013"/>
      <c r="E151" s="1013"/>
      <c r="F151" s="1013"/>
      <c r="G151" s="1013"/>
      <c r="H151" s="1013"/>
    </row>
    <row r="152" spans="1:8" x14ac:dyDescent="0.2">
      <c r="A152" s="1014" t="s">
        <v>808</v>
      </c>
      <c r="B152" s="1013"/>
      <c r="C152" s="1013"/>
      <c r="D152" s="1013"/>
      <c r="E152" s="1013"/>
      <c r="F152" s="1013"/>
      <c r="G152" s="1013"/>
      <c r="H152" s="1013"/>
    </row>
    <row r="153" spans="1:8" x14ac:dyDescent="0.2">
      <c r="A153" s="1014" t="s">
        <v>809</v>
      </c>
      <c r="B153" s="1013"/>
      <c r="C153" s="1013"/>
      <c r="D153" s="1013"/>
      <c r="E153" s="1013"/>
      <c r="F153" s="1013"/>
      <c r="G153" s="1013"/>
      <c r="H153" s="1013"/>
    </row>
    <row r="154" spans="1:8" x14ac:dyDescent="0.2">
      <c r="A154" s="1013"/>
      <c r="B154" s="1013"/>
      <c r="C154" s="1013"/>
      <c r="D154" s="1013"/>
      <c r="E154" s="1013"/>
      <c r="F154" s="1013"/>
      <c r="G154" s="1013"/>
      <c r="H154" s="1013"/>
    </row>
    <row r="155" spans="1:8" x14ac:dyDescent="0.2">
      <c r="A155" s="1014" t="s">
        <v>805</v>
      </c>
      <c r="B155" s="1013"/>
      <c r="C155" s="1013"/>
      <c r="D155" s="1013"/>
      <c r="E155" s="1013"/>
      <c r="F155" s="1013"/>
      <c r="G155" s="1013"/>
      <c r="H155" s="1013"/>
    </row>
    <row r="156" spans="1:8" x14ac:dyDescent="0.2">
      <c r="A156" s="1014" t="s">
        <v>806</v>
      </c>
      <c r="B156" s="1013"/>
      <c r="C156" s="1013"/>
      <c r="D156" s="1013"/>
      <c r="E156" s="1013"/>
      <c r="F156" s="1013"/>
      <c r="G156" s="1013"/>
      <c r="H156" s="1013"/>
    </row>
    <row r="157" spans="1:8" x14ac:dyDescent="0.2">
      <c r="A157" s="1013"/>
      <c r="B157" s="1013"/>
      <c r="C157" s="1013"/>
      <c r="D157" s="1013"/>
      <c r="E157" s="1013"/>
      <c r="F157" s="1013"/>
      <c r="G157" s="1013"/>
      <c r="H157" s="1013"/>
    </row>
    <row r="158" spans="1:8" ht="15.75" x14ac:dyDescent="0.2">
      <c r="A158" s="1015" t="s">
        <v>629</v>
      </c>
      <c r="B158" s="1013"/>
      <c r="C158" s="1013"/>
      <c r="D158" s="1013"/>
      <c r="E158" s="1013"/>
      <c r="F158" s="1013"/>
      <c r="G158" s="1013"/>
      <c r="H158" s="1013"/>
    </row>
    <row r="159" spans="1:8" x14ac:dyDescent="0.2">
      <c r="A159" s="1013"/>
      <c r="B159" s="1013"/>
      <c r="C159" s="1013"/>
      <c r="D159" s="1013"/>
      <c r="E159" s="1013"/>
      <c r="F159" s="1013"/>
      <c r="G159" s="1013"/>
      <c r="H159" s="1013"/>
    </row>
    <row r="160" spans="1:8" x14ac:dyDescent="0.2">
      <c r="A160" s="1014" t="s">
        <v>803</v>
      </c>
      <c r="B160" s="1013"/>
      <c r="C160" s="1013"/>
      <c r="D160" s="1013"/>
      <c r="E160" s="1013"/>
      <c r="F160" s="1013"/>
      <c r="G160" s="1013"/>
      <c r="H160" s="1013"/>
    </row>
    <row r="161" spans="1:8" x14ac:dyDescent="0.2">
      <c r="A161" s="1014" t="s">
        <v>804</v>
      </c>
      <c r="B161" s="1013"/>
      <c r="C161" s="1013"/>
      <c r="D161" s="1013"/>
      <c r="E161" s="1013"/>
      <c r="F161" s="1013"/>
      <c r="G161" s="1013"/>
      <c r="H161" s="1013"/>
    </row>
    <row r="162" spans="1:8" x14ac:dyDescent="0.2">
      <c r="A162" s="1013"/>
      <c r="B162" s="1013"/>
      <c r="C162" s="1013"/>
      <c r="D162" s="1013"/>
      <c r="E162" s="1013"/>
      <c r="F162" s="1013"/>
      <c r="G162" s="1013"/>
      <c r="H162" s="1013"/>
    </row>
    <row r="163" spans="1:8" x14ac:dyDescent="0.2">
      <c r="A163" s="1014" t="s">
        <v>801</v>
      </c>
      <c r="B163" s="1013"/>
      <c r="C163" s="1013"/>
      <c r="D163" s="1013"/>
      <c r="E163" s="1013"/>
      <c r="F163" s="1013"/>
      <c r="G163" s="1013"/>
      <c r="H163" s="1013"/>
    </row>
    <row r="164" spans="1:8" x14ac:dyDescent="0.2">
      <c r="A164" s="1014" t="s">
        <v>802</v>
      </c>
      <c r="B164" s="1013"/>
      <c r="C164" s="1013"/>
      <c r="D164" s="1013"/>
      <c r="E164" s="1013"/>
      <c r="F164" s="1013"/>
      <c r="G164" s="1013"/>
      <c r="H164" s="1013"/>
    </row>
    <row r="165" spans="1:8" x14ac:dyDescent="0.2">
      <c r="A165" s="1013"/>
      <c r="B165" s="1013"/>
      <c r="C165" s="1013"/>
      <c r="D165" s="1013"/>
      <c r="E165" s="1013"/>
      <c r="F165" s="1013"/>
      <c r="G165" s="1013"/>
      <c r="H165" s="1013"/>
    </row>
    <row r="166" spans="1:8" x14ac:dyDescent="0.2">
      <c r="A166" s="1014" t="s">
        <v>799</v>
      </c>
      <c r="B166" s="1013"/>
      <c r="C166" s="1013"/>
      <c r="D166" s="1013"/>
      <c r="E166" s="1013"/>
      <c r="F166" s="1013"/>
      <c r="G166" s="1013"/>
      <c r="H166" s="1013"/>
    </row>
    <row r="167" spans="1:8" x14ac:dyDescent="0.2">
      <c r="A167" s="1014" t="s">
        <v>800</v>
      </c>
      <c r="B167" s="1013"/>
      <c r="C167" s="1013"/>
      <c r="D167" s="1013"/>
      <c r="E167" s="1013"/>
      <c r="F167" s="1013"/>
      <c r="G167" s="1013"/>
      <c r="H167" s="1013"/>
    </row>
    <row r="168" spans="1:8" x14ac:dyDescent="0.2">
      <c r="A168" s="1013"/>
      <c r="B168" s="1013"/>
      <c r="C168" s="1013"/>
      <c r="D168" s="1013"/>
      <c r="E168" s="1013"/>
      <c r="F168" s="1013"/>
      <c r="G168" s="1013"/>
      <c r="H168" s="1013"/>
    </row>
    <row r="169" spans="1:8" x14ac:dyDescent="0.2">
      <c r="A169" s="1014" t="s">
        <v>796</v>
      </c>
      <c r="B169" s="1013"/>
      <c r="C169" s="1013"/>
      <c r="D169" s="1013"/>
      <c r="E169" s="1013"/>
      <c r="F169" s="1013"/>
      <c r="G169" s="1013"/>
      <c r="H169" s="1013"/>
    </row>
    <row r="170" spans="1:8" x14ac:dyDescent="0.2">
      <c r="A170" s="1014" t="s">
        <v>797</v>
      </c>
      <c r="B170" s="1013"/>
      <c r="C170" s="1013"/>
      <c r="D170" s="1013"/>
      <c r="E170" s="1013"/>
      <c r="F170" s="1013"/>
      <c r="G170" s="1013"/>
      <c r="H170" s="1013"/>
    </row>
    <row r="171" spans="1:8" x14ac:dyDescent="0.2">
      <c r="A171" s="1014" t="s">
        <v>798</v>
      </c>
      <c r="B171" s="1013"/>
      <c r="C171" s="1013"/>
      <c r="D171" s="1013"/>
      <c r="E171" s="1013"/>
      <c r="F171" s="1013"/>
      <c r="G171" s="1013"/>
      <c r="H171" s="1013"/>
    </row>
    <row r="172" spans="1:8" x14ac:dyDescent="0.2">
      <c r="A172" s="1013"/>
      <c r="B172" s="1013"/>
      <c r="C172" s="1013"/>
      <c r="D172" s="1013"/>
      <c r="E172" s="1013"/>
      <c r="F172" s="1013"/>
      <c r="G172" s="1013"/>
      <c r="H172" s="1013"/>
    </row>
    <row r="173" spans="1:8" x14ac:dyDescent="0.2">
      <c r="A173" s="1013"/>
      <c r="B173" s="1013"/>
      <c r="C173" s="1013"/>
      <c r="D173" s="1013"/>
      <c r="E173" s="1013"/>
      <c r="F173" s="1013"/>
      <c r="G173" s="1013"/>
      <c r="H173" s="1013"/>
    </row>
    <row r="174" spans="1:8" x14ac:dyDescent="0.2">
      <c r="A174" s="1014" t="s">
        <v>630</v>
      </c>
      <c r="B174" s="1013"/>
      <c r="C174" s="1013"/>
      <c r="D174" s="1013"/>
      <c r="E174" s="1013"/>
      <c r="F174" s="1013"/>
      <c r="G174" s="1013"/>
      <c r="H174" s="1013"/>
    </row>
    <row r="175" spans="1:8" x14ac:dyDescent="0.2">
      <c r="A175" s="1013"/>
      <c r="B175" s="1013"/>
      <c r="C175" s="1013"/>
      <c r="D175" s="1013"/>
      <c r="E175" s="1013"/>
      <c r="F175" s="1013"/>
      <c r="G175" s="1013"/>
      <c r="H175" s="1013"/>
    </row>
    <row r="176" spans="1:8" ht="15.75" x14ac:dyDescent="0.2">
      <c r="A176" s="1015" t="s">
        <v>631</v>
      </c>
      <c r="B176" s="1013"/>
      <c r="C176" s="1013"/>
      <c r="D176" s="1013"/>
      <c r="E176" s="1013"/>
      <c r="F176" s="1013"/>
      <c r="G176" s="1013"/>
      <c r="H176" s="1013"/>
    </row>
    <row r="177" spans="1:8" x14ac:dyDescent="0.2">
      <c r="A177" s="1013"/>
      <c r="B177" s="1013"/>
      <c r="C177" s="1013"/>
      <c r="D177" s="1013"/>
      <c r="E177" s="1013"/>
      <c r="F177" s="1013"/>
      <c r="G177" s="1013"/>
      <c r="H177" s="1013"/>
    </row>
    <row r="178" spans="1:8" x14ac:dyDescent="0.2">
      <c r="A178" s="1013"/>
      <c r="B178" s="1013"/>
      <c r="C178" s="1013"/>
      <c r="D178" s="1013"/>
      <c r="E178" s="1013"/>
      <c r="F178" s="1013"/>
      <c r="G178" s="1013"/>
      <c r="H178" s="1013"/>
    </row>
    <row r="179" spans="1:8" x14ac:dyDescent="0.2">
      <c r="A179" s="1013"/>
      <c r="B179" s="1013"/>
      <c r="C179" s="1013"/>
      <c r="D179" s="1013"/>
      <c r="E179" s="1013"/>
      <c r="F179" s="1013"/>
      <c r="G179" s="1013"/>
      <c r="H179" s="1013"/>
    </row>
    <row r="180" spans="1:8" x14ac:dyDescent="0.2">
      <c r="A180" s="1013"/>
      <c r="B180" s="1013"/>
      <c r="C180" s="1013"/>
      <c r="D180" s="1013"/>
      <c r="E180" s="1013"/>
      <c r="F180" s="1013"/>
      <c r="G180" s="1013"/>
      <c r="H180" s="1013"/>
    </row>
    <row r="181" spans="1:8" x14ac:dyDescent="0.2">
      <c r="A181" s="1013"/>
      <c r="B181" s="1013"/>
      <c r="C181" s="1013"/>
      <c r="D181" s="1013"/>
      <c r="E181" s="1013"/>
      <c r="F181" s="1013"/>
      <c r="G181" s="1013"/>
      <c r="H181" s="1013"/>
    </row>
    <row r="182" spans="1:8" x14ac:dyDescent="0.2">
      <c r="A182" s="1013"/>
      <c r="B182" s="1013"/>
      <c r="C182" s="1013"/>
      <c r="D182" s="1013"/>
      <c r="E182" s="1013"/>
      <c r="F182" s="1013"/>
      <c r="G182" s="1013"/>
      <c r="H182" s="1013"/>
    </row>
    <row r="183" spans="1:8" x14ac:dyDescent="0.2">
      <c r="A183" s="1013"/>
      <c r="B183" s="1013"/>
      <c r="C183" s="1013"/>
      <c r="D183" s="1013"/>
      <c r="E183" s="1013"/>
      <c r="F183" s="1013"/>
      <c r="G183" s="1013"/>
      <c r="H183" s="1013"/>
    </row>
    <row r="184" spans="1:8" x14ac:dyDescent="0.2">
      <c r="A184" s="1013"/>
      <c r="B184" s="1013"/>
      <c r="C184" s="1013"/>
      <c r="D184" s="1013"/>
      <c r="E184" s="1013"/>
      <c r="F184" s="1013"/>
      <c r="G184" s="1013"/>
      <c r="H184" s="1013"/>
    </row>
    <row r="185" spans="1:8" x14ac:dyDescent="0.2">
      <c r="A185" s="1013"/>
      <c r="B185" s="1013"/>
      <c r="C185" s="1013"/>
      <c r="D185" s="1013"/>
      <c r="E185" s="1013"/>
      <c r="F185" s="1013"/>
      <c r="G185" s="1013"/>
      <c r="H185" s="1013"/>
    </row>
    <row r="186" spans="1:8" x14ac:dyDescent="0.2">
      <c r="A186" s="1013"/>
      <c r="B186" s="1013"/>
      <c r="C186" s="1013"/>
      <c r="D186" s="1013"/>
      <c r="E186" s="1013"/>
      <c r="F186" s="1013"/>
      <c r="G186" s="1013"/>
      <c r="H186" s="1013"/>
    </row>
    <row r="187" spans="1:8" x14ac:dyDescent="0.2">
      <c r="A187" s="1013"/>
      <c r="B187" s="1013"/>
      <c r="C187" s="1013"/>
      <c r="D187" s="1013"/>
      <c r="E187" s="1013"/>
      <c r="F187" s="1013"/>
      <c r="G187" s="1013"/>
      <c r="H187" s="1013"/>
    </row>
    <row r="188" spans="1:8" x14ac:dyDescent="0.2">
      <c r="A188" s="1013"/>
      <c r="B188" s="1013"/>
      <c r="C188" s="1013"/>
      <c r="D188" s="1013"/>
      <c r="E188" s="1013"/>
      <c r="F188" s="1013"/>
      <c r="G188" s="1013"/>
      <c r="H188" s="1013"/>
    </row>
    <row r="189" spans="1:8" x14ac:dyDescent="0.2">
      <c r="A189" s="1013"/>
      <c r="B189" s="1013"/>
      <c r="C189" s="1013"/>
      <c r="D189" s="1013"/>
      <c r="E189" s="1013"/>
      <c r="F189" s="1013"/>
      <c r="G189" s="1013"/>
      <c r="H189" s="1013"/>
    </row>
    <row r="190" spans="1:8" x14ac:dyDescent="0.2">
      <c r="A190" s="1013"/>
      <c r="B190" s="1013"/>
      <c r="C190" s="1013"/>
      <c r="D190" s="1013"/>
      <c r="E190" s="1013"/>
      <c r="F190" s="1013"/>
      <c r="G190" s="1013"/>
      <c r="H190" s="1013"/>
    </row>
    <row r="191" spans="1:8" x14ac:dyDescent="0.2">
      <c r="A191" s="1013"/>
      <c r="B191" s="1013"/>
      <c r="C191" s="1013"/>
      <c r="D191" s="1013"/>
      <c r="E191" s="1013"/>
      <c r="F191" s="1013"/>
      <c r="G191" s="1013"/>
      <c r="H191" s="1013"/>
    </row>
    <row r="192" spans="1:8" x14ac:dyDescent="0.2">
      <c r="A192" s="1013"/>
      <c r="B192" s="1013"/>
      <c r="C192" s="1013"/>
      <c r="D192" s="1013"/>
      <c r="E192" s="1013"/>
      <c r="F192" s="1013"/>
      <c r="G192" s="1013"/>
      <c r="H192" s="1013"/>
    </row>
    <row r="193" spans="1:8" x14ac:dyDescent="0.2">
      <c r="A193" s="1013"/>
      <c r="B193" s="1013"/>
      <c r="C193" s="1013"/>
      <c r="D193" s="1013"/>
      <c r="E193" s="1013"/>
      <c r="F193" s="1013"/>
      <c r="G193" s="1013"/>
      <c r="H193" s="1013"/>
    </row>
    <row r="194" spans="1:8" x14ac:dyDescent="0.2">
      <c r="A194" s="1013"/>
      <c r="B194" s="1013"/>
      <c r="C194" s="1013"/>
      <c r="D194" s="1013"/>
      <c r="E194" s="1013"/>
      <c r="F194" s="1013"/>
      <c r="G194" s="1013"/>
      <c r="H194" s="1013"/>
    </row>
    <row r="195" spans="1:8" x14ac:dyDescent="0.2">
      <c r="A195" s="1013"/>
      <c r="B195" s="1013"/>
      <c r="C195" s="1013"/>
      <c r="D195" s="1013"/>
      <c r="E195" s="1013"/>
      <c r="F195" s="1013"/>
      <c r="G195" s="1013"/>
      <c r="H195" s="1013"/>
    </row>
    <row r="196" spans="1:8" x14ac:dyDescent="0.2">
      <c r="A196" s="1013"/>
      <c r="B196" s="1013"/>
      <c r="C196" s="1013"/>
      <c r="D196" s="1013"/>
      <c r="E196" s="1013"/>
      <c r="F196" s="1013"/>
      <c r="G196" s="1013"/>
      <c r="H196" s="1013"/>
    </row>
    <row r="197" spans="1:8" x14ac:dyDescent="0.2">
      <c r="A197" s="1013"/>
      <c r="B197" s="1013"/>
      <c r="C197" s="1013"/>
      <c r="D197" s="1013"/>
      <c r="E197" s="1013"/>
      <c r="F197" s="1013"/>
      <c r="G197" s="1013"/>
      <c r="H197" s="1013"/>
    </row>
    <row r="198" spans="1:8" x14ac:dyDescent="0.2">
      <c r="A198" s="1013"/>
      <c r="B198" s="1013"/>
      <c r="C198" s="1013"/>
      <c r="D198" s="1013"/>
      <c r="E198" s="1013"/>
      <c r="F198" s="1013"/>
      <c r="G198" s="1013"/>
      <c r="H198" s="1013"/>
    </row>
    <row r="199" spans="1:8" x14ac:dyDescent="0.2">
      <c r="A199" s="1013"/>
      <c r="B199" s="1013"/>
      <c r="C199" s="1013"/>
      <c r="D199" s="1013"/>
      <c r="E199" s="1013"/>
      <c r="F199" s="1013"/>
      <c r="G199" s="1013"/>
      <c r="H199" s="1013"/>
    </row>
    <row r="200" spans="1:8" x14ac:dyDescent="0.2">
      <c r="A200" s="1013"/>
      <c r="B200" s="1013"/>
      <c r="C200" s="1013"/>
      <c r="D200" s="1013"/>
      <c r="E200" s="1013"/>
      <c r="F200" s="1013"/>
      <c r="G200" s="1013"/>
      <c r="H200" s="1013"/>
    </row>
    <row r="201" spans="1:8" x14ac:dyDescent="0.2">
      <c r="A201" s="1013"/>
      <c r="B201" s="1013"/>
      <c r="C201" s="1013"/>
      <c r="D201" s="1013"/>
      <c r="E201" s="1013"/>
      <c r="F201" s="1013"/>
      <c r="G201" s="1013"/>
      <c r="H201" s="1013"/>
    </row>
    <row r="202" spans="1:8" x14ac:dyDescent="0.2">
      <c r="A202" s="1013"/>
      <c r="B202" s="1013"/>
      <c r="C202" s="1013"/>
      <c r="D202" s="1013"/>
      <c r="E202" s="1013"/>
      <c r="F202" s="1013"/>
      <c r="G202" s="1013"/>
      <c r="H202" s="1013"/>
    </row>
    <row r="203" spans="1:8" ht="15.75" x14ac:dyDescent="0.2">
      <c r="A203" s="1015" t="s">
        <v>632</v>
      </c>
      <c r="B203" s="1013"/>
      <c r="C203" s="1013"/>
      <c r="D203" s="1013"/>
      <c r="E203" s="1013"/>
      <c r="F203" s="1013"/>
      <c r="G203" s="1013"/>
      <c r="H203" s="1013"/>
    </row>
    <row r="204" spans="1:8" x14ac:dyDescent="0.2">
      <c r="A204" s="1013"/>
      <c r="B204" s="1013"/>
      <c r="C204" s="1013"/>
      <c r="D204" s="1013"/>
      <c r="E204" s="1013"/>
      <c r="F204" s="1013"/>
      <c r="G204" s="1013"/>
      <c r="H204" s="1013"/>
    </row>
    <row r="205" spans="1:8" x14ac:dyDescent="0.2">
      <c r="A205" s="1014" t="s">
        <v>791</v>
      </c>
      <c r="B205" s="1013"/>
      <c r="C205" s="1013"/>
      <c r="D205" s="1013"/>
      <c r="E205" s="1013"/>
      <c r="F205" s="1013"/>
      <c r="G205" s="1013"/>
      <c r="H205" s="1013"/>
    </row>
    <row r="206" spans="1:8" x14ac:dyDescent="0.2">
      <c r="A206" s="1014" t="s">
        <v>792</v>
      </c>
      <c r="B206" s="1013"/>
      <c r="C206" s="1013"/>
      <c r="D206" s="1013"/>
      <c r="E206" s="1013"/>
      <c r="F206" s="1013"/>
      <c r="G206" s="1013"/>
      <c r="H206" s="1013"/>
    </row>
    <row r="207" spans="1:8" x14ac:dyDescent="0.2">
      <c r="A207" s="1014" t="s">
        <v>793</v>
      </c>
      <c r="B207" s="1013"/>
      <c r="C207" s="1013"/>
      <c r="D207" s="1013"/>
      <c r="E207" s="1013"/>
      <c r="F207" s="1013"/>
      <c r="G207" s="1013"/>
      <c r="H207" s="1013"/>
    </row>
    <row r="208" spans="1:8" x14ac:dyDescent="0.2">
      <c r="A208" s="1014" t="s">
        <v>794</v>
      </c>
      <c r="B208" s="1013"/>
      <c r="C208" s="1013"/>
      <c r="D208" s="1013"/>
      <c r="E208" s="1013"/>
      <c r="F208" s="1013"/>
      <c r="G208" s="1013"/>
      <c r="H208" s="1013"/>
    </row>
    <row r="209" spans="1:8" x14ac:dyDescent="0.2">
      <c r="A209" s="1014" t="s">
        <v>795</v>
      </c>
      <c r="B209" s="1013"/>
      <c r="C209" s="1013"/>
      <c r="D209" s="1013"/>
      <c r="E209" s="1013"/>
      <c r="F209" s="1013"/>
      <c r="G209" s="1013"/>
      <c r="H209" s="1013"/>
    </row>
    <row r="210" spans="1:8" x14ac:dyDescent="0.2">
      <c r="A210" s="1013"/>
      <c r="B210" s="1013"/>
      <c r="C210" s="1013"/>
      <c r="D210" s="1013"/>
      <c r="E210" s="1013"/>
      <c r="F210" s="1013"/>
      <c r="G210" s="1013"/>
      <c r="H210" s="1013"/>
    </row>
    <row r="211" spans="1:8" x14ac:dyDescent="0.2">
      <c r="A211" s="1014" t="s">
        <v>788</v>
      </c>
      <c r="B211" s="1013"/>
      <c r="C211" s="1013"/>
      <c r="D211" s="1013"/>
      <c r="E211" s="1013"/>
      <c r="F211" s="1013"/>
      <c r="G211" s="1013"/>
      <c r="H211" s="1013"/>
    </row>
    <row r="212" spans="1:8" x14ac:dyDescent="0.2">
      <c r="A212" s="1014" t="s">
        <v>789</v>
      </c>
      <c r="B212" s="1013"/>
      <c r="C212" s="1013"/>
      <c r="D212" s="1013"/>
      <c r="E212" s="1013"/>
      <c r="F212" s="1013"/>
      <c r="G212" s="1013"/>
      <c r="H212" s="1013"/>
    </row>
    <row r="213" spans="1:8" x14ac:dyDescent="0.2">
      <c r="A213" s="1014" t="s">
        <v>790</v>
      </c>
      <c r="B213" s="1013"/>
      <c r="C213" s="1013"/>
      <c r="D213" s="1013"/>
      <c r="E213" s="1013"/>
      <c r="F213" s="1013"/>
      <c r="G213" s="1013"/>
      <c r="H213" s="1013"/>
    </row>
    <row r="214" spans="1:8" ht="15.75" x14ac:dyDescent="0.2">
      <c r="A214" s="1015" t="s">
        <v>633</v>
      </c>
      <c r="B214" s="1013"/>
      <c r="C214" s="1013"/>
      <c r="D214" s="1013"/>
      <c r="E214" s="1013"/>
      <c r="F214" s="1013"/>
      <c r="G214" s="1013"/>
      <c r="H214" s="1013"/>
    </row>
    <row r="215" spans="1:8" x14ac:dyDescent="0.2">
      <c r="A215" s="1013"/>
      <c r="B215" s="1013"/>
      <c r="C215" s="1013"/>
      <c r="D215" s="1013"/>
      <c r="E215" s="1013"/>
      <c r="F215" s="1013"/>
      <c r="G215" s="1013"/>
      <c r="H215" s="1013"/>
    </row>
    <row r="216" spans="1:8" x14ac:dyDescent="0.2">
      <c r="A216" s="1014" t="s">
        <v>781</v>
      </c>
      <c r="B216" s="1013"/>
      <c r="C216" s="1013"/>
      <c r="D216" s="1013"/>
      <c r="E216" s="1013"/>
      <c r="F216" s="1013"/>
      <c r="G216" s="1013"/>
      <c r="H216" s="1013"/>
    </row>
    <row r="217" spans="1:8" x14ac:dyDescent="0.2">
      <c r="A217" s="1014" t="s">
        <v>782</v>
      </c>
      <c r="B217" s="1013"/>
      <c r="C217" s="1013"/>
      <c r="D217" s="1013"/>
      <c r="E217" s="1013"/>
      <c r="F217" s="1013"/>
      <c r="G217" s="1013"/>
      <c r="H217" s="1013"/>
    </row>
    <row r="218" spans="1:8" x14ac:dyDescent="0.2">
      <c r="A218" s="1014" t="s">
        <v>783</v>
      </c>
      <c r="B218" s="1013"/>
      <c r="C218" s="1013"/>
      <c r="D218" s="1013"/>
      <c r="E218" s="1013"/>
      <c r="F218" s="1013"/>
      <c r="G218" s="1013"/>
      <c r="H218" s="1013"/>
    </row>
    <row r="219" spans="1:8" x14ac:dyDescent="0.2">
      <c r="A219" s="1014" t="s">
        <v>784</v>
      </c>
      <c r="B219" s="1013"/>
      <c r="C219" s="1013"/>
      <c r="D219" s="1013"/>
      <c r="E219" s="1013"/>
      <c r="F219" s="1013"/>
      <c r="G219" s="1013"/>
      <c r="H219" s="1013"/>
    </row>
    <row r="220" spans="1:8" x14ac:dyDescent="0.2">
      <c r="A220" s="1014" t="s">
        <v>785</v>
      </c>
      <c r="B220" s="1013"/>
      <c r="C220" s="1013"/>
      <c r="D220" s="1013"/>
      <c r="E220" s="1013"/>
      <c r="F220" s="1013"/>
      <c r="G220" s="1013"/>
      <c r="H220" s="1013"/>
    </row>
    <row r="221" spans="1:8" x14ac:dyDescent="0.2">
      <c r="A221" s="1014" t="s">
        <v>786</v>
      </c>
      <c r="B221" s="1013"/>
      <c r="C221" s="1013"/>
      <c r="D221" s="1013"/>
      <c r="E221" s="1013"/>
      <c r="F221" s="1013"/>
      <c r="G221" s="1013"/>
      <c r="H221" s="1013"/>
    </row>
    <row r="222" spans="1:8" x14ac:dyDescent="0.2">
      <c r="A222" s="1014" t="s">
        <v>787</v>
      </c>
      <c r="B222" s="1013"/>
      <c r="C222" s="1013"/>
      <c r="D222" s="1013"/>
      <c r="E222" s="1013"/>
      <c r="F222" s="1013"/>
      <c r="G222" s="1013"/>
      <c r="H222" s="1013"/>
    </row>
    <row r="223" spans="1:8" x14ac:dyDescent="0.2">
      <c r="A223" s="1013"/>
      <c r="B223" s="1013"/>
      <c r="C223" s="1013"/>
      <c r="D223" s="1013"/>
      <c r="E223" s="1013"/>
      <c r="F223" s="1013"/>
      <c r="G223" s="1013"/>
      <c r="H223" s="1013"/>
    </row>
    <row r="224" spans="1:8" x14ac:dyDescent="0.2">
      <c r="A224" s="1014" t="s">
        <v>778</v>
      </c>
      <c r="B224" s="1013"/>
      <c r="C224" s="1013"/>
      <c r="D224" s="1013"/>
      <c r="E224" s="1013"/>
      <c r="F224" s="1013"/>
      <c r="G224" s="1013"/>
      <c r="H224" s="1013"/>
    </row>
    <row r="225" spans="1:8" x14ac:dyDescent="0.2">
      <c r="A225" s="1014" t="s">
        <v>779</v>
      </c>
      <c r="B225" s="1013"/>
      <c r="C225" s="1013"/>
      <c r="D225" s="1013"/>
      <c r="E225" s="1013"/>
      <c r="F225" s="1013"/>
      <c r="G225" s="1013"/>
      <c r="H225" s="1013"/>
    </row>
    <row r="226" spans="1:8" x14ac:dyDescent="0.2">
      <c r="A226" s="1014" t="s">
        <v>780</v>
      </c>
      <c r="B226" s="1013"/>
      <c r="C226" s="1013"/>
      <c r="D226" s="1013"/>
      <c r="E226" s="1013"/>
      <c r="F226" s="1013"/>
      <c r="G226" s="1013"/>
      <c r="H226" s="1013"/>
    </row>
    <row r="227" spans="1:8" x14ac:dyDescent="0.2">
      <c r="A227" s="1013"/>
      <c r="B227" s="1013"/>
      <c r="C227" s="1013"/>
      <c r="D227" s="1013"/>
      <c r="E227" s="1013"/>
      <c r="F227" s="1013"/>
      <c r="G227" s="1013"/>
      <c r="H227" s="1013"/>
    </row>
    <row r="228" spans="1:8" x14ac:dyDescent="0.2">
      <c r="A228" s="1014" t="s">
        <v>773</v>
      </c>
      <c r="B228" s="1013"/>
      <c r="C228" s="1013"/>
      <c r="D228" s="1013"/>
      <c r="E228" s="1013"/>
      <c r="F228" s="1013"/>
      <c r="G228" s="1013"/>
      <c r="H228" s="1013"/>
    </row>
    <row r="229" spans="1:8" x14ac:dyDescent="0.2">
      <c r="A229" s="1014" t="s">
        <v>774</v>
      </c>
      <c r="B229" s="1013"/>
      <c r="C229" s="1013"/>
      <c r="D229" s="1013"/>
      <c r="E229" s="1013"/>
      <c r="F229" s="1013"/>
      <c r="G229" s="1013"/>
      <c r="H229" s="1013"/>
    </row>
    <row r="230" spans="1:8" x14ac:dyDescent="0.2">
      <c r="A230" s="1014" t="s">
        <v>775</v>
      </c>
      <c r="B230" s="1013"/>
      <c r="C230" s="1013"/>
      <c r="D230" s="1013"/>
      <c r="E230" s="1013"/>
      <c r="F230" s="1013"/>
      <c r="G230" s="1013"/>
      <c r="H230" s="1013"/>
    </row>
    <row r="231" spans="1:8" x14ac:dyDescent="0.2">
      <c r="A231" s="1014" t="s">
        <v>776</v>
      </c>
      <c r="B231" s="1013"/>
      <c r="C231" s="1013"/>
      <c r="D231" s="1013"/>
      <c r="E231" s="1013"/>
      <c r="F231" s="1013"/>
      <c r="G231" s="1013"/>
      <c r="H231" s="1013"/>
    </row>
    <row r="232" spans="1:8" x14ac:dyDescent="0.2">
      <c r="A232" s="1014" t="s">
        <v>777</v>
      </c>
      <c r="B232" s="1013"/>
      <c r="C232" s="1013"/>
      <c r="D232" s="1013"/>
      <c r="E232" s="1013"/>
      <c r="F232" s="1013"/>
      <c r="G232" s="1013"/>
      <c r="H232" s="1013"/>
    </row>
    <row r="233" spans="1:8" x14ac:dyDescent="0.2">
      <c r="A233" s="1013"/>
      <c r="B233" s="1013"/>
      <c r="C233" s="1013"/>
      <c r="D233" s="1013"/>
      <c r="E233" s="1013"/>
      <c r="F233" s="1013"/>
      <c r="G233" s="1013"/>
      <c r="H233" s="1013"/>
    </row>
    <row r="234" spans="1:8" x14ac:dyDescent="0.2">
      <c r="A234" s="1014" t="s">
        <v>767</v>
      </c>
      <c r="B234" s="1013"/>
      <c r="C234" s="1013"/>
      <c r="D234" s="1013"/>
      <c r="E234" s="1013"/>
      <c r="F234" s="1013"/>
      <c r="G234" s="1013"/>
      <c r="H234" s="1013"/>
    </row>
    <row r="235" spans="1:8" x14ac:dyDescent="0.2">
      <c r="A235" s="1014" t="s">
        <v>768</v>
      </c>
      <c r="B235" s="1013"/>
      <c r="C235" s="1013"/>
      <c r="D235" s="1013"/>
      <c r="E235" s="1013"/>
      <c r="F235" s="1013"/>
      <c r="G235" s="1013"/>
      <c r="H235" s="1013"/>
    </row>
    <row r="236" spans="1:8" x14ac:dyDescent="0.2">
      <c r="A236" s="1014" t="s">
        <v>769</v>
      </c>
      <c r="B236" s="1013"/>
      <c r="C236" s="1013"/>
      <c r="D236" s="1013"/>
      <c r="E236" s="1013"/>
      <c r="F236" s="1013"/>
      <c r="G236" s="1013"/>
      <c r="H236" s="1013"/>
    </row>
    <row r="237" spans="1:8" x14ac:dyDescent="0.2">
      <c r="A237" s="1014" t="s">
        <v>770</v>
      </c>
      <c r="B237" s="1013"/>
      <c r="C237" s="1013"/>
      <c r="D237" s="1013"/>
      <c r="E237" s="1013"/>
      <c r="F237" s="1013"/>
      <c r="G237" s="1013"/>
      <c r="H237" s="1013"/>
    </row>
    <row r="238" spans="1:8" x14ac:dyDescent="0.2">
      <c r="A238" s="1014" t="s">
        <v>771</v>
      </c>
      <c r="B238" s="1013"/>
      <c r="C238" s="1013"/>
      <c r="D238" s="1013"/>
      <c r="E238" s="1013"/>
      <c r="F238" s="1013"/>
      <c r="G238" s="1013"/>
      <c r="H238" s="1013"/>
    </row>
    <row r="239" spans="1:8" x14ac:dyDescent="0.2">
      <c r="A239" s="1014" t="s">
        <v>772</v>
      </c>
      <c r="B239" s="1013"/>
      <c r="C239" s="1013"/>
      <c r="D239" s="1013"/>
      <c r="E239" s="1013"/>
      <c r="F239" s="1013"/>
      <c r="G239" s="1013"/>
      <c r="H239" s="1013"/>
    </row>
    <row r="240" spans="1:8" x14ac:dyDescent="0.2">
      <c r="A240" s="1013"/>
      <c r="B240" s="1013"/>
      <c r="C240" s="1013"/>
      <c r="D240" s="1013"/>
      <c r="E240" s="1013"/>
      <c r="F240" s="1013"/>
      <c r="G240" s="1013"/>
      <c r="H240" s="1013"/>
    </row>
    <row r="241" spans="1:8" x14ac:dyDescent="0.2">
      <c r="A241" s="1014" t="s">
        <v>757</v>
      </c>
      <c r="B241" s="1013"/>
      <c r="C241" s="1013"/>
      <c r="D241" s="1013"/>
      <c r="E241" s="1013"/>
      <c r="F241" s="1013"/>
      <c r="G241" s="1013"/>
      <c r="H241" s="1013"/>
    </row>
    <row r="242" spans="1:8" x14ac:dyDescent="0.2">
      <c r="A242" s="1014" t="s">
        <v>758</v>
      </c>
      <c r="B242" s="1013"/>
      <c r="C242" s="1013"/>
      <c r="D242" s="1013"/>
      <c r="E242" s="1013"/>
      <c r="F242" s="1013"/>
      <c r="G242" s="1013"/>
      <c r="H242" s="1013"/>
    </row>
    <row r="243" spans="1:8" x14ac:dyDescent="0.2">
      <c r="A243" s="1014" t="s">
        <v>759</v>
      </c>
      <c r="B243" s="1013"/>
      <c r="C243" s="1013"/>
      <c r="D243" s="1013"/>
      <c r="E243" s="1013"/>
      <c r="F243" s="1013"/>
      <c r="G243" s="1013"/>
      <c r="H243" s="1013"/>
    </row>
    <row r="244" spans="1:8" x14ac:dyDescent="0.2">
      <c r="A244" s="1014" t="s">
        <v>760</v>
      </c>
      <c r="B244" s="1013"/>
      <c r="C244" s="1013"/>
      <c r="D244" s="1013"/>
      <c r="E244" s="1013"/>
      <c r="F244" s="1013"/>
      <c r="G244" s="1013"/>
      <c r="H244" s="1013"/>
    </row>
    <row r="245" spans="1:8" x14ac:dyDescent="0.2">
      <c r="A245" s="1014" t="s">
        <v>761</v>
      </c>
      <c r="B245" s="1013"/>
      <c r="C245" s="1013"/>
      <c r="D245" s="1013"/>
      <c r="E245" s="1013"/>
      <c r="F245" s="1013"/>
      <c r="G245" s="1013"/>
      <c r="H245" s="1013"/>
    </row>
    <row r="246" spans="1:8" x14ac:dyDescent="0.2">
      <c r="A246" s="1014" t="s">
        <v>762</v>
      </c>
      <c r="B246" s="1013"/>
      <c r="C246" s="1013"/>
      <c r="D246" s="1013"/>
      <c r="E246" s="1013"/>
      <c r="F246" s="1013"/>
      <c r="G246" s="1013"/>
      <c r="H246" s="1013"/>
    </row>
    <row r="247" spans="1:8" x14ac:dyDescent="0.2">
      <c r="A247" s="1014" t="s">
        <v>763</v>
      </c>
      <c r="B247" s="1013"/>
      <c r="C247" s="1013"/>
      <c r="D247" s="1013"/>
      <c r="E247" s="1013"/>
      <c r="F247" s="1013"/>
      <c r="G247" s="1013"/>
      <c r="H247" s="1013"/>
    </row>
    <row r="248" spans="1:8" x14ac:dyDescent="0.2">
      <c r="A248" s="1014" t="s">
        <v>764</v>
      </c>
      <c r="B248" s="1013"/>
      <c r="C248" s="1013"/>
      <c r="D248" s="1013"/>
      <c r="E248" s="1013"/>
      <c r="F248" s="1013"/>
      <c r="G248" s="1013"/>
      <c r="H248" s="1013"/>
    </row>
    <row r="249" spans="1:8" x14ac:dyDescent="0.2">
      <c r="A249" s="1014" t="s">
        <v>765</v>
      </c>
      <c r="B249" s="1013"/>
      <c r="C249" s="1013"/>
      <c r="D249" s="1013"/>
      <c r="E249" s="1013"/>
      <c r="F249" s="1013"/>
      <c r="G249" s="1013"/>
      <c r="H249" s="1013"/>
    </row>
    <row r="250" spans="1:8" x14ac:dyDescent="0.2">
      <c r="A250" s="1014" t="s">
        <v>766</v>
      </c>
      <c r="B250" s="1013"/>
      <c r="C250" s="1013"/>
      <c r="D250" s="1013"/>
      <c r="E250" s="1013"/>
      <c r="F250" s="1013"/>
      <c r="G250" s="1013"/>
      <c r="H250" s="1013"/>
    </row>
    <row r="251" spans="1:8" x14ac:dyDescent="0.2">
      <c r="A251" s="1013"/>
      <c r="B251" s="1013"/>
      <c r="C251" s="1013"/>
      <c r="D251" s="1013"/>
      <c r="E251" s="1013"/>
      <c r="F251" s="1013"/>
      <c r="G251" s="1013"/>
      <c r="H251" s="1013"/>
    </row>
    <row r="252" spans="1:8" x14ac:dyDescent="0.2">
      <c r="A252" s="1014" t="s">
        <v>755</v>
      </c>
      <c r="B252" s="1013"/>
      <c r="C252" s="1013"/>
      <c r="D252" s="1013"/>
      <c r="E252" s="1013"/>
      <c r="F252" s="1013"/>
      <c r="G252" s="1013"/>
      <c r="H252" s="1013"/>
    </row>
    <row r="253" spans="1:8" x14ac:dyDescent="0.2">
      <c r="A253" s="1014" t="s">
        <v>756</v>
      </c>
      <c r="B253" s="1013"/>
      <c r="C253" s="1013"/>
      <c r="D253" s="1013"/>
      <c r="E253" s="1013"/>
      <c r="F253" s="1013"/>
      <c r="G253" s="1013"/>
      <c r="H253" s="1013"/>
    </row>
    <row r="254" spans="1:8" x14ac:dyDescent="0.2">
      <c r="A254" s="1013"/>
      <c r="B254" s="1013"/>
      <c r="C254" s="1013"/>
      <c r="D254" s="1013"/>
      <c r="E254" s="1013"/>
      <c r="F254" s="1013"/>
      <c r="G254" s="1013"/>
      <c r="H254" s="1013"/>
    </row>
    <row r="255" spans="1:8" x14ac:dyDescent="0.2">
      <c r="A255" s="1014" t="s">
        <v>739</v>
      </c>
      <c r="B255" s="1013"/>
      <c r="C255" s="1013"/>
      <c r="D255" s="1013"/>
      <c r="E255" s="1013"/>
      <c r="F255" s="1013"/>
      <c r="G255" s="1013"/>
      <c r="H255" s="1013"/>
    </row>
    <row r="256" spans="1:8" x14ac:dyDescent="0.2">
      <c r="A256" s="1014" t="s">
        <v>740</v>
      </c>
      <c r="B256" s="1013"/>
      <c r="C256" s="1013"/>
      <c r="D256" s="1013"/>
      <c r="E256" s="1013"/>
      <c r="F256" s="1013"/>
      <c r="G256" s="1013"/>
      <c r="H256" s="1013"/>
    </row>
    <row r="257" spans="1:8" x14ac:dyDescent="0.2">
      <c r="A257" s="1014" t="s">
        <v>741</v>
      </c>
      <c r="B257" s="1013"/>
      <c r="C257" s="1013"/>
      <c r="D257" s="1013"/>
      <c r="E257" s="1013"/>
      <c r="F257" s="1013"/>
      <c r="G257" s="1013"/>
      <c r="H257" s="1013"/>
    </row>
    <row r="258" spans="1:8" x14ac:dyDescent="0.2">
      <c r="A258" s="1014" t="s">
        <v>742</v>
      </c>
      <c r="B258" s="1013"/>
      <c r="C258" s="1013"/>
      <c r="D258" s="1013"/>
      <c r="E258" s="1013"/>
      <c r="F258" s="1013"/>
      <c r="G258" s="1013"/>
      <c r="H258" s="1013"/>
    </row>
    <row r="259" spans="1:8" x14ac:dyDescent="0.2">
      <c r="A259" s="1014" t="s">
        <v>743</v>
      </c>
      <c r="B259" s="1013"/>
      <c r="C259" s="1013"/>
      <c r="D259" s="1013"/>
      <c r="E259" s="1013"/>
      <c r="F259" s="1013"/>
      <c r="G259" s="1013"/>
      <c r="H259" s="1013"/>
    </row>
    <row r="260" spans="1:8" x14ac:dyDescent="0.2">
      <c r="A260" s="1014" t="s">
        <v>744</v>
      </c>
      <c r="B260" s="1013"/>
      <c r="C260" s="1013"/>
      <c r="D260" s="1013"/>
      <c r="E260" s="1013"/>
      <c r="F260" s="1013"/>
      <c r="G260" s="1013"/>
      <c r="H260" s="1013"/>
    </row>
    <row r="261" spans="1:8" x14ac:dyDescent="0.2">
      <c r="A261" s="1014" t="s">
        <v>745</v>
      </c>
      <c r="B261" s="1013"/>
      <c r="C261" s="1013"/>
      <c r="D261" s="1013"/>
      <c r="E261" s="1013"/>
      <c r="F261" s="1013"/>
      <c r="G261" s="1013"/>
      <c r="H261" s="1013"/>
    </row>
    <row r="262" spans="1:8" x14ac:dyDescent="0.2">
      <c r="A262" s="1014" t="s">
        <v>746</v>
      </c>
      <c r="B262" s="1013"/>
      <c r="C262" s="1013"/>
      <c r="D262" s="1013"/>
      <c r="E262" s="1013"/>
      <c r="F262" s="1013"/>
      <c r="G262" s="1013"/>
      <c r="H262" s="1013"/>
    </row>
    <row r="263" spans="1:8" x14ac:dyDescent="0.2">
      <c r="A263" s="1014" t="s">
        <v>747</v>
      </c>
      <c r="B263" s="1013"/>
      <c r="C263" s="1013"/>
      <c r="D263" s="1013"/>
      <c r="E263" s="1013"/>
      <c r="F263" s="1013"/>
      <c r="G263" s="1013"/>
      <c r="H263" s="1013"/>
    </row>
    <row r="264" spans="1:8" x14ac:dyDescent="0.2">
      <c r="A264" s="1014" t="s">
        <v>748</v>
      </c>
      <c r="B264" s="1013"/>
      <c r="C264" s="1013"/>
      <c r="D264" s="1013"/>
      <c r="E264" s="1013"/>
      <c r="F264" s="1013"/>
      <c r="G264" s="1013"/>
      <c r="H264" s="1013"/>
    </row>
    <row r="265" spans="1:8" x14ac:dyDescent="0.2">
      <c r="A265" s="1014" t="s">
        <v>749</v>
      </c>
      <c r="B265" s="1013"/>
      <c r="C265" s="1013"/>
      <c r="D265" s="1013"/>
      <c r="E265" s="1013"/>
      <c r="F265" s="1013"/>
      <c r="G265" s="1013"/>
      <c r="H265" s="1013"/>
    </row>
    <row r="266" spans="1:8" x14ac:dyDescent="0.2">
      <c r="A266" s="1014" t="s">
        <v>750</v>
      </c>
      <c r="B266" s="1013"/>
      <c r="C266" s="1013"/>
      <c r="D266" s="1013"/>
      <c r="E266" s="1013"/>
      <c r="F266" s="1013"/>
      <c r="G266" s="1013"/>
      <c r="H266" s="1013"/>
    </row>
    <row r="267" spans="1:8" x14ac:dyDescent="0.2">
      <c r="A267" s="1014" t="s">
        <v>751</v>
      </c>
      <c r="B267" s="1013"/>
      <c r="C267" s="1013"/>
      <c r="D267" s="1013"/>
      <c r="E267" s="1013"/>
      <c r="F267" s="1013"/>
      <c r="G267" s="1013"/>
      <c r="H267" s="1013"/>
    </row>
    <row r="268" spans="1:8" x14ac:dyDescent="0.2">
      <c r="A268" s="1014" t="s">
        <v>752</v>
      </c>
      <c r="B268" s="1013"/>
      <c r="C268" s="1013"/>
      <c r="D268" s="1013"/>
      <c r="E268" s="1013"/>
      <c r="F268" s="1013"/>
      <c r="G268" s="1013"/>
      <c r="H268" s="1013"/>
    </row>
    <row r="269" spans="1:8" x14ac:dyDescent="0.2">
      <c r="A269" s="1014" t="s">
        <v>753</v>
      </c>
      <c r="B269" s="1013"/>
      <c r="C269" s="1013"/>
      <c r="D269" s="1013"/>
      <c r="E269" s="1013"/>
      <c r="F269" s="1013"/>
      <c r="G269" s="1013"/>
      <c r="H269" s="1013"/>
    </row>
    <row r="270" spans="1:8" x14ac:dyDescent="0.2">
      <c r="A270" s="1014" t="s">
        <v>754</v>
      </c>
      <c r="B270" s="1013"/>
      <c r="C270" s="1013"/>
      <c r="D270" s="1013"/>
      <c r="E270" s="1013"/>
      <c r="F270" s="1013"/>
      <c r="G270" s="1013"/>
      <c r="H270" s="1013"/>
    </row>
    <row r="271" spans="1:8" x14ac:dyDescent="0.2">
      <c r="A271" s="1013"/>
      <c r="B271" s="1013"/>
      <c r="C271" s="1013"/>
      <c r="D271" s="1013"/>
      <c r="E271" s="1013"/>
      <c r="F271" s="1013"/>
      <c r="G271" s="1013"/>
      <c r="H271" s="1013"/>
    </row>
    <row r="272" spans="1:8" x14ac:dyDescent="0.2">
      <c r="A272" s="1014" t="s">
        <v>732</v>
      </c>
      <c r="B272" s="1013"/>
      <c r="C272" s="1013"/>
      <c r="D272" s="1013"/>
      <c r="E272" s="1013"/>
      <c r="F272" s="1013"/>
      <c r="G272" s="1013"/>
      <c r="H272" s="1013"/>
    </row>
    <row r="273" spans="1:8" x14ac:dyDescent="0.2">
      <c r="A273" s="1014" t="s">
        <v>733</v>
      </c>
      <c r="B273" s="1013"/>
      <c r="C273" s="1013"/>
      <c r="D273" s="1013"/>
      <c r="E273" s="1013"/>
      <c r="F273" s="1013"/>
      <c r="G273" s="1013"/>
      <c r="H273" s="1013"/>
    </row>
    <row r="274" spans="1:8" x14ac:dyDescent="0.2">
      <c r="A274" s="1014" t="s">
        <v>734</v>
      </c>
      <c r="B274" s="1013"/>
      <c r="C274" s="1013"/>
      <c r="D274" s="1013"/>
      <c r="E274" s="1013"/>
      <c r="F274" s="1013"/>
      <c r="G274" s="1013"/>
      <c r="H274" s="1013"/>
    </row>
    <row r="275" spans="1:8" x14ac:dyDescent="0.2">
      <c r="A275" s="1014" t="s">
        <v>735</v>
      </c>
      <c r="B275" s="1013"/>
      <c r="C275" s="1013"/>
      <c r="D275" s="1013"/>
      <c r="E275" s="1013"/>
      <c r="F275" s="1013"/>
      <c r="G275" s="1013"/>
      <c r="H275" s="1013"/>
    </row>
    <row r="276" spans="1:8" x14ac:dyDescent="0.2">
      <c r="A276" s="1014" t="s">
        <v>736</v>
      </c>
      <c r="B276" s="1013"/>
      <c r="C276" s="1013"/>
      <c r="D276" s="1013"/>
      <c r="E276" s="1013"/>
      <c r="F276" s="1013"/>
      <c r="G276" s="1013"/>
      <c r="H276" s="1013"/>
    </row>
    <row r="277" spans="1:8" x14ac:dyDescent="0.2">
      <c r="A277" s="1014" t="s">
        <v>737</v>
      </c>
      <c r="B277" s="1013"/>
      <c r="C277" s="1013"/>
      <c r="D277" s="1013"/>
      <c r="E277" s="1013"/>
      <c r="F277" s="1013"/>
      <c r="G277" s="1013"/>
      <c r="H277" s="1013"/>
    </row>
    <row r="278" spans="1:8" x14ac:dyDescent="0.2">
      <c r="A278" s="1014" t="s">
        <v>738</v>
      </c>
      <c r="B278" s="1013"/>
      <c r="C278" s="1013"/>
      <c r="D278" s="1013"/>
      <c r="E278" s="1013"/>
      <c r="F278" s="1013"/>
      <c r="G278" s="1013"/>
      <c r="H278" s="1013"/>
    </row>
    <row r="279" spans="1:8" x14ac:dyDescent="0.2">
      <c r="A279" s="1013"/>
      <c r="B279" s="1013"/>
      <c r="C279" s="1013"/>
      <c r="D279" s="1013"/>
      <c r="E279" s="1013"/>
      <c r="F279" s="1013"/>
      <c r="G279" s="1013"/>
      <c r="H279" s="1013"/>
    </row>
    <row r="280" spans="1:8" x14ac:dyDescent="0.2">
      <c r="A280" s="1014" t="s">
        <v>723</v>
      </c>
      <c r="B280" s="1013"/>
      <c r="C280" s="1013"/>
      <c r="D280" s="1013"/>
      <c r="E280" s="1013"/>
      <c r="F280" s="1013"/>
      <c r="G280" s="1013"/>
      <c r="H280" s="1013"/>
    </row>
    <row r="281" spans="1:8" x14ac:dyDescent="0.2">
      <c r="A281" s="1014" t="s">
        <v>724</v>
      </c>
      <c r="B281" s="1013"/>
      <c r="C281" s="1013"/>
      <c r="D281" s="1013"/>
      <c r="E281" s="1013"/>
      <c r="F281" s="1013"/>
      <c r="G281" s="1013"/>
      <c r="H281" s="1013"/>
    </row>
    <row r="282" spans="1:8" x14ac:dyDescent="0.2">
      <c r="A282" s="1014" t="s">
        <v>725</v>
      </c>
      <c r="B282" s="1013"/>
      <c r="C282" s="1013"/>
      <c r="D282" s="1013"/>
      <c r="E282" s="1013"/>
      <c r="F282" s="1013"/>
      <c r="G282" s="1013"/>
      <c r="H282" s="1013"/>
    </row>
    <row r="283" spans="1:8" x14ac:dyDescent="0.2">
      <c r="A283" s="1014" t="s">
        <v>726</v>
      </c>
      <c r="B283" s="1013"/>
      <c r="C283" s="1013"/>
      <c r="D283" s="1013"/>
      <c r="E283" s="1013"/>
      <c r="F283" s="1013"/>
      <c r="G283" s="1013"/>
      <c r="H283" s="1013"/>
    </row>
    <row r="284" spans="1:8" x14ac:dyDescent="0.2">
      <c r="A284" s="1014" t="s">
        <v>727</v>
      </c>
      <c r="B284" s="1013"/>
      <c r="C284" s="1013"/>
      <c r="D284" s="1013"/>
      <c r="E284" s="1013"/>
      <c r="F284" s="1013"/>
      <c r="G284" s="1013"/>
      <c r="H284" s="1013"/>
    </row>
    <row r="285" spans="1:8" x14ac:dyDescent="0.2">
      <c r="A285" s="1014" t="s">
        <v>728</v>
      </c>
      <c r="B285" s="1013"/>
      <c r="C285" s="1013"/>
      <c r="D285" s="1013"/>
      <c r="E285" s="1013"/>
      <c r="F285" s="1013"/>
      <c r="G285" s="1013"/>
      <c r="H285" s="1013"/>
    </row>
    <row r="286" spans="1:8" x14ac:dyDescent="0.2">
      <c r="A286" s="1014" t="s">
        <v>729</v>
      </c>
      <c r="B286" s="1013"/>
      <c r="C286" s="1013"/>
      <c r="D286" s="1013"/>
      <c r="E286" s="1013"/>
      <c r="F286" s="1013"/>
      <c r="G286" s="1013"/>
      <c r="H286" s="1013"/>
    </row>
    <row r="287" spans="1:8" x14ac:dyDescent="0.2">
      <c r="A287" s="1014" t="s">
        <v>730</v>
      </c>
      <c r="B287" s="1013"/>
      <c r="C287" s="1013"/>
      <c r="D287" s="1013"/>
      <c r="E287" s="1013"/>
      <c r="F287" s="1013"/>
      <c r="G287" s="1013"/>
      <c r="H287" s="1013"/>
    </row>
    <row r="288" spans="1:8" x14ac:dyDescent="0.2">
      <c r="A288" s="1014" t="s">
        <v>731</v>
      </c>
      <c r="B288" s="1013"/>
      <c r="C288" s="1013"/>
      <c r="D288" s="1013"/>
      <c r="E288" s="1013"/>
      <c r="F288" s="1013"/>
      <c r="G288" s="1013"/>
      <c r="H288" s="1013"/>
    </row>
    <row r="289" spans="1:8" x14ac:dyDescent="0.2">
      <c r="A289" s="1013"/>
      <c r="B289" s="1013"/>
      <c r="C289" s="1013"/>
      <c r="D289" s="1013"/>
      <c r="E289" s="1013"/>
      <c r="F289" s="1013"/>
      <c r="G289" s="1013"/>
      <c r="H289" s="1013"/>
    </row>
    <row r="290" spans="1:8" x14ac:dyDescent="0.2">
      <c r="A290" s="1014" t="s">
        <v>716</v>
      </c>
      <c r="B290" s="1013"/>
      <c r="C290" s="1013"/>
      <c r="D290" s="1013"/>
      <c r="E290" s="1013"/>
      <c r="F290" s="1013"/>
      <c r="G290" s="1013"/>
      <c r="H290" s="1013"/>
    </row>
    <row r="291" spans="1:8" x14ac:dyDescent="0.2">
      <c r="A291" s="1014" t="s">
        <v>717</v>
      </c>
      <c r="B291" s="1013"/>
      <c r="C291" s="1013"/>
      <c r="D291" s="1013"/>
      <c r="E291" s="1013"/>
      <c r="F291" s="1013"/>
      <c r="G291" s="1013"/>
      <c r="H291" s="1013"/>
    </row>
    <row r="292" spans="1:8" x14ac:dyDescent="0.2">
      <c r="A292" s="1014" t="s">
        <v>718</v>
      </c>
      <c r="B292" s="1013"/>
      <c r="C292" s="1013"/>
      <c r="D292" s="1013"/>
      <c r="E292" s="1013"/>
      <c r="F292" s="1013"/>
      <c r="G292" s="1013"/>
      <c r="H292" s="1013"/>
    </row>
    <row r="293" spans="1:8" x14ac:dyDescent="0.2">
      <c r="A293" s="1014" t="s">
        <v>719</v>
      </c>
      <c r="B293" s="1013"/>
      <c r="C293" s="1013"/>
      <c r="D293" s="1013"/>
      <c r="E293" s="1013"/>
      <c r="F293" s="1013"/>
      <c r="G293" s="1013"/>
      <c r="H293" s="1013"/>
    </row>
    <row r="294" spans="1:8" x14ac:dyDescent="0.2">
      <c r="A294" s="1014" t="s">
        <v>720</v>
      </c>
      <c r="B294" s="1013"/>
      <c r="C294" s="1013"/>
      <c r="D294" s="1013"/>
      <c r="E294" s="1013"/>
      <c r="F294" s="1013"/>
      <c r="G294" s="1013"/>
      <c r="H294" s="1013"/>
    </row>
    <row r="295" spans="1:8" x14ac:dyDescent="0.2">
      <c r="A295" s="1014" t="s">
        <v>721</v>
      </c>
      <c r="B295" s="1013"/>
      <c r="C295" s="1013"/>
      <c r="D295" s="1013"/>
      <c r="E295" s="1013"/>
      <c r="F295" s="1013"/>
      <c r="G295" s="1013"/>
      <c r="H295" s="1013"/>
    </row>
    <row r="296" spans="1:8" x14ac:dyDescent="0.2">
      <c r="A296" s="1014" t="s">
        <v>722</v>
      </c>
      <c r="B296" s="1013"/>
      <c r="C296" s="1013"/>
      <c r="D296" s="1013"/>
      <c r="E296" s="1013"/>
      <c r="F296" s="1013"/>
      <c r="G296" s="1013"/>
      <c r="H296" s="1013"/>
    </row>
    <row r="297" spans="1:8" x14ac:dyDescent="0.2">
      <c r="A297" s="1013"/>
      <c r="B297" s="1013"/>
      <c r="C297" s="1013"/>
      <c r="D297" s="1013"/>
      <c r="E297" s="1013"/>
      <c r="F297" s="1013"/>
      <c r="G297" s="1013"/>
      <c r="H297" s="1013"/>
    </row>
    <row r="298" spans="1:8" x14ac:dyDescent="0.2">
      <c r="A298" s="1014" t="s">
        <v>713</v>
      </c>
      <c r="B298" s="1013"/>
      <c r="C298" s="1013"/>
      <c r="D298" s="1013"/>
      <c r="E298" s="1013"/>
      <c r="F298" s="1013"/>
      <c r="G298" s="1013"/>
      <c r="H298" s="1013"/>
    </row>
    <row r="299" spans="1:8" x14ac:dyDescent="0.2">
      <c r="A299" s="1014" t="s">
        <v>714</v>
      </c>
      <c r="B299" s="1013"/>
      <c r="C299" s="1013"/>
      <c r="D299" s="1013"/>
      <c r="E299" s="1013"/>
      <c r="F299" s="1013"/>
      <c r="G299" s="1013"/>
      <c r="H299" s="1013"/>
    </row>
    <row r="300" spans="1:8" x14ac:dyDescent="0.2">
      <c r="A300" s="1014" t="s">
        <v>715</v>
      </c>
      <c r="B300" s="1013"/>
      <c r="C300" s="1013"/>
      <c r="D300" s="1013"/>
      <c r="E300" s="1013"/>
      <c r="F300" s="1013"/>
      <c r="G300" s="1013"/>
      <c r="H300" s="1013"/>
    </row>
    <row r="301" spans="1:8" x14ac:dyDescent="0.2">
      <c r="A301" s="1013"/>
      <c r="B301" s="1013"/>
      <c r="C301" s="1013"/>
      <c r="D301" s="1013"/>
      <c r="E301" s="1013"/>
      <c r="F301" s="1013"/>
      <c r="G301" s="1013"/>
      <c r="H301" s="1013"/>
    </row>
    <row r="302" spans="1:8" x14ac:dyDescent="0.2">
      <c r="A302" s="1014" t="s">
        <v>711</v>
      </c>
      <c r="B302" s="1013"/>
      <c r="C302" s="1013"/>
      <c r="D302" s="1013"/>
      <c r="E302" s="1013"/>
      <c r="F302" s="1013"/>
      <c r="G302" s="1013"/>
      <c r="H302" s="1013"/>
    </row>
    <row r="303" spans="1:8" x14ac:dyDescent="0.2">
      <c r="A303" s="1014" t="s">
        <v>712</v>
      </c>
      <c r="B303" s="1013"/>
      <c r="C303" s="1013"/>
      <c r="D303" s="1013"/>
      <c r="E303" s="1013"/>
      <c r="F303" s="1013"/>
      <c r="G303" s="1013"/>
      <c r="H303" s="1013"/>
    </row>
    <row r="304" spans="1:8" x14ac:dyDescent="0.2">
      <c r="A304" s="1013"/>
      <c r="B304" s="1013"/>
      <c r="C304" s="1013"/>
      <c r="D304" s="1013"/>
      <c r="E304" s="1013"/>
      <c r="F304" s="1013"/>
      <c r="G304" s="1013"/>
      <c r="H304" s="1013"/>
    </row>
    <row r="305" spans="1:8" x14ac:dyDescent="0.2">
      <c r="A305" s="1014" t="s">
        <v>698</v>
      </c>
      <c r="B305" s="1013"/>
      <c r="C305" s="1013"/>
      <c r="D305" s="1013"/>
      <c r="E305" s="1013"/>
      <c r="F305" s="1013"/>
      <c r="G305" s="1013"/>
      <c r="H305" s="1013"/>
    </row>
    <row r="306" spans="1:8" x14ac:dyDescent="0.2">
      <c r="A306" s="1014" t="s">
        <v>699</v>
      </c>
      <c r="B306" s="1013"/>
      <c r="C306" s="1013"/>
      <c r="D306" s="1013"/>
      <c r="E306" s="1013"/>
      <c r="F306" s="1013"/>
      <c r="G306" s="1013"/>
      <c r="H306" s="1013"/>
    </row>
    <row r="307" spans="1:8" x14ac:dyDescent="0.2">
      <c r="A307" s="1014" t="s">
        <v>700</v>
      </c>
      <c r="B307" s="1013"/>
      <c r="C307" s="1013"/>
      <c r="D307" s="1013"/>
      <c r="E307" s="1013"/>
      <c r="F307" s="1013"/>
      <c r="G307" s="1013"/>
      <c r="H307" s="1013"/>
    </row>
    <row r="308" spans="1:8" x14ac:dyDescent="0.2">
      <c r="A308" s="1014" t="s">
        <v>701</v>
      </c>
      <c r="B308" s="1013"/>
      <c r="C308" s="1013"/>
      <c r="D308" s="1013"/>
      <c r="E308" s="1013"/>
      <c r="F308" s="1013"/>
      <c r="G308" s="1013"/>
      <c r="H308" s="1013"/>
    </row>
    <row r="309" spans="1:8" x14ac:dyDescent="0.2">
      <c r="A309" s="1014" t="s">
        <v>702</v>
      </c>
      <c r="B309" s="1013"/>
      <c r="C309" s="1013"/>
      <c r="D309" s="1013"/>
      <c r="E309" s="1013"/>
      <c r="F309" s="1013"/>
      <c r="G309" s="1013"/>
      <c r="H309" s="1013"/>
    </row>
    <row r="310" spans="1:8" x14ac:dyDescent="0.2">
      <c r="A310" s="1014" t="s">
        <v>703</v>
      </c>
      <c r="B310" s="1013"/>
      <c r="C310" s="1013"/>
      <c r="D310" s="1013"/>
      <c r="E310" s="1013"/>
      <c r="F310" s="1013"/>
      <c r="G310" s="1013"/>
      <c r="H310" s="1013"/>
    </row>
    <row r="311" spans="1:8" x14ac:dyDescent="0.2">
      <c r="A311" s="1014" t="s">
        <v>704</v>
      </c>
      <c r="B311" s="1013"/>
      <c r="C311" s="1013"/>
      <c r="D311" s="1013"/>
      <c r="E311" s="1013"/>
      <c r="F311" s="1013"/>
      <c r="G311" s="1013"/>
      <c r="H311" s="1013"/>
    </row>
    <row r="312" spans="1:8" x14ac:dyDescent="0.2">
      <c r="A312" s="1014" t="s">
        <v>705</v>
      </c>
      <c r="B312" s="1013"/>
      <c r="C312" s="1013"/>
      <c r="D312" s="1013"/>
      <c r="E312" s="1013"/>
      <c r="F312" s="1013"/>
      <c r="G312" s="1013"/>
      <c r="H312" s="1013"/>
    </row>
    <row r="313" spans="1:8" x14ac:dyDescent="0.2">
      <c r="A313" s="1014" t="s">
        <v>706</v>
      </c>
      <c r="B313" s="1013"/>
      <c r="C313" s="1013"/>
      <c r="D313" s="1013"/>
      <c r="E313" s="1013"/>
      <c r="F313" s="1013"/>
      <c r="G313" s="1013"/>
      <c r="H313" s="1013"/>
    </row>
    <row r="314" spans="1:8" x14ac:dyDescent="0.2">
      <c r="A314" s="1014" t="s">
        <v>707</v>
      </c>
      <c r="B314" s="1013"/>
      <c r="C314" s="1013"/>
      <c r="D314" s="1013"/>
      <c r="E314" s="1013"/>
      <c r="F314" s="1013"/>
      <c r="G314" s="1013"/>
      <c r="H314" s="1013"/>
    </row>
    <row r="315" spans="1:8" x14ac:dyDescent="0.2">
      <c r="A315" s="1014" t="s">
        <v>708</v>
      </c>
      <c r="B315" s="1013"/>
      <c r="C315" s="1013"/>
      <c r="D315" s="1013"/>
      <c r="E315" s="1013"/>
      <c r="F315" s="1013"/>
      <c r="G315" s="1013"/>
      <c r="H315" s="1013"/>
    </row>
    <row r="316" spans="1:8" x14ac:dyDescent="0.2">
      <c r="A316" s="1014" t="s">
        <v>709</v>
      </c>
      <c r="B316" s="1013"/>
      <c r="C316" s="1013"/>
      <c r="D316" s="1013"/>
      <c r="E316" s="1013"/>
      <c r="F316" s="1013"/>
      <c r="G316" s="1013"/>
      <c r="H316" s="1013"/>
    </row>
    <row r="317" spans="1:8" x14ac:dyDescent="0.2">
      <c r="A317" s="1014" t="s">
        <v>710</v>
      </c>
      <c r="B317" s="1013"/>
      <c r="C317" s="1013"/>
      <c r="D317" s="1013"/>
      <c r="E317" s="1013"/>
      <c r="F317" s="1013"/>
      <c r="G317" s="1013"/>
      <c r="H317" s="1013"/>
    </row>
    <row r="318" spans="1:8" x14ac:dyDescent="0.2">
      <c r="A318" s="1013"/>
      <c r="B318" s="1013"/>
      <c r="C318" s="1013"/>
      <c r="D318" s="1013"/>
      <c r="E318" s="1013"/>
      <c r="F318" s="1013"/>
      <c r="G318" s="1013"/>
      <c r="H318" s="1013"/>
    </row>
    <row r="319" spans="1:8" x14ac:dyDescent="0.2">
      <c r="A319" s="1014" t="s">
        <v>690</v>
      </c>
      <c r="B319" s="1013"/>
      <c r="C319" s="1013"/>
      <c r="D319" s="1013"/>
      <c r="E319" s="1013"/>
      <c r="F319" s="1013"/>
      <c r="G319" s="1013"/>
      <c r="H319" s="1013"/>
    </row>
    <row r="320" spans="1:8" x14ac:dyDescent="0.2">
      <c r="A320" s="1014" t="s">
        <v>691</v>
      </c>
      <c r="B320" s="1013"/>
      <c r="C320" s="1013"/>
      <c r="D320" s="1013"/>
      <c r="E320" s="1013"/>
      <c r="F320" s="1013"/>
      <c r="G320" s="1013"/>
      <c r="H320" s="1013"/>
    </row>
    <row r="321" spans="1:8" x14ac:dyDescent="0.2">
      <c r="A321" s="1014" t="s">
        <v>692</v>
      </c>
      <c r="B321" s="1013"/>
      <c r="C321" s="1013"/>
      <c r="D321" s="1013"/>
      <c r="E321" s="1013"/>
      <c r="F321" s="1013"/>
      <c r="G321" s="1013"/>
      <c r="H321" s="1013"/>
    </row>
    <row r="322" spans="1:8" x14ac:dyDescent="0.2">
      <c r="A322" s="1014" t="s">
        <v>693</v>
      </c>
      <c r="B322" s="1013"/>
      <c r="C322" s="1013"/>
      <c r="D322" s="1013"/>
      <c r="E322" s="1013"/>
      <c r="F322" s="1013"/>
      <c r="G322" s="1013"/>
      <c r="H322" s="1013"/>
    </row>
    <row r="323" spans="1:8" x14ac:dyDescent="0.2">
      <c r="A323" s="1014" t="s">
        <v>694</v>
      </c>
      <c r="B323" s="1013"/>
      <c r="C323" s="1013"/>
      <c r="D323" s="1013"/>
      <c r="E323" s="1013"/>
      <c r="F323" s="1013"/>
      <c r="G323" s="1013"/>
      <c r="H323" s="1013"/>
    </row>
    <row r="324" spans="1:8" x14ac:dyDescent="0.2">
      <c r="A324" s="1014" t="s">
        <v>695</v>
      </c>
      <c r="B324" s="1013"/>
      <c r="C324" s="1013"/>
      <c r="D324" s="1013"/>
      <c r="E324" s="1013"/>
      <c r="F324" s="1013"/>
      <c r="G324" s="1013"/>
      <c r="H324" s="1013"/>
    </row>
    <row r="325" spans="1:8" x14ac:dyDescent="0.2">
      <c r="A325" s="1014" t="s">
        <v>696</v>
      </c>
      <c r="B325" s="1013"/>
      <c r="C325" s="1013"/>
      <c r="D325" s="1013"/>
      <c r="E325" s="1013"/>
      <c r="F325" s="1013"/>
      <c r="G325" s="1013"/>
      <c r="H325" s="1013"/>
    </row>
    <row r="326" spans="1:8" x14ac:dyDescent="0.2">
      <c r="A326" s="1014" t="s">
        <v>697</v>
      </c>
      <c r="B326" s="1013"/>
      <c r="C326" s="1013"/>
      <c r="D326" s="1013"/>
      <c r="E326" s="1013"/>
      <c r="F326" s="1013"/>
      <c r="G326" s="1013"/>
      <c r="H326" s="1013"/>
    </row>
    <row r="327" spans="1:8" x14ac:dyDescent="0.2">
      <c r="A327" s="1013"/>
      <c r="B327" s="1013"/>
      <c r="C327" s="1013"/>
      <c r="D327" s="1013"/>
      <c r="E327" s="1013"/>
      <c r="F327" s="1013"/>
      <c r="G327" s="1013"/>
      <c r="H327" s="1013"/>
    </row>
    <row r="328" spans="1:8" x14ac:dyDescent="0.2">
      <c r="A328" s="1014" t="s">
        <v>655</v>
      </c>
      <c r="B328" s="1013"/>
      <c r="C328" s="1013"/>
      <c r="D328" s="1013"/>
      <c r="E328" s="1013"/>
      <c r="F328" s="1013"/>
      <c r="G328" s="1013"/>
      <c r="H328" s="1013"/>
    </row>
    <row r="329" spans="1:8" x14ac:dyDescent="0.2">
      <c r="A329" s="1014" t="s">
        <v>656</v>
      </c>
      <c r="B329" s="1013"/>
      <c r="C329" s="1013"/>
      <c r="D329" s="1013"/>
      <c r="E329" s="1013"/>
      <c r="F329" s="1013"/>
      <c r="G329" s="1013"/>
      <c r="H329" s="1013"/>
    </row>
    <row r="330" spans="1:8" x14ac:dyDescent="0.2">
      <c r="A330" s="1014" t="s">
        <v>657</v>
      </c>
      <c r="B330" s="1013"/>
      <c r="C330" s="1013"/>
      <c r="D330" s="1013"/>
      <c r="E330" s="1013"/>
      <c r="F330" s="1013"/>
      <c r="G330" s="1013"/>
      <c r="H330" s="1013"/>
    </row>
    <row r="331" spans="1:8" x14ac:dyDescent="0.2">
      <c r="A331" s="1014" t="s">
        <v>658</v>
      </c>
      <c r="B331" s="1013"/>
      <c r="C331" s="1013"/>
      <c r="D331" s="1013"/>
      <c r="E331" s="1013"/>
      <c r="F331" s="1013"/>
      <c r="G331" s="1013"/>
      <c r="H331" s="1013"/>
    </row>
    <row r="332" spans="1:8" x14ac:dyDescent="0.2">
      <c r="A332" s="1014" t="s">
        <v>659</v>
      </c>
      <c r="B332" s="1013"/>
      <c r="C332" s="1013"/>
      <c r="D332" s="1013"/>
      <c r="E332" s="1013"/>
      <c r="F332" s="1013"/>
      <c r="G332" s="1013"/>
      <c r="H332" s="1013"/>
    </row>
    <row r="333" spans="1:8" x14ac:dyDescent="0.2">
      <c r="A333" s="1014" t="s">
        <v>660</v>
      </c>
      <c r="B333" s="1013"/>
      <c r="C333" s="1013"/>
      <c r="D333" s="1013"/>
      <c r="E333" s="1013"/>
      <c r="F333" s="1013"/>
      <c r="G333" s="1013"/>
      <c r="H333" s="1013"/>
    </row>
    <row r="334" spans="1:8" x14ac:dyDescent="0.2">
      <c r="A334" s="1014" t="s">
        <v>661</v>
      </c>
      <c r="B334" s="1013"/>
      <c r="C334" s="1013"/>
      <c r="D334" s="1013"/>
      <c r="E334" s="1013"/>
      <c r="F334" s="1013"/>
      <c r="G334" s="1013"/>
      <c r="H334" s="1013"/>
    </row>
    <row r="335" spans="1:8" x14ac:dyDescent="0.2">
      <c r="A335" s="1014" t="s">
        <v>662</v>
      </c>
      <c r="B335" s="1013"/>
      <c r="C335" s="1013"/>
      <c r="D335" s="1013"/>
      <c r="E335" s="1013"/>
      <c r="F335" s="1013"/>
      <c r="G335" s="1013"/>
      <c r="H335" s="1013"/>
    </row>
    <row r="336" spans="1:8" x14ac:dyDescent="0.2">
      <c r="A336" s="1014" t="s">
        <v>663</v>
      </c>
      <c r="B336" s="1013"/>
      <c r="C336" s="1013"/>
      <c r="D336" s="1013"/>
      <c r="E336" s="1013"/>
      <c r="F336" s="1013"/>
      <c r="G336" s="1013"/>
      <c r="H336" s="1013"/>
    </row>
    <row r="337" spans="1:8" x14ac:dyDescent="0.2">
      <c r="A337" s="1014" t="s">
        <v>664</v>
      </c>
      <c r="B337" s="1013"/>
      <c r="C337" s="1013"/>
      <c r="D337" s="1013"/>
      <c r="E337" s="1013"/>
      <c r="F337" s="1013"/>
      <c r="G337" s="1013"/>
      <c r="H337" s="1013"/>
    </row>
    <row r="338" spans="1:8" x14ac:dyDescent="0.2">
      <c r="A338" s="1014" t="s">
        <v>665</v>
      </c>
      <c r="B338" s="1013"/>
      <c r="C338" s="1013"/>
      <c r="D338" s="1013"/>
      <c r="E338" s="1013"/>
      <c r="F338" s="1013"/>
      <c r="G338" s="1013"/>
      <c r="H338" s="1013"/>
    </row>
    <row r="339" spans="1:8" x14ac:dyDescent="0.2">
      <c r="A339" s="1014" t="s">
        <v>666</v>
      </c>
      <c r="B339" s="1013"/>
      <c r="C339" s="1013"/>
      <c r="D339" s="1013"/>
      <c r="E339" s="1013"/>
      <c r="F339" s="1013"/>
      <c r="G339" s="1013"/>
      <c r="H339" s="1013"/>
    </row>
    <row r="340" spans="1:8" x14ac:dyDescent="0.2">
      <c r="A340" s="1014" t="s">
        <v>667</v>
      </c>
      <c r="B340" s="1013"/>
      <c r="C340" s="1013"/>
      <c r="D340" s="1013"/>
      <c r="E340" s="1013"/>
      <c r="F340" s="1013"/>
      <c r="G340" s="1013"/>
      <c r="H340" s="1013"/>
    </row>
    <row r="341" spans="1:8" x14ac:dyDescent="0.2">
      <c r="A341" s="1014" t="s">
        <v>668</v>
      </c>
      <c r="B341" s="1013"/>
      <c r="C341" s="1013"/>
      <c r="D341" s="1013"/>
      <c r="E341" s="1013"/>
      <c r="F341" s="1013"/>
      <c r="G341" s="1013"/>
      <c r="H341" s="1013"/>
    </row>
    <row r="342" spans="1:8" x14ac:dyDescent="0.2">
      <c r="A342" s="1014" t="s">
        <v>669</v>
      </c>
      <c r="B342" s="1013"/>
      <c r="C342" s="1013"/>
      <c r="D342" s="1013"/>
      <c r="E342" s="1013"/>
      <c r="F342" s="1013"/>
      <c r="G342" s="1013"/>
      <c r="H342" s="1013"/>
    </row>
    <row r="343" spans="1:8" x14ac:dyDescent="0.2">
      <c r="A343" s="1014" t="s">
        <v>670</v>
      </c>
      <c r="B343" s="1013"/>
      <c r="C343" s="1013"/>
      <c r="D343" s="1013"/>
      <c r="E343" s="1013"/>
      <c r="F343" s="1013"/>
      <c r="G343" s="1013"/>
      <c r="H343" s="1013"/>
    </row>
    <row r="344" spans="1:8" x14ac:dyDescent="0.2">
      <c r="A344" s="1014" t="s">
        <v>671</v>
      </c>
      <c r="B344" s="1013"/>
      <c r="C344" s="1013"/>
      <c r="D344" s="1013"/>
      <c r="E344" s="1013"/>
      <c r="F344" s="1013"/>
      <c r="G344" s="1013"/>
      <c r="H344" s="1013"/>
    </row>
    <row r="345" spans="1:8" x14ac:dyDescent="0.2">
      <c r="A345" s="1014" t="s">
        <v>672</v>
      </c>
      <c r="B345" s="1013"/>
      <c r="C345" s="1013"/>
      <c r="D345" s="1013"/>
      <c r="E345" s="1013"/>
      <c r="F345" s="1013"/>
      <c r="G345" s="1013"/>
      <c r="H345" s="1013"/>
    </row>
    <row r="346" spans="1:8" x14ac:dyDescent="0.2">
      <c r="A346" s="1014" t="s">
        <v>673</v>
      </c>
      <c r="B346" s="1013"/>
      <c r="C346" s="1013"/>
      <c r="D346" s="1013"/>
      <c r="E346" s="1013"/>
      <c r="F346" s="1013"/>
      <c r="G346" s="1013"/>
      <c r="H346" s="1013"/>
    </row>
    <row r="347" spans="1:8" x14ac:dyDescent="0.2">
      <c r="A347" s="1014" t="s">
        <v>674</v>
      </c>
      <c r="B347" s="1013"/>
      <c r="C347" s="1013"/>
      <c r="D347" s="1013"/>
      <c r="E347" s="1013"/>
      <c r="F347" s="1013"/>
      <c r="G347" s="1013"/>
      <c r="H347" s="1013"/>
    </row>
    <row r="348" spans="1:8" x14ac:dyDescent="0.2">
      <c r="A348" s="1014" t="s">
        <v>675</v>
      </c>
      <c r="B348" s="1013"/>
      <c r="C348" s="1013"/>
      <c r="D348" s="1013"/>
      <c r="E348" s="1013"/>
      <c r="F348" s="1013"/>
      <c r="G348" s="1013"/>
      <c r="H348" s="1013"/>
    </row>
    <row r="349" spans="1:8" x14ac:dyDescent="0.2">
      <c r="A349" s="1014" t="s">
        <v>676</v>
      </c>
      <c r="B349" s="1013"/>
      <c r="C349" s="1013"/>
      <c r="D349" s="1013"/>
      <c r="E349" s="1013"/>
      <c r="F349" s="1013"/>
      <c r="G349" s="1013"/>
      <c r="H349" s="1013"/>
    </row>
    <row r="350" spans="1:8" x14ac:dyDescent="0.2">
      <c r="A350" s="1014" t="s">
        <v>677</v>
      </c>
      <c r="B350" s="1013"/>
      <c r="C350" s="1013"/>
      <c r="D350" s="1013"/>
      <c r="E350" s="1013"/>
      <c r="F350" s="1013"/>
      <c r="G350" s="1013"/>
      <c r="H350" s="1013"/>
    </row>
    <row r="351" spans="1:8" x14ac:dyDescent="0.2">
      <c r="A351" s="1014" t="s">
        <v>678</v>
      </c>
      <c r="B351" s="1013"/>
      <c r="C351" s="1013"/>
      <c r="D351" s="1013"/>
      <c r="E351" s="1013"/>
      <c r="F351" s="1013"/>
      <c r="G351" s="1013"/>
      <c r="H351" s="1013"/>
    </row>
    <row r="352" spans="1:8" x14ac:dyDescent="0.2">
      <c r="A352" s="1014" t="s">
        <v>679</v>
      </c>
      <c r="B352" s="1013"/>
      <c r="C352" s="1013"/>
      <c r="D352" s="1013"/>
      <c r="E352" s="1013"/>
      <c r="F352" s="1013"/>
      <c r="G352" s="1013"/>
      <c r="H352" s="1013"/>
    </row>
    <row r="353" spans="1:8" x14ac:dyDescent="0.2">
      <c r="A353" s="1014" t="s">
        <v>680</v>
      </c>
      <c r="B353" s="1013"/>
      <c r="C353" s="1013"/>
      <c r="D353" s="1013"/>
      <c r="E353" s="1013"/>
      <c r="F353" s="1013"/>
      <c r="G353" s="1013"/>
      <c r="H353" s="1013"/>
    </row>
    <row r="354" spans="1:8" x14ac:dyDescent="0.2">
      <c r="A354" s="1014" t="s">
        <v>681</v>
      </c>
      <c r="B354" s="1013"/>
      <c r="C354" s="1013"/>
      <c r="D354" s="1013"/>
      <c r="E354" s="1013"/>
      <c r="F354" s="1013"/>
      <c r="G354" s="1013"/>
      <c r="H354" s="1013"/>
    </row>
    <row r="355" spans="1:8" x14ac:dyDescent="0.2">
      <c r="A355" s="1014" t="s">
        <v>682</v>
      </c>
      <c r="B355" s="1013"/>
      <c r="C355" s="1013"/>
      <c r="D355" s="1013"/>
      <c r="E355" s="1013"/>
      <c r="F355" s="1013"/>
      <c r="G355" s="1013"/>
      <c r="H355" s="1013"/>
    </row>
    <row r="356" spans="1:8" x14ac:dyDescent="0.2">
      <c r="A356" s="1014" t="s">
        <v>683</v>
      </c>
      <c r="B356" s="1013"/>
      <c r="C356" s="1013"/>
      <c r="D356" s="1013"/>
      <c r="E356" s="1013"/>
      <c r="F356" s="1013"/>
      <c r="G356" s="1013"/>
      <c r="H356" s="1013"/>
    </row>
    <row r="357" spans="1:8" x14ac:dyDescent="0.2">
      <c r="A357" s="1014" t="s">
        <v>684</v>
      </c>
      <c r="B357" s="1013"/>
      <c r="C357" s="1013"/>
      <c r="D357" s="1013"/>
      <c r="E357" s="1013"/>
      <c r="F357" s="1013"/>
      <c r="G357" s="1013"/>
      <c r="H357" s="1013"/>
    </row>
    <row r="358" spans="1:8" x14ac:dyDescent="0.2">
      <c r="A358" s="1014" t="s">
        <v>685</v>
      </c>
      <c r="B358" s="1013"/>
      <c r="C358" s="1013"/>
      <c r="D358" s="1013"/>
      <c r="E358" s="1013"/>
      <c r="F358" s="1013"/>
      <c r="G358" s="1013"/>
      <c r="H358" s="1013"/>
    </row>
    <row r="359" spans="1:8" x14ac:dyDescent="0.2">
      <c r="A359" s="1014" t="s">
        <v>686</v>
      </c>
      <c r="B359" s="1013"/>
      <c r="C359" s="1013"/>
      <c r="D359" s="1013"/>
      <c r="E359" s="1013"/>
      <c r="F359" s="1013"/>
      <c r="G359" s="1013"/>
      <c r="H359" s="1013"/>
    </row>
    <row r="360" spans="1:8" x14ac:dyDescent="0.2">
      <c r="A360" s="1014" t="s">
        <v>687</v>
      </c>
      <c r="B360" s="1013"/>
      <c r="C360" s="1013"/>
      <c r="D360" s="1013"/>
      <c r="E360" s="1013"/>
      <c r="F360" s="1013"/>
      <c r="G360" s="1013"/>
      <c r="H360" s="1013"/>
    </row>
    <row r="361" spans="1:8" x14ac:dyDescent="0.2">
      <c r="A361" s="1014" t="s">
        <v>688</v>
      </c>
      <c r="B361" s="1013"/>
      <c r="C361" s="1013"/>
      <c r="D361" s="1013"/>
      <c r="E361" s="1013"/>
      <c r="F361" s="1013"/>
      <c r="G361" s="1013"/>
      <c r="H361" s="1013"/>
    </row>
    <row r="362" spans="1:8" x14ac:dyDescent="0.2">
      <c r="A362" s="1014" t="s">
        <v>689</v>
      </c>
      <c r="B362" s="1013"/>
      <c r="C362" s="1013"/>
      <c r="D362" s="1013"/>
      <c r="E362" s="1013"/>
      <c r="F362" s="1013"/>
      <c r="G362" s="1013"/>
      <c r="H362" s="1013"/>
    </row>
    <row r="363" spans="1:8" x14ac:dyDescent="0.2">
      <c r="A363" s="1013"/>
      <c r="B363" s="1013"/>
      <c r="C363" s="1013"/>
      <c r="D363" s="1013"/>
      <c r="E363" s="1013"/>
      <c r="F363" s="1013"/>
      <c r="G363" s="1013"/>
      <c r="H363" s="1013"/>
    </row>
    <row r="364" spans="1:8" x14ac:dyDescent="0.2">
      <c r="A364" s="1014" t="s">
        <v>647</v>
      </c>
      <c r="B364" s="1013"/>
      <c r="C364" s="1013"/>
      <c r="D364" s="1013"/>
      <c r="E364" s="1013"/>
      <c r="F364" s="1013"/>
      <c r="G364" s="1013"/>
      <c r="H364" s="1013"/>
    </row>
    <row r="365" spans="1:8" x14ac:dyDescent="0.2">
      <c r="A365" s="1014" t="s">
        <v>651</v>
      </c>
      <c r="B365" s="1013"/>
      <c r="C365" s="1013"/>
      <c r="D365" s="1013"/>
      <c r="E365" s="1013"/>
      <c r="F365" s="1013"/>
      <c r="G365" s="1013"/>
      <c r="H365" s="1013"/>
    </row>
    <row r="366" spans="1:8" x14ac:dyDescent="0.2">
      <c r="A366" s="1014" t="s">
        <v>652</v>
      </c>
      <c r="B366" s="1013"/>
      <c r="C366" s="1013"/>
      <c r="D366" s="1013"/>
      <c r="E366" s="1013"/>
      <c r="F366" s="1013"/>
      <c r="G366" s="1013"/>
      <c r="H366" s="1013"/>
    </row>
    <row r="367" spans="1:8" x14ac:dyDescent="0.2">
      <c r="A367" s="1014" t="s">
        <v>653</v>
      </c>
      <c r="B367" s="1013"/>
      <c r="C367" s="1013"/>
      <c r="D367" s="1013"/>
      <c r="E367" s="1013"/>
      <c r="F367" s="1013"/>
      <c r="G367" s="1013"/>
      <c r="H367" s="1013"/>
    </row>
    <row r="368" spans="1:8" x14ac:dyDescent="0.2">
      <c r="A368" s="1014" t="s">
        <v>654</v>
      </c>
      <c r="B368" s="1013"/>
      <c r="C368" s="1013"/>
      <c r="D368" s="1013"/>
      <c r="E368" s="1013"/>
      <c r="F368" s="1013"/>
      <c r="G368" s="1013"/>
      <c r="H368" s="1013"/>
    </row>
    <row r="369" spans="1:8" x14ac:dyDescent="0.2">
      <c r="A369" s="1013"/>
      <c r="B369" s="1013"/>
      <c r="C369" s="1013"/>
      <c r="D369" s="1013"/>
      <c r="E369" s="1013"/>
      <c r="F369" s="1013"/>
      <c r="G369" s="1013"/>
      <c r="H369" s="1013"/>
    </row>
    <row r="370" spans="1:8" x14ac:dyDescent="0.2">
      <c r="A370" s="1014" t="s">
        <v>647</v>
      </c>
      <c r="B370" s="1013"/>
      <c r="C370" s="1013"/>
      <c r="D370" s="1013"/>
      <c r="E370" s="1013"/>
      <c r="F370" s="1013"/>
      <c r="G370" s="1013"/>
      <c r="H370" s="1013"/>
    </row>
    <row r="371" spans="1:8" x14ac:dyDescent="0.2">
      <c r="A371" s="1014" t="s">
        <v>648</v>
      </c>
      <c r="B371" s="1013"/>
      <c r="C371" s="1013"/>
      <c r="D371" s="1013"/>
      <c r="E371" s="1013"/>
      <c r="F371" s="1013"/>
      <c r="G371" s="1013"/>
      <c r="H371" s="1013"/>
    </row>
    <row r="372" spans="1:8" x14ac:dyDescent="0.2">
      <c r="A372" s="1014" t="s">
        <v>649</v>
      </c>
      <c r="B372" s="1013"/>
      <c r="C372" s="1013"/>
      <c r="D372" s="1013"/>
      <c r="E372" s="1013"/>
      <c r="F372" s="1013"/>
      <c r="G372" s="1013"/>
      <c r="H372" s="1013"/>
    </row>
    <row r="373" spans="1:8" x14ac:dyDescent="0.2">
      <c r="A373" s="1014" t="s">
        <v>650</v>
      </c>
      <c r="B373" s="1013"/>
      <c r="C373" s="1013"/>
      <c r="D373" s="1013"/>
      <c r="E373" s="1013"/>
      <c r="F373" s="1013"/>
      <c r="G373" s="1013"/>
      <c r="H373" s="1013"/>
    </row>
    <row r="374" spans="1:8" x14ac:dyDescent="0.2">
      <c r="A374" s="1013"/>
      <c r="B374" s="1013"/>
      <c r="C374" s="1013"/>
      <c r="D374" s="1013"/>
      <c r="E374" s="1013"/>
      <c r="F374" s="1013"/>
      <c r="G374" s="1013"/>
      <c r="H374" s="1013"/>
    </row>
    <row r="375" spans="1:8" x14ac:dyDescent="0.2">
      <c r="A375" s="1014" t="s">
        <v>641</v>
      </c>
      <c r="B375" s="1013"/>
      <c r="C375" s="1013"/>
      <c r="D375" s="1013"/>
      <c r="E375" s="1013"/>
      <c r="F375" s="1013"/>
      <c r="G375" s="1013"/>
      <c r="H375" s="1013"/>
    </row>
    <row r="376" spans="1:8" x14ac:dyDescent="0.2">
      <c r="A376" s="1014" t="s">
        <v>642</v>
      </c>
      <c r="B376" s="1013"/>
      <c r="C376" s="1013"/>
      <c r="D376" s="1013"/>
      <c r="E376" s="1013"/>
      <c r="F376" s="1013"/>
      <c r="G376" s="1013"/>
      <c r="H376" s="1013"/>
    </row>
    <row r="377" spans="1:8" x14ac:dyDescent="0.2">
      <c r="A377" s="1014" t="s">
        <v>643</v>
      </c>
      <c r="B377" s="1013"/>
      <c r="C377" s="1013"/>
      <c r="D377" s="1013"/>
      <c r="E377" s="1013"/>
      <c r="F377" s="1013"/>
      <c r="G377" s="1013"/>
      <c r="H377" s="1013"/>
    </row>
    <row r="378" spans="1:8" x14ac:dyDescent="0.2">
      <c r="A378" s="1014" t="s">
        <v>644</v>
      </c>
      <c r="B378" s="1013"/>
      <c r="C378" s="1013"/>
      <c r="D378" s="1013"/>
      <c r="E378" s="1013"/>
      <c r="F378" s="1013"/>
      <c r="G378" s="1013"/>
      <c r="H378" s="1013"/>
    </row>
    <row r="379" spans="1:8" x14ac:dyDescent="0.2">
      <c r="A379" s="1014" t="s">
        <v>645</v>
      </c>
      <c r="B379" s="1013"/>
      <c r="C379" s="1013"/>
      <c r="D379" s="1013"/>
      <c r="E379" s="1013"/>
      <c r="F379" s="1013"/>
      <c r="G379" s="1013"/>
      <c r="H379" s="1013"/>
    </row>
    <row r="380" spans="1:8" x14ac:dyDescent="0.2">
      <c r="A380" s="1014" t="s">
        <v>646</v>
      </c>
      <c r="B380" s="1013"/>
      <c r="C380" s="1013"/>
      <c r="D380" s="1013"/>
      <c r="E380" s="1013"/>
      <c r="F380" s="1013"/>
      <c r="G380" s="1013"/>
      <c r="H380" s="1013"/>
    </row>
    <row r="381" spans="1:8" x14ac:dyDescent="0.2">
      <c r="A381" s="1013"/>
      <c r="B381" s="1013"/>
      <c r="C381" s="1013"/>
      <c r="D381" s="1013"/>
      <c r="E381" s="1013"/>
      <c r="F381" s="1013"/>
      <c r="G381" s="1013"/>
      <c r="H381" s="1013"/>
    </row>
    <row r="382" spans="1:8" x14ac:dyDescent="0.2">
      <c r="A382" s="1014" t="s">
        <v>636</v>
      </c>
      <c r="B382" s="1013"/>
      <c r="C382" s="1013"/>
      <c r="D382" s="1013"/>
      <c r="E382" s="1013"/>
      <c r="F382" s="1013"/>
      <c r="G382" s="1013"/>
      <c r="H382" s="1013"/>
    </row>
    <row r="383" spans="1:8" x14ac:dyDescent="0.2">
      <c r="A383" s="1014" t="s">
        <v>637</v>
      </c>
      <c r="B383" s="1013"/>
      <c r="C383" s="1013"/>
      <c r="D383" s="1013"/>
      <c r="E383" s="1013"/>
      <c r="F383" s="1013"/>
      <c r="G383" s="1013"/>
      <c r="H383" s="1013"/>
    </row>
    <row r="384" spans="1:8" x14ac:dyDescent="0.2">
      <c r="A384" s="1014" t="s">
        <v>638</v>
      </c>
      <c r="B384" s="1013"/>
      <c r="C384" s="1013"/>
      <c r="D384" s="1013"/>
      <c r="E384" s="1013"/>
      <c r="F384" s="1013"/>
      <c r="G384" s="1013"/>
      <c r="H384" s="1013"/>
    </row>
    <row r="385" spans="1:8" x14ac:dyDescent="0.2">
      <c r="A385" s="1014" t="s">
        <v>639</v>
      </c>
      <c r="B385" s="1013"/>
      <c r="C385" s="1013"/>
      <c r="D385" s="1013"/>
      <c r="E385" s="1013"/>
      <c r="F385" s="1013"/>
      <c r="G385" s="1013"/>
      <c r="H385" s="1013"/>
    </row>
    <row r="386" spans="1:8" x14ac:dyDescent="0.2">
      <c r="A386" s="1014" t="s">
        <v>640</v>
      </c>
      <c r="B386" s="1013"/>
      <c r="C386" s="1013"/>
      <c r="D386" s="1013"/>
      <c r="E386" s="1013"/>
      <c r="F386" s="1013"/>
      <c r="G386" s="1013"/>
      <c r="H386" s="1013"/>
    </row>
    <row r="387" spans="1:8" x14ac:dyDescent="0.2">
      <c r="A387" s="1013"/>
      <c r="B387" s="1013"/>
      <c r="C387" s="1013"/>
      <c r="D387" s="1013"/>
      <c r="E387" s="1013"/>
      <c r="F387" s="1013"/>
      <c r="G387" s="1013"/>
      <c r="H387" s="1013"/>
    </row>
    <row r="388" spans="1:8" x14ac:dyDescent="0.2">
      <c r="A388" s="1014" t="s">
        <v>634</v>
      </c>
      <c r="B388" s="1013"/>
      <c r="C388" s="1013"/>
      <c r="D388" s="1013"/>
      <c r="E388" s="1013"/>
      <c r="F388" s="1013"/>
      <c r="G388" s="1013"/>
      <c r="H388" s="1013"/>
    </row>
    <row r="389" spans="1:8" x14ac:dyDescent="0.2">
      <c r="A389" s="1014" t="s">
        <v>635</v>
      </c>
      <c r="B389" s="1013"/>
      <c r="C389" s="1013"/>
      <c r="D389" s="1013"/>
      <c r="E389" s="1013"/>
      <c r="F389" s="1013"/>
      <c r="G389" s="1013"/>
      <c r="H389" s="1013"/>
    </row>
    <row r="391" spans="1:8" x14ac:dyDescent="0.2">
      <c r="A391" s="1009" t="s">
        <v>890</v>
      </c>
    </row>
  </sheetData>
  <mergeCells count="12">
    <mergeCell ref="A132:H132"/>
    <mergeCell ref="A133:H133"/>
    <mergeCell ref="B125:C125"/>
    <mergeCell ref="D125:F125"/>
    <mergeCell ref="G125:H125"/>
    <mergeCell ref="A111:H111"/>
    <mergeCell ref="A112:H112"/>
    <mergeCell ref="A113:H113"/>
    <mergeCell ref="A114:H114"/>
    <mergeCell ref="A116:H116"/>
    <mergeCell ref="A117:H117"/>
    <mergeCell ref="A124:H124"/>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8"/>
  </sheetPr>
  <dimension ref="A1:E17"/>
  <sheetViews>
    <sheetView showGridLines="0" zoomScaleNormal="100" zoomScaleSheetLayoutView="100" workbookViewId="0"/>
  </sheetViews>
  <sheetFormatPr defaultColWidth="8" defaultRowHeight="12.75" x14ac:dyDescent="0.2"/>
  <cols>
    <col min="1" max="1" width="63.7109375" bestFit="1" customWidth="1"/>
    <col min="2" max="2" width="48.140625" customWidth="1"/>
    <col min="3" max="3" width="12.5703125" customWidth="1"/>
  </cols>
  <sheetData>
    <row r="1" spans="1:5" x14ac:dyDescent="0.2">
      <c r="A1" s="342"/>
      <c r="B1" s="200"/>
      <c r="C1" s="200"/>
      <c r="D1" s="54"/>
    </row>
    <row r="2" spans="1:5" ht="36.75" customHeight="1" x14ac:dyDescent="0.2">
      <c r="A2" s="201"/>
      <c r="B2" s="201"/>
      <c r="C2" s="202"/>
      <c r="D2" s="54"/>
    </row>
    <row r="3" spans="1:5" ht="27" customHeight="1" x14ac:dyDescent="0.2">
      <c r="A3" s="201"/>
      <c r="B3" s="201"/>
      <c r="C3" s="202"/>
      <c r="D3" s="54"/>
    </row>
    <row r="4" spans="1:5" ht="21" customHeight="1" x14ac:dyDescent="0.3">
      <c r="A4" s="262" t="s">
        <v>124</v>
      </c>
      <c r="B4" s="203"/>
      <c r="C4" s="203"/>
      <c r="D4" s="204" t="s">
        <v>190</v>
      </c>
      <c r="E4" s="204"/>
    </row>
    <row r="5" spans="1:5" ht="13.5" customHeight="1" x14ac:dyDescent="0.2">
      <c r="A5" s="205"/>
      <c r="B5" s="205"/>
      <c r="C5" s="205"/>
      <c r="D5" s="205"/>
    </row>
    <row r="6" spans="1:5" ht="13.5" customHeight="1" x14ac:dyDescent="0.2">
      <c r="A6" s="206" t="s">
        <v>173</v>
      </c>
      <c r="B6" s="207"/>
      <c r="C6" s="207"/>
      <c r="D6" s="207"/>
    </row>
    <row r="7" spans="1:5" ht="13.5" customHeight="1" x14ac:dyDescent="0.25">
      <c r="A7" s="208"/>
      <c r="B7" s="207"/>
      <c r="C7" s="207"/>
      <c r="D7" s="207"/>
    </row>
    <row r="8" spans="1:5" ht="13.5" customHeight="1" x14ac:dyDescent="0.2">
      <c r="A8" s="209"/>
      <c r="B8" s="200"/>
      <c r="C8" s="207"/>
      <c r="D8" s="207"/>
    </row>
    <row r="9" spans="1:5" ht="13.5" customHeight="1" x14ac:dyDescent="0.25">
      <c r="A9" s="213" t="s">
        <v>62</v>
      </c>
      <c r="B9" s="210"/>
      <c r="C9" s="211"/>
      <c r="D9" s="211"/>
    </row>
    <row r="10" spans="1:5" ht="13.5" customHeight="1" x14ac:dyDescent="0.25">
      <c r="A10" s="212"/>
      <c r="B10" s="210"/>
      <c r="C10" s="211"/>
      <c r="D10" s="211"/>
    </row>
    <row r="11" spans="1:5" ht="13.5" customHeight="1" x14ac:dyDescent="0.25">
      <c r="A11" s="213" t="s">
        <v>63</v>
      </c>
      <c r="B11" s="210"/>
      <c r="C11" s="211"/>
      <c r="D11" s="211"/>
    </row>
    <row r="12" spans="1:5" ht="13.5" customHeight="1" x14ac:dyDescent="0.25">
      <c r="A12" s="212"/>
      <c r="B12" s="210"/>
      <c r="C12" s="211"/>
      <c r="D12" s="211"/>
    </row>
    <row r="13" spans="1:5" ht="13.5" customHeight="1" x14ac:dyDescent="0.25">
      <c r="A13" s="213" t="s">
        <v>64</v>
      </c>
      <c r="B13" s="210"/>
      <c r="C13" s="211"/>
      <c r="D13" s="211"/>
    </row>
    <row r="14" spans="1:5" ht="13.5" customHeight="1" x14ac:dyDescent="0.25">
      <c r="A14" s="212"/>
      <c r="B14" s="210"/>
      <c r="C14" s="211"/>
      <c r="D14" s="211"/>
    </row>
    <row r="15" spans="1:5" ht="13.5" customHeight="1" x14ac:dyDescent="0.25">
      <c r="A15" s="213" t="s">
        <v>65</v>
      </c>
      <c r="B15" s="210"/>
      <c r="C15" s="211"/>
      <c r="D15" s="211"/>
    </row>
    <row r="16" spans="1:5" ht="13.5" customHeight="1" x14ac:dyDescent="0.2"/>
    <row r="17" ht="13.5" customHeight="1" x14ac:dyDescent="0.2"/>
  </sheetData>
  <phoneticPr fontId="19" type="noConversion"/>
  <hyperlinks>
    <hyperlink ref="A9" location="'P&amp;L'!A1" display="Quarterly Income Statement"/>
    <hyperlink ref="A13" location="'Bal Sht'!A1" display="Quarterly Balance Sheet"/>
    <hyperlink ref="A15" location="'Cash Flow'!A1" display="Quarterly Cash Flow Statement"/>
    <hyperlink ref="A11" location="Segments!A1" display="Segment Sheet"/>
  </hyperlinks>
  <pageMargins left="0.75" right="0.75" top="1" bottom="1" header="0.5" footer="0.5"/>
  <pageSetup scale="94"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66CCFF"/>
    <pageSetUpPr fitToPage="1"/>
  </sheetPr>
  <dimension ref="A1:DE203"/>
  <sheetViews>
    <sheetView showGridLines="0" zoomScaleNormal="100" zoomScaleSheetLayoutView="85" workbookViewId="0">
      <pane xSplit="2" ySplit="6" topLeftCell="C7" activePane="bottomRight" state="frozen"/>
      <selection activeCell="G46" sqref="G46"/>
      <selection pane="topRight" activeCell="G46" sqref="G46"/>
      <selection pane="bottomLeft" activeCell="G46" sqref="G46"/>
      <selection pane="bottomRight" activeCell="BR36" sqref="BR36"/>
    </sheetView>
  </sheetViews>
  <sheetFormatPr defaultRowHeight="12.75" outlineLevelRow="1" outlineLevelCol="1" x14ac:dyDescent="0.2"/>
  <cols>
    <col min="1" max="1" width="0.85546875" customWidth="1"/>
    <col min="2" max="2" width="24.42578125" customWidth="1"/>
    <col min="3" max="6" width="6.7109375" hidden="1" customWidth="1" outlineLevel="1"/>
    <col min="7" max="7" width="6.7109375" hidden="1" customWidth="1" outlineLevel="1" collapsed="1"/>
    <col min="8" max="8" width="1.42578125" hidden="1" customWidth="1" outlineLevel="1"/>
    <col min="9" max="12" width="6.7109375" hidden="1" customWidth="1" outlineLevel="1"/>
    <col min="13" max="13" width="6.7109375" hidden="1" customWidth="1" outlineLevel="1" collapsed="1"/>
    <col min="14" max="14" width="1.42578125" hidden="1" customWidth="1" outlineLevel="1"/>
    <col min="15" max="19" width="6.7109375" hidden="1" customWidth="1" outlineLevel="1"/>
    <col min="20" max="20" width="1.42578125" hidden="1" customWidth="1" outlineLevel="1"/>
    <col min="21" max="25" width="6.7109375" hidden="1" customWidth="1" outlineLevel="1"/>
    <col min="26" max="26" width="1.42578125" hidden="1" customWidth="1" outlineLevel="1"/>
    <col min="27" max="30" width="6.7109375" hidden="1" customWidth="1" outlineLevel="1"/>
    <col min="31" max="31" width="6.7109375" hidden="1" customWidth="1" outlineLevel="1" collapsed="1"/>
    <col min="32" max="32" width="1.42578125" hidden="1" customWidth="1" outlineLevel="1"/>
    <col min="33" max="36" width="6.7109375" hidden="1" customWidth="1" outlineLevel="1"/>
    <col min="37" max="37" width="6.7109375" customWidth="1" collapsed="1"/>
    <col min="38" max="38" width="1.42578125" customWidth="1"/>
    <col min="39" max="42" width="6.7109375" hidden="1" customWidth="1" outlineLevel="1"/>
    <col min="43" max="43" width="6.7109375" customWidth="1" collapsed="1"/>
    <col min="44" max="44" width="1.42578125" customWidth="1"/>
    <col min="45" max="48" width="6.7109375" hidden="1" customWidth="1" outlineLevel="1"/>
    <col min="49" max="49" width="6.7109375" customWidth="1" collapsed="1"/>
    <col min="50" max="50" width="1.42578125" customWidth="1"/>
    <col min="51" max="54" width="6.7109375" hidden="1" customWidth="1" outlineLevel="1"/>
    <col min="55" max="55" width="6.7109375" customWidth="1" collapsed="1"/>
    <col min="56" max="56" width="1.42578125" customWidth="1"/>
    <col min="57" max="60" width="6.7109375" hidden="1" customWidth="1" outlineLevel="1"/>
    <col min="61" max="61" width="6.7109375" customWidth="1" collapsed="1"/>
    <col min="62" max="62" width="1.42578125" customWidth="1"/>
    <col min="63" max="66" width="6.7109375" customWidth="1" outlineLevel="1"/>
    <col min="67" max="67" width="6.7109375" customWidth="1"/>
    <col min="68" max="68" width="1.42578125" customWidth="1"/>
    <col min="69" max="72" width="6.7109375" customWidth="1" outlineLevel="1"/>
    <col min="73" max="73" width="6.7109375" customWidth="1"/>
    <col min="74" max="74" width="1.42578125" customWidth="1"/>
    <col min="75" max="78" width="6.7109375" hidden="1" customWidth="1" outlineLevel="1"/>
    <col min="79" max="79" width="6.7109375" customWidth="1" collapsed="1"/>
    <col min="80" max="80" width="1.42578125" customWidth="1"/>
    <col min="81" max="84" width="6.7109375" hidden="1" customWidth="1" outlineLevel="1"/>
    <col min="85" max="85" width="6.7109375" customWidth="1" collapsed="1"/>
    <col min="86" max="86" width="7" customWidth="1"/>
    <col min="87" max="87" width="10.7109375" customWidth="1"/>
    <col min="88" max="88" width="26.5703125" hidden="1" customWidth="1" outlineLevel="1"/>
    <col min="89" max="93" width="9.140625" hidden="1" customWidth="1" outlineLevel="1"/>
    <col min="94" max="94" width="10.28515625" bestFit="1" customWidth="1" collapsed="1"/>
    <col min="95" max="97" width="9.140625" hidden="1" customWidth="1" outlineLevel="1"/>
    <col min="98" max="98" width="9.140625" collapsed="1"/>
  </cols>
  <sheetData>
    <row r="1" spans="1:109" x14ac:dyDescent="0.2">
      <c r="A1" s="42"/>
      <c r="B1" s="43" t="s">
        <v>203</v>
      </c>
      <c r="C1" s="42"/>
      <c r="D1" s="42"/>
      <c r="E1" s="42"/>
      <c r="F1" s="42"/>
      <c r="G1" s="42"/>
      <c r="H1" s="51"/>
      <c r="I1" s="42"/>
      <c r="J1" s="42"/>
      <c r="K1" s="42"/>
      <c r="L1" s="42"/>
      <c r="M1" s="42"/>
      <c r="N1" s="51"/>
      <c r="O1" s="42"/>
      <c r="P1" s="42"/>
      <c r="Q1" s="42"/>
      <c r="R1" s="42"/>
      <c r="S1" s="42"/>
      <c r="T1" s="51"/>
      <c r="U1" s="42"/>
      <c r="V1" s="42"/>
      <c r="W1" s="42"/>
      <c r="X1" s="42"/>
      <c r="Y1" s="35"/>
      <c r="Z1" s="51"/>
      <c r="AA1" s="42"/>
      <c r="AB1" s="42"/>
      <c r="AC1" s="42"/>
      <c r="AD1" s="42"/>
      <c r="AE1" s="42"/>
      <c r="AF1" s="51"/>
      <c r="AG1" s="42"/>
      <c r="AH1" s="42"/>
      <c r="AI1" s="42"/>
      <c r="AJ1" s="42"/>
      <c r="AK1" s="42"/>
      <c r="AL1" s="51"/>
      <c r="AM1" s="42"/>
      <c r="AN1" s="42"/>
      <c r="AO1" s="42"/>
      <c r="AP1" s="42"/>
      <c r="BK1" s="42"/>
      <c r="BL1" s="42"/>
      <c r="BM1" s="42"/>
      <c r="BN1" s="42"/>
      <c r="BO1" s="42"/>
      <c r="BP1" s="51"/>
      <c r="BQ1" s="42"/>
      <c r="BR1" s="42"/>
      <c r="BS1" s="42"/>
      <c r="BT1" s="42"/>
      <c r="BU1" s="773"/>
      <c r="BV1" s="51"/>
      <c r="BW1" s="42"/>
      <c r="BX1" s="42"/>
      <c r="BY1" s="42"/>
      <c r="BZ1" s="42"/>
      <c r="CA1" s="42"/>
      <c r="CB1" s="51"/>
      <c r="CC1" s="42"/>
      <c r="CD1" s="42"/>
      <c r="CE1" s="42"/>
      <c r="CF1" s="42"/>
      <c r="CG1" s="42"/>
      <c r="CH1" s="42"/>
      <c r="CP1" s="42"/>
      <c r="CQ1" s="42"/>
      <c r="CR1" s="42"/>
      <c r="CS1" s="42"/>
    </row>
    <row r="2" spans="1:109" x14ac:dyDescent="0.2">
      <c r="A2" s="42"/>
      <c r="B2" s="627" t="s">
        <v>365</v>
      </c>
      <c r="C2" s="42"/>
      <c r="D2" s="42"/>
      <c r="E2" s="42"/>
      <c r="F2" s="42"/>
      <c r="G2" s="42"/>
      <c r="H2" s="51"/>
      <c r="I2" s="42"/>
      <c r="J2" s="42"/>
      <c r="K2" s="42"/>
      <c r="L2" s="42"/>
      <c r="M2" s="42"/>
      <c r="N2" s="51"/>
      <c r="O2" s="42"/>
      <c r="P2" s="42"/>
      <c r="Q2" s="42"/>
      <c r="R2" s="42"/>
      <c r="S2" s="42"/>
      <c r="T2" s="51"/>
      <c r="U2" s="42"/>
      <c r="V2" s="42"/>
      <c r="W2" s="42"/>
      <c r="X2" s="42"/>
      <c r="Y2" s="35"/>
      <c r="Z2" s="51"/>
      <c r="AA2" s="42"/>
      <c r="AB2" s="42"/>
      <c r="AC2" s="42"/>
      <c r="AD2" s="618"/>
      <c r="AE2" s="42"/>
      <c r="AF2" s="51"/>
      <c r="AG2" s="42"/>
      <c r="AH2" s="42"/>
      <c r="AI2" s="309"/>
      <c r="AJ2" s="42"/>
      <c r="AK2" s="42"/>
      <c r="AL2" s="51"/>
      <c r="AM2" s="42"/>
      <c r="AN2" s="42"/>
      <c r="AO2" s="42"/>
      <c r="AP2" s="42"/>
      <c r="BK2" s="31"/>
      <c r="BL2" s="31"/>
      <c r="BM2" s="31"/>
      <c r="BN2" s="31"/>
      <c r="BP2" s="79"/>
      <c r="BQ2" s="31"/>
      <c r="BR2" s="31"/>
      <c r="BS2" s="31"/>
      <c r="BT2" s="31"/>
      <c r="BU2" s="495"/>
      <c r="BV2" s="79"/>
      <c r="BW2" s="31"/>
      <c r="BX2" s="31"/>
      <c r="BY2" s="31"/>
      <c r="BZ2" s="31"/>
      <c r="CB2" s="79"/>
      <c r="CC2" s="31"/>
      <c r="CD2" s="31"/>
      <c r="CE2" s="31"/>
      <c r="CF2" s="31"/>
      <c r="CH2" s="42"/>
      <c r="CP2" s="42"/>
      <c r="CQ2" s="42"/>
      <c r="CR2" s="42"/>
      <c r="CS2" s="42"/>
    </row>
    <row r="3" spans="1:109" x14ac:dyDescent="0.2">
      <c r="A3" s="42"/>
      <c r="B3" s="628" t="s">
        <v>368</v>
      </c>
      <c r="C3" s="42"/>
      <c r="D3" s="42"/>
      <c r="E3" s="42"/>
      <c r="F3" s="42"/>
      <c r="G3" s="229"/>
      <c r="H3" s="79"/>
      <c r="I3" s="42"/>
      <c r="J3" s="42"/>
      <c r="K3" s="42"/>
      <c r="L3" s="42"/>
      <c r="M3" s="229"/>
      <c r="N3" s="79"/>
      <c r="O3" s="42"/>
      <c r="P3" s="42"/>
      <c r="Q3" s="42"/>
      <c r="R3" s="42"/>
      <c r="S3" s="229"/>
      <c r="T3" s="79"/>
      <c r="U3" s="229"/>
      <c r="V3" s="229"/>
      <c r="W3" s="229"/>
      <c r="X3" s="229"/>
      <c r="Y3" s="35"/>
      <c r="Z3" s="79"/>
      <c r="AA3" s="229"/>
      <c r="AB3" s="229"/>
      <c r="AC3" s="229"/>
      <c r="AD3" s="229"/>
      <c r="AE3" s="42"/>
      <c r="AF3" s="79"/>
      <c r="AG3" s="629"/>
      <c r="AH3" s="229"/>
      <c r="AI3" s="229"/>
      <c r="AJ3" s="229"/>
      <c r="AK3" s="629"/>
      <c r="AL3" s="79"/>
      <c r="AM3" s="629"/>
      <c r="AN3" s="229"/>
      <c r="AO3" s="229"/>
      <c r="AP3" s="629"/>
      <c r="AS3" s="475"/>
      <c r="AV3" s="475"/>
      <c r="BG3" s="635"/>
      <c r="BH3" s="635"/>
      <c r="BI3" s="635"/>
      <c r="BJ3" s="635"/>
      <c r="BK3" s="635"/>
      <c r="BL3" s="635"/>
      <c r="BM3" s="635"/>
      <c r="BN3" s="976"/>
      <c r="BO3" s="392"/>
      <c r="BP3" s="635"/>
      <c r="BQ3" s="635"/>
      <c r="BR3" s="635"/>
      <c r="BS3" s="635"/>
      <c r="BT3" s="635"/>
      <c r="BU3" s="635"/>
      <c r="BV3" s="635"/>
      <c r="BW3" s="635"/>
      <c r="BX3" s="635"/>
      <c r="BY3" s="635"/>
      <c r="BZ3" s="635"/>
      <c r="CA3" s="635"/>
      <c r="CB3" s="635"/>
      <c r="CC3" s="635"/>
      <c r="CD3" s="635"/>
      <c r="CE3" s="635"/>
      <c r="CF3" s="635"/>
      <c r="CG3" s="635"/>
      <c r="CH3" s="229"/>
      <c r="CI3" s="340"/>
      <c r="CP3" s="42"/>
      <c r="CQ3" s="371"/>
      <c r="CR3" s="370"/>
      <c r="CS3" s="372"/>
    </row>
    <row r="4" spans="1:109" x14ac:dyDescent="0.2">
      <c r="A4" s="42"/>
      <c r="B4" s="630" t="s">
        <v>125</v>
      </c>
      <c r="C4" s="31"/>
      <c r="D4" s="31"/>
      <c r="E4" s="31"/>
      <c r="F4" s="31"/>
      <c r="G4" s="527"/>
      <c r="H4" s="79"/>
      <c r="I4" s="31"/>
      <c r="J4" s="31"/>
      <c r="K4" s="31"/>
      <c r="L4" s="31"/>
      <c r="M4" s="527"/>
      <c r="N4" s="79"/>
      <c r="O4" s="31"/>
      <c r="P4" s="31"/>
      <c r="Q4" s="31"/>
      <c r="R4" s="31"/>
      <c r="S4" s="527"/>
      <c r="T4" s="79"/>
      <c r="U4" s="527"/>
      <c r="V4" s="527"/>
      <c r="W4" s="527"/>
      <c r="X4" s="527"/>
      <c r="Y4" s="546"/>
      <c r="Z4" s="79"/>
      <c r="AA4" s="527"/>
      <c r="AB4" s="527"/>
      <c r="AC4" s="527"/>
      <c r="AD4" s="527"/>
      <c r="AE4" s="527"/>
      <c r="AF4" s="79"/>
      <c r="AG4" s="527"/>
      <c r="AH4" s="527"/>
      <c r="AI4" s="527"/>
      <c r="AJ4" s="527"/>
      <c r="AK4" s="527"/>
      <c r="AL4" s="79"/>
      <c r="AM4" s="527"/>
      <c r="AN4" s="527"/>
      <c r="AO4" s="527"/>
      <c r="AP4" s="527"/>
      <c r="AY4" s="635"/>
      <c r="BK4" s="384"/>
      <c r="BO4" s="495"/>
      <c r="CG4" s="384"/>
      <c r="CH4" s="527"/>
      <c r="CI4" s="340"/>
      <c r="CP4" s="46"/>
      <c r="CQ4" s="371">
        <v>2</v>
      </c>
      <c r="CR4" s="370">
        <f>($AK$8*CQ4-'Bal Sht'!$AE$46)/$AK$39</f>
        <v>16.547367024724373</v>
      </c>
      <c r="CS4" s="371"/>
    </row>
    <row r="5" spans="1:109" x14ac:dyDescent="0.2">
      <c r="B5" s="340"/>
      <c r="C5" s="1003" t="s">
        <v>208</v>
      </c>
      <c r="D5" s="1003"/>
      <c r="E5" s="1003"/>
      <c r="F5" s="1003"/>
      <c r="G5" s="1003"/>
      <c r="H5" s="79"/>
      <c r="I5" s="1003" t="s">
        <v>209</v>
      </c>
      <c r="J5" s="1003"/>
      <c r="K5" s="1003"/>
      <c r="L5" s="1003"/>
      <c r="M5" s="1003"/>
      <c r="N5" s="79"/>
      <c r="O5" s="1003" t="s">
        <v>210</v>
      </c>
      <c r="P5" s="1003"/>
      <c r="Q5" s="1003"/>
      <c r="R5" s="1003"/>
      <c r="S5" s="1003"/>
      <c r="T5" s="79"/>
      <c r="U5" s="1003" t="s">
        <v>301</v>
      </c>
      <c r="V5" s="1003"/>
      <c r="W5" s="1003"/>
      <c r="X5" s="1003"/>
      <c r="Y5" s="1003"/>
      <c r="Z5" s="79"/>
      <c r="AA5" s="1002" t="s">
        <v>263</v>
      </c>
      <c r="AB5" s="1002"/>
      <c r="AC5" s="1002"/>
      <c r="AD5" s="1002"/>
      <c r="AE5" s="1002"/>
      <c r="AF5" s="79"/>
      <c r="AG5" s="1002" t="s">
        <v>419</v>
      </c>
      <c r="AH5" s="1002"/>
      <c r="AI5" s="1002"/>
      <c r="AJ5" s="1002"/>
      <c r="AK5" s="1002"/>
      <c r="AL5" s="79"/>
      <c r="AM5" s="1002" t="s">
        <v>367</v>
      </c>
      <c r="AN5" s="1002"/>
      <c r="AO5" s="1002"/>
      <c r="AP5" s="1002"/>
      <c r="AQ5" s="1002"/>
      <c r="AR5" s="79"/>
      <c r="AS5" s="1002" t="s">
        <v>399</v>
      </c>
      <c r="AT5" s="1002"/>
      <c r="AU5" s="1002"/>
      <c r="AV5" s="1002"/>
      <c r="AW5" s="1002"/>
      <c r="AX5" s="79"/>
      <c r="AY5" s="1002" t="s">
        <v>476</v>
      </c>
      <c r="AZ5" s="1002"/>
      <c r="BA5" s="1002"/>
      <c r="BB5" s="1002"/>
      <c r="BC5" s="1002"/>
      <c r="BD5" s="79"/>
      <c r="BE5" s="1002" t="s">
        <v>505</v>
      </c>
      <c r="BF5" s="1002"/>
      <c r="BG5" s="1002"/>
      <c r="BH5" s="1002"/>
      <c r="BI5" s="1002"/>
      <c r="BJ5" s="79"/>
      <c r="BK5" s="1002" t="s">
        <v>576</v>
      </c>
      <c r="BL5" s="1002"/>
      <c r="BM5" s="1002"/>
      <c r="BN5" s="1002"/>
      <c r="BO5" s="1002"/>
      <c r="BP5" s="79"/>
      <c r="BQ5" s="1002" t="s">
        <v>366</v>
      </c>
      <c r="BR5" s="1002"/>
      <c r="BS5" s="1002"/>
      <c r="BT5" s="1002"/>
      <c r="BU5" s="1002"/>
      <c r="BV5" s="79"/>
      <c r="BW5" s="1002" t="s">
        <v>402</v>
      </c>
      <c r="BX5" s="1002"/>
      <c r="BY5" s="1002"/>
      <c r="BZ5" s="1002"/>
      <c r="CA5" s="1002"/>
      <c r="CB5" s="79"/>
      <c r="CC5" s="1002" t="s">
        <v>403</v>
      </c>
      <c r="CD5" s="1002"/>
      <c r="CE5" s="1002"/>
      <c r="CF5" s="1002"/>
      <c r="CG5" s="1002"/>
      <c r="CH5" s="647"/>
      <c r="CI5" s="397"/>
      <c r="CP5" s="46"/>
      <c r="CQ5" s="371">
        <v>1</v>
      </c>
      <c r="CR5" s="370">
        <f>($AK$8*CQ5*(1-CS5)-'Bal Sht'!$AE$46)/$AK$39</f>
        <v>8.7806745312740251</v>
      </c>
      <c r="CS5" s="372">
        <v>0.15</v>
      </c>
      <c r="CU5" s="53"/>
      <c r="CV5" s="53"/>
      <c r="CW5" s="53"/>
    </row>
    <row r="6" spans="1:109" x14ac:dyDescent="0.2">
      <c r="B6" s="340"/>
      <c r="C6" s="608">
        <v>39172</v>
      </c>
      <c r="D6" s="608">
        <v>39263</v>
      </c>
      <c r="E6" s="608">
        <v>39355</v>
      </c>
      <c r="F6" s="608">
        <v>39447</v>
      </c>
      <c r="G6" s="609" t="str">
        <f>+C5</f>
        <v>2007A</v>
      </c>
      <c r="H6" s="631"/>
      <c r="I6" s="608">
        <v>39538</v>
      </c>
      <c r="J6" s="608">
        <v>39629</v>
      </c>
      <c r="K6" s="608">
        <v>39721</v>
      </c>
      <c r="L6" s="608">
        <v>39813</v>
      </c>
      <c r="M6" s="609" t="str">
        <f>+I5</f>
        <v>2008A</v>
      </c>
      <c r="N6" s="631"/>
      <c r="O6" s="608">
        <v>39903</v>
      </c>
      <c r="P6" s="608">
        <v>39994</v>
      </c>
      <c r="Q6" s="608">
        <v>40086</v>
      </c>
      <c r="R6" s="608">
        <v>40178</v>
      </c>
      <c r="S6" s="625" t="str">
        <f>+O5</f>
        <v>2009A</v>
      </c>
      <c r="T6" s="632"/>
      <c r="U6" s="608">
        <v>40268</v>
      </c>
      <c r="V6" s="608">
        <v>40359</v>
      </c>
      <c r="W6" s="608">
        <v>40451</v>
      </c>
      <c r="X6" s="608">
        <v>40543</v>
      </c>
      <c r="Y6" s="624" t="str">
        <f>+U5</f>
        <v>2010A</v>
      </c>
      <c r="Z6" s="632"/>
      <c r="AA6" s="608">
        <v>40633</v>
      </c>
      <c r="AB6" s="608">
        <v>40724</v>
      </c>
      <c r="AC6" s="608">
        <v>40816</v>
      </c>
      <c r="AD6" s="608">
        <v>40908</v>
      </c>
      <c r="AE6" s="624" t="str">
        <f>+AA5</f>
        <v>2011A</v>
      </c>
      <c r="AF6" s="632"/>
      <c r="AG6" s="608">
        <f>+AA6+365.25</f>
        <v>40998.25</v>
      </c>
      <c r="AH6" s="608">
        <f>+AB6+365.25</f>
        <v>41089.25</v>
      </c>
      <c r="AI6" s="608">
        <f>+AC6+365.25</f>
        <v>41181.25</v>
      </c>
      <c r="AJ6" s="608">
        <f>+AD6+365.25</f>
        <v>41273.25</v>
      </c>
      <c r="AK6" s="624" t="str">
        <f>+AG5</f>
        <v>2012A</v>
      </c>
      <c r="AL6" s="632"/>
      <c r="AM6" s="608">
        <f>+AG6+365.25</f>
        <v>41363.5</v>
      </c>
      <c r="AN6" s="608">
        <f>+AH6+365.25</f>
        <v>41454.5</v>
      </c>
      <c r="AO6" s="608">
        <f>+AI6+365.25</f>
        <v>41546.5</v>
      </c>
      <c r="AP6" s="608">
        <f>+AJ6+365.25</f>
        <v>41638.5</v>
      </c>
      <c r="AQ6" s="624" t="str">
        <f>+AM5</f>
        <v>2013A</v>
      </c>
      <c r="AR6" s="631"/>
      <c r="AS6" s="608">
        <f>+AM6+365.25</f>
        <v>41728.75</v>
      </c>
      <c r="AT6" s="608">
        <f>+AN6+365.25</f>
        <v>41819.75</v>
      </c>
      <c r="AU6" s="608">
        <f>+AO6+365.25</f>
        <v>41911.75</v>
      </c>
      <c r="AV6" s="608">
        <f>+AP6+365.25</f>
        <v>42003.75</v>
      </c>
      <c r="AW6" s="624" t="str">
        <f>+AS5</f>
        <v>2014A</v>
      </c>
      <c r="AX6" s="631"/>
      <c r="AY6" s="608">
        <f>+AS6+365.25</f>
        <v>42094</v>
      </c>
      <c r="AZ6" s="608">
        <f>+AT6+365.25</f>
        <v>42185</v>
      </c>
      <c r="BA6" s="608">
        <f>+AU6+365.25</f>
        <v>42277</v>
      </c>
      <c r="BB6" s="608">
        <f>+AV6+365.25</f>
        <v>42369</v>
      </c>
      <c r="BC6" s="623" t="str">
        <f>+AY5</f>
        <v>2015A</v>
      </c>
      <c r="BD6" s="631"/>
      <c r="BE6" s="608">
        <f>+AY6+365.25</f>
        <v>42459.25</v>
      </c>
      <c r="BF6" s="608">
        <f>+AZ6+365.25</f>
        <v>42550.25</v>
      </c>
      <c r="BG6" s="608">
        <f>+BA6+365.25</f>
        <v>42642.25</v>
      </c>
      <c r="BH6" s="608">
        <f>+BB6+365.25</f>
        <v>42734.25</v>
      </c>
      <c r="BI6" s="623" t="str">
        <f>+BE5</f>
        <v>2016A</v>
      </c>
      <c r="BJ6" s="631"/>
      <c r="BK6" s="608">
        <f>+BE6+365.25</f>
        <v>42824.5</v>
      </c>
      <c r="BL6" s="608">
        <f>+BF6+365.25</f>
        <v>42915.5</v>
      </c>
      <c r="BM6" s="608">
        <f>+BG6+365.25</f>
        <v>43007.5</v>
      </c>
      <c r="BN6" s="608">
        <f>+BH6+365.25</f>
        <v>43099.5</v>
      </c>
      <c r="BO6" s="623" t="str">
        <f>+BK5</f>
        <v>2017A</v>
      </c>
      <c r="BP6" s="631"/>
      <c r="BQ6" s="608">
        <f>+BK6+365.25</f>
        <v>43189.75</v>
      </c>
      <c r="BR6" s="607">
        <f>+BL6+365.25</f>
        <v>43280.75</v>
      </c>
      <c r="BS6" s="607">
        <f>+BM6+365.25</f>
        <v>43372.75</v>
      </c>
      <c r="BT6" s="607">
        <f>+BN6+365.25</f>
        <v>43464.75</v>
      </c>
      <c r="BU6" s="623" t="str">
        <f>+BQ5</f>
        <v>2018E</v>
      </c>
      <c r="BV6" s="631"/>
      <c r="BW6" s="607">
        <f>+BQ6+365.25</f>
        <v>43555</v>
      </c>
      <c r="BX6" s="607">
        <f>+BR6+365.25</f>
        <v>43646</v>
      </c>
      <c r="BY6" s="607">
        <f>+BS6+365.25</f>
        <v>43738</v>
      </c>
      <c r="BZ6" s="607">
        <f>+BT6+365.25</f>
        <v>43830</v>
      </c>
      <c r="CA6" s="623" t="str">
        <f>+BW5</f>
        <v>2019E</v>
      </c>
      <c r="CB6" s="631"/>
      <c r="CC6" s="607">
        <f>+BW6+365.25</f>
        <v>43920.25</v>
      </c>
      <c r="CD6" s="607">
        <f>+BX6+365.25</f>
        <v>44011.25</v>
      </c>
      <c r="CE6" s="607">
        <f>+BY6+365.25</f>
        <v>44103.25</v>
      </c>
      <c r="CF6" s="607">
        <f>+BZ6+365.25</f>
        <v>44195.25</v>
      </c>
      <c r="CG6" s="623" t="str">
        <f>+CC5</f>
        <v>2020E</v>
      </c>
      <c r="CH6" s="648"/>
      <c r="CI6" s="398"/>
      <c r="CQ6" s="42"/>
      <c r="CR6" s="42"/>
      <c r="CS6" s="42"/>
      <c r="CW6" s="667"/>
      <c r="CX6" s="53"/>
      <c r="CZ6" s="53"/>
    </row>
    <row r="7" spans="1:109" ht="12.75" hidden="1" customHeight="1" outlineLevel="1" x14ac:dyDescent="0.2">
      <c r="B7" s="56" t="s">
        <v>302</v>
      </c>
      <c r="C7" s="57">
        <v>91</v>
      </c>
      <c r="D7" s="57">
        <f>+D6-C6</f>
        <v>91</v>
      </c>
      <c r="E7" s="57">
        <f>+E6-D6</f>
        <v>92</v>
      </c>
      <c r="F7" s="57">
        <f>+F6-E6</f>
        <v>92</v>
      </c>
      <c r="G7" s="57">
        <f t="shared" ref="G7:G13" si="0">+SUM(C7:F7)</f>
        <v>366</v>
      </c>
      <c r="H7" s="631"/>
      <c r="I7" s="57">
        <f>+I6-F6</f>
        <v>91</v>
      </c>
      <c r="J7" s="57">
        <f>+J6-I6</f>
        <v>91</v>
      </c>
      <c r="K7" s="57">
        <f>+K6-J6</f>
        <v>92</v>
      </c>
      <c r="L7" s="57">
        <f>+L6-K6</f>
        <v>92</v>
      </c>
      <c r="M7" s="57">
        <f t="shared" ref="M7:M13" si="1">+SUM(I7:L7)</f>
        <v>366</v>
      </c>
      <c r="N7" s="631"/>
      <c r="O7" s="57">
        <f>+O6-L6</f>
        <v>90</v>
      </c>
      <c r="P7" s="57">
        <f>+P6-O6</f>
        <v>91</v>
      </c>
      <c r="Q7" s="57">
        <f>+Q6-P6</f>
        <v>92</v>
      </c>
      <c r="R7" s="57">
        <f>+R6-Q6</f>
        <v>92</v>
      </c>
      <c r="S7" s="57">
        <f t="shared" ref="S7:S16" si="2">+SUM(O7:R7)</f>
        <v>365</v>
      </c>
      <c r="T7" s="631"/>
      <c r="U7" s="57">
        <f>+U6-R6</f>
        <v>90</v>
      </c>
      <c r="V7" s="57">
        <f>+V6-U6</f>
        <v>91</v>
      </c>
      <c r="W7" s="57">
        <f>+W6-V6</f>
        <v>92</v>
      </c>
      <c r="X7" s="57">
        <f>+X6-W6</f>
        <v>92</v>
      </c>
      <c r="Y7" s="57">
        <f t="shared" ref="Y7:Y13" si="3">+SUM(U7:X7)</f>
        <v>365</v>
      </c>
      <c r="Z7" s="631"/>
      <c r="AA7" s="57">
        <f>+AA6-X6</f>
        <v>90</v>
      </c>
      <c r="AB7" s="57">
        <f>+AB6-AA6</f>
        <v>91</v>
      </c>
      <c r="AC7" s="57">
        <f>+AC6-AB6</f>
        <v>92</v>
      </c>
      <c r="AD7" s="57">
        <f>+AD6-AC6</f>
        <v>92</v>
      </c>
      <c r="AE7" s="57">
        <f>+SUM(AA7:AD7)</f>
        <v>365</v>
      </c>
      <c r="AF7" s="631"/>
      <c r="AG7" s="424">
        <f>+AG6-AD6</f>
        <v>90.25</v>
      </c>
      <c r="AH7" s="57">
        <f>+AH6-AG6</f>
        <v>91</v>
      </c>
      <c r="AI7" s="57">
        <f>+AI6-AH6</f>
        <v>92</v>
      </c>
      <c r="AJ7" s="57">
        <f>+AJ6-AI6</f>
        <v>92</v>
      </c>
      <c r="AK7" s="424">
        <f t="shared" ref="AK7:AK13" si="4">+SUM(AG7:AJ7)</f>
        <v>365.25</v>
      </c>
      <c r="AL7" s="631"/>
      <c r="AM7" s="424">
        <f>+AM6-AJ6</f>
        <v>90.25</v>
      </c>
      <c r="AN7" s="57">
        <f>+AN6-AM6</f>
        <v>91</v>
      </c>
      <c r="AO7" s="57">
        <f>+AO6-AN6</f>
        <v>92</v>
      </c>
      <c r="AP7" s="57">
        <f>+AP6-AO6</f>
        <v>92</v>
      </c>
      <c r="AQ7" s="424">
        <f t="shared" ref="AQ7:AQ16" si="5">+SUM(AM7:AP7)</f>
        <v>365.25</v>
      </c>
      <c r="AR7" s="631"/>
      <c r="AS7" s="424">
        <f>+AS6-AP6</f>
        <v>90.25</v>
      </c>
      <c r="AT7" s="57">
        <f>+AT6-AS6</f>
        <v>91</v>
      </c>
      <c r="AU7" s="57">
        <f>+AU6-AT6</f>
        <v>92</v>
      </c>
      <c r="AV7" s="424">
        <f>+AV6-AU6</f>
        <v>92</v>
      </c>
      <c r="AW7" s="424">
        <f t="shared" ref="AW7:AW13" si="6">+SUM(AS7:AV7)</f>
        <v>365.25</v>
      </c>
      <c r="AX7" s="633"/>
      <c r="AY7" s="424">
        <f>+AY6-AV6</f>
        <v>90.25</v>
      </c>
      <c r="AZ7" s="424">
        <f>+AZ6-AY6</f>
        <v>91</v>
      </c>
      <c r="BA7" s="424">
        <f>+BA6-AZ6</f>
        <v>92</v>
      </c>
      <c r="BB7" s="424">
        <f>+BB6-BA6</f>
        <v>92</v>
      </c>
      <c r="BC7" s="424">
        <f t="shared" ref="BC7:BC13" si="7">+SUM(AY7:BB7)</f>
        <v>365.25</v>
      </c>
      <c r="BD7" s="633"/>
      <c r="BE7" s="424">
        <f>+BE6-BB6</f>
        <v>90.25</v>
      </c>
      <c r="BF7" s="424">
        <f>+BF6-BE6</f>
        <v>91</v>
      </c>
      <c r="BG7" s="424">
        <f>+BG6-BF6</f>
        <v>92</v>
      </c>
      <c r="BH7" s="424">
        <f>+BH6-BG6</f>
        <v>92</v>
      </c>
      <c r="BI7" s="424">
        <f t="shared" ref="BI7:BI13" si="8">+SUM(BE7:BH7)</f>
        <v>365.25</v>
      </c>
      <c r="BJ7" s="633"/>
      <c r="BK7" s="424">
        <f>+BK6-BH6</f>
        <v>90.25</v>
      </c>
      <c r="BL7" s="424">
        <f>+BL6-BK6</f>
        <v>91</v>
      </c>
      <c r="BM7" s="424">
        <f>+BM6-BL6</f>
        <v>92</v>
      </c>
      <c r="BN7" s="424">
        <f>+BN6-BM6</f>
        <v>92</v>
      </c>
      <c r="BO7" s="424">
        <f t="shared" ref="BO7:BO13" si="9">+SUM(BK7:BN7)</f>
        <v>365.25</v>
      </c>
      <c r="BP7" s="633"/>
      <c r="BQ7" s="424">
        <f>+BQ6-BN6</f>
        <v>90.25</v>
      </c>
      <c r="BR7" s="424">
        <f>+BR6-BQ6</f>
        <v>91</v>
      </c>
      <c r="BS7" s="424">
        <f>+BS6-BR6</f>
        <v>92</v>
      </c>
      <c r="BT7" s="424">
        <f>+BT6-BS6</f>
        <v>92</v>
      </c>
      <c r="BU7" s="424">
        <f t="shared" ref="BU7:BU13" si="10">+SUM(BQ7:BT7)</f>
        <v>365.25</v>
      </c>
      <c r="BV7" s="633"/>
      <c r="BW7" s="424">
        <f>+BW6-BT6</f>
        <v>90.25</v>
      </c>
      <c r="BX7" s="424">
        <f>+BX6-BW6</f>
        <v>91</v>
      </c>
      <c r="BY7" s="424">
        <f>+BY6-BX6</f>
        <v>92</v>
      </c>
      <c r="BZ7" s="424">
        <f>+BZ6-BY6</f>
        <v>92</v>
      </c>
      <c r="CA7" s="424">
        <f t="shared" ref="CA7:CA13" si="11">+SUM(BW7:BZ7)</f>
        <v>365.25</v>
      </c>
      <c r="CB7" s="633"/>
      <c r="CC7" s="424">
        <f>+CC6-BZ6</f>
        <v>90.25</v>
      </c>
      <c r="CD7" s="424">
        <f>+CD6-CC6</f>
        <v>91</v>
      </c>
      <c r="CE7" s="424">
        <f>+CE6-CD6</f>
        <v>92</v>
      </c>
      <c r="CF7" s="424">
        <f>+CF6-CE6</f>
        <v>92</v>
      </c>
      <c r="CG7" s="424">
        <f t="shared" ref="CG7:CG13" si="12">+SUM(CC7:CF7)</f>
        <v>365.25</v>
      </c>
      <c r="CH7" s="424"/>
      <c r="CI7" s="57"/>
      <c r="CP7" s="46"/>
      <c r="CQ7" s="42"/>
      <c r="CR7" s="42"/>
      <c r="CS7" s="42"/>
      <c r="CX7" s="53"/>
    </row>
    <row r="8" spans="1:109" collapsed="1" x14ac:dyDescent="0.2">
      <c r="A8" s="118"/>
      <c r="B8" s="40" t="s">
        <v>297</v>
      </c>
      <c r="C8" s="298">
        <v>63.761000000000003</v>
      </c>
      <c r="D8" s="298">
        <v>76.602999999999994</v>
      </c>
      <c r="E8" s="298">
        <v>71.450999999999993</v>
      </c>
      <c r="F8" s="298">
        <f>284.332-SUM(C8:E8)</f>
        <v>72.516999999999996</v>
      </c>
      <c r="G8" s="259">
        <f t="shared" si="0"/>
        <v>284.33199999999999</v>
      </c>
      <c r="H8" s="52"/>
      <c r="I8" s="298">
        <v>74.775999999999996</v>
      </c>
      <c r="J8" s="298">
        <v>79.902000000000001</v>
      </c>
      <c r="K8" s="298">
        <v>75.173000000000002</v>
      </c>
      <c r="L8" s="298">
        <v>74.125</v>
      </c>
      <c r="M8" s="259">
        <f t="shared" si="1"/>
        <v>303.976</v>
      </c>
      <c r="N8" s="52"/>
      <c r="O8" s="298">
        <v>70.131999999999991</v>
      </c>
      <c r="P8" s="298">
        <v>76.316000000000003</v>
      </c>
      <c r="Q8" s="298">
        <v>79.269000000000005</v>
      </c>
      <c r="R8" s="298">
        <v>86.615999999999971</v>
      </c>
      <c r="S8" s="259">
        <f t="shared" si="2"/>
        <v>312.33299999999997</v>
      </c>
      <c r="T8" s="52"/>
      <c r="U8" s="298">
        <v>90.09</v>
      </c>
      <c r="V8" s="298">
        <v>93.897999999999996</v>
      </c>
      <c r="W8" s="298">
        <v>95.947000000000003</v>
      </c>
      <c r="X8" s="298">
        <v>92.892999999999972</v>
      </c>
      <c r="Y8" s="259">
        <f t="shared" si="3"/>
        <v>372.82799999999997</v>
      </c>
      <c r="Z8" s="52"/>
      <c r="AA8" s="298">
        <v>104.85599999999999</v>
      </c>
      <c r="AB8" s="298">
        <v>120.086</v>
      </c>
      <c r="AC8" s="298">
        <v>125.89400000000001</v>
      </c>
      <c r="AD8" s="298">
        <v>128.905</v>
      </c>
      <c r="AE8" s="259">
        <f>+SUM(AA8:AD8)</f>
        <v>479.74099999999999</v>
      </c>
      <c r="AF8" s="52"/>
      <c r="AG8" s="298">
        <v>135.07900000000001</v>
      </c>
      <c r="AH8" s="298">
        <v>145.626</v>
      </c>
      <c r="AI8" s="298">
        <v>136.49600000000001</v>
      </c>
      <c r="AJ8" s="298">
        <v>142.84</v>
      </c>
      <c r="AK8" s="259">
        <f t="shared" si="4"/>
        <v>560.04100000000005</v>
      </c>
      <c r="AL8" s="52"/>
      <c r="AM8" s="298">
        <v>153.58000000000001</v>
      </c>
      <c r="AN8" s="298">
        <v>163.828</v>
      </c>
      <c r="AO8" s="298">
        <v>164.506</v>
      </c>
      <c r="AP8" s="298">
        <v>178.292</v>
      </c>
      <c r="AQ8" s="259">
        <f t="shared" si="5"/>
        <v>660.20600000000002</v>
      </c>
      <c r="AR8" s="52"/>
      <c r="AS8" s="298">
        <v>180.64599999999999</v>
      </c>
      <c r="AT8" s="298">
        <v>192.53100000000001</v>
      </c>
      <c r="AU8" s="298">
        <v>189.876</v>
      </c>
      <c r="AV8" s="298">
        <v>198.6</v>
      </c>
      <c r="AW8" s="259">
        <f t="shared" si="6"/>
        <v>761.65300000000002</v>
      </c>
      <c r="AX8" s="52"/>
      <c r="AY8" s="298">
        <v>198.08600000000001</v>
      </c>
      <c r="AZ8" s="298">
        <v>209.488</v>
      </c>
      <c r="BA8" s="298">
        <v>207.636</v>
      </c>
      <c r="BB8" s="298">
        <v>230.27600000000001</v>
      </c>
      <c r="BC8" s="259">
        <f t="shared" si="7"/>
        <v>845.4860000000001</v>
      </c>
      <c r="BD8" s="52"/>
      <c r="BE8" s="298">
        <v>238.72</v>
      </c>
      <c r="BF8" s="298">
        <v>269.36200000000002</v>
      </c>
      <c r="BG8" s="777">
        <v>278.589</v>
      </c>
      <c r="BH8" s="777">
        <v>293.20299999999997</v>
      </c>
      <c r="BI8" s="259">
        <f t="shared" si="8"/>
        <v>1079.874</v>
      </c>
      <c r="BJ8" s="52"/>
      <c r="BK8" s="847">
        <v>310.34100000000001</v>
      </c>
      <c r="BL8" s="547">
        <v>356.48200000000003</v>
      </c>
      <c r="BM8" s="547">
        <v>385.267</v>
      </c>
      <c r="BN8" s="547">
        <v>421.32299999999998</v>
      </c>
      <c r="BO8" s="259">
        <f t="shared" si="9"/>
        <v>1473.413</v>
      </c>
      <c r="BP8" s="52"/>
      <c r="BQ8" s="847">
        <v>436.92399999999998</v>
      </c>
      <c r="BR8" s="353">
        <f>+ALGN!BR54</f>
        <v>481.40285851519718</v>
      </c>
      <c r="BS8" s="353">
        <f>+ALGN!BS54</f>
        <v>492.23854597534478</v>
      </c>
      <c r="BT8" s="353">
        <f>+ALGN!BT54</f>
        <v>540.14997593269572</v>
      </c>
      <c r="BU8" s="259">
        <f t="shared" si="10"/>
        <v>1950.7153804232375</v>
      </c>
      <c r="BV8" s="52"/>
      <c r="BW8" s="353">
        <f>+ALGN!BW54</f>
        <v>529.80121061596071</v>
      </c>
      <c r="BX8" s="353">
        <f>+ALGN!BX54</f>
        <v>600.71257337734073</v>
      </c>
      <c r="BY8" s="353">
        <f>+ALGN!BY54</f>
        <v>608.49509641474879</v>
      </c>
      <c r="BZ8" s="353">
        <f>+ALGN!BZ54</f>
        <v>667.97328808872703</v>
      </c>
      <c r="CA8" s="259">
        <f t="shared" si="11"/>
        <v>2406.9821684967774</v>
      </c>
      <c r="CB8" s="52"/>
      <c r="CC8" s="353">
        <f>+ALGN!CC54</f>
        <v>623.84848946062255</v>
      </c>
      <c r="CD8" s="353">
        <f>+ALGN!CD54</f>
        <v>699.78325955691673</v>
      </c>
      <c r="CE8" s="353">
        <f>+ALGN!CE54</f>
        <v>707.09261700923344</v>
      </c>
      <c r="CF8" s="353">
        <f>+ALGN!CF54</f>
        <v>771.68037333541122</v>
      </c>
      <c r="CG8" s="259">
        <f t="shared" si="12"/>
        <v>2802.404739362184</v>
      </c>
      <c r="CH8" s="258"/>
      <c r="CI8" s="395">
        <f>+(CG8/BI8)^(0.25)-1</f>
        <v>0.26922741295627994</v>
      </c>
      <c r="CQ8" s="118"/>
      <c r="CR8" s="118"/>
      <c r="CS8" s="118"/>
      <c r="CT8" s="837"/>
      <c r="CU8" s="77"/>
      <c r="CV8" s="77"/>
      <c r="CW8" s="838"/>
      <c r="CX8" s="838"/>
      <c r="CY8" s="838"/>
      <c r="CZ8" s="838"/>
      <c r="DA8" s="838"/>
      <c r="DB8" s="77"/>
      <c r="DC8" s="77"/>
      <c r="DD8" s="77"/>
      <c r="DE8" s="77"/>
    </row>
    <row r="9" spans="1:109" ht="12.75" hidden="1" customHeight="1" outlineLevel="1" x14ac:dyDescent="0.2">
      <c r="A9" s="118"/>
      <c r="B9" s="32" t="s">
        <v>187</v>
      </c>
      <c r="C9" s="41"/>
      <c r="D9" s="41"/>
      <c r="E9" s="41"/>
      <c r="F9" s="41"/>
      <c r="G9" s="96">
        <f t="shared" si="0"/>
        <v>0</v>
      </c>
      <c r="H9" s="52"/>
      <c r="I9" s="41"/>
      <c r="J9" s="41"/>
      <c r="K9" s="41"/>
      <c r="L9" s="41"/>
      <c r="M9" s="96">
        <f t="shared" si="1"/>
        <v>0</v>
      </c>
      <c r="N9" s="52"/>
      <c r="O9" s="41"/>
      <c r="P9" s="41"/>
      <c r="Q9" s="41"/>
      <c r="R9" s="41"/>
      <c r="S9" s="96">
        <f t="shared" si="2"/>
        <v>0</v>
      </c>
      <c r="T9" s="52"/>
      <c r="U9" s="41"/>
      <c r="V9" s="41"/>
      <c r="W9" s="41"/>
      <c r="X9" s="41"/>
      <c r="Y9" s="96">
        <f t="shared" si="3"/>
        <v>0</v>
      </c>
      <c r="Z9" s="52"/>
      <c r="AA9" s="756">
        <f>ALGN!AA6</f>
        <v>104.85599999999999</v>
      </c>
      <c r="AB9" s="756">
        <f>ALGN!AB6</f>
        <v>113.59999999999998</v>
      </c>
      <c r="AC9" s="756">
        <f>ALGN!AC6</f>
        <v>114.3</v>
      </c>
      <c r="AD9" s="756">
        <f>ALGN!AD6</f>
        <v>118.9</v>
      </c>
      <c r="AE9" s="96">
        <f>+SUM(AA9:AD9)</f>
        <v>451.65599999999995</v>
      </c>
      <c r="AF9" s="52"/>
      <c r="AG9" s="756">
        <f>ALGN!AG6</f>
        <v>123.328</v>
      </c>
      <c r="AH9" s="756">
        <f>ALGN!AH6</f>
        <v>133.66900000000001</v>
      </c>
      <c r="AI9" s="756">
        <f>ALGN!AI6</f>
        <v>126.72499999999998</v>
      </c>
      <c r="AJ9" s="756">
        <f>ALGN!AJ6</f>
        <v>132.85900000000001</v>
      </c>
      <c r="AK9" s="96">
        <f t="shared" si="4"/>
        <v>516.58100000000002</v>
      </c>
      <c r="AL9" s="52"/>
      <c r="AM9" s="756">
        <f>ALGN!AM6</f>
        <v>141.572</v>
      </c>
      <c r="AN9" s="756">
        <f>ALGN!AN6</f>
        <v>153.303</v>
      </c>
      <c r="AO9" s="756">
        <f>ALGN!AO6</f>
        <v>153.54999999999998</v>
      </c>
      <c r="AP9" s="756">
        <f>ALGN!AP6</f>
        <v>166.22400000000002</v>
      </c>
      <c r="AQ9" s="96">
        <f t="shared" si="5"/>
        <v>614.649</v>
      </c>
      <c r="AR9" s="52"/>
      <c r="AS9" s="756">
        <f>ALGN!AS6</f>
        <v>168.239</v>
      </c>
      <c r="AT9" s="756">
        <f>ALGN!AT6</f>
        <v>179.73499999999996</v>
      </c>
      <c r="AU9" s="756">
        <f>ALGN!AU6</f>
        <v>178.13800000000001</v>
      </c>
      <c r="AV9" s="756">
        <f>ALGN!AV6</f>
        <v>186.43700000000001</v>
      </c>
      <c r="AW9" s="96">
        <f t="shared" si="6"/>
        <v>712.54899999999998</v>
      </c>
      <c r="AX9" s="52"/>
      <c r="AY9" s="756">
        <f>ALGN!AY6</f>
        <v>187.029</v>
      </c>
      <c r="AZ9" s="756">
        <f>ALGN!AZ6</f>
        <v>200.81700000000004</v>
      </c>
      <c r="BA9" s="756">
        <f>ALGN!BA6</f>
        <v>198.29200000000006</v>
      </c>
      <c r="BB9" s="756">
        <f>ALGN!BB6</f>
        <v>214.048</v>
      </c>
      <c r="BC9" s="96">
        <f t="shared" si="7"/>
        <v>800.18600000000004</v>
      </c>
      <c r="BD9" s="52"/>
      <c r="BE9" s="756">
        <f>ALGN!BE6</f>
        <v>219.69800000000001</v>
      </c>
      <c r="BF9" s="638">
        <v>243.43600000000001</v>
      </c>
      <c r="BG9" s="786">
        <v>243.66800000000001</v>
      </c>
      <c r="BH9" s="786">
        <v>251.52500000000001</v>
      </c>
      <c r="BI9" s="96">
        <f t="shared" si="8"/>
        <v>958.327</v>
      </c>
      <c r="BJ9" s="52"/>
      <c r="BK9" s="638">
        <v>282.399</v>
      </c>
      <c r="BL9" s="638">
        <v>321.036</v>
      </c>
      <c r="BM9" s="786">
        <v>341.61099999999999</v>
      </c>
      <c r="BN9" s="638">
        <v>364.21600000000001</v>
      </c>
      <c r="BO9" s="96">
        <f t="shared" si="9"/>
        <v>1309.2619999999999</v>
      </c>
      <c r="BP9" s="52"/>
      <c r="BQ9" s="638">
        <v>385.505</v>
      </c>
      <c r="BR9" s="756">
        <f>ALGN!BR6</f>
        <v>432.30410851519719</v>
      </c>
      <c r="BS9" s="756">
        <f>ALGN!BS6</f>
        <v>439.00754597534478</v>
      </c>
      <c r="BT9" s="756">
        <f>ALGN!BT6</f>
        <v>471.23897593269572</v>
      </c>
      <c r="BU9" s="96">
        <f t="shared" si="10"/>
        <v>1728.0556304232377</v>
      </c>
      <c r="BV9" s="52"/>
      <c r="BW9" s="756">
        <f>ALGN!BW6</f>
        <v>472.32221061596067</v>
      </c>
      <c r="BX9" s="756">
        <f>ALGN!BX6</f>
        <v>545.70394837734068</v>
      </c>
      <c r="BY9" s="756">
        <f>ALGN!BY6</f>
        <v>549.40659641474883</v>
      </c>
      <c r="BZ9" s="756">
        <f>ALGN!BZ6</f>
        <v>593.06188808872707</v>
      </c>
      <c r="CA9" s="96">
        <f t="shared" si="11"/>
        <v>2160.4946434967769</v>
      </c>
      <c r="CB9" s="52"/>
      <c r="CC9" s="756">
        <f>ALGN!CC6</f>
        <v>560.55328946062252</v>
      </c>
      <c r="CD9" s="756">
        <f>ALGN!CD6</f>
        <v>639.07403080691677</v>
      </c>
      <c r="CE9" s="756">
        <f>ALGN!CE6</f>
        <v>642.34384200923341</v>
      </c>
      <c r="CF9" s="756">
        <f>ALGN!CF6</f>
        <v>690.99866533541126</v>
      </c>
      <c r="CG9" s="96">
        <f t="shared" si="12"/>
        <v>2532.969827612184</v>
      </c>
      <c r="CH9" s="36"/>
      <c r="CP9" s="121"/>
      <c r="CQ9" s="118"/>
      <c r="CR9" s="118"/>
      <c r="CS9" s="118"/>
      <c r="CT9" s="837"/>
      <c r="CU9" s="775"/>
      <c r="CV9" s="77"/>
      <c r="CW9" s="258"/>
      <c r="CX9" s="258"/>
      <c r="CY9" s="258"/>
      <c r="CZ9" s="258"/>
      <c r="DA9" s="258"/>
      <c r="DB9" s="77"/>
      <c r="DC9" s="77"/>
      <c r="DD9" s="77"/>
      <c r="DE9" s="77"/>
    </row>
    <row r="10" spans="1:109" ht="12.75" hidden="1" customHeight="1" outlineLevel="1" x14ac:dyDescent="0.2">
      <c r="A10" s="118"/>
      <c r="B10" s="32" t="s">
        <v>188</v>
      </c>
      <c r="C10" s="41"/>
      <c r="D10" s="41"/>
      <c r="E10" s="41"/>
      <c r="F10" s="41"/>
      <c r="G10" s="96">
        <f t="shared" si="0"/>
        <v>0</v>
      </c>
      <c r="H10" s="52"/>
      <c r="I10" s="41"/>
      <c r="J10" s="41"/>
      <c r="K10" s="41"/>
      <c r="L10" s="41"/>
      <c r="M10" s="96">
        <f t="shared" si="1"/>
        <v>0</v>
      </c>
      <c r="N10" s="52"/>
      <c r="O10" s="41"/>
      <c r="P10" s="41"/>
      <c r="Q10" s="41"/>
      <c r="R10" s="41"/>
      <c r="S10" s="96">
        <f t="shared" si="2"/>
        <v>0</v>
      </c>
      <c r="T10" s="52"/>
      <c r="U10" s="41"/>
      <c r="V10" s="41"/>
      <c r="W10" s="41"/>
      <c r="X10" s="41"/>
      <c r="Y10" s="96">
        <f t="shared" si="3"/>
        <v>0</v>
      </c>
      <c r="Z10" s="52"/>
      <c r="AA10" s="756">
        <f>ALGN!AA39</f>
        <v>0</v>
      </c>
      <c r="AB10" s="756">
        <f>ALGN!AB39</f>
        <v>6.5</v>
      </c>
      <c r="AC10" s="756">
        <f>ALGN!AC39</f>
        <v>11.600000000000001</v>
      </c>
      <c r="AD10" s="756">
        <f>ALGN!AD39</f>
        <v>10</v>
      </c>
      <c r="AE10" s="96">
        <f>+SUM(AA10:AD10)</f>
        <v>28.1</v>
      </c>
      <c r="AF10" s="52"/>
      <c r="AG10" s="756">
        <f>ALGN!AG39</f>
        <v>11.750999999999999</v>
      </c>
      <c r="AH10" s="756">
        <f>ALGN!AH39</f>
        <v>11.957000000000001</v>
      </c>
      <c r="AI10" s="756">
        <f>ALGN!AI39</f>
        <v>9.7710000000000008</v>
      </c>
      <c r="AJ10" s="756">
        <f>ALGN!AJ39</f>
        <v>9.9809999999999999</v>
      </c>
      <c r="AK10" s="96">
        <f t="shared" si="4"/>
        <v>43.46</v>
      </c>
      <c r="AL10" s="52"/>
      <c r="AM10" s="756">
        <f>ALGN!AM39</f>
        <v>12.007999999999999</v>
      </c>
      <c r="AN10" s="756">
        <f>ALGN!AN39</f>
        <v>10.525</v>
      </c>
      <c r="AO10" s="756">
        <f>ALGN!AO39</f>
        <v>10.956</v>
      </c>
      <c r="AP10" s="756">
        <f>ALGN!AP39</f>
        <v>12.068</v>
      </c>
      <c r="AQ10" s="96">
        <f t="shared" si="5"/>
        <v>45.557000000000002</v>
      </c>
      <c r="AR10" s="52"/>
      <c r="AS10" s="756">
        <f>ALGN!AS39</f>
        <v>12.407</v>
      </c>
      <c r="AT10" s="756">
        <f>ALGN!AT39</f>
        <v>12.795999999999999</v>
      </c>
      <c r="AU10" s="756">
        <f>ALGN!AU39</f>
        <v>11.738</v>
      </c>
      <c r="AV10" s="756">
        <f>ALGN!AV39</f>
        <v>12.163</v>
      </c>
      <c r="AW10" s="96">
        <f t="shared" si="6"/>
        <v>49.103999999999999</v>
      </c>
      <c r="AX10" s="52"/>
      <c r="AY10" s="756">
        <f>ALGN!AY39</f>
        <v>11.057</v>
      </c>
      <c r="AZ10" s="756">
        <f>ALGN!AZ39</f>
        <v>8.6709999999999994</v>
      </c>
      <c r="BA10" s="756">
        <f>ALGN!BA39</f>
        <v>9.3439999999999994</v>
      </c>
      <c r="BB10" s="756">
        <f>ALGN!BB39</f>
        <v>16.228000000000002</v>
      </c>
      <c r="BC10" s="96">
        <f t="shared" si="7"/>
        <v>45.300000000000004</v>
      </c>
      <c r="BD10" s="52"/>
      <c r="BE10" s="756">
        <f>ALGN!BE39</f>
        <v>19.021999999999998</v>
      </c>
      <c r="BF10" s="36">
        <f>+BF8-BF9</f>
        <v>25.926000000000016</v>
      </c>
      <c r="BG10" s="779">
        <f>+BG8-BG9</f>
        <v>34.920999999999992</v>
      </c>
      <c r="BH10" s="779">
        <f>+BH8-BH9</f>
        <v>41.677999999999969</v>
      </c>
      <c r="BI10" s="96">
        <f t="shared" si="8"/>
        <v>121.54699999999997</v>
      </c>
      <c r="BJ10" s="52"/>
      <c r="BK10" s="36">
        <f>+BK8-BK9</f>
        <v>27.942000000000007</v>
      </c>
      <c r="BL10" s="36">
        <f>+BL8-BL9</f>
        <v>35.446000000000026</v>
      </c>
      <c r="BM10" s="779">
        <f>+BM8-BM9</f>
        <v>43.656000000000006</v>
      </c>
      <c r="BN10" s="779">
        <f>+BN8-BN9</f>
        <v>57.106999999999971</v>
      </c>
      <c r="BO10" s="96">
        <f t="shared" si="9"/>
        <v>164.15100000000001</v>
      </c>
      <c r="BP10" s="52"/>
      <c r="BQ10" s="36">
        <f>+BQ8-BQ9</f>
        <v>51.418999999999983</v>
      </c>
      <c r="BR10" s="756">
        <f>ALGN!BR39</f>
        <v>49.098749999999995</v>
      </c>
      <c r="BS10" s="756">
        <f>ALGN!BS39</f>
        <v>53.231000000000002</v>
      </c>
      <c r="BT10" s="756">
        <f>ALGN!BT39</f>
        <v>68.911000000000001</v>
      </c>
      <c r="BU10" s="96">
        <f t="shared" si="10"/>
        <v>222.65974999999997</v>
      </c>
      <c r="BV10" s="52"/>
      <c r="BW10" s="756">
        <f>ALGN!BW39</f>
        <v>57.478999999999999</v>
      </c>
      <c r="BX10" s="756">
        <f>ALGN!BX39</f>
        <v>55.008625000000002</v>
      </c>
      <c r="BY10" s="756">
        <f>ALGN!BY39</f>
        <v>59.088500000000003</v>
      </c>
      <c r="BZ10" s="756">
        <f>ALGN!BZ39</f>
        <v>74.9114</v>
      </c>
      <c r="CA10" s="96">
        <f t="shared" si="11"/>
        <v>246.48752500000001</v>
      </c>
      <c r="CB10" s="52"/>
      <c r="CC10" s="756">
        <f>ALGN!CC39</f>
        <v>63.295199999999994</v>
      </c>
      <c r="CD10" s="756">
        <f>ALGN!CD39</f>
        <v>60.709228750000001</v>
      </c>
      <c r="CE10" s="756">
        <f>ALGN!CE39</f>
        <v>64.748774999999995</v>
      </c>
      <c r="CF10" s="756">
        <f>ALGN!CF39</f>
        <v>80.681708</v>
      </c>
      <c r="CG10" s="96">
        <f t="shared" si="12"/>
        <v>269.43491174999997</v>
      </c>
      <c r="CH10" s="36"/>
      <c r="CP10" s="121"/>
      <c r="CQ10" s="118"/>
      <c r="CR10" s="118"/>
      <c r="CS10" s="118"/>
      <c r="CT10" s="77"/>
      <c r="CU10" s="839"/>
      <c r="CV10" s="393"/>
      <c r="CW10" s="840"/>
      <c r="CX10" s="840"/>
      <c r="CY10" s="840"/>
      <c r="CZ10" s="840"/>
      <c r="DA10" s="840"/>
      <c r="DB10" s="77"/>
      <c r="DC10" s="77"/>
      <c r="DD10" s="77"/>
      <c r="DE10" s="77"/>
    </row>
    <row r="11" spans="1:109" collapsed="1" x14ac:dyDescent="0.2">
      <c r="A11" s="42"/>
      <c r="B11" s="40" t="s">
        <v>104</v>
      </c>
      <c r="C11" s="298">
        <v>17.529</v>
      </c>
      <c r="D11" s="298">
        <v>20.247</v>
      </c>
      <c r="E11" s="298">
        <v>18.132000000000001</v>
      </c>
      <c r="F11" s="298">
        <f>75.035-SUM(C11:E11)</f>
        <v>19.126999999999995</v>
      </c>
      <c r="G11" s="259">
        <f t="shared" si="0"/>
        <v>75.034999999999997</v>
      </c>
      <c r="H11" s="336"/>
      <c r="I11" s="298">
        <v>19.608000000000001</v>
      </c>
      <c r="J11" s="298">
        <v>20.242999999999999</v>
      </c>
      <c r="K11" s="298">
        <v>18.765999999999998</v>
      </c>
      <c r="L11" s="298">
        <f>78.85-SUM(I11:K11)</f>
        <v>20.232999999999997</v>
      </c>
      <c r="M11" s="259">
        <f t="shared" si="1"/>
        <v>78.849999999999994</v>
      </c>
      <c r="N11" s="336"/>
      <c r="O11" s="298">
        <v>17.425000000000001</v>
      </c>
      <c r="P11" s="298">
        <v>18.337999999999997</v>
      </c>
      <c r="Q11" s="298">
        <v>18.362000000000002</v>
      </c>
      <c r="R11" s="298">
        <v>18.550999999999998</v>
      </c>
      <c r="S11" s="259">
        <f t="shared" si="2"/>
        <v>72.676000000000002</v>
      </c>
      <c r="T11" s="336"/>
      <c r="U11" s="298">
        <v>19.553000000000001</v>
      </c>
      <c r="V11" s="298">
        <v>21.177999999999997</v>
      </c>
      <c r="W11" s="298">
        <v>21.013999999999999</v>
      </c>
      <c r="X11" s="298">
        <v>21.137000000000008</v>
      </c>
      <c r="Y11" s="259">
        <f t="shared" si="3"/>
        <v>82.882000000000005</v>
      </c>
      <c r="Z11" s="336"/>
      <c r="AA11" s="41">
        <v>22.63</v>
      </c>
      <c r="AB11" s="41">
        <f>28.949-0.057-0.183</f>
        <v>28.709000000000003</v>
      </c>
      <c r="AC11" s="41">
        <f>33.524-0.202-0.267-0.175</f>
        <v>32.880000000000003</v>
      </c>
      <c r="AD11" s="41">
        <f>33.355-0.139-0.285-0.579</f>
        <v>32.351999999999997</v>
      </c>
      <c r="AE11" s="259">
        <f>+SUM(AA11:AD11)</f>
        <v>116.571</v>
      </c>
      <c r="AF11" s="336"/>
      <c r="AG11" s="41">
        <v>33.624000000000002</v>
      </c>
      <c r="AH11" s="41">
        <v>36.387</v>
      </c>
      <c r="AI11" s="41">
        <v>35.838999999999999</v>
      </c>
      <c r="AJ11" s="41">
        <v>36.161000000000001</v>
      </c>
      <c r="AK11" s="259">
        <f t="shared" si="4"/>
        <v>142.011</v>
      </c>
      <c r="AL11" s="336"/>
      <c r="AM11" s="41">
        <v>40.731000000000002</v>
      </c>
      <c r="AN11" s="41">
        <v>40.137</v>
      </c>
      <c r="AO11" s="41">
        <v>39.415999999999997</v>
      </c>
      <c r="AP11" s="41">
        <v>41.816000000000003</v>
      </c>
      <c r="AQ11" s="259">
        <f t="shared" si="5"/>
        <v>162.1</v>
      </c>
      <c r="AR11" s="336"/>
      <c r="AS11" s="41">
        <v>43.395000000000003</v>
      </c>
      <c r="AT11" s="41">
        <v>47.055</v>
      </c>
      <c r="AU11" s="41">
        <v>44.822000000000003</v>
      </c>
      <c r="AV11" s="41">
        <v>47.938000000000002</v>
      </c>
      <c r="AW11" s="259">
        <f t="shared" si="6"/>
        <v>183.20999999999998</v>
      </c>
      <c r="AX11" s="336"/>
      <c r="AY11" s="41">
        <v>46.996000000000002</v>
      </c>
      <c r="AZ11" s="41">
        <v>50.853999999999999</v>
      </c>
      <c r="BA11" s="41">
        <v>50.06</v>
      </c>
      <c r="BB11" s="41">
        <v>57.466000000000001</v>
      </c>
      <c r="BC11" s="259">
        <f t="shared" si="7"/>
        <v>205.376</v>
      </c>
      <c r="BD11" s="336"/>
      <c r="BE11" s="41">
        <v>58.093000000000004</v>
      </c>
      <c r="BF11" s="41">
        <v>64.146000000000001</v>
      </c>
      <c r="BG11" s="778">
        <v>69.387</v>
      </c>
      <c r="BH11" s="778">
        <v>72.593999999999994</v>
      </c>
      <c r="BI11" s="259">
        <f t="shared" si="8"/>
        <v>264.22000000000003</v>
      </c>
      <c r="BJ11" s="336"/>
      <c r="BK11" s="848">
        <v>74.715999999999994</v>
      </c>
      <c r="BL11" s="41">
        <v>85.564999999999998</v>
      </c>
      <c r="BM11" s="778">
        <v>92.778999999999996</v>
      </c>
      <c r="BN11" s="638">
        <v>103.40600000000001</v>
      </c>
      <c r="BO11" s="259">
        <f t="shared" si="9"/>
        <v>356.46600000000001</v>
      </c>
      <c r="BP11" s="336"/>
      <c r="BQ11" s="848">
        <v>109.51600000000001</v>
      </c>
      <c r="BR11" s="36">
        <f>SUM(BR12:BR13)</f>
        <v>115.43110457675826</v>
      </c>
      <c r="BS11" s="36">
        <f>SUM(BS12:BS13)</f>
        <v>116.72590693693688</v>
      </c>
      <c r="BT11" s="36">
        <f>SUM(BT12:BT13)</f>
        <v>131.24723115282973</v>
      </c>
      <c r="BU11" s="259">
        <f t="shared" si="10"/>
        <v>472.92024266652487</v>
      </c>
      <c r="BV11" s="336"/>
      <c r="BW11" s="36">
        <f>SUM(BW12:BW13)</f>
        <v>125.43918955605452</v>
      </c>
      <c r="BX11" s="36">
        <f>SUM(BX12:BX13)</f>
        <v>134.61148250100615</v>
      </c>
      <c r="BY11" s="36">
        <f>SUM(BY12:BY13)</f>
        <v>134.73405147324328</v>
      </c>
      <c r="BZ11" s="36">
        <f>SUM(BZ12:BZ13)</f>
        <v>154.55174796897438</v>
      </c>
      <c r="CA11" s="259">
        <f t="shared" si="11"/>
        <v>549.33647149927833</v>
      </c>
      <c r="CB11" s="336"/>
      <c r="CC11" s="36">
        <f>SUM(CC12:CC13)</f>
        <v>140.45635729254587</v>
      </c>
      <c r="CD11" s="36">
        <f>SUM(CD12:CD13)</f>
        <v>149.70618809748478</v>
      </c>
      <c r="CE11" s="36">
        <f>SUM(CE12:CE13)</f>
        <v>148.63651088220971</v>
      </c>
      <c r="CF11" s="36">
        <f>SUM(CF12:CF13)</f>
        <v>171.23264741165224</v>
      </c>
      <c r="CG11" s="259">
        <f t="shared" si="12"/>
        <v>610.0317036838926</v>
      </c>
      <c r="CH11" s="258"/>
      <c r="CI11" s="768"/>
      <c r="CQ11" s="42"/>
      <c r="CR11" s="42"/>
      <c r="CS11" s="42"/>
      <c r="CT11" s="77"/>
      <c r="CU11" s="839"/>
      <c r="CV11" s="393"/>
      <c r="CW11" s="295"/>
      <c r="CX11" s="295"/>
      <c r="CY11" s="295"/>
      <c r="CZ11" s="295"/>
      <c r="DA11" s="295"/>
      <c r="DB11" s="77"/>
      <c r="DC11" s="77"/>
      <c r="DD11" s="77"/>
      <c r="DE11" s="77"/>
    </row>
    <row r="12" spans="1:109" ht="12.75" hidden="1" customHeight="1" outlineLevel="1" x14ac:dyDescent="0.2">
      <c r="A12" s="118"/>
      <c r="B12" s="32" t="str">
        <f>+B9</f>
        <v>Clear Aligners</v>
      </c>
      <c r="C12" s="41"/>
      <c r="D12" s="41"/>
      <c r="E12" s="41"/>
      <c r="F12" s="41"/>
      <c r="G12" s="96">
        <f>G11</f>
        <v>75.034999999999997</v>
      </c>
      <c r="H12" s="52"/>
      <c r="I12" s="41"/>
      <c r="J12" s="41"/>
      <c r="K12" s="41"/>
      <c r="L12" s="41"/>
      <c r="M12" s="96">
        <f>M11</f>
        <v>78.849999999999994</v>
      </c>
      <c r="N12" s="52"/>
      <c r="O12" s="41"/>
      <c r="P12" s="41"/>
      <c r="Q12" s="41"/>
      <c r="R12" s="41"/>
      <c r="S12" s="96">
        <f>S11</f>
        <v>72.676000000000002</v>
      </c>
      <c r="T12" s="52"/>
      <c r="U12" s="41"/>
      <c r="V12" s="41"/>
      <c r="W12" s="41"/>
      <c r="X12" s="41"/>
      <c r="Y12" s="96">
        <f>Y11</f>
        <v>82.882000000000005</v>
      </c>
      <c r="Z12" s="52"/>
      <c r="AA12" s="36">
        <f t="shared" ref="AA12:AE13" si="13">AA9-AA15</f>
        <v>22.629999999999995</v>
      </c>
      <c r="AB12" s="36">
        <f t="shared" si="13"/>
        <v>24.311999999999983</v>
      </c>
      <c r="AC12" s="36">
        <f t="shared" si="13"/>
        <v>24.4602</v>
      </c>
      <c r="AD12" s="36">
        <f t="shared" si="13"/>
        <v>25.325699999999998</v>
      </c>
      <c r="AE12" s="96">
        <f t="shared" si="13"/>
        <v>96.95599999999996</v>
      </c>
      <c r="AF12" s="52"/>
      <c r="AG12" s="36">
        <f t="shared" ref="AG12:AI13" si="14">AG9-AG15</f>
        <v>25.939000000000007</v>
      </c>
      <c r="AH12" s="36">
        <f t="shared" si="14"/>
        <v>28.051999999999992</v>
      </c>
      <c r="AI12" s="36">
        <f t="shared" si="14"/>
        <v>28.391000000000005</v>
      </c>
      <c r="AJ12" s="36">
        <f>AJ9-AJ15</f>
        <v>28.228999999999999</v>
      </c>
      <c r="AK12" s="96">
        <f t="shared" si="4"/>
        <v>110.611</v>
      </c>
      <c r="AL12" s="52"/>
      <c r="AM12" s="36">
        <f t="shared" ref="AM12:AP13" si="15">AM9-AM15</f>
        <v>32.245000000000005</v>
      </c>
      <c r="AN12" s="36">
        <f t="shared" si="15"/>
        <v>33.179000000000002</v>
      </c>
      <c r="AO12" s="36">
        <f t="shared" si="15"/>
        <v>30.887</v>
      </c>
      <c r="AP12" s="36">
        <f t="shared" si="15"/>
        <v>33.503000000000014</v>
      </c>
      <c r="AQ12" s="96">
        <f t="shared" si="5"/>
        <v>129.81400000000002</v>
      </c>
      <c r="AR12" s="52"/>
      <c r="AS12" s="36">
        <f t="shared" ref="AS12:AV13" si="16">AS9-AS15</f>
        <v>35.156000000000006</v>
      </c>
      <c r="AT12" s="36">
        <f t="shared" si="16"/>
        <v>38.031999999999982</v>
      </c>
      <c r="AU12" s="36">
        <f t="shared" si="16"/>
        <v>37.020999999999987</v>
      </c>
      <c r="AV12" s="36">
        <f>+AV9-AV15</f>
        <v>39.450999999999993</v>
      </c>
      <c r="AW12" s="96">
        <f t="shared" si="6"/>
        <v>149.65999999999997</v>
      </c>
      <c r="AX12" s="52"/>
      <c r="AY12" s="36">
        <f>+AY9-AY15</f>
        <v>39.069000000000017</v>
      </c>
      <c r="AZ12" s="36">
        <f>+AZ9-AZ15</f>
        <v>43.497000000000014</v>
      </c>
      <c r="BA12" s="36">
        <f>+BA9-BA15</f>
        <v>42.087000000000074</v>
      </c>
      <c r="BB12" s="36">
        <f>+BB9-BB15</f>
        <v>47.363</v>
      </c>
      <c r="BC12" s="96">
        <f t="shared" si="7"/>
        <v>172.0160000000001</v>
      </c>
      <c r="BD12" s="52"/>
      <c r="BE12" s="36">
        <f>+BE9-BE15</f>
        <v>47.631</v>
      </c>
      <c r="BF12" s="36">
        <f t="shared" ref="BF12:BH13" si="17">+BF9-BF15</f>
        <v>52.109999999999985</v>
      </c>
      <c r="BG12" s="779">
        <f t="shared" si="17"/>
        <v>54.397999999999996</v>
      </c>
      <c r="BH12" s="36">
        <f t="shared" si="17"/>
        <v>56.693999999999988</v>
      </c>
      <c r="BI12" s="96">
        <f t="shared" si="8"/>
        <v>210.83299999999997</v>
      </c>
      <c r="BJ12" s="52"/>
      <c r="BK12" s="36">
        <f>+BK9-BK15</f>
        <v>62.451999999999998</v>
      </c>
      <c r="BL12" s="36">
        <f t="shared" ref="BL12:BM12" si="18">+BL9-BL15</f>
        <v>70.22199999999998</v>
      </c>
      <c r="BM12" s="779">
        <f t="shared" si="18"/>
        <v>75.326000000000022</v>
      </c>
      <c r="BN12" s="779">
        <f t="shared" ref="BN12" si="19">+BN9-BN15</f>
        <v>81.699000000000012</v>
      </c>
      <c r="BO12" s="96">
        <f t="shared" si="9"/>
        <v>289.69900000000001</v>
      </c>
      <c r="BP12" s="52"/>
      <c r="BQ12" s="36">
        <f>+BQ9-BQ15</f>
        <v>88.528999999999996</v>
      </c>
      <c r="BR12" s="36">
        <f t="shared" ref="BR12:BT13" si="20">+BR9-BR15</f>
        <v>95.882117237690977</v>
      </c>
      <c r="BS12" s="36">
        <f t="shared" si="20"/>
        <v>96.596257326287116</v>
      </c>
      <c r="BT12" s="36">
        <f t="shared" si="20"/>
        <v>106.56630733964784</v>
      </c>
      <c r="BU12" s="96">
        <f t="shared" si="10"/>
        <v>387.57368190362592</v>
      </c>
      <c r="BV12" s="52"/>
      <c r="BW12" s="36">
        <f t="shared" ref="BW12:BZ13" si="21">+BW9-BW15</f>
        <v>104.2779210568616</v>
      </c>
      <c r="BX12" s="36">
        <f t="shared" si="21"/>
        <v>114.90978491001351</v>
      </c>
      <c r="BY12" s="36">
        <f t="shared" si="21"/>
        <v>114.75289005829939</v>
      </c>
      <c r="BZ12" s="36">
        <f t="shared" si="21"/>
        <v>130.71819778507347</v>
      </c>
      <c r="CA12" s="96">
        <f t="shared" si="11"/>
        <v>464.65879381024797</v>
      </c>
      <c r="CB12" s="52"/>
      <c r="CC12" s="36">
        <f t="shared" ref="CC12:CF13" si="22">+CC9-CC15</f>
        <v>119.68562485325299</v>
      </c>
      <c r="CD12" s="36">
        <f t="shared" si="22"/>
        <v>130.3911512667882</v>
      </c>
      <c r="CE12" s="36">
        <f t="shared" si="22"/>
        <v>129.33124158223791</v>
      </c>
      <c r="CF12" s="36">
        <f t="shared" si="22"/>
        <v>148.79050444657628</v>
      </c>
      <c r="CG12" s="96">
        <f t="shared" si="12"/>
        <v>528.19852214885532</v>
      </c>
      <c r="CH12" s="36"/>
      <c r="CI12" s="36"/>
      <c r="CQ12" s="118"/>
      <c r="CR12" s="118"/>
      <c r="CS12" s="118"/>
      <c r="CT12" s="77"/>
      <c r="CU12" s="160"/>
      <c r="CV12" s="77"/>
      <c r="CW12" s="36"/>
      <c r="CX12" s="36"/>
      <c r="CY12" s="36"/>
      <c r="CZ12" s="36"/>
      <c r="DA12" s="36"/>
      <c r="DB12" s="77"/>
      <c r="DC12" s="77"/>
      <c r="DD12" s="77"/>
      <c r="DE12" s="77"/>
    </row>
    <row r="13" spans="1:109" ht="12.75" hidden="1" customHeight="1" outlineLevel="1" x14ac:dyDescent="0.2">
      <c r="A13" s="118"/>
      <c r="B13" s="32" t="str">
        <f>+B10</f>
        <v>Scanners/CADCAM</v>
      </c>
      <c r="C13" s="41"/>
      <c r="D13" s="41"/>
      <c r="E13" s="41"/>
      <c r="F13" s="41"/>
      <c r="G13" s="96">
        <f t="shared" si="0"/>
        <v>0</v>
      </c>
      <c r="H13" s="52"/>
      <c r="I13" s="41"/>
      <c r="J13" s="41"/>
      <c r="K13" s="41"/>
      <c r="L13" s="41"/>
      <c r="M13" s="96">
        <f t="shared" si="1"/>
        <v>0</v>
      </c>
      <c r="N13" s="52"/>
      <c r="O13" s="41"/>
      <c r="P13" s="41"/>
      <c r="Q13" s="41"/>
      <c r="R13" s="41"/>
      <c r="S13" s="96">
        <f t="shared" si="2"/>
        <v>0</v>
      </c>
      <c r="T13" s="52"/>
      <c r="U13" s="41"/>
      <c r="V13" s="41"/>
      <c r="W13" s="41"/>
      <c r="X13" s="41"/>
      <c r="Y13" s="96">
        <f t="shared" si="3"/>
        <v>0</v>
      </c>
      <c r="Z13" s="52"/>
      <c r="AA13" s="36">
        <f t="shared" si="13"/>
        <v>0</v>
      </c>
      <c r="AB13" s="36">
        <f t="shared" si="13"/>
        <v>4.4109999999999996</v>
      </c>
      <c r="AC13" s="36">
        <f t="shared" si="13"/>
        <v>9.1060000000000016</v>
      </c>
      <c r="AD13" s="36">
        <f t="shared" si="13"/>
        <v>8</v>
      </c>
      <c r="AE13" s="96">
        <f t="shared" si="13"/>
        <v>21.517000000000003</v>
      </c>
      <c r="AF13" s="52"/>
      <c r="AG13" s="36">
        <f t="shared" si="14"/>
        <v>8.379999999999999</v>
      </c>
      <c r="AH13" s="36">
        <f t="shared" si="14"/>
        <v>8.3350000000000151</v>
      </c>
      <c r="AI13" s="36">
        <f t="shared" si="14"/>
        <v>7.4479999999999649</v>
      </c>
      <c r="AJ13" s="36">
        <f>AJ10-AJ16</f>
        <v>7.9320000000000075</v>
      </c>
      <c r="AK13" s="96">
        <f t="shared" si="4"/>
        <v>32.094999999999985</v>
      </c>
      <c r="AL13" s="52"/>
      <c r="AM13" s="36">
        <f t="shared" si="15"/>
        <v>8.4859999999999793</v>
      </c>
      <c r="AN13" s="36">
        <f t="shared" si="15"/>
        <v>6.9579999999999931</v>
      </c>
      <c r="AO13" s="36">
        <f t="shared" si="15"/>
        <v>8.5289999999999786</v>
      </c>
      <c r="AP13" s="36">
        <f t="shared" si="15"/>
        <v>8.3130000000000042</v>
      </c>
      <c r="AQ13" s="96">
        <f t="shared" si="5"/>
        <v>32.285999999999952</v>
      </c>
      <c r="AR13" s="52"/>
      <c r="AS13" s="36">
        <f t="shared" si="16"/>
        <v>8.2390000000000221</v>
      </c>
      <c r="AT13" s="36">
        <f t="shared" si="16"/>
        <v>9.0229999999999748</v>
      </c>
      <c r="AU13" s="36">
        <f t="shared" si="16"/>
        <v>7.8010000000000161</v>
      </c>
      <c r="AV13" s="36">
        <f t="shared" si="16"/>
        <v>8.487000000000041</v>
      </c>
      <c r="AW13" s="96">
        <f t="shared" si="6"/>
        <v>33.550000000000054</v>
      </c>
      <c r="AX13" s="52"/>
      <c r="AY13" s="36">
        <f>+AY10-AY16</f>
        <v>7.9269999999999996</v>
      </c>
      <c r="AZ13" s="36">
        <f>+AZ10-AZ16</f>
        <v>7.3739999999999997</v>
      </c>
      <c r="BA13" s="36">
        <f>+BA10-BA16</f>
        <v>7.9729999999999999</v>
      </c>
      <c r="BB13" s="36">
        <f>BB10-BB16</f>
        <v>10.103</v>
      </c>
      <c r="BC13" s="96">
        <f t="shared" si="7"/>
        <v>33.376999999999995</v>
      </c>
      <c r="BD13" s="52"/>
      <c r="BE13" s="36">
        <f>+BE10-BE16</f>
        <v>10.462</v>
      </c>
      <c r="BF13" s="36">
        <f t="shared" si="17"/>
        <v>12.036000000000017</v>
      </c>
      <c r="BG13" s="779">
        <f t="shared" si="17"/>
        <v>14.988999999999994</v>
      </c>
      <c r="BH13" s="36">
        <f t="shared" si="17"/>
        <v>16.259999999999973</v>
      </c>
      <c r="BI13" s="96">
        <f t="shared" si="8"/>
        <v>53.746999999999986</v>
      </c>
      <c r="BJ13" s="52"/>
      <c r="BK13" s="36">
        <f>+BK10-BK16</f>
        <v>12.263999999999999</v>
      </c>
      <c r="BL13" s="36">
        <f t="shared" ref="BL13:BM13" si="23">+BL10-BL16</f>
        <v>15.343</v>
      </c>
      <c r="BM13" s="779">
        <f t="shared" si="23"/>
        <v>17.452999999999999</v>
      </c>
      <c r="BN13" s="779">
        <f t="shared" ref="BN13" si="24">+BN10-BN16</f>
        <v>21.707000000000001</v>
      </c>
      <c r="BO13" s="96">
        <f t="shared" si="9"/>
        <v>66.766999999999996</v>
      </c>
      <c r="BP13" s="52"/>
      <c r="BQ13" s="36">
        <f>+BQ10-BQ16</f>
        <v>20.986999999999998</v>
      </c>
      <c r="BR13" s="36">
        <f t="shared" si="20"/>
        <v>19.548987339067278</v>
      </c>
      <c r="BS13" s="36">
        <f t="shared" si="20"/>
        <v>20.129649610649764</v>
      </c>
      <c r="BT13" s="36">
        <f t="shared" si="20"/>
        <v>24.680923813181906</v>
      </c>
      <c r="BU13" s="96">
        <f t="shared" si="10"/>
        <v>85.346560762898946</v>
      </c>
      <c r="BV13" s="52"/>
      <c r="BW13" s="36">
        <f t="shared" si="21"/>
        <v>21.161268499192914</v>
      </c>
      <c r="BX13" s="36">
        <f t="shared" si="21"/>
        <v>19.701697590992637</v>
      </c>
      <c r="BY13" s="36">
        <f t="shared" si="21"/>
        <v>19.981161414943898</v>
      </c>
      <c r="BZ13" s="36">
        <f t="shared" si="21"/>
        <v>23.833550183900897</v>
      </c>
      <c r="CA13" s="96">
        <f t="shared" si="11"/>
        <v>84.677677689030347</v>
      </c>
      <c r="CB13" s="52"/>
      <c r="CC13" s="36">
        <f t="shared" si="22"/>
        <v>20.770732439292871</v>
      </c>
      <c r="CD13" s="36">
        <f t="shared" si="22"/>
        <v>19.315036830696585</v>
      </c>
      <c r="CE13" s="36">
        <f t="shared" si="22"/>
        <v>19.305269299971805</v>
      </c>
      <c r="CF13" s="36">
        <f t="shared" si="22"/>
        <v>22.442142965075945</v>
      </c>
      <c r="CG13" s="96">
        <f t="shared" si="12"/>
        <v>81.833181535037198</v>
      </c>
      <c r="CH13" s="36"/>
      <c r="CI13" s="36"/>
      <c r="CP13" s="725"/>
      <c r="CQ13" s="118"/>
      <c r="CR13" s="118"/>
      <c r="CS13" s="118"/>
      <c r="CT13" s="77"/>
      <c r="CU13" s="839"/>
      <c r="CV13" s="393"/>
      <c r="CW13" s="840"/>
      <c r="CX13" s="840"/>
      <c r="CY13" s="840"/>
      <c r="CZ13" s="840"/>
      <c r="DA13" s="840"/>
      <c r="DB13" s="77"/>
      <c r="DC13" s="77"/>
      <c r="DD13" s="77"/>
      <c r="DE13" s="77"/>
    </row>
    <row r="14" spans="1:109" collapsed="1" x14ac:dyDescent="0.2">
      <c r="A14" s="42"/>
      <c r="B14" s="334" t="s">
        <v>337</v>
      </c>
      <c r="C14" s="257">
        <f>+C8-C11</f>
        <v>46.231999999999999</v>
      </c>
      <c r="D14" s="257">
        <f>+D8-D11</f>
        <v>56.355999999999995</v>
      </c>
      <c r="E14" s="257">
        <f>+E8-E11</f>
        <v>53.318999999999988</v>
      </c>
      <c r="F14" s="257">
        <f>+F8-F11</f>
        <v>53.39</v>
      </c>
      <c r="G14" s="259">
        <f>+G8-G11</f>
        <v>209.297</v>
      </c>
      <c r="H14" s="127"/>
      <c r="I14" s="257">
        <f>+I8-I11</f>
        <v>55.167999999999992</v>
      </c>
      <c r="J14" s="257">
        <f>+J8-J11</f>
        <v>59.659000000000006</v>
      </c>
      <c r="K14" s="257">
        <f>+K8-K11</f>
        <v>56.407000000000004</v>
      </c>
      <c r="L14" s="257">
        <f>+L8-L11</f>
        <v>53.892000000000003</v>
      </c>
      <c r="M14" s="259">
        <f>+M8-M11</f>
        <v>225.126</v>
      </c>
      <c r="N14" s="127"/>
      <c r="O14" s="257">
        <f>+O8-O11</f>
        <v>52.706999999999994</v>
      </c>
      <c r="P14" s="257">
        <f>+P8-P11</f>
        <v>57.978000000000009</v>
      </c>
      <c r="Q14" s="257">
        <f>+Q8-Q11</f>
        <v>60.907000000000004</v>
      </c>
      <c r="R14" s="257">
        <f>+R8-R11</f>
        <v>68.064999999999969</v>
      </c>
      <c r="S14" s="259">
        <f>+S8-S11</f>
        <v>239.65699999999998</v>
      </c>
      <c r="T14" s="127"/>
      <c r="U14" s="257">
        <f>+U8-U11</f>
        <v>70.537000000000006</v>
      </c>
      <c r="V14" s="257">
        <f>+V8-V11</f>
        <v>72.72</v>
      </c>
      <c r="W14" s="257">
        <f>+W8-W11</f>
        <v>74.933000000000007</v>
      </c>
      <c r="X14" s="257">
        <f>+X8-X11</f>
        <v>71.755999999999972</v>
      </c>
      <c r="Y14" s="259">
        <f>+Y8-Y11</f>
        <v>289.94599999999997</v>
      </c>
      <c r="Z14" s="127"/>
      <c r="AA14" s="257">
        <f>+AA8-AA11</f>
        <v>82.225999999999999</v>
      </c>
      <c r="AB14" s="257">
        <f>+AB8-AB11</f>
        <v>91.376999999999995</v>
      </c>
      <c r="AC14" s="257">
        <f>+AC8-AC11</f>
        <v>93.01400000000001</v>
      </c>
      <c r="AD14" s="257">
        <f>+AD8-AD11</f>
        <v>96.552999999999997</v>
      </c>
      <c r="AE14" s="259">
        <f>+AE8-AE11</f>
        <v>363.16999999999996</v>
      </c>
      <c r="AF14" s="127"/>
      <c r="AG14" s="257">
        <f>+AG8-AG11</f>
        <v>101.45500000000001</v>
      </c>
      <c r="AH14" s="257">
        <f>+AH8-AH11</f>
        <v>109.239</v>
      </c>
      <c r="AI14" s="257">
        <f>+AI8-AI11</f>
        <v>100.65700000000001</v>
      </c>
      <c r="AJ14" s="257">
        <f>+AJ8-AJ11</f>
        <v>106.679</v>
      </c>
      <c r="AK14" s="259">
        <f>+AK8-AK11</f>
        <v>418.03000000000009</v>
      </c>
      <c r="AL14" s="127"/>
      <c r="AM14" s="257">
        <f>+AM8-AM11</f>
        <v>112.84900000000002</v>
      </c>
      <c r="AN14" s="257">
        <f>+AN8-AN11</f>
        <v>123.691</v>
      </c>
      <c r="AO14" s="257">
        <f>+AO8-AO11</f>
        <v>125.09</v>
      </c>
      <c r="AP14" s="257">
        <f>+AP8-AP11</f>
        <v>136.476</v>
      </c>
      <c r="AQ14" s="259">
        <f>+AQ8-AQ11</f>
        <v>498.10599999999999</v>
      </c>
      <c r="AR14" s="127"/>
      <c r="AS14" s="257">
        <f>+AS8-AS11</f>
        <v>137.25099999999998</v>
      </c>
      <c r="AT14" s="257">
        <f>+AT8-AT11</f>
        <v>145.476</v>
      </c>
      <c r="AU14" s="257">
        <f>+AU8-AU11</f>
        <v>145.054</v>
      </c>
      <c r="AV14" s="257">
        <f>+AV8-AV11</f>
        <v>150.66199999999998</v>
      </c>
      <c r="AW14" s="259">
        <f>+AW8-AW11</f>
        <v>578.44299999999998</v>
      </c>
      <c r="AX14" s="127"/>
      <c r="AY14" s="257">
        <f>+AY8-AY11</f>
        <v>151.09</v>
      </c>
      <c r="AZ14" s="257">
        <f>+AZ8-AZ11</f>
        <v>158.63400000000001</v>
      </c>
      <c r="BA14" s="257">
        <f>+BA8-BA11</f>
        <v>157.57599999999999</v>
      </c>
      <c r="BB14" s="257">
        <f>+BB8-BB11</f>
        <v>172.81</v>
      </c>
      <c r="BC14" s="259">
        <f>+BC8-BC11</f>
        <v>640.11000000000013</v>
      </c>
      <c r="BD14" s="127"/>
      <c r="BE14" s="257">
        <f>+BE8-BE11</f>
        <v>180.62700000000001</v>
      </c>
      <c r="BF14" s="257">
        <f>+BF8-BF11</f>
        <v>205.21600000000001</v>
      </c>
      <c r="BG14" s="780">
        <f>+BG8-BG11</f>
        <v>209.202</v>
      </c>
      <c r="BH14" s="257">
        <f>+BH8-BH11</f>
        <v>220.60899999999998</v>
      </c>
      <c r="BI14" s="259">
        <f>+BI8-BI11</f>
        <v>815.654</v>
      </c>
      <c r="BJ14" s="127"/>
      <c r="BK14" s="257">
        <f>+BK8-BK11</f>
        <v>235.625</v>
      </c>
      <c r="BL14" s="257">
        <f>+BL8-BL11</f>
        <v>270.91700000000003</v>
      </c>
      <c r="BM14" s="780">
        <f>+BM8-BM11</f>
        <v>292.488</v>
      </c>
      <c r="BN14" s="257">
        <f>+BN8-BN11</f>
        <v>317.91699999999997</v>
      </c>
      <c r="BO14" s="259">
        <f>+BO8-BO11</f>
        <v>1116.9470000000001</v>
      </c>
      <c r="BP14" s="127"/>
      <c r="BQ14" s="257">
        <f>+BQ8-BQ11</f>
        <v>327.40799999999996</v>
      </c>
      <c r="BR14" s="257">
        <f>+BR8-BR11</f>
        <v>365.97175393843895</v>
      </c>
      <c r="BS14" s="257">
        <f>+BS8-BS11</f>
        <v>375.51263903840788</v>
      </c>
      <c r="BT14" s="257">
        <f>+BT8-BT11</f>
        <v>408.902744779866</v>
      </c>
      <c r="BU14" s="259">
        <f>+BU8-BU11</f>
        <v>1477.7951377567126</v>
      </c>
      <c r="BV14" s="127"/>
      <c r="BW14" s="257">
        <f>+BW8-BW11</f>
        <v>404.36202105990617</v>
      </c>
      <c r="BX14" s="257">
        <f>+BX8-BX11</f>
        <v>466.10109087633458</v>
      </c>
      <c r="BY14" s="257">
        <f>+BY8-BY11</f>
        <v>473.76104494150547</v>
      </c>
      <c r="BZ14" s="257">
        <f>+BZ8-BZ11</f>
        <v>513.42154011975265</v>
      </c>
      <c r="CA14" s="259">
        <f>+CA8-CA11</f>
        <v>1857.645696997499</v>
      </c>
      <c r="CB14" s="127"/>
      <c r="CC14" s="257">
        <f>+CC8-CC11</f>
        <v>483.39213216807667</v>
      </c>
      <c r="CD14" s="257">
        <f>+CD8-CD11</f>
        <v>550.07707145943198</v>
      </c>
      <c r="CE14" s="257">
        <f>+CE8-CE11</f>
        <v>558.45610612702376</v>
      </c>
      <c r="CF14" s="257">
        <f>+CF8-CF11</f>
        <v>600.44772592375898</v>
      </c>
      <c r="CG14" s="259">
        <f>+CG8-CG11</f>
        <v>2192.3730356782917</v>
      </c>
      <c r="CH14" s="258"/>
      <c r="CI14" s="258"/>
      <c r="CQ14" s="133"/>
      <c r="CR14" s="133"/>
      <c r="CS14" s="133"/>
      <c r="CT14" s="77"/>
      <c r="CU14" s="160"/>
      <c r="CV14" s="77"/>
      <c r="CW14" s="36"/>
      <c r="CX14" s="36"/>
      <c r="CY14" s="36"/>
      <c r="CZ14" s="36"/>
      <c r="DA14" s="36"/>
      <c r="DB14" s="77"/>
      <c r="DC14" s="77"/>
      <c r="DD14" s="77"/>
      <c r="DE14" s="77"/>
    </row>
    <row r="15" spans="1:109" ht="12.75" hidden="1" customHeight="1" outlineLevel="1" x14ac:dyDescent="0.2">
      <c r="A15" s="42"/>
      <c r="B15" s="32" t="str">
        <f>+B12</f>
        <v>Clear Aligners</v>
      </c>
      <c r="C15" s="36"/>
      <c r="D15" s="36"/>
      <c r="E15" s="36"/>
      <c r="F15" s="36"/>
      <c r="G15" s="259"/>
      <c r="H15" s="127"/>
      <c r="I15" s="257"/>
      <c r="J15" s="257"/>
      <c r="K15" s="257"/>
      <c r="L15" s="257"/>
      <c r="M15" s="259"/>
      <c r="N15" s="127"/>
      <c r="O15" s="36"/>
      <c r="P15" s="36"/>
      <c r="Q15" s="36"/>
      <c r="R15" s="36"/>
      <c r="S15" s="96">
        <f t="shared" si="2"/>
        <v>0</v>
      </c>
      <c r="T15" s="127"/>
      <c r="U15" s="36">
        <f t="shared" ref="U15:X16" si="25">+U9-U12</f>
        <v>0</v>
      </c>
      <c r="V15" s="36">
        <f t="shared" si="25"/>
        <v>0</v>
      </c>
      <c r="W15" s="36">
        <f t="shared" si="25"/>
        <v>0</v>
      </c>
      <c r="X15" s="36">
        <f t="shared" si="25"/>
        <v>0</v>
      </c>
      <c r="Y15" s="96">
        <f>+SUM(U15:X15)</f>
        <v>0</v>
      </c>
      <c r="Z15" s="127"/>
      <c r="AA15" s="36">
        <f>AA14</f>
        <v>82.225999999999999</v>
      </c>
      <c r="AB15" s="36">
        <f>+AB14-AB16</f>
        <v>89.287999999999997</v>
      </c>
      <c r="AC15" s="36">
        <f>+AC9*0.786</f>
        <v>89.839799999999997</v>
      </c>
      <c r="AD15" s="36">
        <f>+AD9*0.787</f>
        <v>93.574300000000008</v>
      </c>
      <c r="AE15" s="405">
        <v>354.7</v>
      </c>
      <c r="AF15" s="127"/>
      <c r="AG15" s="41">
        <v>97.388999999999996</v>
      </c>
      <c r="AH15" s="41">
        <f>+AH9-28.052</f>
        <v>105.61700000000002</v>
      </c>
      <c r="AI15" s="41">
        <f>+AI9-28.391</f>
        <v>98.333999999999975</v>
      </c>
      <c r="AJ15" s="41">
        <f>+AJ9-28.229</f>
        <v>104.63000000000001</v>
      </c>
      <c r="AK15" s="96">
        <f>+SUM(AG15:AJ15)</f>
        <v>405.97</v>
      </c>
      <c r="AL15" s="127"/>
      <c r="AM15" s="41">
        <f>+AM9-32.245</f>
        <v>109.327</v>
      </c>
      <c r="AN15" s="41">
        <f>+AN9-33.179</f>
        <v>120.124</v>
      </c>
      <c r="AO15" s="41">
        <f>+AO9-30.887</f>
        <v>122.66299999999998</v>
      </c>
      <c r="AP15" s="41">
        <f>+AP9-33.503</f>
        <v>132.721</v>
      </c>
      <c r="AQ15" s="96">
        <f t="shared" si="5"/>
        <v>484.83499999999998</v>
      </c>
      <c r="AR15" s="127"/>
      <c r="AS15" s="41">
        <f>+AS9-35.156</f>
        <v>133.083</v>
      </c>
      <c r="AT15" s="41">
        <f>+AT9-38.032</f>
        <v>141.70299999999997</v>
      </c>
      <c r="AU15" s="41">
        <f>+AU9-37.021</f>
        <v>141.11700000000002</v>
      </c>
      <c r="AV15" s="41">
        <f>+AV9-39.451</f>
        <v>146.98600000000002</v>
      </c>
      <c r="AW15" s="96">
        <f>+SUM(AS15:AV15)</f>
        <v>562.88900000000001</v>
      </c>
      <c r="AX15" s="127"/>
      <c r="AY15" s="41">
        <f>187.029-39.069</f>
        <v>147.95999999999998</v>
      </c>
      <c r="AZ15" s="41">
        <f>200.8-43.48</f>
        <v>157.32000000000002</v>
      </c>
      <c r="BA15" s="41">
        <f>198.292-42.087</f>
        <v>156.20499999999998</v>
      </c>
      <c r="BB15" s="41">
        <f>214.048-47.363</f>
        <v>166.685</v>
      </c>
      <c r="BC15" s="96">
        <f>+SUM(AY15:BB15)</f>
        <v>628.16999999999996</v>
      </c>
      <c r="BD15" s="127"/>
      <c r="BE15" s="41">
        <f>219.698-47.631</f>
        <v>172.06700000000001</v>
      </c>
      <c r="BF15" s="41">
        <f>243.436-52.11</f>
        <v>191.32600000000002</v>
      </c>
      <c r="BG15" s="778">
        <f>243.668-54.398</f>
        <v>189.27</v>
      </c>
      <c r="BH15" s="778">
        <f>251.525-56.694</f>
        <v>194.83100000000002</v>
      </c>
      <c r="BI15" s="96">
        <f>+SUM(BE15:BH15)</f>
        <v>747.49400000000003</v>
      </c>
      <c r="BJ15" s="127"/>
      <c r="BK15" s="638">
        <f>+BK9-62.452</f>
        <v>219.947</v>
      </c>
      <c r="BL15" s="638">
        <f>+BL9-70.222</f>
        <v>250.81400000000002</v>
      </c>
      <c r="BM15" s="778">
        <f>+BM9-75.326</f>
        <v>266.28499999999997</v>
      </c>
      <c r="BN15" s="778">
        <f>+BN9-81.699</f>
        <v>282.517</v>
      </c>
      <c r="BO15" s="96">
        <f>+SUM(BK15:BN15)</f>
        <v>1019.5630000000001</v>
      </c>
      <c r="BP15" s="127"/>
      <c r="BQ15" s="638">
        <f>+BQ9-88.529</f>
        <v>296.976</v>
      </c>
      <c r="BR15" s="36">
        <f t="shared" ref="BR15:BT16" si="26">+BR9*BR48</f>
        <v>336.42199127750621</v>
      </c>
      <c r="BS15" s="36">
        <f t="shared" si="26"/>
        <v>342.41128864905767</v>
      </c>
      <c r="BT15" s="36">
        <f t="shared" si="26"/>
        <v>364.67266859304789</v>
      </c>
      <c r="BU15" s="96">
        <f>+SUM(BQ15:BT15)</f>
        <v>1340.4819485196117</v>
      </c>
      <c r="BV15" s="127"/>
      <c r="BW15" s="36">
        <f t="shared" ref="BW15:BZ16" si="27">+BW9*BW48</f>
        <v>368.04428955909907</v>
      </c>
      <c r="BX15" s="36">
        <f t="shared" si="27"/>
        <v>430.79416346732717</v>
      </c>
      <c r="BY15" s="36">
        <f t="shared" si="27"/>
        <v>434.65370635644945</v>
      </c>
      <c r="BZ15" s="36">
        <f t="shared" si="27"/>
        <v>462.3436903036536</v>
      </c>
      <c r="CA15" s="96">
        <f>+SUM(BW15:BZ15)</f>
        <v>1695.8358496865294</v>
      </c>
      <c r="CB15" s="127"/>
      <c r="CC15" s="36">
        <f t="shared" ref="CC15:CF16" si="28">+CC9*CC48</f>
        <v>440.86766460736953</v>
      </c>
      <c r="CD15" s="36">
        <f t="shared" si="28"/>
        <v>508.68287954012857</v>
      </c>
      <c r="CE15" s="36">
        <f t="shared" si="28"/>
        <v>513.0126004269955</v>
      </c>
      <c r="CF15" s="36">
        <f t="shared" si="28"/>
        <v>542.20816088883498</v>
      </c>
      <c r="CG15" s="96">
        <f>+SUM(CC15:CF15)</f>
        <v>2004.7713054633286</v>
      </c>
      <c r="CH15" s="36"/>
      <c r="CI15" s="36"/>
      <c r="CP15" s="494"/>
      <c r="CQ15" s="133"/>
      <c r="CR15" s="133"/>
      <c r="CS15" s="133"/>
      <c r="CT15" s="77"/>
      <c r="CU15" s="839"/>
      <c r="CV15" s="393"/>
      <c r="CW15" s="295"/>
      <c r="CX15" s="295"/>
      <c r="CY15" s="295"/>
      <c r="CZ15" s="295"/>
      <c r="DA15" s="295"/>
      <c r="DB15" s="77"/>
      <c r="DC15" s="77"/>
      <c r="DD15" s="77"/>
      <c r="DE15" s="77"/>
    </row>
    <row r="16" spans="1:109" ht="12.75" hidden="1" customHeight="1" outlineLevel="1" x14ac:dyDescent="0.2">
      <c r="A16" s="42"/>
      <c r="B16" s="32" t="str">
        <f>+B13</f>
        <v>Scanners/CADCAM</v>
      </c>
      <c r="C16" s="36"/>
      <c r="D16" s="36"/>
      <c r="E16" s="36"/>
      <c r="F16" s="36"/>
      <c r="G16" s="259"/>
      <c r="H16" s="127"/>
      <c r="I16" s="257"/>
      <c r="J16" s="257"/>
      <c r="K16" s="257"/>
      <c r="L16" s="257"/>
      <c r="M16" s="259"/>
      <c r="N16" s="127"/>
      <c r="O16" s="36"/>
      <c r="P16" s="36"/>
      <c r="Q16" s="36"/>
      <c r="R16" s="36"/>
      <c r="S16" s="96">
        <f t="shared" si="2"/>
        <v>0</v>
      </c>
      <c r="T16" s="127"/>
      <c r="U16" s="36">
        <f t="shared" si="25"/>
        <v>0</v>
      </c>
      <c r="V16" s="36">
        <f t="shared" si="25"/>
        <v>0</v>
      </c>
      <c r="W16" s="36">
        <f t="shared" si="25"/>
        <v>0</v>
      </c>
      <c r="X16" s="36">
        <f t="shared" si="25"/>
        <v>0</v>
      </c>
      <c r="Y16" s="96">
        <f>+SUM(U16:X16)</f>
        <v>0</v>
      </c>
      <c r="Z16" s="127"/>
      <c r="AA16" s="36">
        <v>0</v>
      </c>
      <c r="AB16" s="36">
        <f>+AE16-AC16-AD16-AA16</f>
        <v>2.0890000000000004</v>
      </c>
      <c r="AC16" s="36">
        <f>+AC10*0.215</f>
        <v>2.4940000000000002</v>
      </c>
      <c r="AD16" s="36">
        <f>+AD10*0.2</f>
        <v>2</v>
      </c>
      <c r="AE16" s="405">
        <v>6.5830000000000002</v>
      </c>
      <c r="AF16" s="127"/>
      <c r="AG16" s="41">
        <v>3.371</v>
      </c>
      <c r="AH16" s="41">
        <f>+AH14-AH15</f>
        <v>3.6219999999999857</v>
      </c>
      <c r="AI16" s="41">
        <f>+AI14-AI15</f>
        <v>2.3230000000000359</v>
      </c>
      <c r="AJ16" s="41">
        <f>+AJ14-AJ15</f>
        <v>2.0489999999999924</v>
      </c>
      <c r="AK16" s="96">
        <f>+SUM(AG16:AJ16)</f>
        <v>11.365000000000014</v>
      </c>
      <c r="AL16" s="127"/>
      <c r="AM16" s="41">
        <f>+AM14-AM15</f>
        <v>3.5220000000000198</v>
      </c>
      <c r="AN16" s="41">
        <f>+AN14-AN15</f>
        <v>3.5670000000000073</v>
      </c>
      <c r="AO16" s="41">
        <f>+AO14-AO15</f>
        <v>2.4270000000000209</v>
      </c>
      <c r="AP16" s="41">
        <f>+AP14-AP15</f>
        <v>3.7549999999999955</v>
      </c>
      <c r="AQ16" s="96">
        <f t="shared" si="5"/>
        <v>13.271000000000043</v>
      </c>
      <c r="AR16" s="127"/>
      <c r="AS16" s="41">
        <f>+AS14-AS15</f>
        <v>4.1679999999999779</v>
      </c>
      <c r="AT16" s="41">
        <f>+AT14-AT15</f>
        <v>3.7730000000000246</v>
      </c>
      <c r="AU16" s="41">
        <f>+AU14-AU15</f>
        <v>3.9369999999999834</v>
      </c>
      <c r="AV16" s="41">
        <f>+AV14-AV15</f>
        <v>3.6759999999999593</v>
      </c>
      <c r="AW16" s="96">
        <f>+SUM(AS16:AV16)</f>
        <v>15.553999999999945</v>
      </c>
      <c r="AX16" s="127"/>
      <c r="AY16" s="41">
        <f>11.057-7.927</f>
        <v>3.1300000000000008</v>
      </c>
      <c r="AZ16" s="41">
        <f>8.671-7.374</f>
        <v>1.2969999999999997</v>
      </c>
      <c r="BA16" s="41">
        <f>9.344-7.973</f>
        <v>1.3709999999999996</v>
      </c>
      <c r="BB16" s="41">
        <f>16.228-10.103</f>
        <v>6.1250000000000018</v>
      </c>
      <c r="BC16" s="96">
        <f>+SUM(AY16:BB16)</f>
        <v>11.923000000000002</v>
      </c>
      <c r="BD16" s="127"/>
      <c r="BE16" s="41">
        <f>19.022-10.462</f>
        <v>8.5599999999999987</v>
      </c>
      <c r="BF16" s="41">
        <f>25.926-12.036</f>
        <v>13.889999999999999</v>
      </c>
      <c r="BG16" s="778">
        <f>34.921-14.989</f>
        <v>19.931999999999999</v>
      </c>
      <c r="BH16" s="778">
        <f>41.678-16.26</f>
        <v>25.417999999999996</v>
      </c>
      <c r="BI16" s="96">
        <f>+SUM(BE16:BH16)</f>
        <v>67.799999999999983</v>
      </c>
      <c r="BJ16" s="127"/>
      <c r="BK16" s="638">
        <f>+BK10-12.264</f>
        <v>15.678000000000008</v>
      </c>
      <c r="BL16" s="638">
        <f>+BL10-15.343</f>
        <v>20.103000000000026</v>
      </c>
      <c r="BM16" s="638">
        <f>+BM10-17.453</f>
        <v>26.203000000000007</v>
      </c>
      <c r="BN16" s="638">
        <f>+BN10-21.707</f>
        <v>35.39999999999997</v>
      </c>
      <c r="BO16" s="96">
        <f>+SUM(BK16:BN16)</f>
        <v>97.384000000000015</v>
      </c>
      <c r="BP16" s="127"/>
      <c r="BQ16" s="638">
        <f>+BQ10-20.987</f>
        <v>30.431999999999984</v>
      </c>
      <c r="BR16" s="36">
        <f t="shared" si="26"/>
        <v>29.549762660932718</v>
      </c>
      <c r="BS16" s="36">
        <f t="shared" si="26"/>
        <v>33.101350389350237</v>
      </c>
      <c r="BT16" s="36">
        <f t="shared" si="26"/>
        <v>44.230076186818096</v>
      </c>
      <c r="BU16" s="96">
        <f>+SUM(BQ16:BT16)</f>
        <v>137.31318923710103</v>
      </c>
      <c r="BV16" s="127"/>
      <c r="BW16" s="36">
        <f t="shared" si="27"/>
        <v>36.317731500807085</v>
      </c>
      <c r="BX16" s="36">
        <f t="shared" si="27"/>
        <v>35.306927409007365</v>
      </c>
      <c r="BY16" s="36">
        <f t="shared" si="27"/>
        <v>39.107338585056105</v>
      </c>
      <c r="BZ16" s="36">
        <f t="shared" si="27"/>
        <v>51.077849816099103</v>
      </c>
      <c r="CA16" s="96">
        <f>+SUM(BW16:BZ16)</f>
        <v>161.80984731096967</v>
      </c>
      <c r="CB16" s="127"/>
      <c r="CC16" s="36">
        <f t="shared" si="28"/>
        <v>42.524467560707123</v>
      </c>
      <c r="CD16" s="36">
        <f t="shared" si="28"/>
        <v>41.394191919303417</v>
      </c>
      <c r="CE16" s="36">
        <f t="shared" si="28"/>
        <v>45.44350570002819</v>
      </c>
      <c r="CF16" s="36">
        <f t="shared" si="28"/>
        <v>58.239565034924055</v>
      </c>
      <c r="CG16" s="96">
        <f>+SUM(CC16:CF16)</f>
        <v>187.6017302149628</v>
      </c>
      <c r="CH16" s="36"/>
      <c r="CI16" s="36"/>
      <c r="CP16" s="494"/>
      <c r="CQ16" s="133"/>
      <c r="CR16" s="133"/>
      <c r="CS16" s="133"/>
      <c r="CT16" s="77"/>
      <c r="CU16" s="160"/>
      <c r="CV16" s="77"/>
      <c r="CW16" s="36"/>
      <c r="CX16" s="36"/>
      <c r="CY16" s="36"/>
      <c r="CZ16" s="36"/>
      <c r="DA16" s="36"/>
      <c r="DB16" s="77"/>
      <c r="DC16" s="77"/>
      <c r="DD16" s="77"/>
      <c r="DE16" s="77"/>
    </row>
    <row r="17" spans="1:109" ht="3" customHeight="1" collapsed="1" x14ac:dyDescent="0.2">
      <c r="A17" s="42"/>
      <c r="B17" s="334"/>
      <c r="C17" s="257"/>
      <c r="D17" s="257"/>
      <c r="E17" s="257"/>
      <c r="F17" s="257"/>
      <c r="G17" s="259"/>
      <c r="H17" s="127"/>
      <c r="I17" s="257"/>
      <c r="J17" s="257"/>
      <c r="K17" s="257"/>
      <c r="L17" s="257"/>
      <c r="M17" s="259"/>
      <c r="N17" s="127"/>
      <c r="O17" s="257"/>
      <c r="P17" s="257"/>
      <c r="Q17" s="257"/>
      <c r="R17" s="257"/>
      <c r="S17" s="259"/>
      <c r="T17" s="127"/>
      <c r="U17" s="257"/>
      <c r="V17" s="257"/>
      <c r="W17" s="257"/>
      <c r="X17" s="257"/>
      <c r="Y17" s="259"/>
      <c r="Z17" s="127"/>
      <c r="AA17" s="257"/>
      <c r="AB17" s="257"/>
      <c r="AC17" s="257"/>
      <c r="AD17" s="257"/>
      <c r="AE17" s="259"/>
      <c r="AF17" s="127"/>
      <c r="AG17" s="257"/>
      <c r="AH17" s="257"/>
      <c r="AI17" s="257"/>
      <c r="AJ17" s="257"/>
      <c r="AK17" s="259"/>
      <c r="AL17" s="127"/>
      <c r="AM17" s="257"/>
      <c r="AN17" s="258"/>
      <c r="AO17" s="258"/>
      <c r="AP17" s="257"/>
      <c r="AQ17" s="259"/>
      <c r="AR17" s="127"/>
      <c r="AS17" s="257"/>
      <c r="AT17" s="258"/>
      <c r="AU17" s="258"/>
      <c r="AV17" s="258"/>
      <c r="AW17" s="259"/>
      <c r="AX17" s="127"/>
      <c r="AY17" s="257"/>
      <c r="AZ17" s="257"/>
      <c r="BA17" s="257"/>
      <c r="BB17" s="258"/>
      <c r="BC17" s="259"/>
      <c r="BD17" s="127"/>
      <c r="BE17" s="257"/>
      <c r="BF17" s="258"/>
      <c r="BG17" s="781"/>
      <c r="BH17" s="258"/>
      <c r="BI17" s="259"/>
      <c r="BJ17" s="127"/>
      <c r="BK17" s="258"/>
      <c r="BL17" s="258"/>
      <c r="BM17" s="781"/>
      <c r="BN17" s="781"/>
      <c r="BO17" s="259"/>
      <c r="BP17" s="127"/>
      <c r="BQ17" s="258"/>
      <c r="BR17" s="258"/>
      <c r="BS17" s="258"/>
      <c r="BT17" s="258"/>
      <c r="BU17" s="259"/>
      <c r="BV17" s="127"/>
      <c r="BW17" s="258"/>
      <c r="BX17" s="258"/>
      <c r="BY17" s="258"/>
      <c r="BZ17" s="258"/>
      <c r="CA17" s="259"/>
      <c r="CB17" s="127"/>
      <c r="CC17" s="258"/>
      <c r="CD17" s="258"/>
      <c r="CE17" s="258"/>
      <c r="CF17" s="258"/>
      <c r="CG17" s="259"/>
      <c r="CH17" s="258"/>
      <c r="CI17" s="258"/>
      <c r="CP17" s="494"/>
      <c r="CQ17" s="133"/>
      <c r="CR17" s="133"/>
      <c r="CS17" s="133"/>
      <c r="CT17" s="77"/>
      <c r="CU17" s="77"/>
      <c r="CV17" s="77"/>
      <c r="CW17" s="77"/>
      <c r="CX17" s="77"/>
      <c r="CY17" s="77"/>
      <c r="CZ17" s="77"/>
      <c r="DA17" s="77"/>
      <c r="DB17" s="77"/>
      <c r="DC17" s="77"/>
      <c r="DD17" s="77"/>
      <c r="DE17" s="77"/>
    </row>
    <row r="18" spans="1:109" x14ac:dyDescent="0.2">
      <c r="A18" s="42"/>
      <c r="B18" s="32" t="s">
        <v>298</v>
      </c>
      <c r="C18" s="41">
        <v>23.15</v>
      </c>
      <c r="D18" s="41">
        <v>24.353000000000002</v>
      </c>
      <c r="E18" s="41">
        <v>24.225999999999999</v>
      </c>
      <c r="F18" s="41">
        <f>98.231-SUM(C18:E18)</f>
        <v>26.501999999999995</v>
      </c>
      <c r="G18" s="96">
        <f>+SUM(C18:F18)</f>
        <v>98.230999999999995</v>
      </c>
      <c r="H18" s="336"/>
      <c r="I18" s="41">
        <v>28.059000000000001</v>
      </c>
      <c r="J18" s="41">
        <v>32.463999999999999</v>
      </c>
      <c r="K18" s="41">
        <v>28.213999999999999</v>
      </c>
      <c r="L18" s="41">
        <f>115.062-SUM(I18:K18)</f>
        <v>26.325000000000003</v>
      </c>
      <c r="M18" s="96">
        <f>+SUM(I18:L18)</f>
        <v>115.062</v>
      </c>
      <c r="N18" s="336"/>
      <c r="O18" s="41">
        <v>27.853999999999999</v>
      </c>
      <c r="P18" s="41">
        <v>29.108000000000001</v>
      </c>
      <c r="Q18" s="41">
        <v>27.687000000000001</v>
      </c>
      <c r="R18" s="41">
        <f>112.542-SUM(O18:Q18)</f>
        <v>27.893000000000001</v>
      </c>
      <c r="S18" s="96">
        <f>+SUM(O18:R18)</f>
        <v>112.542</v>
      </c>
      <c r="T18" s="336"/>
      <c r="U18" s="41">
        <v>27.946000000000002</v>
      </c>
      <c r="V18" s="41">
        <v>28.939</v>
      </c>
      <c r="W18" s="41">
        <v>26.905000000000001</v>
      </c>
      <c r="X18" s="41">
        <f>114.013-SUM(U18:W18)</f>
        <v>30.222999999999999</v>
      </c>
      <c r="Y18" s="96">
        <f>+SUM(U18:X18)</f>
        <v>114.01300000000001</v>
      </c>
      <c r="Z18" s="336"/>
      <c r="AA18" s="41">
        <f>32.821</f>
        <v>32.820999999999998</v>
      </c>
      <c r="AB18" s="41">
        <v>38.585999999999999</v>
      </c>
      <c r="AC18" s="41">
        <v>34.655000000000001</v>
      </c>
      <c r="AD18" s="41">
        <v>36.112000000000002</v>
      </c>
      <c r="AE18" s="96">
        <f>+SUM(AA18:AD18)</f>
        <v>142.17400000000001</v>
      </c>
      <c r="AF18" s="336"/>
      <c r="AG18" s="41">
        <v>38.429000000000002</v>
      </c>
      <c r="AH18" s="41">
        <v>38.908000000000001</v>
      </c>
      <c r="AI18" s="41">
        <v>36.287999999999997</v>
      </c>
      <c r="AJ18" s="41">
        <v>37.768999999999998</v>
      </c>
      <c r="AK18" s="96">
        <f>+SUM(AG18:AJ18)</f>
        <v>151.39400000000001</v>
      </c>
      <c r="AL18" s="336"/>
      <c r="AM18" s="41">
        <v>42.280999999999999</v>
      </c>
      <c r="AN18" s="41">
        <v>47.847000000000001</v>
      </c>
      <c r="AO18" s="41">
        <v>45.223999999999997</v>
      </c>
      <c r="AP18" s="41">
        <v>44.694000000000003</v>
      </c>
      <c r="AQ18" s="96">
        <f>+SUM(AM18:AP18)</f>
        <v>180.04599999999999</v>
      </c>
      <c r="AR18" s="336"/>
      <c r="AS18" s="41">
        <v>52.887999999999998</v>
      </c>
      <c r="AT18" s="41">
        <v>56.386000000000003</v>
      </c>
      <c r="AU18" s="41">
        <v>52.368000000000002</v>
      </c>
      <c r="AV18" s="41">
        <v>55.62</v>
      </c>
      <c r="AW18" s="96">
        <f>+SUM(AS18:AV18)</f>
        <v>217.262</v>
      </c>
      <c r="AX18" s="336"/>
      <c r="AY18" s="41">
        <f>88.281*(AV18/SUM($AV$18:$AV$19))</f>
        <v>57.166349062205299</v>
      </c>
      <c r="AZ18" s="41">
        <f>100.625*(AV18/SUM($AV$18:$AV$19))</f>
        <v>65.159704516083963</v>
      </c>
      <c r="BA18" s="41">
        <f>101.751*(AV18/SUM($AV$18:$AV$19))</f>
        <v>65.888845656805557</v>
      </c>
      <c r="BB18" s="41">
        <f>99.582*(AV18/SUM($AV$18:$AV$19))</f>
        <v>64.484310013621581</v>
      </c>
      <c r="BC18" s="96">
        <f>+SUM(AY18:BB18)</f>
        <v>252.69920924871641</v>
      </c>
      <c r="BD18" s="336"/>
      <c r="BE18" s="41">
        <f>112.21*(AV18/SUM($AV$18:$AV$19))</f>
        <v>72.661569627327012</v>
      </c>
      <c r="BF18" s="41">
        <f>121.467*(BE18/SUM(BE18:BE19))</f>
        <v>78.655938667877479</v>
      </c>
      <c r="BG18" s="778">
        <f>126.708*(BF18/SUM(BF18:BF19))</f>
        <v>82.049747476511484</v>
      </c>
      <c r="BH18" s="778">
        <f>130.268*(BG18/SUM(BG18:BG19))</f>
        <v>84.355024972931446</v>
      </c>
      <c r="BI18" s="96">
        <f>+SUM(BE18:BH18)</f>
        <v>317.72228074464743</v>
      </c>
      <c r="BJ18" s="336"/>
      <c r="BK18" s="848">
        <f>151.148*(BH18/SUM($BH$18:$BH$19))</f>
        <v>97.875866019349658</v>
      </c>
      <c r="BL18" s="41">
        <f>162.964*(BK18/SUM(BK18:BK19))</f>
        <v>105.5273151479166</v>
      </c>
      <c r="BM18" s="778">
        <f>169.524*(BL18/SUM(BL18:BL19))</f>
        <v>109.77524221997136</v>
      </c>
      <c r="BN18" s="778">
        <f>182.141*(BM18/SUM(BM18:BM19))</f>
        <v>117.94537878523279</v>
      </c>
      <c r="BO18" s="96">
        <f>+SUM(BK18:BN18)</f>
        <v>431.12380217247039</v>
      </c>
      <c r="BP18" s="336"/>
      <c r="BQ18" s="848">
        <f>199.625*70%</f>
        <v>139.73749999999998</v>
      </c>
      <c r="BR18" s="36">
        <f>+BR8*BR50</f>
        <v>154.0489147248631</v>
      </c>
      <c r="BS18" s="36">
        <f>+BS8*BS50</f>
        <v>142.74917833284997</v>
      </c>
      <c r="BT18" s="36">
        <f>+BT8*BT50</f>
        <v>151.24199326115482</v>
      </c>
      <c r="BU18" s="96">
        <f>+SUM(BQ18:BT18)</f>
        <v>587.77758631886786</v>
      </c>
      <c r="BV18" s="336"/>
      <c r="BW18" s="36">
        <f>+BW8*BW50</f>
        <v>167.85218499328556</v>
      </c>
      <c r="BX18" s="36">
        <f>+BX8*BX50</f>
        <v>190.42588576061701</v>
      </c>
      <c r="BY18" s="36">
        <f>+BY8*BY50</f>
        <v>174.63809267103289</v>
      </c>
      <c r="BZ18" s="36">
        <f>+BZ8*BZ50</f>
        <v>185.02860080057741</v>
      </c>
      <c r="CA18" s="96">
        <f>+SUM(BW18:BZ18)</f>
        <v>717.94476422551293</v>
      </c>
      <c r="CB18" s="336"/>
      <c r="CC18" s="36">
        <f>+CC8*CC50</f>
        <v>195.77679878319611</v>
      </c>
      <c r="CD18" s="36">
        <f>+CD8*CD50</f>
        <v>219.73194350087186</v>
      </c>
      <c r="CE18" s="36">
        <f>+CE8*CE50</f>
        <v>200.81430323062227</v>
      </c>
      <c r="CF18" s="36">
        <f>+CF8*CF50</f>
        <v>211.44042229390269</v>
      </c>
      <c r="CG18" s="96">
        <f>+SUM(CC18:CF18)</f>
        <v>827.76346780859285</v>
      </c>
      <c r="CH18" s="36"/>
      <c r="CI18" s="36"/>
      <c r="CT18" s="77"/>
      <c r="CU18" s="839"/>
      <c r="CV18" s="393"/>
      <c r="CW18" s="840"/>
      <c r="CX18" s="840"/>
      <c r="CY18" s="840"/>
      <c r="CZ18" s="840"/>
      <c r="DA18" s="840"/>
      <c r="DB18" s="77"/>
      <c r="DC18" s="77"/>
      <c r="DD18" s="77"/>
      <c r="DE18" s="77"/>
    </row>
    <row r="19" spans="1:109" ht="12.75" customHeight="1" x14ac:dyDescent="0.2">
      <c r="A19" s="42"/>
      <c r="B19" s="32" t="s">
        <v>127</v>
      </c>
      <c r="C19" s="41">
        <f>12.185-1.796</f>
        <v>10.389000000000001</v>
      </c>
      <c r="D19" s="41">
        <v>11.88</v>
      </c>
      <c r="E19" s="41">
        <v>13.949</v>
      </c>
      <c r="F19" s="41">
        <f>53.28-1.796-SUM(C19:E19)</f>
        <v>15.265999999999998</v>
      </c>
      <c r="G19" s="96">
        <f>+SUM(C19:F19)</f>
        <v>51.484000000000002</v>
      </c>
      <c r="H19" s="336"/>
      <c r="I19" s="41">
        <v>15.188000000000001</v>
      </c>
      <c r="J19" s="41">
        <v>16.321999999999999</v>
      </c>
      <c r="K19" s="41">
        <v>14.395</v>
      </c>
      <c r="L19" s="41">
        <f>62.154-SUM(I19:K19)</f>
        <v>16.249000000000002</v>
      </c>
      <c r="M19" s="96">
        <f>+SUM(I19:L19)</f>
        <v>62.154000000000003</v>
      </c>
      <c r="N19" s="336"/>
      <c r="O19" s="41">
        <v>13.468</v>
      </c>
      <c r="P19" s="41">
        <v>16.539000000000001</v>
      </c>
      <c r="Q19" s="41">
        <v>16.224</v>
      </c>
      <c r="R19" s="41">
        <f>61.718-SUM(O19:Q19)</f>
        <v>15.487000000000002</v>
      </c>
      <c r="S19" s="96">
        <f>+SUM(O19:R19)</f>
        <v>61.718000000000004</v>
      </c>
      <c r="T19" s="336"/>
      <c r="U19" s="41">
        <v>14.951000000000001</v>
      </c>
      <c r="V19" s="41">
        <v>15.005000000000001</v>
      </c>
      <c r="W19" s="41">
        <v>16.202999999999999</v>
      </c>
      <c r="X19" s="41">
        <f>64.79-SUM(U19:W19)</f>
        <v>18.631</v>
      </c>
      <c r="Y19" s="96">
        <f>+SUM(U19:X19)</f>
        <v>64.790000000000006</v>
      </c>
      <c r="Z19" s="336"/>
      <c r="AA19" s="41">
        <f>18.992-1.481</f>
        <v>17.510999999999999</v>
      </c>
      <c r="AB19" s="41">
        <f>26.094+-5.85</f>
        <v>20.244</v>
      </c>
      <c r="AC19" s="41">
        <f>21.609-1.296-0.072</f>
        <v>20.241000000000003</v>
      </c>
      <c r="AD19" s="41">
        <f>22.457-1.005-0.256</f>
        <v>21.196000000000002</v>
      </c>
      <c r="AE19" s="96">
        <f>+SUM(AA19:AD19)</f>
        <v>79.191999999999993</v>
      </c>
      <c r="AF19" s="336"/>
      <c r="AG19" s="41">
        <v>22.396999999999998</v>
      </c>
      <c r="AH19" s="41">
        <v>22.132999999999999</v>
      </c>
      <c r="AI19" s="41">
        <v>23.872</v>
      </c>
      <c r="AJ19" s="41">
        <v>27.166</v>
      </c>
      <c r="AK19" s="96">
        <f>+SUM(AG19:AJ19)</f>
        <v>95.567999999999998</v>
      </c>
      <c r="AL19" s="336"/>
      <c r="AM19" s="41">
        <v>30.347999999999999</v>
      </c>
      <c r="AN19" s="41">
        <v>27.027000000000001</v>
      </c>
      <c r="AO19" s="41">
        <v>27.486999999999998</v>
      </c>
      <c r="AP19" s="41">
        <v>27.888999999999999</v>
      </c>
      <c r="AQ19" s="96">
        <f>+SUM(AM19:AP19)</f>
        <v>112.75099999999999</v>
      </c>
      <c r="AR19" s="336"/>
      <c r="AS19" s="41">
        <v>29.178999999999998</v>
      </c>
      <c r="AT19" s="41">
        <v>27.068999999999999</v>
      </c>
      <c r="AU19" s="41">
        <v>28.285</v>
      </c>
      <c r="AV19" s="41">
        <v>30.273</v>
      </c>
      <c r="AW19" s="96">
        <f>+SUM(AS19:AV19)</f>
        <v>114.806</v>
      </c>
      <c r="AX19" s="336"/>
      <c r="AY19" s="41">
        <f>88.281*(AV19/SUM($AV$18:$AV$19))+81.824*0.06</f>
        <v>36.024090937794696</v>
      </c>
      <c r="AZ19" s="41">
        <f>100.625*(AV19/SUM($AV$18:$AV$19))</f>
        <v>35.465295483916037</v>
      </c>
      <c r="BA19" s="41">
        <f>101.751*(AV19/SUM($AV$18:$AV$19))</f>
        <v>35.86215434319444</v>
      </c>
      <c r="BB19" s="41">
        <f>99.582*(AV19/SUM($AV$18:$AV$19))</f>
        <v>35.097689986378398</v>
      </c>
      <c r="BC19" s="96">
        <f>+SUM(AY19:BB19)</f>
        <v>142.44923075128355</v>
      </c>
      <c r="BD19" s="336"/>
      <c r="BE19" s="41">
        <f>112.21*(AV19/SUM($AV$18:$AV$19))</f>
        <v>39.548430372672975</v>
      </c>
      <c r="BF19" s="41">
        <f>121.467-BF18</f>
        <v>42.81106133212252</v>
      </c>
      <c r="BG19" s="778">
        <f>126.708-BG18</f>
        <v>44.658252523488514</v>
      </c>
      <c r="BH19" s="778">
        <f>130.268-BH18</f>
        <v>45.912975027068555</v>
      </c>
      <c r="BI19" s="96">
        <f>+SUM(BE19:BH19)</f>
        <v>172.93071925535256</v>
      </c>
      <c r="BJ19" s="336"/>
      <c r="BK19" s="778">
        <f>151.148-BK18</f>
        <v>53.272133980650338</v>
      </c>
      <c r="BL19" s="41">
        <f>162.964-BL18</f>
        <v>57.436684852083403</v>
      </c>
      <c r="BM19" s="778">
        <f>169.524-BM18</f>
        <v>59.74875778002864</v>
      </c>
      <c r="BN19" s="778">
        <f>182.141-BN18</f>
        <v>64.195621214767201</v>
      </c>
      <c r="BO19" s="96">
        <f>+SUM(BK19:BN19)</f>
        <v>234.6531978275296</v>
      </c>
      <c r="BP19" s="336"/>
      <c r="BQ19" s="778">
        <f>199.625-BQ18</f>
        <v>59.887500000000017</v>
      </c>
      <c r="BR19" s="36">
        <f>+BR$8*(BR51+BR52)</f>
        <v>67.396400192127615</v>
      </c>
      <c r="BS19" s="36">
        <f>+BS$8*(BS51+BS52)</f>
        <v>74.861620252441853</v>
      </c>
      <c r="BT19" s="36">
        <f>+BT$8*(BT51+BT52)</f>
        <v>80.680452833601024</v>
      </c>
      <c r="BU19" s="96">
        <f>+SUM(BQ19:BT19)</f>
        <v>282.82597327817052</v>
      </c>
      <c r="BV19" s="336"/>
      <c r="BW19" s="36">
        <f>+BW$8*(BW51+BW52)</f>
        <v>71.028420064637913</v>
      </c>
      <c r="BX19" s="36">
        <f>+BX$8*(BX51+BX52)</f>
        <v>82.297622552695685</v>
      </c>
      <c r="BY19" s="36">
        <f>+BY$8*(BY51+BY52)</f>
        <v>90.716899304008578</v>
      </c>
      <c r="BZ19" s="36">
        <f>+BZ$8*(BZ51+BZ52)</f>
        <v>97.769087198614955</v>
      </c>
      <c r="CA19" s="96">
        <f>+SUM(BW19:BZ19)</f>
        <v>341.81202911995712</v>
      </c>
      <c r="CB19" s="336"/>
      <c r="CC19" s="36">
        <f>+CC$8*(CC51+CC52)</f>
        <v>81.765433228933375</v>
      </c>
      <c r="CD19" s="36">
        <f>+CD$8*(CD51+CD52)</f>
        <v>93.770956780626847</v>
      </c>
      <c r="CE19" s="36">
        <f>+CE$8*(CE51+CE52)</f>
        <v>103.29493686257992</v>
      </c>
      <c r="CF19" s="36">
        <f>+CF$8*(CF51+CF52)</f>
        <v>110.63331632998208</v>
      </c>
      <c r="CG19" s="96">
        <f>+SUM(CC19:CF19)</f>
        <v>389.46464320212226</v>
      </c>
      <c r="CH19" s="36"/>
      <c r="CI19" s="36"/>
      <c r="CP19" s="46"/>
      <c r="CQ19" s="42"/>
      <c r="CR19" s="42"/>
      <c r="CS19" s="42"/>
      <c r="CT19" s="77"/>
      <c r="CU19" s="839"/>
      <c r="CV19" s="77"/>
      <c r="CW19" s="295"/>
      <c r="CX19" s="295"/>
      <c r="CY19" s="295"/>
      <c r="CZ19" s="295"/>
      <c r="DA19" s="295"/>
      <c r="DB19" s="77"/>
      <c r="DC19" s="77"/>
      <c r="DD19" s="77"/>
      <c r="DE19" s="77"/>
    </row>
    <row r="20" spans="1:109" ht="12.75" customHeight="1" x14ac:dyDescent="0.2">
      <c r="A20" s="273"/>
      <c r="B20" s="269" t="s">
        <v>128</v>
      </c>
      <c r="C20" s="270">
        <v>5.6929999999999996</v>
      </c>
      <c r="D20" s="270">
        <v>6.6749999999999998</v>
      </c>
      <c r="E20" s="270">
        <v>6.7489999999999997</v>
      </c>
      <c r="F20" s="270">
        <f>25.727-SUM(C20:E20)</f>
        <v>6.610000000000003</v>
      </c>
      <c r="G20" s="271">
        <f>+SUM(C20:F20)</f>
        <v>25.727</v>
      </c>
      <c r="H20" s="552"/>
      <c r="I20" s="270">
        <v>7.2949999999999999</v>
      </c>
      <c r="J20" s="270">
        <v>7.0010000000000003</v>
      </c>
      <c r="K20" s="270">
        <v>5.9180000000000001</v>
      </c>
      <c r="L20" s="270">
        <f>26.165-SUM(I20:K20)</f>
        <v>5.9510000000000005</v>
      </c>
      <c r="M20" s="271">
        <f>+SUM(I20:L20)</f>
        <v>26.164999999999999</v>
      </c>
      <c r="N20" s="552"/>
      <c r="O20" s="270">
        <v>5.1909999999999998</v>
      </c>
      <c r="P20" s="270">
        <v>5.6689999999999996</v>
      </c>
      <c r="Q20" s="270">
        <v>5.6109999999999998</v>
      </c>
      <c r="R20" s="270">
        <f>22.252-SUM(O20:Q20)</f>
        <v>5.7809999999999988</v>
      </c>
      <c r="S20" s="271">
        <f>+SUM(O20:R20)</f>
        <v>22.251999999999999</v>
      </c>
      <c r="T20" s="552"/>
      <c r="U20" s="270">
        <v>6.1159999999999997</v>
      </c>
      <c r="V20" s="270">
        <v>6.3959999999999999</v>
      </c>
      <c r="W20" s="270">
        <v>6.5919999999999996</v>
      </c>
      <c r="X20" s="270">
        <f>25.997-SUM(U20:W20)</f>
        <v>6.8930000000000007</v>
      </c>
      <c r="Y20" s="271">
        <f>+SUM(U20:X20)</f>
        <v>25.997</v>
      </c>
      <c r="Z20" s="552"/>
      <c r="AA20" s="270">
        <v>9.39</v>
      </c>
      <c r="AB20" s="270">
        <v>9.27</v>
      </c>
      <c r="AC20" s="270">
        <v>8.9260000000000002</v>
      </c>
      <c r="AD20" s="270">
        <f>9.568</f>
        <v>9.5679999999999996</v>
      </c>
      <c r="AE20" s="271">
        <f>+SUM(AA20:AD20)</f>
        <v>37.153999999999996</v>
      </c>
      <c r="AF20" s="552"/>
      <c r="AG20" s="270">
        <v>10.321</v>
      </c>
      <c r="AH20" s="270">
        <v>10.568</v>
      </c>
      <c r="AI20" s="270">
        <v>9.8719999999999999</v>
      </c>
      <c r="AJ20" s="270">
        <v>11.711</v>
      </c>
      <c r="AK20" s="271">
        <f>+SUM(AG20:AJ20)</f>
        <v>42.472000000000001</v>
      </c>
      <c r="AL20" s="552"/>
      <c r="AM20" s="270">
        <v>11.282</v>
      </c>
      <c r="AN20" s="270">
        <v>10.916</v>
      </c>
      <c r="AO20" s="270">
        <v>10.914999999999999</v>
      </c>
      <c r="AP20" s="270">
        <v>10.97</v>
      </c>
      <c r="AQ20" s="271">
        <f>+SUM(AM20:AP20)</f>
        <v>44.082999999999998</v>
      </c>
      <c r="AR20" s="552"/>
      <c r="AS20" s="270">
        <v>13.38</v>
      </c>
      <c r="AT20" s="270">
        <v>13.289</v>
      </c>
      <c r="AU20" s="270">
        <v>12.853999999999999</v>
      </c>
      <c r="AV20" s="270">
        <v>13.276</v>
      </c>
      <c r="AW20" s="271">
        <f>+SUM(AS20:AV20)</f>
        <v>52.798999999999992</v>
      </c>
      <c r="AX20" s="552"/>
      <c r="AY20" s="701">
        <f>13.885</f>
        <v>13.885</v>
      </c>
      <c r="AZ20" s="701">
        <v>15.683999999999999</v>
      </c>
      <c r="BA20" s="701">
        <v>17.779</v>
      </c>
      <c r="BB20" s="270">
        <v>13.888999999999999</v>
      </c>
      <c r="BC20" s="271">
        <f>+SUM(AY20:BB20)</f>
        <v>61.236999999999995</v>
      </c>
      <c r="BD20" s="552"/>
      <c r="BE20" s="701">
        <v>15.083</v>
      </c>
      <c r="BF20" s="701">
        <v>18.613</v>
      </c>
      <c r="BG20" s="782">
        <v>20.414999999999999</v>
      </c>
      <c r="BH20" s="782">
        <v>21.609000000000002</v>
      </c>
      <c r="BI20" s="271">
        <f>+SUM(BE20:BH20)</f>
        <v>75.72</v>
      </c>
      <c r="BJ20" s="552"/>
      <c r="BK20" s="849">
        <v>22.803999999999998</v>
      </c>
      <c r="BL20" s="701">
        <v>24.384</v>
      </c>
      <c r="BM20" s="782">
        <v>24.201000000000001</v>
      </c>
      <c r="BN20" s="782">
        <v>26.17</v>
      </c>
      <c r="BO20" s="271">
        <f>+SUM(BK20:BN20)</f>
        <v>97.559000000000012</v>
      </c>
      <c r="BP20" s="552"/>
      <c r="BQ20" s="849">
        <v>29.591000000000001</v>
      </c>
      <c r="BR20" s="272">
        <f>+BR8*BR53</f>
        <v>32.603363482718272</v>
      </c>
      <c r="BS20" s="272">
        <f>+BS8*BS53</f>
        <v>33.337218404016319</v>
      </c>
      <c r="BT20" s="272">
        <f>+BT8*BT53</f>
        <v>36.582055318143198</v>
      </c>
      <c r="BU20" s="271">
        <f>+SUM(BQ20:BT20)</f>
        <v>132.11363720487779</v>
      </c>
      <c r="BV20" s="552"/>
      <c r="BW20" s="272">
        <f>+BW8*BW53</f>
        <v>35.351376347350396</v>
      </c>
      <c r="BX20" s="272">
        <f>+BX8*BX53</f>
        <v>40.0829893033996</v>
      </c>
      <c r="BY20" s="272">
        <f>+BY8*BY53</f>
        <v>40.602283890339997</v>
      </c>
      <c r="BZ20" s="272">
        <f>+BZ8*BZ53</f>
        <v>44.571010077058347</v>
      </c>
      <c r="CA20" s="271">
        <f>+SUM(BW20:BZ20)</f>
        <v>160.60765961814832</v>
      </c>
      <c r="CB20" s="552"/>
      <c r="CC20" s="272">
        <f>+CC8*CC53</f>
        <v>41.002901870373556</v>
      </c>
      <c r="CD20" s="272">
        <f>+CD8*CD53</f>
        <v>45.993770614000212</v>
      </c>
      <c r="CE20" s="272">
        <f>+CE8*CE53</f>
        <v>46.474183521005806</v>
      </c>
      <c r="CF20" s="272">
        <f>+CF8*CF53</f>
        <v>50.719261419582701</v>
      </c>
      <c r="CG20" s="271">
        <f>+SUM(CC20:CF20)</f>
        <v>184.19011742496227</v>
      </c>
      <c r="CH20" s="272"/>
      <c r="CI20" s="272"/>
      <c r="CP20" s="697"/>
      <c r="CQ20" s="273"/>
      <c r="CR20" s="273"/>
      <c r="CS20" s="273"/>
      <c r="CT20" s="77"/>
      <c r="CU20" s="775"/>
      <c r="CV20" s="77"/>
      <c r="CW20" s="794"/>
      <c r="CX20" s="841"/>
      <c r="CY20" s="841"/>
      <c r="CZ20" s="841"/>
      <c r="DA20" s="841"/>
      <c r="DB20" s="77"/>
      <c r="DC20" s="77"/>
      <c r="DD20" s="77"/>
      <c r="DE20" s="77"/>
    </row>
    <row r="21" spans="1:109" ht="11.25" customHeight="1" x14ac:dyDescent="0.2">
      <c r="A21" s="43"/>
      <c r="B21" s="553" t="s">
        <v>58</v>
      </c>
      <c r="C21" s="258">
        <f>+SUM(C18:C20)</f>
        <v>39.231999999999999</v>
      </c>
      <c r="D21" s="258">
        <f>+SUM(D18:D20)</f>
        <v>42.908000000000001</v>
      </c>
      <c r="E21" s="258">
        <f>+SUM(E18:E20)</f>
        <v>44.923999999999999</v>
      </c>
      <c r="F21" s="258">
        <f>+SUM(F18:F20)</f>
        <v>48.378</v>
      </c>
      <c r="G21" s="260">
        <f>+SUM(G18:G20)</f>
        <v>175.44200000000001</v>
      </c>
      <c r="H21" s="251"/>
      <c r="I21" s="258">
        <f>+SUM(I18:I20)</f>
        <v>50.542000000000002</v>
      </c>
      <c r="J21" s="258">
        <f>+SUM(J18:J20)</f>
        <v>55.786999999999999</v>
      </c>
      <c r="K21" s="258">
        <f>+SUM(K18:K20)</f>
        <v>48.526999999999994</v>
      </c>
      <c r="L21" s="258">
        <f>+SUM(L18:L20)</f>
        <v>48.525000000000006</v>
      </c>
      <c r="M21" s="260">
        <f>+SUM(M18:M20)</f>
        <v>203.381</v>
      </c>
      <c r="N21" s="251"/>
      <c r="O21" s="258">
        <f>+SUM(O18:O20)</f>
        <v>46.513000000000005</v>
      </c>
      <c r="P21" s="258">
        <f>+SUM(P18:P20)</f>
        <v>51.316000000000003</v>
      </c>
      <c r="Q21" s="258">
        <f>+SUM(Q18:Q20)</f>
        <v>49.521999999999998</v>
      </c>
      <c r="R21" s="258">
        <f>+SUM(R18:R20)</f>
        <v>49.161000000000001</v>
      </c>
      <c r="S21" s="260">
        <f>+SUM(S18:S20)</f>
        <v>196.512</v>
      </c>
      <c r="T21" s="251"/>
      <c r="U21" s="258">
        <f>+SUM(U18:U20)</f>
        <v>49.013000000000005</v>
      </c>
      <c r="V21" s="258">
        <f>+SUM(V18:V20)</f>
        <v>50.34</v>
      </c>
      <c r="W21" s="258">
        <f>+SUM(W18:W20)</f>
        <v>49.7</v>
      </c>
      <c r="X21" s="258">
        <f>+SUM(X18:X20)</f>
        <v>55.747</v>
      </c>
      <c r="Y21" s="260">
        <f>+SUM(Y18:Y20)</f>
        <v>204.8</v>
      </c>
      <c r="Z21" s="251"/>
      <c r="AA21" s="258">
        <f>+SUM(AA18:AA20)</f>
        <v>59.721999999999994</v>
      </c>
      <c r="AB21" s="258">
        <f>+SUM(AB18:AB20)</f>
        <v>68.099999999999994</v>
      </c>
      <c r="AC21" s="258">
        <f>+SUM(AC18:AC20)</f>
        <v>63.822000000000003</v>
      </c>
      <c r="AD21" s="258">
        <f>+SUM(AD18:AD20)</f>
        <v>66.876000000000005</v>
      </c>
      <c r="AE21" s="260">
        <f>+SUM(AE18:AE20)</f>
        <v>258.52</v>
      </c>
      <c r="AF21" s="251"/>
      <c r="AG21" s="258">
        <f>+SUM(AG18:AG20)</f>
        <v>71.147000000000006</v>
      </c>
      <c r="AH21" s="258">
        <f>+SUM(AH18:AH20)</f>
        <v>71.608999999999995</v>
      </c>
      <c r="AI21" s="258">
        <f>+SUM(AI18:AI20)</f>
        <v>70.031999999999996</v>
      </c>
      <c r="AJ21" s="258">
        <f>+SUM(AJ18:AJ20)</f>
        <v>76.646000000000001</v>
      </c>
      <c r="AK21" s="260">
        <f>+SUM(AK18:AK20)</f>
        <v>289.43399999999997</v>
      </c>
      <c r="AL21" s="251"/>
      <c r="AM21" s="258">
        <f>+SUM(AM18:AM20)</f>
        <v>83.910999999999987</v>
      </c>
      <c r="AN21" s="258">
        <f>+SUM(AN18:AN20)</f>
        <v>85.789999999999992</v>
      </c>
      <c r="AO21" s="258">
        <f>+SUM(AO18:AO20)</f>
        <v>83.626000000000005</v>
      </c>
      <c r="AP21" s="258">
        <f>+SUM(AP18:AP20)</f>
        <v>83.552999999999997</v>
      </c>
      <c r="AQ21" s="260">
        <f>+SUM(AQ18:AQ20)</f>
        <v>336.88</v>
      </c>
      <c r="AR21" s="251"/>
      <c r="AS21" s="258">
        <f>+SUM(AS18:AS20)</f>
        <v>95.446999999999989</v>
      </c>
      <c r="AT21" s="258">
        <f>+SUM(AT18:AT20)</f>
        <v>96.744</v>
      </c>
      <c r="AU21" s="258">
        <f>+SUM(AU18:AU20)</f>
        <v>93.507000000000005</v>
      </c>
      <c r="AV21" s="258">
        <f>+SUM(AV18:AV20)</f>
        <v>99.168999999999997</v>
      </c>
      <c r="AW21" s="260">
        <f>+SUM(AW18:AW20)</f>
        <v>384.86699999999996</v>
      </c>
      <c r="AX21" s="251"/>
      <c r="AY21" s="258">
        <f>+SUM(AY18:AY20)</f>
        <v>107.07544</v>
      </c>
      <c r="AZ21" s="258">
        <f>+SUM(AZ18:AZ20)</f>
        <v>116.309</v>
      </c>
      <c r="BA21" s="258">
        <f>+SUM(BA18:BA20)</f>
        <v>119.53</v>
      </c>
      <c r="BB21" s="258">
        <f>+SUM(BB18:BB20)</f>
        <v>113.47099999999998</v>
      </c>
      <c r="BC21" s="260">
        <f>+SUM(BC18:BC20)</f>
        <v>456.3854399999999</v>
      </c>
      <c r="BD21" s="251"/>
      <c r="BE21" s="258">
        <f>+SUM(BE18:BE20)</f>
        <v>127.29299999999998</v>
      </c>
      <c r="BF21" s="258">
        <f>+SUM(BF18:BF20)</f>
        <v>140.07999999999998</v>
      </c>
      <c r="BG21" s="781">
        <f>+SUM(BG18:BG20)</f>
        <v>147.12299999999999</v>
      </c>
      <c r="BH21" s="258">
        <f>+SUM(BH18:BH20)</f>
        <v>151.87700000000001</v>
      </c>
      <c r="BI21" s="260">
        <f>+SUM(BI18:BI20)</f>
        <v>566.37300000000005</v>
      </c>
      <c r="BJ21" s="251"/>
      <c r="BK21" s="258">
        <f>+SUM(BK18:BK20)</f>
        <v>173.952</v>
      </c>
      <c r="BL21" s="258">
        <f>+SUM(BL18:BL20)</f>
        <v>187.34800000000001</v>
      </c>
      <c r="BM21" s="258">
        <f>+SUM(BM18:BM20)</f>
        <v>193.72499999999999</v>
      </c>
      <c r="BN21" s="258">
        <f>+SUM(BN18:BN20)</f>
        <v>208.31099999999998</v>
      </c>
      <c r="BO21" s="260">
        <f>+SUM(BO18:BO20)</f>
        <v>763.33600000000001</v>
      </c>
      <c r="BP21" s="251"/>
      <c r="BQ21" s="258">
        <f>+SUM(BQ18:BQ20)</f>
        <v>229.21600000000001</v>
      </c>
      <c r="BR21" s="258">
        <f>+SUM(BR18:BR20)</f>
        <v>254.04867839970896</v>
      </c>
      <c r="BS21" s="258">
        <f>+SUM(BS18:BS20)</f>
        <v>250.94801698930814</v>
      </c>
      <c r="BT21" s="258">
        <f>+SUM(BT18:BT20)</f>
        <v>268.50450141289906</v>
      </c>
      <c r="BU21" s="260">
        <f>+SUM(BU18:BU20)</f>
        <v>1002.7171968019162</v>
      </c>
      <c r="BV21" s="251"/>
      <c r="BW21" s="258">
        <f>+SUM(BW18:BW20)</f>
        <v>274.23198140527387</v>
      </c>
      <c r="BX21" s="258">
        <f>+SUM(BX18:BX20)</f>
        <v>312.80649761671225</v>
      </c>
      <c r="BY21" s="258">
        <f>+SUM(BY18:BY20)</f>
        <v>305.95727586538146</v>
      </c>
      <c r="BZ21" s="258">
        <f>+SUM(BZ18:BZ20)</f>
        <v>327.36869807625072</v>
      </c>
      <c r="CA21" s="260">
        <f>+SUM(CA18:CA20)</f>
        <v>1220.3644529636183</v>
      </c>
      <c r="CB21" s="251"/>
      <c r="CC21" s="258">
        <f>+SUM(CC18:CC20)</f>
        <v>318.54513388250302</v>
      </c>
      <c r="CD21" s="258">
        <f>+SUM(CD18:CD20)</f>
        <v>359.49667089549888</v>
      </c>
      <c r="CE21" s="258">
        <f>+SUM(CE18:CE20)</f>
        <v>350.58342361420796</v>
      </c>
      <c r="CF21" s="258">
        <f>+SUM(CF18:CF20)</f>
        <v>372.79300004346749</v>
      </c>
      <c r="CG21" s="260">
        <f>+SUM(CG18:CG20)</f>
        <v>1401.4182284356773</v>
      </c>
      <c r="CH21" s="258"/>
      <c r="CI21" s="258"/>
      <c r="CP21" s="698"/>
      <c r="CQ21" s="237"/>
      <c r="CR21" s="237"/>
      <c r="CS21" s="237"/>
      <c r="CT21" s="77"/>
      <c r="CU21" s="839"/>
      <c r="CV21" s="77"/>
      <c r="CW21" s="842"/>
      <c r="CX21" s="843"/>
      <c r="CY21" s="843"/>
      <c r="CZ21" s="843"/>
      <c r="DA21" s="843"/>
      <c r="DB21" s="77"/>
      <c r="DC21" s="77"/>
      <c r="DD21" s="77"/>
      <c r="DE21" s="77"/>
    </row>
    <row r="22" spans="1:109" ht="4.5" customHeight="1" x14ac:dyDescent="0.2">
      <c r="A22" s="119"/>
      <c r="B22" s="34"/>
      <c r="C22" s="36"/>
      <c r="D22" s="36"/>
      <c r="E22" s="36"/>
      <c r="F22" s="36"/>
      <c r="G22" s="96"/>
      <c r="H22" s="236"/>
      <c r="I22" s="36"/>
      <c r="J22" s="36"/>
      <c r="K22" s="36"/>
      <c r="L22" s="36"/>
      <c r="M22" s="96"/>
      <c r="N22" s="236"/>
      <c r="O22" s="36"/>
      <c r="P22" s="36"/>
      <c r="Q22" s="36"/>
      <c r="R22" s="36"/>
      <c r="S22" s="96"/>
      <c r="T22" s="236"/>
      <c r="U22" s="36"/>
      <c r="V22" s="36"/>
      <c r="W22" s="36"/>
      <c r="X22" s="36"/>
      <c r="Y22" s="96"/>
      <c r="Z22" s="236"/>
      <c r="AA22" s="36"/>
      <c r="AB22" s="36"/>
      <c r="AC22" s="36"/>
      <c r="AD22" s="394"/>
      <c r="AE22" s="96"/>
      <c r="AF22" s="236"/>
      <c r="AG22" s="394"/>
      <c r="AH22" s="36"/>
      <c r="AI22" s="36"/>
      <c r="AJ22" s="36"/>
      <c r="AK22" s="96"/>
      <c r="AL22" s="236"/>
      <c r="AM22" s="36"/>
      <c r="AN22" s="36"/>
      <c r="AO22" s="36"/>
      <c r="AP22" s="36"/>
      <c r="AQ22" s="96"/>
      <c r="AR22" s="236"/>
      <c r="AS22" s="36"/>
      <c r="AT22" s="36"/>
      <c r="AU22" s="36"/>
      <c r="AV22" s="36"/>
      <c r="AW22" s="96"/>
      <c r="AX22" s="236"/>
      <c r="AY22" s="36"/>
      <c r="AZ22" s="36"/>
      <c r="BA22" s="36"/>
      <c r="BB22" s="36"/>
      <c r="BC22" s="96"/>
      <c r="BD22" s="236"/>
      <c r="BE22" s="36"/>
      <c r="BF22" s="36"/>
      <c r="BG22" s="779"/>
      <c r="BH22" s="36"/>
      <c r="BI22" s="96"/>
      <c r="BJ22" s="236"/>
      <c r="BK22" s="36"/>
      <c r="BL22" s="36"/>
      <c r="BM22" s="36"/>
      <c r="BN22" s="36"/>
      <c r="BO22" s="96"/>
      <c r="BP22" s="236"/>
      <c r="BQ22" s="36"/>
      <c r="BR22" s="36"/>
      <c r="BS22" s="36"/>
      <c r="BT22" s="36"/>
      <c r="BU22" s="96"/>
      <c r="BV22" s="236"/>
      <c r="BW22" s="36"/>
      <c r="BX22" s="36"/>
      <c r="BY22" s="36"/>
      <c r="BZ22" s="36"/>
      <c r="CA22" s="96"/>
      <c r="CB22" s="236"/>
      <c r="CC22" s="36"/>
      <c r="CD22" s="36"/>
      <c r="CE22" s="36"/>
      <c r="CF22" s="36"/>
      <c r="CG22" s="96"/>
      <c r="CH22" s="36"/>
      <c r="CI22" s="36"/>
      <c r="CP22" s="46"/>
      <c r="CQ22" s="119"/>
      <c r="CR22" s="119"/>
      <c r="CS22" s="119"/>
      <c r="CT22" s="77"/>
      <c r="CU22" s="160"/>
      <c r="CV22" s="160"/>
      <c r="CW22" s="160"/>
      <c r="CX22" s="77"/>
      <c r="CY22" s="77"/>
      <c r="CZ22" s="77"/>
      <c r="DA22" s="77"/>
      <c r="DB22" s="77"/>
      <c r="DC22" s="77"/>
      <c r="DD22" s="77"/>
      <c r="DE22" s="77"/>
    </row>
    <row r="23" spans="1:109" ht="11.25" customHeight="1" x14ac:dyDescent="0.2">
      <c r="A23" s="42"/>
      <c r="B23" s="264" t="s">
        <v>300</v>
      </c>
      <c r="C23" s="265">
        <f>+C25+'Cash Flow'!B10+'Cash Flow'!B12</f>
        <v>9.5519999999999996</v>
      </c>
      <c r="D23" s="265">
        <f>+D25+'Cash Flow'!C10+'Cash Flow'!C12</f>
        <v>17.897999999999993</v>
      </c>
      <c r="E23" s="265">
        <f>+E25+'Cash Flow'!D10+'Cash Flow'!D12</f>
        <v>11.730999999999987</v>
      </c>
      <c r="F23" s="265">
        <f>+F25+'Cash Flow'!E10+'Cash Flow'!E12</f>
        <v>8.0590000000000011</v>
      </c>
      <c r="G23" s="266">
        <f>+G25+'Cash Flow'!F10+'Cash Flow'!F12</f>
        <v>47.239999999999995</v>
      </c>
      <c r="H23" s="127"/>
      <c r="I23" s="265">
        <f>+I25+'Cash Flow'!H10+'Cash Flow'!H12</f>
        <v>7.68799999999999</v>
      </c>
      <c r="J23" s="265">
        <f>+J25+'Cash Flow'!I10+'Cash Flow'!I12</f>
        <v>7.0310000000000059</v>
      </c>
      <c r="K23" s="265">
        <f>+K25+'Cash Flow'!J10+'Cash Flow'!J12</f>
        <v>11.15100000000001</v>
      </c>
      <c r="L23" s="265">
        <f>+L25+'Cash Flow'!K10+'Cash Flow'!K12</f>
        <v>8.6659999999999968</v>
      </c>
      <c r="M23" s="266">
        <f>+M25+'Cash Flow'!L10+'Cash Flow'!L12</f>
        <v>34.536000000000001</v>
      </c>
      <c r="N23" s="127"/>
      <c r="O23" s="265">
        <f>+O25+'Cash Flow'!N10+'Cash Flow'!N12</f>
        <v>9.3369999999999873</v>
      </c>
      <c r="P23" s="265">
        <f>+P25+'Cash Flow'!O10+'Cash Flow'!O12</f>
        <v>9.898000000000005</v>
      </c>
      <c r="Q23" s="265">
        <f>+Q25+'Cash Flow'!P10+'Cash Flow'!P12</f>
        <v>14.688000000000006</v>
      </c>
      <c r="R23" s="265">
        <f>+R25+'Cash Flow'!Q10+'Cash Flow'!Q12</f>
        <v>22.225999999999967</v>
      </c>
      <c r="S23" s="266">
        <f>+S25+'Cash Flow'!R10+'Cash Flow'!R12</f>
        <v>56.14899999999998</v>
      </c>
      <c r="T23" s="127"/>
      <c r="U23" s="265">
        <f>+U25+'Cash Flow'!T10+'Cash Flow'!T12</f>
        <v>25.167999999999999</v>
      </c>
      <c r="V23" s="265">
        <f>+V25+'Cash Flow'!U10+'Cash Flow'!U12</f>
        <v>26.090999999999994</v>
      </c>
      <c r="W23" s="265">
        <f>+W25+'Cash Flow'!V10+'Cash Flow'!V12</f>
        <v>28.672000000000004</v>
      </c>
      <c r="X23" s="265">
        <f>+X25+'Cash Flow'!W10+'Cash Flow'!W12</f>
        <v>19.400999999999971</v>
      </c>
      <c r="Y23" s="266">
        <f>+Y25+'Cash Flow'!X10+'Cash Flow'!X12</f>
        <v>99.331999999999951</v>
      </c>
      <c r="Z23" s="127"/>
      <c r="AA23" s="265">
        <f>+AA25+'Cash Flow'!Z10+'Cash Flow'!Z12</f>
        <v>26.183000000000003</v>
      </c>
      <c r="AB23" s="265">
        <f>+AB25+'Cash Flow'!AA10+'Cash Flow'!AA12</f>
        <v>27.882000000000001</v>
      </c>
      <c r="AC23" s="265">
        <f>+AC25+'Cash Flow'!AB10+'Cash Flow'!AB12</f>
        <v>34.015000000000008</v>
      </c>
      <c r="AD23" s="265">
        <f>+AD25+'Cash Flow'!AC10+'Cash Flow'!AC12</f>
        <v>34.04699999999999</v>
      </c>
      <c r="AE23" s="266">
        <f>+AE25+'Cash Flow'!AD10+'Cash Flow'!AD12</f>
        <v>122.12699999999997</v>
      </c>
      <c r="AF23" s="127"/>
      <c r="AG23" s="265">
        <f>+AG25+'Cash Flow'!AF10+'Cash Flow'!AF12</f>
        <v>34.207000000000008</v>
      </c>
      <c r="AH23" s="265">
        <f>+AH25+'Cash Flow'!AG10+'Cash Flow'!AG12</f>
        <v>41.882000000000012</v>
      </c>
      <c r="AI23" s="265">
        <f>+AI25+'Cash Flow'!AH10+'Cash Flow'!AH12</f>
        <v>59.683000000000007</v>
      </c>
      <c r="AJ23" s="265">
        <f>+AJ25+'Cash Flow'!AI10+'Cash Flow'!AI12</f>
        <v>10.634999999999998</v>
      </c>
      <c r="AK23" s="266">
        <f>+AK25+'Cash Flow'!AJ10+'Cash Flow'!AJ12</f>
        <v>146.4070000000001</v>
      </c>
      <c r="AL23" s="127"/>
      <c r="AM23" s="265">
        <f>+AM25+'Cash Flow'!AL10+'Cash Flow'!AL12</f>
        <v>33.882000000000026</v>
      </c>
      <c r="AN23" s="265">
        <f>+AN25+'Cash Flow'!AM10+'Cash Flow'!AM12</f>
        <v>41.746000000000009</v>
      </c>
      <c r="AO23" s="265">
        <f>+AO25+'Cash Flow'!AN10+'Cash Flow'!AN12</f>
        <v>45.322000000000003</v>
      </c>
      <c r="AP23" s="265">
        <f>+AP25+'Cash Flow'!AO10+'Cash Flow'!AO12</f>
        <v>57.101000000000006</v>
      </c>
      <c r="AQ23" s="266">
        <f>+AQ25+'Cash Flow'!AP10+'Cash Flow'!AP12</f>
        <v>178.05099999999999</v>
      </c>
      <c r="AR23" s="127"/>
      <c r="AS23" s="265">
        <f>+AS25+'Cash Flow'!AR10+'Cash Flow'!AR12</f>
        <v>46.579999999999984</v>
      </c>
      <c r="AT23" s="265">
        <f>+AT25+'Cash Flow'!AS10+'Cash Flow'!AS12</f>
        <v>53.085999999999999</v>
      </c>
      <c r="AU23" s="265">
        <f>+AU25+'Cash Flow'!AT10+'Cash Flow'!AT12</f>
        <v>55.885999999999996</v>
      </c>
      <c r="AV23" s="265">
        <f>+AV25+'Cash Flow'!AU10+'Cash Flow'!AU12</f>
        <v>55.879999999999981</v>
      </c>
      <c r="AW23" s="266">
        <f>+AW25+'Cash Flow'!AV10+'Cash Flow'!AV12</f>
        <v>211.43200000000002</v>
      </c>
      <c r="AX23" s="127"/>
      <c r="AY23" s="265">
        <f>+AY25+'Cash Flow'!AX10+'Cash Flow'!AX12</f>
        <v>48.322560000000003</v>
      </c>
      <c r="AZ23" s="265">
        <f>+AZ25+'Cash Flow'!AY10+'Cash Flow'!AY12</f>
        <v>46.655000000000015</v>
      </c>
      <c r="BA23" s="265">
        <f>+BA25+'Cash Flow'!AZ10+'Cash Flow'!AZ12</f>
        <v>42.548999999999992</v>
      </c>
      <c r="BB23" s="265">
        <f>+BB25+'Cash Flow'!BA10+'Cash Flow'!BA12</f>
        <v>64.202000000000027</v>
      </c>
      <c r="BC23" s="266">
        <f>+BC25+'Cash Flow'!BB10+'Cash Flow'!BB12</f>
        <v>201.72856000000021</v>
      </c>
      <c r="BD23" s="127"/>
      <c r="BE23" s="265">
        <f>+BE25+'Cash Flow'!BD10+'Cash Flow'!BD12</f>
        <v>58.126000000000033</v>
      </c>
      <c r="BF23" s="265">
        <f>+BF25+'Cash Flow'!BE10+'Cash Flow'!BE12</f>
        <v>70.229000000000028</v>
      </c>
      <c r="BG23" s="265">
        <f>+BG25+'Cash Flow'!BF10+'Cash Flow'!BF12</f>
        <v>68.98</v>
      </c>
      <c r="BH23" s="265">
        <f>+BH25+'Cash Flow'!BG10+'Cash Flow'!BG12</f>
        <v>75.947999999999965</v>
      </c>
      <c r="BI23" s="266">
        <f>+BI25+'Cash Flow'!BH10+'Cash Flow'!BH12</f>
        <v>273.28299999999996</v>
      </c>
      <c r="BJ23" s="127"/>
      <c r="BK23" s="265">
        <f>+BK25+'Cash Flow'!BJ10+'Cash Flow'!BJ12</f>
        <v>69.540000000000006</v>
      </c>
      <c r="BL23" s="265">
        <f>+BL25+'Cash Flow'!BK10+'Cash Flow'!BK12</f>
        <v>92.445000000000022</v>
      </c>
      <c r="BM23" s="265">
        <f>+BM25+'Cash Flow'!BL10+'Cash Flow'!BL12</f>
        <v>108.73500000000001</v>
      </c>
      <c r="BN23" s="265">
        <f>+BN25+'Cash Flow'!BM10+'Cash Flow'!BM12</f>
        <v>120.63</v>
      </c>
      <c r="BO23" s="266">
        <f>+BO25+'Cash Flow'!BN10+'Cash Flow'!BN12</f>
        <v>391.35000000000008</v>
      </c>
      <c r="BP23" s="127"/>
      <c r="BQ23" s="265">
        <f>+BQ25+'Cash Flow'!BP10+'Cash Flow'!BP12</f>
        <v>110.12433499999995</v>
      </c>
      <c r="BR23" s="265">
        <f>+BR25+'Cash Flow'!BQ10+'Cash Flow'!BQ12</f>
        <v>125.42833693872998</v>
      </c>
      <c r="BS23" s="265">
        <f>+BS25+'Cash Flow'!BR10+'Cash Flow'!BR12</f>
        <v>139.80293373975445</v>
      </c>
      <c r="BT23" s="265">
        <f>+BT25+'Cash Flow'!BS10+'Cash Flow'!BS12</f>
        <v>157.4086138231329</v>
      </c>
      <c r="BU23" s="266">
        <f>+BU25+'Cash Flow'!BT10+'Cash Flow'!BT12</f>
        <v>532.76421950161705</v>
      </c>
      <c r="BV23" s="127"/>
      <c r="BW23" s="265">
        <f>+BW25+'Cash Flow'!BV10+'Cash Flow'!BV12</f>
        <v>149.08495002415594</v>
      </c>
      <c r="BX23" s="265">
        <f>+BX25+'Cash Flow'!BW10+'Cash Flow'!BW12</f>
        <v>173.4415563530319</v>
      </c>
      <c r="BY23" s="265">
        <f>+BY25+'Cash Flow'!BX10+'Cash Flow'!BX12</f>
        <v>189.30233545963259</v>
      </c>
      <c r="BZ23" s="265">
        <f>+BZ25+'Cash Flow'!BY10+'Cash Flow'!BY12</f>
        <v>208.92052239394368</v>
      </c>
      <c r="CA23" s="266">
        <f>+CA25+'Cash Flow'!BZ10+'Cash Flow'!BZ12</f>
        <v>720.74936423076429</v>
      </c>
      <c r="CB23" s="127"/>
      <c r="CC23" s="265">
        <f>+CC25+'Cash Flow'!CB10+'Cash Flow'!CB12</f>
        <v>189.21761853421503</v>
      </c>
      <c r="CD23" s="265">
        <f>+CD25+'Cash Flow'!CC10+'Cash Flow'!CC12</f>
        <v>216.35467991386091</v>
      </c>
      <c r="CE23" s="265">
        <f>+CE25+'Cash Flow'!CE10+'Cash Flow'!CE12</f>
        <v>236.81243258501743</v>
      </c>
      <c r="CF23" s="265">
        <f>+CF25+'Cash Flow'!CF10+'Cash Flow'!CF12</f>
        <v>334.08816723499319</v>
      </c>
      <c r="CG23" s="266">
        <f>+CG25+'Cash Flow'!CF10+'Cash Flow'!CF12</f>
        <v>897.38824859731608</v>
      </c>
      <c r="CH23" s="361"/>
      <c r="CI23" s="361"/>
      <c r="CP23" s="46"/>
      <c r="CQ23" s="42"/>
      <c r="CR23" s="42"/>
      <c r="CS23" s="42"/>
      <c r="CT23" s="77"/>
      <c r="CU23" s="839"/>
      <c r="CV23" s="77"/>
      <c r="CW23" s="295"/>
      <c r="CX23" s="295"/>
      <c r="CY23" s="295"/>
      <c r="CZ23" s="295"/>
      <c r="DA23" s="295"/>
      <c r="DB23" s="77"/>
      <c r="DC23" s="77"/>
      <c r="DD23" s="77"/>
      <c r="DE23" s="77"/>
    </row>
    <row r="24" spans="1:109" ht="4.5" customHeight="1" x14ac:dyDescent="0.2">
      <c r="A24" s="42"/>
      <c r="B24" s="33"/>
      <c r="C24" s="37"/>
      <c r="D24" s="37"/>
      <c r="E24" s="37"/>
      <c r="F24" s="37"/>
      <c r="G24" s="97"/>
      <c r="H24" s="236"/>
      <c r="I24" s="37"/>
      <c r="J24" s="37"/>
      <c r="K24" s="37"/>
      <c r="L24" s="37"/>
      <c r="M24" s="97"/>
      <c r="N24" s="236"/>
      <c r="O24" s="37"/>
      <c r="P24" s="37"/>
      <c r="Q24" s="37"/>
      <c r="R24" s="37"/>
      <c r="S24" s="97"/>
      <c r="T24" s="236"/>
      <c r="U24" s="37"/>
      <c r="V24" s="37"/>
      <c r="W24" s="37"/>
      <c r="X24" s="37"/>
      <c r="Y24" s="97"/>
      <c r="Z24" s="236"/>
      <c r="AA24" s="37"/>
      <c r="AB24" s="37"/>
      <c r="AC24" s="37"/>
      <c r="AD24" s="37"/>
      <c r="AE24" s="97"/>
      <c r="AF24" s="236"/>
      <c r="AG24" s="37"/>
      <c r="AH24" s="37"/>
      <c r="AI24" s="37"/>
      <c r="AJ24" s="37"/>
      <c r="AK24" s="97"/>
      <c r="AL24" s="236"/>
      <c r="AM24" s="37"/>
      <c r="AN24" s="37"/>
      <c r="AO24" s="37"/>
      <c r="AP24" s="37"/>
      <c r="AQ24" s="97"/>
      <c r="AR24" s="236"/>
      <c r="AS24" s="37"/>
      <c r="AT24" s="37"/>
      <c r="AU24" s="37"/>
      <c r="AV24" s="37"/>
      <c r="AW24" s="97"/>
      <c r="AX24" s="236"/>
      <c r="AY24" s="37"/>
      <c r="AZ24" s="37"/>
      <c r="BA24" s="37"/>
      <c r="BB24" s="37"/>
      <c r="BC24" s="97"/>
      <c r="BD24" s="236"/>
      <c r="BE24" s="37"/>
      <c r="BF24" s="37"/>
      <c r="BG24" s="784"/>
      <c r="BH24" s="37"/>
      <c r="BI24" s="97"/>
      <c r="BJ24" s="236"/>
      <c r="BK24" s="37"/>
      <c r="BL24" s="37"/>
      <c r="BM24" s="784"/>
      <c r="BN24" s="784"/>
      <c r="BO24" s="97"/>
      <c r="BP24" s="236"/>
      <c r="BQ24" s="37"/>
      <c r="BR24" s="37"/>
      <c r="BS24" s="37"/>
      <c r="BT24" s="37"/>
      <c r="BU24" s="97"/>
      <c r="BV24" s="236"/>
      <c r="BW24" s="37"/>
      <c r="BX24" s="37"/>
      <c r="BY24" s="37"/>
      <c r="BZ24" s="37"/>
      <c r="CA24" s="97"/>
      <c r="CB24" s="236"/>
      <c r="CC24" s="37"/>
      <c r="CD24" s="37"/>
      <c r="CE24" s="37"/>
      <c r="CF24" s="37"/>
      <c r="CG24" s="97"/>
      <c r="CH24" s="37"/>
      <c r="CI24" s="37"/>
      <c r="CP24" s="46"/>
      <c r="CQ24" s="42"/>
      <c r="CR24" s="42"/>
      <c r="CS24" s="42"/>
      <c r="CT24" s="77"/>
      <c r="CU24" s="77"/>
      <c r="CV24" s="77"/>
      <c r="CW24" s="160"/>
      <c r="CX24" s="77"/>
      <c r="CY24" s="77"/>
      <c r="CZ24" s="77"/>
      <c r="DA24" s="77"/>
      <c r="DB24" s="77"/>
      <c r="DC24" s="77"/>
      <c r="DD24" s="77"/>
      <c r="DE24" s="77"/>
    </row>
    <row r="25" spans="1:109" x14ac:dyDescent="0.2">
      <c r="A25" s="42"/>
      <c r="B25" s="334" t="s">
        <v>105</v>
      </c>
      <c r="C25" s="257">
        <f>+C14-C21</f>
        <v>7</v>
      </c>
      <c r="D25" s="257">
        <f>+D14-D21</f>
        <v>13.447999999999993</v>
      </c>
      <c r="E25" s="257">
        <f>+E14-E21</f>
        <v>8.3949999999999889</v>
      </c>
      <c r="F25" s="257">
        <f>+F14-F21</f>
        <v>5.0120000000000005</v>
      </c>
      <c r="G25" s="259">
        <f>+G14-G21</f>
        <v>33.85499999999999</v>
      </c>
      <c r="H25" s="127"/>
      <c r="I25" s="257">
        <f>+I14-I21</f>
        <v>4.6259999999999906</v>
      </c>
      <c r="J25" s="257">
        <f>+J14-J21</f>
        <v>3.872000000000007</v>
      </c>
      <c r="K25" s="257">
        <f>+K14-K21</f>
        <v>7.8800000000000097</v>
      </c>
      <c r="L25" s="257">
        <f>+L14-L21</f>
        <v>5.3669999999999973</v>
      </c>
      <c r="M25" s="259">
        <f>+M14-M21</f>
        <v>21.745000000000005</v>
      </c>
      <c r="N25" s="127"/>
      <c r="O25" s="257">
        <f>+O14-O21</f>
        <v>6.1939999999999884</v>
      </c>
      <c r="P25" s="257">
        <f>+P14-P21</f>
        <v>6.6620000000000061</v>
      </c>
      <c r="Q25" s="257">
        <f>+Q14-Q21</f>
        <v>11.385000000000005</v>
      </c>
      <c r="R25" s="257">
        <f>+R14-R21</f>
        <v>18.903999999999968</v>
      </c>
      <c r="S25" s="259">
        <f>+S14-S21</f>
        <v>43.144999999999982</v>
      </c>
      <c r="T25" s="127"/>
      <c r="U25" s="257">
        <f>+U14-U21</f>
        <v>21.524000000000001</v>
      </c>
      <c r="V25" s="257">
        <f>+V14-V21</f>
        <v>22.379999999999995</v>
      </c>
      <c r="W25" s="257">
        <f>+W14-W21</f>
        <v>25.233000000000004</v>
      </c>
      <c r="X25" s="257">
        <f>+X14-X21</f>
        <v>16.008999999999972</v>
      </c>
      <c r="Y25" s="259">
        <f>+Y14-Y21</f>
        <v>85.145999999999958</v>
      </c>
      <c r="Z25" s="127"/>
      <c r="AA25" s="257">
        <f>+AA14-AA21</f>
        <v>22.504000000000005</v>
      </c>
      <c r="AB25" s="257">
        <f>+AB14-AB21</f>
        <v>23.277000000000001</v>
      </c>
      <c r="AC25" s="257">
        <f>+AC14-AC21</f>
        <v>29.192000000000007</v>
      </c>
      <c r="AD25" s="257">
        <f>+AD14-AD21</f>
        <v>29.676999999999992</v>
      </c>
      <c r="AE25" s="259">
        <f>+AE14-AE21</f>
        <v>104.64999999999998</v>
      </c>
      <c r="AF25" s="127"/>
      <c r="AG25" s="257">
        <f>+AG14-AG21</f>
        <v>30.308000000000007</v>
      </c>
      <c r="AH25" s="257">
        <f>+AH14-AH21</f>
        <v>37.63000000000001</v>
      </c>
      <c r="AI25" s="257">
        <f>+AI14-AI21</f>
        <v>30.625000000000014</v>
      </c>
      <c r="AJ25" s="257">
        <f>+AJ14-AJ21</f>
        <v>30.033000000000001</v>
      </c>
      <c r="AK25" s="259">
        <f>+AK14-AK21</f>
        <v>128.59600000000012</v>
      </c>
      <c r="AL25" s="127"/>
      <c r="AM25" s="257">
        <f>+AM14-AM21</f>
        <v>28.938000000000031</v>
      </c>
      <c r="AN25" s="257">
        <f>+AN14-AN21</f>
        <v>37.90100000000001</v>
      </c>
      <c r="AO25" s="257">
        <f>+AO14-AO21</f>
        <v>41.463999999999999</v>
      </c>
      <c r="AP25" s="257">
        <f>+AP14-AP21</f>
        <v>52.923000000000002</v>
      </c>
      <c r="AQ25" s="259">
        <f>+AQ14-AQ21</f>
        <v>161.226</v>
      </c>
      <c r="AR25" s="127"/>
      <c r="AS25" s="257">
        <f>+AS14-AS21</f>
        <v>41.803999999999988</v>
      </c>
      <c r="AT25" s="257">
        <f>+AT14-AT21</f>
        <v>48.731999999999999</v>
      </c>
      <c r="AU25" s="257">
        <f>+AU14-AU21</f>
        <v>51.546999999999997</v>
      </c>
      <c r="AV25" s="257">
        <f>+AV14-AV21</f>
        <v>51.492999999999981</v>
      </c>
      <c r="AW25" s="259">
        <f>+AW14-AW21</f>
        <v>193.57600000000002</v>
      </c>
      <c r="AX25" s="127"/>
      <c r="AY25" s="257">
        <f>+AY14-AY21</f>
        <v>44.014560000000003</v>
      </c>
      <c r="AZ25" s="257">
        <f>+AZ14-AZ21</f>
        <v>42.325000000000017</v>
      </c>
      <c r="BA25" s="257">
        <f>+BA14-BA21</f>
        <v>38.045999999999992</v>
      </c>
      <c r="BB25" s="257">
        <f>+BB14-BB21</f>
        <v>59.339000000000027</v>
      </c>
      <c r="BC25" s="259">
        <f>+BC14-BC21</f>
        <v>183.72456000000022</v>
      </c>
      <c r="BD25" s="127"/>
      <c r="BE25" s="257">
        <f>+BE14-BE21</f>
        <v>53.334000000000032</v>
      </c>
      <c r="BF25" s="257">
        <f>+BF14-BF21</f>
        <v>65.136000000000024</v>
      </c>
      <c r="BG25" s="780">
        <f>+BG14-BG21</f>
        <v>62.079000000000008</v>
      </c>
      <c r="BH25" s="257">
        <f>+BH14-BH21</f>
        <v>68.731999999999971</v>
      </c>
      <c r="BI25" s="259">
        <f>+BI14-BI21</f>
        <v>249.28099999999995</v>
      </c>
      <c r="BJ25" s="127"/>
      <c r="BK25" s="257">
        <f>+BK14-BK21</f>
        <v>61.673000000000002</v>
      </c>
      <c r="BL25" s="257">
        <f>+BL14-BL21</f>
        <v>83.569000000000017</v>
      </c>
      <c r="BM25" s="780">
        <f>+BM14-BM21</f>
        <v>98.763000000000005</v>
      </c>
      <c r="BN25" s="780">
        <f>+BN14-BN21</f>
        <v>109.60599999999999</v>
      </c>
      <c r="BO25" s="259">
        <f>+BO14-BO21</f>
        <v>353.6110000000001</v>
      </c>
      <c r="BP25" s="127"/>
      <c r="BQ25" s="257">
        <f>+BQ14-BQ21</f>
        <v>98.19199999999995</v>
      </c>
      <c r="BR25" s="257">
        <f>+BR14-BR21</f>
        <v>111.92307553872999</v>
      </c>
      <c r="BS25" s="257">
        <f>+BS14-BS21</f>
        <v>124.56462204909974</v>
      </c>
      <c r="BT25" s="257">
        <f>+BT14-BT21</f>
        <v>140.39824336696694</v>
      </c>
      <c r="BU25" s="259">
        <f>+BU14-BU21</f>
        <v>475.07794095479642</v>
      </c>
      <c r="BV25" s="127"/>
      <c r="BW25" s="257">
        <f>+BW14-BW21</f>
        <v>130.1300396546323</v>
      </c>
      <c r="BX25" s="257">
        <f>+BX14-BX21</f>
        <v>153.29459325962233</v>
      </c>
      <c r="BY25" s="257">
        <f>+BY14-BY21</f>
        <v>167.80376907612401</v>
      </c>
      <c r="BZ25" s="257">
        <f>+BZ14-BZ21</f>
        <v>186.05284204350193</v>
      </c>
      <c r="CA25" s="259">
        <f>+CA14-CA21</f>
        <v>637.28124403388074</v>
      </c>
      <c r="CB25" s="127"/>
      <c r="CC25" s="257">
        <f>+CC14-CC21</f>
        <v>164.84699828557365</v>
      </c>
      <c r="CD25" s="257">
        <f>+CD14-CD21</f>
        <v>190.5804005639331</v>
      </c>
      <c r="CE25" s="257">
        <f>+CE14-CE21</f>
        <v>207.8726825128158</v>
      </c>
      <c r="CF25" s="257">
        <f>+CF14-CF21</f>
        <v>227.65472588029149</v>
      </c>
      <c r="CG25" s="259">
        <f>+CG14-CG21</f>
        <v>790.95480724261438</v>
      </c>
      <c r="CH25" s="258"/>
      <c r="CI25" s="258"/>
      <c r="CQ25" s="133"/>
      <c r="CR25" s="133"/>
      <c r="CS25" s="133"/>
      <c r="CT25" s="77"/>
      <c r="CU25" s="775"/>
      <c r="CV25" s="77"/>
      <c r="CW25" s="258"/>
      <c r="CX25" s="258"/>
      <c r="CY25" s="258"/>
      <c r="CZ25" s="258"/>
      <c r="DA25" s="258"/>
      <c r="DB25" s="77"/>
      <c r="DC25" s="77"/>
      <c r="DD25" s="77"/>
      <c r="DE25" s="77"/>
    </row>
    <row r="26" spans="1:109" ht="12.75" hidden="1" customHeight="1" outlineLevel="1" x14ac:dyDescent="0.2">
      <c r="A26" s="133"/>
      <c r="B26" s="234" t="s">
        <v>221</v>
      </c>
      <c r="C26" s="530"/>
      <c r="D26" s="530"/>
      <c r="E26" s="530"/>
      <c r="F26" s="530"/>
      <c r="G26" s="531"/>
      <c r="H26" s="532"/>
      <c r="I26" s="530"/>
      <c r="J26" s="530"/>
      <c r="K26" s="530"/>
      <c r="L26" s="530"/>
      <c r="M26" s="531"/>
      <c r="N26" s="532"/>
      <c r="O26" s="530"/>
      <c r="P26" s="530"/>
      <c r="Q26" s="530"/>
      <c r="R26" s="530"/>
      <c r="S26" s="531"/>
      <c r="T26" s="532"/>
      <c r="U26" s="530"/>
      <c r="V26" s="530"/>
      <c r="W26" s="530"/>
      <c r="X26" s="530"/>
      <c r="Y26" s="531"/>
      <c r="Z26" s="532"/>
      <c r="AA26" s="530"/>
      <c r="AB26" s="530"/>
      <c r="AC26" s="530"/>
      <c r="AD26" s="530"/>
      <c r="AE26" s="531"/>
      <c r="AF26" s="532"/>
      <c r="AG26" s="530"/>
      <c r="AH26" s="530"/>
      <c r="AI26" s="530"/>
      <c r="AJ26" s="530"/>
      <c r="AK26" s="531"/>
      <c r="AL26" s="532"/>
      <c r="AM26" s="530"/>
      <c r="AN26" s="530"/>
      <c r="AO26" s="530"/>
      <c r="AP26" s="533">
        <v>5</v>
      </c>
      <c r="AQ26" s="531"/>
      <c r="AR26" s="532"/>
      <c r="AS26" s="530"/>
      <c r="AT26" s="530"/>
      <c r="AU26" s="530"/>
      <c r="AV26" s="530"/>
      <c r="AW26" s="531"/>
      <c r="AX26" s="532"/>
      <c r="AY26" s="530"/>
      <c r="AZ26" s="530"/>
      <c r="BA26" s="530"/>
      <c r="BB26" s="530"/>
      <c r="BC26" s="531"/>
      <c r="BD26" s="532"/>
      <c r="BE26" s="530"/>
      <c r="BF26" s="530"/>
      <c r="BG26" s="785"/>
      <c r="BH26" s="530"/>
      <c r="BI26" s="531"/>
      <c r="BJ26" s="532"/>
      <c r="BK26" s="530"/>
      <c r="BL26" s="530"/>
      <c r="BM26" s="785"/>
      <c r="BN26" s="785"/>
      <c r="BO26" s="531"/>
      <c r="BP26" s="532"/>
      <c r="BQ26" s="530"/>
      <c r="BR26" s="530"/>
      <c r="BS26" s="530"/>
      <c r="BT26" s="530"/>
      <c r="BU26" s="531"/>
      <c r="BV26" s="532"/>
      <c r="BW26" s="530"/>
      <c r="BX26" s="530"/>
      <c r="BY26" s="530"/>
      <c r="BZ26" s="530"/>
      <c r="CA26" s="531"/>
      <c r="CB26" s="532"/>
      <c r="CC26" s="530"/>
      <c r="CD26" s="530"/>
      <c r="CE26" s="530"/>
      <c r="CF26" s="530"/>
      <c r="CG26" s="531"/>
      <c r="CH26" s="649"/>
      <c r="CI26" s="258"/>
      <c r="CP26" s="494"/>
      <c r="CQ26" s="133"/>
      <c r="CR26" s="133"/>
      <c r="CS26" s="133"/>
      <c r="CT26" s="77"/>
      <c r="CU26" s="839"/>
      <c r="CV26" s="160"/>
      <c r="CW26" s="844"/>
      <c r="CX26" s="844"/>
      <c r="CY26" s="844"/>
      <c r="CZ26" s="845"/>
      <c r="DA26" s="845"/>
      <c r="DB26" s="77"/>
      <c r="DC26" s="77"/>
      <c r="DD26" s="77"/>
      <c r="DE26" s="77"/>
    </row>
    <row r="27" spans="1:109" ht="12.75" hidden="1" customHeight="1" outlineLevel="1" collapsed="1" x14ac:dyDescent="0.2">
      <c r="A27" s="42"/>
      <c r="B27" s="334" t="s">
        <v>309</v>
      </c>
      <c r="C27" s="257"/>
      <c r="D27" s="257"/>
      <c r="E27" s="257"/>
      <c r="F27" s="257"/>
      <c r="G27" s="259"/>
      <c r="H27" s="127"/>
      <c r="I27" s="257"/>
      <c r="J27" s="257"/>
      <c r="K27" s="257"/>
      <c r="L27" s="257"/>
      <c r="M27" s="259"/>
      <c r="N27" s="127"/>
      <c r="O27" s="257"/>
      <c r="P27" s="257"/>
      <c r="Q27" s="257"/>
      <c r="R27" s="257"/>
      <c r="S27" s="259"/>
      <c r="T27" s="127"/>
      <c r="U27" s="257"/>
      <c r="V27" s="257"/>
      <c r="W27" s="257"/>
      <c r="X27" s="257"/>
      <c r="Y27" s="259"/>
      <c r="Z27" s="127"/>
      <c r="AA27" s="257"/>
      <c r="AB27" s="257"/>
      <c r="AC27" s="257"/>
      <c r="AD27" s="257"/>
      <c r="AE27" s="259"/>
      <c r="AF27" s="127"/>
      <c r="AG27" s="257"/>
      <c r="AH27" s="257"/>
      <c r="AI27" s="257"/>
      <c r="AJ27" s="257"/>
      <c r="AK27" s="259"/>
      <c r="AL27" s="127"/>
      <c r="AM27" s="257"/>
      <c r="AN27" s="257"/>
      <c r="AO27" s="257"/>
      <c r="AP27" s="524"/>
      <c r="AQ27" s="259"/>
      <c r="AR27" s="127"/>
      <c r="AS27" s="257"/>
      <c r="AT27" s="257"/>
      <c r="AU27" s="257"/>
      <c r="AV27" s="257"/>
      <c r="AW27" s="259"/>
      <c r="AX27" s="127"/>
      <c r="AY27" s="257"/>
      <c r="AZ27" s="257"/>
      <c r="BA27" s="257"/>
      <c r="BB27" s="257"/>
      <c r="BC27" s="259"/>
      <c r="BD27" s="127"/>
      <c r="BE27" s="257"/>
      <c r="BF27" s="257"/>
      <c r="BG27" s="780"/>
      <c r="BH27" s="257"/>
      <c r="BI27" s="259"/>
      <c r="BJ27" s="127"/>
      <c r="BK27" s="257"/>
      <c r="BL27" s="257"/>
      <c r="BM27" s="780"/>
      <c r="BN27" s="780"/>
      <c r="BO27" s="259"/>
      <c r="BP27" s="127"/>
      <c r="BQ27" s="257"/>
      <c r="BR27" s="257"/>
      <c r="BS27" s="257"/>
      <c r="BT27" s="257"/>
      <c r="BU27" s="259"/>
      <c r="BV27" s="127"/>
      <c r="BW27" s="257"/>
      <c r="BX27" s="257"/>
      <c r="BY27" s="257"/>
      <c r="BZ27" s="257"/>
      <c r="CA27" s="259"/>
      <c r="CB27" s="127"/>
      <c r="CC27" s="257"/>
      <c r="CD27" s="257"/>
      <c r="CE27" s="257"/>
      <c r="CF27" s="257"/>
      <c r="CG27" s="259"/>
      <c r="CH27" s="258"/>
      <c r="CI27" s="258"/>
      <c r="CP27" s="494"/>
      <c r="CQ27" s="133"/>
      <c r="CR27" s="133"/>
      <c r="CS27" s="133"/>
      <c r="CT27" s="77"/>
      <c r="CU27" s="775"/>
      <c r="CV27" s="160"/>
      <c r="CW27" s="794"/>
      <c r="CX27" s="841"/>
      <c r="CY27" s="841"/>
      <c r="CZ27" s="841"/>
      <c r="DA27" s="841"/>
      <c r="DB27" s="77"/>
      <c r="DC27" s="77"/>
      <c r="DD27" s="77"/>
      <c r="DE27" s="77"/>
    </row>
    <row r="28" spans="1:109" ht="12.75" hidden="1" customHeight="1" outlineLevel="1" x14ac:dyDescent="0.2">
      <c r="A28" s="42"/>
      <c r="B28" s="554" t="s">
        <v>196</v>
      </c>
      <c r="C28" s="41">
        <v>0.45500000000000002</v>
      </c>
      <c r="D28" s="41">
        <v>0.68</v>
      </c>
      <c r="E28" s="41">
        <v>1.1080000000000001</v>
      </c>
      <c r="F28" s="41">
        <f>4.195-0.342-0.758-SUM(C28:E28)</f>
        <v>0.85199999999999987</v>
      </c>
      <c r="G28" s="96">
        <f>+SUM(C28:F28)</f>
        <v>3.0950000000000002</v>
      </c>
      <c r="H28" s="127"/>
      <c r="I28" s="41">
        <v>0.96599999999999997</v>
      </c>
      <c r="J28" s="41">
        <v>0.443</v>
      </c>
      <c r="K28" s="41">
        <v>0.26400000000000001</v>
      </c>
      <c r="L28" s="41">
        <f>3.052-0.024-1.466-SUM(I28:K28)</f>
        <v>-0.11099999999999999</v>
      </c>
      <c r="M28" s="96">
        <f>+SUM(I28:L28)</f>
        <v>1.5620000000000001</v>
      </c>
      <c r="N28" s="127"/>
      <c r="O28" s="41">
        <v>0.14799999999999999</v>
      </c>
      <c r="P28" s="41">
        <v>0.55700000000000005</v>
      </c>
      <c r="Q28" s="41">
        <v>-0.27100000000000002</v>
      </c>
      <c r="R28" s="41">
        <f>0.579-0.085-0.375-SUM(O28:Q28)</f>
        <v>-0.31500000000000011</v>
      </c>
      <c r="S28" s="96">
        <f>+SUM(O28:R28)</f>
        <v>0.11899999999999994</v>
      </c>
      <c r="T28" s="127"/>
      <c r="U28" s="41">
        <v>-0.55300000000000005</v>
      </c>
      <c r="V28" s="41">
        <v>0.156</v>
      </c>
      <c r="W28" s="41">
        <v>-8.3000000000000004E-2</v>
      </c>
      <c r="X28" s="41">
        <f>0.555-0.019-1.267-SUM(U28:W28)</f>
        <v>-0.25099999999999983</v>
      </c>
      <c r="Y28" s="96">
        <f>+SUM(U28:X28)</f>
        <v>-0.73099999999999987</v>
      </c>
      <c r="Z28" s="127"/>
      <c r="AA28" s="41">
        <v>8.8999999999999996E-2</v>
      </c>
      <c r="AB28" s="41">
        <v>-0.30599999999999999</v>
      </c>
      <c r="AC28" s="41">
        <v>-0.11799999999999999</v>
      </c>
      <c r="AD28" s="41">
        <v>-8.4000000000000005E-2</v>
      </c>
      <c r="AE28" s="96">
        <f>+SUM(AA28:AD28)</f>
        <v>-0.41899999999999998</v>
      </c>
      <c r="AF28" s="127"/>
      <c r="AG28" s="41">
        <v>-0.81200000000000006</v>
      </c>
      <c r="AH28" s="41">
        <v>0.54100000000000004</v>
      </c>
      <c r="AI28" s="41">
        <v>-0.35299999999999998</v>
      </c>
      <c r="AJ28" s="41">
        <v>-0.67200000000000004</v>
      </c>
      <c r="AK28" s="96">
        <f>+SUM(AG28:AJ28)</f>
        <v>-1.296</v>
      </c>
      <c r="AL28" s="127"/>
      <c r="AM28" s="41">
        <v>-0.98799999999999999</v>
      </c>
      <c r="AN28" s="41">
        <v>-0.33500000000000002</v>
      </c>
      <c r="AO28" s="41">
        <v>0.44900000000000001</v>
      </c>
      <c r="AP28" s="41">
        <v>-0.19900000000000001</v>
      </c>
      <c r="AQ28" s="96">
        <f>+SUM(AM28:AP28)</f>
        <v>-1.073</v>
      </c>
      <c r="AR28" s="127"/>
      <c r="AS28" s="41">
        <v>0.60099999999999998</v>
      </c>
      <c r="AT28" s="41">
        <v>-9.2999999999999999E-2</v>
      </c>
      <c r="AU28" s="41">
        <v>-1.9990000000000001</v>
      </c>
      <c r="AV28" s="638">
        <v>-1.716</v>
      </c>
      <c r="AW28" s="96">
        <f>+SUM(AS28:AV28)</f>
        <v>-3.2069999999999999</v>
      </c>
      <c r="AX28" s="127"/>
      <c r="AY28" s="41">
        <v>-1.452</v>
      </c>
      <c r="AZ28" s="41">
        <v>0.17399999999999999</v>
      </c>
      <c r="BA28" s="41">
        <v>-1.5680000000000001</v>
      </c>
      <c r="BB28" s="638">
        <v>0.313</v>
      </c>
      <c r="BC28" s="96">
        <f>+SUM(AY28:BB28)</f>
        <v>-2.5329999999999999</v>
      </c>
      <c r="BD28" s="127"/>
      <c r="BE28" s="41">
        <v>-0.42699999999999999</v>
      </c>
      <c r="BF28" s="638">
        <v>0.125</v>
      </c>
      <c r="BG28" s="786">
        <v>1.4630000000000001</v>
      </c>
      <c r="BH28" s="786">
        <v>-7.516</v>
      </c>
      <c r="BI28" s="96">
        <f>+SUM(BE28:BH28)</f>
        <v>-6.3550000000000004</v>
      </c>
      <c r="BJ28" s="127"/>
      <c r="BK28" s="638">
        <v>1.645</v>
      </c>
      <c r="BL28" s="638">
        <v>3.2120000000000002</v>
      </c>
      <c r="BM28" s="786">
        <v>3.75</v>
      </c>
      <c r="BN28" s="786">
        <v>2.581</v>
      </c>
      <c r="BO28" s="96">
        <f>+SUM(BK28:BN28)</f>
        <v>11.187999999999999</v>
      </c>
      <c r="BP28" s="127"/>
      <c r="BQ28" s="638">
        <f>0.177+2.176</f>
        <v>2.3530000000000002</v>
      </c>
      <c r="BR28" s="756">
        <f>+'Bal Sht'!BR54</f>
        <v>1.5050557052864171</v>
      </c>
      <c r="BS28" s="756">
        <f>+'Bal Sht'!BS54</f>
        <v>1.5247304103528312</v>
      </c>
      <c r="BT28" s="756">
        <f>+'Bal Sht'!BT54</f>
        <v>1.4380049541561464</v>
      </c>
      <c r="BU28" s="96">
        <f>+SUM(BQ28:BT28)</f>
        <v>6.8207910697953951</v>
      </c>
      <c r="BV28" s="127"/>
      <c r="BW28" s="756">
        <f>+'Bal Sht'!BW54</f>
        <v>1.5134662103376519</v>
      </c>
      <c r="BX28" s="756">
        <f>+'Bal Sht'!BX54</f>
        <v>1.5300624827507125</v>
      </c>
      <c r="BY28" s="756">
        <f>+'Bal Sht'!BY54</f>
        <v>1.7657378373556274</v>
      </c>
      <c r="BZ28" s="756">
        <f>+'Bal Sht'!BZ54</f>
        <v>1.915204379769718</v>
      </c>
      <c r="CA28" s="96">
        <f>+SUM(BW28:BZ28)</f>
        <v>6.7244709102137099</v>
      </c>
      <c r="CB28" s="127"/>
      <c r="CC28" s="756">
        <f>+'Bal Sht'!CC54</f>
        <v>22.840816006593176</v>
      </c>
      <c r="CD28" s="756">
        <f>+'Bal Sht'!CD54</f>
        <v>24.14505808212137</v>
      </c>
      <c r="CE28" s="756">
        <f>+'Bal Sht'!CE54</f>
        <v>28.168176858487488</v>
      </c>
      <c r="CF28" s="756">
        <f>+'Bal Sht'!CF54</f>
        <v>31.243858037748545</v>
      </c>
      <c r="CG28" s="96">
        <f>+SUM(CC28:CF28)</f>
        <v>106.39790898495059</v>
      </c>
      <c r="CH28" s="36"/>
      <c r="CI28" s="36"/>
      <c r="CP28" s="494"/>
      <c r="CQ28" s="133"/>
      <c r="CR28" s="133"/>
      <c r="CS28" s="133"/>
      <c r="CT28" s="77"/>
      <c r="CU28" s="839"/>
      <c r="CV28" s="77"/>
      <c r="CW28" s="844"/>
      <c r="CX28" s="844"/>
      <c r="CY28" s="844"/>
      <c r="CZ28" s="845"/>
      <c r="DA28" s="845"/>
      <c r="DB28" s="77"/>
      <c r="DC28" s="77"/>
      <c r="DD28" s="77"/>
      <c r="DE28" s="77"/>
    </row>
    <row r="29" spans="1:109" ht="12.75" customHeight="1" collapsed="1" x14ac:dyDescent="0.2">
      <c r="A29" s="42"/>
      <c r="B29" s="769" t="s">
        <v>499</v>
      </c>
      <c r="C29" s="41"/>
      <c r="D29" s="41"/>
      <c r="E29" s="41"/>
      <c r="F29" s="41"/>
      <c r="G29" s="96"/>
      <c r="H29" s="127"/>
      <c r="I29" s="41"/>
      <c r="J29" s="41"/>
      <c r="K29" s="41"/>
      <c r="L29" s="41"/>
      <c r="M29" s="96"/>
      <c r="N29" s="127"/>
      <c r="O29" s="41"/>
      <c r="P29" s="41"/>
      <c r="Q29" s="41"/>
      <c r="R29" s="41"/>
      <c r="S29" s="96"/>
      <c r="T29" s="127"/>
      <c r="U29" s="41"/>
      <c r="V29" s="41"/>
      <c r="W29" s="41"/>
      <c r="X29" s="41"/>
      <c r="Y29" s="96"/>
      <c r="Z29" s="127"/>
      <c r="AA29" s="41"/>
      <c r="AB29" s="41"/>
      <c r="AC29" s="41"/>
      <c r="AD29" s="41"/>
      <c r="AE29" s="96"/>
      <c r="AF29" s="127"/>
      <c r="AG29" s="41"/>
      <c r="AH29" s="41"/>
      <c r="AI29" s="41"/>
      <c r="AJ29" s="41"/>
      <c r="AK29" s="96"/>
      <c r="AL29" s="127"/>
      <c r="AM29" s="41"/>
      <c r="AN29" s="41"/>
      <c r="AO29" s="41"/>
      <c r="AP29" s="41"/>
      <c r="AQ29" s="96"/>
      <c r="AR29" s="127"/>
      <c r="AS29" s="41"/>
      <c r="AT29" s="41"/>
      <c r="AU29" s="41"/>
      <c r="AV29" s="638"/>
      <c r="AW29" s="96"/>
      <c r="AX29" s="127"/>
      <c r="AY29" s="41"/>
      <c r="AZ29" s="41"/>
      <c r="BA29" s="41"/>
      <c r="BB29" s="638"/>
      <c r="BC29" s="96"/>
      <c r="BD29" s="127"/>
      <c r="BE29" s="756">
        <f>+UnitBuild!BE175</f>
        <v>0</v>
      </c>
      <c r="BF29" s="756">
        <f>+UnitBuild!BF175</f>
        <v>0</v>
      </c>
      <c r="BG29" s="786">
        <v>-0.47699999999999998</v>
      </c>
      <c r="BH29" s="786">
        <v>-1.2070000000000001</v>
      </c>
      <c r="BI29" s="96">
        <f>+SUM(BE29:BH29)</f>
        <v>-1.6840000000000002</v>
      </c>
      <c r="BJ29" s="127"/>
      <c r="BK29" s="848">
        <v>-1.121</v>
      </c>
      <c r="BL29" s="848">
        <v>-2.2149999999999999</v>
      </c>
      <c r="BM29" s="786">
        <v>-1.6140000000000001</v>
      </c>
      <c r="BN29" s="786">
        <v>1.7310000000000001</v>
      </c>
      <c r="BO29" s="96">
        <f>+SUM(BK29:BN29)</f>
        <v>-3.2190000000000003</v>
      </c>
      <c r="BP29" s="127"/>
      <c r="BQ29" s="848">
        <v>-1.7769999999999999</v>
      </c>
      <c r="BR29" s="756">
        <f>+UnitBuild!BR175</f>
        <v>-1.6513469999999997</v>
      </c>
      <c r="BS29" s="756">
        <f>+UnitBuild!BS175</f>
        <v>-1.5252024375</v>
      </c>
      <c r="BT29" s="756">
        <f>+UnitBuild!BT175</f>
        <v>-1.1966476184267112</v>
      </c>
      <c r="BU29" s="96">
        <f>+SUM(BQ29:BT29)</f>
        <v>-6.1501970559267107</v>
      </c>
      <c r="BV29" s="127"/>
      <c r="BW29" s="756">
        <f>+UnitBuild!BW175</f>
        <v>-0.37924037999999993</v>
      </c>
      <c r="BX29" s="756">
        <f>+UnitBuild!BX175</f>
        <v>-0.37924037999999982</v>
      </c>
      <c r="BY29" s="756">
        <f>+UnitBuild!BY175</f>
        <v>-0.35641572749999978</v>
      </c>
      <c r="BZ29" s="756">
        <f>+UnitBuild!BZ175</f>
        <v>-0.28276835261855349</v>
      </c>
      <c r="CA29" s="96">
        <f>+SUM(BW29:BZ29)</f>
        <v>-1.3976648401185532</v>
      </c>
      <c r="CB29" s="127"/>
      <c r="CC29" s="756">
        <f>+UnitBuild!CC175</f>
        <v>-7.2351953746874836E-2</v>
      </c>
      <c r="CD29" s="756">
        <f>+UnitBuild!CD175</f>
        <v>-6.4312847774999765E-2</v>
      </c>
      <c r="CE29" s="756">
        <f>+UnitBuild!CE175</f>
        <v>-4.3271096916796564E-2</v>
      </c>
      <c r="CF29" s="756">
        <f>+UnitBuild!CF175</f>
        <v>5.6822634623882483E-16</v>
      </c>
      <c r="CG29" s="96">
        <f>+SUM(CC29:CF29)</f>
        <v>-0.17993589843867061</v>
      </c>
      <c r="CH29" s="36"/>
      <c r="CP29" s="494"/>
      <c r="CQ29" s="133"/>
      <c r="CR29" s="133"/>
      <c r="CS29" s="133"/>
      <c r="CT29" s="77"/>
      <c r="CU29" s="77"/>
      <c r="CV29" s="77"/>
      <c r="CW29" s="77"/>
      <c r="CX29" s="77"/>
      <c r="CY29" s="77"/>
      <c r="CZ29" s="77"/>
      <c r="DA29" s="77"/>
      <c r="DB29" s="77"/>
      <c r="DC29" s="77"/>
      <c r="DD29" s="77"/>
      <c r="DE29" s="77"/>
    </row>
    <row r="30" spans="1:109" ht="2.25" hidden="1" customHeight="1" outlineLevel="1" x14ac:dyDescent="0.2">
      <c r="A30" s="273"/>
      <c r="B30" s="555"/>
      <c r="C30" s="270"/>
      <c r="D30" s="270"/>
      <c r="E30" s="270"/>
      <c r="F30" s="270"/>
      <c r="G30" s="271"/>
      <c r="H30" s="275"/>
      <c r="I30" s="270"/>
      <c r="J30" s="270"/>
      <c r="K30" s="270"/>
      <c r="L30" s="270"/>
      <c r="M30" s="271"/>
      <c r="N30" s="275"/>
      <c r="O30" s="270"/>
      <c r="P30" s="270"/>
      <c r="Q30" s="270"/>
      <c r="R30" s="270"/>
      <c r="S30" s="271"/>
      <c r="T30" s="275"/>
      <c r="U30" s="270"/>
      <c r="V30" s="270"/>
      <c r="W30" s="270"/>
      <c r="X30" s="323"/>
      <c r="Y30" s="271"/>
      <c r="Z30" s="275"/>
      <c r="AA30" s="270"/>
      <c r="AB30" s="270"/>
      <c r="AC30" s="270"/>
      <c r="AD30" s="270"/>
      <c r="AE30" s="271"/>
      <c r="AF30" s="274"/>
      <c r="AG30" s="270"/>
      <c r="AH30" s="270"/>
      <c r="AI30" s="270"/>
      <c r="AJ30" s="272"/>
      <c r="AK30" s="271"/>
      <c r="AL30" s="275"/>
      <c r="AM30" s="272"/>
      <c r="AN30" s="272"/>
      <c r="AO30" s="272"/>
      <c r="AP30" s="272"/>
      <c r="AQ30" s="271"/>
      <c r="AR30" s="275"/>
      <c r="AS30" s="272"/>
      <c r="AT30" s="272"/>
      <c r="AU30" s="272"/>
      <c r="AV30" s="272"/>
      <c r="AW30" s="271"/>
      <c r="AX30" s="275"/>
      <c r="AY30" s="272"/>
      <c r="AZ30" s="272"/>
      <c r="BA30" s="272"/>
      <c r="BB30" s="272"/>
      <c r="BC30" s="271"/>
      <c r="BD30" s="275"/>
      <c r="BE30" s="272"/>
      <c r="BF30" s="272"/>
      <c r="BG30" s="787"/>
      <c r="BH30" s="272"/>
      <c r="BI30" s="271"/>
      <c r="BJ30" s="275"/>
      <c r="BK30" s="272"/>
      <c r="BL30" s="272"/>
      <c r="BM30" s="787"/>
      <c r="BN30" s="787"/>
      <c r="BO30" s="271"/>
      <c r="BP30" s="275"/>
      <c r="BQ30" s="272"/>
      <c r="BR30" s="272"/>
      <c r="BS30" s="272"/>
      <c r="BT30" s="272"/>
      <c r="BU30" s="271"/>
      <c r="BV30" s="275"/>
      <c r="BW30" s="272"/>
      <c r="BX30" s="272"/>
      <c r="BY30" s="272"/>
      <c r="BZ30" s="272"/>
      <c r="CA30" s="271"/>
      <c r="CB30" s="275"/>
      <c r="CC30" s="272"/>
      <c r="CD30" s="272"/>
      <c r="CE30" s="272"/>
      <c r="CF30" s="272"/>
      <c r="CG30" s="271"/>
      <c r="CH30" s="272"/>
      <c r="CP30" s="380"/>
      <c r="CQ30" s="276"/>
      <c r="CR30" s="276"/>
      <c r="CS30" s="276"/>
      <c r="CT30" s="77"/>
      <c r="CU30" s="77"/>
      <c r="CV30" s="77"/>
      <c r="CW30" s="77"/>
      <c r="CX30" s="77"/>
      <c r="CY30" s="77"/>
      <c r="CZ30" s="77"/>
      <c r="DA30" s="77"/>
      <c r="DB30" s="77"/>
      <c r="DC30" s="77"/>
      <c r="DD30" s="77"/>
      <c r="DE30" s="77"/>
    </row>
    <row r="31" spans="1:109" collapsed="1" x14ac:dyDescent="0.2">
      <c r="A31" s="43"/>
      <c r="B31" s="556" t="s">
        <v>61</v>
      </c>
      <c r="C31" s="258">
        <f>+SUM(C28:C30)</f>
        <v>0.45500000000000002</v>
      </c>
      <c r="D31" s="258">
        <f>+SUM(D28:D30)</f>
        <v>0.68</v>
      </c>
      <c r="E31" s="258">
        <f>+SUM(E28:E30)</f>
        <v>1.1080000000000001</v>
      </c>
      <c r="F31" s="258">
        <f>+SUM(F28:F30)</f>
        <v>0.85199999999999987</v>
      </c>
      <c r="G31" s="260">
        <f>+SUM(G28:G30)</f>
        <v>3.0950000000000002</v>
      </c>
      <c r="H31" s="251"/>
      <c r="I31" s="258">
        <f>+SUM(I28:I30)</f>
        <v>0.96599999999999997</v>
      </c>
      <c r="J31" s="258">
        <f>+SUM(J28:J30)</f>
        <v>0.443</v>
      </c>
      <c r="K31" s="258">
        <f>+SUM(K28:K30)</f>
        <v>0.26400000000000001</v>
      </c>
      <c r="L31" s="258">
        <f>+SUM(L28:L30)</f>
        <v>-0.11099999999999999</v>
      </c>
      <c r="M31" s="260">
        <f>+SUM(M28:M30)</f>
        <v>1.5620000000000001</v>
      </c>
      <c r="N31" s="251"/>
      <c r="O31" s="36">
        <f>+SUM(O28:O30)</f>
        <v>0.14799999999999999</v>
      </c>
      <c r="P31" s="36">
        <f>+SUM(P28:P30)</f>
        <v>0.55700000000000005</v>
      </c>
      <c r="Q31" s="36">
        <f>+SUM(Q28:Q30)</f>
        <v>-0.27100000000000002</v>
      </c>
      <c r="R31" s="36">
        <f>+SUM(R28:R30)</f>
        <v>-0.31500000000000011</v>
      </c>
      <c r="S31" s="260">
        <f>+SUM(S28:S30)</f>
        <v>0.11899999999999994</v>
      </c>
      <c r="T31" s="251"/>
      <c r="U31" s="36">
        <f>+SUM(U28:U30)</f>
        <v>-0.55300000000000005</v>
      </c>
      <c r="V31" s="36">
        <f>+SUM(V28:V30)</f>
        <v>0.156</v>
      </c>
      <c r="W31" s="36">
        <f>+SUM(W28:W30)</f>
        <v>-8.3000000000000004E-2</v>
      </c>
      <c r="X31" s="36">
        <f>+SUM(X28:X30)</f>
        <v>-0.25099999999999983</v>
      </c>
      <c r="Y31" s="260">
        <f>+SUM(Y28:Y30)</f>
        <v>-0.73099999999999987</v>
      </c>
      <c r="Z31" s="251"/>
      <c r="AA31" s="36">
        <f>+SUM(AA28:AA30)</f>
        <v>8.8999999999999996E-2</v>
      </c>
      <c r="AB31" s="36">
        <f>+SUM(AB28:AB30)</f>
        <v>-0.30599999999999999</v>
      </c>
      <c r="AC31" s="36">
        <f>+SUM(AC28:AC30)</f>
        <v>-0.11799999999999999</v>
      </c>
      <c r="AD31" s="36">
        <f>+SUM(AD28:AD30)</f>
        <v>-8.4000000000000005E-2</v>
      </c>
      <c r="AE31" s="260">
        <f>+SUM(AE28:AE30)</f>
        <v>-0.41899999999999998</v>
      </c>
      <c r="AF31" s="251"/>
      <c r="AG31" s="36">
        <f>+SUM(AG28:AG30)</f>
        <v>-0.81200000000000006</v>
      </c>
      <c r="AH31" s="36">
        <f>+SUM(AH28:AH30)</f>
        <v>0.54100000000000004</v>
      </c>
      <c r="AI31" s="36">
        <f>+SUM(AI28:AI30)</f>
        <v>-0.35299999999999998</v>
      </c>
      <c r="AJ31" s="36">
        <f>+SUM(AJ28:AJ30)</f>
        <v>-0.67200000000000004</v>
      </c>
      <c r="AK31" s="260">
        <f>+SUM(AK28:AK30)</f>
        <v>-1.296</v>
      </c>
      <c r="AL31" s="251"/>
      <c r="AM31" s="36">
        <f>+SUM(AM28:AM30)</f>
        <v>-0.98799999999999999</v>
      </c>
      <c r="AN31" s="36">
        <f>+SUM(AN28:AN30)</f>
        <v>-0.33500000000000002</v>
      </c>
      <c r="AO31" s="36">
        <f>+SUM(AO28:AO30)</f>
        <v>0.44900000000000001</v>
      </c>
      <c r="AP31" s="36">
        <f>+SUM(AP28:AP30)</f>
        <v>-0.19900000000000001</v>
      </c>
      <c r="AQ31" s="260">
        <f>+SUM(AQ28:AQ30)</f>
        <v>-1.073</v>
      </c>
      <c r="AR31" s="251"/>
      <c r="AS31" s="36">
        <f>+SUM(AS28:AS30)</f>
        <v>0.60099999999999998</v>
      </c>
      <c r="AT31" s="36">
        <f>+SUM(AT28:AT30)</f>
        <v>-9.2999999999999999E-2</v>
      </c>
      <c r="AU31" s="36">
        <f>+SUM(AU28:AU30)</f>
        <v>-1.9990000000000001</v>
      </c>
      <c r="AV31" s="36">
        <f>+SUM(AV28:AV30)</f>
        <v>-1.716</v>
      </c>
      <c r="AW31" s="260">
        <f>+SUM(AW28:AW30)</f>
        <v>-3.2069999999999999</v>
      </c>
      <c r="AX31" s="251"/>
      <c r="AY31" s="36">
        <f>+SUM(AY28:AY30)</f>
        <v>-1.452</v>
      </c>
      <c r="AZ31" s="36">
        <f>+SUM(AZ28:AZ30)</f>
        <v>0.17399999999999999</v>
      </c>
      <c r="BA31" s="36">
        <f>+SUM(BA28:BA30)</f>
        <v>-1.5680000000000001</v>
      </c>
      <c r="BB31" s="36">
        <f>+SUM(BB28:BB30)</f>
        <v>0.313</v>
      </c>
      <c r="BC31" s="260">
        <f>+SUM(BC28:BC30)</f>
        <v>-2.5329999999999999</v>
      </c>
      <c r="BD31" s="251"/>
      <c r="BE31" s="36">
        <f>+SUM(BE28:BE30)</f>
        <v>-0.42699999999999999</v>
      </c>
      <c r="BF31" s="36">
        <f>+SUM(BF28:BF30)</f>
        <v>0.125</v>
      </c>
      <c r="BG31" s="779">
        <f>+SUM(BG28:BG30)</f>
        <v>0.9860000000000001</v>
      </c>
      <c r="BH31" s="36">
        <f>+SUM(BH28:BH30)</f>
        <v>-8.7230000000000008</v>
      </c>
      <c r="BI31" s="260">
        <f>+SUM(BI28:BI30)</f>
        <v>-8.0390000000000015</v>
      </c>
      <c r="BJ31" s="251"/>
      <c r="BK31" s="36">
        <f>+SUM(BK28:BK30)</f>
        <v>0.52400000000000002</v>
      </c>
      <c r="BL31" s="36">
        <f>+SUM(BL28:BL30)</f>
        <v>0.99700000000000033</v>
      </c>
      <c r="BM31" s="779">
        <f>+SUM(BM28:BM30)</f>
        <v>2.1360000000000001</v>
      </c>
      <c r="BN31" s="779">
        <f>+SUM(BN28:BN30)</f>
        <v>4.3120000000000003</v>
      </c>
      <c r="BO31" s="260">
        <f>+SUM(BO28:BO30)</f>
        <v>7.9689999999999985</v>
      </c>
      <c r="BP31" s="251"/>
      <c r="BQ31" s="36">
        <f>+SUM(BQ28:BQ30)</f>
        <v>0.57600000000000029</v>
      </c>
      <c r="BR31" s="36">
        <f>+SUM(BR28:BR30)</f>
        <v>-0.1462912947135826</v>
      </c>
      <c r="BS31" s="36">
        <f>+SUM(BS28:BS30)</f>
        <v>-4.7202714716876315E-4</v>
      </c>
      <c r="BT31" s="36">
        <f>+SUM(BT28:BT30)</f>
        <v>0.24135733572943519</v>
      </c>
      <c r="BU31" s="260">
        <f>+SUM(BU28:BU30)</f>
        <v>0.67059401386868434</v>
      </c>
      <c r="BV31" s="251"/>
      <c r="BW31" s="36">
        <f>+SUM(BW28:BW30)</f>
        <v>1.134225830337652</v>
      </c>
      <c r="BX31" s="36">
        <f>+SUM(BX28:BX30)</f>
        <v>1.1508221027507126</v>
      </c>
      <c r="BY31" s="36">
        <f>+SUM(BY28:BY30)</f>
        <v>1.4093221098556277</v>
      </c>
      <c r="BZ31" s="36">
        <f>+SUM(BZ28:BZ30)</f>
        <v>1.6324360271511646</v>
      </c>
      <c r="CA31" s="260">
        <f>+SUM(CA28:CA30)</f>
        <v>5.3268060700951567</v>
      </c>
      <c r="CB31" s="251"/>
      <c r="CC31" s="36">
        <f>+SUM(CC28:CC30)</f>
        <v>22.768464052846301</v>
      </c>
      <c r="CD31" s="36">
        <f>+SUM(CD28:CD30)</f>
        <v>24.08074523434637</v>
      </c>
      <c r="CE31" s="36">
        <f>+SUM(CE28:CE30)</f>
        <v>28.124905761570691</v>
      </c>
      <c r="CF31" s="36">
        <f>+SUM(CF28:CF30)</f>
        <v>31.243858037748545</v>
      </c>
      <c r="CG31" s="260">
        <f>+SUM(CG28:CG30)</f>
        <v>106.21797308651192</v>
      </c>
      <c r="CH31" s="258"/>
      <c r="CP31" s="698"/>
      <c r="CQ31" s="237"/>
      <c r="CR31" s="237"/>
      <c r="CS31" s="237"/>
      <c r="CT31" s="77"/>
      <c r="CU31" s="77"/>
      <c r="CV31" s="77"/>
      <c r="CW31" s="77"/>
      <c r="CX31" s="77"/>
      <c r="CY31" s="77"/>
      <c r="CZ31" s="77"/>
      <c r="DA31" s="77"/>
      <c r="DB31" s="77"/>
      <c r="DC31" s="77"/>
      <c r="DD31" s="77"/>
      <c r="DE31" s="77"/>
    </row>
    <row r="32" spans="1:109" ht="3.75" customHeight="1" x14ac:dyDescent="0.2">
      <c r="A32" s="42"/>
      <c r="B32" s="557"/>
      <c r="C32" s="265"/>
      <c r="D32" s="265"/>
      <c r="E32" s="265"/>
      <c r="F32" s="265"/>
      <c r="G32" s="266"/>
      <c r="H32" s="292"/>
      <c r="I32" s="265"/>
      <c r="J32" s="265"/>
      <c r="K32" s="265"/>
      <c r="L32" s="265"/>
      <c r="M32" s="266"/>
      <c r="N32" s="292"/>
      <c r="O32" s="265"/>
      <c r="P32" s="265"/>
      <c r="Q32" s="265"/>
      <c r="R32" s="265"/>
      <c r="S32" s="266"/>
      <c r="T32" s="292"/>
      <c r="U32" s="265"/>
      <c r="V32" s="265"/>
      <c r="W32" s="265"/>
      <c r="X32" s="265"/>
      <c r="Y32" s="266"/>
      <c r="Z32" s="163"/>
      <c r="AA32" s="265"/>
      <c r="AB32" s="265"/>
      <c r="AC32" s="265"/>
      <c r="AD32" s="265"/>
      <c r="AE32" s="266"/>
      <c r="AF32" s="163"/>
      <c r="AG32" s="265"/>
      <c r="AH32" s="265"/>
      <c r="AI32" s="265"/>
      <c r="AJ32" s="361"/>
      <c r="AK32" s="266"/>
      <c r="AL32" s="163"/>
      <c r="AM32" s="361"/>
      <c r="AN32" s="361"/>
      <c r="AO32" s="361"/>
      <c r="AP32" s="361"/>
      <c r="AQ32" s="266"/>
      <c r="AR32" s="163"/>
      <c r="AS32" s="361"/>
      <c r="AT32" s="361"/>
      <c r="AU32" s="361"/>
      <c r="AV32" s="361"/>
      <c r="AW32" s="266"/>
      <c r="AX32" s="163"/>
      <c r="AY32" s="361"/>
      <c r="AZ32" s="361"/>
      <c r="BA32" s="361"/>
      <c r="BB32" s="361"/>
      <c r="BC32" s="266"/>
      <c r="BD32" s="163"/>
      <c r="BE32" s="361"/>
      <c r="BF32" s="361"/>
      <c r="BG32" s="783"/>
      <c r="BH32" s="361"/>
      <c r="BI32" s="266"/>
      <c r="BJ32" s="163"/>
      <c r="BK32" s="361"/>
      <c r="BL32" s="361"/>
      <c r="BM32" s="783"/>
      <c r="BN32" s="783"/>
      <c r="BO32" s="266"/>
      <c r="BP32" s="163"/>
      <c r="BQ32" s="361"/>
      <c r="BR32" s="361"/>
      <c r="BS32" s="361"/>
      <c r="BT32" s="361"/>
      <c r="BU32" s="266"/>
      <c r="BV32" s="163"/>
      <c r="BW32" s="361"/>
      <c r="BX32" s="361"/>
      <c r="BY32" s="361"/>
      <c r="BZ32" s="361"/>
      <c r="CA32" s="266"/>
      <c r="CB32" s="163"/>
      <c r="CC32" s="361"/>
      <c r="CD32" s="361"/>
      <c r="CE32" s="361"/>
      <c r="CF32" s="361"/>
      <c r="CG32" s="266"/>
      <c r="CH32" s="361"/>
      <c r="CI32" s="361"/>
      <c r="CP32" s="494"/>
      <c r="CQ32" s="133"/>
      <c r="CR32" s="133"/>
      <c r="CS32" s="133"/>
      <c r="CT32" s="77"/>
      <c r="CU32" s="77"/>
      <c r="CV32" s="77"/>
      <c r="CW32" s="77"/>
      <c r="CX32" s="77"/>
      <c r="CY32" s="77"/>
      <c r="CZ32" s="77"/>
      <c r="DA32" s="77"/>
      <c r="DB32" s="77"/>
      <c r="DC32" s="77"/>
      <c r="DD32" s="77"/>
      <c r="DE32" s="77"/>
    </row>
    <row r="33" spans="1:109" x14ac:dyDescent="0.2">
      <c r="A33" s="42"/>
      <c r="B33" s="334" t="s">
        <v>108</v>
      </c>
      <c r="C33" s="257">
        <f>+C25+C31</f>
        <v>7.4550000000000001</v>
      </c>
      <c r="D33" s="257">
        <f>+D25+D31</f>
        <v>14.127999999999993</v>
      </c>
      <c r="E33" s="257">
        <f>+E25+E31</f>
        <v>9.5029999999999895</v>
      </c>
      <c r="F33" s="257">
        <f>+F25+F31</f>
        <v>5.8640000000000008</v>
      </c>
      <c r="G33" s="259">
        <f>+G25+G31</f>
        <v>36.949999999999989</v>
      </c>
      <c r="H33" s="127"/>
      <c r="I33" s="257">
        <f>+I25+I31</f>
        <v>5.5919999999999908</v>
      </c>
      <c r="J33" s="257">
        <f>+J25+J31</f>
        <v>4.3150000000000066</v>
      </c>
      <c r="K33" s="257">
        <f>+K25+K31</f>
        <v>8.144000000000009</v>
      </c>
      <c r="L33" s="257">
        <f>+L25+L31</f>
        <v>5.2559999999999976</v>
      </c>
      <c r="M33" s="259">
        <f>+M25+M31</f>
        <v>23.307000000000006</v>
      </c>
      <c r="N33" s="127"/>
      <c r="O33" s="257">
        <f>+O25+O31</f>
        <v>6.3419999999999881</v>
      </c>
      <c r="P33" s="257">
        <f>+P25+P31</f>
        <v>7.2190000000000065</v>
      </c>
      <c r="Q33" s="257">
        <f>+Q25+Q31</f>
        <v>11.114000000000004</v>
      </c>
      <c r="R33" s="257">
        <f>+R25+R31</f>
        <v>18.588999999999967</v>
      </c>
      <c r="S33" s="259">
        <f>+S25+S31</f>
        <v>43.263999999999982</v>
      </c>
      <c r="T33" s="127"/>
      <c r="U33" s="257">
        <f>+U25+U31</f>
        <v>20.971</v>
      </c>
      <c r="V33" s="257">
        <f>+V25+V31</f>
        <v>22.535999999999994</v>
      </c>
      <c r="W33" s="257">
        <f>+W25+W31</f>
        <v>25.150000000000006</v>
      </c>
      <c r="X33" s="257">
        <f>+X25+X31</f>
        <v>15.757999999999972</v>
      </c>
      <c r="Y33" s="259">
        <f>+Y25+Y31</f>
        <v>84.414999999999964</v>
      </c>
      <c r="Z33" s="127"/>
      <c r="AA33" s="257">
        <f>+AA25+AA31</f>
        <v>22.593000000000004</v>
      </c>
      <c r="AB33" s="257">
        <f>+AB25+AB31</f>
        <v>22.971</v>
      </c>
      <c r="AC33" s="257">
        <f>+AC25+AC31</f>
        <v>29.074000000000009</v>
      </c>
      <c r="AD33" s="257">
        <f>+AD25+AD31</f>
        <v>29.592999999999993</v>
      </c>
      <c r="AE33" s="259">
        <f>+AE25+AE31</f>
        <v>104.23099999999998</v>
      </c>
      <c r="AF33" s="127"/>
      <c r="AG33" s="257">
        <f>+AG25+AG31</f>
        <v>29.496000000000006</v>
      </c>
      <c r="AH33" s="257">
        <f>+AH25+AH31</f>
        <v>38.171000000000006</v>
      </c>
      <c r="AI33" s="257">
        <f>+AI25+AI31</f>
        <v>30.272000000000013</v>
      </c>
      <c r="AJ33" s="257">
        <f>+AJ25+AJ31</f>
        <v>29.361000000000001</v>
      </c>
      <c r="AK33" s="259">
        <f>+AK25+AK31</f>
        <v>127.30000000000011</v>
      </c>
      <c r="AL33" s="127"/>
      <c r="AM33" s="258">
        <f>+AM25+AM31</f>
        <v>27.950000000000031</v>
      </c>
      <c r="AN33" s="258">
        <f>+AN25+AN31</f>
        <v>37.56600000000001</v>
      </c>
      <c r="AO33" s="258">
        <f>+AO25+AO31</f>
        <v>41.912999999999997</v>
      </c>
      <c r="AP33" s="258">
        <f>+AP25+AP31</f>
        <v>52.724000000000004</v>
      </c>
      <c r="AQ33" s="259">
        <f>+AQ25+AQ31</f>
        <v>160.15299999999999</v>
      </c>
      <c r="AR33" s="127"/>
      <c r="AS33" s="258">
        <f>+AS25+AS31</f>
        <v>42.404999999999987</v>
      </c>
      <c r="AT33" s="258">
        <f>+AT25+AT31</f>
        <v>48.638999999999996</v>
      </c>
      <c r="AU33" s="258">
        <f>+AU25+AU31</f>
        <v>49.547999999999995</v>
      </c>
      <c r="AV33" s="258">
        <f>+AV25+AV31</f>
        <v>49.77699999999998</v>
      </c>
      <c r="AW33" s="259">
        <f>+AW25+AW31</f>
        <v>190.36900000000003</v>
      </c>
      <c r="AX33" s="127"/>
      <c r="AY33" s="258">
        <f>+AY25+AY31</f>
        <v>42.562560000000005</v>
      </c>
      <c r="AZ33" s="258">
        <f>+AZ25+AZ31</f>
        <v>42.499000000000017</v>
      </c>
      <c r="BA33" s="258">
        <f>+BA25+BA31</f>
        <v>36.477999999999994</v>
      </c>
      <c r="BB33" s="258">
        <f>+BB25+BB31</f>
        <v>59.652000000000029</v>
      </c>
      <c r="BC33" s="259">
        <f>+BC25+BC31</f>
        <v>181.19156000000024</v>
      </c>
      <c r="BD33" s="127"/>
      <c r="BE33" s="258">
        <f>+BE25+BE31</f>
        <v>52.907000000000032</v>
      </c>
      <c r="BF33" s="258">
        <f>+BF25+BF31</f>
        <v>65.261000000000024</v>
      </c>
      <c r="BG33" s="781">
        <f>+BG25+BG31</f>
        <v>63.065000000000005</v>
      </c>
      <c r="BH33" s="258">
        <f>+BH25+BH31</f>
        <v>60.008999999999972</v>
      </c>
      <c r="BI33" s="259">
        <f>+BI25+BI31</f>
        <v>241.24199999999996</v>
      </c>
      <c r="BJ33" s="127"/>
      <c r="BK33" s="258">
        <f>+BK25+BK31</f>
        <v>62.197000000000003</v>
      </c>
      <c r="BL33" s="258">
        <f>+BL25+BL31</f>
        <v>84.566000000000017</v>
      </c>
      <c r="BM33" s="781">
        <f>+BM25+BM31</f>
        <v>100.899</v>
      </c>
      <c r="BN33" s="781">
        <f>+BN25+BN31</f>
        <v>113.91799999999999</v>
      </c>
      <c r="BO33" s="259">
        <f>+BO25+BO31</f>
        <v>361.5800000000001</v>
      </c>
      <c r="BP33" s="127"/>
      <c r="BQ33" s="258">
        <f>+BQ25+BQ31</f>
        <v>98.767999999999944</v>
      </c>
      <c r="BR33" s="258">
        <f>+BR25+BR31</f>
        <v>111.77678424401641</v>
      </c>
      <c r="BS33" s="258">
        <f>+BS25+BS31</f>
        <v>124.56415002195257</v>
      </c>
      <c r="BT33" s="258">
        <f>+BT25+BT31</f>
        <v>140.63960070269638</v>
      </c>
      <c r="BU33" s="259">
        <f>+BU25+BU31</f>
        <v>475.74853496866513</v>
      </c>
      <c r="BV33" s="127"/>
      <c r="BW33" s="258">
        <f>+BW25+BW31</f>
        <v>131.26426548496994</v>
      </c>
      <c r="BX33" s="258">
        <f>+BX25+BX31</f>
        <v>154.44541536237304</v>
      </c>
      <c r="BY33" s="258">
        <f>+BY25+BY31</f>
        <v>169.21309118597964</v>
      </c>
      <c r="BZ33" s="258">
        <f>+BZ25+BZ31</f>
        <v>187.68527807065308</v>
      </c>
      <c r="CA33" s="259">
        <f>+CA25+CA31</f>
        <v>642.60805010397587</v>
      </c>
      <c r="CB33" s="127"/>
      <c r="CC33" s="258">
        <f>+CC25+CC31</f>
        <v>187.61546233841995</v>
      </c>
      <c r="CD33" s="258">
        <f>+CD25+CD31</f>
        <v>214.66114579827948</v>
      </c>
      <c r="CE33" s="258">
        <f>+CE25+CE31</f>
        <v>235.99758827438649</v>
      </c>
      <c r="CF33" s="258">
        <f>+CF25+CF31</f>
        <v>258.89858391804006</v>
      </c>
      <c r="CG33" s="259">
        <f>+CG25+CG31</f>
        <v>897.17278032912634</v>
      </c>
      <c r="CH33" s="258"/>
      <c r="CI33" s="258"/>
      <c r="CQ33" s="133"/>
      <c r="CR33" s="133"/>
      <c r="CS33" s="133"/>
      <c r="CT33" s="77"/>
      <c r="CU33" s="77"/>
      <c r="CV33" s="77"/>
      <c r="CW33" s="772"/>
      <c r="CX33" s="77"/>
      <c r="CY33" s="77"/>
      <c r="CZ33" s="77"/>
      <c r="DA33" s="772"/>
      <c r="DB33" s="77"/>
      <c r="DC33" s="77"/>
      <c r="DD33" s="77"/>
      <c r="DE33" s="77"/>
    </row>
    <row r="34" spans="1:109" x14ac:dyDescent="0.2">
      <c r="A34" s="42"/>
      <c r="B34" s="558" t="s">
        <v>18</v>
      </c>
      <c r="C34" s="428">
        <f>+C35/C33</f>
        <v>6.3983903420523139E-2</v>
      </c>
      <c r="D34" s="428">
        <f>+D35/D33</f>
        <v>3.6098527746319387E-2</v>
      </c>
      <c r="E34" s="428">
        <f>+E35/E33</f>
        <v>4.524886877828059E-3</v>
      </c>
      <c r="F34" s="428">
        <f>+F35/F33</f>
        <v>3.3424283765347874E-2</v>
      </c>
      <c r="G34" s="559">
        <f>+G35/G33</f>
        <v>3.3179972936400549E-2</v>
      </c>
      <c r="H34" s="560"/>
      <c r="I34" s="428">
        <f>+I35/I33</f>
        <v>5.1502145922746864E-2</v>
      </c>
      <c r="J34" s="428">
        <f>+J35/J33</f>
        <v>6.6048667439165598E-2</v>
      </c>
      <c r="K34" s="428">
        <f>+K35/K33</f>
        <v>0.10854616895874251</v>
      </c>
      <c r="L34" s="428">
        <f>+L35/L33</f>
        <v>7.020547945205538E-2</v>
      </c>
      <c r="M34" s="559">
        <f>+M35/M33</f>
        <v>7.8345561419316187E-2</v>
      </c>
      <c r="N34" s="560"/>
      <c r="O34" s="428">
        <f>+O35/O33</f>
        <v>0.49684642068748119</v>
      </c>
      <c r="P34" s="428">
        <f>+P35/P33</f>
        <v>0.33134783210971025</v>
      </c>
      <c r="Q34" s="428">
        <f>+Q35/Q33</f>
        <v>0.19866834622998014</v>
      </c>
      <c r="R34" s="428">
        <f>+R35/R33</f>
        <v>0.34660282963042727</v>
      </c>
      <c r="S34" s="559">
        <f>+S35/S33</f>
        <v>0.32807877218934928</v>
      </c>
      <c r="T34" s="560"/>
      <c r="U34" s="428">
        <f>+U35/U33</f>
        <v>0.25892899718659101</v>
      </c>
      <c r="V34" s="428">
        <f>+V35/V33</f>
        <v>0.26983493077742288</v>
      </c>
      <c r="W34" s="428">
        <f>+W35/W33</f>
        <v>0.23121272365805165</v>
      </c>
      <c r="X34" s="428">
        <f>+X35/X33</f>
        <v>0.30416296484325472</v>
      </c>
      <c r="Y34" s="559">
        <f>+Y35/Y33</f>
        <v>0.26202689095539905</v>
      </c>
      <c r="Z34" s="267"/>
      <c r="AA34" s="428">
        <f>+AA35/AA33</f>
        <v>0.25007745761961669</v>
      </c>
      <c r="AB34" s="428">
        <f>+AB35/AB33</f>
        <v>0.29132384310652565</v>
      </c>
      <c r="AC34" s="428">
        <f>+AC35/AC33</f>
        <v>0.24533947857191984</v>
      </c>
      <c r="AD34" s="428">
        <f>+AD35/AD33</f>
        <v>0.22343121684182077</v>
      </c>
      <c r="AE34" s="559">
        <f>+AE35/AE33</f>
        <v>0.25028062668495943</v>
      </c>
      <c r="AF34" s="267"/>
      <c r="AG34" s="428">
        <f>+AG35/AG33</f>
        <v>0.24999999999999994</v>
      </c>
      <c r="AH34" s="428">
        <f>+AH35/AH33</f>
        <v>0.25079248644258728</v>
      </c>
      <c r="AI34" s="428">
        <f>+AI35/AI33</f>
        <v>0.21709830866807603</v>
      </c>
      <c r="AJ34" s="428">
        <f>+AJ35/AJ33</f>
        <v>0.23953543816627501</v>
      </c>
      <c r="AK34" s="559">
        <f>+AK35/AK33</f>
        <v>0.2399999999999998</v>
      </c>
      <c r="AL34" s="267"/>
      <c r="AM34" s="428">
        <f>+AM35/AM33</f>
        <v>0.23999999999999974</v>
      </c>
      <c r="AN34" s="428">
        <f>+AN35/AN33</f>
        <v>0.21950700101155296</v>
      </c>
      <c r="AO34" s="428">
        <f>+AO35/AO33</f>
        <v>0.17598358504521272</v>
      </c>
      <c r="AP34" s="428">
        <f>+AP35/AP33</f>
        <v>0.19539488657916695</v>
      </c>
      <c r="AQ34" s="559">
        <f>+AQ35/AQ33</f>
        <v>0.20375515912908285</v>
      </c>
      <c r="AR34" s="267"/>
      <c r="AS34" s="428">
        <f>+AS35/AS33</f>
        <v>0.23490154462917118</v>
      </c>
      <c r="AT34" s="428">
        <f>+AT35/AT33</f>
        <v>0.26807705750529415</v>
      </c>
      <c r="AU34" s="428">
        <f>+AU35/AU33</f>
        <v>0.2280818600145314</v>
      </c>
      <c r="AV34" s="428">
        <f>+AV35/AV33</f>
        <v>0.20563714165176697</v>
      </c>
      <c r="AW34" s="559">
        <f>+AW35/AW33</f>
        <v>0.23395090587227962</v>
      </c>
      <c r="AX34" s="267"/>
      <c r="AY34" s="428">
        <f>+AY35/AY33</f>
        <v>0.26537407524359435</v>
      </c>
      <c r="AZ34" s="428">
        <f>+AZ35/AZ33</f>
        <v>0.26233558436669085</v>
      </c>
      <c r="BA34" s="428">
        <f>+BA35/BA33</f>
        <v>0.24294095071001703</v>
      </c>
      <c r="BB34" s="428">
        <f>+BB35/BB33</f>
        <v>0.18063099309327424</v>
      </c>
      <c r="BC34" s="559">
        <f>+BC35/BC33</f>
        <v>0.23224591697317437</v>
      </c>
      <c r="BD34" s="267"/>
      <c r="BE34" s="428">
        <f>+BE35/BE33</f>
        <v>0.23363638081917315</v>
      </c>
      <c r="BF34" s="428">
        <f>+BF35/BF33</f>
        <v>0.23157781829883076</v>
      </c>
      <c r="BG34" s="788">
        <f>+BG35/BG33</f>
        <v>0.18549115991437404</v>
      </c>
      <c r="BH34" s="788">
        <f>+BH35/BH33</f>
        <v>0.20043660117649029</v>
      </c>
      <c r="BI34" s="559">
        <f>+BI35/BI33</f>
        <v>0.21223501711973869</v>
      </c>
      <c r="BJ34" s="267"/>
      <c r="BK34" s="801">
        <f>+BK35/BK33</f>
        <v>-0.11613100310304354</v>
      </c>
      <c r="BL34" s="801">
        <f>+BL35/BL33</f>
        <v>0.18195255776553221</v>
      </c>
      <c r="BM34" s="788">
        <f>+BM35/BM33</f>
        <v>0.18180556794418182</v>
      </c>
      <c r="BN34" s="788">
        <f>+BN35/BN33</f>
        <v>0.14970417317719767</v>
      </c>
      <c r="BO34" s="559">
        <f>+BO35/BO33</f>
        <v>0.12047679628298023</v>
      </c>
      <c r="BP34" s="267"/>
      <c r="BQ34" s="801">
        <f>+BQ35/BQ33</f>
        <v>2.9381986068362242E-2</v>
      </c>
      <c r="BR34" s="561">
        <v>0.13</v>
      </c>
      <c r="BS34" s="561">
        <v>0.22</v>
      </c>
      <c r="BT34" s="561">
        <f>+BS34</f>
        <v>0.22</v>
      </c>
      <c r="BU34" s="559">
        <f>+BU35/BU33</f>
        <v>0.1592812201011527</v>
      </c>
      <c r="BV34" s="267"/>
      <c r="BW34" s="561">
        <v>0.18</v>
      </c>
      <c r="BX34" s="561">
        <f>+BW34</f>
        <v>0.18</v>
      </c>
      <c r="BY34" s="561">
        <f>+BX34</f>
        <v>0.18</v>
      </c>
      <c r="BZ34" s="561">
        <f>+BY34</f>
        <v>0.18</v>
      </c>
      <c r="CA34" s="559">
        <f>+CA35/CA33</f>
        <v>0.17999999999999994</v>
      </c>
      <c r="CB34" s="267"/>
      <c r="CC34" s="561">
        <f>+BZ34</f>
        <v>0.18</v>
      </c>
      <c r="CD34" s="561">
        <f>+CC34</f>
        <v>0.18</v>
      </c>
      <c r="CE34" s="561">
        <f>+CD34</f>
        <v>0.18</v>
      </c>
      <c r="CF34" s="561">
        <f>+CE34</f>
        <v>0.18</v>
      </c>
      <c r="CG34" s="559">
        <f>+CG35/CG33</f>
        <v>0.17999999999999991</v>
      </c>
      <c r="CH34" s="562"/>
      <c r="CI34" s="562"/>
      <c r="CQ34" s="133"/>
      <c r="CR34" s="133"/>
      <c r="CS34" s="133"/>
      <c r="CT34" s="77"/>
      <c r="CU34" s="77"/>
      <c r="CV34" s="77"/>
      <c r="CW34" s="77"/>
      <c r="CX34" s="77"/>
      <c r="CY34" s="77"/>
      <c r="CZ34" s="77"/>
      <c r="DA34" s="77"/>
      <c r="DB34" s="77"/>
      <c r="DC34" s="77"/>
      <c r="DD34" s="77"/>
      <c r="DE34" s="77"/>
    </row>
    <row r="35" spans="1:109" x14ac:dyDescent="0.2">
      <c r="A35" s="42"/>
      <c r="B35" s="32" t="s">
        <v>59</v>
      </c>
      <c r="C35" s="41">
        <v>0.47699999999999998</v>
      </c>
      <c r="D35" s="41">
        <v>0.51</v>
      </c>
      <c r="E35" s="41">
        <v>4.2999999999999997E-2</v>
      </c>
      <c r="F35" s="41">
        <f>1.226-SUM(C35:E35)</f>
        <v>0.19599999999999995</v>
      </c>
      <c r="G35" s="96">
        <f>+SUM(C35:F35)</f>
        <v>1.226</v>
      </c>
      <c r="H35" s="236"/>
      <c r="I35" s="41">
        <v>0.28799999999999998</v>
      </c>
      <c r="J35" s="41">
        <v>0.28499999999999998</v>
      </c>
      <c r="K35" s="41">
        <f>0.798+0.086</f>
        <v>0.88400000000000001</v>
      </c>
      <c r="L35" s="41">
        <f>-62.911+64.608+0.129-SUM(I35:K35)</f>
        <v>0.36900000000000288</v>
      </c>
      <c r="M35" s="96">
        <f>+SUM(I35:L35)</f>
        <v>1.8260000000000027</v>
      </c>
      <c r="N35" s="236"/>
      <c r="O35" s="41">
        <f>2.796+0.355</f>
        <v>3.1509999999999998</v>
      </c>
      <c r="P35" s="41">
        <f>2.265+0.127</f>
        <v>2.3920000000000003</v>
      </c>
      <c r="Q35" s="41">
        <f>-10.523+12.731</f>
        <v>2.2080000000000002</v>
      </c>
      <c r="R35" s="41">
        <f>-2.624+16.818-SUM(O35:Q35)</f>
        <v>6.4430000000000005</v>
      </c>
      <c r="S35" s="96">
        <f>+SUM(O35:R35)</f>
        <v>14.194000000000001</v>
      </c>
      <c r="T35" s="236"/>
      <c r="U35" s="41">
        <f>5.214+0.216</f>
        <v>5.4300000000000006</v>
      </c>
      <c r="V35" s="41">
        <f>12.897-6.816</f>
        <v>6.0810000000000004</v>
      </c>
      <c r="W35" s="41">
        <f>5.025+0.79</f>
        <v>5.8150000000000004</v>
      </c>
      <c r="X35" s="41">
        <f>27.75-5.631-SUM(U35:W35)</f>
        <v>4.7929999999999993</v>
      </c>
      <c r="Y35" s="96">
        <f>+SUM(U35:X35)</f>
        <v>22.119</v>
      </c>
      <c r="Z35" s="236"/>
      <c r="AA35" s="41">
        <f>5.271+0.379</f>
        <v>5.65</v>
      </c>
      <c r="AB35" s="41">
        <f>5.127+1.565</f>
        <v>6.6920000000000002</v>
      </c>
      <c r="AC35" s="41">
        <f>6.93+0.203</f>
        <v>7.133</v>
      </c>
      <c r="AD35" s="41">
        <f>5.897+0.715</f>
        <v>6.6120000000000001</v>
      </c>
      <c r="AE35" s="96">
        <f>+SUM(AA35:AD35)</f>
        <v>26.087000000000003</v>
      </c>
      <c r="AF35" s="236"/>
      <c r="AG35" s="41">
        <v>7.3739999999999997</v>
      </c>
      <c r="AH35" s="41">
        <v>9.5730000000000004</v>
      </c>
      <c r="AI35" s="41">
        <v>6.5720000000000001</v>
      </c>
      <c r="AJ35" s="41">
        <v>7.0330000000000004</v>
      </c>
      <c r="AK35" s="96">
        <f>+SUM(AG35:AJ35)</f>
        <v>30.552</v>
      </c>
      <c r="AL35" s="236"/>
      <c r="AM35" s="41">
        <v>6.7080000000000002</v>
      </c>
      <c r="AN35" s="41">
        <v>8.2460000000000004</v>
      </c>
      <c r="AO35" s="41">
        <v>7.3760000000000003</v>
      </c>
      <c r="AP35" s="41">
        <f>10.302</f>
        <v>10.302</v>
      </c>
      <c r="AQ35" s="96">
        <f>+SUM(AM35:AP35)</f>
        <v>32.632000000000005</v>
      </c>
      <c r="AR35" s="236"/>
      <c r="AS35" s="41">
        <v>9.9610000000000003</v>
      </c>
      <c r="AT35" s="41">
        <v>13.039</v>
      </c>
      <c r="AU35" s="41">
        <v>11.301</v>
      </c>
      <c r="AV35" s="41">
        <v>10.236000000000001</v>
      </c>
      <c r="AW35" s="96">
        <f>+SUM(AS35:AV35)</f>
        <v>44.537000000000006</v>
      </c>
      <c r="AX35" s="236"/>
      <c r="AY35" s="41">
        <v>11.295</v>
      </c>
      <c r="AZ35" s="41">
        <v>11.148999999999999</v>
      </c>
      <c r="BA35" s="41">
        <v>8.8620000000000001</v>
      </c>
      <c r="BB35" s="41">
        <v>10.775</v>
      </c>
      <c r="BC35" s="96">
        <f>+SUM(AY35:BB35)</f>
        <v>42.080999999999996</v>
      </c>
      <c r="BD35" s="236"/>
      <c r="BE35" s="41">
        <v>12.361000000000001</v>
      </c>
      <c r="BF35" s="41">
        <v>15.113</v>
      </c>
      <c r="BG35" s="778">
        <v>11.698</v>
      </c>
      <c r="BH35" s="778">
        <v>12.028</v>
      </c>
      <c r="BI35" s="96">
        <f>+SUM(BE35:BH35)</f>
        <v>51.199999999999996</v>
      </c>
      <c r="BJ35" s="236"/>
      <c r="BK35" s="848">
        <v>-7.2229999999999999</v>
      </c>
      <c r="BL35" s="848">
        <v>15.387</v>
      </c>
      <c r="BM35" s="778">
        <v>18.344000000000001</v>
      </c>
      <c r="BN35" s="778">
        <f>103.654-86.6</f>
        <v>17.054000000000002</v>
      </c>
      <c r="BO35" s="96">
        <f>+SUM(BK35:BN35)</f>
        <v>43.562000000000005</v>
      </c>
      <c r="BP35" s="236"/>
      <c r="BQ35" s="848">
        <v>2.9020000000000001</v>
      </c>
      <c r="BR35" s="36">
        <f>+BR33*BR34</f>
        <v>14.530981951722135</v>
      </c>
      <c r="BS35" s="36">
        <f>+BS33*BS34</f>
        <v>27.404113004829565</v>
      </c>
      <c r="BT35" s="36">
        <f>+BT33*BT34</f>
        <v>30.940712154593204</v>
      </c>
      <c r="BU35" s="96">
        <f>+SUM(BQ35:BT35)</f>
        <v>75.777807111144895</v>
      </c>
      <c r="BV35" s="236"/>
      <c r="BW35" s="36">
        <f>+BW33*BW34</f>
        <v>23.627567787294588</v>
      </c>
      <c r="BX35" s="36">
        <f>+BX33*BX34</f>
        <v>27.800174765227148</v>
      </c>
      <c r="BY35" s="36">
        <f>+BY33*BY34</f>
        <v>30.458356413476334</v>
      </c>
      <c r="BZ35" s="36">
        <f>+BZ33*BZ34</f>
        <v>33.783350052717552</v>
      </c>
      <c r="CA35" s="96">
        <f>+SUM(BW35:BZ35)</f>
        <v>115.66944901871562</v>
      </c>
      <c r="CB35" s="236"/>
      <c r="CC35" s="36">
        <f>+CC33*CC34</f>
        <v>33.77078322091559</v>
      </c>
      <c r="CD35" s="36">
        <f>+CD33*CD34</f>
        <v>38.639006243690304</v>
      </c>
      <c r="CE35" s="36">
        <f>+CE33*CE34</f>
        <v>42.479565889389569</v>
      </c>
      <c r="CF35" s="36">
        <f>+CF33*CF34</f>
        <v>46.601745105247211</v>
      </c>
      <c r="CG35" s="96">
        <f>+SUM(CC35:CF35)</f>
        <v>161.49110045924266</v>
      </c>
      <c r="CH35" s="36"/>
      <c r="CI35" s="36"/>
      <c r="CQ35" s="42"/>
      <c r="CR35" s="42"/>
      <c r="CS35" s="42"/>
      <c r="CT35" s="77"/>
      <c r="CU35" s="77"/>
      <c r="CV35" s="77"/>
      <c r="CW35" s="77"/>
      <c r="CX35" s="77"/>
      <c r="CY35" s="77"/>
      <c r="CZ35" s="77"/>
      <c r="DA35" s="77"/>
      <c r="DB35" s="77"/>
      <c r="DC35" s="77"/>
      <c r="DD35" s="77"/>
      <c r="DE35" s="77"/>
    </row>
    <row r="36" spans="1:109" x14ac:dyDescent="0.2">
      <c r="A36" s="42"/>
      <c r="B36" s="334" t="s">
        <v>195</v>
      </c>
      <c r="C36" s="257">
        <f>+C33-C35</f>
        <v>6.9779999999999998</v>
      </c>
      <c r="D36" s="257">
        <f>+D33-D35</f>
        <v>13.617999999999993</v>
      </c>
      <c r="E36" s="257">
        <f>+E33-E35</f>
        <v>9.4599999999999902</v>
      </c>
      <c r="F36" s="257">
        <f>+F33-F35</f>
        <v>5.668000000000001</v>
      </c>
      <c r="G36" s="259">
        <f>+G33-G35</f>
        <v>35.72399999999999</v>
      </c>
      <c r="H36" s="127"/>
      <c r="I36" s="257">
        <f>+I33-I35</f>
        <v>5.3039999999999905</v>
      </c>
      <c r="J36" s="257">
        <f>+J33-J35</f>
        <v>4.0300000000000065</v>
      </c>
      <c r="K36" s="257">
        <f>+K33-K35</f>
        <v>7.2600000000000087</v>
      </c>
      <c r="L36" s="257">
        <f>+L33-L35</f>
        <v>4.8869999999999951</v>
      </c>
      <c r="M36" s="259">
        <f>+M33-M35</f>
        <v>21.481000000000002</v>
      </c>
      <c r="N36" s="127"/>
      <c r="O36" s="257">
        <f>+O33-O35</f>
        <v>3.1909999999999883</v>
      </c>
      <c r="P36" s="257">
        <f>+P33-P35</f>
        <v>4.8270000000000062</v>
      </c>
      <c r="Q36" s="257">
        <f>+Q33-Q35</f>
        <v>8.9060000000000041</v>
      </c>
      <c r="R36" s="257">
        <f>+R33-R35</f>
        <v>12.145999999999965</v>
      </c>
      <c r="S36" s="259">
        <f>+S33-S35</f>
        <v>29.069999999999979</v>
      </c>
      <c r="T36" s="127"/>
      <c r="U36" s="257">
        <f>+U33-U35</f>
        <v>15.541</v>
      </c>
      <c r="V36" s="257">
        <f>+V33-V35</f>
        <v>16.454999999999995</v>
      </c>
      <c r="W36" s="257">
        <f>+W33-W35</f>
        <v>19.335000000000004</v>
      </c>
      <c r="X36" s="257">
        <f>+X33-X35</f>
        <v>10.964999999999973</v>
      </c>
      <c r="Y36" s="259">
        <f>+Y33-Y35</f>
        <v>62.295999999999964</v>
      </c>
      <c r="Z36" s="127"/>
      <c r="AA36" s="257">
        <f>+AA33-AA35</f>
        <v>16.943000000000005</v>
      </c>
      <c r="AB36" s="257">
        <f>+AB33-AB35</f>
        <v>16.279</v>
      </c>
      <c r="AC36" s="257">
        <f>+AC33-AC35</f>
        <v>21.94100000000001</v>
      </c>
      <c r="AD36" s="257">
        <f>+AD33-AD35</f>
        <v>22.980999999999995</v>
      </c>
      <c r="AE36" s="259">
        <f>+AE33-AE35</f>
        <v>78.143999999999977</v>
      </c>
      <c r="AF36" s="127"/>
      <c r="AG36" s="257">
        <f>+AG33-AG35</f>
        <v>22.122000000000007</v>
      </c>
      <c r="AH36" s="257">
        <f>+AH33-AH35</f>
        <v>28.598000000000006</v>
      </c>
      <c r="AI36" s="257">
        <f>+AI33-AI35</f>
        <v>23.700000000000014</v>
      </c>
      <c r="AJ36" s="257">
        <f>+AJ33-AJ35</f>
        <v>22.327999999999999</v>
      </c>
      <c r="AK36" s="259">
        <f>+AK33-AK35</f>
        <v>96.748000000000104</v>
      </c>
      <c r="AL36" s="127"/>
      <c r="AM36" s="258">
        <f>+AM33-AM35</f>
        <v>21.242000000000033</v>
      </c>
      <c r="AN36" s="258">
        <f>+AN33-AN35</f>
        <v>29.320000000000007</v>
      </c>
      <c r="AO36" s="258">
        <f>+AO33-AO35</f>
        <v>34.536999999999999</v>
      </c>
      <c r="AP36" s="258">
        <f>+AP33-AP35</f>
        <v>42.422000000000004</v>
      </c>
      <c r="AQ36" s="259">
        <f>+AQ33-AQ35</f>
        <v>127.52099999999999</v>
      </c>
      <c r="AR36" s="127"/>
      <c r="AS36" s="258">
        <f>+AS33-AS35</f>
        <v>32.443999999999988</v>
      </c>
      <c r="AT36" s="258">
        <f>+AT33-AT35</f>
        <v>35.599999999999994</v>
      </c>
      <c r="AU36" s="258">
        <f>+AU33-AU35</f>
        <v>38.246999999999993</v>
      </c>
      <c r="AV36" s="258">
        <f>+AV33-AV35</f>
        <v>39.540999999999983</v>
      </c>
      <c r="AW36" s="259">
        <f>+AW33-AW35</f>
        <v>145.83200000000002</v>
      </c>
      <c r="AX36" s="127"/>
      <c r="AY36" s="258">
        <f>+AY33-AY35</f>
        <v>31.267560000000003</v>
      </c>
      <c r="AZ36" s="258">
        <f>+AZ33-AZ35</f>
        <v>31.350000000000016</v>
      </c>
      <c r="BA36" s="258">
        <f>+BA33-BA35</f>
        <v>27.615999999999993</v>
      </c>
      <c r="BB36" s="258">
        <f>+BB33-BB35</f>
        <v>48.877000000000031</v>
      </c>
      <c r="BC36" s="259">
        <f>+BC33-BC35</f>
        <v>139.11056000000025</v>
      </c>
      <c r="BD36" s="127"/>
      <c r="BE36" s="258">
        <f>+BE33-BE35</f>
        <v>40.546000000000035</v>
      </c>
      <c r="BF36" s="258">
        <f>+BF33-BF35</f>
        <v>50.148000000000025</v>
      </c>
      <c r="BG36" s="781">
        <f>+BG33-BG35</f>
        <v>51.367000000000004</v>
      </c>
      <c r="BH36" s="258">
        <f>+BH33-BH35</f>
        <v>47.980999999999973</v>
      </c>
      <c r="BI36" s="259">
        <f>+BI33-BI35</f>
        <v>190.04199999999997</v>
      </c>
      <c r="BJ36" s="127"/>
      <c r="BK36" s="258">
        <f>+BK33-BK35</f>
        <v>69.42</v>
      </c>
      <c r="BL36" s="258">
        <f>+BL33-BL35</f>
        <v>69.179000000000016</v>
      </c>
      <c r="BM36" s="781">
        <f>+BM33-BM35</f>
        <v>82.555000000000007</v>
      </c>
      <c r="BN36" s="781">
        <f>+BN33-BN35</f>
        <v>96.86399999999999</v>
      </c>
      <c r="BO36" s="259">
        <f>+BO33-BO35</f>
        <v>318.01800000000009</v>
      </c>
      <c r="BP36" s="127"/>
      <c r="BQ36" s="258">
        <f>+BQ33-BQ35</f>
        <v>95.865999999999943</v>
      </c>
      <c r="BR36" s="258">
        <f>+BR33-BR35</f>
        <v>97.245802292294272</v>
      </c>
      <c r="BS36" s="258">
        <f>+BS33-BS35</f>
        <v>97.160037017123003</v>
      </c>
      <c r="BT36" s="258">
        <f>+BT33-BT35</f>
        <v>109.69888854810318</v>
      </c>
      <c r="BU36" s="259">
        <f>+BU33-BU35</f>
        <v>399.97072785752022</v>
      </c>
      <c r="BV36" s="127"/>
      <c r="BW36" s="258">
        <f>+BW33-BW35</f>
        <v>107.63669769767534</v>
      </c>
      <c r="BX36" s="258">
        <f>+BX33-BX35</f>
        <v>126.64524059714589</v>
      </c>
      <c r="BY36" s="258">
        <f>+BY33-BY35</f>
        <v>138.7547347725033</v>
      </c>
      <c r="BZ36" s="258">
        <f>+BZ33-BZ35</f>
        <v>153.90192801793552</v>
      </c>
      <c r="CA36" s="259">
        <f>+CA33-CA35</f>
        <v>526.93860108526019</v>
      </c>
      <c r="CB36" s="127"/>
      <c r="CC36" s="258">
        <f>+CC33-CC35</f>
        <v>153.84467911750437</v>
      </c>
      <c r="CD36" s="258">
        <f>+CD33-CD35</f>
        <v>176.02213955458916</v>
      </c>
      <c r="CE36" s="258">
        <f>+CE33-CE35</f>
        <v>193.51802238499693</v>
      </c>
      <c r="CF36" s="258">
        <f>+CF33-CF35</f>
        <v>212.29683881279286</v>
      </c>
      <c r="CG36" s="259">
        <f>+CG33-CG35</f>
        <v>735.68167986988374</v>
      </c>
      <c r="CH36" s="258"/>
      <c r="CI36" s="258"/>
      <c r="CQ36" s="133"/>
      <c r="CR36" s="133"/>
      <c r="CS36" s="133"/>
      <c r="CT36" s="77"/>
      <c r="CU36" s="77"/>
      <c r="CV36" s="77"/>
      <c r="CW36" s="77"/>
      <c r="CX36" s="77"/>
      <c r="CY36" s="77"/>
      <c r="CZ36" s="77"/>
      <c r="DA36" s="77"/>
      <c r="DB36" s="77"/>
      <c r="DC36" s="77"/>
      <c r="DD36" s="77"/>
      <c r="DE36" s="77"/>
    </row>
    <row r="37" spans="1:109" ht="12.75" hidden="1" customHeight="1" outlineLevel="1" x14ac:dyDescent="0.2">
      <c r="A37" s="43"/>
      <c r="B37" s="121" t="s">
        <v>74</v>
      </c>
      <c r="C37" s="258"/>
      <c r="D37" s="258"/>
      <c r="E37" s="258"/>
      <c r="F37" s="258"/>
      <c r="G37" s="259">
        <f>('Cash Flow'!F53/'P&amp;L'!G77)</f>
        <v>1.2693987235471951</v>
      </c>
      <c r="H37" s="258"/>
      <c r="I37" s="36">
        <f>('Cash Flow'!H53/'P&amp;L'!I77)</f>
        <v>-0.38273001508295867</v>
      </c>
      <c r="J37" s="36">
        <f>('Cash Flow'!I53/'P&amp;L'!J77)</f>
        <v>1.4957816377171207</v>
      </c>
      <c r="K37" s="36">
        <f>('Cash Flow'!J53/'P&amp;L'!K77)</f>
        <v>2.8373085127011795</v>
      </c>
      <c r="L37" s="36">
        <f>('Cash Flow'!K53/'P&amp;L'!L77)</f>
        <v>0.10354830829363615</v>
      </c>
      <c r="M37" s="259">
        <f>('Cash Flow'!L53/'P&amp;L'!M77)</f>
        <v>0.31770162651430839</v>
      </c>
      <c r="N37" s="258"/>
      <c r="O37" s="36">
        <f>('Cash Flow'!N53/'P&amp;L'!O77)</f>
        <v>3.3069044006069914</v>
      </c>
      <c r="P37" s="36">
        <f>('Cash Flow'!O53/'P&amp;L'!P77)</f>
        <v>3.8178217821782128</v>
      </c>
      <c r="Q37" s="36">
        <f>('Cash Flow'!P53/'P&amp;L'!Q77)</f>
        <v>-0.19528653237755811</v>
      </c>
      <c r="R37" s="36">
        <f>('Cash Flow'!Q53/'P&amp;L'!R77)</f>
        <v>2.7106682909850388</v>
      </c>
      <c r="S37" s="259">
        <f>('Cash Flow'!R53/'P&amp;L'!S77)</f>
        <v>-2.141833765070833</v>
      </c>
      <c r="T37" s="258"/>
      <c r="U37" s="36">
        <f>('Cash Flow'!T53/'P&amp;L'!U77)</f>
        <v>0.94541192230408588</v>
      </c>
      <c r="V37" s="36">
        <f>('Cash Flow'!U53/'P&amp;L'!V77)</f>
        <v>1.1740330644419228</v>
      </c>
      <c r="W37" s="36">
        <f>('Cash Flow'!V53/'P&amp;L'!W77)</f>
        <v>1.9435028248587569</v>
      </c>
      <c r="X37" s="36">
        <f>('Cash Flow'!W53/'P&amp;L'!X77)</f>
        <v>2.667945482079761</v>
      </c>
      <c r="Y37" s="259">
        <f>('Cash Flow'!X53/'P&amp;L'!Y77)</f>
        <v>1.5015958951153492</v>
      </c>
      <c r="Z37" s="258"/>
      <c r="AA37" s="36">
        <f>('Cash Flow'!Z53/'P&amp;L'!AA77)</f>
        <v>0.91048544915093754</v>
      </c>
      <c r="AB37" s="36">
        <f>('Cash Flow'!AA53/'P&amp;L'!AB77)</f>
        <v>2.1500627127754881</v>
      </c>
      <c r="AC37" s="36">
        <f>('Cash Flow'!AB53/'P&amp;L'!AC77)</f>
        <v>1.5068521594684374</v>
      </c>
      <c r="AD37" s="36">
        <f>('Cash Flow'!AC53/'P&amp;L'!AD77)</f>
        <v>1.5995892219668435</v>
      </c>
      <c r="AE37" s="259">
        <f>('Cash Flow'!AD53/'P&amp;L'!AE77)</f>
        <v>1.5012890461058821</v>
      </c>
      <c r="AF37" s="258"/>
      <c r="AG37" s="36">
        <f>('Cash Flow'!AF53/'P&amp;L'!AG77)</f>
        <v>0.13653259626382022</v>
      </c>
      <c r="AH37" s="36">
        <f>('Cash Flow'!AG53/'P&amp;L'!AH77)</f>
        <v>0.49529692545275839</v>
      </c>
      <c r="AI37" s="427" t="s">
        <v>80</v>
      </c>
      <c r="AJ37" s="36">
        <f>('Cash Flow'!AI53/'P&amp;L'!AJ77)</f>
        <v>4.5935767339679883</v>
      </c>
      <c r="AK37" s="259">
        <f>('Cash Flow'!AJ53/'P&amp;L'!AK77)</f>
        <v>1.6262288936974987</v>
      </c>
      <c r="AL37" s="258"/>
      <c r="AM37" s="36">
        <f>('Cash Flow'!AL53/'P&amp;L'!AM77)</f>
        <v>-0.29890670033108646</v>
      </c>
      <c r="AN37" s="36">
        <f>('Cash Flow'!AM53/'P&amp;L'!AN77)</f>
        <v>1.4252387448840382</v>
      </c>
      <c r="AO37" s="36">
        <f>('Cash Flow'!AN53/'P&amp;L'!AO77)</f>
        <v>1.4290471088977037</v>
      </c>
      <c r="AP37" s="36">
        <f>('Cash Flow'!AO53/'P&amp;L'!AP77)</f>
        <v>1.4820611946631463</v>
      </c>
      <c r="AQ37" s="259">
        <f>('Cash Flow'!AP53/'P&amp;L'!AQ77)</f>
        <v>2.5905810625855428</v>
      </c>
      <c r="AR37" s="258"/>
      <c r="AS37" s="36">
        <f>('Cash Flow'!AR53/'P&amp;L'!AS77)</f>
        <v>0.40059795339662202</v>
      </c>
      <c r="AT37" s="36">
        <f>('Cash Flow'!AS53/'P&amp;L'!AT77)</f>
        <v>1.8192696629213481</v>
      </c>
      <c r="AU37" s="36">
        <f>('Cash Flow'!AT53/'P&amp;L'!AU77)</f>
        <v>1.5837582032577717</v>
      </c>
      <c r="AV37" s="36">
        <f>('Cash Flow'!AU53/'P&amp;L'!AV77)</f>
        <v>1.6304595230267325</v>
      </c>
      <c r="AW37" s="259">
        <f>('Cash Flow'!AV53/'P&amp;L'!AW77)</f>
        <v>1.3906892863020457</v>
      </c>
      <c r="AX37" s="258"/>
      <c r="AY37" s="36">
        <f>('Cash Flow'!AX53/'P&amp;L'!AY77)</f>
        <v>0.55374961992426097</v>
      </c>
      <c r="AZ37" s="36">
        <f>('Cash Flow'!AY53/'P&amp;L'!AZ77)</f>
        <v>1.6708133971291865</v>
      </c>
      <c r="BA37" s="36">
        <f>('Cash Flow'!AZ53/'P&amp;L'!BA77)</f>
        <v>1.7948290845886439</v>
      </c>
      <c r="BB37" s="36">
        <f>('Cash Flow'!BA53/'P&amp;L'!BB77)</f>
        <v>1.2800908402725208</v>
      </c>
      <c r="BC37" s="259">
        <f>('Cash Flow'!BB53/'P&amp;L'!BC77)</f>
        <v>1.2813914734064711</v>
      </c>
      <c r="BD37" s="258"/>
      <c r="BE37" s="36">
        <f>('Cash Flow'!BD53/'P&amp;L'!BE77)</f>
        <v>0.45762837271247453</v>
      </c>
      <c r="BF37" s="36">
        <f>('Cash Flow'!BE53/'P&amp;L'!BF77)</f>
        <v>1.1957406078009094</v>
      </c>
      <c r="BG37" s="36">
        <f>('Cash Flow'!BF53/'P&amp;L'!BG77)</f>
        <v>0.89026028383981948</v>
      </c>
      <c r="BH37" s="36">
        <f>('Cash Flow'!BG53/'P&amp;L'!BH77)</f>
        <v>1.4615820751349196</v>
      </c>
      <c r="BI37" s="259">
        <f>('Cash Flow'!BH53/'P&amp;L'!BI77)</f>
        <v>1.0219788909859659</v>
      </c>
      <c r="BJ37" s="258"/>
      <c r="BK37" s="36">
        <f>('Cash Flow'!BJ53/'P&amp;L'!BK77)</f>
        <v>-0.1721117833477383</v>
      </c>
      <c r="BL37" s="36">
        <f>('Cash Flow'!BK53/'P&amp;L'!BL77)</f>
        <v>1.3297532488182831</v>
      </c>
      <c r="BM37" s="36">
        <f>('Cash Flow'!BL53/'P&amp;L'!BM77)</f>
        <v>0.84816183150626856</v>
      </c>
      <c r="BN37" s="36">
        <f>('Cash Flow'!BM53/'P&amp;L'!BN77)</f>
        <v>9.0394583008573672</v>
      </c>
      <c r="BO37" s="259">
        <f>('Cash Flow'!BN53/'P&amp;L'!BO77)</f>
        <v>1.0493738602874447</v>
      </c>
      <c r="BP37" s="258"/>
      <c r="BQ37" s="36">
        <f>('Cash Flow'!BP53/'P&amp;L'!BQ77)</f>
        <v>0.18474747073547035</v>
      </c>
      <c r="BR37" s="36">
        <f>('Cash Flow'!BQ53/'P&amp;L'!BR77)</f>
        <v>0.72206232897629496</v>
      </c>
      <c r="BS37" s="36">
        <f>('Cash Flow'!BR53/'P&amp;L'!BS77)</f>
        <v>0.42773116236669217</v>
      </c>
      <c r="BT37" s="36">
        <f>('Cash Flow'!BS53/'P&amp;L'!BT77)</f>
        <v>0.75719352710993271</v>
      </c>
      <c r="BU37" s="259">
        <f>('Cash Flow'!BT53/'P&amp;L'!BU77)</f>
        <v>0.53141437765487487</v>
      </c>
      <c r="BV37" s="258"/>
      <c r="BW37" s="36">
        <f>('Cash Flow'!BV53/'P&amp;L'!BW77)</f>
        <v>0.69638633349986423</v>
      </c>
      <c r="BX37" s="36">
        <f>('Cash Flow'!BW53/'P&amp;L'!BX77)</f>
        <v>1.0424880711513052</v>
      </c>
      <c r="BY37" s="36">
        <f>('Cash Flow'!BX53/'P&amp;L'!BY77)</f>
        <v>0.78269469452341889</v>
      </c>
      <c r="BZ37" s="36">
        <f>('Cash Flow'!BY53/'P&amp;L'!BZ77)</f>
        <v>1.0684220397222157</v>
      </c>
      <c r="CA37" s="259">
        <f>('Cash Flow'!BZ53/'P&amp;L'!CA77)</f>
        <v>0.91095562833744159</v>
      </c>
      <c r="CB37" s="258"/>
      <c r="CC37" s="36">
        <f>('Cash Flow'!CB53/'P&amp;L'!CC77)</f>
        <v>0.75017450901124305</v>
      </c>
      <c r="CD37" s="36">
        <f>('Cash Flow'!CC53/'P&amp;L'!CD77)</f>
        <v>1.0560551208745248</v>
      </c>
      <c r="CE37" s="36">
        <f>('Cash Flow'!CE53/'P&amp;L'!CE77)</f>
        <v>1.1801705583203055</v>
      </c>
      <c r="CF37" s="36">
        <f>('Cash Flow'!CF53/'P&amp;L'!CF77)</f>
        <v>3.2485159838995457</v>
      </c>
      <c r="CG37" s="259">
        <f>('Cash Flow'!CH53/'P&amp;L'!CG77)</f>
        <v>0</v>
      </c>
      <c r="CH37" s="258"/>
      <c r="CI37" s="258"/>
      <c r="CQ37" s="43"/>
      <c r="CR37" s="43"/>
      <c r="CS37" s="43"/>
      <c r="CT37" s="77"/>
      <c r="CU37" s="77"/>
      <c r="CV37" s="77"/>
      <c r="CW37" s="77"/>
      <c r="CX37" s="77"/>
      <c r="CY37" s="77"/>
      <c r="CZ37" s="77"/>
      <c r="DA37" s="77"/>
      <c r="DB37" s="77"/>
      <c r="DC37" s="77"/>
      <c r="DD37" s="77"/>
      <c r="DE37" s="77"/>
    </row>
    <row r="38" spans="1:109" ht="3.75" hidden="1" customHeight="1" outlineLevel="1" x14ac:dyDescent="0.2">
      <c r="A38" s="42"/>
      <c r="B38" s="33"/>
      <c r="C38" s="37"/>
      <c r="D38" s="37"/>
      <c r="E38" s="37"/>
      <c r="F38" s="37"/>
      <c r="G38" s="97"/>
      <c r="H38" s="236"/>
      <c r="I38" s="37"/>
      <c r="J38" s="37"/>
      <c r="K38" s="37"/>
      <c r="L38" s="37"/>
      <c r="M38" s="97"/>
      <c r="N38" s="236"/>
      <c r="O38" s="37"/>
      <c r="P38" s="37"/>
      <c r="Q38" s="37"/>
      <c r="R38" s="37"/>
      <c r="S38" s="97"/>
      <c r="T38" s="236"/>
      <c r="U38" s="37"/>
      <c r="V38" s="37"/>
      <c r="W38" s="37"/>
      <c r="X38" s="37"/>
      <c r="Y38" s="97"/>
      <c r="Z38" s="236"/>
      <c r="AA38" s="413"/>
      <c r="AB38" s="37"/>
      <c r="AC38" s="37"/>
      <c r="AD38" s="37"/>
      <c r="AE38" s="97"/>
      <c r="AF38" s="236"/>
      <c r="AG38" s="37"/>
      <c r="AH38" s="37"/>
      <c r="AI38" s="37"/>
      <c r="AJ38" s="37"/>
      <c r="AK38" s="97"/>
      <c r="AL38" s="236"/>
      <c r="AM38" s="37"/>
      <c r="AN38" s="37"/>
      <c r="AO38" s="37"/>
      <c r="AP38" s="37"/>
      <c r="AQ38" s="97"/>
      <c r="AR38" s="236"/>
      <c r="AS38" s="37"/>
      <c r="AT38" s="37"/>
      <c r="AU38" s="37"/>
      <c r="AV38" s="37"/>
      <c r="AW38" s="97"/>
      <c r="AX38" s="236"/>
      <c r="AY38" s="37"/>
      <c r="AZ38" s="37"/>
      <c r="BA38" s="37"/>
      <c r="BB38" s="37"/>
      <c r="BC38" s="97"/>
      <c r="BD38" s="236"/>
      <c r="BE38" s="37"/>
      <c r="BF38" s="37"/>
      <c r="BG38" s="784"/>
      <c r="BH38" s="37"/>
      <c r="BI38" s="97"/>
      <c r="BJ38" s="236"/>
      <c r="BK38" s="37"/>
      <c r="BL38" s="37"/>
      <c r="BM38" s="784"/>
      <c r="BN38" s="784"/>
      <c r="BO38" s="97"/>
      <c r="BP38" s="236"/>
      <c r="BQ38" s="37"/>
      <c r="BR38" s="37"/>
      <c r="BS38" s="37"/>
      <c r="BT38" s="37"/>
      <c r="BU38" s="97"/>
      <c r="BV38" s="236"/>
      <c r="BW38" s="37"/>
      <c r="BX38" s="37"/>
      <c r="BY38" s="37"/>
      <c r="BZ38" s="37"/>
      <c r="CA38" s="97"/>
      <c r="CB38" s="236"/>
      <c r="CC38" s="37"/>
      <c r="CD38" s="37"/>
      <c r="CE38" s="37"/>
      <c r="CF38" s="37"/>
      <c r="CG38" s="97"/>
      <c r="CH38" s="37"/>
      <c r="CI38" s="37"/>
      <c r="CP38" s="46"/>
      <c r="CQ38" s="42"/>
      <c r="CR38" s="42"/>
      <c r="CS38" s="42"/>
      <c r="CT38" s="77"/>
      <c r="CU38" s="77"/>
      <c r="CV38" s="77"/>
      <c r="CW38" s="77"/>
      <c r="CX38" s="77"/>
      <c r="CY38" s="77"/>
      <c r="CZ38" s="77"/>
      <c r="DA38" s="77"/>
      <c r="DB38" s="77"/>
      <c r="DC38" s="77"/>
      <c r="DD38" s="77"/>
      <c r="DE38" s="77"/>
    </row>
    <row r="39" spans="1:109" collapsed="1" x14ac:dyDescent="0.2">
      <c r="A39" s="42"/>
      <c r="B39" s="563" t="s">
        <v>97</v>
      </c>
      <c r="C39" s="413">
        <v>69.331000000000003</v>
      </c>
      <c r="D39" s="413">
        <v>71.206999999999994</v>
      </c>
      <c r="E39" s="413">
        <v>72.23</v>
      </c>
      <c r="F39" s="413">
        <v>71.864000000000004</v>
      </c>
      <c r="G39" s="564">
        <v>71.444000000000003</v>
      </c>
      <c r="H39" s="164"/>
      <c r="I39" s="413">
        <v>70.86</v>
      </c>
      <c r="J39" s="413">
        <v>69.915999999999997</v>
      </c>
      <c r="K39" s="413">
        <v>68.703999999999994</v>
      </c>
      <c r="L39" s="413">
        <v>66.816000000000003</v>
      </c>
      <c r="M39" s="564">
        <v>68.063999999999993</v>
      </c>
      <c r="N39" s="164"/>
      <c r="O39" s="413">
        <v>66.447000000000003</v>
      </c>
      <c r="P39" s="413">
        <v>67.373000000000005</v>
      </c>
      <c r="Q39" s="413">
        <v>69.528000000000006</v>
      </c>
      <c r="R39" s="413">
        <v>76.831000000000003</v>
      </c>
      <c r="S39" s="564">
        <v>69.093999999999994</v>
      </c>
      <c r="T39" s="164"/>
      <c r="U39" s="413">
        <v>77.596999999999994</v>
      </c>
      <c r="V39" s="413">
        <v>77.606999999999999</v>
      </c>
      <c r="W39" s="413">
        <v>78.108999999999995</v>
      </c>
      <c r="X39" s="413">
        <v>78.724000000000004</v>
      </c>
      <c r="Y39" s="564">
        <v>78.08</v>
      </c>
      <c r="Z39" s="164"/>
      <c r="AA39" s="413">
        <v>79.361000000000004</v>
      </c>
      <c r="AB39" s="413">
        <v>80.320999999999998</v>
      </c>
      <c r="AC39" s="413">
        <v>80.266000000000005</v>
      </c>
      <c r="AD39" s="413">
        <v>80.849000000000004</v>
      </c>
      <c r="AE39" s="165">
        <f>+AVERAGE(AA39:AD39)</f>
        <v>80.199250000000006</v>
      </c>
      <c r="AF39" s="164"/>
      <c r="AG39" s="450">
        <v>81.855999999999995</v>
      </c>
      <c r="AH39" s="413">
        <v>82.953999999999994</v>
      </c>
      <c r="AI39" s="413">
        <v>83.906000000000006</v>
      </c>
      <c r="AJ39" s="413">
        <v>82.980999999999995</v>
      </c>
      <c r="AK39" s="165">
        <f>+AVERAGE(AG39:AJ39)</f>
        <v>82.924250000000001</v>
      </c>
      <c r="AL39" s="164"/>
      <c r="AM39" s="413">
        <v>81.248000000000005</v>
      </c>
      <c r="AN39" s="413">
        <v>82.149000000000001</v>
      </c>
      <c r="AO39" s="413">
        <v>81.847999999999999</v>
      </c>
      <c r="AP39" s="413">
        <v>82.438000000000002</v>
      </c>
      <c r="AQ39" s="165">
        <f>+AVERAGE(AM39:AP39)</f>
        <v>81.920749999999998</v>
      </c>
      <c r="AR39" s="164"/>
      <c r="AS39" s="413">
        <v>82.816999999999993</v>
      </c>
      <c r="AT39" s="413">
        <v>82.340999999999994</v>
      </c>
      <c r="AU39" s="413">
        <v>82.013999999999996</v>
      </c>
      <c r="AV39" s="413">
        <v>81.691000000000003</v>
      </c>
      <c r="AW39" s="637">
        <v>82.283000000000001</v>
      </c>
      <c r="AX39" s="164"/>
      <c r="AY39" s="413">
        <v>81.823999999999998</v>
      </c>
      <c r="AZ39" s="413">
        <v>81.394000000000005</v>
      </c>
      <c r="BA39" s="413">
        <v>81.091999999999999</v>
      </c>
      <c r="BB39" s="413">
        <v>81.051000000000002</v>
      </c>
      <c r="BC39" s="165">
        <f>+AVERAGE(AY39:BB39)</f>
        <v>81.340249999999997</v>
      </c>
      <c r="BD39" s="164"/>
      <c r="BE39" s="413">
        <v>81.319999999999993</v>
      </c>
      <c r="BF39" s="413">
        <v>81.281000000000006</v>
      </c>
      <c r="BG39" s="413">
        <v>81.465999999999994</v>
      </c>
      <c r="BH39" s="413">
        <v>81.248000000000005</v>
      </c>
      <c r="BI39" s="165">
        <f>+AVERAGE(BE39:BH39)</f>
        <v>81.328749999999999</v>
      </c>
      <c r="BJ39" s="164"/>
      <c r="BK39" s="850">
        <v>81.534000000000006</v>
      </c>
      <c r="BL39" s="850">
        <v>81.631</v>
      </c>
      <c r="BM39" s="413">
        <v>81.789000000000001</v>
      </c>
      <c r="BN39" s="413">
        <v>81.863</v>
      </c>
      <c r="BO39" s="165">
        <f>+AVERAGE(BK39:BN39)</f>
        <v>81.704250000000002</v>
      </c>
      <c r="BP39" s="164"/>
      <c r="BQ39" s="850">
        <v>81.628</v>
      </c>
      <c r="BR39" s="164">
        <f>BQ39-BQ41+BR41</f>
        <v>80.27124511563035</v>
      </c>
      <c r="BS39" s="164">
        <f>BR39-BR41+BS41</f>
        <v>79.981125135526312</v>
      </c>
      <c r="BT39" s="164">
        <f>BS39-BS41+BT41</f>
        <v>79.73393005868077</v>
      </c>
      <c r="BU39" s="165">
        <f>+AVERAGE(BQ39:BT39)</f>
        <v>80.403575077459351</v>
      </c>
      <c r="BV39" s="164"/>
      <c r="BW39" s="164">
        <f>BT39-BT41+BW41</f>
        <v>79.492398576817536</v>
      </c>
      <c r="BX39" s="164">
        <f>BW39-BW41+BX41</f>
        <v>79.223148837667182</v>
      </c>
      <c r="BY39" s="164">
        <f>BX39-BX41+BY41</f>
        <v>78.96337692714097</v>
      </c>
      <c r="BZ39" s="164">
        <f>BY39-BY41+BZ41</f>
        <v>78.744299947492564</v>
      </c>
      <c r="CA39" s="165">
        <f>+AVERAGE(BW39:BZ39)</f>
        <v>79.105806072279563</v>
      </c>
      <c r="CB39" s="164"/>
      <c r="CC39" s="164">
        <f>BZ39-BZ41+CC41</f>
        <v>78.51984494443532</v>
      </c>
      <c r="CD39" s="164">
        <f>CC39-CC41+CD41</f>
        <v>78.260445327562863</v>
      </c>
      <c r="CE39" s="164">
        <f>CD39-CD41+CE41</f>
        <v>78.051674810085885</v>
      </c>
      <c r="CF39" s="164">
        <f>CE39-CE41+CF41</f>
        <v>77.512316152847433</v>
      </c>
      <c r="CG39" s="165">
        <f>+AVERAGE(CC39:CF39)</f>
        <v>78.086070308732872</v>
      </c>
      <c r="CH39" s="362"/>
      <c r="CI39" s="362"/>
      <c r="CR39" s="166"/>
      <c r="CS39" s="166"/>
      <c r="CT39" s="77"/>
      <c r="CU39" s="77"/>
      <c r="CV39" s="77"/>
      <c r="CW39" s="77"/>
      <c r="CX39" s="77"/>
      <c r="CY39" s="77"/>
      <c r="CZ39" s="77"/>
      <c r="DA39" s="77"/>
      <c r="DB39" s="77"/>
      <c r="DC39" s="77"/>
      <c r="DD39" s="77"/>
      <c r="DE39" s="77"/>
    </row>
    <row r="40" spans="1:109" ht="12.75" hidden="1" customHeight="1" outlineLevel="1" x14ac:dyDescent="0.2">
      <c r="A40" s="119"/>
      <c r="B40" s="563" t="s">
        <v>175</v>
      </c>
      <c r="C40" s="429">
        <f>+C39</f>
        <v>69.331000000000003</v>
      </c>
      <c r="D40" s="429">
        <f>+D39</f>
        <v>71.206999999999994</v>
      </c>
      <c r="E40" s="429">
        <f>+E39</f>
        <v>72.23</v>
      </c>
      <c r="F40" s="429">
        <f>+F39</f>
        <v>71.864000000000004</v>
      </c>
      <c r="G40" s="165">
        <f>+G39</f>
        <v>71.444000000000003</v>
      </c>
      <c r="H40" s="164"/>
      <c r="I40" s="429">
        <f>+I39</f>
        <v>70.86</v>
      </c>
      <c r="J40" s="429">
        <f>+J39</f>
        <v>69.915999999999997</v>
      </c>
      <c r="K40" s="429">
        <f>+K39</f>
        <v>68.703999999999994</v>
      </c>
      <c r="L40" s="429">
        <f>+L39</f>
        <v>66.816000000000003</v>
      </c>
      <c r="M40" s="165">
        <f>+M39</f>
        <v>68.063999999999993</v>
      </c>
      <c r="N40" s="164"/>
      <c r="O40" s="429">
        <f>+O39</f>
        <v>66.447000000000003</v>
      </c>
      <c r="P40" s="429">
        <f>+P39</f>
        <v>67.373000000000005</v>
      </c>
      <c r="Q40" s="413">
        <v>70.926000000000002</v>
      </c>
      <c r="R40" s="429">
        <f>+R39</f>
        <v>76.831000000000003</v>
      </c>
      <c r="S40" s="564">
        <v>70.602000000000004</v>
      </c>
      <c r="T40" s="164"/>
      <c r="U40" s="429">
        <f>+U39</f>
        <v>77.596999999999994</v>
      </c>
      <c r="V40" s="429">
        <f>+V39</f>
        <v>77.606999999999999</v>
      </c>
      <c r="W40" s="429">
        <f>+W39</f>
        <v>78.108999999999995</v>
      </c>
      <c r="X40" s="429">
        <f>+X39</f>
        <v>78.724000000000004</v>
      </c>
      <c r="Y40" s="165">
        <f>+Y39</f>
        <v>78.08</v>
      </c>
      <c r="Z40" s="164"/>
      <c r="AA40" s="429">
        <f>+AA39</f>
        <v>79.361000000000004</v>
      </c>
      <c r="AB40" s="429">
        <f>+AB39</f>
        <v>80.320999999999998</v>
      </c>
      <c r="AC40" s="429">
        <f>+AC39</f>
        <v>80.266000000000005</v>
      </c>
      <c r="AD40" s="429">
        <f>+AD39</f>
        <v>80.849000000000004</v>
      </c>
      <c r="AE40" s="165">
        <f>+AE39</f>
        <v>80.199250000000006</v>
      </c>
      <c r="AF40" s="164"/>
      <c r="AG40" s="429">
        <f>+AG39</f>
        <v>81.855999999999995</v>
      </c>
      <c r="AH40" s="429">
        <f>+AH39</f>
        <v>82.953999999999994</v>
      </c>
      <c r="AI40" s="429">
        <f>+AI39</f>
        <v>83.906000000000006</v>
      </c>
      <c r="AJ40" s="164">
        <f>+AJ39</f>
        <v>82.980999999999995</v>
      </c>
      <c r="AK40" s="165">
        <f>+AK39</f>
        <v>82.924250000000001</v>
      </c>
      <c r="AL40" s="164"/>
      <c r="AM40" s="164">
        <f>+AM39</f>
        <v>81.248000000000005</v>
      </c>
      <c r="AN40" s="164">
        <f>+AN39</f>
        <v>82.149000000000001</v>
      </c>
      <c r="AO40" s="164">
        <f>+AO39</f>
        <v>81.847999999999999</v>
      </c>
      <c r="AP40" s="164">
        <f>+AP39</f>
        <v>82.438000000000002</v>
      </c>
      <c r="AQ40" s="165">
        <f>+AQ39</f>
        <v>81.920749999999998</v>
      </c>
      <c r="AR40" s="164"/>
      <c r="AS40" s="164">
        <f>+AS39</f>
        <v>82.816999999999993</v>
      </c>
      <c r="AT40" s="164">
        <f>+AT39</f>
        <v>82.340999999999994</v>
      </c>
      <c r="AU40" s="164">
        <f>+AU39</f>
        <v>82.013999999999996</v>
      </c>
      <c r="AV40" s="164">
        <f>+AV39</f>
        <v>81.691000000000003</v>
      </c>
      <c r="AW40" s="165">
        <f>+AW39</f>
        <v>82.283000000000001</v>
      </c>
      <c r="AX40" s="164"/>
      <c r="AY40" s="164">
        <f>+AY39</f>
        <v>81.823999999999998</v>
      </c>
      <c r="AZ40" s="164">
        <f>+AZ39</f>
        <v>81.394000000000005</v>
      </c>
      <c r="BA40" s="164">
        <f>+BA39</f>
        <v>81.091999999999999</v>
      </c>
      <c r="BB40" s="164">
        <f>+BB39</f>
        <v>81.051000000000002</v>
      </c>
      <c r="BC40" s="165">
        <f>+BC39</f>
        <v>81.340249999999997</v>
      </c>
      <c r="BD40" s="164"/>
      <c r="BE40" s="164">
        <f>+BE39</f>
        <v>81.319999999999993</v>
      </c>
      <c r="BF40" s="164">
        <f>+BF39</f>
        <v>81.281000000000006</v>
      </c>
      <c r="BG40" s="789">
        <f>+BG39</f>
        <v>81.465999999999994</v>
      </c>
      <c r="BH40" s="164">
        <f>+BH39</f>
        <v>81.248000000000005</v>
      </c>
      <c r="BI40" s="165">
        <f>+BI39</f>
        <v>81.328749999999999</v>
      </c>
      <c r="BJ40" s="164"/>
      <c r="BK40" s="164">
        <f>+BK39</f>
        <v>81.534000000000006</v>
      </c>
      <c r="BL40" s="164">
        <f>+BL39</f>
        <v>81.631</v>
      </c>
      <c r="BM40" s="789">
        <f>+BM39</f>
        <v>81.789000000000001</v>
      </c>
      <c r="BN40" s="789">
        <f>+BN39</f>
        <v>81.863</v>
      </c>
      <c r="BO40" s="165">
        <f>+BO39</f>
        <v>81.704250000000002</v>
      </c>
      <c r="BP40" s="164"/>
      <c r="BQ40" s="164">
        <f>+BQ39</f>
        <v>81.628</v>
      </c>
      <c r="BR40" s="164">
        <f>+BR39</f>
        <v>80.27124511563035</v>
      </c>
      <c r="BS40" s="164">
        <f>+BS39</f>
        <v>79.981125135526312</v>
      </c>
      <c r="BT40" s="164">
        <f>+BT39</f>
        <v>79.73393005868077</v>
      </c>
      <c r="BU40" s="165">
        <f>+BU39</f>
        <v>80.403575077459351</v>
      </c>
      <c r="BV40" s="164"/>
      <c r="BW40" s="164">
        <f>+BW39</f>
        <v>79.492398576817536</v>
      </c>
      <c r="BX40" s="164">
        <f>+BX39</f>
        <v>79.223148837667182</v>
      </c>
      <c r="BY40" s="164">
        <f>+BY39</f>
        <v>78.96337692714097</v>
      </c>
      <c r="BZ40" s="164">
        <f>+BZ39</f>
        <v>78.744299947492564</v>
      </c>
      <c r="CA40" s="165">
        <f>+CA39</f>
        <v>79.105806072279563</v>
      </c>
      <c r="CB40" s="164"/>
      <c r="CC40" s="164">
        <f>+CC39</f>
        <v>78.51984494443532</v>
      </c>
      <c r="CD40" s="164">
        <f>+CD39</f>
        <v>78.260445327562863</v>
      </c>
      <c r="CE40" s="164">
        <f>+CE39</f>
        <v>78.051674810085885</v>
      </c>
      <c r="CF40" s="164">
        <f>+CF39</f>
        <v>77.512316152847433</v>
      </c>
      <c r="CG40" s="165">
        <f>+CG39</f>
        <v>78.086070308732872</v>
      </c>
      <c r="CH40" s="362"/>
      <c r="CI40" s="362"/>
      <c r="CT40" s="77"/>
      <c r="CU40" s="77"/>
      <c r="CV40" s="77"/>
      <c r="CW40" s="77"/>
      <c r="CX40" s="77"/>
      <c r="CY40" s="77"/>
      <c r="CZ40" s="77"/>
      <c r="DA40" s="77"/>
      <c r="DB40" s="77"/>
      <c r="DC40" s="77"/>
      <c r="DD40" s="77"/>
      <c r="DE40" s="77"/>
    </row>
    <row r="41" spans="1:109" ht="12.75" hidden="1" customHeight="1" outlineLevel="1" x14ac:dyDescent="0.2">
      <c r="A41" s="42"/>
      <c r="B41" s="563" t="s">
        <v>100</v>
      </c>
      <c r="C41" s="413">
        <v>65.433000000000007</v>
      </c>
      <c r="D41" s="413">
        <v>66.695999999999998</v>
      </c>
      <c r="E41" s="413">
        <v>67.97</v>
      </c>
      <c r="F41" s="413">
        <v>68.561999999999998</v>
      </c>
      <c r="G41" s="564">
        <v>67.176000000000002</v>
      </c>
      <c r="H41" s="35"/>
      <c r="I41" s="413">
        <v>69.052999999999997</v>
      </c>
      <c r="J41" s="413">
        <v>68.581000000000003</v>
      </c>
      <c r="K41" s="413">
        <v>67.367000000000004</v>
      </c>
      <c r="L41" s="413">
        <v>66.44</v>
      </c>
      <c r="M41" s="564">
        <v>66.811999999999998</v>
      </c>
      <c r="N41" s="35"/>
      <c r="O41" s="413">
        <v>65.983000000000004</v>
      </c>
      <c r="P41" s="413">
        <v>66.284999999999997</v>
      </c>
      <c r="Q41" s="413">
        <v>69.528000000000006</v>
      </c>
      <c r="R41" s="413">
        <v>74.481999999999999</v>
      </c>
      <c r="S41" s="564">
        <v>69.093999999999994</v>
      </c>
      <c r="T41" s="35"/>
      <c r="U41" s="413">
        <v>75.165999999999997</v>
      </c>
      <c r="V41" s="413">
        <v>75.703000000000003</v>
      </c>
      <c r="W41" s="413">
        <v>76.081000000000003</v>
      </c>
      <c r="X41" s="413">
        <v>76.332999999999998</v>
      </c>
      <c r="Y41" s="564">
        <v>75.825000000000003</v>
      </c>
      <c r="Z41" s="35"/>
      <c r="AA41" s="413">
        <v>76.843999999999994</v>
      </c>
      <c r="AB41" s="413">
        <v>77.888000000000005</v>
      </c>
      <c r="AC41" s="413">
        <v>78.454999999999998</v>
      </c>
      <c r="AD41" s="413">
        <v>78.736999999999995</v>
      </c>
      <c r="AE41" s="165">
        <f>+MIN(AVERAGE(AE147:AE148),AE39)</f>
        <v>77.383134022873975</v>
      </c>
      <c r="AF41" s="35"/>
      <c r="AG41" s="450">
        <v>79.234999999999999</v>
      </c>
      <c r="AH41" s="413">
        <v>80.384</v>
      </c>
      <c r="AI41" s="413">
        <v>81.436999999999998</v>
      </c>
      <c r="AJ41" s="413">
        <v>81.043000000000006</v>
      </c>
      <c r="AK41" s="165">
        <f>AVERAGE(AK147:AK148)</f>
        <v>79.493634022873977</v>
      </c>
      <c r="AL41" s="35"/>
      <c r="AM41" s="413">
        <v>81.248000000000005</v>
      </c>
      <c r="AN41" s="413">
        <v>80.575999999999993</v>
      </c>
      <c r="AO41" s="413">
        <v>79.966999999999999</v>
      </c>
      <c r="AP41" s="413">
        <v>80.432000000000002</v>
      </c>
      <c r="AQ41" s="165">
        <f>AVERAGE(AQ147:AQ148)</f>
        <v>80.597000000000008</v>
      </c>
      <c r="AR41" s="35"/>
      <c r="AS41" s="413">
        <v>81.12</v>
      </c>
      <c r="AT41" s="413">
        <v>81.027000000000001</v>
      </c>
      <c r="AU41" s="413">
        <v>80.629000000000005</v>
      </c>
      <c r="AV41" s="413">
        <v>80.266000000000005</v>
      </c>
      <c r="AW41" s="637">
        <v>80.754000000000005</v>
      </c>
      <c r="AX41" s="35"/>
      <c r="AY41" s="413">
        <v>80.459000000000003</v>
      </c>
      <c r="AZ41" s="413">
        <v>80.358000000000004</v>
      </c>
      <c r="BA41" s="413">
        <v>80.173000000000002</v>
      </c>
      <c r="BB41" s="413">
        <v>80.266000000000005</v>
      </c>
      <c r="BC41" s="165">
        <f>AVERAGE(BC147:BC148)</f>
        <v>79.842999999999989</v>
      </c>
      <c r="BD41" s="35"/>
      <c r="BE41" s="413">
        <v>79.831000000000003</v>
      </c>
      <c r="BF41" s="548">
        <v>79.950999999999993</v>
      </c>
      <c r="BG41" s="790">
        <v>79.977000000000004</v>
      </c>
      <c r="BH41" s="790">
        <v>79.667000000000002</v>
      </c>
      <c r="BI41" s="165">
        <f>AVERAGE(BI147:BI148)</f>
        <v>79.516999999999996</v>
      </c>
      <c r="BJ41" s="35"/>
      <c r="BK41" s="548">
        <v>79.903999999999996</v>
      </c>
      <c r="BL41" s="548">
        <v>80.188000000000002</v>
      </c>
      <c r="BM41" s="790">
        <v>80.162999999999997</v>
      </c>
      <c r="BN41" s="790">
        <v>80.08</v>
      </c>
      <c r="BO41" s="165">
        <f>AVERAGE(BO147:BO148)</f>
        <v>79.341555157009509</v>
      </c>
      <c r="BP41" s="35"/>
      <c r="BQ41" s="548">
        <v>80.036000000000001</v>
      </c>
      <c r="BR41" s="35">
        <f>AVERAGE(BR147:BR148)</f>
        <v>78.679245115630351</v>
      </c>
      <c r="BS41" s="35">
        <f>AVERAGE(BS147:BS148)</f>
        <v>78.389125135526314</v>
      </c>
      <c r="BT41" s="35">
        <f>AVERAGE(BT147:BT148)</f>
        <v>78.141930058680771</v>
      </c>
      <c r="BU41" s="165">
        <f>AVERAGE(BU147:BU148)</f>
        <v>78.584497896259847</v>
      </c>
      <c r="BV41" s="35"/>
      <c r="BW41" s="35">
        <f>AVERAGE(BW147:BW148)</f>
        <v>77.900398576817537</v>
      </c>
      <c r="BX41" s="35">
        <f>AVERAGE(BX147:BX148)</f>
        <v>77.631148837667183</v>
      </c>
      <c r="BY41" s="35">
        <f>AVERAGE(BY147:BY148)</f>
        <v>77.371376927140972</v>
      </c>
      <c r="BZ41" s="35">
        <f>AVERAGE(BZ147:BZ148)</f>
        <v>77.152299947492565</v>
      </c>
      <c r="CA41" s="165">
        <f>AVERAGE(CA147:CA148)</f>
        <v>77.550558759701914</v>
      </c>
      <c r="CB41" s="35"/>
      <c r="CC41" s="35">
        <f>AVERAGE(CC147:CC148)</f>
        <v>76.927844944435321</v>
      </c>
      <c r="CD41" s="35">
        <f>AVERAGE(CD147:CD148)</f>
        <v>76.668445327562864</v>
      </c>
      <c r="CE41" s="35">
        <f>AVERAGE(CE147:CE148)</f>
        <v>76.459674810085886</v>
      </c>
      <c r="CF41" s="35">
        <f>AVERAGE(CF147:CF148)</f>
        <v>75.920316152847434</v>
      </c>
      <c r="CG41" s="165">
        <f>AVERAGE(CG147:CG148)</f>
        <v>76.263473766792231</v>
      </c>
      <c r="CH41" s="362"/>
      <c r="CI41" s="362"/>
      <c r="CT41" s="837"/>
      <c r="CU41" s="77"/>
      <c r="CV41" s="77"/>
      <c r="CW41" s="77"/>
      <c r="CX41" s="77"/>
      <c r="CY41" s="77"/>
      <c r="CZ41" s="77"/>
      <c r="DA41" s="77"/>
      <c r="DB41" s="77"/>
      <c r="DC41" s="77"/>
      <c r="DD41" s="77"/>
      <c r="DE41" s="77"/>
    </row>
    <row r="42" spans="1:109" ht="12.75" hidden="1" customHeight="1" outlineLevel="1" x14ac:dyDescent="0.2">
      <c r="A42" s="42"/>
      <c r="B42" s="563" t="s">
        <v>101</v>
      </c>
      <c r="C42" s="565">
        <v>65.853999999999999</v>
      </c>
      <c r="D42" s="565">
        <v>67.198999999999998</v>
      </c>
      <c r="E42" s="565">
        <v>68.480999999999995</v>
      </c>
      <c r="F42" s="565">
        <v>68.641999999999996</v>
      </c>
      <c r="G42" s="165">
        <f>+F42</f>
        <v>68.641999999999996</v>
      </c>
      <c r="H42" s="35"/>
      <c r="I42" s="565">
        <v>69.546000000000006</v>
      </c>
      <c r="J42" s="565">
        <v>67.58</v>
      </c>
      <c r="K42" s="565">
        <v>67.034999999999997</v>
      </c>
      <c r="L42" s="565">
        <v>65.632999999999996</v>
      </c>
      <c r="M42" s="165">
        <f>+L42</f>
        <v>65.632999999999996</v>
      </c>
      <c r="N42" s="35"/>
      <c r="O42" s="565">
        <v>66.182000000000002</v>
      </c>
      <c r="P42" s="565">
        <v>66.381</v>
      </c>
      <c r="Q42" s="565">
        <v>74.328999999999994</v>
      </c>
      <c r="R42" s="565">
        <v>74.567999999999998</v>
      </c>
      <c r="S42" s="165">
        <f>+R42</f>
        <v>74.567999999999998</v>
      </c>
      <c r="T42" s="35"/>
      <c r="U42" s="565">
        <v>75.608000000000004</v>
      </c>
      <c r="V42" s="565">
        <v>75.759</v>
      </c>
      <c r="W42" s="565">
        <v>76.254999999999995</v>
      </c>
      <c r="X42" s="565">
        <v>76.39</v>
      </c>
      <c r="Y42" s="165">
        <f>+X42</f>
        <v>76.39</v>
      </c>
      <c r="Z42" s="35"/>
      <c r="AA42" s="565">
        <v>77.188999999999993</v>
      </c>
      <c r="AB42" s="413">
        <v>78.305000000000007</v>
      </c>
      <c r="AC42" s="413">
        <v>76.39</v>
      </c>
      <c r="AD42" s="413">
        <v>78.775999999999996</v>
      </c>
      <c r="AE42" s="165">
        <f>+AD42</f>
        <v>78.775999999999996</v>
      </c>
      <c r="AF42" s="35"/>
      <c r="AG42" s="450">
        <v>79.798000000000002</v>
      </c>
      <c r="AH42" s="450">
        <v>80.760000000000005</v>
      </c>
      <c r="AI42" s="450">
        <v>81.784000000000006</v>
      </c>
      <c r="AJ42" s="450">
        <v>80.611000000000004</v>
      </c>
      <c r="AK42" s="165">
        <f>+AJ42</f>
        <v>80.611000000000004</v>
      </c>
      <c r="AL42" s="35"/>
      <c r="AM42" s="450">
        <v>81.724999999999994</v>
      </c>
      <c r="AN42" s="450">
        <v>79.698999999999998</v>
      </c>
      <c r="AO42" s="450">
        <v>80.114000000000004</v>
      </c>
      <c r="AP42" s="450">
        <v>80.582999999999998</v>
      </c>
      <c r="AQ42" s="165">
        <f>+AP42</f>
        <v>80.582999999999998</v>
      </c>
      <c r="AR42" s="35"/>
      <c r="AS42" s="450">
        <v>81.632000000000005</v>
      </c>
      <c r="AT42" s="548">
        <v>80.783000000000001</v>
      </c>
      <c r="AU42" s="548">
        <v>80.516000000000005</v>
      </c>
      <c r="AV42" s="450">
        <v>80.204999999999998</v>
      </c>
      <c r="AW42" s="165">
        <f>+AV42</f>
        <v>80.204999999999998</v>
      </c>
      <c r="AX42" s="35"/>
      <c r="AY42" s="450">
        <v>80.733999999999995</v>
      </c>
      <c r="AZ42" s="450">
        <v>80.257000000000005</v>
      </c>
      <c r="BA42" s="450">
        <v>79.808000000000007</v>
      </c>
      <c r="BB42" s="450">
        <v>79.480999999999995</v>
      </c>
      <c r="BC42" s="165">
        <f>+BB42</f>
        <v>79.480999999999995</v>
      </c>
      <c r="BD42" s="35"/>
      <c r="BE42" s="450">
        <v>80.174999999999997</v>
      </c>
      <c r="BF42" s="548">
        <v>79.867999999999995</v>
      </c>
      <c r="BG42" s="790">
        <v>79.867000000000004</v>
      </c>
      <c r="BH42" s="790">
        <v>79.552999999999997</v>
      </c>
      <c r="BI42" s="165">
        <f>+BH42</f>
        <v>79.552999999999997</v>
      </c>
      <c r="BJ42" s="35"/>
      <c r="BK42" s="548">
        <v>79.903999999999996</v>
      </c>
      <c r="BL42" s="548">
        <v>80.188000000000002</v>
      </c>
      <c r="BM42" s="790">
        <v>80.162999999999997</v>
      </c>
      <c r="BN42" s="790">
        <v>80.08</v>
      </c>
      <c r="BO42" s="165">
        <f>+BN42</f>
        <v>80.08</v>
      </c>
      <c r="BP42" s="35"/>
      <c r="BQ42" s="548">
        <f>+BQ41</f>
        <v>80.036000000000001</v>
      </c>
      <c r="BR42" s="35">
        <f>+BR148</f>
        <v>78.533275632191774</v>
      </c>
      <c r="BS42" s="35">
        <f>+BS148</f>
        <v>78.244974638860867</v>
      </c>
      <c r="BT42" s="35">
        <f>+BT148</f>
        <v>78.038885478500688</v>
      </c>
      <c r="BU42" s="165">
        <f>+BT42</f>
        <v>78.038885478500688</v>
      </c>
      <c r="BV42" s="35"/>
      <c r="BW42" s="35">
        <f>+BW148</f>
        <v>77.7619116751344</v>
      </c>
      <c r="BX42" s="35">
        <f>+BX148</f>
        <v>77.500386000199967</v>
      </c>
      <c r="BY42" s="35">
        <f>+BY148</f>
        <v>77.242367854081976</v>
      </c>
      <c r="BZ42" s="35">
        <f>+BZ148</f>
        <v>77.062232040903154</v>
      </c>
      <c r="CA42" s="165">
        <f>+BZ42</f>
        <v>77.062232040903154</v>
      </c>
      <c r="CB42" s="35"/>
      <c r="CC42" s="35">
        <f>+CC148</f>
        <v>76.793457847967503</v>
      </c>
      <c r="CD42" s="35">
        <f>+CD148</f>
        <v>76.543432807158226</v>
      </c>
      <c r="CE42" s="35">
        <f>+CE148</f>
        <v>76.375916813013561</v>
      </c>
      <c r="CF42" s="35">
        <f>+CF148</f>
        <v>75.464715492681307</v>
      </c>
      <c r="CG42" s="165">
        <f>+CF42</f>
        <v>75.464715492681307</v>
      </c>
      <c r="CH42" s="362"/>
      <c r="CI42" s="362"/>
      <c r="CT42" s="837"/>
      <c r="CU42" s="77"/>
      <c r="CV42" s="77"/>
      <c r="CW42" s="77"/>
      <c r="CX42" s="77"/>
      <c r="CY42" s="77"/>
      <c r="CZ42" s="77"/>
      <c r="DA42" s="77"/>
      <c r="DB42" s="77"/>
      <c r="DC42" s="77"/>
      <c r="DD42" s="77"/>
      <c r="DE42" s="77"/>
    </row>
    <row r="43" spans="1:109" collapsed="1" x14ac:dyDescent="0.2">
      <c r="A43" s="42"/>
      <c r="B43" s="566" t="s">
        <v>66</v>
      </c>
      <c r="C43" s="567">
        <f>+C36/C40</f>
        <v>0.10064761794868096</v>
      </c>
      <c r="D43" s="567">
        <f>+D36/D40</f>
        <v>0.19124524274298868</v>
      </c>
      <c r="E43" s="568">
        <f>+E36/E40</f>
        <v>0.13097051086806022</v>
      </c>
      <c r="F43" s="568">
        <f>+F36/F40</f>
        <v>7.8871201157742418E-2</v>
      </c>
      <c r="G43" s="569">
        <f>+G36/G40</f>
        <v>0.50002799395330588</v>
      </c>
      <c r="H43" s="570"/>
      <c r="I43" s="567">
        <f>+I36/I40</f>
        <v>7.4851820491109097E-2</v>
      </c>
      <c r="J43" s="567">
        <f>+J36/J40</f>
        <v>5.7640597288174479E-2</v>
      </c>
      <c r="K43" s="568">
        <f>+K36/K40</f>
        <v>0.10567070330694005</v>
      </c>
      <c r="L43" s="568">
        <f>+L36/L40</f>
        <v>7.314116379310337E-2</v>
      </c>
      <c r="M43" s="569">
        <f>+M36/M40</f>
        <v>0.31560002350728733</v>
      </c>
      <c r="N43" s="570"/>
      <c r="O43" s="567">
        <f>+O36/O40</f>
        <v>4.8023236564479786E-2</v>
      </c>
      <c r="P43" s="567">
        <f>+P36/P40</f>
        <v>7.1645911566948273E-2</v>
      </c>
      <c r="Q43" s="568">
        <f>+Q36/Q40</f>
        <v>0.12556749287990304</v>
      </c>
      <c r="R43" s="568">
        <f>+R36/R40</f>
        <v>0.15808723041480607</v>
      </c>
      <c r="S43" s="569">
        <f>+S36/S40</f>
        <v>0.41174470978159228</v>
      </c>
      <c r="T43" s="570"/>
      <c r="U43" s="567">
        <f>+U36/U40</f>
        <v>0.2002783612768535</v>
      </c>
      <c r="V43" s="567">
        <f>+V36/V40</f>
        <v>0.21202984266883135</v>
      </c>
      <c r="W43" s="568">
        <f>+W36/W40</f>
        <v>0.2475386959249255</v>
      </c>
      <c r="X43" s="568">
        <f>+X36/X40</f>
        <v>0.13928408109344004</v>
      </c>
      <c r="Y43" s="569">
        <f>+Y36/Y40</f>
        <v>0.79784836065573728</v>
      </c>
      <c r="Z43" s="571"/>
      <c r="AA43" s="567">
        <f>+AA36/AA40</f>
        <v>0.21349277352855942</v>
      </c>
      <c r="AB43" s="567">
        <f>+AB36/AB40</f>
        <v>0.20267426949365672</v>
      </c>
      <c r="AC43" s="567">
        <f>+AC36/AC40</f>
        <v>0.27335359928238617</v>
      </c>
      <c r="AD43" s="567">
        <f>+AD36/AD40</f>
        <v>0.28424593996215158</v>
      </c>
      <c r="AE43" s="569">
        <f>+AE36/AE40</f>
        <v>0.974373201744405</v>
      </c>
      <c r="AF43" s="571"/>
      <c r="AG43" s="567">
        <f>+AG36/AG40</f>
        <v>0.27025508209538712</v>
      </c>
      <c r="AH43" s="567">
        <f>+AH36/AH40</f>
        <v>0.34474528051691311</v>
      </c>
      <c r="AI43" s="567">
        <f>+AI36/AI40</f>
        <v>0.28245894214954842</v>
      </c>
      <c r="AJ43" s="567">
        <f>+AJ36/AJ40</f>
        <v>0.26907364336414363</v>
      </c>
      <c r="AK43" s="569">
        <f>+AK36/AK40</f>
        <v>1.1667033467290944</v>
      </c>
      <c r="AL43" s="571"/>
      <c r="AM43" s="568">
        <f>+AM36/AM40</f>
        <v>0.26144643560456909</v>
      </c>
      <c r="AN43" s="568">
        <f>+AN36/AN40</f>
        <v>0.35691243959147412</v>
      </c>
      <c r="AO43" s="568">
        <f>+AO36/AO40</f>
        <v>0.42196510605023946</v>
      </c>
      <c r="AP43" s="568">
        <f>+AP36/AP40</f>
        <v>0.51459278488075888</v>
      </c>
      <c r="AQ43" s="569">
        <f>+AQ36/AQ40</f>
        <v>1.5566385805794014</v>
      </c>
      <c r="AR43" s="571"/>
      <c r="AS43" s="568">
        <f>+AS36/AS40</f>
        <v>0.39175531593754892</v>
      </c>
      <c r="AT43" s="568">
        <f>+AT36/AT40</f>
        <v>0.43234840480441089</v>
      </c>
      <c r="AU43" s="568">
        <f>+AU36/AU40</f>
        <v>0.46634720901309529</v>
      </c>
      <c r="AV43" s="568">
        <f>+AV36/AV40</f>
        <v>0.4840312886364469</v>
      </c>
      <c r="AW43" s="569">
        <f>+AW36/AW40</f>
        <v>1.772322350910881</v>
      </c>
      <c r="AX43" s="571"/>
      <c r="AY43" s="568">
        <f>+AY36/AY40</f>
        <v>0.38213189284317567</v>
      </c>
      <c r="AZ43" s="568">
        <f>+AZ36/AZ40</f>
        <v>0.38516352556699529</v>
      </c>
      <c r="BA43" s="568">
        <f>+BA36/BA40</f>
        <v>0.34055147240171646</v>
      </c>
      <c r="BB43" s="568">
        <f>+BB36/BB40</f>
        <v>0.60304006119603748</v>
      </c>
      <c r="BC43" s="569">
        <f>+BC36/BC40</f>
        <v>1.7102302980381823</v>
      </c>
      <c r="BD43" s="571"/>
      <c r="BE43" s="568">
        <f>+BE36/BE40</f>
        <v>0.49859813084112198</v>
      </c>
      <c r="BF43" s="568">
        <f>+BF36/BF40</f>
        <v>0.61697075577318217</v>
      </c>
      <c r="BG43" s="791">
        <f>+BG36/BG40</f>
        <v>0.63053298308496808</v>
      </c>
      <c r="BH43" s="568">
        <f>+BH36/BH40</f>
        <v>0.59054992122882988</v>
      </c>
      <c r="BI43" s="746">
        <f>+BI36/BI40</f>
        <v>2.3367136467731271</v>
      </c>
      <c r="BJ43" s="571"/>
      <c r="BK43" s="568">
        <f>+BK36/BK40</f>
        <v>0.85142394583854586</v>
      </c>
      <c r="BL43" s="568">
        <f>+BL36/BL40</f>
        <v>0.84745991106319918</v>
      </c>
      <c r="BM43" s="568">
        <f>+BM36/BM40</f>
        <v>1.0093655626062186</v>
      </c>
      <c r="BN43" s="568">
        <f>+BN36/BN40</f>
        <v>1.1832451779192064</v>
      </c>
      <c r="BO43" s="569">
        <f>+BO36/BO40</f>
        <v>3.8923067037516419</v>
      </c>
      <c r="BP43" s="571"/>
      <c r="BQ43" s="568">
        <f>+BQ36/BQ40</f>
        <v>1.1744254422502076</v>
      </c>
      <c r="BR43" s="568">
        <f>+BR36/BR40</f>
        <v>1.2114649791742005</v>
      </c>
      <c r="BS43" s="568">
        <f>+BS36/BS40</f>
        <v>1.2147870744814779</v>
      </c>
      <c r="BT43" s="568">
        <f>+BT36/BT40</f>
        <v>1.3758118841924571</v>
      </c>
      <c r="BU43" s="569">
        <f>+BU36/BU40</f>
        <v>4.9745390981955175</v>
      </c>
      <c r="BV43" s="571"/>
      <c r="BW43" s="568">
        <f>+BW36/BW40</f>
        <v>1.3540501937887879</v>
      </c>
      <c r="BX43" s="568">
        <f>+BX36/BX40</f>
        <v>1.5985888273217885</v>
      </c>
      <c r="BY43" s="568">
        <f>+BY36/BY40</f>
        <v>1.7572036578492767</v>
      </c>
      <c r="BZ43" s="568">
        <f>+BZ36/BZ40</f>
        <v>1.9544516634290834</v>
      </c>
      <c r="CA43" s="569">
        <f>+CA36/CA40</f>
        <v>6.6611874304623413</v>
      </c>
      <c r="CB43" s="571"/>
      <c r="CC43" s="568">
        <f>+CC36/CC40</f>
        <v>1.959309512472583</v>
      </c>
      <c r="CD43" s="568">
        <f>+CD36/CD40</f>
        <v>2.249183975606579</v>
      </c>
      <c r="CE43" s="568">
        <f>+CE36/CE40</f>
        <v>2.4793577185353417</v>
      </c>
      <c r="CF43" s="568">
        <f>+CF36/CF40</f>
        <v>2.7388787917801638</v>
      </c>
      <c r="CG43" s="569">
        <f>+CG36/CG40</f>
        <v>9.4214201964727078</v>
      </c>
      <c r="CH43" s="572"/>
      <c r="CI43" s="395">
        <f>+(CG43/BI43)^(0.25)-1</f>
        <v>0.41702567647164845</v>
      </c>
      <c r="CT43" s="837"/>
      <c r="CU43" s="77"/>
      <c r="CV43" s="77"/>
      <c r="CW43" s="77"/>
      <c r="CX43" s="77"/>
      <c r="CY43" s="77"/>
      <c r="CZ43" s="77"/>
      <c r="DA43" s="77"/>
      <c r="DB43" s="77"/>
      <c r="DC43" s="77"/>
      <c r="DD43" s="77"/>
      <c r="DE43" s="77"/>
    </row>
    <row r="44" spans="1:109" ht="2.25" customHeight="1" x14ac:dyDescent="0.2">
      <c r="A44" s="42"/>
      <c r="B44" s="229"/>
      <c r="C44" s="42"/>
      <c r="D44" s="31"/>
      <c r="E44" s="31"/>
      <c r="F44" s="31"/>
      <c r="G44" s="343"/>
      <c r="H44" s="236"/>
      <c r="I44" s="31"/>
      <c r="J44" s="31"/>
      <c r="K44" s="31"/>
      <c r="L44" s="31"/>
      <c r="M44" s="343"/>
      <c r="N44" s="236"/>
      <c r="O44" s="42"/>
      <c r="P44" s="42"/>
      <c r="Q44" s="42"/>
      <c r="R44" s="42"/>
      <c r="S44" s="343"/>
      <c r="T44" s="236"/>
      <c r="U44" s="229"/>
      <c r="V44" s="229"/>
      <c r="W44" s="229"/>
      <c r="X44" s="573"/>
      <c r="Y44" s="343"/>
      <c r="Z44" s="236"/>
      <c r="AA44" s="246"/>
      <c r="AB44" s="229"/>
      <c r="AC44" s="246"/>
      <c r="AD44" s="246"/>
      <c r="AE44" s="125"/>
      <c r="AF44" s="236"/>
      <c r="AG44" s="246"/>
      <c r="AH44" s="229"/>
      <c r="AI44" s="229"/>
      <c r="AJ44" s="246"/>
      <c r="AK44" s="125"/>
      <c r="AL44" s="236"/>
      <c r="AM44" s="246"/>
      <c r="AN44" s="246"/>
      <c r="AO44" s="246"/>
      <c r="AP44" s="246"/>
      <c r="AQ44" s="125"/>
      <c r="AR44" s="236"/>
      <c r="AS44" s="246"/>
      <c r="AT44" s="246"/>
      <c r="AU44" s="246"/>
      <c r="AV44" s="246"/>
      <c r="AW44" s="125"/>
      <c r="AX44" s="236"/>
      <c r="AY44" s="246"/>
      <c r="AZ44" s="246"/>
      <c r="BA44" s="246"/>
      <c r="BB44" s="246"/>
      <c r="BC44" s="125"/>
      <c r="BD44" s="236"/>
      <c r="BE44" s="246"/>
      <c r="BF44" s="246"/>
      <c r="BG44" s="246"/>
      <c r="BH44" s="246"/>
      <c r="BI44" s="125"/>
      <c r="BJ44" s="236"/>
      <c r="BK44" s="246"/>
      <c r="BL44" s="246"/>
      <c r="BM44" s="246"/>
      <c r="BN44" s="246"/>
      <c r="BO44" s="125"/>
      <c r="BP44" s="236"/>
      <c r="BQ44" s="246"/>
      <c r="BR44" s="246"/>
      <c r="BS44" s="246"/>
      <c r="BT44" s="246"/>
      <c r="BU44" s="125"/>
      <c r="BV44" s="236"/>
      <c r="BW44" s="246"/>
      <c r="BX44" s="246"/>
      <c r="BY44" s="246"/>
      <c r="BZ44" s="246"/>
      <c r="CA44" s="125"/>
      <c r="CB44" s="236"/>
      <c r="CC44" s="246"/>
      <c r="CD44" s="246"/>
      <c r="CE44" s="246"/>
      <c r="CF44" s="246"/>
      <c r="CG44" s="125"/>
      <c r="CH44" s="51"/>
      <c r="CI44" s="51"/>
      <c r="CT44" s="77"/>
      <c r="CU44" s="77"/>
      <c r="CV44" s="77"/>
      <c r="CW44" s="77"/>
      <c r="CX44" s="77"/>
      <c r="CY44" s="77"/>
      <c r="CZ44" s="77"/>
      <c r="DA44" s="77"/>
      <c r="DB44" s="77"/>
      <c r="DC44" s="77"/>
      <c r="DD44" s="77"/>
      <c r="DE44" s="77"/>
    </row>
    <row r="45" spans="1:109" x14ac:dyDescent="0.2">
      <c r="A45" s="42"/>
      <c r="B45" s="574" t="s">
        <v>336</v>
      </c>
      <c r="C45" s="42"/>
      <c r="D45" s="31"/>
      <c r="E45" s="31"/>
      <c r="F45" s="31"/>
      <c r="G45" s="343"/>
      <c r="H45" s="236"/>
      <c r="I45" s="31"/>
      <c r="J45" s="31"/>
      <c r="K45" s="31"/>
      <c r="L45" s="31"/>
      <c r="M45" s="343"/>
      <c r="N45" s="236"/>
      <c r="O45" s="42"/>
      <c r="P45" s="42"/>
      <c r="Q45" s="42"/>
      <c r="R45" s="42"/>
      <c r="S45" s="343"/>
      <c r="T45" s="236"/>
      <c r="U45" s="229"/>
      <c r="V45" s="229"/>
      <c r="W45" s="229"/>
      <c r="X45" s="229"/>
      <c r="Y45" s="343"/>
      <c r="Z45" s="236"/>
      <c r="AA45" s="246"/>
      <c r="AB45" s="229"/>
      <c r="AC45" s="246"/>
      <c r="AD45" s="246"/>
      <c r="AE45" s="390"/>
      <c r="AF45" s="575"/>
      <c r="AG45" s="246"/>
      <c r="AH45" s="573"/>
      <c r="AI45" s="576"/>
      <c r="AJ45" s="577"/>
      <c r="AK45" s="390"/>
      <c r="AL45" s="575"/>
      <c r="AM45" s="577"/>
      <c r="AN45" s="577"/>
      <c r="AO45" s="577"/>
      <c r="AP45" s="577"/>
      <c r="AQ45" s="390"/>
      <c r="AR45" s="575"/>
      <c r="AS45" s="577"/>
      <c r="AT45" s="577"/>
      <c r="AU45" s="577"/>
      <c r="AV45" s="577"/>
      <c r="AW45" s="390"/>
      <c r="AX45" s="575"/>
      <c r="AY45" s="577"/>
      <c r="AZ45" s="577"/>
      <c r="BA45" s="577"/>
      <c r="BB45" s="577"/>
      <c r="BC45" s="534"/>
      <c r="BD45" s="575"/>
      <c r="BE45" s="726"/>
      <c r="BF45" s="726"/>
      <c r="BG45" s="726"/>
      <c r="BH45" s="726"/>
      <c r="BI45" s="165"/>
      <c r="BJ45" s="727"/>
      <c r="BK45" s="726"/>
      <c r="BL45" s="726"/>
      <c r="BM45" s="813"/>
      <c r="BN45" s="813"/>
      <c r="BO45" s="803"/>
      <c r="BP45" s="727"/>
      <c r="BQ45" s="726"/>
      <c r="BR45" s="726"/>
      <c r="BS45" s="726"/>
      <c r="BT45" s="726"/>
      <c r="BU45" s="728"/>
      <c r="BV45" s="575"/>
      <c r="BW45" s="577"/>
      <c r="BX45" s="577"/>
      <c r="BY45" s="577"/>
      <c r="BZ45" s="577"/>
      <c r="CA45" s="390"/>
      <c r="CB45" s="575"/>
      <c r="CC45" s="577"/>
      <c r="CD45" s="577"/>
      <c r="CE45" s="577"/>
      <c r="CF45" s="577"/>
      <c r="CG45" s="390"/>
      <c r="CH45" s="650"/>
      <c r="CI45" s="915"/>
      <c r="CT45" s="77"/>
      <c r="CU45" s="77"/>
      <c r="CV45" s="77"/>
      <c r="CW45" s="77"/>
      <c r="CX45" s="77"/>
      <c r="CY45" s="77"/>
      <c r="CZ45" s="77"/>
      <c r="DA45" s="77"/>
      <c r="DB45" s="77"/>
      <c r="DC45" s="77"/>
      <c r="DD45" s="77"/>
      <c r="DE45" s="77"/>
    </row>
    <row r="46" spans="1:109" x14ac:dyDescent="0.2">
      <c r="A46" s="42"/>
      <c r="B46" s="578" t="s">
        <v>104</v>
      </c>
      <c r="C46" s="333">
        <f>+C11/C8</f>
        <v>0.27491726917708315</v>
      </c>
      <c r="D46" s="333">
        <f>+D11/D8</f>
        <v>0.26431079722726264</v>
      </c>
      <c r="E46" s="333">
        <f>+E11/E8</f>
        <v>0.253768316748541</v>
      </c>
      <c r="F46" s="333">
        <f>+F11/F8</f>
        <v>0.26375884275411277</v>
      </c>
      <c r="G46" s="426">
        <f>+G11/G8</f>
        <v>0.26389924454510921</v>
      </c>
      <c r="H46" s="236"/>
      <c r="I46" s="333">
        <f>+I11/I8</f>
        <v>0.26222317321065586</v>
      </c>
      <c r="J46" s="333">
        <f>+J11/J8</f>
        <v>0.25334785111761904</v>
      </c>
      <c r="K46" s="333">
        <f>+K11/K8</f>
        <v>0.2496375028268128</v>
      </c>
      <c r="L46" s="333">
        <f>+L11/L8</f>
        <v>0.27295784148397972</v>
      </c>
      <c r="M46" s="426">
        <f>+M11/M8</f>
        <v>0.25939547859041501</v>
      </c>
      <c r="N46" s="236"/>
      <c r="O46" s="333">
        <f>+O11/O8</f>
        <v>0.24846004676895003</v>
      </c>
      <c r="P46" s="333">
        <f>+P11/P8</f>
        <v>0.24029037161276792</v>
      </c>
      <c r="Q46" s="333">
        <f>+Q11/Q8</f>
        <v>0.23164162535165073</v>
      </c>
      <c r="R46" s="333">
        <f>+R11/R8</f>
        <v>0.2141752101228411</v>
      </c>
      <c r="S46" s="426">
        <f>+S11/S8</f>
        <v>0.23268754822577187</v>
      </c>
      <c r="T46" s="236"/>
      <c r="U46" s="333">
        <f>+U11/U8</f>
        <v>0.21703851703851704</v>
      </c>
      <c r="V46" s="333">
        <f>+V11/V8</f>
        <v>0.22554261006624207</v>
      </c>
      <c r="W46" s="333">
        <f>+W11/W8</f>
        <v>0.21901674883008326</v>
      </c>
      <c r="X46" s="333">
        <f>+X11/X8</f>
        <v>0.22754136479605583</v>
      </c>
      <c r="Y46" s="426">
        <f>+Y11/Y8</f>
        <v>0.22230626455094576</v>
      </c>
      <c r="Z46" s="236"/>
      <c r="AA46" s="333">
        <f>+AA11/AA8</f>
        <v>0.21581979095140003</v>
      </c>
      <c r="AB46" s="333">
        <f>+AB11/AB8</f>
        <v>0.23907033292806826</v>
      </c>
      <c r="AC46" s="333">
        <f>+AC11/AC8</f>
        <v>0.26117209716110379</v>
      </c>
      <c r="AD46" s="333">
        <f>+AD11/AD8</f>
        <v>0.25097552461114769</v>
      </c>
      <c r="AE46" s="426">
        <f>+AE11/AE8</f>
        <v>0.24298736193070844</v>
      </c>
      <c r="AF46" s="236"/>
      <c r="AG46" s="333">
        <f>+AG11/AG8</f>
        <v>0.24892100178414114</v>
      </c>
      <c r="AH46" s="333">
        <f>+AH11/AH8</f>
        <v>0.24986609534011783</v>
      </c>
      <c r="AI46" s="333">
        <f>+AI11/AI8</f>
        <v>0.26256447075372169</v>
      </c>
      <c r="AJ46" s="333">
        <f>+AJ11/AJ8</f>
        <v>0.25315737888546624</v>
      </c>
      <c r="AK46" s="426">
        <f>+AK11/AK8</f>
        <v>0.25357250629864597</v>
      </c>
      <c r="AL46" s="236"/>
      <c r="AM46" s="333">
        <f>+AM11/AM8</f>
        <v>0.2652103138429483</v>
      </c>
      <c r="AN46" s="333">
        <f>+AN11/AN8</f>
        <v>0.24499475059208439</v>
      </c>
      <c r="AO46" s="333">
        <f>+AO11/AO8</f>
        <v>0.23960220295916257</v>
      </c>
      <c r="AP46" s="333">
        <f>+AP11/AP8</f>
        <v>0.23453660287618067</v>
      </c>
      <c r="AQ46" s="426">
        <f>+AQ11/AQ8</f>
        <v>0.24552942566411087</v>
      </c>
      <c r="AR46" s="236"/>
      <c r="AS46" s="333">
        <f>+AS11/AS8</f>
        <v>0.24022120611582878</v>
      </c>
      <c r="AT46" s="333">
        <f>+AT11/AT8</f>
        <v>0.2444022001651682</v>
      </c>
      <c r="AU46" s="333">
        <f>+AU11/AU8</f>
        <v>0.23605932292654155</v>
      </c>
      <c r="AV46" s="333">
        <f>+AV11/AV8</f>
        <v>0.24137965760322258</v>
      </c>
      <c r="AW46" s="426">
        <f>+AW11/AW8</f>
        <v>0.24054260929846003</v>
      </c>
      <c r="AX46" s="236"/>
      <c r="AY46" s="333">
        <f>+AY11/AY8</f>
        <v>0.2372504871621417</v>
      </c>
      <c r="AZ46" s="333">
        <f>+AZ11/AZ8</f>
        <v>0.24275376155197434</v>
      </c>
      <c r="BA46" s="333">
        <f>+BA11/BA8</f>
        <v>0.24109499316110888</v>
      </c>
      <c r="BB46" s="333">
        <f>+BB11/BB8</f>
        <v>0.24955271066025117</v>
      </c>
      <c r="BC46" s="426">
        <f>+BC11/BC8</f>
        <v>0.24290881220978228</v>
      </c>
      <c r="BD46" s="236"/>
      <c r="BE46" s="333">
        <f>+BE11/BE8</f>
        <v>0.24335204423592494</v>
      </c>
      <c r="BF46" s="333">
        <f>+BF11/BF8</f>
        <v>0.23814049494731995</v>
      </c>
      <c r="BG46" s="579">
        <f>+BG11/BG8</f>
        <v>0.2490658281554548</v>
      </c>
      <c r="BH46" s="333">
        <f>+BH11/BH8</f>
        <v>0.2475895539950137</v>
      </c>
      <c r="BI46" s="426">
        <f>+BI11/BI8</f>
        <v>0.24467669376242046</v>
      </c>
      <c r="BJ46" s="236"/>
      <c r="BK46" s="333">
        <f>+BK11/BK8</f>
        <v>0.24075452486136215</v>
      </c>
      <c r="BL46" s="333">
        <f>+BL11/BL8</f>
        <v>0.24002614437755621</v>
      </c>
      <c r="BM46" s="333">
        <f>+BM11/BM8</f>
        <v>0.24081740714880848</v>
      </c>
      <c r="BN46" s="333">
        <f>+BN11/BN8</f>
        <v>0.24543165220033089</v>
      </c>
      <c r="BO46" s="426">
        <f>+BO11/BO8</f>
        <v>0.2419321670163084</v>
      </c>
      <c r="BP46" s="236"/>
      <c r="BQ46" s="333">
        <f>+BQ11/BQ8</f>
        <v>0.25065228735432249</v>
      </c>
      <c r="BR46" s="333">
        <f>+BR11/BR8</f>
        <v>0.23978067960124974</v>
      </c>
      <c r="BS46" s="333">
        <f>+BS11/BS8</f>
        <v>0.23713280459507827</v>
      </c>
      <c r="BT46" s="333">
        <f>+BT11/BT8</f>
        <v>0.24298294362820358</v>
      </c>
      <c r="BU46" s="426">
        <f>+BU11/BU8</f>
        <v>0.24243426150867667</v>
      </c>
      <c r="BV46" s="236"/>
      <c r="BW46" s="333">
        <f>+BW11/BW8</f>
        <v>0.23676652118294642</v>
      </c>
      <c r="BX46" s="333">
        <f>+BX11/BX8</f>
        <v>0.22408634090042467</v>
      </c>
      <c r="BY46" s="333">
        <f>+BY11/BY8</f>
        <v>0.22142175387623647</v>
      </c>
      <c r="BZ46" s="333">
        <f>+BZ11/BZ8</f>
        <v>0.23137414433321657</v>
      </c>
      <c r="CA46" s="426">
        <f>+CA11/CA8</f>
        <v>0.22822623228752589</v>
      </c>
      <c r="CB46" s="236"/>
      <c r="CC46" s="333">
        <f>+CC11/CC8</f>
        <v>0.22514498258060062</v>
      </c>
      <c r="CD46" s="333">
        <f>+CD11/CD8</f>
        <v>0.21393222266030568</v>
      </c>
      <c r="CE46" s="333">
        <f>+CE11/CE8</f>
        <v>0.21020798026557355</v>
      </c>
      <c r="CF46" s="333">
        <f>+CF11/CF8</f>
        <v>0.22189581765768959</v>
      </c>
      <c r="CG46" s="426">
        <f>+CG11/CG8</f>
        <v>0.21768151299327781</v>
      </c>
      <c r="CH46" s="226"/>
      <c r="CI46" s="226"/>
      <c r="CT46" s="77"/>
      <c r="CU46" s="77"/>
      <c r="CV46" s="77"/>
      <c r="CW46" s="77"/>
      <c r="CX46" s="77"/>
      <c r="CY46" s="77"/>
      <c r="CZ46" s="77"/>
      <c r="DA46" s="77"/>
      <c r="DB46" s="77"/>
      <c r="DC46" s="77"/>
      <c r="DD46" s="77"/>
      <c r="DE46" s="77"/>
    </row>
    <row r="47" spans="1:109" x14ac:dyDescent="0.2">
      <c r="A47" s="42"/>
      <c r="B47" s="95" t="s">
        <v>337</v>
      </c>
      <c r="C47" s="333">
        <f>+C14/C8</f>
        <v>0.72508273082291674</v>
      </c>
      <c r="D47" s="333">
        <f>+D14/D8</f>
        <v>0.73568920277273731</v>
      </c>
      <c r="E47" s="333">
        <f>+E14/E8</f>
        <v>0.74623168325145894</v>
      </c>
      <c r="F47" s="333">
        <f>+F14/F8</f>
        <v>0.73624115724588723</v>
      </c>
      <c r="G47" s="426">
        <f>+G14/G8</f>
        <v>0.73610075545489073</v>
      </c>
      <c r="H47" s="236"/>
      <c r="I47" s="333">
        <f>+I14/I8</f>
        <v>0.73777682678934409</v>
      </c>
      <c r="J47" s="333">
        <f>+J14/J8</f>
        <v>0.74665214888238096</v>
      </c>
      <c r="K47" s="333">
        <f>+K14/K8</f>
        <v>0.75036249717318726</v>
      </c>
      <c r="L47" s="333">
        <f>+L14/L8</f>
        <v>0.72704215851602028</v>
      </c>
      <c r="M47" s="426">
        <f>+M14/M8</f>
        <v>0.74060452140958499</v>
      </c>
      <c r="N47" s="236"/>
      <c r="O47" s="333">
        <f>+O14/O8</f>
        <v>0.75153995323105005</v>
      </c>
      <c r="P47" s="333">
        <f>+P14/P8</f>
        <v>0.75970962838723211</v>
      </c>
      <c r="Q47" s="333">
        <f>+Q14/Q8</f>
        <v>0.76835837464834933</v>
      </c>
      <c r="R47" s="333">
        <f>+R14/R8</f>
        <v>0.78582478987715887</v>
      </c>
      <c r="S47" s="426">
        <f>+S14/S8</f>
        <v>0.76731245177422813</v>
      </c>
      <c r="T47" s="236"/>
      <c r="U47" s="333">
        <f>+U14/U8</f>
        <v>0.78296148296148305</v>
      </c>
      <c r="V47" s="333">
        <f>+V14/V8</f>
        <v>0.7744573899337579</v>
      </c>
      <c r="W47" s="333">
        <f>+W14/W8</f>
        <v>0.78098325116991674</v>
      </c>
      <c r="X47" s="333">
        <f>+X14/X8</f>
        <v>0.7724586352039442</v>
      </c>
      <c r="Y47" s="426">
        <f>+Y14/Y8</f>
        <v>0.77769373544905418</v>
      </c>
      <c r="Z47" s="236"/>
      <c r="AA47" s="333">
        <f>+AA14/AA8</f>
        <v>0.78418020904859997</v>
      </c>
      <c r="AB47" s="333">
        <f>+AB14/AB8</f>
        <v>0.76092966707193177</v>
      </c>
      <c r="AC47" s="333">
        <f>+AC14/AC8</f>
        <v>0.73882790283889621</v>
      </c>
      <c r="AD47" s="333">
        <f>+AD14/AD8</f>
        <v>0.7490244753888522</v>
      </c>
      <c r="AE47" s="426">
        <f>+AE14/AE8</f>
        <v>0.75701263806929153</v>
      </c>
      <c r="AF47" s="236"/>
      <c r="AG47" s="333">
        <f>+AG14/AG8</f>
        <v>0.75107899821585888</v>
      </c>
      <c r="AH47" s="333">
        <f>+AH14/AH8</f>
        <v>0.75013390465988217</v>
      </c>
      <c r="AI47" s="333">
        <f>+AI14/AI8</f>
        <v>0.73743552924627831</v>
      </c>
      <c r="AJ47" s="333">
        <f>+AJ14/AJ8</f>
        <v>0.7468426211145337</v>
      </c>
      <c r="AK47" s="426">
        <f>+AK14/AK8</f>
        <v>0.74642749370135408</v>
      </c>
      <c r="AL47" s="236"/>
      <c r="AM47" s="333">
        <f>+AM14/AM8</f>
        <v>0.73478968615705176</v>
      </c>
      <c r="AN47" s="333">
        <f>+AN14/AN8</f>
        <v>0.75500524940791558</v>
      </c>
      <c r="AO47" s="333">
        <f>+AO14/AO8</f>
        <v>0.76039779704083743</v>
      </c>
      <c r="AP47" s="333">
        <f>+AP14/AP8</f>
        <v>0.76546339712381939</v>
      </c>
      <c r="AQ47" s="426">
        <f>+AQ14/AQ8</f>
        <v>0.75447057433588904</v>
      </c>
      <c r="AR47" s="236"/>
      <c r="AS47" s="333">
        <f>+AS14/AS8</f>
        <v>0.75977879388417113</v>
      </c>
      <c r="AT47" s="333">
        <f>+AT14/AT8</f>
        <v>0.75559779983483177</v>
      </c>
      <c r="AU47" s="333">
        <f>+AU14/AU8</f>
        <v>0.76394067707345847</v>
      </c>
      <c r="AV47" s="579">
        <f>+AV14/AV8</f>
        <v>0.75862034239677734</v>
      </c>
      <c r="AW47" s="426">
        <f>+AW14/AW8</f>
        <v>0.75945739070153995</v>
      </c>
      <c r="AX47" s="236"/>
      <c r="AY47" s="579">
        <f>+AY14/AY8</f>
        <v>0.7627495128378583</v>
      </c>
      <c r="AZ47" s="579">
        <f>+AZ14/AZ8</f>
        <v>0.75724623844802574</v>
      </c>
      <c r="BA47" s="579">
        <f>+BA14/BA8</f>
        <v>0.75890500683889117</v>
      </c>
      <c r="BB47" s="579">
        <f>+BB14/BB8</f>
        <v>0.7504472893397488</v>
      </c>
      <c r="BC47" s="426">
        <f>+BC14/BC8</f>
        <v>0.75709118779021778</v>
      </c>
      <c r="BD47" s="236"/>
      <c r="BE47" s="579">
        <f>+BE14/BE8</f>
        <v>0.75664795576407506</v>
      </c>
      <c r="BF47" s="579">
        <f>+BF14/BF8</f>
        <v>0.76185950505267996</v>
      </c>
      <c r="BG47" s="579">
        <f>+BG14/BG8</f>
        <v>0.75093417184454514</v>
      </c>
      <c r="BH47" s="579">
        <f>+BH14/BH8</f>
        <v>0.7524104460049863</v>
      </c>
      <c r="BI47" s="426">
        <f>+BI14/BI8</f>
        <v>0.75532330623757959</v>
      </c>
      <c r="BJ47" s="236"/>
      <c r="BK47" s="579">
        <f>+BK14/BK8</f>
        <v>0.75924547513863783</v>
      </c>
      <c r="BL47" s="579">
        <f>+BL14/BL8</f>
        <v>0.75997385562244379</v>
      </c>
      <c r="BM47" s="579">
        <f>+BM14/BM8</f>
        <v>0.7591825928511915</v>
      </c>
      <c r="BN47" s="579">
        <f>+BN14/BN8</f>
        <v>0.75456834779966908</v>
      </c>
      <c r="BO47" s="426">
        <f>+BO14/BO8</f>
        <v>0.75806783298369163</v>
      </c>
      <c r="BP47" s="236"/>
      <c r="BQ47" s="579">
        <f>+BQ14/BQ8</f>
        <v>0.74934771264567746</v>
      </c>
      <c r="BR47" s="579">
        <f>+BR14/BR8</f>
        <v>0.76021932039875029</v>
      </c>
      <c r="BS47" s="579">
        <f>+BS14/BS8</f>
        <v>0.76286719540492176</v>
      </c>
      <c r="BT47" s="579">
        <f>+BT14/BT8</f>
        <v>0.75701705637179639</v>
      </c>
      <c r="BU47" s="426">
        <f>+BU14/BU8</f>
        <v>0.75756573849132325</v>
      </c>
      <c r="BV47" s="236"/>
      <c r="BW47" s="579">
        <f>+BW14/BW8</f>
        <v>0.7632334788170535</v>
      </c>
      <c r="BX47" s="579">
        <f>+BX14/BX8</f>
        <v>0.77591365909957533</v>
      </c>
      <c r="BY47" s="579">
        <f>+BY14/BY8</f>
        <v>0.77857824612376347</v>
      </c>
      <c r="BZ47" s="579">
        <f>+BZ14/BZ8</f>
        <v>0.76862585566678343</v>
      </c>
      <c r="CA47" s="426">
        <f>+CA14/CA8</f>
        <v>0.77177376771247408</v>
      </c>
      <c r="CB47" s="236"/>
      <c r="CC47" s="579">
        <f>+CC14/CC8</f>
        <v>0.77485501741939933</v>
      </c>
      <c r="CD47" s="579">
        <f>+CD14/CD8</f>
        <v>0.78606777733969435</v>
      </c>
      <c r="CE47" s="579">
        <f>+CE14/CE8</f>
        <v>0.78979201973442648</v>
      </c>
      <c r="CF47" s="579">
        <f>+CF14/CF8</f>
        <v>0.77810418234231038</v>
      </c>
      <c r="CG47" s="426">
        <f>+CG14/CG8</f>
        <v>0.78231848700672224</v>
      </c>
      <c r="CH47" s="226"/>
      <c r="CI47" s="731"/>
      <c r="CT47" s="77"/>
      <c r="CU47" s="77"/>
      <c r="CV47" s="77"/>
      <c r="CW47" s="77"/>
      <c r="CX47" s="77"/>
      <c r="CY47" s="77"/>
      <c r="CZ47" s="77"/>
      <c r="DA47" s="77"/>
      <c r="DB47" s="77"/>
      <c r="DC47" s="77"/>
      <c r="DD47" s="77"/>
      <c r="DE47" s="77"/>
    </row>
    <row r="48" spans="1:109" ht="12.75" hidden="1" customHeight="1" outlineLevel="1" x14ac:dyDescent="0.2">
      <c r="A48" s="42"/>
      <c r="B48" s="581" t="str">
        <f>B9</f>
        <v>Clear Aligners</v>
      </c>
      <c r="C48" s="333"/>
      <c r="D48" s="333"/>
      <c r="E48" s="333"/>
      <c r="F48" s="333"/>
      <c r="G48" s="426"/>
      <c r="H48" s="236"/>
      <c r="I48" s="333"/>
      <c r="J48" s="333"/>
      <c r="K48" s="333"/>
      <c r="L48" s="333"/>
      <c r="M48" s="426"/>
      <c r="N48" s="236"/>
      <c r="O48" s="333"/>
      <c r="P48" s="333"/>
      <c r="Q48" s="333"/>
      <c r="R48" s="333"/>
      <c r="S48" s="426"/>
      <c r="T48" s="236"/>
      <c r="U48" s="333"/>
      <c r="V48" s="333"/>
      <c r="W48" s="333"/>
      <c r="X48" s="333"/>
      <c r="Y48" s="426"/>
      <c r="Z48" s="236"/>
      <c r="AA48" s="333">
        <f>AA15/AA9</f>
        <v>0.78418020904859997</v>
      </c>
      <c r="AB48" s="333">
        <f>AB15/AB9</f>
        <v>0.78598591549295782</v>
      </c>
      <c r="AC48" s="333">
        <f>AC15/AC9</f>
        <v>0.78600000000000003</v>
      </c>
      <c r="AD48" s="333">
        <f>AD15/AD9</f>
        <v>0.78700000000000003</v>
      </c>
      <c r="AE48" s="426">
        <f>AE15/AE9</f>
        <v>0.78533219972722612</v>
      </c>
      <c r="AF48" s="236"/>
      <c r="AG48" s="333">
        <f t="shared" ref="AG48:AK49" si="29">AG15/AG9</f>
        <v>0.7896746886351842</v>
      </c>
      <c r="AH48" s="333">
        <f t="shared" si="29"/>
        <v>0.79013832676237583</v>
      </c>
      <c r="AI48" s="333">
        <f t="shared" si="29"/>
        <v>0.77596370092720446</v>
      </c>
      <c r="AJ48" s="333">
        <f t="shared" si="29"/>
        <v>0.78752662597189504</v>
      </c>
      <c r="AK48" s="426">
        <f t="shared" si="29"/>
        <v>0.78587869085390294</v>
      </c>
      <c r="AL48" s="236"/>
      <c r="AM48" s="333">
        <f t="shared" ref="AM48:AQ49" si="30">AM15/AM9</f>
        <v>0.77223603537422647</v>
      </c>
      <c r="AN48" s="333">
        <f t="shared" si="30"/>
        <v>0.78357240236655512</v>
      </c>
      <c r="AO48" s="333">
        <f t="shared" si="30"/>
        <v>0.7988472810159557</v>
      </c>
      <c r="AP48" s="333">
        <f t="shared" si="30"/>
        <v>0.79844667436711902</v>
      </c>
      <c r="AQ48" s="426">
        <f t="shared" si="30"/>
        <v>0.78879978654484095</v>
      </c>
      <c r="AR48" s="236"/>
      <c r="AS48" s="333">
        <f t="shared" ref="AS48:AW49" si="31">AS15/AS9</f>
        <v>0.79103537229774301</v>
      </c>
      <c r="AT48" s="333">
        <f t="shared" si="31"/>
        <v>0.7883995882827497</v>
      </c>
      <c r="AU48" s="333">
        <f t="shared" si="31"/>
        <v>0.79217797437941384</v>
      </c>
      <c r="AV48" s="333">
        <f t="shared" si="31"/>
        <v>0.78839500742878299</v>
      </c>
      <c r="AW48" s="426">
        <f t="shared" si="31"/>
        <v>0.78996532168314038</v>
      </c>
      <c r="AX48" s="236"/>
      <c r="AY48" s="333">
        <f t="shared" ref="AY48:BC49" si="32">AY15/AY9</f>
        <v>0.79110726144073906</v>
      </c>
      <c r="AZ48" s="333">
        <f t="shared" si="32"/>
        <v>0.78339981176892393</v>
      </c>
      <c r="BA48" s="333">
        <f t="shared" si="32"/>
        <v>0.78775240554333981</v>
      </c>
      <c r="BB48" s="333">
        <f t="shared" si="32"/>
        <v>0.77872720137539242</v>
      </c>
      <c r="BC48" s="426">
        <f t="shared" si="32"/>
        <v>0.78502998052952677</v>
      </c>
      <c r="BD48" s="236"/>
      <c r="BE48" s="333">
        <f t="shared" ref="BE48:BI49" si="33">BE15/BE9</f>
        <v>0.78319784431355766</v>
      </c>
      <c r="BF48" s="333">
        <f t="shared" si="33"/>
        <v>0.78593963095022934</v>
      </c>
      <c r="BG48" s="579">
        <f t="shared" si="33"/>
        <v>0.77675361557529099</v>
      </c>
      <c r="BH48" s="579">
        <f t="shared" si="33"/>
        <v>0.77459894642679661</v>
      </c>
      <c r="BI48" s="426">
        <f t="shared" si="33"/>
        <v>0.77999889390573363</v>
      </c>
      <c r="BJ48" s="236"/>
      <c r="BK48" s="579">
        <f>BK15/BK9</f>
        <v>0.77885190811582194</v>
      </c>
      <c r="BL48" s="579">
        <f t="shared" ref="BL48:BM48" si="34">BL15/BL9</f>
        <v>0.78126440648400808</v>
      </c>
      <c r="BM48" s="579">
        <f t="shared" si="34"/>
        <v>0.77949773280134416</v>
      </c>
      <c r="BN48" s="579">
        <f t="shared" ref="BN48" si="35">BN15/BN9</f>
        <v>0.77568530761965426</v>
      </c>
      <c r="BO48" s="426">
        <f>BO15/BO9</f>
        <v>0.77873107139747444</v>
      </c>
      <c r="BP48" s="236"/>
      <c r="BQ48" s="579">
        <f>BQ15/BQ9</f>
        <v>0.770355767110673</v>
      </c>
      <c r="BR48" s="626">
        <f>+UnitBuild!BR155</f>
        <v>0.77820678696066492</v>
      </c>
      <c r="BS48" s="626">
        <f>+UnitBuild!BS155</f>
        <v>0.77996674951980871</v>
      </c>
      <c r="BT48" s="626">
        <f>+UnitBuild!BT155</f>
        <v>0.7738593096449049</v>
      </c>
      <c r="BU48" s="426">
        <f>BU15/BU9</f>
        <v>0.77571689528959153</v>
      </c>
      <c r="BV48" s="236"/>
      <c r="BW48" s="626">
        <f>+UnitBuild!BW155</f>
        <v>0.77922291454202075</v>
      </c>
      <c r="BX48" s="626">
        <f>+UnitBuild!BX155</f>
        <v>0.78942834250750871</v>
      </c>
      <c r="BY48" s="626">
        <f>+UnitBuild!BY155</f>
        <v>0.79113303187995931</v>
      </c>
      <c r="BZ48" s="626">
        <f>+UnitBuild!BZ155</f>
        <v>0.77958759379001452</v>
      </c>
      <c r="CA48" s="426">
        <f>CA15/CA9</f>
        <v>0.78492943955732575</v>
      </c>
      <c r="CB48" s="236"/>
      <c r="CC48" s="626">
        <f>+UnitBuild!CC155</f>
        <v>0.78648662472676367</v>
      </c>
      <c r="CD48" s="626">
        <f>+UnitBuild!CD155</f>
        <v>0.7959686280756052</v>
      </c>
      <c r="CE48" s="626">
        <f>+UnitBuild!CE155</f>
        <v>0.79865730295211756</v>
      </c>
      <c r="CF48" s="626">
        <f>+UnitBuild!CF155</f>
        <v>0.78467323902231667</v>
      </c>
      <c r="CG48" s="426">
        <f>CG15/CG9</f>
        <v>0.79147066167511948</v>
      </c>
      <c r="CH48" s="226"/>
      <c r="CI48" s="226"/>
      <c r="CP48" s="579"/>
      <c r="CQ48" s="42"/>
      <c r="CR48" s="42"/>
      <c r="CS48" s="42"/>
      <c r="CT48" s="77"/>
      <c r="CU48" s="77"/>
      <c r="CV48" s="77"/>
      <c r="CW48" s="77"/>
      <c r="CX48" s="77"/>
      <c r="CY48" s="77"/>
      <c r="CZ48" s="77"/>
      <c r="DA48" s="77"/>
      <c r="DB48" s="77"/>
      <c r="DC48" s="77"/>
      <c r="DD48" s="77"/>
      <c r="DE48" s="77"/>
    </row>
    <row r="49" spans="1:109" ht="12.75" hidden="1" customHeight="1" outlineLevel="1" x14ac:dyDescent="0.2">
      <c r="A49" s="42"/>
      <c r="B49" s="581" t="str">
        <f>B10</f>
        <v>Scanners/CADCAM</v>
      </c>
      <c r="C49" s="333"/>
      <c r="D49" s="333"/>
      <c r="E49" s="333"/>
      <c r="F49" s="333"/>
      <c r="G49" s="426"/>
      <c r="H49" s="236"/>
      <c r="I49" s="333"/>
      <c r="J49" s="333"/>
      <c r="K49" s="333"/>
      <c r="L49" s="333"/>
      <c r="M49" s="426"/>
      <c r="N49" s="236"/>
      <c r="O49" s="333"/>
      <c r="P49" s="333"/>
      <c r="Q49" s="333"/>
      <c r="R49" s="333"/>
      <c r="S49" s="426"/>
      <c r="T49" s="236"/>
      <c r="U49" s="333"/>
      <c r="V49" s="333"/>
      <c r="W49" s="333"/>
      <c r="X49" s="333"/>
      <c r="Y49" s="426"/>
      <c r="Z49" s="236"/>
      <c r="AA49" s="333"/>
      <c r="AB49" s="333">
        <f>AB16/AB10</f>
        <v>0.32138461538461544</v>
      </c>
      <c r="AC49" s="333">
        <f>AC16/AC10</f>
        <v>0.215</v>
      </c>
      <c r="AD49" s="333">
        <f>AD16/AD10</f>
        <v>0.2</v>
      </c>
      <c r="AE49" s="426">
        <f>AE16/AE10</f>
        <v>0.23427046263345194</v>
      </c>
      <c r="AF49" s="236"/>
      <c r="AG49" s="333">
        <f t="shared" si="29"/>
        <v>0.28686920262105353</v>
      </c>
      <c r="AH49" s="333">
        <f t="shared" si="29"/>
        <v>0.30291879233921432</v>
      </c>
      <c r="AI49" s="333">
        <f t="shared" si="29"/>
        <v>0.23774434551223372</v>
      </c>
      <c r="AJ49" s="333">
        <f t="shared" si="29"/>
        <v>0.2052900510970837</v>
      </c>
      <c r="AK49" s="426">
        <f t="shared" si="29"/>
        <v>0.26150483202945268</v>
      </c>
      <c r="AL49" s="236"/>
      <c r="AM49" s="333">
        <f t="shared" si="30"/>
        <v>0.29330446369087443</v>
      </c>
      <c r="AN49" s="333">
        <f t="shared" si="30"/>
        <v>0.33890736342042821</v>
      </c>
      <c r="AO49" s="333">
        <f t="shared" si="30"/>
        <v>0.22152245345016622</v>
      </c>
      <c r="AP49" s="333">
        <f t="shared" si="30"/>
        <v>0.31115346370566749</v>
      </c>
      <c r="AQ49" s="426">
        <f t="shared" si="30"/>
        <v>0.29130539763373453</v>
      </c>
      <c r="AR49" s="236"/>
      <c r="AS49" s="333">
        <f t="shared" si="31"/>
        <v>0.33593938905456422</v>
      </c>
      <c r="AT49" s="333">
        <f t="shared" si="31"/>
        <v>0.29485776805251834</v>
      </c>
      <c r="AU49" s="333">
        <f t="shared" si="31"/>
        <v>0.33540637246549526</v>
      </c>
      <c r="AV49" s="333">
        <f t="shared" si="31"/>
        <v>0.30222806873303948</v>
      </c>
      <c r="AW49" s="426">
        <f t="shared" si="31"/>
        <v>0.31675627240143256</v>
      </c>
      <c r="AX49" s="236"/>
      <c r="AY49" s="333">
        <f t="shared" si="32"/>
        <v>0.28307859274667635</v>
      </c>
      <c r="AZ49" s="333">
        <f t="shared" si="32"/>
        <v>0.14957905662553336</v>
      </c>
      <c r="BA49" s="333">
        <f t="shared" si="32"/>
        <v>0.14672517123287668</v>
      </c>
      <c r="BB49" s="333">
        <f t="shared" si="32"/>
        <v>0.37743406457973877</v>
      </c>
      <c r="BC49" s="426">
        <f t="shared" si="32"/>
        <v>0.26320088300220751</v>
      </c>
      <c r="BD49" s="236"/>
      <c r="BE49" s="333">
        <f t="shared" si="33"/>
        <v>0.45000525707076017</v>
      </c>
      <c r="BF49" s="333">
        <f t="shared" si="33"/>
        <v>0.5357556121268221</v>
      </c>
      <c r="BG49" s="579">
        <f t="shared" si="33"/>
        <v>0.57077403281692973</v>
      </c>
      <c r="BH49" s="579">
        <f t="shared" si="33"/>
        <v>0.60986611641633515</v>
      </c>
      <c r="BI49" s="426">
        <f t="shared" si="33"/>
        <v>0.55780891342443661</v>
      </c>
      <c r="BJ49" s="236"/>
      <c r="BK49" s="579">
        <f>BK16/BK10</f>
        <v>0.56109083100708623</v>
      </c>
      <c r="BL49" s="579">
        <f t="shared" ref="BL49:BM49" si="36">BL16/BL10</f>
        <v>0.56714438864752048</v>
      </c>
      <c r="BM49" s="579">
        <f t="shared" si="36"/>
        <v>0.60021531977276898</v>
      </c>
      <c r="BN49" s="579">
        <f t="shared" ref="BN49" si="37">BN16/BN10</f>
        <v>0.61988898033516016</v>
      </c>
      <c r="BO49" s="426">
        <f>BO16/BO10</f>
        <v>0.59325864600276579</v>
      </c>
      <c r="BP49" s="236"/>
      <c r="BQ49" s="579">
        <f>BQ16/BQ10</f>
        <v>0.5918434819813686</v>
      </c>
      <c r="BR49" s="425">
        <f>+BQ49+1%</f>
        <v>0.60184348198136861</v>
      </c>
      <c r="BS49" s="425">
        <f>+BR49+2%</f>
        <v>0.62184348198136863</v>
      </c>
      <c r="BT49" s="425">
        <f>+BS49+2%</f>
        <v>0.64184348198136865</v>
      </c>
      <c r="BU49" s="426">
        <f>BU16/BU10</f>
        <v>0.61669515589189805</v>
      </c>
      <c r="BV49" s="236"/>
      <c r="BW49" s="425">
        <f>+BT49-1%</f>
        <v>0.63184348198136864</v>
      </c>
      <c r="BX49" s="425">
        <f>+BW49+1%</f>
        <v>0.64184348198136865</v>
      </c>
      <c r="BY49" s="425">
        <f>+BX49+2%</f>
        <v>0.66184348198136866</v>
      </c>
      <c r="BZ49" s="425">
        <f>+BY49+2%</f>
        <v>0.68184348198136868</v>
      </c>
      <c r="CA49" s="426">
        <f>CA16/CA10</f>
        <v>0.65646262345718986</v>
      </c>
      <c r="CB49" s="236"/>
      <c r="CC49" s="425">
        <f t="shared" ref="CC49" si="38">+BZ49-1%</f>
        <v>0.67184348198136867</v>
      </c>
      <c r="CD49" s="425">
        <f t="shared" ref="CD49" si="39">+CC49+1%</f>
        <v>0.68184348198136868</v>
      </c>
      <c r="CE49" s="425">
        <f t="shared" ref="CE49:CF49" si="40">+CD49+2%</f>
        <v>0.7018434819813687</v>
      </c>
      <c r="CF49" s="425">
        <f t="shared" si="40"/>
        <v>0.72184348198136872</v>
      </c>
      <c r="CG49" s="426">
        <f t="shared" ref="CG49" si="41">CG16/CG10</f>
        <v>0.69627847778328167</v>
      </c>
      <c r="CH49" s="226"/>
      <c r="CI49" s="226"/>
      <c r="CP49" s="579"/>
      <c r="CQ49" s="42"/>
      <c r="CR49" s="42"/>
      <c r="CS49" s="42"/>
      <c r="CT49" s="837"/>
      <c r="CU49" s="77"/>
      <c r="CV49" s="77"/>
      <c r="CW49" s="77"/>
      <c r="CX49" s="77"/>
      <c r="CY49" s="77"/>
      <c r="CZ49" s="77"/>
      <c r="DA49" s="77"/>
      <c r="DB49" s="77"/>
      <c r="DC49" s="77"/>
      <c r="DD49" s="77"/>
      <c r="DE49" s="77"/>
    </row>
    <row r="50" spans="1:109" collapsed="1" x14ac:dyDescent="0.2">
      <c r="A50" s="42"/>
      <c r="B50" s="264" t="s">
        <v>298</v>
      </c>
      <c r="C50" s="333">
        <f>+C18/C8</f>
        <v>0.36307460673452419</v>
      </c>
      <c r="D50" s="333">
        <f>+D18/D8</f>
        <v>0.31791183112932919</v>
      </c>
      <c r="E50" s="333">
        <f>+E18/E8</f>
        <v>0.33905753593371685</v>
      </c>
      <c r="F50" s="333">
        <f>+F18/F8</f>
        <v>0.36545913372036898</v>
      </c>
      <c r="G50" s="426">
        <f>+G18/G8</f>
        <v>0.3454799319105834</v>
      </c>
      <c r="H50" s="236"/>
      <c r="I50" s="333">
        <f>+I18/I8</f>
        <v>0.37524071894725586</v>
      </c>
      <c r="J50" s="333">
        <f>+J18/J8</f>
        <v>0.40629771470050807</v>
      </c>
      <c r="K50" s="333">
        <f>+K18/K8</f>
        <v>0.37532092639644549</v>
      </c>
      <c r="L50" s="333">
        <f>+L18/L8</f>
        <v>0.35514333895446887</v>
      </c>
      <c r="M50" s="426">
        <f>+M18/M8</f>
        <v>0.37852330447140564</v>
      </c>
      <c r="N50" s="236"/>
      <c r="O50" s="333">
        <f>+O18/O8</f>
        <v>0.3971653453487709</v>
      </c>
      <c r="P50" s="333">
        <f>+P18/P8</f>
        <v>0.38141412023690968</v>
      </c>
      <c r="Q50" s="333">
        <f>+Q18/Q8</f>
        <v>0.34927903720243725</v>
      </c>
      <c r="R50" s="333">
        <f>+R18/R8</f>
        <v>0.32203057171885113</v>
      </c>
      <c r="S50" s="426">
        <f>+S18/S8</f>
        <v>0.36032695872674358</v>
      </c>
      <c r="T50" s="236"/>
      <c r="U50" s="333">
        <f>+U18/U8</f>
        <v>0.31020091020091023</v>
      </c>
      <c r="V50" s="333">
        <f>+V18/V8</f>
        <v>0.30819612771305033</v>
      </c>
      <c r="W50" s="333">
        <f>+W18/W8</f>
        <v>0.28041522924114354</v>
      </c>
      <c r="X50" s="333">
        <f>+X18/X8</f>
        <v>0.32535282529361748</v>
      </c>
      <c r="Y50" s="426">
        <f>+Y18/Y8</f>
        <v>0.30580589440707245</v>
      </c>
      <c r="Z50" s="236"/>
      <c r="AA50" s="333">
        <f>+AA18/AA8</f>
        <v>0.31301022354467078</v>
      </c>
      <c r="AB50" s="333">
        <f>+AB18/AB8</f>
        <v>0.32131972086671218</v>
      </c>
      <c r="AC50" s="333">
        <f>+AC18/AC8</f>
        <v>0.27527125994884583</v>
      </c>
      <c r="AD50" s="333">
        <f>+AD18/AD8</f>
        <v>0.28014429230828908</v>
      </c>
      <c r="AE50" s="426">
        <f>+AE18/AE8</f>
        <v>0.29635574195242853</v>
      </c>
      <c r="AF50" s="236"/>
      <c r="AG50" s="333">
        <f>+AG18/AG8</f>
        <v>0.28449277830010589</v>
      </c>
      <c r="AH50" s="333">
        <f>+AH18/AH8</f>
        <v>0.2671775644459094</v>
      </c>
      <c r="AI50" s="333">
        <f>+AI18/AI8</f>
        <v>0.2658539444379322</v>
      </c>
      <c r="AJ50" s="333">
        <f>+AJ18/AJ8</f>
        <v>0.26441472976757208</v>
      </c>
      <c r="AK50" s="426">
        <f>+AK18/AK8</f>
        <v>0.27032663679980573</v>
      </c>
      <c r="AL50" s="236"/>
      <c r="AM50" s="333">
        <f>+AM18/AM8</f>
        <v>0.27530277379867168</v>
      </c>
      <c r="AN50" s="333">
        <f>+AN18/AN8</f>
        <v>0.29205630295187635</v>
      </c>
      <c r="AO50" s="333">
        <f>+AO18/AO8</f>
        <v>0.27490790609461052</v>
      </c>
      <c r="AP50" s="333">
        <f>+AP18/AP8</f>
        <v>0.25067866197025107</v>
      </c>
      <c r="AQ50" s="426">
        <f>+AQ18/AQ8</f>
        <v>0.27271185054361818</v>
      </c>
      <c r="AR50" s="236"/>
      <c r="AS50" s="333">
        <f>+AS18/AS8</f>
        <v>0.29277149784661716</v>
      </c>
      <c r="AT50" s="333">
        <f>+AT18/AT8</f>
        <v>0.29286712269712412</v>
      </c>
      <c r="AU50" s="333">
        <f>+AU18/AU8</f>
        <v>0.27580104910573217</v>
      </c>
      <c r="AV50" s="333">
        <f>+AV18/AV8</f>
        <v>0.28006042296072509</v>
      </c>
      <c r="AW50" s="426">
        <f>+AW18/AW8</f>
        <v>0.28525063250587868</v>
      </c>
      <c r="AX50" s="236"/>
      <c r="AY50" s="333">
        <f>+AY18/AY8</f>
        <v>0.28859358592836087</v>
      </c>
      <c r="AZ50" s="333">
        <f>+AZ18/AZ8</f>
        <v>0.31104265884482146</v>
      </c>
      <c r="BA50" s="333">
        <f>+BA18/BA8</f>
        <v>0.31732862151460034</v>
      </c>
      <c r="BB50" s="333">
        <f>+BB18/BB8</f>
        <v>0.28003052864224487</v>
      </c>
      <c r="BC50" s="426">
        <f>+BC18/BC8</f>
        <v>0.29888041818399874</v>
      </c>
      <c r="BD50" s="236"/>
      <c r="BE50" s="333">
        <f>+BE18/BE8</f>
        <v>0.30437989957828004</v>
      </c>
      <c r="BF50" s="333">
        <f>+BF18/BF8</f>
        <v>0.29200829615119234</v>
      </c>
      <c r="BG50" s="579">
        <f>+BG18/BG8</f>
        <v>0.29451897769298674</v>
      </c>
      <c r="BH50" s="579">
        <f>+BH18/BH8</f>
        <v>0.28770177990310963</v>
      </c>
      <c r="BI50" s="426">
        <f>+BI18/BI8</f>
        <v>0.29422162284178288</v>
      </c>
      <c r="BJ50" s="236"/>
      <c r="BK50" s="579">
        <f>+BK18/BK8</f>
        <v>0.31538168021418267</v>
      </c>
      <c r="BL50" s="579">
        <f>+BL18/BL8</f>
        <v>0.29602424567836971</v>
      </c>
      <c r="BM50" s="579">
        <f>+BM18/BM8</f>
        <v>0.28493289645874514</v>
      </c>
      <c r="BN50" s="579">
        <f>+BN18/BN8</f>
        <v>0.27994051780992918</v>
      </c>
      <c r="BO50" s="426">
        <f>+BO18/BO8</f>
        <v>0.29260214357581371</v>
      </c>
      <c r="BP50" s="236"/>
      <c r="BQ50" s="579">
        <f>+BQ18/BQ8</f>
        <v>0.31982106727943532</v>
      </c>
      <c r="BR50" s="425">
        <v>0.32</v>
      </c>
      <c r="BS50" s="425">
        <v>0.28999999999999998</v>
      </c>
      <c r="BT50" s="425">
        <v>0.28000000000000003</v>
      </c>
      <c r="BU50" s="426">
        <f>+BU18/BU8</f>
        <v>0.30131386270781363</v>
      </c>
      <c r="BV50" s="236"/>
      <c r="BW50" s="425">
        <f>+BQ50-0.003</f>
        <v>0.31682106727943532</v>
      </c>
      <c r="BX50" s="425">
        <f t="shared" ref="BX50:BZ50" si="42">+BR50-0.003</f>
        <v>0.317</v>
      </c>
      <c r="BY50" s="425">
        <f t="shared" si="42"/>
        <v>0.28699999999999998</v>
      </c>
      <c r="BZ50" s="425">
        <f t="shared" si="42"/>
        <v>0.27700000000000002</v>
      </c>
      <c r="CA50" s="426">
        <f t="shared" ref="CA50" si="43">+CA18/CA8</f>
        <v>0.29827589652393977</v>
      </c>
      <c r="CB50" s="236"/>
      <c r="CC50" s="425">
        <f t="shared" ref="CC50" si="44">+BW50-0.003</f>
        <v>0.31382106727943532</v>
      </c>
      <c r="CD50" s="425">
        <f t="shared" ref="CD50" si="45">+BX50-0.003</f>
        <v>0.314</v>
      </c>
      <c r="CE50" s="425">
        <f t="shared" ref="CE50" si="46">+BY50-0.003</f>
        <v>0.28399999999999997</v>
      </c>
      <c r="CF50" s="425">
        <f t="shared" ref="CF50" si="47">+BZ50-0.003</f>
        <v>0.27400000000000002</v>
      </c>
      <c r="CG50" s="426">
        <f t="shared" ref="CG50" si="48">+CG18/CG8</f>
        <v>0.29537613042896455</v>
      </c>
      <c r="CI50" s="226"/>
      <c r="CQ50" s="42"/>
      <c r="CR50" s="42"/>
      <c r="CS50" s="42"/>
      <c r="CT50" s="837"/>
      <c r="CU50" s="846"/>
      <c r="CV50" s="77"/>
      <c r="CW50" s="77"/>
      <c r="CX50" s="77"/>
      <c r="CY50" s="77"/>
      <c r="CZ50" s="77"/>
      <c r="DA50" s="77"/>
      <c r="DB50" s="77"/>
      <c r="DC50" s="77"/>
      <c r="DD50" s="77"/>
      <c r="DE50" s="77"/>
    </row>
    <row r="51" spans="1:109" x14ac:dyDescent="0.2">
      <c r="A51" s="42"/>
      <c r="B51" s="264" t="s">
        <v>99</v>
      </c>
      <c r="C51" s="333">
        <f>+C19/C8</f>
        <v>0.16293659133326016</v>
      </c>
      <c r="D51" s="333">
        <f>+D19/D8</f>
        <v>0.15508530997480519</v>
      </c>
      <c r="E51" s="333">
        <f>+E19/E8</f>
        <v>0.19522469944437448</v>
      </c>
      <c r="F51" s="333">
        <f>+F19/F8</f>
        <v>0.21051615483265992</v>
      </c>
      <c r="G51" s="426">
        <f>+G19/G8</f>
        <v>0.18107001674099293</v>
      </c>
      <c r="H51" s="236"/>
      <c r="I51" s="333">
        <f>+I19/I8</f>
        <v>0.20311329838450842</v>
      </c>
      <c r="J51" s="333">
        <f>+J19/J8</f>
        <v>0.20427523716552776</v>
      </c>
      <c r="K51" s="333">
        <f>+K19/K8</f>
        <v>0.19149162598273314</v>
      </c>
      <c r="L51" s="333">
        <f>+L19/L8</f>
        <v>0.2192107925801012</v>
      </c>
      <c r="M51" s="426">
        <f>+M19/M8</f>
        <v>0.20447008974392716</v>
      </c>
      <c r="N51" s="236"/>
      <c r="O51" s="333">
        <f>+O19/O8</f>
        <v>0.19203787144242287</v>
      </c>
      <c r="P51" s="333">
        <f>+P19/P8</f>
        <v>0.21671733319356362</v>
      </c>
      <c r="Q51" s="333">
        <f>+Q19/Q8</f>
        <v>0.20467017371229609</v>
      </c>
      <c r="R51" s="333">
        <f>+R19/R8</f>
        <v>0.17880068347649403</v>
      </c>
      <c r="S51" s="426">
        <f>+S19/S8</f>
        <v>0.1976031991496256</v>
      </c>
      <c r="T51" s="236"/>
      <c r="U51" s="333">
        <f>+U19/U8</f>
        <v>0.16595626595626595</v>
      </c>
      <c r="V51" s="333">
        <f>+V19/V8</f>
        <v>0.15980106072546807</v>
      </c>
      <c r="W51" s="333">
        <f>+W19/W8</f>
        <v>0.16887448278737219</v>
      </c>
      <c r="X51" s="333">
        <f>+X19/X8</f>
        <v>0.2005640898668361</v>
      </c>
      <c r="Y51" s="426">
        <f>+Y19/Y8</f>
        <v>0.17377986631905332</v>
      </c>
      <c r="Z51" s="236"/>
      <c r="AA51" s="333">
        <f>+AA19/AA8</f>
        <v>0.16700045777065689</v>
      </c>
      <c r="AB51" s="333">
        <f>+AB19/AB8</f>
        <v>0.16857918491747581</v>
      </c>
      <c r="AC51" s="333">
        <f>+AC19/AC8</f>
        <v>0.16077811492207733</v>
      </c>
      <c r="AD51" s="333">
        <f>+AD19/AD8</f>
        <v>0.16443117024165083</v>
      </c>
      <c r="AE51" s="426">
        <f>+AE19/AE8</f>
        <v>0.16507240365113676</v>
      </c>
      <c r="AF51" s="236"/>
      <c r="AG51" s="333">
        <f>+AG19/AG8</f>
        <v>0.16580667609324912</v>
      </c>
      <c r="AH51" s="333">
        <f>+AH19/AH8</f>
        <v>0.1519852224190735</v>
      </c>
      <c r="AI51" s="333">
        <f>+AI19/AI8</f>
        <v>0.17489157191419527</v>
      </c>
      <c r="AJ51" s="333">
        <f>+AJ19/AJ8</f>
        <v>0.19018482217866145</v>
      </c>
      <c r="AK51" s="426">
        <f>+AK19/AK8</f>
        <v>0.17064464923103842</v>
      </c>
      <c r="AL51" s="236"/>
      <c r="AM51" s="333">
        <f>+AM19/AM8-AM52</f>
        <v>0.18539592928341656</v>
      </c>
      <c r="AN51" s="333">
        <f>+AN19/AN8-AN52</f>
        <v>0.15276387430720023</v>
      </c>
      <c r="AO51" s="333">
        <f>+AO19/AO8-AO52</f>
        <v>0.15188813052411462</v>
      </c>
      <c r="AP51" s="333">
        <f>+AP19/AP8-AP52</f>
        <v>0.14122317097794629</v>
      </c>
      <c r="AQ51" s="426">
        <f>+AQ19/AQ8-AQ52</f>
        <v>0.15558154394234525</v>
      </c>
      <c r="AR51" s="236"/>
      <c r="AS51" s="333">
        <f>+AS19/AS8-AS52</f>
        <v>0.15152585720137726</v>
      </c>
      <c r="AT51" s="333">
        <f>+AT19/AT8-AT52</f>
        <v>0.14059554045841968</v>
      </c>
      <c r="AU51" s="333">
        <f>+AU19/AU8-AU52</f>
        <v>0.14896564073395269</v>
      </c>
      <c r="AV51" s="333">
        <f>+AV19/AV8-AV52</f>
        <v>0.1524320241691843</v>
      </c>
      <c r="AW51" s="426">
        <f>+AW19/AW8-AW52</f>
        <v>0.15073268273084986</v>
      </c>
      <c r="AX51" s="236"/>
      <c r="AY51" s="333">
        <f>+AY19/AY8-AY52</f>
        <v>0.14753233917487704</v>
      </c>
      <c r="AZ51" s="333">
        <f>+AZ19/AZ8-AZ52</f>
        <v>0.16929511706597056</v>
      </c>
      <c r="BA51" s="333">
        <f>+BA19/BA8-BA52</f>
        <v>0.17271645737345373</v>
      </c>
      <c r="BB51" s="333">
        <f>+BB19/BB8-BB52</f>
        <v>0.15241575321083567</v>
      </c>
      <c r="BC51" s="426">
        <f>+BC19/BC8-BC52</f>
        <v>0.16848206919012679</v>
      </c>
      <c r="BD51" s="236"/>
      <c r="BE51" s="333">
        <f>+BE19/BE8-BE52</f>
        <v>0.16566869291501748</v>
      </c>
      <c r="BF51" s="333">
        <f>+BF19/BF8-BF52</f>
        <v>0.15893504403784689</v>
      </c>
      <c r="BG51" s="579">
        <f>+BG19/BG8-BG52</f>
        <v>0.16030156439589688</v>
      </c>
      <c r="BH51" s="579">
        <f>+BH19/BH8-BH52</f>
        <v>0.15659108203895786</v>
      </c>
      <c r="BI51" s="426">
        <f>+BI19/BI8-BI52</f>
        <v>0.16013971931480206</v>
      </c>
      <c r="BJ51" s="236"/>
      <c r="BK51" s="579">
        <f>+BK19/BK8-BK52</f>
        <v>0.17165677103782723</v>
      </c>
      <c r="BL51" s="579">
        <f>+BL19/BL8-BL52</f>
        <v>0.16112085561706735</v>
      </c>
      <c r="BM51" s="579">
        <f>+BM19/BM8-BM52</f>
        <v>0.15508402686975173</v>
      </c>
      <c r="BN51" s="579">
        <f>+BN19/BN8-BN52</f>
        <v>0.15236676187810114</v>
      </c>
      <c r="BO51" s="426">
        <f>+BO19/BO8-BO52</f>
        <v>0.15925826487721337</v>
      </c>
      <c r="BP51" s="236"/>
      <c r="BQ51" s="579">
        <f>+BQ19/BQ8-BQ52</f>
        <v>0.13706617169118662</v>
      </c>
      <c r="BR51" s="425">
        <v>0.14000000000000001</v>
      </c>
      <c r="BS51" s="425">
        <f>+BM51-0.003</f>
        <v>0.15208402686975173</v>
      </c>
      <c r="BT51" s="425">
        <f>+BN51-0.003</f>
        <v>0.14936676187810113</v>
      </c>
      <c r="BU51" s="426">
        <f>+BU19/BU8-BU52</f>
        <v>0.14498577092102852</v>
      </c>
      <c r="BV51" s="236"/>
      <c r="BW51" s="425">
        <f>+BQ51-0.003</f>
        <v>0.13406617169118662</v>
      </c>
      <c r="BX51" s="425">
        <f t="shared" ref="BX51:BZ51" si="49">+BR51-0.003</f>
        <v>0.13700000000000001</v>
      </c>
      <c r="BY51" s="425">
        <f t="shared" si="49"/>
        <v>0.14908402686975172</v>
      </c>
      <c r="BZ51" s="425">
        <f t="shared" si="49"/>
        <v>0.14636676187810113</v>
      </c>
      <c r="CA51" s="426">
        <f>+CA19/CA8-CA52</f>
        <v>0.14200854231231283</v>
      </c>
      <c r="CB51" s="236"/>
      <c r="CC51" s="425">
        <f t="shared" ref="CC51" si="50">+BW51-0.003</f>
        <v>0.13106617169118662</v>
      </c>
      <c r="CD51" s="425">
        <f t="shared" ref="CD51" si="51">+BX51-0.003</f>
        <v>0.13400000000000001</v>
      </c>
      <c r="CE51" s="425">
        <f t="shared" ref="CE51" si="52">+BY51-0.003</f>
        <v>0.14608402686975172</v>
      </c>
      <c r="CF51" s="425">
        <f t="shared" ref="CF51" si="53">+BZ51-0.003</f>
        <v>0.14336676187810113</v>
      </c>
      <c r="CG51" s="426">
        <f t="shared" ref="CG51" si="54">+CG19/CG8-CG52</f>
        <v>0.13897515863135559</v>
      </c>
      <c r="CI51" s="226"/>
      <c r="CP51" s="46"/>
      <c r="CQ51" s="42"/>
      <c r="CR51" s="42"/>
      <c r="CS51" s="42"/>
      <c r="CT51" s="77"/>
      <c r="CU51" s="77"/>
      <c r="CV51" s="77"/>
      <c r="CW51" s="77"/>
      <c r="CX51" s="77"/>
      <c r="CY51" s="77"/>
      <c r="CZ51" s="77"/>
      <c r="DA51" s="77"/>
      <c r="DB51" s="77"/>
      <c r="DC51" s="77"/>
      <c r="DD51" s="77"/>
      <c r="DE51" s="77"/>
    </row>
    <row r="52" spans="1:109" ht="12.75" hidden="1" customHeight="1" outlineLevel="1" x14ac:dyDescent="0.2">
      <c r="A52" s="42"/>
      <c r="B52" s="264" t="s">
        <v>67</v>
      </c>
      <c r="C52" s="333"/>
      <c r="D52" s="333"/>
      <c r="E52" s="333"/>
      <c r="F52" s="333"/>
      <c r="G52" s="426"/>
      <c r="H52" s="236"/>
      <c r="I52" s="333"/>
      <c r="J52" s="333"/>
      <c r="K52" s="333"/>
      <c r="L52" s="333"/>
      <c r="M52" s="426"/>
      <c r="N52" s="236"/>
      <c r="O52" s="333"/>
      <c r="P52" s="333"/>
      <c r="Q52" s="333"/>
      <c r="R52" s="333"/>
      <c r="S52" s="426"/>
      <c r="T52" s="236"/>
      <c r="U52" s="333"/>
      <c r="V52" s="333"/>
      <c r="W52" s="333"/>
      <c r="X52" s="333"/>
      <c r="Y52" s="426"/>
      <c r="Z52" s="236"/>
      <c r="AA52" s="333"/>
      <c r="AB52" s="333"/>
      <c r="AC52" s="333"/>
      <c r="AD52" s="333"/>
      <c r="AE52" s="426"/>
      <c r="AF52" s="236"/>
      <c r="AG52" s="333"/>
      <c r="AH52" s="333"/>
      <c r="AI52" s="333"/>
      <c r="AJ52" s="425"/>
      <c r="AK52" s="426"/>
      <c r="AL52" s="236"/>
      <c r="AM52" s="467">
        <f>AN52</f>
        <v>1.2207925385160046E-2</v>
      </c>
      <c r="AN52" s="467">
        <f>2/AN8</f>
        <v>1.2207925385160046E-2</v>
      </c>
      <c r="AO52" s="467">
        <f>+AO8*0.76*0.02/AO8</f>
        <v>1.5200000000000002E-2</v>
      </c>
      <c r="AP52" s="425">
        <f>+AP8*0.76*0.02/AP8</f>
        <v>1.5200000000000002E-2</v>
      </c>
      <c r="AQ52" s="426">
        <f>AP52</f>
        <v>1.5200000000000002E-2</v>
      </c>
      <c r="AR52" s="236"/>
      <c r="AS52" s="425">
        <v>0.01</v>
      </c>
      <c r="AT52" s="425">
        <v>0</v>
      </c>
      <c r="AU52" s="425">
        <v>0</v>
      </c>
      <c r="AV52" s="425">
        <v>0</v>
      </c>
      <c r="AW52" s="426">
        <f>AV52</f>
        <v>0</v>
      </c>
      <c r="AX52" s="236"/>
      <c r="AY52" s="425">
        <f>6.8/AY8</f>
        <v>3.4328523974435345E-2</v>
      </c>
      <c r="AZ52" s="425">
        <v>0</v>
      </c>
      <c r="BA52" s="425">
        <v>0</v>
      </c>
      <c r="BB52" s="425">
        <v>0</v>
      </c>
      <c r="BC52" s="426">
        <f>BB52</f>
        <v>0</v>
      </c>
      <c r="BD52" s="236"/>
      <c r="BE52" s="425">
        <v>0</v>
      </c>
      <c r="BF52" s="425">
        <v>0</v>
      </c>
      <c r="BG52" s="792">
        <v>0</v>
      </c>
      <c r="BH52" s="425">
        <v>0</v>
      </c>
      <c r="BI52" s="426">
        <f>BH52</f>
        <v>0</v>
      </c>
      <c r="BJ52" s="236"/>
      <c r="BK52" s="579">
        <v>0</v>
      </c>
      <c r="BL52" s="579">
        <v>0</v>
      </c>
      <c r="BM52" s="579">
        <v>0</v>
      </c>
      <c r="BN52" s="579">
        <v>0</v>
      </c>
      <c r="BO52" s="426">
        <f>BN52</f>
        <v>0</v>
      </c>
      <c r="BP52" s="236"/>
      <c r="BQ52" s="579">
        <v>0</v>
      </c>
      <c r="BR52" s="425">
        <v>0</v>
      </c>
      <c r="BS52" s="425">
        <v>0</v>
      </c>
      <c r="BT52" s="425">
        <v>0</v>
      </c>
      <c r="BU52" s="426">
        <f>BT52</f>
        <v>0</v>
      </c>
      <c r="BV52" s="236"/>
      <c r="BW52" s="425">
        <v>0</v>
      </c>
      <c r="BX52" s="425">
        <v>0</v>
      </c>
      <c r="BY52" s="425">
        <v>0</v>
      </c>
      <c r="BZ52" s="425">
        <v>0</v>
      </c>
      <c r="CA52" s="426">
        <f>BZ52</f>
        <v>0</v>
      </c>
      <c r="CB52" s="236"/>
      <c r="CC52" s="425">
        <v>0</v>
      </c>
      <c r="CD52" s="425">
        <v>0</v>
      </c>
      <c r="CE52" s="425">
        <v>0</v>
      </c>
      <c r="CF52" s="425">
        <v>0</v>
      </c>
      <c r="CG52" s="426">
        <f>CF52</f>
        <v>0</v>
      </c>
      <c r="CH52" s="226"/>
      <c r="CI52" s="226"/>
      <c r="CQ52" s="42"/>
      <c r="CR52" s="42"/>
      <c r="CS52" s="42"/>
      <c r="CT52" s="77"/>
      <c r="CU52" s="77"/>
      <c r="CV52" s="77"/>
      <c r="CW52" s="77"/>
      <c r="CX52" s="77"/>
      <c r="CY52" s="77"/>
      <c r="CZ52" s="77"/>
      <c r="DA52" s="77"/>
      <c r="DB52" s="77"/>
      <c r="DC52" s="77"/>
      <c r="DD52" s="77"/>
      <c r="DE52" s="77"/>
    </row>
    <row r="53" spans="1:109" ht="12.75" hidden="1" customHeight="1" outlineLevel="1" x14ac:dyDescent="0.2">
      <c r="A53" s="42"/>
      <c r="B53" s="264" t="s">
        <v>128</v>
      </c>
      <c r="C53" s="333">
        <f>+C20/C8</f>
        <v>8.9286554476874572E-2</v>
      </c>
      <c r="D53" s="333">
        <f>+D20/D8</f>
        <v>8.7137579468167053E-2</v>
      </c>
      <c r="E53" s="333">
        <f>+E20/E8</f>
        <v>9.4456340709017372E-2</v>
      </c>
      <c r="F53" s="333">
        <f>+F20/F8</f>
        <v>9.1151040445688641E-2</v>
      </c>
      <c r="G53" s="426">
        <f>+G20/G8</f>
        <v>9.0482253140694691E-2</v>
      </c>
      <c r="H53" s="253"/>
      <c r="I53" s="333">
        <f>+I20/I8</f>
        <v>9.7558040012838354E-2</v>
      </c>
      <c r="J53" s="333">
        <f>+J20/J8</f>
        <v>8.7619834297013852E-2</v>
      </c>
      <c r="K53" s="333">
        <f>+K20/K8</f>
        <v>7.8725074162265707E-2</v>
      </c>
      <c r="L53" s="333">
        <f>+L20/L8</f>
        <v>8.0283305227655991E-2</v>
      </c>
      <c r="M53" s="426">
        <f>+M20/M8</f>
        <v>8.6075874411137718E-2</v>
      </c>
      <c r="N53" s="253"/>
      <c r="O53" s="333">
        <f>+O20/O8</f>
        <v>7.4017566873894949E-2</v>
      </c>
      <c r="P53" s="333">
        <f>+P20/P8</f>
        <v>7.4283243356570036E-2</v>
      </c>
      <c r="Q53" s="333">
        <f>+Q20/Q8</f>
        <v>7.07842914632454E-2</v>
      </c>
      <c r="R53" s="333">
        <f>+R20/R8</f>
        <v>6.6742865059573303E-2</v>
      </c>
      <c r="S53" s="426">
        <f>+S20/S8</f>
        <v>7.1244473046396001E-2</v>
      </c>
      <c r="T53" s="253"/>
      <c r="U53" s="333">
        <f>+U20/U8</f>
        <v>6.7887667887667882E-2</v>
      </c>
      <c r="V53" s="333">
        <f>+V20/V8</f>
        <v>6.8116466804404779E-2</v>
      </c>
      <c r="W53" s="333">
        <f>+W20/W8</f>
        <v>6.870459732977581E-2</v>
      </c>
      <c r="X53" s="333">
        <f>+X20/X8</f>
        <v>7.4203653666045907E-2</v>
      </c>
      <c r="Y53" s="426">
        <f>+Y20/Y8</f>
        <v>6.9729204888044891E-2</v>
      </c>
      <c r="Z53" s="253"/>
      <c r="AA53" s="333">
        <f>+AA20/AA8</f>
        <v>8.955138475623714E-2</v>
      </c>
      <c r="AB53" s="333">
        <f>+AB20/AB8</f>
        <v>7.71946771480439E-2</v>
      </c>
      <c r="AC53" s="333">
        <f>+AC20/AC8</f>
        <v>7.0900916644160955E-2</v>
      </c>
      <c r="AD53" s="333">
        <f>+AD20/AD8</f>
        <v>7.4225204608044687E-2</v>
      </c>
      <c r="AE53" s="426">
        <f>+AE20/AE8</f>
        <v>7.7445955213333861E-2</v>
      </c>
      <c r="AF53" s="253"/>
      <c r="AG53" s="333">
        <f>+AG20/AG8</f>
        <v>7.6407139525758991E-2</v>
      </c>
      <c r="AH53" s="333">
        <f>+AH20/AH8</f>
        <v>7.2569458750497848E-2</v>
      </c>
      <c r="AI53" s="333">
        <f>+AI20/AI8</f>
        <v>7.2324463720548585E-2</v>
      </c>
      <c r="AJ53" s="333">
        <f>+AJ20/AJ8</f>
        <v>8.1986838420610469E-2</v>
      </c>
      <c r="AK53" s="426">
        <f>+AK20/AK8</f>
        <v>7.5837304768757996E-2</v>
      </c>
      <c r="AL53" s="253"/>
      <c r="AM53" s="333">
        <f>+AM20/AM8</f>
        <v>7.3460085948691231E-2</v>
      </c>
      <c r="AN53" s="333">
        <f>+AN20/AN8</f>
        <v>6.6630856752203538E-2</v>
      </c>
      <c r="AO53" s="333">
        <f>+AO20/AO8</f>
        <v>6.6350163519871608E-2</v>
      </c>
      <c r="AP53" s="333">
        <f>+AP20/AP8</f>
        <v>6.1528279451685999E-2</v>
      </c>
      <c r="AQ53" s="426">
        <f>+AQ20/AQ8</f>
        <v>6.6771583414873534E-2</v>
      </c>
      <c r="AR53" s="253"/>
      <c r="AS53" s="333">
        <f>+AS20/AS8</f>
        <v>7.4067513257974171E-2</v>
      </c>
      <c r="AT53" s="333">
        <f>+AT20/AT8</f>
        <v>6.9022650897777496E-2</v>
      </c>
      <c r="AU53" s="333">
        <f>+AU20/AU8</f>
        <v>6.7696812656681191E-2</v>
      </c>
      <c r="AV53" s="333">
        <f>+AV20/AV8</f>
        <v>6.68479355488419E-2</v>
      </c>
      <c r="AW53" s="426">
        <f>+AW20/AW8</f>
        <v>6.9321593954202232E-2</v>
      </c>
      <c r="AX53" s="253"/>
      <c r="AY53" s="333">
        <f>+AY20/AY8</f>
        <v>7.0095816968387459E-2</v>
      </c>
      <c r="AZ53" s="333">
        <f>+AZ20/AZ8</f>
        <v>7.4868250210035889E-2</v>
      </c>
      <c r="BA53" s="333">
        <f>+BA20/BA8</f>
        <v>8.5625806700186866E-2</v>
      </c>
      <c r="BB53" s="333">
        <f>+BB20/BB8</f>
        <v>6.0314579026906838E-2</v>
      </c>
      <c r="BC53" s="426">
        <f>+BC20/BC8</f>
        <v>7.2428165575775333E-2</v>
      </c>
      <c r="BD53" s="253"/>
      <c r="BE53" s="333">
        <f>+BE20/BE8</f>
        <v>6.3182808310991961E-2</v>
      </c>
      <c r="BF53" s="333">
        <f>+BF20/BF8</f>
        <v>6.9100318530453439E-2</v>
      </c>
      <c r="BG53" s="579">
        <f>+BG20/BG8</f>
        <v>7.3279993108127023E-2</v>
      </c>
      <c r="BH53" s="579">
        <f>+BH20/BH8</f>
        <v>7.3699791611954876E-2</v>
      </c>
      <c r="BI53" s="426">
        <f>+BI20/BI8</f>
        <v>7.0119291695142208E-2</v>
      </c>
      <c r="BJ53" s="253"/>
      <c r="BK53" s="579">
        <f>+BK20/BK8</f>
        <v>7.3480461814584591E-2</v>
      </c>
      <c r="BL53" s="579">
        <f>+BL20/BL8</f>
        <v>6.840177063638557E-2</v>
      </c>
      <c r="BM53" s="579">
        <f>+BM20/BM8</f>
        <v>6.2816176833209184E-2</v>
      </c>
      <c r="BN53" s="579">
        <f>+BN20/BN8</f>
        <v>6.2113865134350611E-2</v>
      </c>
      <c r="BO53" s="426">
        <f>+BO20/BO8</f>
        <v>6.6212935544887969E-2</v>
      </c>
      <c r="BP53" s="253"/>
      <c r="BQ53" s="579">
        <f>+BQ20/BQ8</f>
        <v>6.7725737199146763E-2</v>
      </c>
      <c r="BR53" s="425">
        <f>+BQ53</f>
        <v>6.7725737199146763E-2</v>
      </c>
      <c r="BS53" s="425">
        <f>+BR53</f>
        <v>6.7725737199146763E-2</v>
      </c>
      <c r="BT53" s="425">
        <f>+BS53</f>
        <v>6.7725737199146763E-2</v>
      </c>
      <c r="BU53" s="426">
        <f>+BU20/BU8</f>
        <v>6.7725737199146763E-2</v>
      </c>
      <c r="BV53" s="253"/>
      <c r="BW53" s="425">
        <f>+BT53-0.001</f>
        <v>6.6725737199146762E-2</v>
      </c>
      <c r="BX53" s="425">
        <f>+BW53</f>
        <v>6.6725737199146762E-2</v>
      </c>
      <c r="BY53" s="425">
        <f>+BX53</f>
        <v>6.6725737199146762E-2</v>
      </c>
      <c r="BZ53" s="425">
        <f>+BY53</f>
        <v>6.6725737199146762E-2</v>
      </c>
      <c r="CA53" s="426">
        <f>+CA20/CA8</f>
        <v>6.6725737199146748E-2</v>
      </c>
      <c r="CB53" s="253"/>
      <c r="CC53" s="425">
        <f>+BZ53-0.001</f>
        <v>6.5725737199146761E-2</v>
      </c>
      <c r="CD53" s="425">
        <f>+CC53</f>
        <v>6.5725737199146761E-2</v>
      </c>
      <c r="CE53" s="425">
        <f>+CD53</f>
        <v>6.5725737199146761E-2</v>
      </c>
      <c r="CF53" s="425">
        <f>+CE53</f>
        <v>6.5725737199146761E-2</v>
      </c>
      <c r="CG53" s="426">
        <f>+CG20/CG8</f>
        <v>6.5725737199146761E-2</v>
      </c>
      <c r="CH53" s="226"/>
      <c r="CI53" s="226"/>
      <c r="CQ53" s="42"/>
      <c r="CR53" s="42"/>
      <c r="CS53" s="42"/>
      <c r="CT53" s="77"/>
      <c r="CU53" s="77"/>
      <c r="CV53" s="77"/>
      <c r="CW53" s="77"/>
      <c r="CX53" s="77"/>
      <c r="CY53" s="77"/>
      <c r="CZ53" s="77"/>
      <c r="DA53" s="77"/>
      <c r="DB53" s="77"/>
      <c r="DC53" s="77"/>
      <c r="DD53" s="77"/>
      <c r="DE53" s="77"/>
    </row>
    <row r="54" spans="1:109" collapsed="1" x14ac:dyDescent="0.2">
      <c r="A54" s="42"/>
      <c r="B54" s="578" t="str">
        <f>+B25</f>
        <v>Operating Income / Loss</v>
      </c>
      <c r="C54" s="333">
        <f>+C25/C8</f>
        <v>0.10978497827825787</v>
      </c>
      <c r="D54" s="333">
        <f>+D25/D8</f>
        <v>0.17555448220043593</v>
      </c>
      <c r="E54" s="333">
        <f>+E25/E8</f>
        <v>0.11749310716435026</v>
      </c>
      <c r="F54" s="333">
        <f>+F25/F8</f>
        <v>6.9114828247169635E-2</v>
      </c>
      <c r="G54" s="426">
        <f>+G25/G8</f>
        <v>0.11906855366261972</v>
      </c>
      <c r="H54" s="253"/>
      <c r="I54" s="333">
        <f>+I25/I8</f>
        <v>6.1864769444741508E-2</v>
      </c>
      <c r="J54" s="333">
        <f>+J25/J8</f>
        <v>4.8459362719331267E-2</v>
      </c>
      <c r="K54" s="333">
        <f>+K25/K8</f>
        <v>0.10482487063174291</v>
      </c>
      <c r="L54" s="333">
        <f>+L25/L8</f>
        <v>7.2404721753794227E-2</v>
      </c>
      <c r="M54" s="426">
        <f>+M25/M8</f>
        <v>7.153525278311447E-2</v>
      </c>
      <c r="N54" s="253"/>
      <c r="O54" s="333">
        <f>+O25/O8</f>
        <v>8.831916956596117E-2</v>
      </c>
      <c r="P54" s="333">
        <f>+P25/P8</f>
        <v>8.7294931600188766E-2</v>
      </c>
      <c r="Q54" s="333">
        <f>+Q25/Q8</f>
        <v>0.14362487227037057</v>
      </c>
      <c r="R54" s="333">
        <f>+R25/R8</f>
        <v>0.21825066962224041</v>
      </c>
      <c r="S54" s="426">
        <f>+S25/S8</f>
        <v>0.13813782085146298</v>
      </c>
      <c r="T54" s="253"/>
      <c r="U54" s="333">
        <f>+U25/U8</f>
        <v>0.23891663891663892</v>
      </c>
      <c r="V54" s="333">
        <f>+V25/V8</f>
        <v>0.2383437346908347</v>
      </c>
      <c r="W54" s="333">
        <f>+W25/W8</f>
        <v>0.26298894181162519</v>
      </c>
      <c r="X54" s="333">
        <f>+X25/X8</f>
        <v>0.17233806637744475</v>
      </c>
      <c r="Y54" s="426">
        <f>+Y25/Y8</f>
        <v>0.22837876983488356</v>
      </c>
      <c r="Z54" s="253"/>
      <c r="AA54" s="333">
        <f>+AA25/AA8</f>
        <v>0.21461814297703524</v>
      </c>
      <c r="AB54" s="333">
        <f>+AB25/AB8</f>
        <v>0.19383608413969988</v>
      </c>
      <c r="AC54" s="333">
        <f>+AC25/AC8</f>
        <v>0.23187761132381216</v>
      </c>
      <c r="AD54" s="333">
        <f>+AD25/AD8</f>
        <v>0.23022380823086763</v>
      </c>
      <c r="AE54" s="426">
        <f>+AE25/AE8</f>
        <v>0.21813853725239241</v>
      </c>
      <c r="AF54" s="253"/>
      <c r="AG54" s="333">
        <f>+AG25/AG8</f>
        <v>0.2243724042967449</v>
      </c>
      <c r="AH54" s="333">
        <f>+AH25/AH8</f>
        <v>0.25840165904440149</v>
      </c>
      <c r="AI54" s="333">
        <f>+AI25/AI8</f>
        <v>0.22436554917360224</v>
      </c>
      <c r="AJ54" s="333">
        <f>+AJ25/AJ8</f>
        <v>0.21025623074768973</v>
      </c>
      <c r="AK54" s="426">
        <f>+AK25/AK8</f>
        <v>0.22961890290175202</v>
      </c>
      <c r="AL54" s="253"/>
      <c r="AM54" s="333">
        <f>+AM25/AM8</f>
        <v>0.18842297174111231</v>
      </c>
      <c r="AN54" s="333">
        <f>+AN25/AN8</f>
        <v>0.2313462900114755</v>
      </c>
      <c r="AO54" s="333">
        <f>+AO25/AO8</f>
        <v>0.25205159690224066</v>
      </c>
      <c r="AP54" s="333">
        <f>+AP25/AP8</f>
        <v>0.296833284723936</v>
      </c>
      <c r="AQ54" s="426">
        <f>+AQ25/AQ8</f>
        <v>0.24420559643505207</v>
      </c>
      <c r="AR54" s="253"/>
      <c r="AS54" s="333">
        <f>+AS25/AS8</f>
        <v>0.23141392557820262</v>
      </c>
      <c r="AT54" s="333">
        <f>+AT25/AT8</f>
        <v>0.25311248578151052</v>
      </c>
      <c r="AU54" s="333">
        <f>+AU25/AU8</f>
        <v>0.27147717457709242</v>
      </c>
      <c r="AV54" s="333">
        <f>+AV25/AV8</f>
        <v>0.25927995971802609</v>
      </c>
      <c r="AW54" s="426">
        <f>+AW25/AW8</f>
        <v>0.25415248151060921</v>
      </c>
      <c r="AX54" s="253"/>
      <c r="AY54" s="333">
        <f>+AY25/AY8</f>
        <v>0.22219924679179751</v>
      </c>
      <c r="AZ54" s="333">
        <f>+AZ25/AZ8</f>
        <v>0.20204021232719782</v>
      </c>
      <c r="BA54" s="333">
        <f>+BA25/BA8</f>
        <v>0.18323412125065014</v>
      </c>
      <c r="BB54" s="333">
        <f>+BB25/BB8</f>
        <v>0.25768642845976142</v>
      </c>
      <c r="BC54" s="426">
        <f>+BC25/BC8</f>
        <v>0.21730053484031694</v>
      </c>
      <c r="BD54" s="253"/>
      <c r="BE54" s="333">
        <f>+BE25/BE8</f>
        <v>0.22341655495978566</v>
      </c>
      <c r="BF54" s="333">
        <f>+BF25/BF8</f>
        <v>0.24181584633318737</v>
      </c>
      <c r="BG54" s="579">
        <f>+BG25/BG8</f>
        <v>0.22283363664753456</v>
      </c>
      <c r="BH54" s="333">
        <f>+BH25/BH8</f>
        <v>0.23441779245096392</v>
      </c>
      <c r="BI54" s="426">
        <f>+BI25/BI8</f>
        <v>0.23084267238585238</v>
      </c>
      <c r="BJ54" s="253"/>
      <c r="BK54" s="579">
        <f>+BK25/BK8</f>
        <v>0.19872656207204334</v>
      </c>
      <c r="BL54" s="579">
        <f>+BL25/BL8</f>
        <v>0.23442698369062115</v>
      </c>
      <c r="BM54" s="333">
        <f>+BM25/BM8</f>
        <v>0.25634949268948548</v>
      </c>
      <c r="BN54" s="333">
        <f>+BN25/BN8</f>
        <v>0.26014720297728822</v>
      </c>
      <c r="BO54" s="426">
        <f>+BO25/BO8</f>
        <v>0.23999448898577663</v>
      </c>
      <c r="BP54" s="253"/>
      <c r="BQ54" s="579">
        <f>+BQ25/BQ8</f>
        <v>0.22473473647590875</v>
      </c>
      <c r="BR54" s="333">
        <f>+BR25/BR8</f>
        <v>0.23249358319960359</v>
      </c>
      <c r="BS54" s="333">
        <f>+BS25/BS8</f>
        <v>0.25305743133602326</v>
      </c>
      <c r="BT54" s="333">
        <f>+BT25/BT8</f>
        <v>0.25992455729454844</v>
      </c>
      <c r="BU54" s="426">
        <f>+BU25/BU8</f>
        <v>0.24354036766333437</v>
      </c>
      <c r="BV54" s="253"/>
      <c r="BW54" s="333">
        <f>+BW25/BW8</f>
        <v>0.24562050264728486</v>
      </c>
      <c r="BX54" s="333">
        <f>+BX25/BX8</f>
        <v>0.25518792190042866</v>
      </c>
      <c r="BY54" s="333">
        <f>+BY25/BY8</f>
        <v>0.27576848205486504</v>
      </c>
      <c r="BZ54" s="333">
        <f>+BZ25/BZ8</f>
        <v>0.27853335658953549</v>
      </c>
      <c r="CA54" s="426">
        <f>+CA25/CA8</f>
        <v>0.26476359167707475</v>
      </c>
      <c r="CB54" s="253"/>
      <c r="CC54" s="333">
        <f>+CC25/CC8</f>
        <v>0.26424204124963074</v>
      </c>
      <c r="CD54" s="333">
        <f>+CD25/CD8</f>
        <v>0.27234204014054764</v>
      </c>
      <c r="CE54" s="333">
        <f>+CE25/CE8</f>
        <v>0.2939822556655281</v>
      </c>
      <c r="CF54" s="333">
        <f>+CF25/CF8</f>
        <v>0.2950116832650625</v>
      </c>
      <c r="CG54" s="426">
        <f>+CG25/CG8</f>
        <v>0.28224146074725542</v>
      </c>
      <c r="CH54" s="226"/>
      <c r="CI54" s="580"/>
      <c r="CQ54" s="42"/>
      <c r="CR54" s="42"/>
      <c r="CS54" s="42"/>
      <c r="CT54" s="77"/>
      <c r="CU54" s="77"/>
      <c r="CV54" s="77"/>
      <c r="CW54" s="77"/>
      <c r="CX54" s="77"/>
      <c r="CY54" s="77"/>
      <c r="CZ54" s="77"/>
      <c r="DA54" s="77"/>
      <c r="DB54" s="77"/>
      <c r="DC54" s="77"/>
      <c r="DD54" s="77"/>
      <c r="DE54" s="77"/>
    </row>
    <row r="55" spans="1:109" ht="12.75" customHeight="1" x14ac:dyDescent="0.2">
      <c r="A55" s="42"/>
      <c r="B55" s="46" t="s">
        <v>577</v>
      </c>
      <c r="C55" s="333"/>
      <c r="D55" s="333"/>
      <c r="E55" s="333"/>
      <c r="F55" s="333"/>
      <c r="G55" s="426"/>
      <c r="H55" s="255"/>
      <c r="I55" s="333"/>
      <c r="J55" s="333"/>
      <c r="K55" s="333"/>
      <c r="L55" s="333"/>
      <c r="M55" s="426"/>
      <c r="N55" s="255"/>
      <c r="O55" s="333"/>
      <c r="P55" s="333"/>
      <c r="Q55" s="333"/>
      <c r="R55" s="333"/>
      <c r="S55" s="426"/>
      <c r="T55" s="255"/>
      <c r="U55" s="333"/>
      <c r="V55" s="333"/>
      <c r="W55" s="333"/>
      <c r="X55" s="333"/>
      <c r="Y55" s="426"/>
      <c r="Z55" s="255"/>
      <c r="AA55" s="333"/>
      <c r="AB55" s="333"/>
      <c r="AC55" s="333"/>
      <c r="AD55" s="333"/>
      <c r="AE55" s="426"/>
      <c r="AF55" s="255"/>
      <c r="AG55" s="333"/>
      <c r="AH55" s="333"/>
      <c r="AI55" s="333"/>
      <c r="AJ55" s="333"/>
      <c r="AK55" s="426"/>
      <c r="AL55" s="255"/>
      <c r="AM55" s="333"/>
      <c r="AN55" s="333"/>
      <c r="AO55" s="333"/>
      <c r="AP55" s="333"/>
      <c r="AQ55" s="426"/>
      <c r="AR55" s="255"/>
      <c r="AS55" s="333">
        <f t="shared" ref="AS55" si="55">+AS169</f>
        <v>0.56146751508633352</v>
      </c>
      <c r="AT55" s="333">
        <f t="shared" ref="AT55:BO55" si="56">+AT169</f>
        <v>0.43286301554217765</v>
      </c>
      <c r="AU55" s="333">
        <f t="shared" si="56"/>
        <v>0.49515467375704447</v>
      </c>
      <c r="AV55" s="333">
        <f t="shared" si="56"/>
        <v>0.10957549120864946</v>
      </c>
      <c r="AW55" s="426">
        <f t="shared" si="56"/>
        <v>0.41281330208977052</v>
      </c>
      <c r="AX55" s="255"/>
      <c r="AY55" s="333">
        <f t="shared" ref="AY55" si="57">+AY169</f>
        <v>0.79817967947511614</v>
      </c>
      <c r="AZ55" s="333">
        <f t="shared" si="56"/>
        <v>0.43164996686766316</v>
      </c>
      <c r="BA55" s="333">
        <f t="shared" si="56"/>
        <v>0.18193207896174676</v>
      </c>
      <c r="BB55" s="333">
        <f t="shared" si="56"/>
        <v>0.50760535744263924</v>
      </c>
      <c r="BC55" s="426">
        <f t="shared" si="56"/>
        <v>0.46801434928589297</v>
      </c>
      <c r="BD55" s="255"/>
      <c r="BE55" s="333">
        <f t="shared" ref="BE55" si="58">+BE169</f>
        <v>0.4466832616554573</v>
      </c>
      <c r="BF55" s="333">
        <f t="shared" si="56"/>
        <v>0.53285233818249633</v>
      </c>
      <c r="BG55" s="333">
        <f t="shared" si="56"/>
        <v>0.35269874241904992</v>
      </c>
      <c r="BH55" s="333">
        <f t="shared" si="56"/>
        <v>0.25007090712828212</v>
      </c>
      <c r="BI55" s="426">
        <f t="shared" si="56"/>
        <v>0.3907845163013341</v>
      </c>
      <c r="BJ55" s="255"/>
      <c r="BK55" s="333">
        <f t="shared" ref="BK55" si="59">+BK169</f>
        <v>0.17474583562267956</v>
      </c>
      <c r="BL55" s="333">
        <f t="shared" si="56"/>
        <v>0.27165923213493109</v>
      </c>
      <c r="BM55" s="333">
        <f t="shared" si="56"/>
        <v>0.4118025613302107</v>
      </c>
      <c r="BN55" s="333">
        <f t="shared" si="56"/>
        <v>0.39445414920697269</v>
      </c>
      <c r="BO55" s="426">
        <f t="shared" si="56"/>
        <v>0.29116046104690541</v>
      </c>
      <c r="BP55" s="255"/>
      <c r="BQ55" s="333">
        <f t="shared" ref="BQ55" si="60">+BQ169</f>
        <v>0.2987470057204748</v>
      </c>
      <c r="BR55" s="333">
        <f t="shared" ref="BR55:BU55" si="61">+BR169</f>
        <v>0.30341616303232311</v>
      </c>
      <c r="BS55" s="333">
        <f t="shared" si="61"/>
        <v>0.29999651485562623</v>
      </c>
      <c r="BT55" s="333">
        <f t="shared" si="61"/>
        <v>0.30971090196545653</v>
      </c>
      <c r="BU55" s="426">
        <f t="shared" si="61"/>
        <v>0.31965025965218258</v>
      </c>
      <c r="BV55" s="255"/>
      <c r="BW55" s="333">
        <f t="shared" ref="BW55:CG55" si="62">+BW169</f>
        <v>0.34387380330244188</v>
      </c>
      <c r="BX55" s="333">
        <f t="shared" si="62"/>
        <v>0.34675732624702948</v>
      </c>
      <c r="BY55" s="333">
        <f t="shared" si="62"/>
        <v>0.3719286944571924</v>
      </c>
      <c r="BZ55" s="333">
        <f t="shared" si="62"/>
        <v>0.35716957968359758</v>
      </c>
      <c r="CA55" s="426">
        <f t="shared" si="62"/>
        <v>0.35550100800442436</v>
      </c>
      <c r="CB55" s="255"/>
      <c r="CC55" s="333">
        <f t="shared" ref="CC55" si="63">+CC169</f>
        <v>0.36914368025770794</v>
      </c>
      <c r="CD55" s="333">
        <f t="shared" si="62"/>
        <v>0.3763555976257828</v>
      </c>
      <c r="CE55" s="333">
        <f t="shared" si="62"/>
        <v>0.40638865151070708</v>
      </c>
      <c r="CF55" s="333">
        <f t="shared" si="62"/>
        <v>0.40114794218575078</v>
      </c>
      <c r="CG55" s="426">
        <f t="shared" si="62"/>
        <v>0.38863123789926707</v>
      </c>
      <c r="CH55" s="226"/>
      <c r="CI55" s="226"/>
      <c r="CQ55" s="42"/>
      <c r="CR55" s="42"/>
      <c r="CS55" s="42"/>
    </row>
    <row r="56" spans="1:109" ht="12.75" hidden="1" customHeight="1" outlineLevel="1" x14ac:dyDescent="0.2">
      <c r="A56" s="42"/>
      <c r="B56" s="95" t="s">
        <v>103</v>
      </c>
      <c r="C56" s="333">
        <f>+C33/C8</f>
        <v>0.11692100186634463</v>
      </c>
      <c r="D56" s="333">
        <f>+D33/D8</f>
        <v>0.18443141913502073</v>
      </c>
      <c r="E56" s="333">
        <f>+E33/E8</f>
        <v>0.13300023792529134</v>
      </c>
      <c r="F56" s="333">
        <f>+F33/F8</f>
        <v>8.0863797454390027E-2</v>
      </c>
      <c r="G56" s="426">
        <f>+G33/G8</f>
        <v>0.12995371607838721</v>
      </c>
      <c r="H56" s="255"/>
      <c r="I56" s="333">
        <f>+I33/I8</f>
        <v>7.4783352947469656E-2</v>
      </c>
      <c r="J56" s="333">
        <f>+J33/J8</f>
        <v>5.4003654476734081E-2</v>
      </c>
      <c r="K56" s="333">
        <f>+K33/K8</f>
        <v>0.10833676985087742</v>
      </c>
      <c r="L56" s="333">
        <f>+L33/L8</f>
        <v>7.0907251264755444E-2</v>
      </c>
      <c r="M56" s="426">
        <f>+M33/M8</f>
        <v>7.6673816353922702E-2</v>
      </c>
      <c r="N56" s="255"/>
      <c r="O56" s="333">
        <f>+O33/O8</f>
        <v>9.0429475845548238E-2</v>
      </c>
      <c r="P56" s="333">
        <f>+P33/P8</f>
        <v>9.4593532155773444E-2</v>
      </c>
      <c r="Q56" s="333">
        <f>+Q33/Q8</f>
        <v>0.14020613354526995</v>
      </c>
      <c r="R56" s="333">
        <f>+R33/R8</f>
        <v>0.21461392814260613</v>
      </c>
      <c r="S56" s="426">
        <f>+S33/S8</f>
        <v>0.13851882445979127</v>
      </c>
      <c r="T56" s="255"/>
      <c r="U56" s="333">
        <f>+U33/U8</f>
        <v>0.23277833277833276</v>
      </c>
      <c r="V56" s="333">
        <f>+V33/V8</f>
        <v>0.24000511192996651</v>
      </c>
      <c r="W56" s="333">
        <f>+W33/W8</f>
        <v>0.26212388089257616</v>
      </c>
      <c r="X56" s="333">
        <f>+X33/X8</f>
        <v>0.16963603285500498</v>
      </c>
      <c r="Y56" s="426">
        <f>+Y33/Y8</f>
        <v>0.22641808018711032</v>
      </c>
      <c r="Z56" s="255"/>
      <c r="AA56" s="333">
        <f>+AA33/AA8</f>
        <v>0.21546692607003895</v>
      </c>
      <c r="AB56" s="333">
        <f>+AB33/AB8</f>
        <v>0.19128791033092951</v>
      </c>
      <c r="AC56" s="333">
        <f>+AC33/AC8</f>
        <v>0.23094031486806366</v>
      </c>
      <c r="AD56" s="333">
        <f>+AD33/AD8</f>
        <v>0.22957216554827192</v>
      </c>
      <c r="AE56" s="426">
        <f>+AE33/AE8</f>
        <v>0.21726514932015398</v>
      </c>
      <c r="AF56" s="255"/>
      <c r="AG56" s="333">
        <f>+AG33/AG8</f>
        <v>0.21836110720393254</v>
      </c>
      <c r="AH56" s="333">
        <f>+AH33/AH8</f>
        <v>0.26211665499292713</v>
      </c>
      <c r="AI56" s="333">
        <f>+AI33/AI8</f>
        <v>0.22177939280271958</v>
      </c>
      <c r="AJ56" s="333">
        <f>+AJ33/AJ8</f>
        <v>0.205551666199944</v>
      </c>
      <c r="AK56" s="426">
        <f>+AK33/AK8</f>
        <v>0.22730478661383738</v>
      </c>
      <c r="AL56" s="255"/>
      <c r="AM56" s="333">
        <f>+AM33/AM8</f>
        <v>0.1819898424273996</v>
      </c>
      <c r="AN56" s="333">
        <f>+AN33/AN8</f>
        <v>0.22930146250946121</v>
      </c>
      <c r="AO56" s="333">
        <f>+AO33/AO8</f>
        <v>0.2547809806329252</v>
      </c>
      <c r="AP56" s="333">
        <f>+AP33/AP8</f>
        <v>0.29571713817782069</v>
      </c>
      <c r="AQ56" s="426">
        <f>+AQ33/AQ8</f>
        <v>0.24258034613438834</v>
      </c>
      <c r="AR56" s="255"/>
      <c r="AS56" s="333">
        <f>+AS33/AS8</f>
        <v>0.23474087441736871</v>
      </c>
      <c r="AT56" s="333">
        <f>+AT33/AT8</f>
        <v>0.25262944668650761</v>
      </c>
      <c r="AU56" s="333">
        <f>+AU33/AU8</f>
        <v>0.26094925109018513</v>
      </c>
      <c r="AV56" s="333">
        <f>+AV33/AV8</f>
        <v>0.25063947633434031</v>
      </c>
      <c r="AW56" s="426">
        <f>+AW33/AW8</f>
        <v>0.24994190267746602</v>
      </c>
      <c r="AX56" s="255"/>
      <c r="AY56" s="333">
        <f>+AY33/AY8</f>
        <v>0.21486909726078574</v>
      </c>
      <c r="AZ56" s="333">
        <f>+AZ33/AZ8</f>
        <v>0.20287080882914543</v>
      </c>
      <c r="BA56" s="333">
        <f>+BA33/BA8</f>
        <v>0.17568244427748558</v>
      </c>
      <c r="BB56" s="333">
        <f>+BB33/BB8</f>
        <v>0.25904566693880399</v>
      </c>
      <c r="BC56" s="426">
        <f>+BC33/BC8</f>
        <v>0.21430462479567991</v>
      </c>
      <c r="BD56" s="255"/>
      <c r="BE56" s="333">
        <f>+BE33/BE8</f>
        <v>0.2216278485254693</v>
      </c>
      <c r="BF56" s="333">
        <f>+BF33/BF8</f>
        <v>0.24227990585160497</v>
      </c>
      <c r="BG56" s="579">
        <f>+BG33/BG8</f>
        <v>0.22637290058114284</v>
      </c>
      <c r="BH56" s="333">
        <f>+BH33/BH8</f>
        <v>0.20466707366568548</v>
      </c>
      <c r="BI56" s="426">
        <f>+BI33/BI8</f>
        <v>0.22339828535551365</v>
      </c>
      <c r="BJ56" s="255"/>
      <c r="BK56" s="333">
        <f>+BK33/BK8</f>
        <v>0.20041502734089275</v>
      </c>
      <c r="BL56" s="579">
        <f>+BL33/BL8</f>
        <v>0.2372237588433638</v>
      </c>
      <c r="BM56" s="579">
        <f>+BM33/BM8</f>
        <v>0.26189369969397847</v>
      </c>
      <c r="BN56" s="579">
        <f>+BN33/BN8</f>
        <v>0.27038163119506886</v>
      </c>
      <c r="BO56" s="426">
        <f>+BO33/BO8</f>
        <v>0.24540302006294237</v>
      </c>
      <c r="BP56" s="255"/>
      <c r="BQ56" s="333">
        <f>+BQ33/BQ8</f>
        <v>0.22605304354990788</v>
      </c>
      <c r="BR56" s="333">
        <f>+BR33/BR8</f>
        <v>0.23218969781104401</v>
      </c>
      <c r="BS56" s="333">
        <f>+BS33/BS8</f>
        <v>0.25305647239619411</v>
      </c>
      <c r="BT56" s="333">
        <f>+BT33/BT8</f>
        <v>0.26037139122305636</v>
      </c>
      <c r="BU56" s="426">
        <f>+BU33/BU8</f>
        <v>0.24388413591399694</v>
      </c>
      <c r="BV56" s="255"/>
      <c r="BW56" s="333">
        <f>+BW33/BW8</f>
        <v>0.24776135436224972</v>
      </c>
      <c r="BX56" s="333">
        <f>+BX33/BX8</f>
        <v>0.25710368353711377</v>
      </c>
      <c r="BY56" s="333">
        <f>+BY33/BY8</f>
        <v>0.27808456006134258</v>
      </c>
      <c r="BZ56" s="333">
        <f>+BZ33/BZ8</f>
        <v>0.28097722082222365</v>
      </c>
      <c r="CA56" s="426">
        <f>+CA33/CA8</f>
        <v>0.2669766558783031</v>
      </c>
      <c r="CB56" s="255"/>
      <c r="CC56" s="333">
        <f>+CC33/CC8</f>
        <v>0.30073882602590202</v>
      </c>
      <c r="CD56" s="333">
        <f>+CD33/CD8</f>
        <v>0.30675375963437157</v>
      </c>
      <c r="CE56" s="333">
        <f>+CE33/CE8</f>
        <v>0.33375767558227065</v>
      </c>
      <c r="CF56" s="333">
        <f>+CF33/CF8</f>
        <v>0.33549976501152984</v>
      </c>
      <c r="CG56" s="426">
        <f>+CG33/CG8</f>
        <v>0.32014389917614799</v>
      </c>
      <c r="CH56" s="226"/>
      <c r="CI56" s="226"/>
      <c r="CQ56" s="42"/>
      <c r="CR56" s="42"/>
      <c r="CS56" s="42"/>
    </row>
    <row r="57" spans="1:109" collapsed="1" x14ac:dyDescent="0.2">
      <c r="A57" s="42"/>
      <c r="B57" s="95" t="s">
        <v>260</v>
      </c>
      <c r="C57" s="333">
        <f>+C36/C8</f>
        <v>0.10943993977509762</v>
      </c>
      <c r="D57" s="333">
        <f>+D36/D8</f>
        <v>0.17777371643408213</v>
      </c>
      <c r="E57" s="333">
        <f>+E36/E8</f>
        <v>0.13239842689395517</v>
      </c>
      <c r="F57" s="333">
        <f>+F36/F8</f>
        <v>7.816098294193087E-2</v>
      </c>
      <c r="G57" s="426">
        <f>+G36/G8</f>
        <v>0.12564185529592165</v>
      </c>
      <c r="H57" s="78"/>
      <c r="I57" s="333">
        <f>+I36/I8</f>
        <v>7.0931849791376789E-2</v>
      </c>
      <c r="J57" s="333">
        <f>+J36/J8</f>
        <v>5.0436785061700663E-2</v>
      </c>
      <c r="K57" s="333">
        <f>+K36/K8</f>
        <v>9.6577228526199682E-2</v>
      </c>
      <c r="L57" s="333">
        <f>+L36/L8</f>
        <v>6.5929173693085943E-2</v>
      </c>
      <c r="M57" s="426">
        <f>+M36/M8</f>
        <v>7.0666763165513069E-2</v>
      </c>
      <c r="N57" s="78"/>
      <c r="O57" s="333">
        <f>+O36/O8</f>
        <v>4.5499914447042558E-2</v>
      </c>
      <c r="P57" s="333">
        <f>+P36/P8</f>
        <v>6.3250170344357745E-2</v>
      </c>
      <c r="Q57" s="333">
        <f>+Q36/Q8</f>
        <v>0.11235161286253142</v>
      </c>
      <c r="R57" s="333">
        <f>+R36/R8</f>
        <v>0.14022813337027765</v>
      </c>
      <c r="S57" s="426">
        <f>+S36/S8</f>
        <v>9.3073738605910936E-2</v>
      </c>
      <c r="T57" s="78"/>
      <c r="U57" s="333">
        <f>+U36/U8</f>
        <v>0.17250527250527251</v>
      </c>
      <c r="V57" s="333">
        <f>+V36/V8</f>
        <v>0.17524334916611636</v>
      </c>
      <c r="W57" s="333">
        <f>+W36/W8</f>
        <v>0.20151750445558489</v>
      </c>
      <c r="X57" s="333">
        <f>+X36/X8</f>
        <v>0.1180390341575789</v>
      </c>
      <c r="Y57" s="426">
        <f>+Y36/Y8</f>
        <v>0.16709045457959157</v>
      </c>
      <c r="Z57" s="78"/>
      <c r="AA57" s="333">
        <f>+AA36/AA8</f>
        <v>0.16158350499732974</v>
      </c>
      <c r="AB57" s="333">
        <f>+AB36/AB8</f>
        <v>0.13556118115350665</v>
      </c>
      <c r="AC57" s="333">
        <f>+AC36/AC8</f>
        <v>0.17428153843709795</v>
      </c>
      <c r="AD57" s="333">
        <f>+AD36/AD8</f>
        <v>0.17827857724680962</v>
      </c>
      <c r="AE57" s="426">
        <f>+AE36/AE8</f>
        <v>0.16288789159150455</v>
      </c>
      <c r="AF57" s="78"/>
      <c r="AG57" s="333">
        <f>+AG36/AG8</f>
        <v>0.16377083040294943</v>
      </c>
      <c r="AH57" s="333">
        <f>+AH36/AH8</f>
        <v>0.19637976734923712</v>
      </c>
      <c r="AI57" s="333">
        <f>+AI36/AI8</f>
        <v>0.17363146172781629</v>
      </c>
      <c r="AJ57" s="333">
        <f>+AJ36/AJ8</f>
        <v>0.15631475777093251</v>
      </c>
      <c r="AK57" s="426">
        <f>+AK36/AK8</f>
        <v>0.17275163782651645</v>
      </c>
      <c r="AL57" s="78"/>
      <c r="AM57" s="333">
        <f>+AM36/AM8</f>
        <v>0.13831228024482375</v>
      </c>
      <c r="AN57" s="333">
        <f>+AN36/AN8</f>
        <v>0.17896818614644633</v>
      </c>
      <c r="AO57" s="333">
        <f>+AO36/AO8</f>
        <v>0.20994371025980815</v>
      </c>
      <c r="AP57" s="333">
        <f>+AP36/AP8</f>
        <v>0.23793552150404956</v>
      </c>
      <c r="AQ57" s="426">
        <f>+AQ36/AQ8</f>
        <v>0.19315334910618803</v>
      </c>
      <c r="AR57" s="78"/>
      <c r="AS57" s="333">
        <f>+AS36/AS8</f>
        <v>0.17959988042912653</v>
      </c>
      <c r="AT57" s="333">
        <f>+AT36/AT8</f>
        <v>0.18490528797959804</v>
      </c>
      <c r="AU57" s="333">
        <f>+AU36/AU8</f>
        <v>0.20143146053213673</v>
      </c>
      <c r="AV57" s="333">
        <f>+AV36/AV8</f>
        <v>0.19909869083585088</v>
      </c>
      <c r="AW57" s="426">
        <f>+AW36/AW8</f>
        <v>0.19146776813063168</v>
      </c>
      <c r="AX57" s="78"/>
      <c r="AY57" s="333">
        <f>+AY36/AY8</f>
        <v>0.15784840927677879</v>
      </c>
      <c r="AZ57" s="333">
        <f>+AZ36/AZ8</f>
        <v>0.14965057664400833</v>
      </c>
      <c r="BA57" s="333">
        <f>+BA36/BA8</f>
        <v>0.13300198424165363</v>
      </c>
      <c r="BB57" s="333">
        <f>+BB36/BB8</f>
        <v>0.21225399086313826</v>
      </c>
      <c r="BC57" s="426">
        <f>+BC36/BC8</f>
        <v>0.16453325069841515</v>
      </c>
      <c r="BD57" s="78"/>
      <c r="BE57" s="333">
        <f>+BE36/BE8</f>
        <v>0.16984752010723875</v>
      </c>
      <c r="BF57" s="333">
        <f>+BF36/BF8</f>
        <v>0.18617325383684416</v>
      </c>
      <c r="BG57" s="579">
        <f>+BG36/BG8</f>
        <v>0.18438272867916539</v>
      </c>
      <c r="BH57" s="333">
        <f>+BH36/BH8</f>
        <v>0.16364430104739711</v>
      </c>
      <c r="BI57" s="426">
        <f>+BI36/BI8</f>
        <v>0.17598534643856595</v>
      </c>
      <c r="BJ57" s="78"/>
      <c r="BK57" s="333">
        <f>+BK36/BK8</f>
        <v>0.22368942550291454</v>
      </c>
      <c r="BL57" s="579">
        <f>+BL36/BL8</f>
        <v>0.19406028915905996</v>
      </c>
      <c r="BM57" s="579">
        <f>+BM36/BM8</f>
        <v>0.21427996688011172</v>
      </c>
      <c r="BN57" s="579">
        <f>+BN36/BN8</f>
        <v>0.22990437265470909</v>
      </c>
      <c r="BO57" s="426">
        <f>+BO36/BO8</f>
        <v>0.21583765040759115</v>
      </c>
      <c r="BP57" s="78"/>
      <c r="BQ57" s="333">
        <f>+BQ36/BQ8</f>
        <v>0.21941115617361359</v>
      </c>
      <c r="BR57" s="333">
        <f>+BR36/BR8</f>
        <v>0.20200503709560827</v>
      </c>
      <c r="BS57" s="333">
        <f>+BS36/BS8</f>
        <v>0.1973840484690314</v>
      </c>
      <c r="BT57" s="333">
        <f>+BT36/BT8</f>
        <v>0.20308968515398396</v>
      </c>
      <c r="BU57" s="426">
        <f>+BU36/BU8</f>
        <v>0.20503797318230016</v>
      </c>
      <c r="BV57" s="78"/>
      <c r="BW57" s="333">
        <f>+BW36/BW8</f>
        <v>0.20316431057704476</v>
      </c>
      <c r="BX57" s="333">
        <f>+BX36/BX8</f>
        <v>0.21082502050043328</v>
      </c>
      <c r="BY57" s="333">
        <f>+BY36/BY8</f>
        <v>0.22802933925030089</v>
      </c>
      <c r="BZ57" s="333">
        <f>+BZ36/BZ8</f>
        <v>0.2304013210742234</v>
      </c>
      <c r="CA57" s="426">
        <f>+CA36/CA8</f>
        <v>0.21892085782020851</v>
      </c>
      <c r="CB57" s="78"/>
      <c r="CC57" s="333">
        <f>+CC36/CC8</f>
        <v>0.2466058373412397</v>
      </c>
      <c r="CD57" s="333">
        <f>+CD36/CD8</f>
        <v>0.25153808290018465</v>
      </c>
      <c r="CE57" s="333">
        <f>+CE36/CE8</f>
        <v>0.27368129397746194</v>
      </c>
      <c r="CF57" s="333">
        <f>+CF36/CF8</f>
        <v>0.27510980730945445</v>
      </c>
      <c r="CG57" s="426">
        <f>+CG36/CG8</f>
        <v>0.26251799732444142</v>
      </c>
      <c r="CH57" s="226"/>
      <c r="CI57" s="226"/>
      <c r="CQ57" s="42"/>
      <c r="CR57" s="42"/>
      <c r="CS57" s="42"/>
    </row>
    <row r="58" spans="1:109" ht="3.75" customHeight="1" x14ac:dyDescent="0.2">
      <c r="A58" s="42"/>
      <c r="B58" s="229"/>
      <c r="C58" s="42"/>
      <c r="D58" s="31"/>
      <c r="E58" s="31"/>
      <c r="F58" s="31"/>
      <c r="G58" s="343"/>
      <c r="H58" s="109"/>
      <c r="I58" s="31"/>
      <c r="J58" s="31"/>
      <c r="K58" s="31"/>
      <c r="L58" s="31"/>
      <c r="M58" s="343"/>
      <c r="N58" s="109"/>
      <c r="O58" s="42"/>
      <c r="P58" s="42"/>
      <c r="Q58" s="42"/>
      <c r="R58" s="42"/>
      <c r="S58" s="343"/>
      <c r="T58" s="109"/>
      <c r="U58" s="229"/>
      <c r="V58" s="229"/>
      <c r="W58" s="229"/>
      <c r="X58" s="229"/>
      <c r="Y58" s="343"/>
      <c r="Z58" s="109"/>
      <c r="AA58" s="333"/>
      <c r="AB58" s="229"/>
      <c r="AC58" s="229"/>
      <c r="AD58" s="229"/>
      <c r="AE58" s="426"/>
      <c r="AF58" s="109"/>
      <c r="AG58" s="229"/>
      <c r="AH58" s="229"/>
      <c r="AI58" s="229"/>
      <c r="AJ58" s="246"/>
      <c r="AK58" s="125"/>
      <c r="AL58" s="109"/>
      <c r="AM58" s="246"/>
      <c r="AN58" s="246"/>
      <c r="AO58" s="246"/>
      <c r="AP58" s="246"/>
      <c r="AQ58" s="125"/>
      <c r="AR58" s="109"/>
      <c r="AS58" s="246"/>
      <c r="AT58" s="246"/>
      <c r="AU58" s="246"/>
      <c r="AV58" s="246"/>
      <c r="AW58" s="125"/>
      <c r="AX58" s="109"/>
      <c r="AY58" s="246"/>
      <c r="AZ58" s="333"/>
      <c r="BA58" s="246"/>
      <c r="BB58" s="246"/>
      <c r="BC58" s="125"/>
      <c r="BD58" s="109"/>
      <c r="BE58" s="246"/>
      <c r="BF58" s="246"/>
      <c r="BG58" s="246"/>
      <c r="BH58" s="246"/>
      <c r="BI58" s="125"/>
      <c r="BJ58" s="109"/>
      <c r="BK58" s="246"/>
      <c r="BL58" s="246"/>
      <c r="BM58" s="246"/>
      <c r="BN58" s="246"/>
      <c r="BO58" s="125"/>
      <c r="BP58" s="109"/>
      <c r="BQ58" s="246"/>
      <c r="BR58" s="246"/>
      <c r="BS58" s="246"/>
      <c r="BT58" s="246"/>
      <c r="BU58" s="125"/>
      <c r="BV58" s="109"/>
      <c r="BW58" s="246"/>
      <c r="BX58" s="246"/>
      <c r="BY58" s="246"/>
      <c r="BZ58" s="246"/>
      <c r="CA58" s="125"/>
      <c r="CB58" s="109"/>
      <c r="CC58" s="246"/>
      <c r="CD58" s="246"/>
      <c r="CE58" s="246"/>
      <c r="CF58" s="246"/>
      <c r="CG58" s="125"/>
      <c r="CH58" s="226"/>
      <c r="CI58" s="226"/>
      <c r="CP58" s="46"/>
      <c r="CQ58" s="42"/>
      <c r="CR58" s="42"/>
      <c r="CS58" s="42"/>
    </row>
    <row r="59" spans="1:109" x14ac:dyDescent="0.2">
      <c r="A59" s="42"/>
      <c r="B59" s="574" t="s">
        <v>338</v>
      </c>
      <c r="C59" s="42"/>
      <c r="D59" s="31"/>
      <c r="E59" s="31"/>
      <c r="F59" s="31"/>
      <c r="G59" s="343"/>
      <c r="H59" s="109"/>
      <c r="I59" s="31"/>
      <c r="J59" s="31"/>
      <c r="K59" s="31"/>
      <c r="L59" s="31"/>
      <c r="M59" s="343"/>
      <c r="N59" s="109"/>
      <c r="O59" s="42"/>
      <c r="P59" s="42"/>
      <c r="Q59" s="42"/>
      <c r="R59" s="42"/>
      <c r="S59" s="343"/>
      <c r="T59" s="109"/>
      <c r="U59" s="229"/>
      <c r="V59" s="229"/>
      <c r="W59" s="229"/>
      <c r="X59" s="229"/>
      <c r="Y59" s="343"/>
      <c r="Z59" s="109"/>
      <c r="AA59" s="246"/>
      <c r="AB59" s="229"/>
      <c r="AC59" s="229"/>
      <c r="AD59" s="229"/>
      <c r="AE59" s="125"/>
      <c r="AF59" s="109"/>
      <c r="AG59" s="229"/>
      <c r="AH59" s="229"/>
      <c r="AI59" s="229"/>
      <c r="AJ59" s="246"/>
      <c r="AK59" s="125"/>
      <c r="AL59" s="109"/>
      <c r="AM59" s="246"/>
      <c r="AN59" s="246"/>
      <c r="AO59" s="246"/>
      <c r="AP59" s="246"/>
      <c r="AQ59" s="125"/>
      <c r="AR59" s="109"/>
      <c r="AS59" s="333"/>
      <c r="AT59" s="333"/>
      <c r="AU59" s="333"/>
      <c r="AV59" s="333"/>
      <c r="AW59" s="696"/>
      <c r="AX59" s="109"/>
      <c r="AY59" s="333"/>
      <c r="AZ59" s="333"/>
      <c r="BA59" s="333"/>
      <c r="BB59" s="333"/>
      <c r="BC59" s="125"/>
      <c r="BD59" s="109"/>
      <c r="BE59" s="333"/>
      <c r="BF59" s="333"/>
      <c r="BG59" s="730"/>
      <c r="BH59" s="246"/>
      <c r="BI59" s="125"/>
      <c r="BJ59" s="109"/>
      <c r="BK59" s="629"/>
      <c r="BL59" s="246"/>
      <c r="BM59" s="730"/>
      <c r="BN59" s="730"/>
      <c r="BO59" s="125"/>
      <c r="BP59" s="109"/>
      <c r="BQ59" s="629"/>
      <c r="BR59" s="246"/>
      <c r="BS59" s="246"/>
      <c r="BT59" s="246"/>
      <c r="BU59" s="125"/>
      <c r="BV59" s="109"/>
      <c r="BW59" s="246"/>
      <c r="BX59" s="246"/>
      <c r="BY59" s="246"/>
      <c r="BZ59" s="246"/>
      <c r="CA59" s="125"/>
      <c r="CB59" s="109"/>
      <c r="CC59" s="246"/>
      <c r="CD59" s="246"/>
      <c r="CE59" s="246"/>
      <c r="CF59" s="246"/>
      <c r="CG59" s="696"/>
      <c r="CH59" s="226"/>
      <c r="CI59" s="226"/>
      <c r="CP59" s="46"/>
      <c r="CQ59" s="42"/>
      <c r="CR59" s="42"/>
      <c r="CS59" s="42"/>
    </row>
    <row r="60" spans="1:109" x14ac:dyDescent="0.2">
      <c r="A60" s="42"/>
      <c r="B60" s="95" t="s">
        <v>339</v>
      </c>
      <c r="C60" s="42"/>
      <c r="D60" s="31"/>
      <c r="E60" s="31"/>
      <c r="F60" s="31"/>
      <c r="G60" s="426"/>
      <c r="H60" s="109"/>
      <c r="I60" s="582">
        <f>IF(ISERROR(I8/C8-1),"NM",I8/C8-1)</f>
        <v>0.17275450510500145</v>
      </c>
      <c r="J60" s="582">
        <f>IF(ISERROR(J8/D8-1),"NM",J8/D8-1)</f>
        <v>4.3066198451757742E-2</v>
      </c>
      <c r="K60" s="582">
        <f>IF(ISERROR(K8/E8-1),"NM",K8/E8-1)</f>
        <v>5.2091643224027706E-2</v>
      </c>
      <c r="L60" s="582">
        <f>IF(ISERROR(L8/F8-1),"NM",L8/F8-1)</f>
        <v>2.2174110898134369E-2</v>
      </c>
      <c r="M60" s="583">
        <f>IF(ISERROR(M8/G8-1),"NM",M8/G8-1)</f>
        <v>6.9088248948412367E-2</v>
      </c>
      <c r="N60" s="109"/>
      <c r="O60" s="582">
        <f>IF(ISERROR(O8/I8-1),"NM",O8/I8-1)</f>
        <v>-6.2105488391997477E-2</v>
      </c>
      <c r="P60" s="582">
        <f>IF(ISERROR(P8/J8-1),"NM",P8/J8-1)</f>
        <v>-4.4879977973016905E-2</v>
      </c>
      <c r="Q60" s="582">
        <f>IF(ISERROR(Q8/K8-1),"NM",Q8/K8-1)</f>
        <v>5.4487648490814555E-2</v>
      </c>
      <c r="R60" s="582">
        <f>IF(ISERROR(R8/L8-1),"NM",R8/L8-1)</f>
        <v>0.16851264755480577</v>
      </c>
      <c r="S60" s="583">
        <f>IF(ISERROR(S8/M8-1),"NM",S8/M8-1)</f>
        <v>2.7492302023843784E-2</v>
      </c>
      <c r="T60" s="109"/>
      <c r="U60" s="582">
        <f>IF(ISERROR(U8/O8-1),"NM",U8/O8-1)</f>
        <v>0.2845776535675586</v>
      </c>
      <c r="V60" s="582">
        <f>IF(ISERROR(V8/P8-1),"NM",V8/P8-1)</f>
        <v>0.23038419204360805</v>
      </c>
      <c r="W60" s="582">
        <f>IF(ISERROR(W8/Q8-1),"NM",W8/Q8-1)</f>
        <v>0.21039750722224326</v>
      </c>
      <c r="X60" s="582">
        <f>IF(ISERROR(X8/R8-1),"NM",X8/R8-1)</f>
        <v>7.2469289738616549E-2</v>
      </c>
      <c r="Y60" s="583">
        <f>IF(ISERROR(Y8/S8-1),"NM",Y8/S8-1)</f>
        <v>0.19368750660352907</v>
      </c>
      <c r="Z60" s="112"/>
      <c r="AA60" s="473">
        <f>IF(ISERROR(AA8/U8-1),"NM",AA8/U8-1)</f>
        <v>0.1639027639027637</v>
      </c>
      <c r="AB60" s="582">
        <f>IF(ISERROR(AB8/V8-1),"NM",AB8/V8-1)</f>
        <v>0.27889837909220638</v>
      </c>
      <c r="AC60" s="582">
        <f>IF(ISERROR(AC8/W8-1),"NM",AC8/W8-1)</f>
        <v>0.31212023304532721</v>
      </c>
      <c r="AD60" s="582">
        <f>IF(ISERROR(AD8/X8-1),"NM",AD8/X8-1)</f>
        <v>0.38767183749044642</v>
      </c>
      <c r="AE60" s="584">
        <f>IF(ISERROR(AE8/Y8-1),"NM",AE8/Y8-1)</f>
        <v>0.28676226034525309</v>
      </c>
      <c r="AF60" s="109"/>
      <c r="AG60" s="582">
        <f>IF(ISERROR(AG8/AA8-1),"NM",AG8/AA8-1)</f>
        <v>0.28823338673991006</v>
      </c>
      <c r="AH60" s="582">
        <f>IF(ISERROR(AH8/AB8-1),"NM",AH8/AB8-1)</f>
        <v>0.21268091201305728</v>
      </c>
      <c r="AI60" s="582">
        <f>IF(ISERROR(AI8/AC8-1),"NM",AI8/AC8-1)</f>
        <v>8.4213703591910605E-2</v>
      </c>
      <c r="AJ60" s="582">
        <f>IF(ISERROR(AJ8/AD8-1),"NM",AJ8/AD8-1)</f>
        <v>0.10810286645203826</v>
      </c>
      <c r="AK60" s="585">
        <f>IF(ISERROR(AK8/AE8-1),"NM",AK8/AE8-1)</f>
        <v>0.16738198319509912</v>
      </c>
      <c r="AL60" s="109"/>
      <c r="AM60" s="579">
        <f>IF(ISERROR(AM8/AG8-1),"NM",AM8/AG8-1)</f>
        <v>0.13696429496812978</v>
      </c>
      <c r="AN60" s="579">
        <f>IF(ISERROR(AN8/AH8-1),"NM",AN8/AH8-1)</f>
        <v>0.12499141636795619</v>
      </c>
      <c r="AO60" s="579">
        <f>IF(ISERROR(AO8/AI8-1),"NM",AO8/AI8-1)</f>
        <v>0.2052074786074316</v>
      </c>
      <c r="AP60" s="582">
        <f>IF(ISERROR(AP8/AJ8-1),"NM",AP8/AJ8-1)</f>
        <v>0.24819378325399044</v>
      </c>
      <c r="AQ60" s="585">
        <f>IF(ISERROR(AQ8/AK8-1),"NM",AQ8/AK8-1)</f>
        <v>0.1788529768356244</v>
      </c>
      <c r="AR60" s="109"/>
      <c r="AS60" s="579">
        <f>IF(ISERROR(AS8/AM8-1),"NM",AS8/AM8-1)</f>
        <v>0.17623388462039302</v>
      </c>
      <c r="AT60" s="579">
        <f>IF(ISERROR(AT8/AN8-1),"NM",AT8/AN8-1)</f>
        <v>0.1752020411651245</v>
      </c>
      <c r="AU60" s="579">
        <f>IF(ISERROR(AU8/AO8-1),"NM",AU8/AO8-1)</f>
        <v>0.15421929899213405</v>
      </c>
      <c r="AV60" s="579">
        <f>IF(ISERROR(AV8/AP8-1),"NM",AV8/AP8-1)</f>
        <v>0.11390303546990332</v>
      </c>
      <c r="AW60" s="585">
        <f>IF(ISERROR(AW8/AQ8-1),"NM",AW8/AQ8-1)</f>
        <v>0.15365961533218431</v>
      </c>
      <c r="AX60" s="109"/>
      <c r="AY60" s="579">
        <f>IF(ISERROR(AY8/AS8-1),"NM",AY8/AS8-1)</f>
        <v>9.6542408910244459E-2</v>
      </c>
      <c r="AZ60" s="579">
        <f>IF(ISERROR(AZ8/AT8-1),"NM",AZ8/AT8-1)</f>
        <v>8.8074128322192191E-2</v>
      </c>
      <c r="BA60" s="579">
        <f>IF(ISERROR(BA8/AU8-1),"NM",BA8/AU8-1)</f>
        <v>9.3534727927700123E-2</v>
      </c>
      <c r="BB60" s="579">
        <f>IF(ISERROR(BB8/AV8-1),"NM",BB8/AV8-1)</f>
        <v>0.15949647532729117</v>
      </c>
      <c r="BC60" s="585">
        <f>IF(ISERROR(BC8/AW8-1),"NM",BC8/AW8-1)</f>
        <v>0.11006718282472483</v>
      </c>
      <c r="BD60" s="109"/>
      <c r="BE60" s="579">
        <f>IF(ISERROR(BE8/AY8-1),"NM",BE8/AY8-1)</f>
        <v>0.20513312399664785</v>
      </c>
      <c r="BF60" s="579">
        <f>IF(ISERROR(BF8/AZ8-1),"NM",BF8/AZ8-1)</f>
        <v>0.28581112044604007</v>
      </c>
      <c r="BG60" s="579">
        <f>IF(ISERROR(BG8/BA8-1),"NM",BG8/BA8-1)</f>
        <v>0.34171819915621571</v>
      </c>
      <c r="BH60" s="579">
        <f>IF(ISERROR(BH8/BB8-1),"NM",BH8/BB8-1)</f>
        <v>0.27326773089683676</v>
      </c>
      <c r="BI60" s="585">
        <f>IF(ISERROR(BI8/BC8-1),"NM",BI8/BC8-1)</f>
        <v>0.27722280439889002</v>
      </c>
      <c r="BJ60" s="109"/>
      <c r="BK60" s="579">
        <f>IF(ISERROR(BK8/BE8-1),"NM",BK8/BE8-1)</f>
        <v>0.30002094504021448</v>
      </c>
      <c r="BL60" s="579">
        <f>IF(ISERROR(BL8/BF8-1),"NM",BL8/BF8-1)</f>
        <v>0.3234309219563265</v>
      </c>
      <c r="BM60" s="579">
        <f>IF(ISERROR(BM8/BG8-1),"NM",BM8/BG8-1)</f>
        <v>0.38292251309276382</v>
      </c>
      <c r="BN60" s="579">
        <f>IF(ISERROR(BN8/BH8-1),"NM",BN8/BH8-1)</f>
        <v>0.43696687960218683</v>
      </c>
      <c r="BO60" s="585">
        <f>IF(ISERROR(BO8/BI8-1),"NM",BO8/BI8-1)</f>
        <v>0.36443047985227905</v>
      </c>
      <c r="BP60" s="109"/>
      <c r="BQ60" s="579">
        <f>IF(ISERROR(BQ8/BK8-1),"NM",BQ8/BK8-1)</f>
        <v>0.40788358611978426</v>
      </c>
      <c r="BR60" s="579">
        <f>IF(ISERROR(BR8/BL8-1),"NM",BR8/BL8-1)</f>
        <v>0.35042683365554828</v>
      </c>
      <c r="BS60" s="579">
        <f>IF(ISERROR(BS8/BM8-1),"NM",BS8/BM8-1)</f>
        <v>0.27765561539229888</v>
      </c>
      <c r="BT60" s="579">
        <f>IF(ISERROR(BT8/BN8-1),"NM",BT8/BN8-1)</f>
        <v>0.28203296742094719</v>
      </c>
      <c r="BU60" s="585">
        <f>IF(ISERROR(BU8/BO8-1),"NM",BU8/BO8-1)</f>
        <v>0.32394337529480022</v>
      </c>
      <c r="BV60" s="109"/>
      <c r="BW60" s="579">
        <f>IF(ISERROR(BW8/BQ8-1),"NM",BW8/BQ8-1)</f>
        <v>0.21257063154223776</v>
      </c>
      <c r="BX60" s="579">
        <f>IF(ISERROR(BX8/BR8-1),"NM",BX8/BR8-1)</f>
        <v>0.2478375704501079</v>
      </c>
      <c r="BY60" s="579">
        <f>IF(ISERROR(BY8/BS8-1),"NM",BY8/BS8-1)</f>
        <v>0.23617929028505436</v>
      </c>
      <c r="BZ60" s="579">
        <f>IF(ISERROR(BZ8/BT8-1),"NM",BZ8/BT8-1)</f>
        <v>0.23664411339705116</v>
      </c>
      <c r="CA60" s="585">
        <f>IF(ISERROR(CA8/BU8-1),"NM",CA8/BU8-1)</f>
        <v>0.23389716031999797</v>
      </c>
      <c r="CB60" s="109"/>
      <c r="CC60" s="579">
        <f>IF(ISERROR(CC8/BW8-1),"NM",CC8/BW8-1)</f>
        <v>0.17751427697818967</v>
      </c>
      <c r="CD60" s="579">
        <f>IF(ISERROR(CD8/BX8-1),"NM",CD8/BX8-1)</f>
        <v>0.16492194532000282</v>
      </c>
      <c r="CE60" s="579">
        <f>IF(ISERROR(CE8/BY8-1),"NM",CE8/BY8-1)</f>
        <v>0.16203502900092537</v>
      </c>
      <c r="CF60" s="579">
        <f>IF(ISERROR(CF8/BZ8-1),"NM",CF8/BZ8-1)</f>
        <v>0.15525633598825705</v>
      </c>
      <c r="CG60" s="585">
        <f>IF(ISERROR(CG8/CA8-1),"NM",CG8/CA8-1)</f>
        <v>0.16428147081470001</v>
      </c>
      <c r="CH60" s="226"/>
      <c r="CP60" s="46"/>
      <c r="CQ60" s="42"/>
      <c r="CR60" s="42"/>
      <c r="CS60" s="42"/>
    </row>
    <row r="61" spans="1:109" ht="12.75" hidden="1" customHeight="1" outlineLevel="1" x14ac:dyDescent="0.2">
      <c r="B61" s="431" t="s">
        <v>340</v>
      </c>
      <c r="C61" s="432"/>
      <c r="D61" s="433"/>
      <c r="E61" s="433"/>
      <c r="F61" s="433"/>
      <c r="G61" s="434"/>
      <c r="H61" s="435"/>
      <c r="I61" s="436">
        <f>+ALGN!I56</f>
        <v>0.17275450510500145</v>
      </c>
      <c r="J61" s="436">
        <f>+ALGN!J56</f>
        <v>4.3066198451757742E-2</v>
      </c>
      <c r="K61" s="436">
        <f>+ALGN!K56</f>
        <v>5.2091643224027706E-2</v>
      </c>
      <c r="L61" s="436">
        <f>+ALGN!L56</f>
        <v>2.2174110898134369E-2</v>
      </c>
      <c r="M61" s="437">
        <f>+SUMPRODUCT(I61:L61,C8:F8)/G$8</f>
        <v>6.9088248948412465E-2</v>
      </c>
      <c r="N61" s="435"/>
      <c r="O61" s="436">
        <f>+ALGN!O56</f>
        <v>-3.5371158154950365E-2</v>
      </c>
      <c r="P61" s="436">
        <f>+ALGN!P56</f>
        <v>-1.6582794755921774E-2</v>
      </c>
      <c r="Q61" s="436">
        <f>+ALGN!Q56</f>
        <v>6.3925775154362791E-2</v>
      </c>
      <c r="R61" s="436">
        <f>+ALGN!R56</f>
        <v>0.14350249349976432</v>
      </c>
      <c r="S61" s="437">
        <f>+SUMPRODUCT(O61:R61,I8:L8)/M$8</f>
        <v>3.7742132397185019E-2</v>
      </c>
      <c r="T61" s="438"/>
      <c r="U61" s="436">
        <f>+ALGN!U56</f>
        <v>0.27310738001852813</v>
      </c>
      <c r="V61" s="436">
        <f>+ALGN!V56</f>
        <v>0.24287631903974605</v>
      </c>
      <c r="W61" s="436">
        <f>+ALGN!W56</f>
        <v>0.22847733112329757</v>
      </c>
      <c r="X61" s="436">
        <f>+ALGN!X56</f>
        <v>9.0636236563781003E-2</v>
      </c>
      <c r="Y61" s="437">
        <f>+SUMPRODUCT(U61:X61,O8:R8)/S$8</f>
        <v>0.20379093392730777</v>
      </c>
      <c r="Z61" s="439"/>
      <c r="AA61" s="436">
        <f>+ALGN!AA56</f>
        <v>0.16502148945832473</v>
      </c>
      <c r="AB61" s="436">
        <f>+ALGN!AB56</f>
        <v>0.24915628772121834</v>
      </c>
      <c r="AC61" s="436">
        <f>+ALGN!AC56</f>
        <v>0.29357196914294759</v>
      </c>
      <c r="AD61" s="436">
        <f>+ALGN!AD56</f>
        <v>0.38870244079514588</v>
      </c>
      <c r="AE61" s="437">
        <f>+SUMPRODUCT(AA61:AD61,U8:X8)/Y$8</f>
        <v>0.27502534317671773</v>
      </c>
      <c r="AF61" s="435"/>
      <c r="AG61" s="436">
        <f>+ALGN!AG56</f>
        <v>0.29583620500418162</v>
      </c>
      <c r="AH61" s="436">
        <f>+ALGN!AH56</f>
        <v>0.2340249671147418</v>
      </c>
      <c r="AI61" s="436">
        <f>+ALGN!AI56</f>
        <v>0.10732967496778907</v>
      </c>
      <c r="AJ61" s="436">
        <f>+ALGN!AJ56</f>
        <v>0.11609278222638131</v>
      </c>
      <c r="AK61" s="437">
        <f>+SUMPRODUCT(AG61:AJ61,AA8:AD8)/AE$8</f>
        <v>0.18259941407164673</v>
      </c>
      <c r="AL61" s="435"/>
      <c r="AM61" s="436">
        <f>+ALGN!AM56</f>
        <v>0.13700807442218274</v>
      </c>
      <c r="AN61" s="436">
        <f>+ALGN!AN56</f>
        <v>0.12655883317243372</v>
      </c>
      <c r="AO61" s="436">
        <f>+ALGN!AO56</f>
        <v>0.20468886582725102</v>
      </c>
      <c r="AP61" s="436">
        <f>+ALGN!AP56</f>
        <v>0.25225403317580652</v>
      </c>
      <c r="AQ61" s="437">
        <f>+SUMPRODUCT(AM61:AP61,AG8:AJ8)/AK$8</f>
        <v>0.18018028653836329</v>
      </c>
      <c r="AR61" s="435"/>
      <c r="AS61" s="436">
        <f>+ALGN!AS56</f>
        <v>0.17106050219235058</v>
      </c>
      <c r="AT61" s="436">
        <f>+ALGN!AT56</f>
        <v>0.16866593393776555</v>
      </c>
      <c r="AU61" s="436">
        <f>+ALGN!AU56</f>
        <v>0.15573963549445011</v>
      </c>
      <c r="AV61" s="436">
        <f>+ALGN!AV56</f>
        <v>0.13934699795346317</v>
      </c>
      <c r="AW61" s="437">
        <f>+SUMPRODUCT(AS61:AV61,AM8:AP8)/AQ$8</f>
        <v>0.15808434638222968</v>
      </c>
      <c r="AX61" s="435"/>
      <c r="AY61" s="436">
        <f>+ALGN!AY56</f>
        <v>0.12316546447636471</v>
      </c>
      <c r="AZ61" s="436">
        <f>+ALGN!AZ56</f>
        <v>0.14174603939667016</v>
      </c>
      <c r="BA61" s="436">
        <f>+ALGN!BA56</f>
        <v>0.14132719998521259</v>
      </c>
      <c r="BB61" s="436">
        <f>+ALGN!BB56</f>
        <v>0.19290805321478899</v>
      </c>
      <c r="BC61" s="437">
        <f>+SUMPRODUCT(AY61:BB61,AS8:AV8)/AW$8</f>
        <v>0.15057518056086827</v>
      </c>
      <c r="BD61" s="435"/>
      <c r="BE61" s="436">
        <f>+ALGN!BE56</f>
        <v>0.21876356733943836</v>
      </c>
      <c r="BF61" s="436">
        <f>+ALGN!BF56</f>
        <v>0.28581112044604007</v>
      </c>
      <c r="BG61" s="436">
        <f>+ALGN!BG56</f>
        <v>0.34171819915621571</v>
      </c>
      <c r="BH61" s="436">
        <f>+ALGN!BH56</f>
        <v>0.28629557574388986</v>
      </c>
      <c r="BI61" s="437">
        <f>+SUMPRODUCT(BE61:BH61,AY8:BB8)/BC$8</f>
        <v>0.28396448906309507</v>
      </c>
      <c r="BJ61" s="435"/>
      <c r="BK61" s="436">
        <f>+ALGN!BK56</f>
        <v>0.3125879691689008</v>
      </c>
      <c r="BL61" s="436">
        <f>+ALGN!BL56</f>
        <v>0.33456835039834876</v>
      </c>
      <c r="BM61" s="436">
        <f>+ALGN!BM56</f>
        <v>0.37292251309276381</v>
      </c>
      <c r="BN61" s="436">
        <f>+ALGN!BN56</f>
        <v>0.39696687960218685</v>
      </c>
      <c r="BO61" s="437">
        <f>+SUMPRODUCT(BK61:BN61,BE8:BH8)/BI$8</f>
        <v>0.35654621742907044</v>
      </c>
      <c r="BP61" s="435"/>
      <c r="BQ61" s="436">
        <f>+ALGN!BQ56</f>
        <v>0.35788358611978427</v>
      </c>
      <c r="BR61" s="436">
        <f>+ALGN!BR56</f>
        <v>0.29542683365554828</v>
      </c>
      <c r="BS61" s="436">
        <f>+ALGN!BS56</f>
        <v>0.25265561539229886</v>
      </c>
      <c r="BT61" s="436">
        <f>+ALGN!BT56</f>
        <v>0.26203296742094717</v>
      </c>
      <c r="BU61" s="437">
        <f>+SUMPRODUCT(BQ61:BT61,BK8:BN8)/BO$8</f>
        <v>0.28784915391898785</v>
      </c>
      <c r="BV61" s="435"/>
      <c r="BW61" s="436">
        <f>+ALGN!BW56</f>
        <v>0.21257063154223776</v>
      </c>
      <c r="BX61" s="436">
        <f>+ALGN!BX56</f>
        <v>0.2478375704501079</v>
      </c>
      <c r="BY61" s="436">
        <f>+ALGN!BY56</f>
        <v>0.23617929028505436</v>
      </c>
      <c r="BZ61" s="436">
        <f>+ALGN!BZ56</f>
        <v>0.23664411339705116</v>
      </c>
      <c r="CA61" s="437">
        <f>+SUMPRODUCT(BW61:BZ61,BQ8:BT8)/BU$8</f>
        <v>0.23389716031999783</v>
      </c>
      <c r="CB61" s="435"/>
      <c r="CC61" s="436">
        <f>+ALGN!CC56</f>
        <v>0.17751427697818967</v>
      </c>
      <c r="CD61" s="436">
        <f>+ALGN!CD56</f>
        <v>0.16492194532000282</v>
      </c>
      <c r="CE61" s="436">
        <f>+ALGN!CE56</f>
        <v>0.16203502900092537</v>
      </c>
      <c r="CF61" s="436">
        <f>+ALGN!CF56</f>
        <v>0.15525633598825705</v>
      </c>
      <c r="CG61" s="437">
        <f>+SUMPRODUCT(CC61:CF61,BW8:BZ8)/CA$8</f>
        <v>0.16428147081470004</v>
      </c>
      <c r="CH61" s="226"/>
      <c r="CI61" s="51"/>
      <c r="CP61" s="46"/>
      <c r="CQ61" s="42"/>
      <c r="CR61" s="42"/>
      <c r="CS61" s="42"/>
    </row>
    <row r="62" spans="1:109" ht="12.75" hidden="1" customHeight="1" outlineLevel="1" x14ac:dyDescent="0.2">
      <c r="B62" s="440" t="s">
        <v>341</v>
      </c>
      <c r="C62" s="432"/>
      <c r="D62" s="433"/>
      <c r="E62" s="433"/>
      <c r="F62" s="433"/>
      <c r="G62" s="434"/>
      <c r="H62" s="441"/>
      <c r="I62" s="442">
        <f>+I61-I63</f>
        <v>0.17275450510500145</v>
      </c>
      <c r="J62" s="442">
        <f>+J61-J63</f>
        <v>4.3066198451757742E-2</v>
      </c>
      <c r="K62" s="442">
        <f>+K61-K63</f>
        <v>5.2091643224027706E-2</v>
      </c>
      <c r="L62" s="442">
        <f>+L61-L63</f>
        <v>2.2174110898134369E-2</v>
      </c>
      <c r="M62" s="437">
        <f>+SUMPRODUCT(I62:L62,C$8:F$8)/G$8</f>
        <v>6.9088248948412465E-2</v>
      </c>
      <c r="N62" s="441"/>
      <c r="O62" s="442">
        <f>+O61-O63</f>
        <v>-3.5371158154950365E-2</v>
      </c>
      <c r="P62" s="442">
        <f>+P61-P63</f>
        <v>-1.6582794755921774E-2</v>
      </c>
      <c r="Q62" s="442">
        <f>+Q61-Q63</f>
        <v>6.3925775154362791E-2</v>
      </c>
      <c r="R62" s="442">
        <f>+R61-R63</f>
        <v>0.14350249349976432</v>
      </c>
      <c r="S62" s="437">
        <f>+SUMPRODUCT(O62:R62,I$8:L$8)/M$8</f>
        <v>3.7742132397185019E-2</v>
      </c>
      <c r="T62" s="441"/>
      <c r="U62" s="442">
        <f>+U61-U63</f>
        <v>0.27310738001852813</v>
      </c>
      <c r="V62" s="442">
        <f>+V61-V63</f>
        <v>0.24287631903974605</v>
      </c>
      <c r="W62" s="442">
        <f>+W61-W63</f>
        <v>0.22847733112329757</v>
      </c>
      <c r="X62" s="442">
        <f>+X61-X63</f>
        <v>9.0636236563781003E-2</v>
      </c>
      <c r="Y62" s="437">
        <f>+SUMPRODUCT(U62:X62,O$8:R$8)/S$8</f>
        <v>0.20379093392730777</v>
      </c>
      <c r="Z62" s="443"/>
      <c r="AA62" s="442">
        <f>+AA61-AA63</f>
        <v>0.16502148945832473</v>
      </c>
      <c r="AB62" s="442">
        <f>+AB61-AB63</f>
        <v>0.17993223609072567</v>
      </c>
      <c r="AC62" s="442">
        <f>+AC61-AC63</f>
        <v>0.1726718888903081</v>
      </c>
      <c r="AD62" s="442">
        <f>+AD61-AD63</f>
        <v>0.28105170284933723</v>
      </c>
      <c r="AE62" s="437">
        <f>+SUMPRODUCT(AA62:AD62,U$8:X$8)/Y$8</f>
        <v>0.1996554675236015</v>
      </c>
      <c r="AF62" s="441"/>
      <c r="AG62" s="442">
        <f>+AG61-AG63</f>
        <v>0.18376822606163185</v>
      </c>
      <c r="AH62" s="442">
        <f>+AH61-AH63</f>
        <v>0.18858253419166998</v>
      </c>
      <c r="AI62" s="442">
        <f>+AI61-AI63</f>
        <v>0.10732967496778907</v>
      </c>
      <c r="AJ62" s="442">
        <f>+AJ61-AJ63</f>
        <v>9.0686475256131896E-2</v>
      </c>
      <c r="AK62" s="437">
        <f>+SUMPRODUCT(AG62:AJ62,AA$8:AD$8)/AE$8</f>
        <v>0.13990345937942736</v>
      </c>
      <c r="AL62" s="441"/>
      <c r="AM62" s="444">
        <f>+AM61-AM63</f>
        <v>9.007457624704078E-2</v>
      </c>
      <c r="AN62" s="444">
        <f>+AN61-AN63</f>
        <v>9.0330389533706201E-2</v>
      </c>
      <c r="AO62" s="444">
        <f>+AO61-AO63</f>
        <v>0.16168240409943482</v>
      </c>
      <c r="AP62" s="442">
        <f>+AP61-AP63</f>
        <v>0.20360673550008546</v>
      </c>
      <c r="AQ62" s="437">
        <f>+SUMPRODUCT(AM62:AP62,AG$8:AJ$8)/AK$8</f>
        <v>0.13655040348813421</v>
      </c>
      <c r="AR62" s="441"/>
      <c r="AS62" s="444">
        <f>+AS61-AS63</f>
        <v>0.14501544424209664</v>
      </c>
      <c r="AT62" s="444">
        <f>+AT61-AT63</f>
        <v>0.14730206451373548</v>
      </c>
      <c r="AU62" s="444">
        <f>+AU61-AU63</f>
        <v>0.14966082985818152</v>
      </c>
      <c r="AV62" s="444">
        <f>+AV61-AV63</f>
        <v>0.13373822133981814</v>
      </c>
      <c r="AW62" s="437">
        <f>+SUMPRODUCT(AS62:AV62,AM$8:AP$8)/AQ$8</f>
        <v>0.14369489824028608</v>
      </c>
      <c r="AX62" s="441"/>
      <c r="AY62" s="444">
        <f>+AY61-AY63</f>
        <v>0.12039762018421321</v>
      </c>
      <c r="AZ62" s="444">
        <f>+AZ61-AZ63</f>
        <v>0.14174603939667016</v>
      </c>
      <c r="BA62" s="444">
        <f>+BA61-BA63</f>
        <v>0.14132719998521259</v>
      </c>
      <c r="BB62" s="444">
        <f>+BB61-BB63</f>
        <v>0.19290805321478899</v>
      </c>
      <c r="BC62" s="437">
        <f>+SUMPRODUCT(AY62:BB62,AS$8:AV$8)/AW$8</f>
        <v>0.14991871363957998</v>
      </c>
      <c r="BD62" s="441"/>
      <c r="BE62" s="444">
        <f>+BE61-BE63</f>
        <v>0.21876356733943836</v>
      </c>
      <c r="BF62" s="444">
        <f>+BF61-BF63</f>
        <v>0.28581112044604007</v>
      </c>
      <c r="BG62" s="444">
        <f>+BG61-BG63</f>
        <v>0.34171819915621571</v>
      </c>
      <c r="BH62" s="444">
        <f>+BH61-BH63</f>
        <v>0.28629557574388986</v>
      </c>
      <c r="BI62" s="437">
        <f>+SUMPRODUCT(BE62:BH62,AY$8:BB$8)/BC$8</f>
        <v>0.28396448906309507</v>
      </c>
      <c r="BJ62" s="441"/>
      <c r="BK62" s="444">
        <f>+BK61-BK63</f>
        <v>0.3125879691689008</v>
      </c>
      <c r="BL62" s="444">
        <f>+BL61-BL63</f>
        <v>0.33456835039834876</v>
      </c>
      <c r="BM62" s="444">
        <f>+BM61-BM63</f>
        <v>0.37292251309276381</v>
      </c>
      <c r="BN62" s="444">
        <f>+BN61-BN63</f>
        <v>0.39696687960218685</v>
      </c>
      <c r="BO62" s="437">
        <f>+SUMPRODUCT(BK62:BN62,BE$8:BH$8)/BI$8</f>
        <v>0.35654621742907044</v>
      </c>
      <c r="BP62" s="441"/>
      <c r="BQ62" s="444">
        <f>+BQ61-BQ63</f>
        <v>0.35788358611978427</v>
      </c>
      <c r="BR62" s="444">
        <f>+BR61-BR63</f>
        <v>0.29542683365554828</v>
      </c>
      <c r="BS62" s="444">
        <f>+BS61-BS63</f>
        <v>0.25265561539229886</v>
      </c>
      <c r="BT62" s="444">
        <f>+BT61-BT63</f>
        <v>0.26203296742094717</v>
      </c>
      <c r="BU62" s="437">
        <f>+SUMPRODUCT(BQ62:BT62,BK$8:BN$8)/BO$8</f>
        <v>0.28784915391898785</v>
      </c>
      <c r="BV62" s="441"/>
      <c r="BW62" s="444">
        <f>+BW61-BW63</f>
        <v>0.21257063154223776</v>
      </c>
      <c r="BX62" s="444">
        <f>+BX61-BX63</f>
        <v>0.2478375704501079</v>
      </c>
      <c r="BY62" s="444">
        <f>+BY61-BY63</f>
        <v>0.23617929028505436</v>
      </c>
      <c r="BZ62" s="444">
        <f>+BZ61-BZ63</f>
        <v>0.23664411339705116</v>
      </c>
      <c r="CA62" s="437">
        <f>+SUMPRODUCT(BW62:BZ62,BQ$8:BT$8)/BU$8</f>
        <v>0.23389716031999783</v>
      </c>
      <c r="CB62" s="441"/>
      <c r="CC62" s="444">
        <f>+CC61-CC63</f>
        <v>0.17751427697818967</v>
      </c>
      <c r="CD62" s="444">
        <f>+CD61-CD63</f>
        <v>0.16492194532000282</v>
      </c>
      <c r="CE62" s="444">
        <f>+CE61-CE63</f>
        <v>0.16203502900092537</v>
      </c>
      <c r="CF62" s="444">
        <f>+CF61-CF63</f>
        <v>0.15525633598825705</v>
      </c>
      <c r="CG62" s="437">
        <f>+SUMPRODUCT(CC62:CF62,BW$8:BZ$8)/CA$8</f>
        <v>0.16428147081470004</v>
      </c>
      <c r="CH62" s="226"/>
      <c r="CI62" s="51"/>
      <c r="CP62" s="42"/>
      <c r="CQ62" s="42"/>
      <c r="CR62" s="42"/>
      <c r="CS62" s="42"/>
    </row>
    <row r="63" spans="1:109" ht="12.75" hidden="1" customHeight="1" outlineLevel="1" x14ac:dyDescent="0.2">
      <c r="B63" s="440" t="s">
        <v>358</v>
      </c>
      <c r="C63" s="432"/>
      <c r="D63" s="433"/>
      <c r="E63" s="433"/>
      <c r="F63" s="433"/>
      <c r="G63" s="434"/>
      <c r="H63" s="441"/>
      <c r="I63" s="445">
        <v>0</v>
      </c>
      <c r="J63" s="445">
        <v>0</v>
      </c>
      <c r="K63" s="445">
        <v>0</v>
      </c>
      <c r="L63" s="445">
        <v>0</v>
      </c>
      <c r="M63" s="437">
        <f>+SUMPRODUCT(I63:L63,C$8:F$8)/G$8</f>
        <v>0</v>
      </c>
      <c r="N63" s="441"/>
      <c r="O63" s="445">
        <v>0</v>
      </c>
      <c r="P63" s="445">
        <v>0</v>
      </c>
      <c r="Q63" s="445">
        <v>0</v>
      </c>
      <c r="R63" s="445">
        <v>0</v>
      </c>
      <c r="S63" s="437">
        <f>+SUMPRODUCT(O63:R63,I$8:L$8)/M$8</f>
        <v>0</v>
      </c>
      <c r="T63" s="441"/>
      <c r="U63" s="445">
        <v>0</v>
      </c>
      <c r="V63" s="445">
        <v>0</v>
      </c>
      <c r="W63" s="445">
        <v>0</v>
      </c>
      <c r="X63" s="445">
        <v>0</v>
      </c>
      <c r="Y63" s="437">
        <f>+SUMPRODUCT(U63:X63,O$8:R$8)/S$8</f>
        <v>0</v>
      </c>
      <c r="Z63" s="443"/>
      <c r="AA63" s="445">
        <v>0</v>
      </c>
      <c r="AB63" s="442">
        <f>+ALGN!AB39/'P&amp;L'!V8</f>
        <v>6.9224051630492667E-2</v>
      </c>
      <c r="AC63" s="442">
        <f>+ALGN!AC39/'P&amp;L'!W8</f>
        <v>0.12090008025263949</v>
      </c>
      <c r="AD63" s="442">
        <f>+ALGN!AD39/'P&amp;L'!X8</f>
        <v>0.10765073794580865</v>
      </c>
      <c r="AE63" s="437">
        <f>+SUMPRODUCT(AA63:AD63,U$8:X$8)/Y$8</f>
        <v>7.5369875653116189E-2</v>
      </c>
      <c r="AF63" s="441"/>
      <c r="AG63" s="442">
        <f>+ALGN!AG39/'P&amp;L'!AA8</f>
        <v>0.11206797894254979</v>
      </c>
      <c r="AH63" s="442">
        <f>(ALGN!AH39-ALGN!AB39)/'P&amp;L'!AB8</f>
        <v>4.5442432923071804E-2</v>
      </c>
      <c r="AI63" s="446">
        <v>0</v>
      </c>
      <c r="AJ63" s="442">
        <f>ALGN!AJ58</f>
        <v>2.5406306970249412E-2</v>
      </c>
      <c r="AK63" s="437">
        <f>+SUMPRODUCT(AG63:AJ63,AA$8:AD$8)/AE$8</f>
        <v>4.2695954692219339E-2</v>
      </c>
      <c r="AL63" s="441"/>
      <c r="AM63" s="442">
        <f>ALGN!AM58</f>
        <v>4.6933498175141961E-2</v>
      </c>
      <c r="AN63" s="442">
        <f>ALGN!AN58</f>
        <v>3.6228443638727514E-2</v>
      </c>
      <c r="AO63" s="442">
        <f>ALGN!AO58</f>
        <v>4.3006461727816199E-2</v>
      </c>
      <c r="AP63" s="442">
        <f>ALGN!AP58</f>
        <v>4.8647297675721082E-2</v>
      </c>
      <c r="AQ63" s="437">
        <f>+SUMPRODUCT(AM63:AP63,AG$8:AJ$8)/AK$8</f>
        <v>4.3629883050229058E-2</v>
      </c>
      <c r="AR63" s="441"/>
      <c r="AS63" s="442">
        <f>ALGN!AS58</f>
        <v>2.6045057950253934E-2</v>
      </c>
      <c r="AT63" s="442">
        <f>ALGN!AT58</f>
        <v>2.1363869424030079E-2</v>
      </c>
      <c r="AU63" s="442">
        <f>ALGN!AU58</f>
        <v>6.0788056362685861E-3</v>
      </c>
      <c r="AV63" s="442">
        <f>ALGN!AV58</f>
        <v>5.6087766136450317E-3</v>
      </c>
      <c r="AW63" s="437">
        <f>+SUMPRODUCT(AS63:AV63,AM$8:AP$8)/AQ$8</f>
        <v>1.4389448141943574E-2</v>
      </c>
      <c r="AX63" s="441"/>
      <c r="AY63" s="442">
        <f>ALGN!AY58</f>
        <v>2.7678442921515011E-3</v>
      </c>
      <c r="AZ63" s="442">
        <f>ALGN!AZ58</f>
        <v>0</v>
      </c>
      <c r="BA63" s="442">
        <f>ALGN!BA58</f>
        <v>0</v>
      </c>
      <c r="BB63" s="442">
        <f>ALGN!BB58</f>
        <v>0</v>
      </c>
      <c r="BC63" s="437">
        <f>ALGN!BC58</f>
        <v>6.5646692128830321E-4</v>
      </c>
      <c r="BD63" s="441"/>
      <c r="BE63" s="442">
        <f>ALGN!BE58</f>
        <v>0</v>
      </c>
      <c r="BF63" s="442">
        <f>ALGN!BF58</f>
        <v>0</v>
      </c>
      <c r="BG63" s="442">
        <f>ALGN!BG58</f>
        <v>0</v>
      </c>
      <c r="BH63" s="442">
        <f>ALGN!BH58</f>
        <v>0</v>
      </c>
      <c r="BI63" s="437">
        <f>ALGN!BI58</f>
        <v>0</v>
      </c>
      <c r="BJ63" s="441"/>
      <c r="BK63" s="442">
        <f>ALGN!BK58</f>
        <v>0</v>
      </c>
      <c r="BL63" s="442">
        <f>ALGN!BL58</f>
        <v>0</v>
      </c>
      <c r="BM63" s="442">
        <f>ALGN!BM58</f>
        <v>0</v>
      </c>
      <c r="BN63" s="442">
        <f>ALGN!BN58</f>
        <v>0</v>
      </c>
      <c r="BO63" s="437">
        <f>ALGN!BO58</f>
        <v>0</v>
      </c>
      <c r="BP63" s="441"/>
      <c r="BQ63" s="442">
        <f>ALGN!BQ58</f>
        <v>0</v>
      </c>
      <c r="BR63" s="442">
        <f>ALGN!BR58</f>
        <v>0</v>
      </c>
      <c r="BS63" s="442">
        <f>ALGN!BS58</f>
        <v>0</v>
      </c>
      <c r="BT63" s="442">
        <f>ALGN!BT58</f>
        <v>0</v>
      </c>
      <c r="BU63" s="437">
        <f>ALGN!BU58</f>
        <v>0</v>
      </c>
      <c r="BV63" s="441"/>
      <c r="BW63" s="442">
        <f>ALGN!BW58</f>
        <v>0</v>
      </c>
      <c r="BX63" s="442">
        <f>ALGN!BX58</f>
        <v>0</v>
      </c>
      <c r="BY63" s="442">
        <f>ALGN!BY58</f>
        <v>0</v>
      </c>
      <c r="BZ63" s="442">
        <f>ALGN!BZ58</f>
        <v>0</v>
      </c>
      <c r="CA63" s="437">
        <f>ALGN!CA58</f>
        <v>0</v>
      </c>
      <c r="CB63" s="441"/>
      <c r="CC63" s="442">
        <f>ALGN!CC58</f>
        <v>0</v>
      </c>
      <c r="CD63" s="442">
        <f>ALGN!CD58</f>
        <v>0</v>
      </c>
      <c r="CE63" s="442">
        <f>ALGN!CE58</f>
        <v>0</v>
      </c>
      <c r="CF63" s="442">
        <f>ALGN!CF58</f>
        <v>0</v>
      </c>
      <c r="CG63" s="437">
        <f>ALGN!CG58</f>
        <v>0</v>
      </c>
      <c r="CH63" s="226"/>
      <c r="CI63" s="51"/>
      <c r="CP63" s="42"/>
      <c r="CQ63" s="42"/>
      <c r="CR63" s="42"/>
      <c r="CS63" s="42"/>
    </row>
    <row r="64" spans="1:109" ht="12.75" hidden="1" customHeight="1" outlineLevel="1" x14ac:dyDescent="0.2">
      <c r="B64" s="431" t="s">
        <v>342</v>
      </c>
      <c r="C64" s="432"/>
      <c r="D64" s="433"/>
      <c r="E64" s="433"/>
      <c r="F64" s="433"/>
      <c r="G64" s="434"/>
      <c r="H64" s="442"/>
      <c r="I64" s="442">
        <f>+I60-I61</f>
        <v>0</v>
      </c>
      <c r="J64" s="442">
        <f>+J60-J61</f>
        <v>0</v>
      </c>
      <c r="K64" s="442">
        <f>+K60-K61</f>
        <v>0</v>
      </c>
      <c r="L64" s="442">
        <f>+L60-L61</f>
        <v>0</v>
      </c>
      <c r="M64" s="437">
        <f>+SUMPRODUCT(I64:L64,C$8:F$8)/G$8</f>
        <v>0</v>
      </c>
      <c r="N64" s="447"/>
      <c r="O64" s="442">
        <f>+O60-O61</f>
        <v>-2.6734330237047112E-2</v>
      </c>
      <c r="P64" s="442">
        <f>+P60-P61</f>
        <v>-2.829718321709513E-2</v>
      </c>
      <c r="Q64" s="442">
        <f>+Q60-Q61</f>
        <v>-9.4381266635482353E-3</v>
      </c>
      <c r="R64" s="442">
        <f>+R60-R61</f>
        <v>2.501015405504145E-2</v>
      </c>
      <c r="S64" s="437">
        <f>+SUMPRODUCT(O64:R64,I$8:L$8)/M$8</f>
        <v>-1.0249830373341099E-2</v>
      </c>
      <c r="T64" s="447"/>
      <c r="U64" s="442">
        <f>+U60-U61</f>
        <v>1.1470273549030463E-2</v>
      </c>
      <c r="V64" s="442">
        <f>+V60-V61</f>
        <v>-1.2492126996137998E-2</v>
      </c>
      <c r="W64" s="442">
        <f>+W60-W61</f>
        <v>-1.8079823901054309E-2</v>
      </c>
      <c r="X64" s="442">
        <f>+X60-X61</f>
        <v>-1.8166946825164454E-2</v>
      </c>
      <c r="Y64" s="437">
        <f>+SUMPRODUCT(U64:X64,O$8:R$8)/S$8</f>
        <v>-1.0103427323778728E-2</v>
      </c>
      <c r="Z64" s="448"/>
      <c r="AA64" s="442">
        <f>+AA60-AA61</f>
        <v>-1.1187255555610287E-3</v>
      </c>
      <c r="AB64" s="442">
        <f>+AB60-AB61</f>
        <v>2.9742091370988044E-2</v>
      </c>
      <c r="AC64" s="442">
        <f>+AC60-AC61</f>
        <v>1.8548263902379625E-2</v>
      </c>
      <c r="AD64" s="442">
        <f>+AD60-AD61</f>
        <v>-1.0306033046994512E-3</v>
      </c>
      <c r="AE64" s="437">
        <f>+SUMPRODUCT(AA64:AD64,U$8:X$8)/Y$8</f>
        <v>1.1736917168535395E-2</v>
      </c>
      <c r="AF64" s="447"/>
      <c r="AG64" s="442">
        <f>+AG60-AG61</f>
        <v>-7.6028182642715603E-3</v>
      </c>
      <c r="AH64" s="442">
        <f>+AH60-AH61</f>
        <v>-2.1344055101684523E-2</v>
      </c>
      <c r="AI64" s="442">
        <f>+AI60-AI61</f>
        <v>-2.3115971375878466E-2</v>
      </c>
      <c r="AJ64" s="442">
        <f>+AJ60-AJ61</f>
        <v>-7.9899157743430482E-3</v>
      </c>
      <c r="AK64" s="437">
        <f>+SUMPRODUCT(AG64:AJ64,AA$8:AD$8)/AE$8</f>
        <v>-1.5217430876547722E-2</v>
      </c>
      <c r="AL64" s="447"/>
      <c r="AM64" s="442">
        <f>+AM60-AM61</f>
        <v>-4.3779454052955691E-5</v>
      </c>
      <c r="AN64" s="442">
        <f>+AN60-AN61</f>
        <v>-1.5674168044775283E-3</v>
      </c>
      <c r="AO64" s="442">
        <f>+AO60-AO61</f>
        <v>5.1861278018058843E-4</v>
      </c>
      <c r="AP64" s="442">
        <f>+AP60-AP61</f>
        <v>-4.0602499218160837E-3</v>
      </c>
      <c r="AQ64" s="437">
        <f>+SUMPRODUCT(AM64:AP64,AG$8:AJ$8)/AK$8</f>
        <v>-1.3273097027388056E-3</v>
      </c>
      <c r="AR64" s="447"/>
      <c r="AS64" s="442">
        <f>+AS60-AS61</f>
        <v>5.173382428042439E-3</v>
      </c>
      <c r="AT64" s="442">
        <f>+AT60-AT61</f>
        <v>6.5361072273589504E-3</v>
      </c>
      <c r="AU64" s="442">
        <f>+AU60-AU61</f>
        <v>-1.5203365023160609E-3</v>
      </c>
      <c r="AV64" s="442">
        <f>+AV60-AV61</f>
        <v>-2.5443962483559845E-2</v>
      </c>
      <c r="AW64" s="437">
        <f>+SUMPRODUCT(AS64:AV64,AM$8:AP$8)/AQ$8</f>
        <v>-4.4247310500454976E-3</v>
      </c>
      <c r="AX64" s="447"/>
      <c r="AY64" s="442">
        <f>+AY60-AY61</f>
        <v>-2.6623055566120254E-2</v>
      </c>
      <c r="AZ64" s="442">
        <f>+AZ60-AZ61</f>
        <v>-5.3671911074477968E-2</v>
      </c>
      <c r="BA64" s="442">
        <f>+BA60-BA61</f>
        <v>-4.779247205751247E-2</v>
      </c>
      <c r="BB64" s="442">
        <f>+BB60-BB61</f>
        <v>-3.3411577887497823E-2</v>
      </c>
      <c r="BC64" s="437">
        <f>+SUMPRODUCT(AY64:BB64,AS$8:AV$8)/AW$8</f>
        <v>-4.0507997736143601E-2</v>
      </c>
      <c r="BD64" s="447"/>
      <c r="BE64" s="442">
        <f>+BE60-BE61</f>
        <v>-1.363044334279051E-2</v>
      </c>
      <c r="BF64" s="442">
        <f>+BF60-BF61</f>
        <v>0</v>
      </c>
      <c r="BG64" s="442">
        <f>+BG60-BG61</f>
        <v>0</v>
      </c>
      <c r="BH64" s="442">
        <f>+BH60-BH61</f>
        <v>-1.3027844847053105E-2</v>
      </c>
      <c r="BI64" s="437">
        <f>+SUMPRODUCT(BE64:BH64,AY$8:BB$8)/BC$8</f>
        <v>-6.7416846642049675E-3</v>
      </c>
      <c r="BJ64" s="447"/>
      <c r="BK64" s="442">
        <f>+BK60-BK61</f>
        <v>-1.2567024128686322E-2</v>
      </c>
      <c r="BL64" s="442">
        <f>+BL60-BL61</f>
        <v>-1.1137428442022257E-2</v>
      </c>
      <c r="BM64" s="442">
        <f>+BM60-BM61</f>
        <v>1.0000000000000009E-2</v>
      </c>
      <c r="BN64" s="442">
        <f>+BN60-BN61</f>
        <v>3.999999999999998E-2</v>
      </c>
      <c r="BO64" s="437">
        <f>+SUMPRODUCT(BK64:BN64,BE$8:BH$8)/BI$8</f>
        <v>7.8842624232086309E-3</v>
      </c>
      <c r="BP64" s="447"/>
      <c r="BQ64" s="442">
        <f>+BQ60-BQ61</f>
        <v>4.9999999999999989E-2</v>
      </c>
      <c r="BR64" s="442">
        <f>+BR60-BR61</f>
        <v>5.4999999999999993E-2</v>
      </c>
      <c r="BS64" s="442">
        <f>+BS60-BS61</f>
        <v>2.5000000000000022E-2</v>
      </c>
      <c r="BT64" s="442">
        <f>+BT60-BT61</f>
        <v>2.0000000000000018E-2</v>
      </c>
      <c r="BU64" s="437">
        <f>+SUMPRODUCT(BQ64:BT64,BK$8:BN$8)/BO$8</f>
        <v>3.6094221375812495E-2</v>
      </c>
      <c r="BV64" s="447"/>
      <c r="BW64" s="442">
        <f>+BW60-BW61</f>
        <v>0</v>
      </c>
      <c r="BX64" s="442">
        <f>+BX60-BX61</f>
        <v>0</v>
      </c>
      <c r="BY64" s="442">
        <f>+BY60-BY61</f>
        <v>0</v>
      </c>
      <c r="BZ64" s="442">
        <f>+BZ60-BZ61</f>
        <v>0</v>
      </c>
      <c r="CA64" s="437">
        <f>+SUMPRODUCT(BW64:BZ64,BQ$8:BT$8)/BU$8</f>
        <v>0</v>
      </c>
      <c r="CB64" s="447"/>
      <c r="CC64" s="442">
        <f>+CC60-CC61</f>
        <v>0</v>
      </c>
      <c r="CD64" s="442">
        <f>+CD60-CD61</f>
        <v>0</v>
      </c>
      <c r="CE64" s="442">
        <f>+CE60-CE61</f>
        <v>0</v>
      </c>
      <c r="CF64" s="442">
        <f>+CF60-CF61</f>
        <v>0</v>
      </c>
      <c r="CG64" s="437">
        <f>+SUMPRODUCT(CC64:CF64,BW$8:BZ$8)/CA$8</f>
        <v>0</v>
      </c>
      <c r="CH64" s="226"/>
      <c r="CI64" s="51"/>
      <c r="CP64" s="42"/>
      <c r="CQ64" s="42"/>
      <c r="CR64" s="42"/>
      <c r="CS64" s="42"/>
    </row>
    <row r="65" spans="1:97" collapsed="1" x14ac:dyDescent="0.2">
      <c r="A65" s="42"/>
      <c r="B65" s="578" t="str">
        <f>+B11</f>
        <v>Cost of Revenues</v>
      </c>
      <c r="C65" s="42"/>
      <c r="D65" s="31"/>
      <c r="E65" s="31"/>
      <c r="F65" s="31"/>
      <c r="G65" s="343"/>
      <c r="H65" s="109"/>
      <c r="I65" s="582">
        <f>IF(ISERROR(I11/C11-1),"NM",I11/C11-1)</f>
        <v>0.11860345712818754</v>
      </c>
      <c r="J65" s="582">
        <f>IF(ISERROR(J11/D11-1),"NM",J11/D11-1)</f>
        <v>-1.9756013236538195E-4</v>
      </c>
      <c r="K65" s="582">
        <f>IF(ISERROR(K11/E11-1),"NM",K11/E11-1)</f>
        <v>3.4965806309287251E-2</v>
      </c>
      <c r="L65" s="582">
        <f>IF(ISERROR(L11/F11-1),"NM",L11/F11-1)</f>
        <v>5.7824018403304311E-2</v>
      </c>
      <c r="M65" s="583">
        <f>IF(ISERROR(M11/G11-1),"NM",M11/G11-1)</f>
        <v>5.0842939961351252E-2</v>
      </c>
      <c r="N65" s="109"/>
      <c r="O65" s="582">
        <f>IF(ISERROR(O11/I11-1),"NM",O11/I11-1)</f>
        <v>-0.11133210934312521</v>
      </c>
      <c r="P65" s="582">
        <f>IF(ISERROR(P11/J11-1),"NM",P11/J11-1)</f>
        <v>-9.410660475226007E-2</v>
      </c>
      <c r="Q65" s="582">
        <f>IF(ISERROR(Q11/K11-1),"NM",Q11/K11-1)</f>
        <v>-2.1528295854204238E-2</v>
      </c>
      <c r="R65" s="582">
        <f>IF(ISERROR(R11/L11-1),"NM",R11/L11-1)</f>
        <v>-8.3131517817426892E-2</v>
      </c>
      <c r="S65" s="583">
        <f>IF(ISERROR(S11/M11-1),"NM",S11/M11-1)</f>
        <v>-7.8300570703867978E-2</v>
      </c>
      <c r="T65" s="109"/>
      <c r="U65" s="582">
        <f>IF(ISERROR(U11/O11-1),"NM",U11/O11-1)</f>
        <v>0.1221233859397417</v>
      </c>
      <c r="V65" s="582">
        <f>IF(ISERROR(V11/P11-1),"NM",V11/P11-1)</f>
        <v>0.15486966953866288</v>
      </c>
      <c r="W65" s="582">
        <f>IF(ISERROR(W11/Q11-1),"NM",W11/Q11-1)</f>
        <v>0.14442871146933878</v>
      </c>
      <c r="X65" s="582">
        <f>IF(ISERROR(X11/R11-1),"NM",X11/R11-1)</f>
        <v>0.1393994932887721</v>
      </c>
      <c r="Y65" s="583">
        <f>IF(ISERROR(Y11/S11-1),"NM",Y11/S11-1)</f>
        <v>0.14043150421046846</v>
      </c>
      <c r="Z65" s="112"/>
      <c r="AA65" s="582">
        <f>IF(ISERROR(AA11/U11-1),"NM",AA11/U11-1)</f>
        <v>0.1573671559351506</v>
      </c>
      <c r="AB65" s="582">
        <f>IF(ISERROR(AB11/V11-1),"NM",AB11/V11-1)</f>
        <v>0.35560487298139609</v>
      </c>
      <c r="AC65" s="582">
        <f>IF(ISERROR(AC11/W11-1),"NM",AC11/W11-1)</f>
        <v>0.564671171599886</v>
      </c>
      <c r="AD65" s="582">
        <f>IF(ISERROR(AD11/X11-1),"NM",AD11/X11-1)</f>
        <v>0.53058617590007984</v>
      </c>
      <c r="AE65" s="583">
        <f>IF(ISERROR(AE11/Y11-1),"NM",AE11/Y11-1)</f>
        <v>0.40646943847880102</v>
      </c>
      <c r="AF65" s="109"/>
      <c r="AG65" s="582">
        <f>IF(ISERROR(AG11/AA11-1),"NM",AG11/AA11-1)</f>
        <v>0.48581528943879815</v>
      </c>
      <c r="AH65" s="582">
        <f>IF(ISERROR(AH11/AB11-1),"NM",AH11/AB11-1)</f>
        <v>0.2674422654916575</v>
      </c>
      <c r="AI65" s="582">
        <f>IF(ISERROR(AI11/AC11-1),"NM",AI11/AC11-1)</f>
        <v>8.9993917274939106E-2</v>
      </c>
      <c r="AJ65" s="582">
        <f>IF(ISERROR(AJ11/AD11-1),"NM",AJ11/AD11-1)</f>
        <v>0.11773615232443135</v>
      </c>
      <c r="AK65" s="583">
        <f>IF(ISERROR(AK11/AE11-1),"NM",AK11/AE11-1)</f>
        <v>0.21823609645623687</v>
      </c>
      <c r="AL65" s="109"/>
      <c r="AM65" s="582">
        <f>IF(ISERROR(AM11/AG11-1),"NM",AM11/AG11-1)</f>
        <v>0.21136688079942889</v>
      </c>
      <c r="AN65" s="582">
        <f>IF(ISERROR(AN11/AH11-1),"NM",AN11/AH11-1)</f>
        <v>0.10305878473081043</v>
      </c>
      <c r="AO65" s="582">
        <f>IF(ISERROR(AO11/AI11-1),"NM",AO11/AI11-1)</f>
        <v>9.9807472306704836E-2</v>
      </c>
      <c r="AP65" s="582">
        <f>IF(ISERROR(AP11/AJ11-1),"NM",AP11/AJ11-1)</f>
        <v>0.15638394955891699</v>
      </c>
      <c r="AQ65" s="583">
        <f>IF(ISERROR(AQ11/AK11-1),"NM",AQ11/AK11-1)</f>
        <v>0.14146087274929409</v>
      </c>
      <c r="AR65" s="109"/>
      <c r="AS65" s="582">
        <f>IF(ISERROR(AS11/AM11-1),"NM",AS11/AM11-1)</f>
        <v>6.5404728585107152E-2</v>
      </c>
      <c r="AT65" s="582">
        <f>IF(ISERROR(AT11/AN11-1),"NM",AT11/AN11-1)</f>
        <v>0.17235966813663195</v>
      </c>
      <c r="AU65" s="582">
        <f>IF(ISERROR(AU11/AO11-1),"NM",AU11/AO11-1)</f>
        <v>0.13715242541100081</v>
      </c>
      <c r="AV65" s="582">
        <f>IF(ISERROR(AV11/AP11-1),"NM",AV11/AP11-1)</f>
        <v>0.14640329060646651</v>
      </c>
      <c r="AW65" s="583">
        <f>IF(ISERROR(AW11/AQ11-1),"NM",AW11/AQ11-1)</f>
        <v>0.13022825416409622</v>
      </c>
      <c r="AX65" s="109"/>
      <c r="AY65" s="582">
        <f>IF(ISERROR(AY11/AS11-1),"NM",AY11/AS11-1)</f>
        <v>8.2981910358336242E-2</v>
      </c>
      <c r="AZ65" s="582">
        <f>IF(ISERROR(AZ11/AT11-1),"NM",AZ11/AT11-1)</f>
        <v>8.0735309743916739E-2</v>
      </c>
      <c r="BA65" s="582">
        <f>IF(ISERROR(BA11/AU11-1),"NM",BA11/AU11-1)</f>
        <v>0.11686225514256399</v>
      </c>
      <c r="BB65" s="582">
        <f>IF(ISERROR(BB11/AV11-1),"NM",BB11/AV11-1)</f>
        <v>0.19875672743960937</v>
      </c>
      <c r="BC65" s="583">
        <f>IF(ISERROR(BC11/AW11-1),"NM",BC11/AW11-1)</f>
        <v>0.12098684569619578</v>
      </c>
      <c r="BD65" s="109"/>
      <c r="BE65" s="582">
        <f>IF(ISERROR(BE11/AY11-1),"NM",BE11/AY11-1)</f>
        <v>0.23612647884926385</v>
      </c>
      <c r="BF65" s="582">
        <f>IF(ISERROR(BF11/AZ11-1),"NM",BF11/AZ11-1)</f>
        <v>0.2613757029928816</v>
      </c>
      <c r="BG65" s="582">
        <f>IF(ISERROR(BG11/BA11-1),"NM",BG11/BA11-1)</f>
        <v>0.38607670795045945</v>
      </c>
      <c r="BH65" s="582">
        <f>IF(ISERROR(BH11/BB11-1),"NM",BH11/BB11-1)</f>
        <v>0.26325131382034583</v>
      </c>
      <c r="BI65" s="583">
        <f>IF(ISERROR(BI11/BC11-1),"NM",BI11/BC11-1)</f>
        <v>0.2865183857899658</v>
      </c>
      <c r="BJ65" s="109"/>
      <c r="BK65" s="582">
        <f>IF(ISERROR(BK11/BE11-1),"NM",BK11/BE11-1)</f>
        <v>0.28614463016198144</v>
      </c>
      <c r="BL65" s="582">
        <f>IF(ISERROR(BL11/BF11-1),"NM",BL11/BF11-1)</f>
        <v>0.33391014248745043</v>
      </c>
      <c r="BM65" s="582">
        <f>IF(ISERROR(BM11/BG11-1),"NM",BM11/BG11-1)</f>
        <v>0.33712366869874755</v>
      </c>
      <c r="BN65" s="582">
        <f>IF(ISERROR(BN11/BH11-1),"NM",BN11/BH11-1)</f>
        <v>0.42444279141526864</v>
      </c>
      <c r="BO65" s="583">
        <f>IF(ISERROR(BO11/BI11-1),"NM",BO11/BI11-1)</f>
        <v>0.34912572855953372</v>
      </c>
      <c r="BP65" s="109"/>
      <c r="BQ65" s="582">
        <f>IF(ISERROR(BQ11/BK11-1),"NM",BQ11/BK11-1)</f>
        <v>0.46576369184645872</v>
      </c>
      <c r="BR65" s="582">
        <f>IF(ISERROR(BR11/BL11-1),"NM",BR11/BL11-1)</f>
        <v>0.34904580817808983</v>
      </c>
      <c r="BS65" s="582">
        <f>IF(ISERROR(BS11/BM11-1),"NM",BS11/BM11-1)</f>
        <v>0.25810697395894411</v>
      </c>
      <c r="BT65" s="582">
        <f>IF(ISERROR(BT11/BN11-1),"NM",BT11/BN11-1)</f>
        <v>0.26924193134663099</v>
      </c>
      <c r="BU65" s="583">
        <f>IF(ISERROR(BU11/BO11-1),"NM",BU11/BO11-1)</f>
        <v>0.32669102429551455</v>
      </c>
      <c r="BV65" s="109"/>
      <c r="BW65" s="582">
        <f>IF(ISERROR(BW11/BQ11-1),"NM",BW11/BQ11-1)</f>
        <v>0.14539601114042244</v>
      </c>
      <c r="BX65" s="582">
        <f>IF(ISERROR(BX11/BR11-1),"NM",BX11/BR11-1)</f>
        <v>0.16616299388778266</v>
      </c>
      <c r="BY65" s="582">
        <f>IF(ISERROR(BY11/BS11-1),"NM",BY11/BS11-1)</f>
        <v>0.15427718669203072</v>
      </c>
      <c r="BZ65" s="582">
        <f>IF(ISERROR(BZ11/BT11-1),"NM",BZ11/BT11-1)</f>
        <v>0.17756196920457623</v>
      </c>
      <c r="CA65" s="583">
        <f>IF(ISERROR(CA11/BU11-1),"NM",CA11/BU11-1)</f>
        <v>0.16158375543809744</v>
      </c>
      <c r="CB65" s="109"/>
      <c r="CC65" s="582">
        <f>IF(ISERROR(CC11/BW11-1),"NM",CC11/BW11-1)</f>
        <v>0.11971671524376926</v>
      </c>
      <c r="CD65" s="582">
        <f>IF(ISERROR(CD11/BX11-1),"NM",CD11/BX11-1)</f>
        <v>0.11213534919924695</v>
      </c>
      <c r="CE65" s="582">
        <f>IF(ISERROR(CE11/BY11-1),"NM",CE11/BY11-1)</f>
        <v>0.10318445305363144</v>
      </c>
      <c r="CF65" s="582">
        <f>IF(ISERROR(CF11/BZ11-1),"NM",CF11/BZ11-1)</f>
        <v>0.10793083651196533</v>
      </c>
      <c r="CG65" s="583">
        <f>IF(ISERROR(CG11/CA11-1),"NM",CG11/CA11-1)</f>
        <v>0.11048826235578635</v>
      </c>
      <c r="CH65" s="226"/>
      <c r="CI65" s="51"/>
      <c r="CP65" s="42"/>
      <c r="CQ65" s="42"/>
      <c r="CR65" s="42"/>
      <c r="CS65" s="42"/>
    </row>
    <row r="66" spans="1:97" x14ac:dyDescent="0.2">
      <c r="A66" s="42"/>
      <c r="B66" s="578" t="str">
        <f>+B14</f>
        <v>Gross Profit</v>
      </c>
      <c r="C66" s="42"/>
      <c r="D66" s="31"/>
      <c r="E66" s="31"/>
      <c r="F66" s="31"/>
      <c r="G66" s="343"/>
      <c r="H66" s="175"/>
      <c r="I66" s="582">
        <f>IF(ISERROR(I14/C14-1),"NM",I14/C14-1)</f>
        <v>0.19328603564630553</v>
      </c>
      <c r="J66" s="582">
        <f>IF(ISERROR(J14/D14-1),"NM",J14/D14-1)</f>
        <v>5.8609553552416926E-2</v>
      </c>
      <c r="K66" s="582">
        <f>IF(ISERROR(K14/E14-1),"NM",K14/E14-1)</f>
        <v>5.7915564808042497E-2</v>
      </c>
      <c r="L66" s="582">
        <f>IF(ISERROR(L14/F14-1),"NM",L14/F14-1)</f>
        <v>9.4025098333021528E-3</v>
      </c>
      <c r="M66" s="583">
        <f>IF(ISERROR(M14/G14-1),"NM",M14/G14-1)</f>
        <v>7.5629368791717111E-2</v>
      </c>
      <c r="N66" s="175"/>
      <c r="O66" s="582">
        <f>IF(ISERROR(O14/I14-1),"NM",O14/I14-1)</f>
        <v>-4.4609193735498764E-2</v>
      </c>
      <c r="P66" s="582">
        <f>IF(ISERROR(P14/J14-1),"NM",P14/J14-1)</f>
        <v>-2.8176804840845393E-2</v>
      </c>
      <c r="Q66" s="582">
        <f>IF(ISERROR(Q14/K14-1),"NM",Q14/K14-1)</f>
        <v>7.9777332600563744E-2</v>
      </c>
      <c r="R66" s="582">
        <f>IF(ISERROR(R14/L14-1),"NM",R14/L14-1)</f>
        <v>0.26298894084465152</v>
      </c>
      <c r="S66" s="583">
        <f>IF(ISERROR(S14/M14-1),"NM",S14/M14-1)</f>
        <v>6.4546076419427223E-2</v>
      </c>
      <c r="T66" s="175"/>
      <c r="U66" s="582">
        <f>IF(ISERROR(U14/O14-1),"NM",U14/O14-1)</f>
        <v>0.3382852372550138</v>
      </c>
      <c r="V66" s="582">
        <f>IF(ISERROR(V14/P14-1),"NM",V14/P14-1)</f>
        <v>0.25426886060229714</v>
      </c>
      <c r="W66" s="582">
        <f>IF(ISERROR(W14/Q14-1),"NM",W14/Q14-1)</f>
        <v>0.23028551726402546</v>
      </c>
      <c r="X66" s="582">
        <f>IF(ISERROR(X14/R14-1),"NM",X14/R14-1)</f>
        <v>5.4227576581209247E-2</v>
      </c>
      <c r="Y66" s="583">
        <f>IF(ISERROR(Y14/S14-1),"NM",Y14/S14-1)</f>
        <v>0.20983739260693413</v>
      </c>
      <c r="Z66" s="175"/>
      <c r="AA66" s="582">
        <f>IF(ISERROR(AA14/U14-1),"NM",AA14/U14-1)</f>
        <v>0.16571444773664878</v>
      </c>
      <c r="AB66" s="582">
        <f>IF(ISERROR(AB14/V14-1),"NM",AB14/V14-1)</f>
        <v>0.25655940594059401</v>
      </c>
      <c r="AC66" s="582">
        <f>IF(ISERROR(AC14/W14-1),"NM",AC14/W14-1)</f>
        <v>0.24129555736457897</v>
      </c>
      <c r="AD66" s="582">
        <f>IF(ISERROR(AD14/X14-1),"NM",AD14/X14-1)</f>
        <v>0.34557388929148836</v>
      </c>
      <c r="AE66" s="583">
        <f>IF(ISERROR(AE14/Y14-1),"NM",AE14/Y14-1)</f>
        <v>0.25254357707987007</v>
      </c>
      <c r="AF66" s="175"/>
      <c r="AG66" s="582">
        <f>IF(ISERROR(AG14/AA14-1),"NM",AG14/AA14-1)</f>
        <v>0.23385547150536334</v>
      </c>
      <c r="AH66" s="582">
        <f>IF(ISERROR(AH14/AB14-1),"NM",AH14/AB14-1)</f>
        <v>0.1954758856167309</v>
      </c>
      <c r="AI66" s="582">
        <f>IF(ISERROR(AI14/AC14-1),"NM",AI14/AC14-1)</f>
        <v>8.2170425957382776E-2</v>
      </c>
      <c r="AJ66" s="582">
        <f>IF(ISERROR(AJ14/AD14-1),"NM",AJ14/AD14-1)</f>
        <v>0.10487504272264969</v>
      </c>
      <c r="AK66" s="583">
        <f>IF(ISERROR(AK14/AE14-1),"NM",AK14/AE14-1)</f>
        <v>0.15105873282484827</v>
      </c>
      <c r="AL66" s="175"/>
      <c r="AM66" s="582">
        <f>IF(ISERROR(AM14/AG14-1),"NM",AM14/AG14-1)</f>
        <v>0.11230594845005171</v>
      </c>
      <c r="AN66" s="582">
        <f>IF(ISERROR(AN14/AH14-1),"NM",AN14/AH14-1)</f>
        <v>0.13229707338954033</v>
      </c>
      <c r="AO66" s="582">
        <f>IF(ISERROR(AO14/AI14-1),"NM",AO14/AI14-1)</f>
        <v>0.24273522954190963</v>
      </c>
      <c r="AP66" s="582">
        <f>IF(ISERROR(AP14/AJ14-1),"NM",AP14/AJ14-1)</f>
        <v>0.27931457925177394</v>
      </c>
      <c r="AQ66" s="583">
        <f>IF(ISERROR(AQ14/AK14-1),"NM",AQ14/AK14-1)</f>
        <v>0.19155562997870934</v>
      </c>
      <c r="AR66" s="175"/>
      <c r="AS66" s="582">
        <f>IF(ISERROR(AS14/AM14-1),"NM",AS14/AM14-1)</f>
        <v>0.21623585499206865</v>
      </c>
      <c r="AT66" s="582">
        <f>IF(ISERROR(AT14/AN14-1),"NM",AT14/AN14-1)</f>
        <v>0.17612437444923223</v>
      </c>
      <c r="AU66" s="582">
        <f>IF(ISERROR(AU14/AO14-1),"NM",AU14/AO14-1)</f>
        <v>0.15959709009513157</v>
      </c>
      <c r="AV66" s="582">
        <f>IF(ISERROR(AV14/AP14-1),"NM",AV14/AP14-1)</f>
        <v>0.10394501597350425</v>
      </c>
      <c r="AW66" s="583">
        <f>IF(ISERROR(AW14/AQ14-1),"NM",AW14/AQ14-1)</f>
        <v>0.16128494738067789</v>
      </c>
      <c r="AX66" s="175"/>
      <c r="AY66" s="582">
        <f>IF(ISERROR(AY14/AS14-1),"NM",AY14/AS14-1)</f>
        <v>0.10082986644906078</v>
      </c>
      <c r="AZ66" s="582">
        <f>IF(ISERROR(AZ14/AT14-1),"NM",AZ14/AT14-1)</f>
        <v>9.0447908933432464E-2</v>
      </c>
      <c r="BA66" s="582">
        <f>IF(ISERROR(BA14/AU14-1),"NM",BA14/AU14-1)</f>
        <v>8.6326471520950854E-2</v>
      </c>
      <c r="BB66" s="582">
        <f>IF(ISERROR(BB14/AV14-1),"NM",BB14/AV14-1)</f>
        <v>0.1470045532383748</v>
      </c>
      <c r="BC66" s="583">
        <f>IF(ISERROR(BC14/AW14-1),"NM",BC14/AW14-1)</f>
        <v>0.10660860274910422</v>
      </c>
      <c r="BD66" s="175"/>
      <c r="BE66" s="582">
        <f>IF(ISERROR(BE14/AY14-1),"NM",BE14/AY14-1)</f>
        <v>0.19549275266397514</v>
      </c>
      <c r="BF66" s="582">
        <f>IF(ISERROR(BF14/AZ14-1),"NM",BF14/AZ14-1)</f>
        <v>0.29364448983194014</v>
      </c>
      <c r="BG66" s="582">
        <f>IF(ISERROR(BG14/BA14-1),"NM",BG14/BA14-1)</f>
        <v>0.32762603442148563</v>
      </c>
      <c r="BH66" s="582">
        <f>IF(ISERROR(BH14/BB14-1),"NM",BH14/BB14-1)</f>
        <v>0.27659857647126884</v>
      </c>
      <c r="BI66" s="583">
        <f>IF(ISERROR(BI14/BC14-1),"NM",BI14/BC14-1)</f>
        <v>0.27424036493727622</v>
      </c>
      <c r="BJ66" s="175"/>
      <c r="BK66" s="582">
        <f>IF(ISERROR(BK14/BE14-1),"NM",BK14/BE14-1)</f>
        <v>0.30448382578462785</v>
      </c>
      <c r="BL66" s="582">
        <f>IF(ISERROR(BL14/BF14-1),"NM",BL14/BF14-1)</f>
        <v>0.32015534851083749</v>
      </c>
      <c r="BM66" s="582">
        <f>IF(ISERROR(BM14/BG14-1),"NM",BM14/BG14-1)</f>
        <v>0.39811282874924725</v>
      </c>
      <c r="BN66" s="582">
        <f>IF(ISERROR(BN14/BH14-1),"NM",BN14/BH14-1)</f>
        <v>0.44108807890883872</v>
      </c>
      <c r="BO66" s="583">
        <f>IF(ISERROR(BO14/BI14-1),"NM",BO14/BI14-1)</f>
        <v>0.36938824550606042</v>
      </c>
      <c r="BP66" s="175"/>
      <c r="BQ66" s="582">
        <f>IF(ISERROR(BQ14/BK14-1),"NM",BQ14/BK14-1)</f>
        <v>0.38952997347480078</v>
      </c>
      <c r="BR66" s="582">
        <f>IF(ISERROR(BR14/BL14-1),"NM",BR14/BL14-1)</f>
        <v>0.35086300947684679</v>
      </c>
      <c r="BS66" s="582">
        <f>IF(ISERROR(BS14/BM14-1),"NM",BS14/BM14-1)</f>
        <v>0.28385656518697489</v>
      </c>
      <c r="BT66" s="582">
        <f>IF(ISERROR(BT14/BN14-1),"NM",BT14/BN14-1)</f>
        <v>0.28619339255172282</v>
      </c>
      <c r="BU66" s="583">
        <f>IF(ISERROR(BU14/BO14-1),"NM",BU14/BO14-1)</f>
        <v>0.32306648189816745</v>
      </c>
      <c r="BV66" s="175"/>
      <c r="BW66" s="582">
        <f>IF(ISERROR(BW14/BQ14-1),"NM",BW14/BQ14-1)</f>
        <v>0.23504013664878753</v>
      </c>
      <c r="BX66" s="582">
        <f>IF(ISERROR(BX14/BR14-1),"NM",BX14/BR14-1)</f>
        <v>0.27359853830341962</v>
      </c>
      <c r="BY66" s="582">
        <f>IF(ISERROR(BY14/BS14-1),"NM",BY14/BS14-1)</f>
        <v>0.26163808002491407</v>
      </c>
      <c r="BZ66" s="582">
        <f>IF(ISERROR(BZ14/BT14-1),"NM",BZ14/BT14-1)</f>
        <v>0.25560795733018282</v>
      </c>
      <c r="CA66" s="583">
        <f>IF(ISERROR(CA14/BU14-1),"NM",CA14/BU14-1)</f>
        <v>0.2570387122922857</v>
      </c>
      <c r="CB66" s="175"/>
      <c r="CC66" s="582">
        <f>IF(ISERROR(CC14/BW14-1),"NM",CC14/BW14-1)</f>
        <v>0.19544395119259295</v>
      </c>
      <c r="CD66" s="582">
        <f>IF(ISERROR(CD14/BX14-1),"NM",CD14/BX14-1)</f>
        <v>0.18016688273612691</v>
      </c>
      <c r="CE66" s="582">
        <f>IF(ISERROR(CE14/BY14-1),"NM",CE14/BY14-1)</f>
        <v>0.17877168688695266</v>
      </c>
      <c r="CF66" s="582">
        <f>IF(ISERROR(CF14/BZ14-1),"NM",CF14/BZ14-1)</f>
        <v>0.16950240495112068</v>
      </c>
      <c r="CG66" s="583">
        <f>IF(ISERROR(CG14/CA14-1),"NM",CG14/CA14-1)</f>
        <v>0.18018900978900887</v>
      </c>
      <c r="CH66" s="586"/>
      <c r="CI66" s="586"/>
      <c r="CP66" s="42"/>
      <c r="CQ66" s="42"/>
      <c r="CR66" s="42"/>
      <c r="CS66" s="42"/>
    </row>
    <row r="67" spans="1:97" ht="12.75" hidden="1" customHeight="1" outlineLevel="1" x14ac:dyDescent="0.2">
      <c r="A67" s="42"/>
      <c r="B67" s="264" t="s">
        <v>298</v>
      </c>
      <c r="C67" s="42"/>
      <c r="D67" s="31"/>
      <c r="E67" s="31"/>
      <c r="F67" s="31"/>
      <c r="G67" s="343"/>
      <c r="H67" s="176"/>
      <c r="I67" s="582">
        <f t="shared" ref="I67:M70" si="64">IF(ISERROR(I18/C18-1),"NM",I18/C18-1)</f>
        <v>0.21205183585313181</v>
      </c>
      <c r="J67" s="582">
        <f t="shared" si="64"/>
        <v>0.33305958198168595</v>
      </c>
      <c r="K67" s="582">
        <f t="shared" si="64"/>
        <v>0.16461652769751511</v>
      </c>
      <c r="L67" s="582">
        <f t="shared" si="64"/>
        <v>-6.6787412270769009E-3</v>
      </c>
      <c r="M67" s="583">
        <f t="shared" si="64"/>
        <v>0.17134102269141116</v>
      </c>
      <c r="N67" s="176"/>
      <c r="O67" s="582">
        <f t="shared" ref="O67:S70" si="65">IF(ISERROR(O18/I18-1),"NM",O18/I18-1)</f>
        <v>-7.306033714672755E-3</v>
      </c>
      <c r="P67" s="582">
        <f t="shared" si="65"/>
        <v>-0.10337604731394767</v>
      </c>
      <c r="Q67" s="582">
        <f t="shared" si="65"/>
        <v>-1.8678670163748357E-2</v>
      </c>
      <c r="R67" s="582">
        <f t="shared" si="65"/>
        <v>5.9563152896486171E-2</v>
      </c>
      <c r="S67" s="583">
        <f t="shared" si="65"/>
        <v>-2.1901235855451784E-2</v>
      </c>
      <c r="T67" s="176"/>
      <c r="U67" s="582">
        <f t="shared" ref="U67:Y70" si="66">IF(ISERROR(U18/O18-1),"NM",U18/O18-1)</f>
        <v>3.3029367415811084E-3</v>
      </c>
      <c r="V67" s="582">
        <f t="shared" si="66"/>
        <v>-5.8059639961522969E-3</v>
      </c>
      <c r="W67" s="582">
        <f t="shared" si="66"/>
        <v>-2.8244302380178388E-2</v>
      </c>
      <c r="X67" s="582">
        <f t="shared" si="66"/>
        <v>8.3533503029433742E-2</v>
      </c>
      <c r="Y67" s="583">
        <f t="shared" si="66"/>
        <v>1.3070675836576617E-2</v>
      </c>
      <c r="Z67" s="176"/>
      <c r="AA67" s="582">
        <f t="shared" ref="AA67:AE70" si="67">IF(ISERROR(AA18/U18-1),"NM",AA18/U18-1)</f>
        <v>0.17444356974164443</v>
      </c>
      <c r="AB67" s="582">
        <f t="shared" si="67"/>
        <v>0.33335637029614018</v>
      </c>
      <c r="AC67" s="582">
        <f t="shared" si="67"/>
        <v>0.2880505482252369</v>
      </c>
      <c r="AD67" s="582">
        <f t="shared" si="67"/>
        <v>0.19485160308374416</v>
      </c>
      <c r="AE67" s="583">
        <f t="shared" si="67"/>
        <v>0.246998149333848</v>
      </c>
      <c r="AF67" s="176"/>
      <c r="AG67" s="582">
        <f t="shared" ref="AG67:AK70" si="68">IF(ISERROR(AG18/AA18-1),"NM",AG18/AA18-1)</f>
        <v>0.17086621370464039</v>
      </c>
      <c r="AH67" s="582">
        <f t="shared" si="68"/>
        <v>8.3449955942571652E-3</v>
      </c>
      <c r="AI67" s="582">
        <f t="shared" si="68"/>
        <v>4.71216274707833E-2</v>
      </c>
      <c r="AJ67" s="582">
        <f t="shared" si="68"/>
        <v>4.5885024368630845E-2</v>
      </c>
      <c r="AK67" s="583">
        <f t="shared" si="68"/>
        <v>6.4850113241520901E-2</v>
      </c>
      <c r="AL67" s="176"/>
      <c r="AM67" s="582">
        <f t="shared" ref="AM67:AQ70" si="69">IF(ISERROR(AM18/AG18-1),"NM",AM18/AG18-1)</f>
        <v>0.1002368003330818</v>
      </c>
      <c r="AN67" s="582">
        <f t="shared" si="69"/>
        <v>0.22974709571296392</v>
      </c>
      <c r="AO67" s="582">
        <f t="shared" si="69"/>
        <v>0.24625220458553798</v>
      </c>
      <c r="AP67" s="582">
        <f t="shared" si="69"/>
        <v>0.18335142577245911</v>
      </c>
      <c r="AQ67" s="583">
        <f t="shared" si="69"/>
        <v>0.18925452792052511</v>
      </c>
      <c r="AR67" s="176"/>
      <c r="AS67" s="582">
        <f t="shared" ref="AS67:AW70" si="70">IF(ISERROR(AS18/AM18-1),"NM",AS18/AM18-1)</f>
        <v>0.25086918474019071</v>
      </c>
      <c r="AT67" s="582">
        <f t="shared" si="70"/>
        <v>0.17846468953121408</v>
      </c>
      <c r="AU67" s="582">
        <f t="shared" si="70"/>
        <v>0.15796921988324786</v>
      </c>
      <c r="AV67" s="582">
        <f t="shared" si="70"/>
        <v>0.24446234393878363</v>
      </c>
      <c r="AW67" s="583">
        <f t="shared" si="70"/>
        <v>0.20670273152416607</v>
      </c>
      <c r="AX67" s="176"/>
      <c r="AY67" s="582">
        <f t="shared" ref="AY67:BC70" si="71">IF(ISERROR(AY18/AS18-1),"NM",AY18/AS18-1)</f>
        <v>8.089451410916082E-2</v>
      </c>
      <c r="AZ67" s="582">
        <f t="shared" si="71"/>
        <v>0.15560076111240306</v>
      </c>
      <c r="BA67" s="582">
        <f t="shared" si="71"/>
        <v>0.25818907838385186</v>
      </c>
      <c r="BB67" s="582">
        <f t="shared" si="71"/>
        <v>0.15937270790401992</v>
      </c>
      <c r="BC67" s="583">
        <f t="shared" si="71"/>
        <v>0.16310817928913668</v>
      </c>
      <c r="BD67" s="176"/>
      <c r="BE67" s="582">
        <f t="shared" ref="BE67:BI70" si="72">IF(ISERROR(BE18/AY18-1),"NM",BE18/AY18-1)</f>
        <v>0.2710549268812088</v>
      </c>
      <c r="BF67" s="582">
        <f t="shared" si="72"/>
        <v>0.20712546583850933</v>
      </c>
      <c r="BG67" s="582">
        <f t="shared" si="72"/>
        <v>0.24527523071026347</v>
      </c>
      <c r="BH67" s="582">
        <f t="shared" si="72"/>
        <v>0.30814805888614449</v>
      </c>
      <c r="BI67" s="583">
        <f t="shared" si="72"/>
        <v>0.25731410750847572</v>
      </c>
      <c r="BJ67" s="176"/>
      <c r="BK67" s="582">
        <f t="shared" ref="BK67:BQ70" si="73">IF(ISERROR(BK18/BE18-1),"NM",BK18/BE18-1)</f>
        <v>0.34701007040370757</v>
      </c>
      <c r="BL67" s="582">
        <f t="shared" si="73"/>
        <v>0.34163188355685081</v>
      </c>
      <c r="BM67" s="582">
        <f t="shared" si="73"/>
        <v>0.33791078700634514</v>
      </c>
      <c r="BN67" s="582">
        <f t="shared" si="73"/>
        <v>0.39820216783860962</v>
      </c>
      <c r="BO67" s="583">
        <f t="shared" si="73"/>
        <v>0.35692026748027605</v>
      </c>
      <c r="BP67" s="176"/>
      <c r="BQ67" s="582">
        <f t="shared" si="73"/>
        <v>0.4277012882049438</v>
      </c>
      <c r="BR67" s="582">
        <f t="shared" ref="BR67:BU70" si="74">IF(ISERROR(BR18/BL18-1),"NM",BR18/BL18-1)</f>
        <v>0.45980132735239443</v>
      </c>
      <c r="BS67" s="582">
        <f t="shared" si="74"/>
        <v>0.30037680123542154</v>
      </c>
      <c r="BT67" s="582">
        <f t="shared" si="74"/>
        <v>0.28230537574983727</v>
      </c>
      <c r="BU67" s="583">
        <f t="shared" si="74"/>
        <v>0.36336148307517568</v>
      </c>
      <c r="BV67" s="176"/>
      <c r="BW67" s="582">
        <f t="shared" ref="BW67:CA70" si="75">IF(ISERROR(BW18/BQ18-1),"NM",BW18/BQ18-1)</f>
        <v>0.20119642181437047</v>
      </c>
      <c r="BX67" s="582">
        <f t="shared" si="75"/>
        <v>0.23613909322713811</v>
      </c>
      <c r="BY67" s="582">
        <f t="shared" si="75"/>
        <v>0.22339122866141592</v>
      </c>
      <c r="BZ67" s="582">
        <f t="shared" si="75"/>
        <v>0.22339435503922567</v>
      </c>
      <c r="CA67" s="583">
        <f t="shared" si="75"/>
        <v>0.22145651847981451</v>
      </c>
      <c r="CB67" s="176"/>
      <c r="CC67" s="582">
        <f t="shared" ref="CC67:CG70" si="76">IF(ISERROR(CC18/BW18-1),"NM",CC18/BW18-1)</f>
        <v>0.16636431507297678</v>
      </c>
      <c r="CD67" s="582">
        <f t="shared" si="76"/>
        <v>0.1538974474147663</v>
      </c>
      <c r="CE67" s="582">
        <f t="shared" si="76"/>
        <v>0.14988832138070651</v>
      </c>
      <c r="CF67" s="582">
        <f t="shared" si="76"/>
        <v>0.14274453451545988</v>
      </c>
      <c r="CG67" s="583">
        <f t="shared" si="76"/>
        <v>0.1529626080657438</v>
      </c>
      <c r="CH67" s="586"/>
      <c r="CI67" s="586"/>
      <c r="CP67" s="42"/>
      <c r="CQ67" s="42"/>
      <c r="CR67" s="42"/>
      <c r="CS67" s="42"/>
    </row>
    <row r="68" spans="1:97" ht="12.75" hidden="1" customHeight="1" outlineLevel="1" x14ac:dyDescent="0.2">
      <c r="A68" s="42"/>
      <c r="B68" s="264" t="s">
        <v>127</v>
      </c>
      <c r="C68" s="42"/>
      <c r="D68" s="31"/>
      <c r="E68" s="31"/>
      <c r="F68" s="31"/>
      <c r="G68" s="343"/>
      <c r="H68" s="176"/>
      <c r="I68" s="582">
        <f t="shared" si="64"/>
        <v>0.46193088843969576</v>
      </c>
      <c r="J68" s="582">
        <f t="shared" si="64"/>
        <v>0.37390572390572374</v>
      </c>
      <c r="K68" s="582">
        <f t="shared" si="64"/>
        <v>3.1973618180514807E-2</v>
      </c>
      <c r="L68" s="582">
        <f t="shared" si="64"/>
        <v>6.4391458142277314E-2</v>
      </c>
      <c r="M68" s="583">
        <f t="shared" si="64"/>
        <v>0.20724885401289717</v>
      </c>
      <c r="N68" s="176"/>
      <c r="O68" s="582">
        <f t="shared" si="65"/>
        <v>-0.11324730050039511</v>
      </c>
      <c r="P68" s="582">
        <f t="shared" si="65"/>
        <v>1.3294939345668499E-2</v>
      </c>
      <c r="Q68" s="582">
        <f t="shared" si="65"/>
        <v>0.1270580062521709</v>
      </c>
      <c r="R68" s="582">
        <f t="shared" si="65"/>
        <v>-4.6895193550372305E-2</v>
      </c>
      <c r="S68" s="583">
        <f t="shared" si="65"/>
        <v>-7.0148341216976773E-3</v>
      </c>
      <c r="T68" s="176"/>
      <c r="U68" s="582">
        <f t="shared" si="66"/>
        <v>0.11011286011286026</v>
      </c>
      <c r="V68" s="582">
        <f t="shared" si="66"/>
        <v>-9.2750468589394841E-2</v>
      </c>
      <c r="W68" s="582">
        <f t="shared" si="66"/>
        <v>-1.2943786982249073E-3</v>
      </c>
      <c r="X68" s="582">
        <f t="shared" si="66"/>
        <v>0.20300897526958073</v>
      </c>
      <c r="Y68" s="583">
        <f t="shared" si="66"/>
        <v>4.9774782073301216E-2</v>
      </c>
      <c r="Z68" s="176"/>
      <c r="AA68" s="582">
        <f t="shared" si="67"/>
        <v>0.17122600494950158</v>
      </c>
      <c r="AB68" s="582">
        <f t="shared" si="67"/>
        <v>0.34915028323892017</v>
      </c>
      <c r="AC68" s="582">
        <f t="shared" si="67"/>
        <v>0.24921310868357738</v>
      </c>
      <c r="AD68" s="582">
        <f t="shared" si="67"/>
        <v>0.13767376952391186</v>
      </c>
      <c r="AE68" s="583">
        <f t="shared" si="67"/>
        <v>0.22228739002932518</v>
      </c>
      <c r="AF68" s="176"/>
      <c r="AG68" s="582">
        <f t="shared" si="68"/>
        <v>0.27902461310033688</v>
      </c>
      <c r="AH68" s="582">
        <f t="shared" si="68"/>
        <v>9.3311598498320381E-2</v>
      </c>
      <c r="AI68" s="582">
        <f t="shared" si="68"/>
        <v>0.17938837013981512</v>
      </c>
      <c r="AJ68" s="582">
        <f t="shared" si="68"/>
        <v>0.28165691639932056</v>
      </c>
      <c r="AK68" s="583">
        <f t="shared" si="68"/>
        <v>0.20678856450146488</v>
      </c>
      <c r="AL68" s="176"/>
      <c r="AM68" s="582">
        <f t="shared" si="69"/>
        <v>0.35500290217439834</v>
      </c>
      <c r="AN68" s="582">
        <f t="shared" si="69"/>
        <v>0.2211177879184929</v>
      </c>
      <c r="AO68" s="582">
        <f t="shared" si="69"/>
        <v>0.15143264075067009</v>
      </c>
      <c r="AP68" s="582">
        <f t="shared" si="69"/>
        <v>2.6614150040491724E-2</v>
      </c>
      <c r="AQ68" s="583">
        <f t="shared" si="69"/>
        <v>0.17979867738155031</v>
      </c>
      <c r="AR68" s="176"/>
      <c r="AS68" s="582">
        <f t="shared" si="70"/>
        <v>-3.851983656254121E-2</v>
      </c>
      <c r="AT68" s="582">
        <f t="shared" si="70"/>
        <v>1.5540015540014274E-3</v>
      </c>
      <c r="AU68" s="582">
        <f t="shared" si="70"/>
        <v>2.9031905991923512E-2</v>
      </c>
      <c r="AV68" s="582">
        <f t="shared" si="70"/>
        <v>8.5481731148481455E-2</v>
      </c>
      <c r="AW68" s="583">
        <f t="shared" si="70"/>
        <v>1.8226002430133725E-2</v>
      </c>
      <c r="AX68" s="176"/>
      <c r="AY68" s="582">
        <f t="shared" si="71"/>
        <v>0.23458963425047807</v>
      </c>
      <c r="AZ68" s="582">
        <f t="shared" si="71"/>
        <v>0.31018122146795379</v>
      </c>
      <c r="BA68" s="582">
        <f t="shared" si="71"/>
        <v>0.26788595874825671</v>
      </c>
      <c r="BB68" s="582">
        <f t="shared" si="71"/>
        <v>0.15937270790402014</v>
      </c>
      <c r="BC68" s="583">
        <f t="shared" si="71"/>
        <v>0.24078210852467263</v>
      </c>
      <c r="BD68" s="176"/>
      <c r="BE68" s="582">
        <f t="shared" si="72"/>
        <v>9.783284860578445E-2</v>
      </c>
      <c r="BF68" s="582">
        <f t="shared" si="72"/>
        <v>0.2071254658385091</v>
      </c>
      <c r="BG68" s="582">
        <f t="shared" si="72"/>
        <v>0.24527523071026303</v>
      </c>
      <c r="BH68" s="582">
        <f t="shared" si="72"/>
        <v>0.30814805888614405</v>
      </c>
      <c r="BI68" s="583">
        <f t="shared" si="72"/>
        <v>0.21398141880660426</v>
      </c>
      <c r="BJ68" s="176"/>
      <c r="BK68" s="582">
        <f t="shared" si="73"/>
        <v>0.34701007040370735</v>
      </c>
      <c r="BL68" s="582">
        <f t="shared" si="73"/>
        <v>0.34163188355685081</v>
      </c>
      <c r="BM68" s="582">
        <f t="shared" si="73"/>
        <v>0.33791078700634558</v>
      </c>
      <c r="BN68" s="582">
        <f t="shared" si="73"/>
        <v>0.39820216783860962</v>
      </c>
      <c r="BO68" s="583">
        <f t="shared" si="73"/>
        <v>0.3569202674802765</v>
      </c>
      <c r="BP68" s="176"/>
      <c r="BQ68" s="582">
        <f t="shared" si="73"/>
        <v>0.1241806086039754</v>
      </c>
      <c r="BR68" s="582">
        <f t="shared" si="74"/>
        <v>0.17340338088267893</v>
      </c>
      <c r="BS68" s="582">
        <f t="shared" si="74"/>
        <v>0.25294019547741575</v>
      </c>
      <c r="BT68" s="582">
        <f t="shared" si="74"/>
        <v>0.25679059267428261</v>
      </c>
      <c r="BU68" s="583">
        <f t="shared" si="74"/>
        <v>0.20529349651585815</v>
      </c>
      <c r="BV68" s="176"/>
      <c r="BW68" s="582">
        <f t="shared" si="75"/>
        <v>0.18603080884388046</v>
      </c>
      <c r="BX68" s="582">
        <f t="shared" si="75"/>
        <v>0.22109819394046282</v>
      </c>
      <c r="BY68" s="582">
        <f t="shared" si="75"/>
        <v>0.21179449493747171</v>
      </c>
      <c r="BZ68" s="582">
        <f t="shared" si="75"/>
        <v>0.21180637644979883</v>
      </c>
      <c r="CA68" s="583">
        <f t="shared" si="75"/>
        <v>0.20855954337606564</v>
      </c>
      <c r="CB68" s="176"/>
      <c r="CC68" s="582">
        <f t="shared" si="76"/>
        <v>0.15116502879445259</v>
      </c>
      <c r="CD68" s="582">
        <f t="shared" si="76"/>
        <v>0.13941270564146269</v>
      </c>
      <c r="CE68" s="582">
        <f t="shared" si="76"/>
        <v>0.13865153742104974</v>
      </c>
      <c r="CF68" s="582">
        <f t="shared" si="76"/>
        <v>0.13157767449780766</v>
      </c>
      <c r="CG68" s="583">
        <f t="shared" si="76"/>
        <v>0.1394117527251848</v>
      </c>
      <c r="CH68" s="586"/>
      <c r="CI68" s="586"/>
      <c r="CP68" s="42"/>
      <c r="CQ68" s="42"/>
      <c r="CR68" s="42"/>
      <c r="CS68" s="42"/>
    </row>
    <row r="69" spans="1:97" ht="12.75" hidden="1" customHeight="1" outlineLevel="1" x14ac:dyDescent="0.2">
      <c r="A69" s="42"/>
      <c r="B69" s="264" t="s">
        <v>128</v>
      </c>
      <c r="C69" s="42"/>
      <c r="D69" s="31"/>
      <c r="E69" s="31"/>
      <c r="F69" s="31"/>
      <c r="G69" s="343"/>
      <c r="H69" s="176"/>
      <c r="I69" s="582">
        <f t="shared" si="64"/>
        <v>0.28139820832601448</v>
      </c>
      <c r="J69" s="582">
        <f t="shared" si="64"/>
        <v>4.8838951310861578E-2</v>
      </c>
      <c r="K69" s="582">
        <f t="shared" si="64"/>
        <v>-0.12312935249666612</v>
      </c>
      <c r="L69" s="582">
        <f t="shared" si="64"/>
        <v>-9.9697428139183364E-2</v>
      </c>
      <c r="M69" s="583">
        <f t="shared" si="64"/>
        <v>1.7024915458467627E-2</v>
      </c>
      <c r="N69" s="176"/>
      <c r="O69" s="582">
        <f t="shared" si="65"/>
        <v>-0.28841672378341332</v>
      </c>
      <c r="P69" s="582">
        <f t="shared" si="65"/>
        <v>-0.19025853449507224</v>
      </c>
      <c r="Q69" s="582">
        <f t="shared" si="65"/>
        <v>-5.1875633660020348E-2</v>
      </c>
      <c r="R69" s="582">
        <f t="shared" si="65"/>
        <v>-2.8566627457570437E-2</v>
      </c>
      <c r="S69" s="583">
        <f t="shared" si="65"/>
        <v>-0.14955092681062487</v>
      </c>
      <c r="T69" s="176"/>
      <c r="U69" s="582">
        <f t="shared" si="66"/>
        <v>0.1781930263918321</v>
      </c>
      <c r="V69" s="582">
        <f t="shared" si="66"/>
        <v>0.12824131240077619</v>
      </c>
      <c r="W69" s="582">
        <f t="shared" si="66"/>
        <v>0.17483514525040089</v>
      </c>
      <c r="X69" s="582">
        <f t="shared" si="66"/>
        <v>0.1923542639681719</v>
      </c>
      <c r="Y69" s="583">
        <f t="shared" si="66"/>
        <v>0.16829947869854411</v>
      </c>
      <c r="Z69" s="176"/>
      <c r="AA69" s="582">
        <f t="shared" si="67"/>
        <v>0.53531720078482681</v>
      </c>
      <c r="AB69" s="582">
        <f t="shared" si="67"/>
        <v>0.44934333958724193</v>
      </c>
      <c r="AC69" s="582">
        <f t="shared" si="67"/>
        <v>0.35406553398058271</v>
      </c>
      <c r="AD69" s="582">
        <f t="shared" si="67"/>
        <v>0.38807485855215407</v>
      </c>
      <c r="AE69" s="583">
        <f t="shared" si="67"/>
        <v>0.42916490364272786</v>
      </c>
      <c r="AF69" s="176"/>
      <c r="AG69" s="582">
        <f t="shared" si="68"/>
        <v>9.9148029818956207E-2</v>
      </c>
      <c r="AH69" s="582">
        <f t="shared" si="68"/>
        <v>0.14002157497303136</v>
      </c>
      <c r="AI69" s="582">
        <f t="shared" si="68"/>
        <v>0.10598252296661426</v>
      </c>
      <c r="AJ69" s="582">
        <f t="shared" si="68"/>
        <v>0.22397575250836121</v>
      </c>
      <c r="AK69" s="583">
        <f t="shared" si="68"/>
        <v>0.14313398288205859</v>
      </c>
      <c r="AL69" s="176"/>
      <c r="AM69" s="582">
        <f t="shared" si="69"/>
        <v>9.3111132642185845E-2</v>
      </c>
      <c r="AN69" s="582">
        <f t="shared" si="69"/>
        <v>3.2929598788796532E-2</v>
      </c>
      <c r="AO69" s="582">
        <f t="shared" si="69"/>
        <v>0.10565235008103713</v>
      </c>
      <c r="AP69" s="582">
        <f t="shared" si="69"/>
        <v>-6.3273845102894688E-2</v>
      </c>
      <c r="AQ69" s="583">
        <f t="shared" si="69"/>
        <v>3.7930872103974389E-2</v>
      </c>
      <c r="AR69" s="176"/>
      <c r="AS69" s="582">
        <f t="shared" si="70"/>
        <v>0.18595993618152806</v>
      </c>
      <c r="AT69" s="582">
        <f t="shared" si="70"/>
        <v>0.21738732136313654</v>
      </c>
      <c r="AU69" s="582">
        <f t="shared" si="70"/>
        <v>0.17764544205222177</v>
      </c>
      <c r="AV69" s="582">
        <f t="shared" si="70"/>
        <v>0.21020966271649955</v>
      </c>
      <c r="AW69" s="583">
        <f t="shared" si="70"/>
        <v>0.19771794115645469</v>
      </c>
      <c r="AX69" s="176"/>
      <c r="AY69" s="582">
        <f t="shared" si="71"/>
        <v>3.7742899850523148E-2</v>
      </c>
      <c r="AZ69" s="582">
        <f t="shared" si="71"/>
        <v>0.18022424561667538</v>
      </c>
      <c r="BA69" s="582">
        <f t="shared" si="71"/>
        <v>0.38314921425237292</v>
      </c>
      <c r="BB69" s="582">
        <f t="shared" si="71"/>
        <v>4.6173546248870156E-2</v>
      </c>
      <c r="BC69" s="583">
        <f t="shared" si="71"/>
        <v>0.15981363283395522</v>
      </c>
      <c r="BD69" s="176"/>
      <c r="BE69" s="582">
        <f t="shared" si="72"/>
        <v>8.628015844436443E-2</v>
      </c>
      <c r="BF69" s="582">
        <f t="shared" si="72"/>
        <v>0.18675082887018624</v>
      </c>
      <c r="BG69" s="582">
        <f t="shared" si="72"/>
        <v>0.14826480679453291</v>
      </c>
      <c r="BH69" s="582">
        <f t="shared" si="72"/>
        <v>0.55583555331557366</v>
      </c>
      <c r="BI69" s="583">
        <f t="shared" si="72"/>
        <v>0.23650734033345855</v>
      </c>
      <c r="BJ69" s="176"/>
      <c r="BK69" s="582">
        <f t="shared" si="73"/>
        <v>0.511900815487635</v>
      </c>
      <c r="BL69" s="582">
        <f t="shared" si="73"/>
        <v>0.31005211411379152</v>
      </c>
      <c r="BM69" s="582">
        <f t="shared" si="73"/>
        <v>0.1854518736223365</v>
      </c>
      <c r="BN69" s="582">
        <f t="shared" si="73"/>
        <v>0.21106946179832464</v>
      </c>
      <c r="BO69" s="583">
        <f t="shared" si="73"/>
        <v>0.28841785525620733</v>
      </c>
      <c r="BP69" s="176"/>
      <c r="BQ69" s="582">
        <f t="shared" si="73"/>
        <v>0.29762322399579033</v>
      </c>
      <c r="BR69" s="582">
        <f t="shared" si="74"/>
        <v>0.3370801953214515</v>
      </c>
      <c r="BS69" s="582">
        <f t="shared" si="74"/>
        <v>0.37751408636074202</v>
      </c>
      <c r="BT69" s="582">
        <f t="shared" si="74"/>
        <v>0.39786225900432548</v>
      </c>
      <c r="BU69" s="583">
        <f t="shared" si="74"/>
        <v>0.35419220374212301</v>
      </c>
      <c r="BV69" s="176"/>
      <c r="BW69" s="582">
        <f t="shared" si="75"/>
        <v>0.19466649817006498</v>
      </c>
      <c r="BX69" s="582">
        <f t="shared" si="75"/>
        <v>0.22941270536845004</v>
      </c>
      <c r="BY69" s="582">
        <f t="shared" si="75"/>
        <v>0.21792656478647343</v>
      </c>
      <c r="BZ69" s="582">
        <f t="shared" si="75"/>
        <v>0.21838452458282065</v>
      </c>
      <c r="CA69" s="583">
        <f t="shared" si="75"/>
        <v>0.21567813146407344</v>
      </c>
      <c r="CB69" s="176"/>
      <c r="CC69" s="582">
        <f t="shared" si="76"/>
        <v>0.15986719915777048</v>
      </c>
      <c r="CD69" s="582">
        <f t="shared" si="76"/>
        <v>0.14746358525957781</v>
      </c>
      <c r="CE69" s="582">
        <f t="shared" si="76"/>
        <v>0.14461993434962506</v>
      </c>
      <c r="CF69" s="582">
        <f t="shared" si="76"/>
        <v>0.13794283171717914</v>
      </c>
      <c r="CG69" s="583">
        <f t="shared" si="76"/>
        <v>0.14683270936692727</v>
      </c>
      <c r="CH69" s="586"/>
      <c r="CI69" s="586"/>
      <c r="CP69" s="42"/>
      <c r="CQ69" s="42"/>
      <c r="CR69" s="42"/>
      <c r="CS69" s="42"/>
    </row>
    <row r="70" spans="1:97" collapsed="1" x14ac:dyDescent="0.2">
      <c r="A70" s="42"/>
      <c r="B70" s="578" t="str">
        <f>+B21</f>
        <v>Total Operating Expenses</v>
      </c>
      <c r="C70" s="42"/>
      <c r="D70" s="31"/>
      <c r="E70" s="31"/>
      <c r="F70" s="31"/>
      <c r="G70" s="343"/>
      <c r="H70" s="109"/>
      <c r="I70" s="582">
        <f t="shared" si="64"/>
        <v>0.28828507340946175</v>
      </c>
      <c r="J70" s="582">
        <f t="shared" si="64"/>
        <v>0.30015381746993564</v>
      </c>
      <c r="K70" s="582">
        <f t="shared" si="64"/>
        <v>8.0202119134538119E-2</v>
      </c>
      <c r="L70" s="582">
        <f t="shared" si="64"/>
        <v>3.0385712513953944E-3</v>
      </c>
      <c r="M70" s="583">
        <f t="shared" si="64"/>
        <v>0.15924921056531494</v>
      </c>
      <c r="N70" s="109"/>
      <c r="O70" s="582">
        <f t="shared" si="65"/>
        <v>-7.9715879862292671E-2</v>
      </c>
      <c r="P70" s="582">
        <f t="shared" si="65"/>
        <v>-8.0144119597755692E-2</v>
      </c>
      <c r="Q70" s="582">
        <f t="shared" si="65"/>
        <v>2.0504049292146664E-2</v>
      </c>
      <c r="R70" s="582">
        <f t="shared" si="65"/>
        <v>1.3106646058732574E-2</v>
      </c>
      <c r="S70" s="583">
        <f t="shared" si="65"/>
        <v>-3.3774049689990759E-2</v>
      </c>
      <c r="T70" s="109"/>
      <c r="U70" s="582">
        <f t="shared" si="66"/>
        <v>5.3748414421774582E-2</v>
      </c>
      <c r="V70" s="582">
        <f t="shared" si="66"/>
        <v>-1.9019409151141975E-2</v>
      </c>
      <c r="W70" s="582">
        <f t="shared" si="66"/>
        <v>3.5943621016922833E-3</v>
      </c>
      <c r="X70" s="582">
        <f t="shared" si="66"/>
        <v>0.13396798275055422</v>
      </c>
      <c r="Y70" s="583">
        <f t="shared" si="66"/>
        <v>4.217554144276181E-2</v>
      </c>
      <c r="Z70" s="112"/>
      <c r="AA70" s="582">
        <f t="shared" si="67"/>
        <v>0.21849305286352583</v>
      </c>
      <c r="AB70" s="582">
        <f t="shared" si="67"/>
        <v>0.35280095351609031</v>
      </c>
      <c r="AC70" s="582">
        <f t="shared" si="67"/>
        <v>0.2841448692152917</v>
      </c>
      <c r="AD70" s="582">
        <f t="shared" si="67"/>
        <v>0.19963406102570547</v>
      </c>
      <c r="AE70" s="583">
        <f t="shared" si="67"/>
        <v>0.26230468749999991</v>
      </c>
      <c r="AF70" s="109"/>
      <c r="AG70" s="582">
        <f t="shared" si="68"/>
        <v>0.19130303740665111</v>
      </c>
      <c r="AH70" s="582">
        <f t="shared" si="68"/>
        <v>5.1527165932452323E-2</v>
      </c>
      <c r="AI70" s="582">
        <f t="shared" si="68"/>
        <v>9.7301870828240933E-2</v>
      </c>
      <c r="AJ70" s="582">
        <f t="shared" si="68"/>
        <v>0.14609127340151917</v>
      </c>
      <c r="AK70" s="583">
        <f t="shared" si="68"/>
        <v>0.11958069008200511</v>
      </c>
      <c r="AL70" s="109"/>
      <c r="AM70" s="582">
        <f t="shared" si="69"/>
        <v>0.17940320744374305</v>
      </c>
      <c r="AN70" s="582">
        <f t="shared" si="69"/>
        <v>0.19803376670530248</v>
      </c>
      <c r="AO70" s="582">
        <f t="shared" si="69"/>
        <v>0.19411126342243556</v>
      </c>
      <c r="AP70" s="582">
        <f t="shared" si="69"/>
        <v>9.0115596378154139E-2</v>
      </c>
      <c r="AQ70" s="583">
        <f t="shared" si="69"/>
        <v>0.16392683651540607</v>
      </c>
      <c r="AR70" s="109"/>
      <c r="AS70" s="582">
        <f t="shared" si="70"/>
        <v>0.13747899560248356</v>
      </c>
      <c r="AT70" s="582">
        <f t="shared" si="70"/>
        <v>0.12768387924000479</v>
      </c>
      <c r="AU70" s="582">
        <f t="shared" si="70"/>
        <v>0.1181570325018535</v>
      </c>
      <c r="AV70" s="582">
        <f t="shared" si="70"/>
        <v>0.18689933335727016</v>
      </c>
      <c r="AW70" s="583">
        <f t="shared" si="70"/>
        <v>0.14244538114462113</v>
      </c>
      <c r="AX70" s="109"/>
      <c r="AY70" s="582">
        <f t="shared" si="71"/>
        <v>0.12183138286169304</v>
      </c>
      <c r="AZ70" s="582">
        <f t="shared" si="71"/>
        <v>0.20223476391300754</v>
      </c>
      <c r="BA70" s="582">
        <f t="shared" si="71"/>
        <v>0.27830002031933443</v>
      </c>
      <c r="BB70" s="582">
        <f t="shared" si="71"/>
        <v>0.14421845536407529</v>
      </c>
      <c r="BC70" s="583">
        <f t="shared" si="71"/>
        <v>0.18582637638456911</v>
      </c>
      <c r="BD70" s="109"/>
      <c r="BE70" s="582">
        <f t="shared" si="72"/>
        <v>0.18881603475082587</v>
      </c>
      <c r="BF70" s="582">
        <f t="shared" si="72"/>
        <v>0.20437799310457483</v>
      </c>
      <c r="BG70" s="582">
        <f t="shared" si="72"/>
        <v>0.23084581276666927</v>
      </c>
      <c r="BH70" s="582">
        <f t="shared" si="72"/>
        <v>0.33846533475513607</v>
      </c>
      <c r="BI70" s="583">
        <f t="shared" si="72"/>
        <v>0.24099708351782678</v>
      </c>
      <c r="BJ70" s="109"/>
      <c r="BK70" s="582">
        <f t="shared" si="73"/>
        <v>0.3665480427046266</v>
      </c>
      <c r="BL70" s="582">
        <f t="shared" si="73"/>
        <v>0.33743575099942924</v>
      </c>
      <c r="BM70" s="582">
        <f t="shared" si="73"/>
        <v>0.31675536795742332</v>
      </c>
      <c r="BN70" s="582">
        <f t="shared" si="73"/>
        <v>0.37157699980905567</v>
      </c>
      <c r="BO70" s="583">
        <f t="shared" si="73"/>
        <v>0.34776198724162333</v>
      </c>
      <c r="BP70" s="109"/>
      <c r="BQ70" s="582">
        <f t="shared" si="73"/>
        <v>0.31769683590875641</v>
      </c>
      <c r="BR70" s="582">
        <f t="shared" si="74"/>
        <v>0.35602556952681086</v>
      </c>
      <c r="BS70" s="582">
        <f t="shared" si="74"/>
        <v>0.29538271771484403</v>
      </c>
      <c r="BT70" s="582">
        <f t="shared" si="74"/>
        <v>0.28895978327068228</v>
      </c>
      <c r="BU70" s="583">
        <f t="shared" si="74"/>
        <v>0.31359872559648205</v>
      </c>
      <c r="BV70" s="109"/>
      <c r="BW70" s="582">
        <f t="shared" si="75"/>
        <v>0.19639109575803548</v>
      </c>
      <c r="BX70" s="582">
        <f t="shared" si="75"/>
        <v>0.23128567165602942</v>
      </c>
      <c r="BY70" s="582">
        <f t="shared" si="75"/>
        <v>0.21920579224348691</v>
      </c>
      <c r="BZ70" s="582">
        <f t="shared" si="75"/>
        <v>0.2192298317294572</v>
      </c>
      <c r="CA70" s="583">
        <f t="shared" si="75"/>
        <v>0.2170574683029971</v>
      </c>
      <c r="CB70" s="109"/>
      <c r="CC70" s="582">
        <f t="shared" si="76"/>
        <v>0.1615900240743291</v>
      </c>
      <c r="CD70" s="582">
        <f t="shared" si="76"/>
        <v>0.14926215930462217</v>
      </c>
      <c r="CE70" s="582">
        <f t="shared" si="76"/>
        <v>0.14585744896114705</v>
      </c>
      <c r="CF70" s="582">
        <f t="shared" si="76"/>
        <v>0.13875578891368701</v>
      </c>
      <c r="CG70" s="583">
        <f t="shared" si="76"/>
        <v>0.14836041399958466</v>
      </c>
      <c r="CH70" s="586"/>
      <c r="CI70" s="586"/>
      <c r="CP70" s="42"/>
      <c r="CQ70" s="42"/>
      <c r="CR70" s="42"/>
      <c r="CS70" s="42"/>
    </row>
    <row r="71" spans="1:97" x14ac:dyDescent="0.2">
      <c r="A71" s="42"/>
      <c r="B71" s="578" t="str">
        <f>+B25</f>
        <v>Operating Income / Loss</v>
      </c>
      <c r="C71" s="42"/>
      <c r="D71" s="31"/>
      <c r="E71" s="31"/>
      <c r="F71" s="31"/>
      <c r="G71" s="343"/>
      <c r="H71" s="109"/>
      <c r="I71" s="582">
        <f>IF(ISERROR(I25/C25-1),"NM",I25/C25-1)</f>
        <v>-0.33914285714285852</v>
      </c>
      <c r="J71" s="582">
        <f>IF(ISERROR(J25/D25-1),"NM",J25/D25-1)</f>
        <v>-0.71207614515169482</v>
      </c>
      <c r="K71" s="582">
        <f>IF(ISERROR(K25/E25-1),"NM",K25/E25-1)</f>
        <v>-6.1346039309110201E-2</v>
      </c>
      <c r="L71" s="582">
        <f>IF(ISERROR(L25/F25-1),"NM",L25/F25-1)</f>
        <v>7.0830007980845267E-2</v>
      </c>
      <c r="M71" s="583">
        <f>IF(ISERROR(M25/G25-1),"NM",M25/G25-1)</f>
        <v>-0.35770196425934098</v>
      </c>
      <c r="N71" s="109"/>
      <c r="O71" s="582">
        <f>IF(ISERROR(O25/I25-1),"NM",O25/I25-1)</f>
        <v>0.33895373973194998</v>
      </c>
      <c r="P71" s="582">
        <f>IF(ISERROR(P25/J25-1),"NM",P25/J25-1)</f>
        <v>0.72055785123966798</v>
      </c>
      <c r="Q71" s="582">
        <f>IF(ISERROR(Q25/K25-1),"NM",Q25/K25-1)</f>
        <v>0.44479695431471966</v>
      </c>
      <c r="R71" s="582">
        <f>IF(ISERROR(R25/L25-1),"NM",R25/L25-1)</f>
        <v>2.5222656977827422</v>
      </c>
      <c r="S71" s="583">
        <f>IF(ISERROR(S25/M25-1),"NM",S25/M25-1)</f>
        <v>0.98413428374338796</v>
      </c>
      <c r="T71" s="109"/>
      <c r="U71" s="582">
        <f>IF(ISERROR(U25/O25-1),"NM",U25/O25-1)</f>
        <v>2.4749757830158283</v>
      </c>
      <c r="V71" s="582">
        <f>IF(ISERROR(V25/P25-1),"NM",V25/P25-1)</f>
        <v>2.3593515460822538</v>
      </c>
      <c r="W71" s="582">
        <f>IF(ISERROR(W25/Q25-1),"NM",W25/Q25-1)</f>
        <v>1.2163372859025028</v>
      </c>
      <c r="X71" s="582">
        <f>IF(ISERROR(X25/R25-1),"NM",X25/R25-1)</f>
        <v>-0.1531421921286501</v>
      </c>
      <c r="Y71" s="583">
        <f>IF(ISERROR(Y25/S25-1),"NM",Y25/S25-1)</f>
        <v>0.97348476069069401</v>
      </c>
      <c r="Z71" s="112"/>
      <c r="AA71" s="582">
        <f>IF(ISERROR(AA25/U25-1),"NM",AA25/U25-1)</f>
        <v>4.5530570525924796E-2</v>
      </c>
      <c r="AB71" s="582">
        <f>IF(ISERROR(AB25/V25-1),"NM",AB25/V25-1)</f>
        <v>4.0080428954423875E-2</v>
      </c>
      <c r="AC71" s="582">
        <f>IF(ISERROR(AC25/W25-1),"NM",AC25/W25-1)</f>
        <v>0.15689771331193292</v>
      </c>
      <c r="AD71" s="582">
        <f>IF(ISERROR(AD25/X25-1),"NM",AD25/X25-1)</f>
        <v>0.85376975451308912</v>
      </c>
      <c r="AE71" s="583">
        <f>IF(ISERROR(AE25/Y25-1),"NM",AE25/Y25-1)</f>
        <v>0.22906537007023275</v>
      </c>
      <c r="AF71" s="109"/>
      <c r="AG71" s="582">
        <f>IF(ISERROR(AG25/AA25-1),"NM",AG25/AA25-1)</f>
        <v>0.3467827941699253</v>
      </c>
      <c r="AH71" s="582">
        <f>IF(ISERROR(AH25/AB25-1),"NM",AH25/AB25-1)</f>
        <v>0.61661726167461484</v>
      </c>
      <c r="AI71" s="582">
        <f>IF(ISERROR(AI25/AC25-1),"NM",AI25/AC25-1)</f>
        <v>4.9088791449712454E-2</v>
      </c>
      <c r="AJ71" s="582">
        <f>IF(ISERROR(AJ25/AD25-1),"NM",AJ25/AD25-1)</f>
        <v>1.199582168008928E-2</v>
      </c>
      <c r="AK71" s="583">
        <f>IF(ISERROR(AK25/AE25-1),"NM",AK25/AE25-1)</f>
        <v>0.22881987577639884</v>
      </c>
      <c r="AL71" s="109"/>
      <c r="AM71" s="582">
        <f>IF(ISERROR(AM25/AG25-1),"NM",AM25/AG25-1)</f>
        <v>-4.5202586775767939E-2</v>
      </c>
      <c r="AN71" s="582">
        <f>IF(ISERROR(AN25/AH25-1),"NM",AN25/AH25-1)</f>
        <v>7.2017007706617342E-3</v>
      </c>
      <c r="AO71" s="582">
        <f>IF(ISERROR(AO25/AI25-1),"NM",AO25/AI25-1)</f>
        <v>0.35392653061224433</v>
      </c>
      <c r="AP71" s="582">
        <f>IF(ISERROR(AP25/AJ25-1),"NM",AP25/AJ25-1)</f>
        <v>0.76216162221556294</v>
      </c>
      <c r="AQ71" s="583">
        <f>IF(ISERROR(AQ25/AK25-1),"NM",AQ25/AK25-1)</f>
        <v>0.25374039627982103</v>
      </c>
      <c r="AR71" s="109"/>
      <c r="AS71" s="582">
        <f>IF(ISERROR(AS25/AM25-1),"NM",AS25/AM25-1)</f>
        <v>0.44460570875665018</v>
      </c>
      <c r="AT71" s="582">
        <f>IF(ISERROR(AT25/AN25-1),"NM",AT25/AN25-1)</f>
        <v>0.28577082398881259</v>
      </c>
      <c r="AU71" s="582">
        <f>IF(ISERROR(AU25/AO25-1),"NM",AU25/AO25-1)</f>
        <v>0.24317480223808596</v>
      </c>
      <c r="AV71" s="582">
        <f>IF(ISERROR(AV25/AP25-1),"NM",AV25/AP25-1)</f>
        <v>-2.7020388111029581E-2</v>
      </c>
      <c r="AW71" s="583">
        <f>IF(ISERROR(AW25/AQ25-1),"NM",AW25/AQ25-1)</f>
        <v>0.20065001922766812</v>
      </c>
      <c r="AX71" s="109"/>
      <c r="AY71" s="582">
        <f>IF(ISERROR(AY25/AS25-1),"NM",AY25/AS25-1)</f>
        <v>5.2879150320543911E-2</v>
      </c>
      <c r="AZ71" s="582">
        <f>IF(ISERROR(AZ25/AT25-1),"NM",AZ25/AT25-1)</f>
        <v>-0.13147418534022781</v>
      </c>
      <c r="BA71" s="582">
        <f>IF(ISERROR(BA25/AU25-1),"NM",BA25/AU25-1)</f>
        <v>-0.26191630938754928</v>
      </c>
      <c r="BB71" s="582">
        <f>IF(ISERROR(BB25/AV25-1),"NM",BB25/AV25-1)</f>
        <v>0.15237022507913789</v>
      </c>
      <c r="BC71" s="583">
        <f>IF(ISERROR(BC25/AW25-1),"NM",BC25/AW25-1)</f>
        <v>-5.0891846096622451E-2</v>
      </c>
      <c r="BD71" s="109"/>
      <c r="BE71" s="582">
        <f>IF(ISERROR(BE25/AY25-1),"NM",BE25/AY25-1)</f>
        <v>0.21173538938024206</v>
      </c>
      <c r="BF71" s="582">
        <f>IF(ISERROR(BF25/AZ25-1),"NM",BF25/AZ25-1)</f>
        <v>0.53894861193148258</v>
      </c>
      <c r="BG71" s="582">
        <f>IF(ISERROR(BG25/BA25-1),"NM",BG25/BA25-1)</f>
        <v>0.6316826998896079</v>
      </c>
      <c r="BH71" s="582">
        <f>IF(ISERROR(BH25/BB25-1),"NM",BH25/BB25-1)</f>
        <v>0.15829387081009005</v>
      </c>
      <c r="BI71" s="583">
        <f>IF(ISERROR(BI25/BC25-1),"NM",BI25/BC25-1)</f>
        <v>0.35681914274280824</v>
      </c>
      <c r="BJ71" s="109"/>
      <c r="BK71" s="582">
        <f>IF(ISERROR(BK25/BE25-1),"NM",BK25/BE25-1)</f>
        <v>0.15635429557130465</v>
      </c>
      <c r="BL71" s="582">
        <f>IF(ISERROR(BL25/BF25-1),"NM",BL25/BF25-1)</f>
        <v>0.28299250798329623</v>
      </c>
      <c r="BM71" s="582">
        <f>IF(ISERROR(BM25/BG25-1),"NM",BM25/BG25-1)</f>
        <v>0.59092446721113401</v>
      </c>
      <c r="BN71" s="582">
        <f>IF(ISERROR(BN25/BH25-1),"NM",BN25/BH25-1)</f>
        <v>0.59468660885759239</v>
      </c>
      <c r="BO71" s="583">
        <f>IF(ISERROR(BO25/BI25-1),"NM",BO25/BI25-1)</f>
        <v>0.41852367408667401</v>
      </c>
      <c r="BP71" s="109"/>
      <c r="BQ71" s="582">
        <f>IF(ISERROR(BQ25/BK25-1),"NM",BQ25/BK25-1)</f>
        <v>0.59213918570525115</v>
      </c>
      <c r="BR71" s="582">
        <f>IF(ISERROR(BR25/BL25-1),"NM",BR25/BL25-1)</f>
        <v>0.33928939605272257</v>
      </c>
      <c r="BS71" s="582">
        <f>IF(ISERROR(BS25/BM25-1),"NM",BS25/BM25-1)</f>
        <v>0.26124785647560045</v>
      </c>
      <c r="BT71" s="582">
        <f>IF(ISERROR(BT25/BN25-1),"NM",BT25/BN25-1)</f>
        <v>0.28093574591689263</v>
      </c>
      <c r="BU71" s="583">
        <f>IF(ISERROR(BU25/BO25-1),"NM",BU25/BO25-1)</f>
        <v>0.3435044185695475</v>
      </c>
      <c r="BV71" s="109"/>
      <c r="BW71" s="582">
        <f>IF(ISERROR(BW25/BQ25-1),"NM",BW25/BQ25-1)</f>
        <v>0.32526111755165754</v>
      </c>
      <c r="BX71" s="582">
        <f>IF(ISERROR(BX25/BR25-1),"NM",BX25/BR25-1)</f>
        <v>0.36964243094424343</v>
      </c>
      <c r="BY71" s="582">
        <f>IF(ISERROR(BY25/BS25-1),"NM",BY25/BS25-1)</f>
        <v>0.34712221107194186</v>
      </c>
      <c r="BZ71" s="582">
        <f>IF(ISERROR(BZ25/BT25-1),"NM",BZ25/BT25-1)</f>
        <v>0.32517927277198866</v>
      </c>
      <c r="CA71" s="583">
        <f>IF(ISERROR(CA25/BU25-1),"NM",CA25/BU25-1)</f>
        <v>0.34142461498652898</v>
      </c>
      <c r="CB71" s="109"/>
      <c r="CC71" s="582">
        <f>IF(ISERROR(CC25/BW25-1),"NM",CC25/BW25-1)</f>
        <v>0.26678665989098937</v>
      </c>
      <c r="CD71" s="582">
        <f>IF(ISERROR(CD25/BX25-1),"NM",CD25/BX25-1)</f>
        <v>0.2432297611512162</v>
      </c>
      <c r="CE71" s="582">
        <f>IF(ISERROR(CE25/BY25-1),"NM",CE25/BY25-1)</f>
        <v>0.23878434708170682</v>
      </c>
      <c r="CF71" s="582">
        <f>IF(ISERROR(CF25/BZ25-1),"NM",CF25/BZ25-1)</f>
        <v>0.22360251732710656</v>
      </c>
      <c r="CG71" s="583">
        <f>IF(ISERROR(CG25/CA25-1),"NM",CG25/CA25-1)</f>
        <v>0.24113931587882043</v>
      </c>
      <c r="CH71" s="586"/>
      <c r="CI71" s="586"/>
      <c r="CP71" s="42"/>
      <c r="CQ71" s="42"/>
      <c r="CR71" s="42"/>
      <c r="CS71" s="42"/>
    </row>
    <row r="72" spans="1:97" x14ac:dyDescent="0.2">
      <c r="A72" s="42"/>
      <c r="B72" s="95" t="s">
        <v>260</v>
      </c>
      <c r="C72" s="42"/>
      <c r="D72" s="31"/>
      <c r="E72" s="31"/>
      <c r="F72" s="31"/>
      <c r="G72" s="343"/>
      <c r="H72" s="175"/>
      <c r="I72" s="582">
        <f>IF(ISERROR(I36/C36-1),"NM",I36/C36-1)</f>
        <v>-0.23989681857265821</v>
      </c>
      <c r="J72" s="582">
        <f>IF(ISERROR(J36/D36-1),"NM",J36/D36-1)</f>
        <v>-0.70406814510207016</v>
      </c>
      <c r="K72" s="582">
        <f>IF(ISERROR(K36/E36-1),"NM",K36/E36-1)</f>
        <v>-0.23255813953488202</v>
      </c>
      <c r="L72" s="582">
        <f>IF(ISERROR(L36/F36-1),"NM",L36/F36-1)</f>
        <v>-0.13779110797459526</v>
      </c>
      <c r="M72" s="583">
        <f>IF(ISERROR(M36/G36-1),"NM",M36/G36-1)</f>
        <v>-0.39869555480909169</v>
      </c>
      <c r="N72" s="175"/>
      <c r="O72" s="582">
        <f>IF(ISERROR(O36/I36-1),"NM",O36/I36-1)</f>
        <v>-0.39837858220211275</v>
      </c>
      <c r="P72" s="582">
        <f>IF(ISERROR(P36/J36-1),"NM",P36/J36-1)</f>
        <v>0.19776674937965222</v>
      </c>
      <c r="Q72" s="582">
        <f>IF(ISERROR(Q36/K36-1),"NM",Q36/K36-1)</f>
        <v>0.2267217630853986</v>
      </c>
      <c r="R72" s="582">
        <f>IF(ISERROR(R36/L36-1),"NM",R36/L36-1)</f>
        <v>1.4853693472477958</v>
      </c>
      <c r="S72" s="583">
        <f>IF(ISERROR(S36/M36-1),"NM",S36/M36-1)</f>
        <v>0.35328895302825636</v>
      </c>
      <c r="T72" s="175"/>
      <c r="U72" s="582">
        <f>IF(ISERROR(U36/O36-1),"NM",U36/O36-1)</f>
        <v>3.8702601065496891</v>
      </c>
      <c r="V72" s="582">
        <f>IF(ISERROR(V36/P36-1),"NM",V36/P36-1)</f>
        <v>2.4089496581727725</v>
      </c>
      <c r="W72" s="582">
        <f>IF(ISERROR(W36/Q36-1),"NM",W36/Q36-1)</f>
        <v>1.1710083090051646</v>
      </c>
      <c r="X72" s="582">
        <f>IF(ISERROR(X36/R36-1),"NM",X36/R36-1)</f>
        <v>-9.7233657171084786E-2</v>
      </c>
      <c r="Y72" s="583">
        <f>IF(ISERROR(Y36/S36-1),"NM",Y36/S36-1)</f>
        <v>1.1429652562779502</v>
      </c>
      <c r="Z72" s="175"/>
      <c r="AA72" s="582">
        <f>IF(ISERROR(AA36/U36-1),"NM",AA36/U36-1)</f>
        <v>9.0212985007400048E-2</v>
      </c>
      <c r="AB72" s="582">
        <f>IF(ISERROR(AB36/V36-1),"NM",AB36/V36-1)</f>
        <v>-1.0695837131570629E-2</v>
      </c>
      <c r="AC72" s="582">
        <f>IF(ISERROR(AC36/W36-1),"NM",AC36/W36-1)</f>
        <v>0.1347814843547972</v>
      </c>
      <c r="AD72" s="582">
        <f>IF(ISERROR(AD36/X36-1),"NM",AD36/X36-1)</f>
        <v>1.0958504331965391</v>
      </c>
      <c r="AE72" s="583">
        <f>IF(ISERROR(AE36/Y36-1),"NM",AE36/Y36-1)</f>
        <v>0.25439835623475049</v>
      </c>
      <c r="AF72" s="175"/>
      <c r="AG72" s="582">
        <f>IF(ISERROR(AG36/AA36-1),"NM",AG36/AA36-1)</f>
        <v>0.30567195892108834</v>
      </c>
      <c r="AH72" s="582">
        <f>IF(ISERROR(AH36/AB36-1),"NM",AH36/AB36-1)</f>
        <v>0.75674181460777734</v>
      </c>
      <c r="AI72" s="582">
        <f>IF(ISERROR(AI36/AC36-1),"NM",AI36/AC36-1)</f>
        <v>8.0169545599562575E-2</v>
      </c>
      <c r="AJ72" s="582">
        <f>IF(ISERROR(AJ36/AD36-1),"NM",AJ36/AD36-1)</f>
        <v>-2.8414777424829007E-2</v>
      </c>
      <c r="AK72" s="583">
        <f>IF(ISERROR(AK36/AE36-1),"NM",AK36/AE36-1)</f>
        <v>0.23807330057330223</v>
      </c>
      <c r="AL72" s="175"/>
      <c r="AM72" s="582">
        <f>IF(ISERROR(AM36/AG36-1),"NM",AM36/AG36-1)</f>
        <v>-3.9779405117076894E-2</v>
      </c>
      <c r="AN72" s="582">
        <f>IF(ISERROR(AN36/AH36-1),"NM",AN36/AH36-1)</f>
        <v>2.5246520735715761E-2</v>
      </c>
      <c r="AO72" s="582">
        <f>IF(ISERROR(AO36/AI36-1),"NM",AO36/AI36-1)</f>
        <v>0.45725738396624394</v>
      </c>
      <c r="AP72" s="582">
        <f>IF(ISERROR(AP36/AJ36-1),"NM",AP36/AJ36-1)</f>
        <v>0.89994625582228616</v>
      </c>
      <c r="AQ72" s="583">
        <f>IF(ISERROR(AQ36/AK36-1),"NM",AQ36/AK36-1)</f>
        <v>0.31807375863066789</v>
      </c>
      <c r="AR72" s="175"/>
      <c r="AS72" s="582">
        <f>IF(ISERROR(AS36/AM36-1),"NM",AS36/AM36-1)</f>
        <v>0.5273514734959015</v>
      </c>
      <c r="AT72" s="582">
        <f>IF(ISERROR(AT36/AN36-1),"NM",AT36/AN36-1)</f>
        <v>0.21418826739426966</v>
      </c>
      <c r="AU72" s="582">
        <f>IF(ISERROR(AU36/AO36-1),"NM",AU36/AO36-1)</f>
        <v>0.10742102672496157</v>
      </c>
      <c r="AV72" s="582">
        <f>IF(ISERROR(AV36/AP36-1),"NM",AV36/AP36-1)</f>
        <v>-6.7912875394842809E-2</v>
      </c>
      <c r="AW72" s="583">
        <f>IF(ISERROR(AW36/AQ36-1),"NM",AW36/AQ36-1)</f>
        <v>0.14359203582155122</v>
      </c>
      <c r="AX72" s="175"/>
      <c r="AY72" s="582">
        <f>IF(ISERROR(AY36/AS36-1),"NM",AY36/AS36-1)</f>
        <v>-3.6260633707310586E-2</v>
      </c>
      <c r="AZ72" s="582">
        <f>IF(ISERROR(AZ36/AT36-1),"NM",AZ36/AT36-1)</f>
        <v>-0.11938202247190954</v>
      </c>
      <c r="BA72" s="582">
        <f>IF(ISERROR(BA36/AU36-1),"NM",BA36/AU36-1)</f>
        <v>-0.2779564410280545</v>
      </c>
      <c r="BB72" s="582">
        <f>IF(ISERROR(BB36/AV36-1),"NM",BB36/AV36-1)</f>
        <v>0.23610935484686912</v>
      </c>
      <c r="BC72" s="583">
        <f>IF(ISERROR(BC36/AW36-1),"NM",BC36/AW36-1)</f>
        <v>-4.6090295682701843E-2</v>
      </c>
      <c r="BD72" s="175"/>
      <c r="BE72" s="582">
        <f>IF(ISERROR(BE36/AY36-1),"NM",BE36/AY36-1)</f>
        <v>0.29674333398576769</v>
      </c>
      <c r="BF72" s="582">
        <f>IF(ISERROR(BF36/AZ36-1),"NM",BF36/AZ36-1)</f>
        <v>0.59961722488038283</v>
      </c>
      <c r="BG72" s="582">
        <f>IF(ISERROR(BG36/BA36-1),"NM",BG36/BA36-1)</f>
        <v>0.8600449015063738</v>
      </c>
      <c r="BH72" s="582">
        <f>IF(ISERROR(BH36/BB36-1),"NM",BH36/BB36-1)</f>
        <v>-1.8331730670868907E-2</v>
      </c>
      <c r="BI72" s="583">
        <f>IF(ISERROR(BI36/BC36-1),"NM",BI36/BC36-1)</f>
        <v>0.36612202553134443</v>
      </c>
      <c r="BJ72" s="175"/>
      <c r="BK72" s="582">
        <f>IF(ISERROR(BK36/BE36-1),"NM",BK36/BE36-1)</f>
        <v>0.71212943323632283</v>
      </c>
      <c r="BL72" s="582">
        <f>IF(ISERROR(BL36/BF36-1),"NM",BL36/BF36-1)</f>
        <v>0.37949668979819706</v>
      </c>
      <c r="BM72" s="582">
        <f>IF(ISERROR(BM36/BG36-1),"NM",BM36/BG36-1)</f>
        <v>0.60716023906399053</v>
      </c>
      <c r="BN72" s="582">
        <f>IF(ISERROR(BN36/BH36-1),"NM",BN36/BH36-1)</f>
        <v>1.018799107980243</v>
      </c>
      <c r="BO72" s="583">
        <f>IF(ISERROR(BO36/BI36-1),"NM",BO36/BI36-1)</f>
        <v>0.67340903589732859</v>
      </c>
      <c r="BP72" s="175"/>
      <c r="BQ72" s="582">
        <f>IF(ISERROR(BQ36/BK36-1),"NM",BQ36/BK36-1)</f>
        <v>0.38095649668683285</v>
      </c>
      <c r="BR72" s="582">
        <f>IF(ISERROR(BR36/BL36-1),"NM",BR36/BL36-1)</f>
        <v>0.40571274942242952</v>
      </c>
      <c r="BS72" s="582">
        <f>IF(ISERROR(BS36/BM36-1),"NM",BS36/BM36-1)</f>
        <v>0.17691280984946989</v>
      </c>
      <c r="BT72" s="582">
        <f>IF(ISERROR(BT36/BN36-1),"NM",BT36/BN36-1)</f>
        <v>0.13250421774966137</v>
      </c>
      <c r="BU72" s="583">
        <f>IF(ISERROR(BU36/BO36-1),"NM",BU36/BO36-1)</f>
        <v>0.25769839398247929</v>
      </c>
      <c r="BV72" s="175"/>
      <c r="BW72" s="582">
        <f>IF(ISERROR(BW36/BQ36-1),"NM",BW36/BQ36-1)</f>
        <v>0.12278281870189023</v>
      </c>
      <c r="BX72" s="582">
        <f>IF(ISERROR(BX36/BR36-1),"NM",BX36/BR36-1)</f>
        <v>0.30232089829939346</v>
      </c>
      <c r="BY72" s="582">
        <f>IF(ISERROR(BY36/BS36-1),"NM",BY36/BS36-1)</f>
        <v>0.42810500111326477</v>
      </c>
      <c r="BZ72" s="582">
        <f>IF(ISERROR(BZ36/BT36-1),"NM",BZ36/BT36-1)</f>
        <v>0.40294883617211141</v>
      </c>
      <c r="CA72" s="583">
        <f>IF(ISERROR(CA36/BU36-1),"NM",CA36/BU36-1)</f>
        <v>0.31744291365484423</v>
      </c>
      <c r="CB72" s="175"/>
      <c r="CC72" s="582">
        <f>IF(ISERROR(CC36/BW36-1),"NM",CC36/BW36-1)</f>
        <v>0.42929579231068327</v>
      </c>
      <c r="CD72" s="582">
        <f>IF(ISERROR(CD36/BX36-1),"NM",CD36/BX36-1)</f>
        <v>0.38988357339467239</v>
      </c>
      <c r="CE72" s="582">
        <f>IF(ISERROR(CE36/BY36-1),"NM",CE36/BY36-1)</f>
        <v>0.39467689302481324</v>
      </c>
      <c r="CF72" s="582">
        <f>IF(ISERROR(CF36/BZ36-1),"NM",CF36/BZ36-1)</f>
        <v>0.37942936483584577</v>
      </c>
      <c r="CG72" s="583">
        <f>IF(ISERROR(CG36/CA36-1),"NM",CG36/CA36-1)</f>
        <v>0.39614307692529116</v>
      </c>
      <c r="CH72" s="586"/>
      <c r="CI72" s="586"/>
      <c r="CP72" s="42"/>
      <c r="CQ72" s="42"/>
      <c r="CR72" s="42"/>
      <c r="CS72" s="42"/>
    </row>
    <row r="73" spans="1:97" x14ac:dyDescent="0.2">
      <c r="A73" s="42"/>
      <c r="B73" s="95" t="s">
        <v>343</v>
      </c>
      <c r="C73" s="42"/>
      <c r="D73" s="31"/>
      <c r="E73" s="31"/>
      <c r="F73" s="31"/>
      <c r="G73" s="344"/>
      <c r="H73" s="175"/>
      <c r="I73" s="582">
        <f>IF(ISERROR(I43/C43-1),"NM",I43/C43-1)</f>
        <v>-0.2562981418072392</v>
      </c>
      <c r="J73" s="582">
        <f>IF(ISERROR(J43/D43-1),"NM",J43/D43-1)</f>
        <v>-0.69860375891474213</v>
      </c>
      <c r="K73" s="582">
        <f>IF(ISERROR(K43/E43-1),"NM",K43/E43-1)</f>
        <v>-0.19317178648411337</v>
      </c>
      <c r="L73" s="582">
        <f>IF(ISERROR(L43/F43-1),"NM",L43/F43-1)</f>
        <v>-7.2650565485606999E-2</v>
      </c>
      <c r="M73" s="587">
        <f>IF(ISERROR(M43/G43-1),"NM",M43/G43-1)</f>
        <v>-0.36883529057623321</v>
      </c>
      <c r="N73" s="175"/>
      <c r="O73" s="582">
        <f>IF(ISERROR(O43/I43-1),"NM",O43/I43-1)</f>
        <v>-0.35842259748132665</v>
      </c>
      <c r="P73" s="582">
        <f>IF(ISERROR(P43/J43-1),"NM",P43/J43-1)</f>
        <v>0.24297656404832435</v>
      </c>
      <c r="Q73" s="582">
        <f>IF(ISERROR(Q43/K43-1),"NM",Q43/K43-1)</f>
        <v>0.18829050011306436</v>
      </c>
      <c r="R73" s="582">
        <f>IF(ISERROR(R43/L43-1),"NM",R43/L43-1)</f>
        <v>1.1613988924484744</v>
      </c>
      <c r="S73" s="587">
        <f>IF(ISERROR(S43/M43-1),"NM",S43/M43-1)</f>
        <v>0.30464093508562406</v>
      </c>
      <c r="T73" s="175"/>
      <c r="U73" s="582">
        <f>IF(ISERROR(U43/O43-1),"NM",U43/O43-1)</f>
        <v>3.1704469670207249</v>
      </c>
      <c r="V73" s="582">
        <f>IF(ISERROR(V43/P43-1),"NM",V43/P43-1)</f>
        <v>1.9594130081058951</v>
      </c>
      <c r="W73" s="582">
        <f>IF(ISERROR(W43/Q43-1),"NM",W43/Q43-1)</f>
        <v>0.97135970662152027</v>
      </c>
      <c r="X73" s="582">
        <f>IF(ISERROR(X43/R43-1),"NM",X43/R43-1)</f>
        <v>-0.11894160756709027</v>
      </c>
      <c r="Y73" s="587">
        <f>IF(ISERROR(Y43/S43-1),"NM",Y43/S43-1)</f>
        <v>0.93772583278350208</v>
      </c>
      <c r="Z73" s="175"/>
      <c r="AA73" s="582">
        <f>IF(ISERROR(AA43/U43-1),"NM",AA43/U43-1)</f>
        <v>6.5980229553801228E-2</v>
      </c>
      <c r="AB73" s="582">
        <f>IF(ISERROR(AB43/V43-1),"NM",AB43/V43-1)</f>
        <v>-4.4123850951429788E-2</v>
      </c>
      <c r="AC73" s="582">
        <f>IF(ISERROR(AC43/W43-1),"NM",AC43/W43-1)</f>
        <v>0.10428633495463635</v>
      </c>
      <c r="AD73" s="582">
        <f>IF(ISERROR(AD43/X43-1),"NM",AD43/X43-1)</f>
        <v>1.0407640107232536</v>
      </c>
      <c r="AE73" s="587">
        <f>IF(ISERROR(AE43/Y43-1),"NM",AE43/Y43-1)</f>
        <v>0.22125111712153567</v>
      </c>
      <c r="AF73" s="175"/>
      <c r="AG73" s="582">
        <f>IF(ISERROR(AG43/AA43-1),"NM",AG43/AA43-1)</f>
        <v>0.26587461312471294</v>
      </c>
      <c r="AH73" s="582">
        <f>IF(ISERROR(AH43/AB43-1),"NM",AH43/AB43-1)</f>
        <v>0.7009819814730005</v>
      </c>
      <c r="AI73" s="582">
        <f>IF(ISERROR(AI43/AC43-1),"NM",AI43/AC43-1)</f>
        <v>3.33097602924044E-2</v>
      </c>
      <c r="AJ73" s="582">
        <f>IF(ISERROR(AJ43/AD43-1),"NM",AJ43/AD43-1)</f>
        <v>-5.3377355539460658E-2</v>
      </c>
      <c r="AK73" s="587">
        <f>IF(ISERROR(AK43/AE43-1),"NM",AK43/AE43-1)</f>
        <v>0.19738858236286028</v>
      </c>
      <c r="AL73" s="175"/>
      <c r="AM73" s="582">
        <f>IF(ISERROR(AM43/AG43-1),"NM",AM43/AG43-1)</f>
        <v>-3.2593823666594357E-2</v>
      </c>
      <c r="AN73" s="582">
        <f>IF(ISERROR(AN43/AH43-1),"NM",AN43/AH43-1)</f>
        <v>3.5293185323139076E-2</v>
      </c>
      <c r="AO73" s="582">
        <f>IF(ISERROR(AO43/AI43-1),"NM",AO43/AI43-1)</f>
        <v>0.4938989108966827</v>
      </c>
      <c r="AP73" s="582">
        <f>IF(ISERROR(AP43/AJ43-1),"NM",AP43/AJ43-1)</f>
        <v>0.91246076147394506</v>
      </c>
      <c r="AQ73" s="587">
        <f>IF(ISERROR(AQ43/AK43-1),"NM",AQ43/AK43-1)</f>
        <v>0.33421969255810247</v>
      </c>
      <c r="AR73" s="175"/>
      <c r="AS73" s="582">
        <f>IF(ISERROR(AS43/AM43-1),"NM",AS43/AM43-1)</f>
        <v>0.49841521086968887</v>
      </c>
      <c r="AT73" s="582">
        <f>IF(ISERROR(AT43/AN43-1),"NM",AT43/AN43-1)</f>
        <v>0.21135706365203077</v>
      </c>
      <c r="AU73" s="582">
        <f>IF(ISERROR(AU43/AO43-1),"NM",AU43/AO43-1)</f>
        <v>0.10517955709250448</v>
      </c>
      <c r="AV73" s="582">
        <f>IF(ISERROR(AV43/AP43-1),"NM",AV43/AP43-1)</f>
        <v>-5.9389671099632002E-2</v>
      </c>
      <c r="AW73" s="587">
        <f>IF(ISERROR(AW43/AQ43-1),"NM",AW43/AQ43-1)</f>
        <v>0.13855738449653443</v>
      </c>
      <c r="AX73" s="175"/>
      <c r="AY73" s="582">
        <f>IF(ISERROR(AY43/AS43-1),"NM",AY43/AS43-1)</f>
        <v>-2.4564881962973462E-2</v>
      </c>
      <c r="AZ73" s="582">
        <f>IF(ISERROR(AZ43/AT43-1),"NM",AZ43/AT43-1)</f>
        <v>-0.10913623992382127</v>
      </c>
      <c r="BA73" s="582">
        <f>IF(ISERROR(BA43/AU43-1),"NM",BA43/AU43-1)</f>
        <v>-0.26974694858278103</v>
      </c>
      <c r="BB73" s="582">
        <f>IF(ISERROR(BB43/AV43-1),"NM",BB43/AV43-1)</f>
        <v>0.24586999922018959</v>
      </c>
      <c r="BC73" s="587">
        <f>IF(ISERROR(BC43/AW43-1),"NM",BC43/AW43-1)</f>
        <v>-3.5034288678234327E-2</v>
      </c>
      <c r="BD73" s="175"/>
      <c r="BE73" s="582">
        <f>IF(ISERROR(BE43/AY43-1),"NM",BE43/AY43-1)</f>
        <v>0.3047802085594129</v>
      </c>
      <c r="BF73" s="582">
        <f>IF(ISERROR(BF43/AZ43-1),"NM",BF43/AZ43-1)</f>
        <v>0.6018410748134726</v>
      </c>
      <c r="BG73" s="582">
        <f>IF(ISERROR(BG43/BA43-1),"NM",BG43/BA43-1)</f>
        <v>0.85150567295503499</v>
      </c>
      <c r="BH73" s="582">
        <f>IF(ISERROR(BH43/BB43-1),"NM",BH43/BB43-1)</f>
        <v>-2.071195724946584E-2</v>
      </c>
      <c r="BI73" s="587">
        <f>IF(ISERROR(BI43/BC43-1),"NM",BI43/BC43-1)</f>
        <v>0.36631519711327098</v>
      </c>
      <c r="BJ73" s="175"/>
      <c r="BK73" s="582">
        <f>IF(ISERROR(BK43/BE43-1),"NM",BK43/BE43-1)</f>
        <v>0.70763565519633209</v>
      </c>
      <c r="BL73" s="582">
        <f>IF(ISERROR(BL43/BF43-1),"NM",BL43/BF43-1)</f>
        <v>0.3735819779677727</v>
      </c>
      <c r="BM73" s="582">
        <f>IF(ISERROR(BM43/BG43-1),"NM",BM43/BG43-1)</f>
        <v>0.6008132638323862</v>
      </c>
      <c r="BN73" s="582">
        <f>IF(ISERROR(BN43/BH43-1),"NM",BN43/BH43-1)</f>
        <v>1.0036327757983314</v>
      </c>
      <c r="BO73" s="587">
        <f>IF(ISERROR(BO43/BI43-1),"NM",BO43/BI43-1)</f>
        <v>0.66571830875670335</v>
      </c>
      <c r="BP73" s="175"/>
      <c r="BQ73" s="582">
        <f>IF(ISERROR(BQ43/BK43-1),"NM",BQ43/BK43-1)</f>
        <v>0.3793662346359612</v>
      </c>
      <c r="BR73" s="582">
        <f>IF(ISERROR(BR43/BL43-1),"NM",BR43/BL43-1)</f>
        <v>0.42952482277814275</v>
      </c>
      <c r="BS73" s="582">
        <f>IF(ISERROR(BS43/BM43-1),"NM",BS43/BM43-1)</f>
        <v>0.2035154749532504</v>
      </c>
      <c r="BT73" s="582">
        <f>IF(ISERROR(BT43/BN43-1),"NM",BT43/BN43-1)</f>
        <v>0.16274455190418657</v>
      </c>
      <c r="BU73" s="587">
        <f>IF(ISERROR(BU43/BO43-1),"NM",BU43/BO43-1)</f>
        <v>0.27804396642246987</v>
      </c>
      <c r="BV73" s="175"/>
      <c r="BW73" s="582">
        <f>IF(ISERROR(BW43/BQ43-1),"NM",BW43/BQ43-1)</f>
        <v>0.15294691776637426</v>
      </c>
      <c r="BX73" s="582">
        <f>IF(ISERROR(BX43/BR43-1),"NM",BX43/BR43-1)</f>
        <v>0.3195501766889477</v>
      </c>
      <c r="BY73" s="582">
        <f>IF(ISERROR(BY43/BS43-1),"NM",BY43/BS43-1)</f>
        <v>0.44651165192824016</v>
      </c>
      <c r="BZ73" s="582">
        <f>IF(ISERROR(BZ43/BT43-1),"NM",BZ43/BT43-1)</f>
        <v>0.42058059381880031</v>
      </c>
      <c r="CA73" s="587">
        <f>IF(ISERROR(CA43/BU43-1),"NM",CA43/BU43-1)</f>
        <v>0.33905620178533624</v>
      </c>
      <c r="CB73" s="175"/>
      <c r="CC73" s="582">
        <f>IF(ISERROR(CC43/BW43-1),"NM",CC43/BW43-1)</f>
        <v>0.44699917437344783</v>
      </c>
      <c r="CD73" s="582">
        <f>IF(ISERROR(CD43/BX43-1),"NM",CD43/BX43-1)</f>
        <v>0.40698091789792601</v>
      </c>
      <c r="CE73" s="582">
        <f>IF(ISERROR(CE43/BY43-1),"NM",CE43/BY43-1)</f>
        <v>0.4109677654381525</v>
      </c>
      <c r="CF73" s="582">
        <f>IF(ISERROR(CF43/BZ43-1),"NM",CF43/BZ43-1)</f>
        <v>0.40135406929164152</v>
      </c>
      <c r="CG73" s="587">
        <f>IF(ISERROR(CG43/CA43-1),"NM",CG43/CA43-1)</f>
        <v>0.41437548407473401</v>
      </c>
      <c r="CH73" s="586"/>
      <c r="CI73" s="586"/>
      <c r="CP73" s="42"/>
      <c r="CQ73" s="42"/>
      <c r="CR73" s="42"/>
      <c r="CS73" s="42"/>
    </row>
    <row r="74" spans="1:97" x14ac:dyDescent="0.2">
      <c r="A74" s="42"/>
      <c r="B74" s="42"/>
      <c r="C74" s="42"/>
      <c r="D74" s="31"/>
      <c r="E74" s="31"/>
      <c r="F74" s="31"/>
      <c r="G74" s="98"/>
      <c r="H74" s="173"/>
      <c r="I74" s="31"/>
      <c r="J74" s="31"/>
      <c r="K74" s="31"/>
      <c r="L74" s="31"/>
      <c r="M74" s="98"/>
      <c r="N74" s="173"/>
      <c r="O74" s="42"/>
      <c r="P74" s="42"/>
      <c r="Q74" s="42"/>
      <c r="R74" s="42"/>
      <c r="S74" s="98"/>
      <c r="T74" s="173"/>
      <c r="U74" s="42"/>
      <c r="V74" s="42"/>
      <c r="W74" s="42"/>
      <c r="X74" s="42"/>
      <c r="Y74" s="98"/>
      <c r="Z74" s="173"/>
      <c r="AA74" s="42"/>
      <c r="AB74" s="42"/>
      <c r="AC74" s="42"/>
      <c r="AD74" s="42"/>
      <c r="AE74" s="98"/>
      <c r="AF74" s="173"/>
      <c r="AG74" s="42"/>
      <c r="AH74" s="42"/>
      <c r="AI74" s="42"/>
      <c r="AJ74" s="42"/>
      <c r="AK74" s="98"/>
      <c r="AL74" s="173"/>
      <c r="AM74" s="42"/>
      <c r="AN74" s="42"/>
      <c r="AO74" s="42"/>
      <c r="AP74" s="42"/>
      <c r="AQ74" s="98"/>
      <c r="AR74" s="173"/>
      <c r="AS74" s="42"/>
      <c r="AT74" s="42"/>
      <c r="AU74" s="42"/>
      <c r="AV74" s="42"/>
      <c r="AW74" s="98"/>
      <c r="AX74" s="173"/>
      <c r="AY74" s="42"/>
      <c r="AZ74" s="42"/>
      <c r="BA74" s="42"/>
      <c r="BB74" s="42"/>
      <c r="BC74" s="98"/>
      <c r="BD74" s="173"/>
      <c r="BE74" s="42"/>
      <c r="BF74" s="42"/>
      <c r="BG74" s="42"/>
      <c r="BH74" s="42"/>
      <c r="BI74" s="98"/>
      <c r="BJ74" s="173"/>
      <c r="BK74" s="42"/>
      <c r="BL74" s="42"/>
      <c r="BM74" s="42"/>
      <c r="BN74" s="42"/>
      <c r="BO74" s="98"/>
      <c r="BP74" s="173"/>
      <c r="BQ74" s="42"/>
      <c r="BR74" s="42"/>
      <c r="BS74" s="42"/>
      <c r="BT74" s="42"/>
      <c r="BU74" s="98"/>
      <c r="BV74" s="173"/>
      <c r="BW74" s="42"/>
      <c r="BX74" s="42"/>
      <c r="BY74" s="42"/>
      <c r="BZ74" s="42"/>
      <c r="CA74" s="98"/>
      <c r="CB74" s="173"/>
      <c r="CC74" s="42"/>
      <c r="CD74" s="42"/>
      <c r="CE74" s="42"/>
      <c r="CF74" s="42"/>
      <c r="CG74" s="98"/>
      <c r="CH74" s="31"/>
      <c r="CI74" s="31"/>
      <c r="CP74" s="42"/>
      <c r="CQ74" s="42"/>
      <c r="CR74" s="42"/>
      <c r="CS74" s="42"/>
    </row>
    <row r="75" spans="1:97" x14ac:dyDescent="0.2">
      <c r="A75" s="42"/>
      <c r="B75" s="120" t="s">
        <v>112</v>
      </c>
      <c r="C75" s="42"/>
      <c r="D75" s="31"/>
      <c r="E75" s="31"/>
      <c r="F75" s="31"/>
      <c r="G75" s="98"/>
      <c r="H75" s="173"/>
      <c r="I75" s="31"/>
      <c r="J75" s="31"/>
      <c r="K75" s="31"/>
      <c r="L75" s="31"/>
      <c r="M75" s="98"/>
      <c r="N75" s="173"/>
      <c r="O75" s="42"/>
      <c r="P75" s="42"/>
      <c r="Q75" s="42"/>
      <c r="R75" s="42"/>
      <c r="S75" s="98"/>
      <c r="T75" s="173"/>
      <c r="U75" s="42"/>
      <c r="V75" s="42"/>
      <c r="W75" s="42"/>
      <c r="X75" s="42"/>
      <c r="Y75" s="98"/>
      <c r="Z75" s="173"/>
      <c r="AA75" s="42"/>
      <c r="AB75" s="42"/>
      <c r="AC75" s="42"/>
      <c r="AD75" s="42"/>
      <c r="AE75" s="98"/>
      <c r="AF75" s="173"/>
      <c r="AG75" s="42"/>
      <c r="AH75" s="42"/>
      <c r="AI75" s="42"/>
      <c r="AJ75" s="42"/>
      <c r="AK75" s="98"/>
      <c r="AL75" s="173"/>
      <c r="AM75" s="42"/>
      <c r="AN75" s="42"/>
      <c r="AO75" s="42"/>
      <c r="AP75" s="42"/>
      <c r="AQ75" s="98"/>
      <c r="AR75" s="173"/>
      <c r="AS75" s="42"/>
      <c r="AT75" s="42"/>
      <c r="AU75" s="42"/>
      <c r="AV75" s="42"/>
      <c r="AW75" s="98"/>
      <c r="AX75" s="173"/>
      <c r="AY75" s="42"/>
      <c r="AZ75" s="42"/>
      <c r="BA75" s="42"/>
      <c r="BB75" s="42"/>
      <c r="BC75" s="98"/>
      <c r="BD75" s="173"/>
      <c r="BE75" s="42"/>
      <c r="BF75" s="42"/>
      <c r="BG75" s="42"/>
      <c r="BH75" s="42"/>
      <c r="BI75" s="98"/>
      <c r="BJ75" s="173"/>
      <c r="BK75" s="42"/>
      <c r="BL75" s="42"/>
      <c r="BM75" s="42"/>
      <c r="BN75" s="42"/>
      <c r="BO75" s="98"/>
      <c r="BP75" s="173"/>
      <c r="BQ75" s="42"/>
      <c r="BR75" s="42"/>
      <c r="BS75" s="42"/>
      <c r="BT75" s="42"/>
      <c r="BU75" s="98"/>
      <c r="BV75" s="173"/>
      <c r="BW75" s="42"/>
      <c r="BX75" s="42"/>
      <c r="BY75" s="42"/>
      <c r="BZ75" s="42"/>
      <c r="CA75" s="98"/>
      <c r="CB75" s="173"/>
      <c r="CC75" s="42"/>
      <c r="CD75" s="42"/>
      <c r="CE75" s="42"/>
      <c r="CF75" s="42"/>
      <c r="CG75" s="98"/>
      <c r="CH75" s="31"/>
      <c r="CI75" s="31"/>
      <c r="CP75" s="42"/>
      <c r="CQ75" s="42"/>
      <c r="CR75" s="42"/>
      <c r="CS75" s="42"/>
    </row>
    <row r="76" spans="1:97" ht="12.75" hidden="1" customHeight="1" outlineLevel="1" x14ac:dyDescent="0.2">
      <c r="A76" s="246"/>
      <c r="B76" s="46" t="s">
        <v>144</v>
      </c>
      <c r="C76" s="41">
        <v>0</v>
      </c>
      <c r="D76" s="41">
        <v>0</v>
      </c>
      <c r="E76" s="41">
        <v>0</v>
      </c>
      <c r="F76" s="41">
        <v>0</v>
      </c>
      <c r="G76" s="96">
        <f>+SUM(C76:F76)</f>
        <v>0</v>
      </c>
      <c r="H76" s="282"/>
      <c r="I76" s="41">
        <v>0</v>
      </c>
      <c r="J76" s="41">
        <v>0</v>
      </c>
      <c r="K76" s="41">
        <f>-2.189+0.086</f>
        <v>-2.1030000000000002</v>
      </c>
      <c r="L76" s="41">
        <f>-6.231+64.608+0.129-SUM(I76:K76)</f>
        <v>60.609000000000002</v>
      </c>
      <c r="M76" s="96">
        <f>+SUM(I76:L76)</f>
        <v>58.506</v>
      </c>
      <c r="N76" s="282"/>
      <c r="O76" s="41">
        <f>-0.91+0.355</f>
        <v>-0.55500000000000005</v>
      </c>
      <c r="P76" s="41">
        <f>-0.409+0.127</f>
        <v>-0.28199999999999997</v>
      </c>
      <c r="Q76" s="41">
        <f>-69.673-1.906+12.731</f>
        <v>-58.848000000000006</v>
      </c>
      <c r="R76" s="41">
        <f>-6.165-69.673-1.319+16.818-SUM(O76:Q76)</f>
        <v>-0.65400000000000347</v>
      </c>
      <c r="S76" s="96">
        <f>+SUM(O76:R76)</f>
        <v>-60.339000000000013</v>
      </c>
      <c r="T76" s="282"/>
      <c r="U76" s="41">
        <f>-0.827+0.216</f>
        <v>-0.61099999999999999</v>
      </c>
      <c r="V76" s="41">
        <f>(14.298+8.666)-6.816</f>
        <v>16.148</v>
      </c>
      <c r="W76" s="41">
        <f>-3.31+0.79</f>
        <v>-2.52</v>
      </c>
      <c r="X76" s="41">
        <f>14.298-0.827-4.549+8.666-5.631-SUM(U76:W76)</f>
        <v>-1.0599999999999987</v>
      </c>
      <c r="Y76" s="96">
        <f>+SUM(U76:X76)</f>
        <v>11.957000000000001</v>
      </c>
      <c r="Z76" s="282"/>
      <c r="AA76" s="41">
        <f>-1.481+0.379</f>
        <v>-1.1020000000000001</v>
      </c>
      <c r="AB76" s="41">
        <f>-0.057-0.183-5.85-0.592+1.565</f>
        <v>-5.1169999999999991</v>
      </c>
      <c r="AC76" s="41">
        <f>-(0.202+0.267+0.175+1.296+0.868+0.072-0.203)</f>
        <v>-2.677</v>
      </c>
      <c r="AD76" s="41">
        <f>+AD77-AD36</f>
        <v>-2.5319999999999929</v>
      </c>
      <c r="AE76" s="96">
        <f>+SUM(AA76:AD76)</f>
        <v>-11.427999999999992</v>
      </c>
      <c r="AF76" s="109"/>
      <c r="AG76" s="41">
        <f>+AG77-AG36</f>
        <v>-1.1380000000000052</v>
      </c>
      <c r="AH76" s="41">
        <f>+AH77-AH36</f>
        <v>-0.1060000000000052</v>
      </c>
      <c r="AI76" s="41">
        <f>+AI77-AI36</f>
        <v>-24.044000000000015</v>
      </c>
      <c r="AJ76" s="41">
        <f>+AJ77-AJ36</f>
        <v>-12.769</v>
      </c>
      <c r="AK76" s="96">
        <f>+SUM(AG76:AJ76)</f>
        <v>-38.057000000000023</v>
      </c>
      <c r="AL76" s="41"/>
      <c r="AM76" s="36">
        <f>+AM77-AM36</f>
        <v>-63.22500000000003</v>
      </c>
      <c r="AN76" s="535">
        <f>+AN77-AN36</f>
        <v>0</v>
      </c>
      <c r="AO76" s="535">
        <f>+AO77-AO36</f>
        <v>0</v>
      </c>
      <c r="AP76" s="535">
        <f>+AP77-AP36</f>
        <v>0</v>
      </c>
      <c r="AQ76" s="96">
        <f>+SUM(AM76:AP76)</f>
        <v>-63.22500000000003</v>
      </c>
      <c r="AR76" s="41"/>
      <c r="AS76" s="535">
        <f>+AS77-AS36</f>
        <v>0</v>
      </c>
      <c r="AT76" s="535">
        <f>+AT77-AT36</f>
        <v>0</v>
      </c>
      <c r="AU76" s="535">
        <f>+AU77-AU36</f>
        <v>0</v>
      </c>
      <c r="AV76" s="41">
        <v>0</v>
      </c>
      <c r="AW76" s="96">
        <f>+SUM(AS76:AV76)</f>
        <v>0</v>
      </c>
      <c r="AX76" s="41"/>
      <c r="AY76" s="41">
        <v>6.8</v>
      </c>
      <c r="AZ76" s="535">
        <f>+AZ77-AZ36</f>
        <v>0</v>
      </c>
      <c r="BA76" s="535">
        <f>+BA77-BA36</f>
        <v>0</v>
      </c>
      <c r="BB76" s="41">
        <v>0</v>
      </c>
      <c r="BC76" s="96">
        <f>+SUM(AY76:BB76)</f>
        <v>6.8</v>
      </c>
      <c r="BD76" s="41"/>
      <c r="BE76" s="793">
        <f>+BE77-BE36</f>
        <v>0</v>
      </c>
      <c r="BF76" s="535">
        <f>+BF77-BF36</f>
        <v>0</v>
      </c>
      <c r="BG76" s="793">
        <f>+BG77-BG36</f>
        <v>0</v>
      </c>
      <c r="BH76" s="36">
        <f>+BH77-BH36</f>
        <v>-0.35999999999997101</v>
      </c>
      <c r="BI76" s="96">
        <f>+SUM(BE76:BH76)</f>
        <v>-0.35999999999997101</v>
      </c>
      <c r="BJ76" s="41"/>
      <c r="BK76" s="793">
        <f>+BK77-BK36</f>
        <v>0</v>
      </c>
      <c r="BL76" s="793">
        <f>+BL77-BL36</f>
        <v>0</v>
      </c>
      <c r="BM76" s="793">
        <f>+BM77-BM36</f>
        <v>0</v>
      </c>
      <c r="BN76" s="36">
        <f>+BN77-BN36</f>
        <v>-86.6</v>
      </c>
      <c r="BO76" s="96">
        <f>+SUM(BK76:BN76)</f>
        <v>-86.6</v>
      </c>
      <c r="BP76" s="41"/>
      <c r="BQ76" s="793">
        <f>+BQ77-BQ36</f>
        <v>0</v>
      </c>
      <c r="BR76" s="41">
        <v>0</v>
      </c>
      <c r="BS76" s="41">
        <v>0</v>
      </c>
      <c r="BT76" s="41">
        <v>0</v>
      </c>
      <c r="BU76" s="96">
        <f>+SUM(BQ76:BT76)</f>
        <v>0</v>
      </c>
      <c r="BV76" s="41"/>
      <c r="BW76" s="41">
        <v>0</v>
      </c>
      <c r="BX76" s="41">
        <v>0</v>
      </c>
      <c r="BY76" s="41">
        <v>0</v>
      </c>
      <c r="BZ76" s="41">
        <v>0</v>
      </c>
      <c r="CA76" s="96">
        <f>+SUM(BW76:BZ76)</f>
        <v>0</v>
      </c>
      <c r="CB76" s="41"/>
      <c r="CC76" s="41">
        <v>0</v>
      </c>
      <c r="CD76" s="41">
        <v>0</v>
      </c>
      <c r="CE76" s="41">
        <v>0</v>
      </c>
      <c r="CF76" s="41">
        <v>0</v>
      </c>
      <c r="CG76" s="96">
        <f>+SUM(CC76:CF76)</f>
        <v>0</v>
      </c>
      <c r="CH76" s="36"/>
      <c r="CI76" s="36"/>
      <c r="CP76" s="246"/>
      <c r="CQ76" s="246"/>
      <c r="CR76" s="246"/>
      <c r="CS76" s="246"/>
    </row>
    <row r="77" spans="1:97" ht="12.75" hidden="1" customHeight="1" outlineLevel="1" x14ac:dyDescent="0.2">
      <c r="A77" s="43"/>
      <c r="B77" s="121" t="s">
        <v>109</v>
      </c>
      <c r="C77" s="258">
        <f>+C36+SUM(C76:C76)</f>
        <v>6.9779999999999998</v>
      </c>
      <c r="D77" s="258">
        <f>+D36+SUM(D76:D76)</f>
        <v>13.617999999999993</v>
      </c>
      <c r="E77" s="258">
        <f>+E36+SUM(E76:E76)</f>
        <v>9.4599999999999902</v>
      </c>
      <c r="F77" s="258">
        <f>+F36+SUM(F76:F76)</f>
        <v>5.668000000000001</v>
      </c>
      <c r="G77" s="259">
        <f>+G36+SUM(G76:G76)</f>
        <v>35.72399999999999</v>
      </c>
      <c r="H77" s="258"/>
      <c r="I77" s="258">
        <f>+I36+SUM(I76:I76)</f>
        <v>5.3039999999999905</v>
      </c>
      <c r="J77" s="258">
        <f>+J36+SUM(J76:J76)</f>
        <v>4.0300000000000065</v>
      </c>
      <c r="K77" s="258">
        <f>+K36+SUM(K76:K76)</f>
        <v>5.1570000000000089</v>
      </c>
      <c r="L77" s="258">
        <f>+L36+SUM(L76:L76)</f>
        <v>65.495999999999995</v>
      </c>
      <c r="M77" s="259">
        <f>+M36+SUM(M76:M76)</f>
        <v>79.986999999999995</v>
      </c>
      <c r="N77" s="258"/>
      <c r="O77" s="258">
        <f>+O36+SUM(O76:O76)</f>
        <v>2.6359999999999881</v>
      </c>
      <c r="P77" s="258">
        <f>+P36+SUM(P76:P76)</f>
        <v>4.5450000000000061</v>
      </c>
      <c r="Q77" s="258">
        <f>+Q36+SUM(Q76:Q76)</f>
        <v>-49.942</v>
      </c>
      <c r="R77" s="258">
        <f>+R36+SUM(R76:R76)</f>
        <v>11.491999999999962</v>
      </c>
      <c r="S77" s="259">
        <f>+S36+SUM(S76:S76)</f>
        <v>-31.269000000000034</v>
      </c>
      <c r="T77" s="258"/>
      <c r="U77" s="258">
        <f>+U36+SUM(U76:U76)</f>
        <v>14.93</v>
      </c>
      <c r="V77" s="258">
        <f>+V36+SUM(V76:V76)</f>
        <v>32.602999999999994</v>
      </c>
      <c r="W77" s="258">
        <f>+W36+SUM(W76:W76)</f>
        <v>16.815000000000005</v>
      </c>
      <c r="X77" s="258">
        <f>+X36+SUM(X76:X76)</f>
        <v>9.9049999999999745</v>
      </c>
      <c r="Y77" s="259">
        <f>+Y36+SUM(Y76:Y76)</f>
        <v>74.252999999999957</v>
      </c>
      <c r="Z77" s="258"/>
      <c r="AA77" s="258">
        <f>+AA36+SUM(AA76:AA76)</f>
        <v>15.841000000000005</v>
      </c>
      <c r="AB77" s="258">
        <f>+AB36+SUM(AB76:AB76)</f>
        <v>11.162000000000001</v>
      </c>
      <c r="AC77" s="258">
        <f>+AC36+SUM(AC76:AC76)</f>
        <v>19.26400000000001</v>
      </c>
      <c r="AD77" s="298">
        <v>20.449000000000002</v>
      </c>
      <c r="AE77" s="259">
        <f>+AE36+SUM(AE76:AE76)</f>
        <v>66.71599999999998</v>
      </c>
      <c r="AF77" s="283"/>
      <c r="AG77" s="298">
        <v>20.984000000000002</v>
      </c>
      <c r="AH77" s="298">
        <v>28.492000000000001</v>
      </c>
      <c r="AI77" s="298">
        <v>-0.34399999999999997</v>
      </c>
      <c r="AJ77" s="298">
        <v>9.5589999999999993</v>
      </c>
      <c r="AK77" s="259">
        <f>+AK36+SUM(AK76:AK76)</f>
        <v>58.691000000000081</v>
      </c>
      <c r="AL77" s="283"/>
      <c r="AM77" s="298">
        <v>-41.982999999999997</v>
      </c>
      <c r="AN77" s="298">
        <v>29.32</v>
      </c>
      <c r="AO77" s="298">
        <v>34.536999999999999</v>
      </c>
      <c r="AP77" s="298">
        <v>42.421999999999997</v>
      </c>
      <c r="AQ77" s="259">
        <f>+AQ36+SUM(AQ76:AQ76)</f>
        <v>64.295999999999964</v>
      </c>
      <c r="AR77" s="283"/>
      <c r="AS77" s="298">
        <v>32.444000000000003</v>
      </c>
      <c r="AT77" s="298">
        <v>35.6</v>
      </c>
      <c r="AU77" s="298">
        <v>38.247</v>
      </c>
      <c r="AV77" s="547">
        <f>145.832-SUM(AS77:AU77)</f>
        <v>39.540999999999983</v>
      </c>
      <c r="AW77" s="259">
        <f>+AW36+SUM(AW76:AW76)</f>
        <v>145.83200000000002</v>
      </c>
      <c r="AX77" s="283"/>
      <c r="AY77" s="298">
        <v>36.177</v>
      </c>
      <c r="AZ77" s="298">
        <v>31.35</v>
      </c>
      <c r="BA77" s="298">
        <v>27.616</v>
      </c>
      <c r="BB77" s="547">
        <v>48.877000000000002</v>
      </c>
      <c r="BC77" s="259">
        <f>SUM(AY77:BB77)</f>
        <v>144.02000000000001</v>
      </c>
      <c r="BD77" s="283"/>
      <c r="BE77" s="298">
        <v>40.545999999999999</v>
      </c>
      <c r="BF77" s="298">
        <v>50.148000000000003</v>
      </c>
      <c r="BG77" s="777">
        <v>51.366999999999997</v>
      </c>
      <c r="BH77" s="777">
        <v>47.621000000000002</v>
      </c>
      <c r="BI77" s="259">
        <f>+BI36+SUM(BI76:BI76)</f>
        <v>189.68200000000002</v>
      </c>
      <c r="BJ77" s="283"/>
      <c r="BK77" s="298">
        <v>69.42</v>
      </c>
      <c r="BL77" s="298">
        <v>69.179000000000002</v>
      </c>
      <c r="BM77" s="777">
        <v>82.555000000000007</v>
      </c>
      <c r="BN77" s="777">
        <v>10.263999999999999</v>
      </c>
      <c r="BO77" s="259">
        <f>+BO36+SUM(BO76:BO76)</f>
        <v>231.41800000000009</v>
      </c>
      <c r="BP77" s="283"/>
      <c r="BQ77" s="298">
        <v>95.866</v>
      </c>
      <c r="BR77" s="258">
        <f>+BR36+SUM(BR76:BR76)</f>
        <v>97.245802292294272</v>
      </c>
      <c r="BS77" s="258">
        <f>+BS36+SUM(BS76:BS76)</f>
        <v>97.160037017123003</v>
      </c>
      <c r="BT77" s="258">
        <f>+BT36+SUM(BT76:BT76)</f>
        <v>109.69888854810318</v>
      </c>
      <c r="BU77" s="259">
        <f>+BU36+SUM(BU76:BU76)</f>
        <v>399.97072785752022</v>
      </c>
      <c r="BV77" s="283"/>
      <c r="BW77" s="258">
        <f>+BW36+SUM(BW76:BW76)</f>
        <v>107.63669769767534</v>
      </c>
      <c r="BX77" s="258">
        <f>+BX36+SUM(BX76:BX76)</f>
        <v>126.64524059714589</v>
      </c>
      <c r="BY77" s="258">
        <f>+BY36+SUM(BY76:BY76)</f>
        <v>138.7547347725033</v>
      </c>
      <c r="BZ77" s="258">
        <f>+BZ36+SUM(BZ76:BZ76)</f>
        <v>153.90192801793552</v>
      </c>
      <c r="CA77" s="259">
        <f>+CA36+SUM(CA76:CA76)</f>
        <v>526.93860108526019</v>
      </c>
      <c r="CB77" s="283"/>
      <c r="CC77" s="258">
        <f>+CC36+SUM(CC76:CC76)</f>
        <v>153.84467911750437</v>
      </c>
      <c r="CD77" s="258">
        <f>+CD36+SUM(CD76:CD76)</f>
        <v>176.02213955458916</v>
      </c>
      <c r="CE77" s="258">
        <f>+CE36+SUM(CE76:CE76)</f>
        <v>193.51802238499693</v>
      </c>
      <c r="CF77" s="258">
        <f>+CF36+SUM(CF76:CF76)</f>
        <v>212.29683881279286</v>
      </c>
      <c r="CG77" s="259">
        <f>+CG36+SUM(CG76:CG76)</f>
        <v>735.68167986988374</v>
      </c>
      <c r="CH77" s="258"/>
      <c r="CI77" s="258"/>
      <c r="CP77" s="43"/>
      <c r="CQ77" s="43"/>
      <c r="CR77" s="43"/>
      <c r="CS77" s="43"/>
    </row>
    <row r="78" spans="1:97" ht="12.75" hidden="1" customHeight="1" outlineLevel="1" x14ac:dyDescent="0.2">
      <c r="A78" s="43"/>
      <c r="B78" s="588" t="s">
        <v>116</v>
      </c>
      <c r="C78" s="589">
        <f>+C77/C39</f>
        <v>0.10064761794868096</v>
      </c>
      <c r="D78" s="589">
        <f>+D77/D39</f>
        <v>0.19124524274298868</v>
      </c>
      <c r="E78" s="589">
        <f>+E77/E39</f>
        <v>0.13097051086806022</v>
      </c>
      <c r="F78" s="589">
        <f>+F77/F39</f>
        <v>7.8871201157742418E-2</v>
      </c>
      <c r="G78" s="590">
        <f>+G77/G39</f>
        <v>0.50002799395330588</v>
      </c>
      <c r="H78" s="591"/>
      <c r="I78" s="592">
        <f>+I77/I39</f>
        <v>7.4851820491109097E-2</v>
      </c>
      <c r="J78" s="592">
        <f>+J77/J39</f>
        <v>5.7640597288174479E-2</v>
      </c>
      <c r="K78" s="589">
        <f>+K77/K39</f>
        <v>7.5061131811830592E-2</v>
      </c>
      <c r="L78" s="589">
        <f>+L77/L39</f>
        <v>0.98024425287356309</v>
      </c>
      <c r="M78" s="590">
        <f>+M77/M39</f>
        <v>1.1751733662435355</v>
      </c>
      <c r="N78" s="591"/>
      <c r="O78" s="592">
        <f>+O77/O39</f>
        <v>3.9670715005944407E-2</v>
      </c>
      <c r="P78" s="592">
        <f>+P77/P39</f>
        <v>6.7460258560551045E-2</v>
      </c>
      <c r="Q78" s="589">
        <f>+Q77/Q39</f>
        <v>-0.71830054078932226</v>
      </c>
      <c r="R78" s="589">
        <f>+R77/R39</f>
        <v>0.14957504132446489</v>
      </c>
      <c r="S78" s="590">
        <f>+S77/S39</f>
        <v>-0.45255738559064518</v>
      </c>
      <c r="T78" s="591"/>
      <c r="U78" s="592">
        <f>+U77/U39</f>
        <v>0.19240434552882199</v>
      </c>
      <c r="V78" s="592">
        <f>+V77/V39</f>
        <v>0.42010385661087268</v>
      </c>
      <c r="W78" s="589">
        <f>+W77/W39</f>
        <v>0.21527608854293367</v>
      </c>
      <c r="X78" s="589">
        <f>+X77/X39</f>
        <v>0.12581931812407873</v>
      </c>
      <c r="Y78" s="590">
        <f>+Y77/Y39</f>
        <v>0.95098616803278635</v>
      </c>
      <c r="Z78" s="591"/>
      <c r="AA78" s="592">
        <f>+AA77/AA39</f>
        <v>0.19960685979259338</v>
      </c>
      <c r="AB78" s="592">
        <f>+AB77/AB39</f>
        <v>0.13896739333424635</v>
      </c>
      <c r="AC78" s="589">
        <f>+AC77/AC39</f>
        <v>0.24000199337203809</v>
      </c>
      <c r="AD78" s="589">
        <f>+AD77/AD39</f>
        <v>0.25292829843288106</v>
      </c>
      <c r="AE78" s="590">
        <f>+AE77/AE39</f>
        <v>0.83187810359822534</v>
      </c>
      <c r="AF78" s="591"/>
      <c r="AG78" s="589">
        <f>+AG77/AG39</f>
        <v>0.25635261923377645</v>
      </c>
      <c r="AH78" s="592">
        <f>+AH77/AH39</f>
        <v>0.34346746389565302</v>
      </c>
      <c r="AI78" s="592">
        <f>+AI77/AI39</f>
        <v>-4.0998259957571561E-3</v>
      </c>
      <c r="AJ78" s="589">
        <f>+AJ77/AJ39</f>
        <v>0.11519504464877502</v>
      </c>
      <c r="AK78" s="590">
        <f>+AK77/AK39</f>
        <v>0.70776642538220225</v>
      </c>
      <c r="AL78" s="591"/>
      <c r="AM78" s="589">
        <f>+AM77/AM39</f>
        <v>-0.5167265655769987</v>
      </c>
      <c r="AN78" s="589">
        <f>+AN77/AN39</f>
        <v>0.35691243959147401</v>
      </c>
      <c r="AO78" s="589">
        <f>+AO77/AO39</f>
        <v>0.42196510605023946</v>
      </c>
      <c r="AP78" s="589">
        <f>+AP77/AP39</f>
        <v>0.51459278488075877</v>
      </c>
      <c r="AQ78" s="590">
        <f>+AQ77/AQ39</f>
        <v>0.78485609567783454</v>
      </c>
      <c r="AR78" s="591"/>
      <c r="AS78" s="589">
        <f>+AS77/AS39</f>
        <v>0.39175531593754914</v>
      </c>
      <c r="AT78" s="589">
        <f>+AT77/AT39</f>
        <v>0.432348404804411</v>
      </c>
      <c r="AU78" s="589">
        <f>+AU77/AU39</f>
        <v>0.46634720901309534</v>
      </c>
      <c r="AV78" s="589">
        <f>+AV77/AV39</f>
        <v>0.4840312886364469</v>
      </c>
      <c r="AW78" s="590">
        <f>+AW77/AW39</f>
        <v>1.772322350910881</v>
      </c>
      <c r="AX78" s="591"/>
      <c r="AY78" s="589">
        <f>+AY77/AY39</f>
        <v>0.44213189284317561</v>
      </c>
      <c r="AZ78" s="589">
        <f>+AZ77/AZ39</f>
        <v>0.38516352556699512</v>
      </c>
      <c r="BA78" s="589">
        <f>+BA77/BA39</f>
        <v>0.34055147240171657</v>
      </c>
      <c r="BB78" s="589">
        <f>+BB77/BB39</f>
        <v>0.60304006119603704</v>
      </c>
      <c r="BC78" s="590">
        <f>+BC77/BC39</f>
        <v>1.7705871324467286</v>
      </c>
      <c r="BD78" s="591"/>
      <c r="BE78" s="589">
        <f>+BE77/BE39</f>
        <v>0.49859813084112153</v>
      </c>
      <c r="BF78" s="589">
        <f>+BF77/BF39</f>
        <v>0.61697075577318194</v>
      </c>
      <c r="BG78" s="794">
        <f>+BG77/BG39</f>
        <v>0.63053298308496797</v>
      </c>
      <c r="BH78" s="589">
        <f>+BH77/BH39</f>
        <v>0.58611904293028749</v>
      </c>
      <c r="BI78" s="590">
        <f>+BI77/BI39</f>
        <v>2.3322871678219572</v>
      </c>
      <c r="BJ78" s="591"/>
      <c r="BK78" s="589">
        <f>+BK77/BK39</f>
        <v>0.85142394583854586</v>
      </c>
      <c r="BL78" s="589">
        <f>+BL77/BL39</f>
        <v>0.84745991106319907</v>
      </c>
      <c r="BM78" s="794">
        <f>+BM77/BM39</f>
        <v>1.0093655626062186</v>
      </c>
      <c r="BN78" s="794">
        <f>+BN77/BN39</f>
        <v>0.12538020839695588</v>
      </c>
      <c r="BO78" s="590">
        <f>+BO77/BO39</f>
        <v>2.8323863201730641</v>
      </c>
      <c r="BP78" s="591"/>
      <c r="BQ78" s="589">
        <f>+BQ77/BQ39</f>
        <v>1.1744254422502083</v>
      </c>
      <c r="BR78" s="589">
        <f>+BR77/BR39</f>
        <v>1.2114649791742005</v>
      </c>
      <c r="BS78" s="589">
        <f>+BS77/BS39</f>
        <v>1.2147870744814779</v>
      </c>
      <c r="BT78" s="589">
        <f>+BT77/BT39</f>
        <v>1.3758118841924571</v>
      </c>
      <c r="BU78" s="590">
        <f>+BU77/BU39</f>
        <v>4.9745390981955175</v>
      </c>
      <c r="BV78" s="591"/>
      <c r="BW78" s="589">
        <f>+BW77/BW39</f>
        <v>1.3540501937887879</v>
      </c>
      <c r="BX78" s="589">
        <f>+BX77/BX39</f>
        <v>1.5985888273217885</v>
      </c>
      <c r="BY78" s="589">
        <f>+BY77/BY39</f>
        <v>1.7572036578492767</v>
      </c>
      <c r="BZ78" s="589">
        <f>+BZ77/BZ39</f>
        <v>1.9544516634290834</v>
      </c>
      <c r="CA78" s="590">
        <f>+CA77/CA39</f>
        <v>6.6611874304623413</v>
      </c>
      <c r="CB78" s="591"/>
      <c r="CC78" s="589">
        <f>+CC77/CC39</f>
        <v>1.959309512472583</v>
      </c>
      <c r="CD78" s="589">
        <f>+CD77/CD39</f>
        <v>2.249183975606579</v>
      </c>
      <c r="CE78" s="589">
        <f>+CE77/CE39</f>
        <v>2.4793577185353417</v>
      </c>
      <c r="CF78" s="589">
        <f>+CF77/CF39</f>
        <v>2.7388787917801638</v>
      </c>
      <c r="CG78" s="590">
        <f>+CG77/CG39</f>
        <v>9.4214201964727078</v>
      </c>
      <c r="CH78" s="593"/>
      <c r="CI78" s="593"/>
      <c r="CP78" s="43"/>
      <c r="CQ78" s="237"/>
      <c r="CR78" s="237"/>
      <c r="CS78" s="237"/>
    </row>
    <row r="79" spans="1:97" collapsed="1" x14ac:dyDescent="0.2">
      <c r="A79" s="43"/>
      <c r="B79" s="121"/>
      <c r="C79" s="257"/>
      <c r="D79" s="257"/>
      <c r="E79" s="257"/>
      <c r="F79" s="257"/>
      <c r="G79" s="339"/>
      <c r="H79" s="281"/>
      <c r="I79" s="257"/>
      <c r="J79" s="257"/>
      <c r="K79" s="257"/>
      <c r="L79" s="257"/>
      <c r="M79" s="339"/>
      <c r="N79" s="281"/>
      <c r="O79" s="257"/>
      <c r="P79" s="257"/>
      <c r="Q79" s="257"/>
      <c r="R79" s="257"/>
      <c r="S79" s="339"/>
      <c r="T79" s="281"/>
      <c r="U79" s="257"/>
      <c r="V79" s="257"/>
      <c r="W79" s="257"/>
      <c r="X79" s="257"/>
      <c r="Y79" s="339"/>
      <c r="Z79" s="281"/>
      <c r="AA79" s="257"/>
      <c r="AB79" s="257"/>
      <c r="AC79" s="258"/>
      <c r="AD79" s="258"/>
      <c r="AE79" s="339"/>
      <c r="AF79" s="281"/>
      <c r="AG79" s="258"/>
      <c r="AH79" s="257"/>
      <c r="AI79" s="257"/>
      <c r="AJ79" s="258"/>
      <c r="AK79" s="339"/>
      <c r="AL79" s="281"/>
      <c r="AM79" s="257"/>
      <c r="AN79" s="257"/>
      <c r="AO79" s="258"/>
      <c r="AP79" s="258"/>
      <c r="AQ79" s="339"/>
      <c r="AR79" s="281"/>
      <c r="AS79" s="257"/>
      <c r="AT79" s="257"/>
      <c r="AU79" s="257"/>
      <c r="AV79" s="258"/>
      <c r="AW79" s="339"/>
      <c r="AX79" s="281"/>
      <c r="AY79" s="257"/>
      <c r="AZ79" s="257"/>
      <c r="BA79" s="257"/>
      <c r="BB79" s="258"/>
      <c r="BC79" s="339"/>
      <c r="BD79" s="281"/>
      <c r="BE79" s="257"/>
      <c r="BF79" s="257"/>
      <c r="BG79" s="258"/>
      <c r="BH79" s="258"/>
      <c r="BI79" s="339"/>
      <c r="BJ79" s="281"/>
      <c r="BK79" s="257"/>
      <c r="BL79" s="257"/>
      <c r="BM79" s="258"/>
      <c r="BN79" s="258"/>
      <c r="BO79" s="339"/>
      <c r="BP79" s="281"/>
      <c r="BQ79" s="257"/>
      <c r="BR79" s="257"/>
      <c r="BS79" s="258"/>
      <c r="BT79" s="258"/>
      <c r="BU79" s="339"/>
      <c r="BV79" s="281"/>
      <c r="BW79" s="257"/>
      <c r="BX79" s="257"/>
      <c r="BY79" s="258"/>
      <c r="BZ79" s="258"/>
      <c r="CA79" s="339"/>
      <c r="CB79" s="281"/>
      <c r="CC79" s="257"/>
      <c r="CD79" s="257"/>
      <c r="CE79" s="258"/>
      <c r="CF79" s="258"/>
      <c r="CG79" s="339"/>
      <c r="CH79" s="258"/>
      <c r="CI79" s="258"/>
      <c r="CP79" s="43"/>
      <c r="CQ79" s="43"/>
      <c r="CR79" s="43"/>
      <c r="CS79" s="43"/>
    </row>
    <row r="80" spans="1:97" x14ac:dyDescent="0.2">
      <c r="A80" s="42"/>
      <c r="B80" s="120" t="s">
        <v>344</v>
      </c>
      <c r="C80" s="120"/>
      <c r="D80" s="120"/>
      <c r="E80" s="120"/>
      <c r="F80" s="120"/>
      <c r="G80" s="120"/>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854"/>
      <c r="BV80" s="120"/>
      <c r="BW80" s="120"/>
      <c r="BX80" s="120"/>
      <c r="BY80" s="120"/>
      <c r="BZ80" s="120"/>
      <c r="CA80" s="120"/>
      <c r="CB80" s="120"/>
      <c r="CC80" s="120"/>
      <c r="CD80" s="120"/>
      <c r="CE80" s="120"/>
      <c r="CF80" s="120"/>
      <c r="CG80" s="120"/>
      <c r="CH80" s="120"/>
      <c r="CI80" s="120"/>
      <c r="CP80" s="120"/>
      <c r="CQ80" s="120"/>
      <c r="CR80" s="120"/>
      <c r="CS80" s="120"/>
    </row>
    <row r="81" spans="1:97" ht="13.5" hidden="1" customHeight="1" outlineLevel="1" thickBot="1" x14ac:dyDescent="0.25">
      <c r="A81" s="42"/>
      <c r="B81" s="99">
        <v>1</v>
      </c>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c r="AE81" s="100"/>
      <c r="AF81" s="100"/>
      <c r="AG81" s="100"/>
      <c r="AH81" s="100"/>
      <c r="AI81" s="100"/>
      <c r="AJ81" s="100"/>
      <c r="AK81" s="100"/>
      <c r="AL81" s="100"/>
      <c r="AM81" s="100"/>
      <c r="AN81" s="100"/>
      <c r="AO81" s="100"/>
      <c r="AP81" s="100"/>
      <c r="AQ81" s="100"/>
      <c r="AR81" s="100"/>
      <c r="AS81" s="100"/>
      <c r="AT81" s="100"/>
      <c r="AU81" s="100"/>
      <c r="AV81" s="100"/>
      <c r="AW81" s="100"/>
      <c r="AX81" s="100"/>
      <c r="AY81" s="100"/>
      <c r="AZ81" s="100"/>
      <c r="BA81" s="100"/>
      <c r="BB81" s="100"/>
      <c r="BC81" s="100"/>
      <c r="BD81" s="100"/>
      <c r="BE81" s="100"/>
      <c r="BF81" s="100"/>
      <c r="BG81" s="100"/>
      <c r="BH81" s="100"/>
      <c r="BI81" s="100"/>
      <c r="BJ81" s="100"/>
      <c r="BK81" s="100"/>
      <c r="BL81" s="100"/>
      <c r="BM81" s="100"/>
      <c r="BN81" s="100"/>
      <c r="BO81" s="100"/>
      <c r="BP81" s="100"/>
      <c r="BQ81" s="100"/>
      <c r="BR81" s="100"/>
      <c r="BS81" s="100"/>
      <c r="BT81" s="100"/>
      <c r="BU81" s="100"/>
      <c r="BV81" s="100"/>
      <c r="BW81" s="100"/>
      <c r="BX81" s="100"/>
      <c r="BY81" s="100"/>
      <c r="BZ81" s="100"/>
      <c r="CA81" s="100"/>
      <c r="CB81" s="100"/>
      <c r="CC81" s="100"/>
      <c r="CD81" s="100"/>
      <c r="CE81" s="100"/>
      <c r="CF81" s="100"/>
      <c r="CG81" s="100"/>
      <c r="CH81" s="100"/>
      <c r="CI81" s="100"/>
      <c r="CP81" s="52"/>
      <c r="CQ81" s="52"/>
      <c r="CR81" s="52"/>
      <c r="CS81" s="52"/>
    </row>
    <row r="82" spans="1:97" ht="12.75" hidden="1" customHeight="1" outlineLevel="1" x14ac:dyDescent="0.2">
      <c r="A82" s="42"/>
      <c r="B82" s="103" t="s">
        <v>102</v>
      </c>
      <c r="C82" s="101"/>
      <c r="D82" s="101"/>
      <c r="E82" s="101"/>
      <c r="F82" s="101"/>
      <c r="G82" s="101"/>
      <c r="H82" s="101"/>
      <c r="I82" s="101">
        <f>+I60</f>
        <v>0.17275450510500145</v>
      </c>
      <c r="J82" s="101">
        <f>+J60</f>
        <v>4.3066198451757742E-2</v>
      </c>
      <c r="K82" s="101">
        <f>+K60</f>
        <v>5.2091643224027706E-2</v>
      </c>
      <c r="L82" s="101">
        <f>+L60</f>
        <v>2.2174110898134369E-2</v>
      </c>
      <c r="M82" s="101">
        <f>+M60</f>
        <v>6.9088248948412367E-2</v>
      </c>
      <c r="N82" s="101"/>
      <c r="O82" s="101">
        <f>+O60</f>
        <v>-6.2105488391997477E-2</v>
      </c>
      <c r="P82" s="101">
        <f>+P60</f>
        <v>-4.4879977973016905E-2</v>
      </c>
      <c r="Q82" s="101">
        <f>+Q60</f>
        <v>5.4487648490814555E-2</v>
      </c>
      <c r="R82" s="101">
        <f>+R60</f>
        <v>0.16851264755480577</v>
      </c>
      <c r="S82" s="101">
        <f>+S60</f>
        <v>2.7492302023843784E-2</v>
      </c>
      <c r="T82" s="101"/>
      <c r="U82" s="101">
        <f>+U60</f>
        <v>0.2845776535675586</v>
      </c>
      <c r="V82" s="101">
        <f>+V60</f>
        <v>0.23038419204360805</v>
      </c>
      <c r="W82" s="101">
        <f>+W60</f>
        <v>0.21039750722224326</v>
      </c>
      <c r="X82" s="101">
        <f>+X60</f>
        <v>7.2469289738616549E-2</v>
      </c>
      <c r="Y82" s="101">
        <f>+Y60</f>
        <v>0.19368750660352907</v>
      </c>
      <c r="Z82" s="101"/>
      <c r="AA82" s="101">
        <f>+AA60</f>
        <v>0.1639027639027637</v>
      </c>
      <c r="AB82" s="101">
        <f>+AB60</f>
        <v>0.27889837909220638</v>
      </c>
      <c r="AC82" s="101">
        <f>+AC60</f>
        <v>0.31212023304532721</v>
      </c>
      <c r="AD82" s="101">
        <f>+AD60</f>
        <v>0.38767183749044642</v>
      </c>
      <c r="AE82" s="101">
        <f>+AE60</f>
        <v>0.28676226034525309</v>
      </c>
      <c r="AF82" s="101"/>
      <c r="AG82" s="101">
        <f>+AG60</f>
        <v>0.28823338673991006</v>
      </c>
      <c r="AH82" s="101">
        <f>+AH60</f>
        <v>0.21268091201305728</v>
      </c>
      <c r="AI82" s="101">
        <f>+AI60</f>
        <v>8.4213703591910605E-2</v>
      </c>
      <c r="AJ82" s="101">
        <f>+AJ60</f>
        <v>0.10810286645203826</v>
      </c>
      <c r="AK82" s="101">
        <f>+AK60</f>
        <v>0.16738198319509912</v>
      </c>
      <c r="AL82" s="101"/>
      <c r="AM82" s="101">
        <f>+AM60</f>
        <v>0.13696429496812978</v>
      </c>
      <c r="AN82" s="101">
        <f>+AN60</f>
        <v>0.12499141636795619</v>
      </c>
      <c r="AO82" s="101">
        <f>+AO60</f>
        <v>0.2052074786074316</v>
      </c>
      <c r="AP82" s="101">
        <f>+AP60</f>
        <v>0.24819378325399044</v>
      </c>
      <c r="AQ82" s="101">
        <f>+AQ60</f>
        <v>0.1788529768356244</v>
      </c>
      <c r="AR82" s="101"/>
      <c r="AS82" s="101">
        <f>+AS60</f>
        <v>0.17623388462039302</v>
      </c>
      <c r="AT82" s="101">
        <f>+AT60</f>
        <v>0.1752020411651245</v>
      </c>
      <c r="AU82" s="101">
        <f>+AU60</f>
        <v>0.15421929899213405</v>
      </c>
      <c r="AV82" s="101">
        <f>+AV60</f>
        <v>0.11390303546990332</v>
      </c>
      <c r="AW82" s="101">
        <f>+AW60</f>
        <v>0.15365961533218431</v>
      </c>
      <c r="AX82" s="101"/>
      <c r="AY82" s="101">
        <f>+AY60</f>
        <v>9.6542408910244459E-2</v>
      </c>
      <c r="AZ82" s="101">
        <f>+AZ60</f>
        <v>8.8074128322192191E-2</v>
      </c>
      <c r="BA82" s="101">
        <f>+BA60</f>
        <v>9.3534727927700123E-2</v>
      </c>
      <c r="BB82" s="101">
        <f>+BB60</f>
        <v>0.15949647532729117</v>
      </c>
      <c r="BC82" s="101">
        <f>+BC60</f>
        <v>0.11006718282472483</v>
      </c>
      <c r="BD82" s="101"/>
      <c r="BE82" s="101">
        <f>+BE60</f>
        <v>0.20513312399664785</v>
      </c>
      <c r="BF82" s="101">
        <f>+BF60</f>
        <v>0.28581112044604007</v>
      </c>
      <c r="BG82" s="101">
        <f>+BG60</f>
        <v>0.34171819915621571</v>
      </c>
      <c r="BH82" s="101">
        <f>+BH60</f>
        <v>0.27326773089683676</v>
      </c>
      <c r="BI82" s="101">
        <f>+BI60</f>
        <v>0.27722280439889002</v>
      </c>
      <c r="BJ82" s="101"/>
      <c r="BK82" s="101">
        <f>+BK60</f>
        <v>0.30002094504021448</v>
      </c>
      <c r="BL82" s="101">
        <f>+BL60</f>
        <v>0.3234309219563265</v>
      </c>
      <c r="BM82" s="101">
        <f>+BM60</f>
        <v>0.38292251309276382</v>
      </c>
      <c r="BN82" s="101">
        <f>+BN60</f>
        <v>0.43696687960218683</v>
      </c>
      <c r="BO82" s="101">
        <f>+BO60</f>
        <v>0.36443047985227905</v>
      </c>
      <c r="BP82" s="101"/>
      <c r="BQ82" s="101">
        <f>+BQ60</f>
        <v>0.40788358611978426</v>
      </c>
      <c r="BR82" s="101">
        <f>+BR60</f>
        <v>0.35042683365554828</v>
      </c>
      <c r="BS82" s="101">
        <f>+BS60</f>
        <v>0.27765561539229888</v>
      </c>
      <c r="BT82" s="101">
        <f>+BT60</f>
        <v>0.28203296742094719</v>
      </c>
      <c r="BU82" s="101">
        <f>+BU60</f>
        <v>0.32394337529480022</v>
      </c>
      <c r="BV82" s="101"/>
      <c r="BW82" s="101">
        <f>+BW60</f>
        <v>0.21257063154223776</v>
      </c>
      <c r="BX82" s="101">
        <f>+BX60</f>
        <v>0.2478375704501079</v>
      </c>
      <c r="BY82" s="101">
        <f>+BY60</f>
        <v>0.23617929028505436</v>
      </c>
      <c r="BZ82" s="101">
        <f>+BZ60</f>
        <v>0.23664411339705116</v>
      </c>
      <c r="CA82" s="101">
        <f>+CA60</f>
        <v>0.23389716031999797</v>
      </c>
      <c r="CB82" s="101"/>
      <c r="CC82" s="101">
        <f>+CC60</f>
        <v>0.17751427697818967</v>
      </c>
      <c r="CD82" s="101">
        <f>+CD60</f>
        <v>0.16492194532000282</v>
      </c>
      <c r="CE82" s="101">
        <f>+CE60</f>
        <v>0.16203502900092537</v>
      </c>
      <c r="CF82" s="101">
        <f>+CF60</f>
        <v>0.15525633598825705</v>
      </c>
      <c r="CG82" s="101">
        <f>+CG60</f>
        <v>0.16428147081470001</v>
      </c>
      <c r="CH82" s="101"/>
      <c r="CI82" s="101"/>
      <c r="CP82" s="52"/>
      <c r="CQ82" s="52"/>
      <c r="CR82" s="52"/>
      <c r="CS82" s="52"/>
    </row>
    <row r="83" spans="1:97" ht="12.75" hidden="1" customHeight="1" outlineLevel="1" x14ac:dyDescent="0.2">
      <c r="A83" s="119"/>
      <c r="B83" s="278" t="s">
        <v>166</v>
      </c>
      <c r="C83" s="101"/>
      <c r="D83" s="101"/>
      <c r="E83" s="101"/>
      <c r="F83" s="101"/>
      <c r="G83" s="101"/>
      <c r="H83" s="101"/>
      <c r="I83" s="101"/>
      <c r="J83" s="101"/>
      <c r="K83" s="101"/>
      <c r="L83" s="101"/>
      <c r="M83" s="101"/>
      <c r="N83" s="101"/>
      <c r="O83" s="101"/>
      <c r="P83" s="101"/>
      <c r="Q83" s="101"/>
      <c r="R83" s="101"/>
      <c r="S83" s="101"/>
      <c r="T83" s="101"/>
      <c r="U83" s="319"/>
      <c r="V83" s="319"/>
      <c r="W83" s="319"/>
      <c r="X83" s="319"/>
      <c r="Y83" s="319"/>
      <c r="Z83" s="101"/>
      <c r="AA83" s="319">
        <f t="shared" ref="AA83:AE88" si="77">CHOOSE($B$81,AA102,AA117,AA132)</f>
        <v>0.1639027639027637</v>
      </c>
      <c r="AB83" s="319">
        <f t="shared" si="77"/>
        <v>0.20982342541907162</v>
      </c>
      <c r="AC83" s="319">
        <f t="shared" si="77"/>
        <v>0.19128268731695641</v>
      </c>
      <c r="AD83" s="319">
        <f t="shared" si="77"/>
        <v>0.27996727417566447</v>
      </c>
      <c r="AE83" s="319">
        <f t="shared" si="77"/>
        <v>0.21143261772184485</v>
      </c>
      <c r="AF83" s="101"/>
      <c r="AG83" s="319">
        <f t="shared" ref="AG83:AK88" si="78">CHOOSE($B$81,AG102,AG117,AG132)</f>
        <v>0.17616540779736023</v>
      </c>
      <c r="AH83" s="101">
        <f t="shared" si="78"/>
        <v>0.1766637323943665</v>
      </c>
      <c r="AI83" s="101">
        <f t="shared" si="78"/>
        <v>0.10870516185476808</v>
      </c>
      <c r="AJ83" s="101">
        <f t="shared" si="78"/>
        <v>0.11740117746005052</v>
      </c>
      <c r="AK83" s="101">
        <f t="shared" si="78"/>
        <v>0.14374878225906462</v>
      </c>
      <c r="AL83" s="101"/>
      <c r="AM83" s="101">
        <f t="shared" ref="AM83:AQ88" si="79">CHOOSE($B$81,AM102,AM117,AM132)</f>
        <v>0.14793072132848994</v>
      </c>
      <c r="AN83" s="101">
        <f t="shared" si="79"/>
        <v>0.14688521646754293</v>
      </c>
      <c r="AO83" s="101">
        <f t="shared" si="79"/>
        <v>0.2116788321167884</v>
      </c>
      <c r="AP83" s="101">
        <f t="shared" si="79"/>
        <v>0.2511308981702407</v>
      </c>
      <c r="AQ83" s="101">
        <f t="shared" si="79"/>
        <v>0.18984050903924077</v>
      </c>
      <c r="AR83" s="101"/>
      <c r="AS83" s="101">
        <f t="shared" ref="AS83:AW88" si="80">CHOOSE($B$81,AS102,AS117,AS132)</f>
        <v>0.18836351820981556</v>
      </c>
      <c r="AT83" s="101">
        <f t="shared" ref="AT83:AT88" si="81">CHOOSE($B$81,AT102,AT117,AT132)</f>
        <v>0.1724167172201454</v>
      </c>
      <c r="AU83" s="101">
        <f t="shared" si="80"/>
        <v>0.16013025073266052</v>
      </c>
      <c r="AV83" s="101">
        <f t="shared" si="80"/>
        <v>0.12160097218211563</v>
      </c>
      <c r="AW83" s="101">
        <f t="shared" si="80"/>
        <v>0.15927789681590632</v>
      </c>
      <c r="AX83" s="101"/>
      <c r="AY83" s="101">
        <f t="shared" ref="AY83:BC88" si="82">CHOOSE($B$81,AY102,AY117,AY132)</f>
        <v>0.11168635096499613</v>
      </c>
      <c r="AZ83" s="101">
        <f t="shared" si="82"/>
        <v>0.11729490638996354</v>
      </c>
      <c r="BA83" s="101">
        <f t="shared" ref="BA83:BA88" si="83">CHOOSE($B$81,BA102,BA117,BA132)</f>
        <v>0.1131370061413064</v>
      </c>
      <c r="BB83" s="101">
        <f t="shared" si="82"/>
        <v>0.14809828521162638</v>
      </c>
      <c r="BC83" s="101">
        <f t="shared" si="82"/>
        <v>0.12299083992820159</v>
      </c>
      <c r="BD83" s="101"/>
      <c r="BE83" s="101">
        <f t="shared" ref="BE83:BI88" si="84">CHOOSE($B$81,BE102,BE117,BE132)</f>
        <v>0.14809828521162638</v>
      </c>
      <c r="BF83" s="101">
        <f t="shared" si="84"/>
        <v>0.21222804842219523</v>
      </c>
      <c r="BG83" s="101">
        <f t="shared" si="84"/>
        <v>0.22883424444758194</v>
      </c>
      <c r="BH83" s="101">
        <f t="shared" si="84"/>
        <v>0.17508689639706976</v>
      </c>
      <c r="BI83" s="101">
        <f t="shared" si="84"/>
        <v>0.19726101181475286</v>
      </c>
      <c r="BJ83" s="101"/>
      <c r="BK83" s="101">
        <f t="shared" ref="BK83:BO88" si="85">CHOOSE($B$81,BK102,BK117,BK132)</f>
        <v>0.29796334089078708</v>
      </c>
      <c r="BL83" s="101">
        <f t="shared" si="85"/>
        <v>0.32990704345377075</v>
      </c>
      <c r="BM83" s="101">
        <f t="shared" si="85"/>
        <v>0.40195265689380633</v>
      </c>
      <c r="BN83" s="101">
        <f t="shared" si="85"/>
        <v>0.44803101083391317</v>
      </c>
      <c r="BO83" s="101">
        <f t="shared" si="85"/>
        <v>0.36661685967528235</v>
      </c>
      <c r="BP83" s="101"/>
      <c r="BQ83" s="101">
        <f t="shared" ref="BQ83:BU88" si="86">CHOOSE($B$81,BQ102,BQ117,BQ132)</f>
        <v>0.36510752516829026</v>
      </c>
      <c r="BR83" s="101">
        <f t="shared" si="86"/>
        <v>0.34659075155184205</v>
      </c>
      <c r="BS83" s="101">
        <f t="shared" si="86"/>
        <v>0.28510951338026236</v>
      </c>
      <c r="BT83" s="101">
        <f t="shared" si="86"/>
        <v>0.29384479521134632</v>
      </c>
      <c r="BU83" s="101">
        <f t="shared" si="86"/>
        <v>0.31986999578635733</v>
      </c>
      <c r="BV83" s="101"/>
      <c r="BW83" s="101">
        <f t="shared" ref="BW83:CA88" si="87">CHOOSE($B$81,BW102,BW117,BW132)</f>
        <v>0.22520385109391761</v>
      </c>
      <c r="BX83" s="101">
        <f t="shared" si="87"/>
        <v>0.26231497140202875</v>
      </c>
      <c r="BY83" s="101">
        <f t="shared" si="87"/>
        <v>0.25147415221332947</v>
      </c>
      <c r="BZ83" s="101">
        <f t="shared" si="87"/>
        <v>0.25851620595455715</v>
      </c>
      <c r="CA83" s="101">
        <f t="shared" si="87"/>
        <v>0.25024600218896076</v>
      </c>
      <c r="CB83" s="101"/>
      <c r="CC83" s="101">
        <f t="shared" ref="CC83:CG88" si="88">CHOOSE($B$81,CC102,CC117,CC132)</f>
        <v>0.18680273097807265</v>
      </c>
      <c r="CD83" s="101">
        <f t="shared" si="88"/>
        <v>0.17110025079938218</v>
      </c>
      <c r="CE83" s="101">
        <f t="shared" si="88"/>
        <v>0.16915931880134538</v>
      </c>
      <c r="CF83" s="101">
        <f t="shared" si="88"/>
        <v>0.16513753322154479</v>
      </c>
      <c r="CG83" s="101">
        <f t="shared" si="88"/>
        <v>0.17240273436297548</v>
      </c>
      <c r="CH83" s="101"/>
      <c r="CI83" s="101"/>
      <c r="CP83" s="330"/>
      <c r="CQ83" s="330"/>
      <c r="CR83" s="330"/>
      <c r="CS83" s="330"/>
    </row>
    <row r="84" spans="1:97" ht="12.75" hidden="1" customHeight="1" outlineLevel="1" x14ac:dyDescent="0.2">
      <c r="A84" s="119"/>
      <c r="B84" s="233" t="s">
        <v>167</v>
      </c>
      <c r="C84" s="101"/>
      <c r="D84" s="101"/>
      <c r="E84" s="101"/>
      <c r="F84" s="101"/>
      <c r="G84" s="101"/>
      <c r="H84" s="101"/>
      <c r="I84" s="101"/>
      <c r="J84" s="101"/>
      <c r="K84" s="101"/>
      <c r="L84" s="101"/>
      <c r="M84" s="101"/>
      <c r="N84" s="101"/>
      <c r="O84" s="101"/>
      <c r="P84" s="101"/>
      <c r="Q84" s="101"/>
      <c r="R84" s="101"/>
      <c r="S84" s="101"/>
      <c r="T84" s="101"/>
      <c r="U84" s="319"/>
      <c r="V84" s="319"/>
      <c r="W84" s="319"/>
      <c r="X84" s="319"/>
      <c r="Y84" s="319"/>
      <c r="Z84" s="101"/>
      <c r="AA84" s="101">
        <f t="shared" si="77"/>
        <v>8.2191780821917693E-2</v>
      </c>
      <c r="AB84" s="101">
        <f t="shared" si="77"/>
        <v>0.13481481481481472</v>
      </c>
      <c r="AC84" s="101">
        <f t="shared" si="77"/>
        <v>0.12762762762762758</v>
      </c>
      <c r="AD84" s="101">
        <f t="shared" si="77"/>
        <v>0.2249614791987673</v>
      </c>
      <c r="AE84" s="101">
        <f t="shared" si="77"/>
        <v>0.14564918414391201</v>
      </c>
      <c r="AF84" s="101"/>
      <c r="AG84" s="101">
        <f t="shared" si="78"/>
        <v>0.15926863572433203</v>
      </c>
      <c r="AH84" s="101">
        <f t="shared" si="78"/>
        <v>0.15687989556135795</v>
      </c>
      <c r="AI84" s="101">
        <f t="shared" si="78"/>
        <v>6.9161118508655139E-2</v>
      </c>
      <c r="AJ84" s="101">
        <f t="shared" si="78"/>
        <v>9.7672955974842823E-2</v>
      </c>
      <c r="AK84" s="101">
        <f t="shared" si="78"/>
        <v>0.12007939133311285</v>
      </c>
      <c r="AL84" s="101"/>
      <c r="AM84" s="101">
        <f t="shared" si="79"/>
        <v>4.23420363001068E-2</v>
      </c>
      <c r="AN84" s="101">
        <f t="shared" si="79"/>
        <v>8.0627870498888532E-2</v>
      </c>
      <c r="AO84" s="101">
        <f t="shared" si="79"/>
        <v>0.17001270331531626</v>
      </c>
      <c r="AP84" s="101">
        <f t="shared" si="79"/>
        <v>0.21965278175671821</v>
      </c>
      <c r="AQ84" s="101">
        <f t="shared" si="79"/>
        <v>0.12833431777909032</v>
      </c>
      <c r="AR84" s="101"/>
      <c r="AS84" s="101">
        <f t="shared" si="80"/>
        <v>0.20204684712661058</v>
      </c>
      <c r="AT84" s="101">
        <f t="shared" si="81"/>
        <v>0.20336096597852582</v>
      </c>
      <c r="AU84" s="101">
        <f t="shared" si="80"/>
        <v>0.19734640481132559</v>
      </c>
      <c r="AV84" s="101">
        <f t="shared" si="80"/>
        <v>0.11563964184040643</v>
      </c>
      <c r="AW84" s="101">
        <f t="shared" si="80"/>
        <v>0.17714900942817313</v>
      </c>
      <c r="AX84" s="101"/>
      <c r="AY84" s="101">
        <f t="shared" si="82"/>
        <v>0.12376313405778672</v>
      </c>
      <c r="AZ84" s="101">
        <f t="shared" si="82"/>
        <v>0.11400217066896934</v>
      </c>
      <c r="BA84" s="101">
        <f t="shared" si="83"/>
        <v>0.10319039633369598</v>
      </c>
      <c r="BB84" s="101">
        <f t="shared" si="82"/>
        <v>0.1371265783339275</v>
      </c>
      <c r="BC84" s="101">
        <f t="shared" si="82"/>
        <v>0.11964481927783388</v>
      </c>
      <c r="BD84" s="101"/>
      <c r="BE84" s="101">
        <f t="shared" si="84"/>
        <v>0.18481201818730614</v>
      </c>
      <c r="BF84" s="101">
        <f t="shared" si="84"/>
        <v>0.21721085614487542</v>
      </c>
      <c r="BG84" s="101">
        <f t="shared" si="84"/>
        <v>0.18682851557262781</v>
      </c>
      <c r="BH84" s="101">
        <f t="shared" si="84"/>
        <v>0.14012517675536187</v>
      </c>
      <c r="BI84" s="101">
        <f t="shared" si="84"/>
        <v>0.18158610033442102</v>
      </c>
      <c r="BJ84" s="101"/>
      <c r="BK84" s="101">
        <f t="shared" si="85"/>
        <v>0.21252194384284401</v>
      </c>
      <c r="BL84" s="101">
        <f t="shared" si="85"/>
        <v>0.20426049543341029</v>
      </c>
      <c r="BM84" s="101">
        <f t="shared" si="85"/>
        <v>0.2781159420289856</v>
      </c>
      <c r="BN84" s="101">
        <f t="shared" si="85"/>
        <v>0.27745318352059933</v>
      </c>
      <c r="BO84" s="101">
        <f t="shared" si="85"/>
        <v>0.24338899290084659</v>
      </c>
      <c r="BP84" s="101"/>
      <c r="BQ84" s="101">
        <f t="shared" si="86"/>
        <v>0.29459854014598519</v>
      </c>
      <c r="BR84" s="101">
        <f t="shared" si="86"/>
        <v>0.30499999999999999</v>
      </c>
      <c r="BS84" s="101">
        <f t="shared" si="86"/>
        <v>0.27500000000000002</v>
      </c>
      <c r="BT84" s="101">
        <f t="shared" si="86"/>
        <v>0.27</v>
      </c>
      <c r="BU84" s="101">
        <f t="shared" si="86"/>
        <v>0.2857185990955744</v>
      </c>
      <c r="BV84" s="101"/>
      <c r="BW84" s="101">
        <f t="shared" si="87"/>
        <v>0.16</v>
      </c>
      <c r="BX84" s="101">
        <f t="shared" si="87"/>
        <v>0.17</v>
      </c>
      <c r="BY84" s="101">
        <f t="shared" si="87"/>
        <v>0.155</v>
      </c>
      <c r="BZ84" s="101">
        <f t="shared" si="87"/>
        <v>0.14000000000000001</v>
      </c>
      <c r="CA84" s="101">
        <f t="shared" si="87"/>
        <v>0.15606862455589576</v>
      </c>
      <c r="CB84" s="101"/>
      <c r="CC84" s="101">
        <f t="shared" si="88"/>
        <v>0.11</v>
      </c>
      <c r="CD84" s="101">
        <f t="shared" si="88"/>
        <v>0.11</v>
      </c>
      <c r="CE84" s="101">
        <f t="shared" si="88"/>
        <v>0.11</v>
      </c>
      <c r="CF84" s="101">
        <f t="shared" si="88"/>
        <v>0.11</v>
      </c>
      <c r="CG84" s="101">
        <f t="shared" si="88"/>
        <v>0.10999999999999988</v>
      </c>
      <c r="CH84" s="101"/>
      <c r="CI84" s="101"/>
      <c r="CP84" s="330"/>
      <c r="CQ84" s="330"/>
      <c r="CR84" s="330"/>
      <c r="CS84" s="330"/>
    </row>
    <row r="85" spans="1:97" ht="12.75" hidden="1" customHeight="1" outlineLevel="1" x14ac:dyDescent="0.2">
      <c r="A85" s="119"/>
      <c r="B85" s="233" t="s">
        <v>168</v>
      </c>
      <c r="C85" s="101"/>
      <c r="D85" s="101"/>
      <c r="E85" s="101"/>
      <c r="F85" s="101"/>
      <c r="G85" s="101"/>
      <c r="H85" s="101"/>
      <c r="I85" s="101"/>
      <c r="J85" s="101"/>
      <c r="K85" s="101"/>
      <c r="L85" s="101"/>
      <c r="M85" s="101"/>
      <c r="N85" s="101"/>
      <c r="O85" s="101"/>
      <c r="P85" s="101"/>
      <c r="Q85" s="101"/>
      <c r="R85" s="101"/>
      <c r="S85" s="101"/>
      <c r="T85" s="101"/>
      <c r="U85" s="319"/>
      <c r="V85" s="319"/>
      <c r="W85" s="319"/>
      <c r="X85" s="319"/>
      <c r="Y85" s="319"/>
      <c r="Z85" s="101"/>
      <c r="AA85" s="101">
        <f t="shared" si="77"/>
        <v>0.17441860465116288</v>
      </c>
      <c r="AB85" s="101">
        <f t="shared" si="77"/>
        <v>0.26136363636363624</v>
      </c>
      <c r="AC85" s="101">
        <f t="shared" si="77"/>
        <v>0.1797752808988764</v>
      </c>
      <c r="AD85" s="101">
        <f t="shared" si="77"/>
        <v>0.31325301204819267</v>
      </c>
      <c r="AE85" s="101">
        <f t="shared" si="77"/>
        <v>0.23489228474785639</v>
      </c>
      <c r="AF85" s="101"/>
      <c r="AG85" s="101">
        <f t="shared" si="78"/>
        <v>0.16891089108910884</v>
      </c>
      <c r="AH85" s="101">
        <f t="shared" si="78"/>
        <v>0.22810810810810822</v>
      </c>
      <c r="AI85" s="101">
        <f t="shared" si="78"/>
        <v>0.21704761904761893</v>
      </c>
      <c r="AJ85" s="101">
        <f t="shared" si="78"/>
        <v>0.21733944954128437</v>
      </c>
      <c r="AK85" s="101">
        <f t="shared" si="78"/>
        <v>0.20859154929577461</v>
      </c>
      <c r="AL85" s="101"/>
      <c r="AM85" s="101">
        <f t="shared" si="79"/>
        <v>0.36227342029476528</v>
      </c>
      <c r="AN85" s="101">
        <f t="shared" si="79"/>
        <v>0.40536971830985924</v>
      </c>
      <c r="AO85" s="101">
        <f t="shared" si="79"/>
        <v>0.38524141169105586</v>
      </c>
      <c r="AP85" s="101">
        <f t="shared" si="79"/>
        <v>0.46770668475393795</v>
      </c>
      <c r="AQ85" s="101">
        <f t="shared" si="79"/>
        <v>0.40655712232451569</v>
      </c>
      <c r="AR85" s="101"/>
      <c r="AS85" s="101">
        <f t="shared" si="80"/>
        <v>0.22023254367966194</v>
      </c>
      <c r="AT85" s="101">
        <f t="shared" si="81"/>
        <v>6.8900720325712594E-2</v>
      </c>
      <c r="AU85" s="101">
        <f t="shared" si="80"/>
        <v>8.4905660377358361E-2</v>
      </c>
      <c r="AV85" s="101">
        <f t="shared" si="80"/>
        <v>9.3196405648266811E-2</v>
      </c>
      <c r="AW85" s="101">
        <f t="shared" si="80"/>
        <v>0.11295534259438256</v>
      </c>
      <c r="AX85" s="101"/>
      <c r="AY85" s="101">
        <f t="shared" si="82"/>
        <v>5.9821656050955463E-2</v>
      </c>
      <c r="AZ85" s="101">
        <f t="shared" si="82"/>
        <v>7.4323664420353541E-2</v>
      </c>
      <c r="BA85" s="101">
        <f t="shared" si="83"/>
        <v>4.1395469929705886E-2</v>
      </c>
      <c r="BB85" s="101">
        <f t="shared" si="82"/>
        <v>0.15077501174260211</v>
      </c>
      <c r="BC85" s="101">
        <f t="shared" si="82"/>
        <v>8.3141020869004212E-2</v>
      </c>
      <c r="BD85" s="101"/>
      <c r="BE85" s="101">
        <f t="shared" si="84"/>
        <v>0.2689862810189575</v>
      </c>
      <c r="BF85" s="101">
        <f t="shared" si="84"/>
        <v>0.35277287499999999</v>
      </c>
      <c r="BG85" s="101">
        <f t="shared" si="84"/>
        <v>0.33014350000000015</v>
      </c>
      <c r="BH85" s="101">
        <f t="shared" si="84"/>
        <v>0.27354480494886524</v>
      </c>
      <c r="BI85" s="101">
        <f t="shared" si="84"/>
        <v>0.30539143209155273</v>
      </c>
      <c r="BJ85" s="101"/>
      <c r="BK85" s="101">
        <f t="shared" si="85"/>
        <v>0.46321332269212295</v>
      </c>
      <c r="BL85" s="101">
        <f t="shared" si="85"/>
        <v>0.4993249993036426</v>
      </c>
      <c r="BM85" s="101">
        <f t="shared" si="85"/>
        <v>0.59764705882352942</v>
      </c>
      <c r="BN85" s="101">
        <f t="shared" si="85"/>
        <v>0.73222222222222211</v>
      </c>
      <c r="BO85" s="101">
        <f t="shared" si="85"/>
        <v>0.57768059322416665</v>
      </c>
      <c r="BP85" s="101"/>
      <c r="BQ85" s="101">
        <f t="shared" si="86"/>
        <v>0.63218390804597702</v>
      </c>
      <c r="BR85" s="101">
        <f t="shared" si="86"/>
        <v>0.48499999999999999</v>
      </c>
      <c r="BS85" s="101">
        <f t="shared" si="86"/>
        <v>0.44500000000000001</v>
      </c>
      <c r="BT85" s="101">
        <f t="shared" si="86"/>
        <v>0.42000000000000004</v>
      </c>
      <c r="BU85" s="101">
        <f t="shared" si="86"/>
        <v>0.4876193640667934</v>
      </c>
      <c r="BV85" s="101"/>
      <c r="BW85" s="101">
        <f t="shared" si="87"/>
        <v>0.47</v>
      </c>
      <c r="BX85" s="101">
        <f t="shared" si="87"/>
        <v>0.47</v>
      </c>
      <c r="BY85" s="101">
        <f t="shared" si="87"/>
        <v>0.47</v>
      </c>
      <c r="BZ85" s="101">
        <f t="shared" si="87"/>
        <v>0.47</v>
      </c>
      <c r="CA85" s="101">
        <f t="shared" si="87"/>
        <v>0.47</v>
      </c>
      <c r="CB85" s="101"/>
      <c r="CC85" s="101">
        <f t="shared" si="88"/>
        <v>0.37</v>
      </c>
      <c r="CD85" s="101">
        <f t="shared" si="88"/>
        <v>0.37</v>
      </c>
      <c r="CE85" s="101">
        <f t="shared" si="88"/>
        <v>0.37</v>
      </c>
      <c r="CF85" s="101">
        <f t="shared" si="88"/>
        <v>0.37</v>
      </c>
      <c r="CG85" s="101">
        <f t="shared" si="88"/>
        <v>0.37000000000000011</v>
      </c>
      <c r="CH85" s="101"/>
      <c r="CI85" s="101"/>
      <c r="CP85" s="330"/>
      <c r="CQ85" s="330"/>
      <c r="CR85" s="330"/>
      <c r="CS85" s="330"/>
    </row>
    <row r="86" spans="1:97" ht="12.75" hidden="1" customHeight="1" outlineLevel="1" x14ac:dyDescent="0.2">
      <c r="A86" s="119"/>
      <c r="B86" s="233" t="s">
        <v>169</v>
      </c>
      <c r="C86" s="101"/>
      <c r="D86" s="101"/>
      <c r="E86" s="101"/>
      <c r="F86" s="101"/>
      <c r="G86" s="101"/>
      <c r="H86" s="101"/>
      <c r="I86" s="101"/>
      <c r="J86" s="101"/>
      <c r="K86" s="101"/>
      <c r="L86" s="101"/>
      <c r="M86" s="101"/>
      <c r="N86" s="101"/>
      <c r="O86" s="101"/>
      <c r="P86" s="101"/>
      <c r="Q86" s="101"/>
      <c r="R86" s="101"/>
      <c r="S86" s="101"/>
      <c r="T86" s="101"/>
      <c r="U86" s="319"/>
      <c r="V86" s="319"/>
      <c r="W86" s="319"/>
      <c r="X86" s="319"/>
      <c r="Y86" s="319"/>
      <c r="Z86" s="101"/>
      <c r="AA86" s="101">
        <f t="shared" si="77"/>
        <v>0.45121951219512213</v>
      </c>
      <c r="AB86" s="101">
        <f t="shared" si="77"/>
        <v>0.52380952380952372</v>
      </c>
      <c r="AC86" s="101">
        <f t="shared" si="77"/>
        <v>0.36283185840707954</v>
      </c>
      <c r="AD86" s="101">
        <f t="shared" si="77"/>
        <v>0.35849056603773599</v>
      </c>
      <c r="AE86" s="101">
        <f t="shared" si="77"/>
        <v>0.42127907359245387</v>
      </c>
      <c r="AF86" s="101"/>
      <c r="AG86" s="101">
        <f t="shared" si="78"/>
        <v>0.27294117647058824</v>
      </c>
      <c r="AH86" s="101">
        <f t="shared" si="78"/>
        <v>0.27968749999999987</v>
      </c>
      <c r="AI86" s="101">
        <f t="shared" si="78"/>
        <v>0.24311688311688306</v>
      </c>
      <c r="AJ86" s="101">
        <f t="shared" si="78"/>
        <v>0.14270833333333321</v>
      </c>
      <c r="AK86" s="101">
        <f t="shared" si="78"/>
        <v>0.23168807339449526</v>
      </c>
      <c r="AL86" s="101"/>
      <c r="AM86" s="101">
        <f t="shared" si="79"/>
        <v>0.22610245576973864</v>
      </c>
      <c r="AN86" s="101">
        <f t="shared" si="79"/>
        <v>0.21715506715506727</v>
      </c>
      <c r="AO86" s="101">
        <f t="shared" si="79"/>
        <v>0.24211241119933158</v>
      </c>
      <c r="AP86" s="101">
        <f t="shared" si="79"/>
        <v>0.37107262230325144</v>
      </c>
      <c r="AQ86" s="101">
        <f t="shared" si="79"/>
        <v>0.26402192858313356</v>
      </c>
      <c r="AR86" s="101"/>
      <c r="AS86" s="101">
        <f t="shared" si="80"/>
        <v>0.41334194798901636</v>
      </c>
      <c r="AT86" s="101">
        <f t="shared" si="81"/>
        <v>0.19999999999999996</v>
      </c>
      <c r="AU86" s="101">
        <f t="shared" si="80"/>
        <v>0.14799999999999991</v>
      </c>
      <c r="AV86" s="101">
        <f t="shared" si="80"/>
        <v>0.16599999999999993</v>
      </c>
      <c r="AW86" s="101">
        <f t="shared" si="80"/>
        <v>0.22308565704183869</v>
      </c>
      <c r="AX86" s="101"/>
      <c r="AY86" s="101">
        <f t="shared" si="82"/>
        <v>0.12350476190476201</v>
      </c>
      <c r="AZ86" s="101">
        <f t="shared" si="82"/>
        <v>0.23305077661299745</v>
      </c>
      <c r="BA86" s="101">
        <f t="shared" si="83"/>
        <v>0.21999999999999997</v>
      </c>
      <c r="BB86" s="101">
        <f t="shared" si="82"/>
        <v>0.25</v>
      </c>
      <c r="BC86" s="101">
        <f t="shared" si="82"/>
        <v>0.20620542951260035</v>
      </c>
      <c r="BD86" s="101"/>
      <c r="BE86" s="101">
        <f t="shared" si="84"/>
        <v>0.21118157484451563</v>
      </c>
      <c r="BF86" s="101">
        <f t="shared" si="84"/>
        <v>0.25721085614487543</v>
      </c>
      <c r="BG86" s="101">
        <f t="shared" si="84"/>
        <v>0.22082851557262778</v>
      </c>
      <c r="BH86" s="101">
        <f t="shared" si="84"/>
        <v>0.22409733190830877</v>
      </c>
      <c r="BI86" s="101">
        <f t="shared" si="84"/>
        <v>0.22798835780558058</v>
      </c>
      <c r="BJ86" s="101"/>
      <c r="BK86" s="101">
        <f t="shared" si="85"/>
        <v>0.27852194384284401</v>
      </c>
      <c r="BL86" s="101">
        <f t="shared" si="85"/>
        <v>0.33026049543341029</v>
      </c>
      <c r="BM86" s="101">
        <f t="shared" si="85"/>
        <v>0.49111594202898562</v>
      </c>
      <c r="BN86" s="101">
        <f t="shared" si="85"/>
        <v>0.51845318352059933</v>
      </c>
      <c r="BO86" s="101">
        <f t="shared" si="85"/>
        <v>0.41006296432749267</v>
      </c>
      <c r="BP86" s="101"/>
      <c r="BQ86" s="101">
        <f t="shared" si="86"/>
        <v>0.47459854014598513</v>
      </c>
      <c r="BR86" s="101">
        <f t="shared" si="86"/>
        <v>0.435</v>
      </c>
      <c r="BS86" s="101">
        <f t="shared" si="86"/>
        <v>0.40500000000000003</v>
      </c>
      <c r="BT86" s="101">
        <f t="shared" si="86"/>
        <v>0.42000000000000004</v>
      </c>
      <c r="BU86" s="101">
        <f t="shared" si="86"/>
        <v>0.43072245408214238</v>
      </c>
      <c r="BV86" s="101"/>
      <c r="BW86" s="101">
        <f t="shared" si="87"/>
        <v>0.26</v>
      </c>
      <c r="BX86" s="101">
        <f t="shared" si="87"/>
        <v>0.26</v>
      </c>
      <c r="BY86" s="101">
        <f t="shared" si="87"/>
        <v>0.26</v>
      </c>
      <c r="BZ86" s="101">
        <f t="shared" si="87"/>
        <v>0.26</v>
      </c>
      <c r="CA86" s="101">
        <f t="shared" si="87"/>
        <v>0.26</v>
      </c>
      <c r="CB86" s="101"/>
      <c r="CC86" s="101">
        <f t="shared" si="88"/>
        <v>0.24000000000000002</v>
      </c>
      <c r="CD86" s="101">
        <f t="shared" si="88"/>
        <v>0.24000000000000002</v>
      </c>
      <c r="CE86" s="101">
        <f t="shared" si="88"/>
        <v>0.24000000000000002</v>
      </c>
      <c r="CF86" s="101">
        <f t="shared" si="88"/>
        <v>0.24000000000000002</v>
      </c>
      <c r="CG86" s="101">
        <f t="shared" si="88"/>
        <v>0.24000000000000021</v>
      </c>
      <c r="CH86" s="101"/>
      <c r="CI86" s="101"/>
      <c r="CP86" s="330"/>
      <c r="CQ86" s="330"/>
      <c r="CR86" s="330"/>
      <c r="CS86" s="330"/>
    </row>
    <row r="87" spans="1:97" ht="12.75" hidden="1" customHeight="1" outlineLevel="1" x14ac:dyDescent="0.2">
      <c r="A87" s="119"/>
      <c r="B87" s="233" t="s">
        <v>170</v>
      </c>
      <c r="C87" s="101"/>
      <c r="D87" s="101"/>
      <c r="E87" s="101"/>
      <c r="F87" s="101"/>
      <c r="G87" s="101"/>
      <c r="H87" s="101"/>
      <c r="I87" s="101"/>
      <c r="J87" s="101"/>
      <c r="K87" s="101"/>
      <c r="L87" s="101"/>
      <c r="M87" s="101"/>
      <c r="N87" s="101"/>
      <c r="O87" s="101"/>
      <c r="P87" s="101"/>
      <c r="Q87" s="101"/>
      <c r="R87" s="101"/>
      <c r="S87" s="101"/>
      <c r="T87" s="101"/>
      <c r="U87" s="319"/>
      <c r="V87" s="319"/>
      <c r="W87" s="319"/>
      <c r="X87" s="319"/>
      <c r="Y87" s="319"/>
      <c r="Z87" s="101"/>
      <c r="AA87" s="101">
        <f t="shared" si="77"/>
        <v>1.2068965517241379</v>
      </c>
      <c r="AB87" s="101">
        <f t="shared" si="77"/>
        <v>0.86842105263157898</v>
      </c>
      <c r="AC87" s="101">
        <f t="shared" si="77"/>
        <v>0.62790697674418605</v>
      </c>
      <c r="AD87" s="101">
        <f t="shared" si="77"/>
        <v>0.89189189189189189</v>
      </c>
      <c r="AE87" s="101">
        <f t="shared" si="77"/>
        <v>0.88559160173605944</v>
      </c>
      <c r="AF87" s="101"/>
      <c r="AG87" s="101">
        <f t="shared" si="78"/>
        <v>0.12390624999999988</v>
      </c>
      <c r="AH87" s="101">
        <f t="shared" si="78"/>
        <v>2.1267605633802811E-2</v>
      </c>
      <c r="AI87" s="101">
        <f t="shared" si="78"/>
        <v>7.2857142857143398E-3</v>
      </c>
      <c r="AJ87" s="101">
        <f t="shared" si="78"/>
        <v>3.0000000000000027E-2</v>
      </c>
      <c r="AK87" s="101">
        <f t="shared" si="78"/>
        <v>4.3818181818181756E-2</v>
      </c>
      <c r="AL87" s="101"/>
      <c r="AM87" s="101">
        <f t="shared" si="79"/>
        <v>0.15292645627693591</v>
      </c>
      <c r="AN87" s="101">
        <f t="shared" si="79"/>
        <v>5.9164253206454243E-2</v>
      </c>
      <c r="AO87" s="101">
        <f t="shared" si="79"/>
        <v>5.5878598780314759E-2</v>
      </c>
      <c r="AP87" s="101">
        <f t="shared" si="79"/>
        <v>-3.4674063800277377E-3</v>
      </c>
      <c r="AQ87" s="101">
        <f t="shared" si="79"/>
        <v>6.6120884863264173E-2</v>
      </c>
      <c r="AR87" s="101"/>
      <c r="AS87" s="101">
        <f t="shared" si="80"/>
        <v>3.8266872779982197E-2</v>
      </c>
      <c r="AT87" s="101">
        <f t="shared" si="81"/>
        <v>4.1321246870363648E-2</v>
      </c>
      <c r="AU87" s="101">
        <f t="shared" si="80"/>
        <v>4.7683008730691645E-2</v>
      </c>
      <c r="AV87" s="101">
        <f t="shared" si="80"/>
        <v>8.5594989561586621E-2</v>
      </c>
      <c r="AW87" s="101">
        <f t="shared" si="80"/>
        <v>5.2435851123379784E-2</v>
      </c>
      <c r="AX87" s="101"/>
      <c r="AY87" s="101">
        <f t="shared" si="82"/>
        <v>-2.2222933878731754E-2</v>
      </c>
      <c r="AZ87" s="101">
        <f t="shared" si="82"/>
        <v>2.0283855975316012E-2</v>
      </c>
      <c r="BA87" s="101">
        <f t="shared" si="83"/>
        <v>1.9747969230770046E-2</v>
      </c>
      <c r="BB87" s="101">
        <f t="shared" si="82"/>
        <v>5.6017787179487133E-2</v>
      </c>
      <c r="BC87" s="101">
        <f t="shared" si="82"/>
        <v>1.7444364573207638E-2</v>
      </c>
      <c r="BD87" s="101"/>
      <c r="BE87" s="101">
        <f t="shared" si="84"/>
        <v>-0.29528288667744218</v>
      </c>
      <c r="BF87" s="101">
        <f t="shared" si="84"/>
        <v>-0.44779688027503972</v>
      </c>
      <c r="BG87" s="101">
        <f t="shared" si="84"/>
        <v>0.70564723257772921</v>
      </c>
      <c r="BH87" s="101">
        <f t="shared" si="84"/>
        <v>1.548611116263765E-2</v>
      </c>
      <c r="BI87" s="101">
        <f t="shared" si="84"/>
        <v>-1.2191618065777843E-2</v>
      </c>
      <c r="BJ87" s="101"/>
      <c r="BK87" s="101">
        <f t="shared" si="85"/>
        <v>1.2212650797916349</v>
      </c>
      <c r="BL87" s="101">
        <f t="shared" si="85"/>
        <v>2.5168770842342973</v>
      </c>
      <c r="BM87" s="101">
        <f t="shared" si="85"/>
        <v>0.3180011322143399</v>
      </c>
      <c r="BN87" s="101">
        <f t="shared" si="85"/>
        <v>1.5093879089659352</v>
      </c>
      <c r="BO87" s="101">
        <f t="shared" si="85"/>
        <v>1.0974872654719103</v>
      </c>
      <c r="BP87" s="101"/>
      <c r="BQ87" s="101">
        <f t="shared" si="86"/>
        <v>-0.21016812136919827</v>
      </c>
      <c r="BR87" s="101">
        <f t="shared" si="86"/>
        <v>0.33843464593315337</v>
      </c>
      <c r="BS87" s="101">
        <f t="shared" si="86"/>
        <v>0.26429106223271559</v>
      </c>
      <c r="BT87" s="101">
        <f t="shared" si="86"/>
        <v>0.21721950978743873</v>
      </c>
      <c r="BU87" s="101">
        <f t="shared" si="86"/>
        <v>0.17494914401532635</v>
      </c>
      <c r="BV87" s="101"/>
      <c r="BW87" s="101">
        <f t="shared" si="87"/>
        <v>0.30733734425027914</v>
      </c>
      <c r="BX87" s="101">
        <f t="shared" si="87"/>
        <v>0.85554905729715114</v>
      </c>
      <c r="BY87" s="101">
        <f t="shared" si="87"/>
        <v>0.80214615005705969</v>
      </c>
      <c r="BZ87" s="101">
        <f t="shared" si="87"/>
        <v>0.88909118128350273</v>
      </c>
      <c r="CA87" s="101">
        <f t="shared" si="87"/>
        <v>0.77962644912267831</v>
      </c>
      <c r="CB87" s="101"/>
      <c r="CC87" s="101">
        <f t="shared" si="88"/>
        <v>0.35570330682050955</v>
      </c>
      <c r="CD87" s="101">
        <f t="shared" si="88"/>
        <v>9.9867988603806523E-2</v>
      </c>
      <c r="CE87" s="101">
        <f t="shared" si="88"/>
        <v>0.10263750218978851</v>
      </c>
      <c r="CF87" s="101">
        <f t="shared" si="88"/>
        <v>5.2604635818188639E-2</v>
      </c>
      <c r="CG87" s="101">
        <f t="shared" si="88"/>
        <v>0.10911739052123304</v>
      </c>
      <c r="CH87" s="101"/>
      <c r="CI87" s="101"/>
      <c r="CP87" s="330"/>
      <c r="CQ87" s="330"/>
      <c r="CR87" s="330"/>
      <c r="CS87" s="330"/>
    </row>
    <row r="88" spans="1:97" ht="12.75" hidden="1" customHeight="1" outlineLevel="1" x14ac:dyDescent="0.2">
      <c r="A88" s="119"/>
      <c r="B88" s="278" t="s">
        <v>171</v>
      </c>
      <c r="C88" s="101"/>
      <c r="D88" s="101"/>
      <c r="E88" s="101"/>
      <c r="F88" s="101"/>
      <c r="G88" s="101"/>
      <c r="H88" s="101"/>
      <c r="I88" s="101"/>
      <c r="J88" s="101"/>
      <c r="K88" s="101"/>
      <c r="L88" s="101"/>
      <c r="M88" s="101"/>
      <c r="N88" s="101"/>
      <c r="O88" s="101"/>
      <c r="P88" s="101"/>
      <c r="Q88" s="101"/>
      <c r="R88" s="101"/>
      <c r="S88" s="101"/>
      <c r="T88" s="101"/>
      <c r="U88" s="319"/>
      <c r="V88" s="319"/>
      <c r="W88" s="319"/>
      <c r="X88" s="319"/>
      <c r="Y88" s="319"/>
      <c r="Z88" s="101"/>
      <c r="AA88" s="101">
        <f t="shared" si="77"/>
        <v>0.14200426439231961</v>
      </c>
      <c r="AB88" s="101">
        <f t="shared" si="77"/>
        <v>0.11152278621711931</v>
      </c>
      <c r="AC88" s="101">
        <f t="shared" si="77"/>
        <v>0.29977305549824718</v>
      </c>
      <c r="AD88" s="101">
        <f t="shared" si="77"/>
        <v>0.31652141665121558</v>
      </c>
      <c r="AE88" s="101">
        <f t="shared" si="77"/>
        <v>0.22266837046471188</v>
      </c>
      <c r="AF88" s="101"/>
      <c r="AG88" s="101">
        <f t="shared" si="78"/>
        <v>0.26157580283794113</v>
      </c>
      <c r="AH88" s="101">
        <f t="shared" si="78"/>
        <v>0.29816666666666669</v>
      </c>
      <c r="AI88" s="101">
        <f t="shared" si="78"/>
        <v>0.18365079365079362</v>
      </c>
      <c r="AJ88" s="101">
        <f t="shared" si="78"/>
        <v>0.21971830985915508</v>
      </c>
      <c r="AK88" s="101">
        <f t="shared" si="78"/>
        <v>0.23860882210373324</v>
      </c>
      <c r="AL88" s="101"/>
      <c r="AM88" s="101">
        <f t="shared" si="79"/>
        <v>0.8808642888856002</v>
      </c>
      <c r="AN88" s="101">
        <f t="shared" si="79"/>
        <v>0.38220567466940558</v>
      </c>
      <c r="AO88" s="101">
        <f t="shared" si="79"/>
        <v>0.43207724285905869</v>
      </c>
      <c r="AP88" s="101">
        <f t="shared" si="79"/>
        <v>0.22055427251732107</v>
      </c>
      <c r="AQ88" s="101">
        <f t="shared" si="79"/>
        <v>0.45856569807259584</v>
      </c>
      <c r="AR88" s="101"/>
      <c r="AS88" s="101">
        <f t="shared" si="80"/>
        <v>-0.17530883625777005</v>
      </c>
      <c r="AT88" s="101">
        <f t="shared" si="81"/>
        <v>0.12381571614341458</v>
      </c>
      <c r="AU88" s="101">
        <f t="shared" si="80"/>
        <v>6.283359865155913E-2</v>
      </c>
      <c r="AV88" s="101">
        <f t="shared" si="80"/>
        <v>-2.5443962483559856E-2</v>
      </c>
      <c r="AW88" s="101">
        <f t="shared" si="80"/>
        <v>3.3673195599678074E-2</v>
      </c>
      <c r="AX88" s="101"/>
      <c r="AY88" s="101">
        <f t="shared" si="82"/>
        <v>0.17021276595744683</v>
      </c>
      <c r="AZ88" s="101">
        <f t="shared" si="82"/>
        <v>5.6616249276799868E-2</v>
      </c>
      <c r="BA88" s="101">
        <f t="shared" si="83"/>
        <v>0.14026431718061683</v>
      </c>
      <c r="BB88" s="101">
        <f t="shared" si="82"/>
        <v>8.9837398373983524E-2</v>
      </c>
      <c r="BC88" s="101">
        <f t="shared" si="82"/>
        <v>0.11174561972744956</v>
      </c>
      <c r="BD88" s="101"/>
      <c r="BE88" s="101">
        <f t="shared" si="84"/>
        <v>0.15360782715042798</v>
      </c>
      <c r="BF88" s="101">
        <f t="shared" si="84"/>
        <v>0.23779724655819767</v>
      </c>
      <c r="BG88" s="101">
        <f t="shared" si="84"/>
        <v>0.20259619842373655</v>
      </c>
      <c r="BH88" s="101">
        <f t="shared" si="84"/>
        <v>0.30309585975382336</v>
      </c>
      <c r="BI88" s="101">
        <f t="shared" si="84"/>
        <v>0.22587360884115482</v>
      </c>
      <c r="BJ88" s="101"/>
      <c r="BK88" s="101">
        <f t="shared" si="85"/>
        <v>0.26807548236624501</v>
      </c>
      <c r="BL88" s="101">
        <f t="shared" si="85"/>
        <v>0.30106167846309417</v>
      </c>
      <c r="BM88" s="101">
        <f t="shared" si="85"/>
        <v>0.36276021588280649</v>
      </c>
      <c r="BN88" s="101">
        <f t="shared" si="85"/>
        <v>0.25761392260132809</v>
      </c>
      <c r="BO88" s="101">
        <f t="shared" si="85"/>
        <v>0.29684945639234983</v>
      </c>
      <c r="BP88" s="101"/>
      <c r="BQ88" s="101">
        <f t="shared" si="86"/>
        <v>0.34968230966447456</v>
      </c>
      <c r="BR88" s="101">
        <f t="shared" si="86"/>
        <v>0.20499999999999999</v>
      </c>
      <c r="BS88" s="101">
        <f t="shared" si="86"/>
        <v>0.17499999999999999</v>
      </c>
      <c r="BT88" s="101">
        <f t="shared" si="86"/>
        <v>0.16999999999999998</v>
      </c>
      <c r="BU88" s="101">
        <f t="shared" si="86"/>
        <v>0.21957274685465333</v>
      </c>
      <c r="BV88" s="101"/>
      <c r="BW88" s="101">
        <f t="shared" si="87"/>
        <v>0.15</v>
      </c>
      <c r="BX88" s="101">
        <f t="shared" si="87"/>
        <v>0.15</v>
      </c>
      <c r="BY88" s="101">
        <f t="shared" si="87"/>
        <v>0.15</v>
      </c>
      <c r="BZ88" s="101">
        <f t="shared" si="87"/>
        <v>0.15</v>
      </c>
      <c r="CA88" s="101">
        <f t="shared" si="87"/>
        <v>0.14999999999999969</v>
      </c>
      <c r="CB88" s="101"/>
      <c r="CC88" s="101">
        <f t="shared" si="88"/>
        <v>0.15</v>
      </c>
      <c r="CD88" s="101">
        <f t="shared" si="88"/>
        <v>0.15</v>
      </c>
      <c r="CE88" s="101">
        <f t="shared" si="88"/>
        <v>0.15</v>
      </c>
      <c r="CF88" s="101">
        <f t="shared" si="88"/>
        <v>0.15</v>
      </c>
      <c r="CG88" s="101">
        <f t="shared" si="88"/>
        <v>0.14999999999999991</v>
      </c>
      <c r="CH88" s="101"/>
      <c r="CI88" s="101"/>
      <c r="CP88" s="330"/>
      <c r="CQ88" s="330"/>
      <c r="CR88" s="330"/>
      <c r="CS88" s="330"/>
    </row>
    <row r="89" spans="1:97" ht="12.75" hidden="1" customHeight="1" outlineLevel="1" x14ac:dyDescent="0.2">
      <c r="A89" s="119"/>
      <c r="B89" s="233"/>
      <c r="C89" s="280"/>
      <c r="D89" s="280"/>
      <c r="E89" s="280"/>
      <c r="F89" s="280"/>
      <c r="G89" s="280"/>
      <c r="H89" s="280"/>
      <c r="I89" s="105"/>
      <c r="J89" s="105"/>
      <c r="K89" s="105"/>
      <c r="L89" s="105"/>
      <c r="M89" s="105"/>
      <c r="N89" s="280"/>
      <c r="O89" s="105"/>
      <c r="P89" s="105"/>
      <c r="Q89" s="105"/>
      <c r="R89" s="105"/>
      <c r="S89" s="105"/>
      <c r="T89" s="280"/>
      <c r="U89" s="105"/>
      <c r="V89" s="105"/>
      <c r="W89" s="105"/>
      <c r="X89" s="105"/>
      <c r="Y89" s="105"/>
      <c r="Z89" s="280"/>
      <c r="AA89" s="105"/>
      <c r="AB89" s="105"/>
      <c r="AC89" s="105"/>
      <c r="AD89" s="105"/>
      <c r="AE89" s="105"/>
      <c r="AF89" s="280"/>
      <c r="AG89" s="105"/>
      <c r="AH89" s="105"/>
      <c r="AI89" s="105"/>
      <c r="AJ89" s="105"/>
      <c r="AK89" s="105"/>
      <c r="AL89" s="280"/>
      <c r="AM89" s="105"/>
      <c r="AN89" s="105"/>
      <c r="AO89" s="105"/>
      <c r="AP89" s="105"/>
      <c r="AQ89" s="105"/>
      <c r="AR89" s="280"/>
      <c r="AS89" s="105"/>
      <c r="AT89" s="105"/>
      <c r="AU89" s="105"/>
      <c r="AV89" s="105"/>
      <c r="AW89" s="105"/>
      <c r="AX89" s="280"/>
      <c r="AY89" s="105"/>
      <c r="AZ89" s="105"/>
      <c r="BA89" s="105"/>
      <c r="BB89" s="105"/>
      <c r="BC89" s="105"/>
      <c r="BD89" s="280"/>
      <c r="BE89" s="105"/>
      <c r="BF89" s="105"/>
      <c r="BG89" s="105"/>
      <c r="BH89" s="105"/>
      <c r="BI89" s="105"/>
      <c r="BJ89" s="280"/>
      <c r="BK89" s="105"/>
      <c r="BL89" s="105"/>
      <c r="BM89" s="105"/>
      <c r="BN89" s="105"/>
      <c r="BO89" s="105"/>
      <c r="BP89" s="280"/>
      <c r="BQ89" s="105"/>
      <c r="BR89" s="105"/>
      <c r="BS89" s="105"/>
      <c r="BT89" s="105"/>
      <c r="BU89" s="105"/>
      <c r="BV89" s="280"/>
      <c r="BW89" s="105"/>
      <c r="BX89" s="105"/>
      <c r="BY89" s="105"/>
      <c r="BZ89" s="105"/>
      <c r="CA89" s="105"/>
      <c r="CB89" s="280"/>
      <c r="CC89" s="105"/>
      <c r="CD89" s="105"/>
      <c r="CE89" s="105"/>
      <c r="CF89" s="105"/>
      <c r="CG89" s="105"/>
      <c r="CH89" s="105"/>
      <c r="CI89" s="105"/>
      <c r="CP89" s="330"/>
      <c r="CQ89" s="330"/>
      <c r="CR89" s="330"/>
      <c r="CS89" s="330"/>
    </row>
    <row r="90" spans="1:97" ht="12.75" hidden="1" customHeight="1" outlineLevel="1" x14ac:dyDescent="0.2">
      <c r="A90" s="119"/>
      <c r="B90" s="278" t="s">
        <v>337</v>
      </c>
      <c r="C90" s="101">
        <f>+C47</f>
        <v>0.72508273082291674</v>
      </c>
      <c r="D90" s="101">
        <f>+D47</f>
        <v>0.73568920277273731</v>
      </c>
      <c r="E90" s="101">
        <f>+E47</f>
        <v>0.74623168325145894</v>
      </c>
      <c r="F90" s="101">
        <f>+F47</f>
        <v>0.73624115724588723</v>
      </c>
      <c r="G90" s="101">
        <f>+G47</f>
        <v>0.73610075545489073</v>
      </c>
      <c r="H90" s="101"/>
      <c r="I90" s="101">
        <f>+I47</f>
        <v>0.73777682678934409</v>
      </c>
      <c r="J90" s="101">
        <f>+J47</f>
        <v>0.74665214888238096</v>
      </c>
      <c r="K90" s="101">
        <f>+K47</f>
        <v>0.75036249717318726</v>
      </c>
      <c r="L90" s="101">
        <f>+L47</f>
        <v>0.72704215851602028</v>
      </c>
      <c r="M90" s="101">
        <f>+M47</f>
        <v>0.74060452140958499</v>
      </c>
      <c r="N90" s="101"/>
      <c r="O90" s="101">
        <f>+O47</f>
        <v>0.75153995323105005</v>
      </c>
      <c r="P90" s="101">
        <f>+P47</f>
        <v>0.75970962838723211</v>
      </c>
      <c r="Q90" s="101">
        <f>+Q47</f>
        <v>0.76835837464834933</v>
      </c>
      <c r="R90" s="101">
        <f>+R47</f>
        <v>0.78582478987715887</v>
      </c>
      <c r="S90" s="101">
        <f>+S47</f>
        <v>0.76731245177422813</v>
      </c>
      <c r="T90" s="280"/>
      <c r="U90" s="101">
        <f>+U47</f>
        <v>0.78296148296148305</v>
      </c>
      <c r="V90" s="101">
        <f>+V47</f>
        <v>0.7744573899337579</v>
      </c>
      <c r="W90" s="101">
        <f>+W47</f>
        <v>0.78098325116991674</v>
      </c>
      <c r="X90" s="101">
        <f>+X47</f>
        <v>0.7724586352039442</v>
      </c>
      <c r="Y90" s="101">
        <f>+Y47</f>
        <v>0.77769373544905418</v>
      </c>
      <c r="Z90" s="280"/>
      <c r="AA90" s="101">
        <f>+AA47</f>
        <v>0.78418020904859997</v>
      </c>
      <c r="AB90" s="101">
        <f>+AB47</f>
        <v>0.76092966707193177</v>
      </c>
      <c r="AC90" s="101">
        <f>+AC47</f>
        <v>0.73882790283889621</v>
      </c>
      <c r="AD90" s="101">
        <f>+AD47</f>
        <v>0.7490244753888522</v>
      </c>
      <c r="AE90" s="101">
        <f>+AE47</f>
        <v>0.75701263806929153</v>
      </c>
      <c r="AF90" s="280"/>
      <c r="AG90" s="101">
        <f>+AG47</f>
        <v>0.75107899821585888</v>
      </c>
      <c r="AH90" s="101">
        <f>+AH47</f>
        <v>0.75013390465988217</v>
      </c>
      <c r="AI90" s="101">
        <f>+AI47</f>
        <v>0.73743552924627831</v>
      </c>
      <c r="AJ90" s="101">
        <f>+AJ47</f>
        <v>0.7468426211145337</v>
      </c>
      <c r="AK90" s="101">
        <f>+AK47</f>
        <v>0.74642749370135408</v>
      </c>
      <c r="AL90" s="101"/>
      <c r="AM90" s="101">
        <f>+AM47</f>
        <v>0.73478968615705176</v>
      </c>
      <c r="AN90" s="101">
        <f>+AN47</f>
        <v>0.75500524940791558</v>
      </c>
      <c r="AO90" s="101">
        <f>+AO47</f>
        <v>0.76039779704083743</v>
      </c>
      <c r="AP90" s="101">
        <f>+AP47</f>
        <v>0.76546339712381939</v>
      </c>
      <c r="AQ90" s="101">
        <f>+AQ47</f>
        <v>0.75447057433588904</v>
      </c>
      <c r="AR90" s="101"/>
      <c r="AS90" s="101">
        <f>+AS47</f>
        <v>0.75977879388417113</v>
      </c>
      <c r="AT90" s="101">
        <f>+AT47</f>
        <v>0.75559779983483177</v>
      </c>
      <c r="AU90" s="101">
        <f>+AU47</f>
        <v>0.76394067707345847</v>
      </c>
      <c r="AV90" s="101">
        <f>+AV47</f>
        <v>0.75862034239677734</v>
      </c>
      <c r="AW90" s="101">
        <f>+AW47</f>
        <v>0.75945739070153995</v>
      </c>
      <c r="AX90" s="101"/>
      <c r="AY90" s="101">
        <f>+AY47</f>
        <v>0.7627495128378583</v>
      </c>
      <c r="AZ90" s="101">
        <f>+AZ47</f>
        <v>0.75724623844802574</v>
      </c>
      <c r="BA90" s="101">
        <f>+BA47</f>
        <v>0.75890500683889117</v>
      </c>
      <c r="BB90" s="101">
        <f>+BB47</f>
        <v>0.7504472893397488</v>
      </c>
      <c r="BC90" s="101">
        <f>+BC47</f>
        <v>0.75709118779021778</v>
      </c>
      <c r="BD90" s="101"/>
      <c r="BE90" s="101">
        <f>+BE47</f>
        <v>0.75664795576407506</v>
      </c>
      <c r="BF90" s="101">
        <f>+BF47</f>
        <v>0.76185950505267996</v>
      </c>
      <c r="BG90" s="101">
        <f>+BG47</f>
        <v>0.75093417184454514</v>
      </c>
      <c r="BH90" s="101">
        <f>+BH47</f>
        <v>0.7524104460049863</v>
      </c>
      <c r="BI90" s="101">
        <f>+BI47</f>
        <v>0.75532330623757959</v>
      </c>
      <c r="BJ90" s="101"/>
      <c r="BK90" s="101">
        <f>+BK47</f>
        <v>0.75924547513863783</v>
      </c>
      <c r="BL90" s="101">
        <f>+BL47</f>
        <v>0.75997385562244379</v>
      </c>
      <c r="BM90" s="101">
        <f>+BM47</f>
        <v>0.7591825928511915</v>
      </c>
      <c r="BN90" s="101">
        <f>+BN47</f>
        <v>0.75456834779966908</v>
      </c>
      <c r="BO90" s="101">
        <f>+BO47</f>
        <v>0.75806783298369163</v>
      </c>
      <c r="BP90" s="101"/>
      <c r="BQ90" s="101">
        <f>+BQ47</f>
        <v>0.74934771264567746</v>
      </c>
      <c r="BR90" s="101">
        <f>+BR47</f>
        <v>0.76021932039875029</v>
      </c>
      <c r="BS90" s="101">
        <f>+BS47</f>
        <v>0.76286719540492176</v>
      </c>
      <c r="BT90" s="101">
        <f>+BT47</f>
        <v>0.75701705637179639</v>
      </c>
      <c r="BU90" s="101">
        <f>+BU47</f>
        <v>0.75756573849132325</v>
      </c>
      <c r="BV90" s="101"/>
      <c r="BW90" s="101">
        <f>+BW47</f>
        <v>0.7632334788170535</v>
      </c>
      <c r="BX90" s="101">
        <f>+BX47</f>
        <v>0.77591365909957533</v>
      </c>
      <c r="BY90" s="101">
        <f>+BY47</f>
        <v>0.77857824612376347</v>
      </c>
      <c r="BZ90" s="101">
        <f>+BZ47</f>
        <v>0.76862585566678343</v>
      </c>
      <c r="CA90" s="101">
        <f>+CA47</f>
        <v>0.77177376771247408</v>
      </c>
      <c r="CB90" s="101"/>
      <c r="CC90" s="101">
        <f>+CC47</f>
        <v>0.77485501741939933</v>
      </c>
      <c r="CD90" s="101">
        <f>+CD47</f>
        <v>0.78606777733969435</v>
      </c>
      <c r="CE90" s="101">
        <f>+CE47</f>
        <v>0.78979201973442648</v>
      </c>
      <c r="CF90" s="101">
        <f>+CF47</f>
        <v>0.77810418234231038</v>
      </c>
      <c r="CG90" s="101">
        <f>+CG47</f>
        <v>0.78231848700672224</v>
      </c>
      <c r="CH90" s="101"/>
      <c r="CI90" s="101"/>
      <c r="CP90" s="95"/>
      <c r="CQ90" s="95"/>
      <c r="CR90" s="95"/>
      <c r="CS90" s="95"/>
    </row>
    <row r="91" spans="1:97" ht="12.75" hidden="1" customHeight="1" outlineLevel="1" x14ac:dyDescent="0.2">
      <c r="A91" s="119"/>
      <c r="B91" s="233"/>
      <c r="C91" s="101"/>
      <c r="D91" s="101"/>
      <c r="E91" s="101"/>
      <c r="F91" s="101"/>
      <c r="G91" s="101"/>
      <c r="H91" s="101"/>
      <c r="I91" s="101"/>
      <c r="J91" s="101"/>
      <c r="K91" s="101"/>
      <c r="L91" s="101"/>
      <c r="M91" s="101"/>
      <c r="N91" s="101"/>
      <c r="O91" s="101"/>
      <c r="P91" s="101"/>
      <c r="Q91" s="101"/>
      <c r="R91" s="101"/>
      <c r="S91" s="101"/>
      <c r="T91" s="102"/>
      <c r="U91" s="101"/>
      <c r="V91" s="101"/>
      <c r="W91" s="101"/>
      <c r="X91" s="101"/>
      <c r="Y91" s="101"/>
      <c r="Z91" s="102"/>
      <c r="AA91" s="101"/>
      <c r="AB91" s="101"/>
      <c r="AC91" s="101"/>
      <c r="AD91" s="101"/>
      <c r="AE91" s="101"/>
      <c r="AF91" s="102"/>
      <c r="AG91" s="101"/>
      <c r="AH91" s="101"/>
      <c r="AI91" s="101"/>
      <c r="AJ91" s="101"/>
      <c r="AK91" s="101"/>
      <c r="AL91" s="101"/>
      <c r="AM91" s="101"/>
      <c r="AN91" s="101"/>
      <c r="AO91" s="101"/>
      <c r="AP91" s="101"/>
      <c r="AQ91" s="101"/>
      <c r="AR91" s="101"/>
      <c r="AS91" s="101"/>
      <c r="AT91" s="101"/>
      <c r="AU91" s="101"/>
      <c r="AV91" s="101"/>
      <c r="AW91" s="101"/>
      <c r="AX91" s="101"/>
      <c r="AY91" s="101"/>
      <c r="AZ91" s="101"/>
      <c r="BA91" s="101"/>
      <c r="BB91" s="101"/>
      <c r="BC91" s="101"/>
      <c r="BD91" s="101"/>
      <c r="BE91" s="101"/>
      <c r="BF91" s="101"/>
      <c r="BG91" s="101"/>
      <c r="BH91" s="101"/>
      <c r="BI91" s="101"/>
      <c r="BJ91" s="101"/>
      <c r="BK91" s="101"/>
      <c r="BL91" s="101"/>
      <c r="BM91" s="101"/>
      <c r="BN91" s="101"/>
      <c r="BO91" s="101"/>
      <c r="BP91" s="101"/>
      <c r="BQ91" s="101"/>
      <c r="BR91" s="101"/>
      <c r="BS91" s="101"/>
      <c r="BT91" s="101"/>
      <c r="BU91" s="101"/>
      <c r="BV91" s="101"/>
      <c r="BW91" s="101"/>
      <c r="BX91" s="101"/>
      <c r="BY91" s="101"/>
      <c r="BZ91" s="101"/>
      <c r="CA91" s="101"/>
      <c r="CB91" s="101"/>
      <c r="CC91" s="101"/>
      <c r="CD91" s="101"/>
      <c r="CE91" s="101"/>
      <c r="CF91" s="101"/>
      <c r="CG91" s="101"/>
      <c r="CH91" s="101"/>
      <c r="CI91" s="101"/>
      <c r="CP91" s="95"/>
      <c r="CQ91" s="95"/>
      <c r="CR91" s="95"/>
      <c r="CS91" s="95"/>
    </row>
    <row r="92" spans="1:97" ht="12.75" hidden="1" customHeight="1" outlineLevel="1" x14ac:dyDescent="0.2">
      <c r="A92" s="119"/>
      <c r="B92" s="233" t="s">
        <v>298</v>
      </c>
      <c r="C92" s="101">
        <f t="shared" ref="C92:G94" si="89">CHOOSE($B$81,C111,C126,C141)</f>
        <v>0.36307460673452419</v>
      </c>
      <c r="D92" s="101">
        <f t="shared" si="89"/>
        <v>0.31791183112932919</v>
      </c>
      <c r="E92" s="101">
        <f t="shared" si="89"/>
        <v>0.33905753593371685</v>
      </c>
      <c r="F92" s="101">
        <f t="shared" si="89"/>
        <v>0.36545913372036898</v>
      </c>
      <c r="G92" s="101">
        <f t="shared" si="89"/>
        <v>0.3454799319105834</v>
      </c>
      <c r="H92" s="101"/>
      <c r="I92" s="101">
        <f t="shared" ref="I92:M94" si="90">CHOOSE($B$81,I111,I126,I141)</f>
        <v>0.37524071894725586</v>
      </c>
      <c r="J92" s="101">
        <f t="shared" si="90"/>
        <v>0.40629771470050807</v>
      </c>
      <c r="K92" s="101">
        <f t="shared" si="90"/>
        <v>0.37532092639644549</v>
      </c>
      <c r="L92" s="101">
        <f t="shared" si="90"/>
        <v>0.35514333895446887</v>
      </c>
      <c r="M92" s="101">
        <f t="shared" si="90"/>
        <v>0.37852330447140564</v>
      </c>
      <c r="N92" s="101"/>
      <c r="O92" s="101">
        <f t="shared" ref="O92:S94" si="91">CHOOSE($B$81,O111,O126,O141)</f>
        <v>0.3971653453487709</v>
      </c>
      <c r="P92" s="101">
        <f t="shared" si="91"/>
        <v>0.38141412023690968</v>
      </c>
      <c r="Q92" s="101">
        <f t="shared" si="91"/>
        <v>0.34927903720243725</v>
      </c>
      <c r="R92" s="101">
        <f t="shared" si="91"/>
        <v>0.32203057171885113</v>
      </c>
      <c r="S92" s="101">
        <f t="shared" si="91"/>
        <v>0.36032695872674358</v>
      </c>
      <c r="T92" s="102"/>
      <c r="U92" s="101">
        <f t="shared" ref="U92:Y94" si="92">CHOOSE($B$81,U111,U126,U141)</f>
        <v>0.31020091020091023</v>
      </c>
      <c r="V92" s="101">
        <f t="shared" si="92"/>
        <v>0.30819612771305033</v>
      </c>
      <c r="W92" s="101">
        <f t="shared" si="92"/>
        <v>0.28041522924114354</v>
      </c>
      <c r="X92" s="101">
        <f t="shared" si="92"/>
        <v>0.32535282529361748</v>
      </c>
      <c r="Y92" s="101">
        <f t="shared" si="92"/>
        <v>0.30580589440707245</v>
      </c>
      <c r="Z92" s="102"/>
      <c r="AA92" s="101">
        <f t="shared" ref="AA92:AE94" si="93">CHOOSE($B$81,AA111,AA126,AA141)</f>
        <v>0.31301022354467078</v>
      </c>
      <c r="AB92" s="101">
        <f t="shared" si="93"/>
        <v>0.32131972086671218</v>
      </c>
      <c r="AC92" s="101">
        <f t="shared" si="93"/>
        <v>0.27527125994884583</v>
      </c>
      <c r="AD92" s="101">
        <f t="shared" si="93"/>
        <v>0.28014429230828908</v>
      </c>
      <c r="AE92" s="101">
        <f t="shared" si="93"/>
        <v>0.29635574195242853</v>
      </c>
      <c r="AF92" s="102"/>
      <c r="AG92" s="101">
        <f t="shared" ref="AG92:AK94" si="94">CHOOSE($B$81,AG111,AG126,AG141)</f>
        <v>0.28449277830010589</v>
      </c>
      <c r="AH92" s="101">
        <f t="shared" si="94"/>
        <v>0.2671775644459094</v>
      </c>
      <c r="AI92" s="101">
        <f t="shared" si="94"/>
        <v>0.2658539444379322</v>
      </c>
      <c r="AJ92" s="101">
        <f t="shared" si="94"/>
        <v>0.26441472976757208</v>
      </c>
      <c r="AK92" s="101">
        <f t="shared" si="94"/>
        <v>0.27032663679980573</v>
      </c>
      <c r="AL92" s="101"/>
      <c r="AM92" s="101">
        <f t="shared" ref="AM92:AQ94" si="95">CHOOSE($B$81,AM111,AM126,AM141)</f>
        <v>0.27530277379867168</v>
      </c>
      <c r="AN92" s="101">
        <f t="shared" si="95"/>
        <v>0.29205630295187635</v>
      </c>
      <c r="AO92" s="101">
        <f t="shared" si="95"/>
        <v>0.27490790609461052</v>
      </c>
      <c r="AP92" s="101">
        <f t="shared" si="95"/>
        <v>0.25067866197025107</v>
      </c>
      <c r="AQ92" s="101">
        <f t="shared" si="95"/>
        <v>0.27271185054361818</v>
      </c>
      <c r="AR92" s="101"/>
      <c r="AS92" s="101">
        <f t="shared" ref="AS92:AW94" si="96">CHOOSE($B$81,AS111,AS126,AS141)</f>
        <v>0.29277149784661716</v>
      </c>
      <c r="AT92" s="101">
        <f>CHOOSE($B$81,AT111,AT126,AT141)</f>
        <v>0.29286712269712412</v>
      </c>
      <c r="AU92" s="101">
        <f t="shared" si="96"/>
        <v>0.27580104910573217</v>
      </c>
      <c r="AV92" s="101">
        <f t="shared" si="96"/>
        <v>0.28006042296072509</v>
      </c>
      <c r="AW92" s="101">
        <f t="shared" si="96"/>
        <v>0.28525063250587868</v>
      </c>
      <c r="AX92" s="101"/>
      <c r="AY92" s="101">
        <f t="shared" ref="AY92:BC94" si="97">CHOOSE($B$81,AY111,AY126,AY141)</f>
        <v>0.28859358592836087</v>
      </c>
      <c r="AZ92" s="101">
        <f t="shared" si="97"/>
        <v>0.31104265884482146</v>
      </c>
      <c r="BA92" s="101">
        <f>CHOOSE($B$81,BA111,BA126,BA141)</f>
        <v>0.31732862151460034</v>
      </c>
      <c r="BB92" s="101">
        <f t="shared" si="97"/>
        <v>0.28003052864224487</v>
      </c>
      <c r="BC92" s="101">
        <f t="shared" si="97"/>
        <v>0.29888041818399874</v>
      </c>
      <c r="BD92" s="101"/>
      <c r="BE92" s="101">
        <f t="shared" ref="BE92:BI94" si="98">CHOOSE($B$81,BE111,BE126,BE141)</f>
        <v>0.30437989957828004</v>
      </c>
      <c r="BF92" s="101">
        <f t="shared" si="98"/>
        <v>0.29200829615119234</v>
      </c>
      <c r="BG92" s="101">
        <f t="shared" si="98"/>
        <v>0.29451897769298674</v>
      </c>
      <c r="BH92" s="101">
        <f t="shared" si="98"/>
        <v>0.28770177990310963</v>
      </c>
      <c r="BI92" s="101">
        <f t="shared" si="98"/>
        <v>0.29422162284178288</v>
      </c>
      <c r="BJ92" s="101"/>
      <c r="BK92" s="101">
        <f t="shared" ref="BK92:BO94" si="99">CHOOSE($B$81,BK111,BK126,BK141)</f>
        <v>0.31538168021418267</v>
      </c>
      <c r="BL92" s="101">
        <f t="shared" si="99"/>
        <v>0.29602424567836971</v>
      </c>
      <c r="BM92" s="101">
        <f t="shared" si="99"/>
        <v>0.28493289645874514</v>
      </c>
      <c r="BN92" s="101">
        <f t="shared" si="99"/>
        <v>0.27994051780992918</v>
      </c>
      <c r="BO92" s="101">
        <f t="shared" si="99"/>
        <v>0.29260214357581371</v>
      </c>
      <c r="BP92" s="101"/>
      <c r="BQ92" s="101">
        <f t="shared" ref="BQ92:BU94" si="100">CHOOSE($B$81,BQ111,BQ126,BQ141)</f>
        <v>0.31982106727943532</v>
      </c>
      <c r="BR92" s="101">
        <f t="shared" si="100"/>
        <v>0.32</v>
      </c>
      <c r="BS92" s="101">
        <f t="shared" si="100"/>
        <v>0.28999999999999998</v>
      </c>
      <c r="BT92" s="101">
        <f t="shared" si="100"/>
        <v>0.28000000000000003</v>
      </c>
      <c r="BU92" s="101">
        <f t="shared" si="100"/>
        <v>0.30131386270781363</v>
      </c>
      <c r="BV92" s="101"/>
      <c r="BW92" s="101">
        <f t="shared" ref="BW92:CA94" si="101">CHOOSE($B$81,BW111,BW126,BW141)</f>
        <v>0.31682106727943532</v>
      </c>
      <c r="BX92" s="101">
        <f t="shared" si="101"/>
        <v>0.317</v>
      </c>
      <c r="BY92" s="101">
        <f t="shared" si="101"/>
        <v>0.28699999999999998</v>
      </c>
      <c r="BZ92" s="101">
        <f t="shared" si="101"/>
        <v>0.27700000000000002</v>
      </c>
      <c r="CA92" s="101">
        <f t="shared" si="101"/>
        <v>0.29827589652393977</v>
      </c>
      <c r="CB92" s="101"/>
      <c r="CC92" s="101">
        <f t="shared" ref="CC92:CG94" si="102">CHOOSE($B$81,CC111,CC126,CC141)</f>
        <v>0.31382106727943532</v>
      </c>
      <c r="CD92" s="101">
        <f t="shared" si="102"/>
        <v>0.314</v>
      </c>
      <c r="CE92" s="101">
        <f t="shared" si="102"/>
        <v>0.28399999999999997</v>
      </c>
      <c r="CF92" s="101">
        <f t="shared" si="102"/>
        <v>0.27400000000000002</v>
      </c>
      <c r="CG92" s="101">
        <f t="shared" si="102"/>
        <v>0.29537613042896455</v>
      </c>
      <c r="CH92" s="101"/>
      <c r="CI92" s="101"/>
      <c r="CP92" s="95"/>
      <c r="CQ92" s="95"/>
      <c r="CR92" s="95"/>
      <c r="CS92" s="95"/>
    </row>
    <row r="93" spans="1:97" ht="12.75" hidden="1" customHeight="1" outlineLevel="1" x14ac:dyDescent="0.2">
      <c r="A93" s="119"/>
      <c r="B93" s="233" t="s">
        <v>127</v>
      </c>
      <c r="C93" s="101">
        <f t="shared" si="89"/>
        <v>0.16293659133326016</v>
      </c>
      <c r="D93" s="101">
        <f t="shared" si="89"/>
        <v>0.15508530997480519</v>
      </c>
      <c r="E93" s="101">
        <f t="shared" si="89"/>
        <v>0.19522469944437448</v>
      </c>
      <c r="F93" s="101">
        <f t="shared" si="89"/>
        <v>0.21051615483265992</v>
      </c>
      <c r="G93" s="101">
        <f t="shared" si="89"/>
        <v>0.18107001674099293</v>
      </c>
      <c r="H93" s="101"/>
      <c r="I93" s="101">
        <f t="shared" si="90"/>
        <v>0.20311329838450842</v>
      </c>
      <c r="J93" s="101">
        <f t="shared" si="90"/>
        <v>0.20427523716552776</v>
      </c>
      <c r="K93" s="101">
        <f t="shared" si="90"/>
        <v>0.19149162598273314</v>
      </c>
      <c r="L93" s="101">
        <f t="shared" si="90"/>
        <v>0.2192107925801012</v>
      </c>
      <c r="M93" s="101">
        <f t="shared" si="90"/>
        <v>0.20447008974392716</v>
      </c>
      <c r="N93" s="101"/>
      <c r="O93" s="101">
        <f t="shared" si="91"/>
        <v>0.19203787144242287</v>
      </c>
      <c r="P93" s="101">
        <f t="shared" si="91"/>
        <v>0.21671733319356362</v>
      </c>
      <c r="Q93" s="101">
        <f t="shared" si="91"/>
        <v>0.20467017371229609</v>
      </c>
      <c r="R93" s="101">
        <f t="shared" si="91"/>
        <v>0.17880068347649403</v>
      </c>
      <c r="S93" s="101">
        <f t="shared" si="91"/>
        <v>0.1976031991496256</v>
      </c>
      <c r="T93" s="102"/>
      <c r="U93" s="101">
        <f t="shared" si="92"/>
        <v>0.16595626595626595</v>
      </c>
      <c r="V93" s="101">
        <f t="shared" si="92"/>
        <v>0.15980106072546807</v>
      </c>
      <c r="W93" s="101">
        <f t="shared" si="92"/>
        <v>0.16887448278737219</v>
      </c>
      <c r="X93" s="101">
        <f t="shared" si="92"/>
        <v>0.2005640898668361</v>
      </c>
      <c r="Y93" s="101">
        <f t="shared" si="92"/>
        <v>0.17377986631905332</v>
      </c>
      <c r="Z93" s="102"/>
      <c r="AA93" s="101">
        <f t="shared" si="93"/>
        <v>0.16700045777065689</v>
      </c>
      <c r="AB93" s="101">
        <f t="shared" si="93"/>
        <v>0.16857918491747581</v>
      </c>
      <c r="AC93" s="101">
        <f t="shared" si="93"/>
        <v>0.16077811492207733</v>
      </c>
      <c r="AD93" s="101">
        <f t="shared" si="93"/>
        <v>0.16443117024165083</v>
      </c>
      <c r="AE93" s="101">
        <f t="shared" si="93"/>
        <v>0.16507240365113676</v>
      </c>
      <c r="AF93" s="102"/>
      <c r="AG93" s="101">
        <f t="shared" si="94"/>
        <v>0.16580667609324912</v>
      </c>
      <c r="AH93" s="101">
        <f t="shared" si="94"/>
        <v>0.1519852224190735</v>
      </c>
      <c r="AI93" s="101">
        <f t="shared" si="94"/>
        <v>0.17489157191419527</v>
      </c>
      <c r="AJ93" s="101">
        <f t="shared" si="94"/>
        <v>0.19018482217866145</v>
      </c>
      <c r="AK93" s="101">
        <f t="shared" si="94"/>
        <v>0.17064464923103842</v>
      </c>
      <c r="AL93" s="101"/>
      <c r="AM93" s="101">
        <f t="shared" si="95"/>
        <v>0.18539592928341656</v>
      </c>
      <c r="AN93" s="101">
        <f t="shared" si="95"/>
        <v>0.15276387430720023</v>
      </c>
      <c r="AO93" s="101">
        <f t="shared" si="95"/>
        <v>0.15188813052411462</v>
      </c>
      <c r="AP93" s="101">
        <f t="shared" si="95"/>
        <v>0.14122317097794629</v>
      </c>
      <c r="AQ93" s="101">
        <f t="shared" si="95"/>
        <v>0.15558154394234525</v>
      </c>
      <c r="AR93" s="101"/>
      <c r="AS93" s="101">
        <f t="shared" si="96"/>
        <v>0.15152585720137726</v>
      </c>
      <c r="AT93" s="101">
        <f>CHOOSE($B$81,AT112,AT127,AT142)</f>
        <v>0.14059554045841968</v>
      </c>
      <c r="AU93" s="101">
        <f t="shared" si="96"/>
        <v>0.14896564073395269</v>
      </c>
      <c r="AV93" s="101">
        <f t="shared" si="96"/>
        <v>0.1524320241691843</v>
      </c>
      <c r="AW93" s="101">
        <f t="shared" si="96"/>
        <v>0.15073268273084986</v>
      </c>
      <c r="AX93" s="101"/>
      <c r="AY93" s="101">
        <f t="shared" si="97"/>
        <v>0.14753233917487704</v>
      </c>
      <c r="AZ93" s="101">
        <f t="shared" si="97"/>
        <v>0.16929511706597056</v>
      </c>
      <c r="BA93" s="101">
        <f>CHOOSE($B$81,BA112,BA127,BA142)</f>
        <v>0.17271645737345373</v>
      </c>
      <c r="BB93" s="101">
        <f t="shared" si="97"/>
        <v>0.15241575321083567</v>
      </c>
      <c r="BC93" s="101">
        <f t="shared" si="97"/>
        <v>0.16848206919012679</v>
      </c>
      <c r="BD93" s="101"/>
      <c r="BE93" s="101">
        <f t="shared" si="98"/>
        <v>0.16566869291501748</v>
      </c>
      <c r="BF93" s="101">
        <f t="shared" si="98"/>
        <v>0.15893504403784689</v>
      </c>
      <c r="BG93" s="101">
        <f t="shared" si="98"/>
        <v>0.16030156439589688</v>
      </c>
      <c r="BH93" s="101">
        <f t="shared" si="98"/>
        <v>0.15659108203895786</v>
      </c>
      <c r="BI93" s="101">
        <f t="shared" si="98"/>
        <v>0.16013971931480206</v>
      </c>
      <c r="BJ93" s="101"/>
      <c r="BK93" s="101">
        <f t="shared" si="99"/>
        <v>0.17165677103782723</v>
      </c>
      <c r="BL93" s="101">
        <f t="shared" si="99"/>
        <v>0.16112085561706735</v>
      </c>
      <c r="BM93" s="101">
        <f t="shared" si="99"/>
        <v>0.15508402686975173</v>
      </c>
      <c r="BN93" s="101">
        <f t="shared" si="99"/>
        <v>0.15236676187810114</v>
      </c>
      <c r="BO93" s="101">
        <f t="shared" si="99"/>
        <v>0.15925826487721337</v>
      </c>
      <c r="BP93" s="101"/>
      <c r="BQ93" s="101">
        <f t="shared" si="100"/>
        <v>0.13706617169118662</v>
      </c>
      <c r="BR93" s="101">
        <f t="shared" si="100"/>
        <v>0.14000000000000001</v>
      </c>
      <c r="BS93" s="101">
        <f t="shared" si="100"/>
        <v>0.15208402686975173</v>
      </c>
      <c r="BT93" s="101">
        <f t="shared" si="100"/>
        <v>0.14936676187810113</v>
      </c>
      <c r="BU93" s="101">
        <f t="shared" si="100"/>
        <v>0.14498577092102852</v>
      </c>
      <c r="BV93" s="101"/>
      <c r="BW93" s="101">
        <f t="shared" si="101"/>
        <v>0.13406617169118662</v>
      </c>
      <c r="BX93" s="101">
        <f t="shared" si="101"/>
        <v>0.13700000000000001</v>
      </c>
      <c r="BY93" s="101">
        <f t="shared" si="101"/>
        <v>0.14908402686975172</v>
      </c>
      <c r="BZ93" s="101">
        <f t="shared" si="101"/>
        <v>0.14636676187810113</v>
      </c>
      <c r="CA93" s="101">
        <f t="shared" si="101"/>
        <v>0.14200854231231283</v>
      </c>
      <c r="CB93" s="101"/>
      <c r="CC93" s="101">
        <f t="shared" si="102"/>
        <v>0.13106617169118662</v>
      </c>
      <c r="CD93" s="101">
        <f t="shared" si="102"/>
        <v>0.13400000000000001</v>
      </c>
      <c r="CE93" s="101">
        <f t="shared" si="102"/>
        <v>0.14608402686975172</v>
      </c>
      <c r="CF93" s="101">
        <f t="shared" si="102"/>
        <v>0.14336676187810113</v>
      </c>
      <c r="CG93" s="101">
        <f t="shared" si="102"/>
        <v>0.13897515863135559</v>
      </c>
      <c r="CH93" s="101"/>
      <c r="CI93" s="101"/>
      <c r="CP93" s="95"/>
      <c r="CQ93" s="95"/>
      <c r="CR93" s="95"/>
      <c r="CS93" s="95"/>
    </row>
    <row r="94" spans="1:97" ht="12.75" hidden="1" customHeight="1" outlineLevel="1" x14ac:dyDescent="0.2">
      <c r="A94" s="119"/>
      <c r="B94" s="233" t="s">
        <v>128</v>
      </c>
      <c r="C94" s="101">
        <f t="shared" si="89"/>
        <v>8.9286554476874572E-2</v>
      </c>
      <c r="D94" s="101">
        <f t="shared" si="89"/>
        <v>8.7137579468167053E-2</v>
      </c>
      <c r="E94" s="101">
        <f t="shared" si="89"/>
        <v>9.4456340709017372E-2</v>
      </c>
      <c r="F94" s="101">
        <f t="shared" si="89"/>
        <v>9.1151040445688641E-2</v>
      </c>
      <c r="G94" s="101">
        <f t="shared" si="89"/>
        <v>9.0482253140694691E-2</v>
      </c>
      <c r="H94" s="101"/>
      <c r="I94" s="101">
        <f t="shared" si="90"/>
        <v>9.7558040012838354E-2</v>
      </c>
      <c r="J94" s="101">
        <f t="shared" si="90"/>
        <v>8.7619834297013852E-2</v>
      </c>
      <c r="K94" s="101">
        <f t="shared" si="90"/>
        <v>7.8725074162265707E-2</v>
      </c>
      <c r="L94" s="101">
        <f t="shared" si="90"/>
        <v>8.0283305227655991E-2</v>
      </c>
      <c r="M94" s="101">
        <f t="shared" si="90"/>
        <v>8.6075874411137718E-2</v>
      </c>
      <c r="N94" s="101"/>
      <c r="O94" s="101">
        <f t="shared" si="91"/>
        <v>7.4017566873894949E-2</v>
      </c>
      <c r="P94" s="101">
        <f t="shared" si="91"/>
        <v>7.4283243356570036E-2</v>
      </c>
      <c r="Q94" s="101">
        <f t="shared" si="91"/>
        <v>7.07842914632454E-2</v>
      </c>
      <c r="R94" s="101">
        <f t="shared" si="91"/>
        <v>6.6742865059573303E-2</v>
      </c>
      <c r="S94" s="101">
        <f t="shared" si="91"/>
        <v>7.1244473046396001E-2</v>
      </c>
      <c r="T94" s="102"/>
      <c r="U94" s="101">
        <f t="shared" si="92"/>
        <v>6.7887667887667882E-2</v>
      </c>
      <c r="V94" s="101">
        <f t="shared" si="92"/>
        <v>6.8116466804404779E-2</v>
      </c>
      <c r="W94" s="101">
        <f t="shared" si="92"/>
        <v>6.870459732977581E-2</v>
      </c>
      <c r="X94" s="101">
        <f t="shared" si="92"/>
        <v>7.4203653666045907E-2</v>
      </c>
      <c r="Y94" s="101">
        <f t="shared" si="92"/>
        <v>6.9729204888044891E-2</v>
      </c>
      <c r="Z94" s="102"/>
      <c r="AA94" s="101">
        <f t="shared" si="93"/>
        <v>8.955138475623714E-2</v>
      </c>
      <c r="AB94" s="101">
        <f t="shared" si="93"/>
        <v>7.71946771480439E-2</v>
      </c>
      <c r="AC94" s="101">
        <f t="shared" si="93"/>
        <v>7.0900916644160955E-2</v>
      </c>
      <c r="AD94" s="101">
        <f t="shared" si="93"/>
        <v>7.4225204608044687E-2</v>
      </c>
      <c r="AE94" s="101">
        <f t="shared" si="93"/>
        <v>7.7445955213333861E-2</v>
      </c>
      <c r="AF94" s="102"/>
      <c r="AG94" s="101">
        <f t="shared" si="94"/>
        <v>7.6407139525758991E-2</v>
      </c>
      <c r="AH94" s="101">
        <f t="shared" si="94"/>
        <v>7.2569458750497848E-2</v>
      </c>
      <c r="AI94" s="101">
        <f t="shared" si="94"/>
        <v>7.2324463720548585E-2</v>
      </c>
      <c r="AJ94" s="101">
        <f t="shared" si="94"/>
        <v>8.1986838420610469E-2</v>
      </c>
      <c r="AK94" s="101">
        <f t="shared" si="94"/>
        <v>7.5837304768757996E-2</v>
      </c>
      <c r="AL94" s="101"/>
      <c r="AM94" s="101">
        <f t="shared" si="95"/>
        <v>7.3460085948691231E-2</v>
      </c>
      <c r="AN94" s="101">
        <f t="shared" si="95"/>
        <v>6.6630856752203538E-2</v>
      </c>
      <c r="AO94" s="101">
        <f t="shared" si="95"/>
        <v>6.6350163519871608E-2</v>
      </c>
      <c r="AP94" s="101">
        <f t="shared" si="95"/>
        <v>6.1528279451685999E-2</v>
      </c>
      <c r="AQ94" s="101">
        <f t="shared" si="95"/>
        <v>6.6771583414873534E-2</v>
      </c>
      <c r="AR94" s="101"/>
      <c r="AS94" s="101">
        <f t="shared" si="96"/>
        <v>7.4067513257974171E-2</v>
      </c>
      <c r="AT94" s="101">
        <f>CHOOSE($B$81,AT113,AT128,AT143)</f>
        <v>6.9022650897777496E-2</v>
      </c>
      <c r="AU94" s="101">
        <f t="shared" si="96"/>
        <v>6.7696812656681191E-2</v>
      </c>
      <c r="AV94" s="101">
        <f t="shared" si="96"/>
        <v>6.68479355488419E-2</v>
      </c>
      <c r="AW94" s="101">
        <f t="shared" si="96"/>
        <v>6.9321593954202232E-2</v>
      </c>
      <c r="AX94" s="101"/>
      <c r="AY94" s="101">
        <f t="shared" si="97"/>
        <v>7.0095816968387459E-2</v>
      </c>
      <c r="AZ94" s="101">
        <f t="shared" si="97"/>
        <v>7.4868250210035889E-2</v>
      </c>
      <c r="BA94" s="101">
        <f>CHOOSE($B$81,BA113,BA128,BA143)</f>
        <v>8.5625806700186866E-2</v>
      </c>
      <c r="BB94" s="101">
        <f t="shared" si="97"/>
        <v>6.0314579026906838E-2</v>
      </c>
      <c r="BC94" s="101">
        <f t="shared" si="97"/>
        <v>7.2428165575775333E-2</v>
      </c>
      <c r="BD94" s="101"/>
      <c r="BE94" s="101">
        <f t="shared" si="98"/>
        <v>6.3182808310991961E-2</v>
      </c>
      <c r="BF94" s="101">
        <f t="shared" si="98"/>
        <v>6.9100318530453439E-2</v>
      </c>
      <c r="BG94" s="101">
        <f t="shared" si="98"/>
        <v>7.3279993108127023E-2</v>
      </c>
      <c r="BH94" s="101">
        <f t="shared" si="98"/>
        <v>7.3699791611954876E-2</v>
      </c>
      <c r="BI94" s="101">
        <f t="shared" si="98"/>
        <v>7.0119291695142208E-2</v>
      </c>
      <c r="BJ94" s="101"/>
      <c r="BK94" s="101">
        <f t="shared" si="99"/>
        <v>7.3480461814584591E-2</v>
      </c>
      <c r="BL94" s="101">
        <f t="shared" si="99"/>
        <v>6.840177063638557E-2</v>
      </c>
      <c r="BM94" s="101">
        <f t="shared" si="99"/>
        <v>6.2816176833209184E-2</v>
      </c>
      <c r="BN94" s="101">
        <f t="shared" si="99"/>
        <v>6.2113865134350611E-2</v>
      </c>
      <c r="BO94" s="101">
        <f t="shared" si="99"/>
        <v>6.6212935544887969E-2</v>
      </c>
      <c r="BP94" s="101"/>
      <c r="BQ94" s="101">
        <f t="shared" si="100"/>
        <v>6.7725737199146763E-2</v>
      </c>
      <c r="BR94" s="101">
        <f t="shared" si="100"/>
        <v>6.7725737199146763E-2</v>
      </c>
      <c r="BS94" s="101">
        <f t="shared" si="100"/>
        <v>6.7725737199146763E-2</v>
      </c>
      <c r="BT94" s="101">
        <f t="shared" si="100"/>
        <v>6.7725737199146763E-2</v>
      </c>
      <c r="BU94" s="101">
        <f t="shared" si="100"/>
        <v>6.7725737199146763E-2</v>
      </c>
      <c r="BV94" s="101"/>
      <c r="BW94" s="101">
        <f t="shared" si="101"/>
        <v>6.6725737199146762E-2</v>
      </c>
      <c r="BX94" s="101">
        <f t="shared" si="101"/>
        <v>6.6725737199146762E-2</v>
      </c>
      <c r="BY94" s="101">
        <f t="shared" si="101"/>
        <v>6.6725737199146762E-2</v>
      </c>
      <c r="BZ94" s="101">
        <f t="shared" si="101"/>
        <v>6.6725737199146762E-2</v>
      </c>
      <c r="CA94" s="101">
        <f t="shared" si="101"/>
        <v>6.6725737199146748E-2</v>
      </c>
      <c r="CB94" s="101"/>
      <c r="CC94" s="101">
        <f t="shared" si="102"/>
        <v>6.5725737199146761E-2</v>
      </c>
      <c r="CD94" s="101">
        <f t="shared" si="102"/>
        <v>6.5725737199146761E-2</v>
      </c>
      <c r="CE94" s="101">
        <f t="shared" si="102"/>
        <v>6.5725737199146761E-2</v>
      </c>
      <c r="CF94" s="101">
        <f t="shared" si="102"/>
        <v>6.5725737199146761E-2</v>
      </c>
      <c r="CG94" s="101">
        <f t="shared" si="102"/>
        <v>6.5725737199146761E-2</v>
      </c>
      <c r="CH94" s="101"/>
      <c r="CI94" s="101"/>
      <c r="CP94" s="95"/>
      <c r="CQ94" s="95"/>
      <c r="CR94" s="95"/>
      <c r="CS94" s="95"/>
    </row>
    <row r="95" spans="1:97" ht="12.75" hidden="1" customHeight="1" outlineLevel="1" x14ac:dyDescent="0.2">
      <c r="A95" s="42"/>
      <c r="B95" s="102"/>
      <c r="C95" s="102"/>
      <c r="D95" s="102"/>
      <c r="E95" s="102"/>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102"/>
      <c r="BF95" s="102"/>
      <c r="BG95" s="102"/>
      <c r="BH95" s="102"/>
      <c r="BI95" s="102"/>
      <c r="BJ95" s="102"/>
      <c r="BK95" s="102"/>
      <c r="BL95" s="102"/>
      <c r="BM95" s="102"/>
      <c r="BN95" s="102"/>
      <c r="BO95" s="102"/>
      <c r="BP95" s="102"/>
      <c r="BQ95" s="102"/>
      <c r="BR95" s="102"/>
      <c r="BS95" s="102"/>
      <c r="BT95" s="102"/>
      <c r="BU95" s="102"/>
      <c r="BV95" s="102"/>
      <c r="BW95" s="102"/>
      <c r="BX95" s="102"/>
      <c r="BY95" s="102"/>
      <c r="BZ95" s="102"/>
      <c r="CA95" s="102"/>
      <c r="CB95" s="102"/>
      <c r="CC95" s="102"/>
      <c r="CD95" s="102"/>
      <c r="CE95" s="102"/>
      <c r="CF95" s="102"/>
      <c r="CG95" s="102"/>
      <c r="CH95" s="102"/>
      <c r="CI95" s="102"/>
      <c r="CP95" s="95"/>
      <c r="CQ95" s="95"/>
      <c r="CR95" s="95"/>
      <c r="CS95" s="95"/>
    </row>
    <row r="96" spans="1:97" ht="12.75" hidden="1" customHeight="1" outlineLevel="1" x14ac:dyDescent="0.2">
      <c r="A96" s="42"/>
      <c r="B96" s="102" t="s">
        <v>345</v>
      </c>
      <c r="C96" s="101"/>
      <c r="D96" s="101"/>
      <c r="E96" s="101"/>
      <c r="F96" s="101"/>
      <c r="G96" s="101"/>
      <c r="H96" s="101"/>
      <c r="I96" s="101">
        <f>I90-C90</f>
        <v>1.2694095966427343E-2</v>
      </c>
      <c r="J96" s="101">
        <f>J90-D90</f>
        <v>1.0962946109643656E-2</v>
      </c>
      <c r="K96" s="101">
        <f>K90-E90</f>
        <v>4.1308139217283157E-3</v>
      </c>
      <c r="L96" s="101">
        <f>L90-F90</f>
        <v>-9.1989987298669584E-3</v>
      </c>
      <c r="M96" s="101">
        <f>M90-G90</f>
        <v>4.503765954694261E-3</v>
      </c>
      <c r="N96" s="101"/>
      <c r="O96" s="101">
        <f>O90-I90</f>
        <v>1.3763126441705964E-2</v>
      </c>
      <c r="P96" s="101">
        <f>P90-J90</f>
        <v>1.3057479504851144E-2</v>
      </c>
      <c r="Q96" s="101">
        <f>Q90-K90</f>
        <v>1.799587747516207E-2</v>
      </c>
      <c r="R96" s="101">
        <f>R90-L90</f>
        <v>5.8782631361138593E-2</v>
      </c>
      <c r="S96" s="101">
        <f>S90-M90</f>
        <v>2.670793036464314E-2</v>
      </c>
      <c r="T96" s="102"/>
      <c r="U96" s="101">
        <f>U90-O90</f>
        <v>3.1421529730432995E-2</v>
      </c>
      <c r="V96" s="101">
        <f>V90-P90</f>
        <v>1.4747761546525795E-2</v>
      </c>
      <c r="W96" s="101">
        <f>W90-Q90</f>
        <v>1.2624876521567407E-2</v>
      </c>
      <c r="X96" s="101">
        <f>X90-R90</f>
        <v>-1.336615467321467E-2</v>
      </c>
      <c r="Y96" s="101">
        <f>Y90-S90</f>
        <v>1.0381283674826047E-2</v>
      </c>
      <c r="Z96" s="102"/>
      <c r="AA96" s="101">
        <f>AA90-U90</f>
        <v>1.2187260871169281E-3</v>
      </c>
      <c r="AB96" s="101">
        <f>AB90-V90</f>
        <v>-1.352772286182613E-2</v>
      </c>
      <c r="AC96" s="101">
        <f>AC90-W90</f>
        <v>-4.2155348331020526E-2</v>
      </c>
      <c r="AD96" s="101">
        <f>AD90-X90</f>
        <v>-2.3434159815092004E-2</v>
      </c>
      <c r="AE96" s="101">
        <f>AE90-Y90</f>
        <v>-2.0681097379762647E-2</v>
      </c>
      <c r="AF96" s="102"/>
      <c r="AG96" s="101">
        <f>AG90-AA90</f>
        <v>-3.310121083274109E-2</v>
      </c>
      <c r="AH96" s="101">
        <f>AH90-AB90</f>
        <v>-1.0795762412049603E-2</v>
      </c>
      <c r="AI96" s="101">
        <f>AI90-AC90</f>
        <v>-1.3923735926179015E-3</v>
      </c>
      <c r="AJ96" s="101">
        <f>AJ90-AD90</f>
        <v>-2.1818542743184954E-3</v>
      </c>
      <c r="AK96" s="101">
        <f>AK90-AE90</f>
        <v>-1.0585144367937449E-2</v>
      </c>
      <c r="AL96" s="101"/>
      <c r="AM96" s="101">
        <f>AM90-AG90</f>
        <v>-1.6289312058807126E-2</v>
      </c>
      <c r="AN96" s="101">
        <f>AN90-AH90</f>
        <v>4.8713447480334127E-3</v>
      </c>
      <c r="AO96" s="101">
        <f>AO90-AI90</f>
        <v>2.2962267794559121E-2</v>
      </c>
      <c r="AP96" s="101">
        <f>AP90-AJ90</f>
        <v>1.8620776009285689E-2</v>
      </c>
      <c r="AQ96" s="101">
        <f>AQ90-AK90</f>
        <v>8.0430806345349604E-3</v>
      </c>
      <c r="AR96" s="101"/>
      <c r="AS96" s="101">
        <f>AS90-AM90</f>
        <v>2.4989107727119375E-2</v>
      </c>
      <c r="AT96" s="101">
        <f>AT90-AN90</f>
        <v>5.9255042691619408E-4</v>
      </c>
      <c r="AU96" s="101">
        <f>AU90-AO90</f>
        <v>3.542880032621043E-3</v>
      </c>
      <c r="AV96" s="101">
        <f>AV90-AP90</f>
        <v>-6.8430547270420528E-3</v>
      </c>
      <c r="AW96" s="101">
        <f>AW90-AQ90</f>
        <v>4.9868163656509035E-3</v>
      </c>
      <c r="AX96" s="101"/>
      <c r="AY96" s="101">
        <f>AY90-AS90</f>
        <v>2.9707189536871681E-3</v>
      </c>
      <c r="AZ96" s="101">
        <f>AZ90-AT90</f>
        <v>1.6484386131939699E-3</v>
      </c>
      <c r="BA96" s="101">
        <f>BA90-AU90</f>
        <v>-5.0356702345673021E-3</v>
      </c>
      <c r="BB96" s="101">
        <f>BB90-AV90</f>
        <v>-8.1730530570285342E-3</v>
      </c>
      <c r="BC96" s="101">
        <f>BC90-AW90</f>
        <v>-2.3662029113221683E-3</v>
      </c>
      <c r="BD96" s="101"/>
      <c r="BE96" s="101">
        <f>BE90-AY90</f>
        <v>-6.101557073783237E-3</v>
      </c>
      <c r="BF96" s="101">
        <f>BF90-AZ90</f>
        <v>4.6132666046542203E-3</v>
      </c>
      <c r="BG96" s="101">
        <f>BG90-BA90</f>
        <v>-7.9708349943460322E-3</v>
      </c>
      <c r="BH96" s="101">
        <f>BH90-BB90</f>
        <v>1.9631566652374977E-3</v>
      </c>
      <c r="BI96" s="101">
        <f>BI90-BC90</f>
        <v>-1.7678815526381841E-3</v>
      </c>
      <c r="BJ96" s="101"/>
      <c r="BK96" s="101">
        <f>BK90-BE90</f>
        <v>2.5975193745627623E-3</v>
      </c>
      <c r="BL96" s="101">
        <f>BL90-BF90</f>
        <v>-1.8856494302361693E-3</v>
      </c>
      <c r="BM96" s="101">
        <f>BM90-BG90</f>
        <v>8.2484210066463559E-3</v>
      </c>
      <c r="BN96" s="101">
        <f>BN90-BH90</f>
        <v>2.1579017946827816E-3</v>
      </c>
      <c r="BO96" s="101">
        <f>BO90-BI90</f>
        <v>2.7445267461120304E-3</v>
      </c>
      <c r="BP96" s="101"/>
      <c r="BQ96" s="101">
        <f>BQ90-BK90</f>
        <v>-9.8977624929603714E-3</v>
      </c>
      <c r="BR96" s="101">
        <f>BR90-BL90</f>
        <v>2.4546477630649211E-4</v>
      </c>
      <c r="BS96" s="101">
        <f>BS90-BM90</f>
        <v>3.6846025537302651E-3</v>
      </c>
      <c r="BT96" s="101">
        <f>BT90-BN90</f>
        <v>2.4487085721273116E-3</v>
      </c>
      <c r="BU96" s="101">
        <f>BU90-BO90</f>
        <v>-5.0209449236837678E-4</v>
      </c>
      <c r="BV96" s="101"/>
      <c r="BW96" s="101">
        <f>BW90-BQ90</f>
        <v>1.3885766171376046E-2</v>
      </c>
      <c r="BX96" s="101">
        <f>BX90-BR90</f>
        <v>1.5694338700825039E-2</v>
      </c>
      <c r="BY96" s="101">
        <f>BY90-BS90</f>
        <v>1.5711050718841713E-2</v>
      </c>
      <c r="BZ96" s="101">
        <f>BZ90-BT90</f>
        <v>1.1608799294987038E-2</v>
      </c>
      <c r="CA96" s="101">
        <f>CA90-BU90</f>
        <v>1.4208029221150831E-2</v>
      </c>
      <c r="CB96" s="101"/>
      <c r="CC96" s="101">
        <f>CC90-BW90</f>
        <v>1.1621538602345827E-2</v>
      </c>
      <c r="CD96" s="101">
        <f>CD90-BX90</f>
        <v>1.0154118240119026E-2</v>
      </c>
      <c r="CE96" s="101">
        <f>CE90-BY90</f>
        <v>1.1213773610663003E-2</v>
      </c>
      <c r="CF96" s="101">
        <f>CF90-BZ90</f>
        <v>9.4783266755269491E-3</v>
      </c>
      <c r="CG96" s="101">
        <f>CG90-CA90</f>
        <v>1.0544719294248162E-2</v>
      </c>
      <c r="CH96" s="101"/>
      <c r="CI96" s="101"/>
      <c r="CP96" s="95"/>
      <c r="CQ96" s="95"/>
      <c r="CR96" s="95"/>
      <c r="CS96" s="95"/>
    </row>
    <row r="97" spans="1:97" ht="12.75" hidden="1" customHeight="1" outlineLevel="1" x14ac:dyDescent="0.2">
      <c r="A97" s="42"/>
      <c r="B97" s="102" t="s">
        <v>349</v>
      </c>
      <c r="C97" s="101"/>
      <c r="D97" s="101"/>
      <c r="E97" s="101"/>
      <c r="F97" s="101"/>
      <c r="G97" s="101"/>
      <c r="H97" s="101"/>
      <c r="I97" s="101">
        <f>I92-C92</f>
        <v>1.2166112212731672E-2</v>
      </c>
      <c r="J97" s="101">
        <f>J92-D92</f>
        <v>8.838588357117888E-2</v>
      </c>
      <c r="K97" s="101">
        <f>K92-E92</f>
        <v>3.626339046272864E-2</v>
      </c>
      <c r="L97" s="101">
        <f>L92-F92</f>
        <v>-1.031579476590011E-2</v>
      </c>
      <c r="M97" s="101">
        <f>M92-G92</f>
        <v>3.3043372560822237E-2</v>
      </c>
      <c r="N97" s="101"/>
      <c r="O97" s="101">
        <f>O92-I92</f>
        <v>2.1924626401515046E-2</v>
      </c>
      <c r="P97" s="101">
        <f>P92-J92</f>
        <v>-2.4883594463598391E-2</v>
      </c>
      <c r="Q97" s="101">
        <f>Q92-K92</f>
        <v>-2.6041889194008239E-2</v>
      </c>
      <c r="R97" s="101">
        <f>R92-L92</f>
        <v>-3.3112767235617735E-2</v>
      </c>
      <c r="S97" s="101">
        <f>S92-M92</f>
        <v>-1.8196345744662057E-2</v>
      </c>
      <c r="T97" s="102"/>
      <c r="U97" s="101">
        <f>U92-O92</f>
        <v>-8.6964435147860675E-2</v>
      </c>
      <c r="V97" s="101">
        <f>V92-P92</f>
        <v>-7.3217992523859354E-2</v>
      </c>
      <c r="W97" s="101">
        <f>W92-Q92</f>
        <v>-6.886380796129371E-2</v>
      </c>
      <c r="X97" s="101">
        <f>X92-R92</f>
        <v>3.3222535747663429E-3</v>
      </c>
      <c r="Y97" s="101">
        <f>Y92-S92</f>
        <v>-5.4521064319671131E-2</v>
      </c>
      <c r="Z97" s="102"/>
      <c r="AA97" s="101">
        <f>AA92-U92</f>
        <v>2.8093133437605555E-3</v>
      </c>
      <c r="AB97" s="101">
        <f>AB92-V92</f>
        <v>1.312359315366185E-2</v>
      </c>
      <c r="AC97" s="101">
        <f>AC92-W92</f>
        <v>-5.143969292297712E-3</v>
      </c>
      <c r="AD97" s="101">
        <f>AD92-X92</f>
        <v>-4.5208532985328398E-2</v>
      </c>
      <c r="AE97" s="101">
        <f>AE92-Y92</f>
        <v>-9.4501524546439231E-3</v>
      </c>
      <c r="AF97" s="102"/>
      <c r="AG97" s="101">
        <f>AG92-AA92</f>
        <v>-2.8517445244564898E-2</v>
      </c>
      <c r="AH97" s="101">
        <f>AH92-AB92</f>
        <v>-5.4142156420802778E-2</v>
      </c>
      <c r="AI97" s="101">
        <f>AI92-AC92</f>
        <v>-9.4173155109136264E-3</v>
      </c>
      <c r="AJ97" s="101">
        <f>AJ92-AD92</f>
        <v>-1.5729562540717001E-2</v>
      </c>
      <c r="AK97" s="101">
        <f>AK92-AE92</f>
        <v>-2.60291051526228E-2</v>
      </c>
      <c r="AL97" s="101"/>
      <c r="AM97" s="101">
        <f>AM92-AG92</f>
        <v>-9.1900045014342013E-3</v>
      </c>
      <c r="AN97" s="101">
        <f>AN92-AH92</f>
        <v>2.4878738505966946E-2</v>
      </c>
      <c r="AO97" s="101">
        <f>AO92-AI92</f>
        <v>9.0539616566783221E-3</v>
      </c>
      <c r="AP97" s="101">
        <f>AP92-AJ92</f>
        <v>-1.3736067797321005E-2</v>
      </c>
      <c r="AQ97" s="101">
        <f>AQ92-AK92</f>
        <v>2.3852137438124532E-3</v>
      </c>
      <c r="AR97" s="101"/>
      <c r="AS97" s="101">
        <f>AS92-AM92</f>
        <v>1.7468724047945472E-2</v>
      </c>
      <c r="AT97" s="101">
        <f>AT92-AN92</f>
        <v>8.1081974524777056E-4</v>
      </c>
      <c r="AU97" s="101">
        <f>AU92-AO92</f>
        <v>8.9314301112164429E-4</v>
      </c>
      <c r="AV97" s="101">
        <f>AV92-AP92</f>
        <v>2.9381760990474015E-2</v>
      </c>
      <c r="AW97" s="101">
        <f>AW92-AQ92</f>
        <v>1.2538781962260492E-2</v>
      </c>
      <c r="AX97" s="101"/>
      <c r="AY97" s="101">
        <f>AY92-AS92</f>
        <v>-4.1779119182562829E-3</v>
      </c>
      <c r="AZ97" s="101">
        <f>AZ92-AT92</f>
        <v>1.8175536147697346E-2</v>
      </c>
      <c r="BA97" s="101">
        <f>BA92-AU92</f>
        <v>4.1527572408868174E-2</v>
      </c>
      <c r="BB97" s="101">
        <f>BB92-AV92</f>
        <v>-2.9894318480216953E-5</v>
      </c>
      <c r="BC97" s="101">
        <f>BC92-AW92</f>
        <v>1.3629785678120065E-2</v>
      </c>
      <c r="BD97" s="101"/>
      <c r="BE97" s="101">
        <f>BE92-AY92</f>
        <v>1.578631364991917E-2</v>
      </c>
      <c r="BF97" s="101">
        <f>BF92-AZ92</f>
        <v>-1.9034362693629125E-2</v>
      </c>
      <c r="BG97" s="101">
        <f>BG92-BA92</f>
        <v>-2.2809643821613601E-2</v>
      </c>
      <c r="BH97" s="101">
        <f>BH92-BB92</f>
        <v>7.6712512608647643E-3</v>
      </c>
      <c r="BI97" s="101">
        <f>BI92-BC92</f>
        <v>-4.6587953422158601E-3</v>
      </c>
      <c r="BJ97" s="101"/>
      <c r="BK97" s="101">
        <f>BK92-BE92</f>
        <v>1.1001780635902625E-2</v>
      </c>
      <c r="BL97" s="101">
        <f>BL92-BF92</f>
        <v>4.015949527177376E-3</v>
      </c>
      <c r="BM97" s="101">
        <f>BM92-BG92</f>
        <v>-9.5860812342415946E-3</v>
      </c>
      <c r="BN97" s="101">
        <f>BN92-BH92</f>
        <v>-7.7612620931804543E-3</v>
      </c>
      <c r="BO97" s="101">
        <f>BO92-BI92</f>
        <v>-1.6194792659691704E-3</v>
      </c>
      <c r="BP97" s="101"/>
      <c r="BQ97" s="101">
        <f>BQ92-BK92</f>
        <v>4.4393870652526535E-3</v>
      </c>
      <c r="BR97" s="101">
        <f>BR92-BL92</f>
        <v>2.3975754321630294E-2</v>
      </c>
      <c r="BS97" s="101">
        <f>BS92-BM92</f>
        <v>5.067103541254836E-3</v>
      </c>
      <c r="BT97" s="101">
        <f>BT92-BN92</f>
        <v>5.948219007084754E-5</v>
      </c>
      <c r="BU97" s="101">
        <f>BU92-BO92</f>
        <v>8.7117191319999177E-3</v>
      </c>
      <c r="BV97" s="101"/>
      <c r="BW97" s="101">
        <f>BW92-BQ92</f>
        <v>-3.0000000000000027E-3</v>
      </c>
      <c r="BX97" s="101">
        <f>BX92-BR92</f>
        <v>-3.0000000000000027E-3</v>
      </c>
      <c r="BY97" s="101">
        <f>BY92-BS92</f>
        <v>-3.0000000000000027E-3</v>
      </c>
      <c r="BZ97" s="101">
        <f>BZ92-BT92</f>
        <v>-3.0000000000000027E-3</v>
      </c>
      <c r="CA97" s="101">
        <f>CA92-BU92</f>
        <v>-3.0379661838738636E-3</v>
      </c>
      <c r="CB97" s="101"/>
      <c r="CC97" s="101">
        <f>CC92-BW92</f>
        <v>-3.0000000000000027E-3</v>
      </c>
      <c r="CD97" s="101">
        <f>CD92-BX92</f>
        <v>-3.0000000000000027E-3</v>
      </c>
      <c r="CE97" s="101">
        <f>CE92-BY92</f>
        <v>-3.0000000000000027E-3</v>
      </c>
      <c r="CF97" s="101">
        <f>CF92-BZ92</f>
        <v>-3.0000000000000027E-3</v>
      </c>
      <c r="CG97" s="101">
        <f>CG92-CA92</f>
        <v>-2.8997660949752202E-3</v>
      </c>
      <c r="CH97" s="101"/>
      <c r="CI97" s="101"/>
      <c r="CP97" s="95"/>
      <c r="CQ97" s="95"/>
      <c r="CR97" s="95"/>
      <c r="CS97" s="95"/>
    </row>
    <row r="98" spans="1:97" ht="12.75" hidden="1" customHeight="1" outlineLevel="1" x14ac:dyDescent="0.2">
      <c r="A98" s="42"/>
      <c r="B98" s="102" t="s">
        <v>353</v>
      </c>
      <c r="C98" s="101"/>
      <c r="D98" s="101"/>
      <c r="E98" s="101"/>
      <c r="F98" s="101"/>
      <c r="G98" s="101"/>
      <c r="H98" s="101"/>
      <c r="I98" s="101">
        <f>I54-C54</f>
        <v>-4.7920208833516359E-2</v>
      </c>
      <c r="J98" s="101">
        <f>J54-D54</f>
        <v>-0.12709511948110466</v>
      </c>
      <c r="K98" s="101">
        <f>K54-E54</f>
        <v>-1.2668236532607347E-2</v>
      </c>
      <c r="L98" s="101">
        <f>L54-F54</f>
        <v>3.2898935066245916E-3</v>
      </c>
      <c r="M98" s="101">
        <f>M54-G54</f>
        <v>-4.7533300879505247E-2</v>
      </c>
      <c r="N98" s="101"/>
      <c r="O98" s="101">
        <f>O54-I54</f>
        <v>2.6454400121219662E-2</v>
      </c>
      <c r="P98" s="101">
        <f>P54-J54</f>
        <v>3.8835568880857499E-2</v>
      </c>
      <c r="Q98" s="101">
        <f>Q54-K54</f>
        <v>3.8800001638627665E-2</v>
      </c>
      <c r="R98" s="101">
        <f>R54-L54</f>
        <v>0.14584594786844618</v>
      </c>
      <c r="S98" s="101">
        <f>S54-M54</f>
        <v>6.6602568068348508E-2</v>
      </c>
      <c r="T98" s="102"/>
      <c r="U98" s="101">
        <f>U54-O54</f>
        <v>0.15059746935067775</v>
      </c>
      <c r="V98" s="101">
        <f>V54-P54</f>
        <v>0.15104880309064594</v>
      </c>
      <c r="W98" s="101">
        <f>W54-Q54</f>
        <v>0.11936406954125461</v>
      </c>
      <c r="X98" s="101">
        <f>X54-R54</f>
        <v>-4.5912603244795652E-2</v>
      </c>
      <c r="Y98" s="101">
        <f>Y54-S54</f>
        <v>9.0240948983420582E-2</v>
      </c>
      <c r="Z98" s="102"/>
      <c r="AA98" s="101">
        <f>AA54-U54</f>
        <v>-2.4298495939603676E-2</v>
      </c>
      <c r="AB98" s="101">
        <f>AB54-V54</f>
        <v>-4.4507650551134814E-2</v>
      </c>
      <c r="AC98" s="101">
        <f>AC54-W54</f>
        <v>-3.1111330487813033E-2</v>
      </c>
      <c r="AD98" s="101">
        <f>AD54-X54</f>
        <v>5.7885741853422878E-2</v>
      </c>
      <c r="AE98" s="101">
        <f>AE54-Y54</f>
        <v>-1.0240232582491154E-2</v>
      </c>
      <c r="AF98" s="102"/>
      <c r="AG98" s="101">
        <f>AG54-AA54</f>
        <v>9.7542613197096617E-3</v>
      </c>
      <c r="AH98" s="101">
        <f>AH54-AB54</f>
        <v>6.4565574904701606E-2</v>
      </c>
      <c r="AI98" s="101">
        <f>AI54-AC54</f>
        <v>-7.5120621502099139E-3</v>
      </c>
      <c r="AJ98" s="101">
        <f>AJ54-AD54</f>
        <v>-1.9967577483177901E-2</v>
      </c>
      <c r="AK98" s="101">
        <f>AK54-AE54</f>
        <v>1.1480365649359614E-2</v>
      </c>
      <c r="AL98" s="101"/>
      <c r="AM98" s="101">
        <f>AM54-AG54</f>
        <v>-3.5949432555632599E-2</v>
      </c>
      <c r="AN98" s="101">
        <f>AN54-AH54</f>
        <v>-2.7055369032925991E-2</v>
      </c>
      <c r="AO98" s="101">
        <f>AO54-AI54</f>
        <v>2.7686047728638419E-2</v>
      </c>
      <c r="AP98" s="101">
        <f>AP54-AJ54</f>
        <v>8.6577053976246265E-2</v>
      </c>
      <c r="AQ98" s="101">
        <f>AQ54-AK54</f>
        <v>1.4586693533300055E-2</v>
      </c>
      <c r="AR98" s="101"/>
      <c r="AS98" s="101">
        <f>AS54-AM54</f>
        <v>4.2990953837090312E-2</v>
      </c>
      <c r="AT98" s="101">
        <f>AT54-AN54</f>
        <v>2.1766195770035024E-2</v>
      </c>
      <c r="AU98" s="101">
        <f>AU54-AO54</f>
        <v>1.9425577674851757E-2</v>
      </c>
      <c r="AV98" s="101">
        <f>AV54-AP54</f>
        <v>-3.755332500590991E-2</v>
      </c>
      <c r="AW98" s="101">
        <f>AW54-AQ54</f>
        <v>9.9468850755571325E-3</v>
      </c>
      <c r="AX98" s="101"/>
      <c r="AY98" s="101">
        <f>AY54-AS54</f>
        <v>-9.2146787864051116E-3</v>
      </c>
      <c r="AZ98" s="101">
        <f>AZ54-AT54</f>
        <v>-5.10722734543127E-2</v>
      </c>
      <c r="BA98" s="101">
        <f>BA54-AU54</f>
        <v>-8.8243053326442278E-2</v>
      </c>
      <c r="BB98" s="101">
        <f>BB54-AV54</f>
        <v>-1.5935312582646688E-3</v>
      </c>
      <c r="BC98" s="101">
        <f>BC54-AW54</f>
        <v>-3.6851946670292263E-2</v>
      </c>
      <c r="BD98" s="101"/>
      <c r="BE98" s="101">
        <f>BE54-AY54</f>
        <v>1.2173081679881514E-3</v>
      </c>
      <c r="BF98" s="101">
        <f>BF54-AZ54</f>
        <v>3.9775634005989546E-2</v>
      </c>
      <c r="BG98" s="101">
        <f>BG54-BA54</f>
        <v>3.9599515396884416E-2</v>
      </c>
      <c r="BH98" s="101">
        <f>BH54-BB54</f>
        <v>-2.32686360087975E-2</v>
      </c>
      <c r="BI98" s="101">
        <f>BI54-BC54</f>
        <v>1.3542137545535432E-2</v>
      </c>
      <c r="BJ98" s="101"/>
      <c r="BK98" s="101">
        <f>BK54-BE54</f>
        <v>-2.4689992887742318E-2</v>
      </c>
      <c r="BL98" s="101">
        <f>BL54-BF54</f>
        <v>-7.3888626425662185E-3</v>
      </c>
      <c r="BM98" s="101">
        <f>BM54-BG54</f>
        <v>3.3515856041950925E-2</v>
      </c>
      <c r="BN98" s="101">
        <f>BN54-BH54</f>
        <v>2.5729410526324298E-2</v>
      </c>
      <c r="BO98" s="101">
        <f>BO54-BI54</f>
        <v>9.1518165999242562E-3</v>
      </c>
      <c r="BP98" s="101"/>
      <c r="BQ98" s="101">
        <f>BQ54-BK54</f>
        <v>2.6008174403865408E-2</v>
      </c>
      <c r="BR98" s="101">
        <f>BR54-BL54</f>
        <v>-1.9334004910175617E-3</v>
      </c>
      <c r="BS98" s="101">
        <f>BS54-BM54</f>
        <v>-3.2920613534622167E-3</v>
      </c>
      <c r="BT98" s="101">
        <f>BT54-BN54</f>
        <v>-2.2264568273977492E-4</v>
      </c>
      <c r="BU98" s="101">
        <f>BU54-BO54</f>
        <v>3.5458786775577344E-3</v>
      </c>
      <c r="BV98" s="101"/>
      <c r="BW98" s="101">
        <f>BW54-BQ54</f>
        <v>2.0885766171376108E-2</v>
      </c>
      <c r="BX98" s="101">
        <f>BX54-BR54</f>
        <v>2.2694338700825073E-2</v>
      </c>
      <c r="BY98" s="101">
        <f>BY54-BS54</f>
        <v>2.2711050718841774E-2</v>
      </c>
      <c r="BZ98" s="101">
        <f>BZ54-BT54</f>
        <v>1.8608799294987044E-2</v>
      </c>
      <c r="CA98" s="101">
        <f>CA54-BU54</f>
        <v>2.1223224013740383E-2</v>
      </c>
      <c r="CB98" s="101"/>
      <c r="CC98" s="101">
        <f>CC54-BW54</f>
        <v>1.8621538602345888E-2</v>
      </c>
      <c r="CD98" s="101">
        <f>CD54-BX54</f>
        <v>1.7154118240118976E-2</v>
      </c>
      <c r="CE98" s="101">
        <f>CE54-BY54</f>
        <v>1.8213773610663064E-2</v>
      </c>
      <c r="CF98" s="101">
        <f>CF54-BZ54</f>
        <v>1.6478326675527011E-2</v>
      </c>
      <c r="CG98" s="101">
        <f>CG54-CA54</f>
        <v>1.7477869070180674E-2</v>
      </c>
      <c r="CH98" s="101"/>
      <c r="CI98" s="101"/>
      <c r="CP98" s="95"/>
      <c r="CQ98" s="95"/>
      <c r="CR98" s="95"/>
      <c r="CS98" s="95"/>
    </row>
    <row r="99" spans="1:97" ht="12.75" hidden="1" customHeight="1" outlineLevel="1" x14ac:dyDescent="0.2">
      <c r="A99" s="42"/>
      <c r="B99" s="103"/>
      <c r="C99" s="101"/>
      <c r="D99" s="101"/>
      <c r="E99" s="101"/>
      <c r="F99" s="101"/>
      <c r="G99" s="101"/>
      <c r="H99" s="101"/>
      <c r="I99" s="101"/>
      <c r="J99" s="101"/>
      <c r="K99" s="101"/>
      <c r="L99" s="101"/>
      <c r="M99" s="101"/>
      <c r="N99" s="101"/>
      <c r="O99" s="101"/>
      <c r="P99" s="101"/>
      <c r="Q99" s="101"/>
      <c r="R99" s="101"/>
      <c r="S99" s="101"/>
      <c r="T99" s="102"/>
      <c r="U99" s="101"/>
      <c r="V99" s="101"/>
      <c r="W99" s="101"/>
      <c r="X99" s="101"/>
      <c r="Y99" s="101"/>
      <c r="Z99" s="102"/>
      <c r="AA99" s="101"/>
      <c r="AB99" s="101"/>
      <c r="AC99" s="101"/>
      <c r="AD99" s="101"/>
      <c r="AE99" s="101"/>
      <c r="AF99" s="102"/>
      <c r="AG99" s="101"/>
      <c r="AH99" s="101"/>
      <c r="AI99" s="101"/>
      <c r="AJ99" s="101"/>
      <c r="AK99" s="101"/>
      <c r="AL99" s="101"/>
      <c r="AM99" s="101"/>
      <c r="AN99" s="101"/>
      <c r="AO99" s="101"/>
      <c r="AP99" s="101"/>
      <c r="AQ99" s="101"/>
      <c r="AR99" s="101"/>
      <c r="AS99" s="101"/>
      <c r="AT99" s="101"/>
      <c r="AU99" s="101"/>
      <c r="AV99" s="101"/>
      <c r="AW99" s="101"/>
      <c r="AX99" s="101"/>
      <c r="AY99" s="101"/>
      <c r="AZ99" s="101"/>
      <c r="BA99" s="101"/>
      <c r="BB99" s="101"/>
      <c r="BC99" s="101"/>
      <c r="BD99" s="101"/>
      <c r="BE99" s="101"/>
      <c r="BF99" s="101"/>
      <c r="BG99" s="101"/>
      <c r="BH99" s="101"/>
      <c r="BI99" s="101"/>
      <c r="BJ99" s="101"/>
      <c r="BK99" s="101"/>
      <c r="BL99" s="101"/>
      <c r="BM99" s="101"/>
      <c r="BN99" s="101"/>
      <c r="BO99" s="101"/>
      <c r="BP99" s="101"/>
      <c r="BQ99" s="101"/>
      <c r="BR99" s="101"/>
      <c r="BS99" s="101"/>
      <c r="BT99" s="101"/>
      <c r="BU99" s="101"/>
      <c r="BV99" s="101"/>
      <c r="BW99" s="101"/>
      <c r="BX99" s="101"/>
      <c r="BY99" s="101"/>
      <c r="BZ99" s="101"/>
      <c r="CA99" s="101"/>
      <c r="CB99" s="101"/>
      <c r="CC99" s="101"/>
      <c r="CD99" s="101"/>
      <c r="CE99" s="101"/>
      <c r="CF99" s="101"/>
      <c r="CG99" s="101"/>
      <c r="CH99" s="101"/>
      <c r="CI99" s="101"/>
      <c r="CP99" s="121"/>
      <c r="CQ99" s="121"/>
      <c r="CR99" s="121"/>
      <c r="CS99" s="121"/>
    </row>
    <row r="100" spans="1:97" ht="12.75" hidden="1" customHeight="1" outlineLevel="1" x14ac:dyDescent="0.2">
      <c r="A100" s="42"/>
      <c r="B100" s="103" t="s">
        <v>346</v>
      </c>
      <c r="C100" s="101"/>
      <c r="D100" s="101"/>
      <c r="E100" s="101"/>
      <c r="F100" s="101"/>
      <c r="G100" s="101"/>
      <c r="H100" s="101"/>
      <c r="I100" s="101"/>
      <c r="J100" s="101"/>
      <c r="K100" s="101"/>
      <c r="L100" s="101"/>
      <c r="M100" s="101"/>
      <c r="N100" s="101"/>
      <c r="O100" s="101"/>
      <c r="P100" s="101"/>
      <c r="Q100" s="101"/>
      <c r="R100" s="101"/>
      <c r="S100" s="101"/>
      <c r="T100" s="102"/>
      <c r="U100" s="101"/>
      <c r="V100" s="101"/>
      <c r="W100" s="101"/>
      <c r="X100" s="101"/>
      <c r="Y100" s="101"/>
      <c r="Z100" s="102"/>
      <c r="AA100" s="101"/>
      <c r="AB100" s="101"/>
      <c r="AC100" s="101"/>
      <c r="AD100" s="101"/>
      <c r="AE100" s="101"/>
      <c r="AF100" s="102"/>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1"/>
      <c r="BE100" s="101"/>
      <c r="BF100" s="101"/>
      <c r="BG100" s="101"/>
      <c r="BH100" s="101"/>
      <c r="BI100" s="101"/>
      <c r="BJ100" s="101"/>
      <c r="BK100" s="101"/>
      <c r="BL100" s="101"/>
      <c r="BM100" s="101"/>
      <c r="BN100" s="101"/>
      <c r="BO100" s="101"/>
      <c r="BP100" s="101"/>
      <c r="BQ100" s="101"/>
      <c r="BR100" s="101"/>
      <c r="BS100" s="101"/>
      <c r="BT100" s="101"/>
      <c r="BU100" s="101"/>
      <c r="BV100" s="101"/>
      <c r="BW100" s="101"/>
      <c r="BX100" s="101"/>
      <c r="BY100" s="101"/>
      <c r="BZ100" s="101"/>
      <c r="CA100" s="101"/>
      <c r="CB100" s="101"/>
      <c r="CC100" s="101"/>
      <c r="CD100" s="101"/>
      <c r="CE100" s="101"/>
      <c r="CF100" s="101"/>
      <c r="CG100" s="101"/>
      <c r="CH100" s="101"/>
      <c r="CI100" s="101"/>
      <c r="CP100" s="121"/>
      <c r="CQ100" s="121"/>
      <c r="CR100" s="121"/>
      <c r="CS100" s="121"/>
    </row>
    <row r="101" spans="1:97" ht="12.75" hidden="1" customHeight="1" outlineLevel="1" x14ac:dyDescent="0.2">
      <c r="A101" s="42"/>
      <c r="B101" s="234" t="s">
        <v>102</v>
      </c>
      <c r="C101" s="101"/>
      <c r="D101" s="101"/>
      <c r="E101" s="101"/>
      <c r="F101" s="101"/>
      <c r="G101" s="101"/>
      <c r="H101" s="101"/>
      <c r="I101" s="101"/>
      <c r="J101" s="101"/>
      <c r="K101" s="101"/>
      <c r="L101" s="101"/>
      <c r="M101" s="101"/>
      <c r="N101" s="101"/>
      <c r="O101" s="101"/>
      <c r="P101" s="101"/>
      <c r="Q101" s="101"/>
      <c r="R101" s="101"/>
      <c r="S101" s="101"/>
      <c r="T101" s="102"/>
      <c r="U101" s="101"/>
      <c r="V101" s="101"/>
      <c r="W101" s="101"/>
      <c r="X101" s="101"/>
      <c r="Y101" s="101"/>
      <c r="Z101" s="102"/>
      <c r="AA101" s="101"/>
      <c r="AB101" s="101"/>
      <c r="AC101" s="101"/>
      <c r="AD101" s="101"/>
      <c r="AE101" s="101"/>
      <c r="AF101" s="102"/>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1"/>
      <c r="BE101" s="101"/>
      <c r="BF101" s="101"/>
      <c r="BG101" s="101"/>
      <c r="BH101" s="101"/>
      <c r="BI101" s="101"/>
      <c r="BJ101" s="101"/>
      <c r="BK101" s="101"/>
      <c r="BL101" s="101"/>
      <c r="BM101" s="101"/>
      <c r="BN101" s="101"/>
      <c r="BO101" s="101"/>
      <c r="BP101" s="101"/>
      <c r="BQ101" s="101"/>
      <c r="BR101" s="101"/>
      <c r="BS101" s="101"/>
      <c r="BT101" s="101"/>
      <c r="BU101" s="101"/>
      <c r="BV101" s="101"/>
      <c r="BW101" s="101"/>
      <c r="BX101" s="101"/>
      <c r="BY101" s="101"/>
      <c r="BZ101" s="101"/>
      <c r="CA101" s="101"/>
      <c r="CB101" s="101"/>
      <c r="CC101" s="101"/>
      <c r="CD101" s="101"/>
      <c r="CE101" s="101"/>
      <c r="CF101" s="101"/>
      <c r="CG101" s="101"/>
      <c r="CH101" s="101"/>
      <c r="CI101" s="101"/>
      <c r="CP101" s="121"/>
      <c r="CQ101" s="121"/>
      <c r="CR101" s="121"/>
      <c r="CS101" s="121"/>
    </row>
    <row r="102" spans="1:97" ht="12.75" hidden="1" customHeight="1" outlineLevel="1" x14ac:dyDescent="0.2">
      <c r="A102" s="42"/>
      <c r="B102" s="278" t="s">
        <v>166</v>
      </c>
      <c r="C102" s="103"/>
      <c r="D102" s="103"/>
      <c r="E102" s="103"/>
      <c r="F102" s="101"/>
      <c r="G102" s="101"/>
      <c r="H102" s="101"/>
      <c r="I102" s="101"/>
      <c r="J102" s="101"/>
      <c r="K102" s="101"/>
      <c r="L102" s="101"/>
      <c r="M102" s="101"/>
      <c r="N102" s="101"/>
      <c r="O102" s="101"/>
      <c r="P102" s="101"/>
      <c r="Q102" s="101"/>
      <c r="R102" s="101"/>
      <c r="S102" s="101"/>
      <c r="T102" s="103"/>
      <c r="U102" s="319"/>
      <c r="V102" s="319"/>
      <c r="W102" s="319"/>
      <c r="X102" s="319"/>
      <c r="Y102" s="319"/>
      <c r="Z102" s="103"/>
      <c r="AA102" s="101">
        <f>+ALGN!AA69</f>
        <v>0.1639027639027637</v>
      </c>
      <c r="AB102" s="101">
        <f>+ALGN!AB69</f>
        <v>0.20982342541907162</v>
      </c>
      <c r="AC102" s="101">
        <f>+ALGN!AC69</f>
        <v>0.19128268731695641</v>
      </c>
      <c r="AD102" s="101">
        <f>+ALGN!AD69</f>
        <v>0.27996727417566447</v>
      </c>
      <c r="AE102" s="101">
        <f>+ALGN!AE69</f>
        <v>0.21143261772184485</v>
      </c>
      <c r="AF102" s="101"/>
      <c r="AG102" s="101">
        <f>+ALGN!AG69</f>
        <v>0.17616540779736023</v>
      </c>
      <c r="AH102" s="101">
        <f>+ALGN!AH69</f>
        <v>0.1766637323943665</v>
      </c>
      <c r="AI102" s="101">
        <f>+ALGN!AI69</f>
        <v>0.10870516185476808</v>
      </c>
      <c r="AJ102" s="101">
        <f>+ALGN!AJ69</f>
        <v>0.11740117746005052</v>
      </c>
      <c r="AK102" s="101">
        <f>+ALGN!AK69</f>
        <v>0.14374878225906462</v>
      </c>
      <c r="AL102" s="101"/>
      <c r="AM102" s="101">
        <f>+ALGN!AM69</f>
        <v>0.14793072132848994</v>
      </c>
      <c r="AN102" s="101">
        <f>+ALGN!AN69</f>
        <v>0.14688521646754293</v>
      </c>
      <c r="AO102" s="101">
        <f>+ALGN!AO69</f>
        <v>0.2116788321167884</v>
      </c>
      <c r="AP102" s="101">
        <f>+ALGN!AP69</f>
        <v>0.2511308981702407</v>
      </c>
      <c r="AQ102" s="101">
        <f>+ALGN!AQ69</f>
        <v>0.18984050903924077</v>
      </c>
      <c r="AR102" s="101"/>
      <c r="AS102" s="101">
        <f>+ALGN!AS69</f>
        <v>0.18836351820981556</v>
      </c>
      <c r="AT102" s="101">
        <f>+ALGN!AT69</f>
        <v>0.1724167172201454</v>
      </c>
      <c r="AU102" s="101">
        <f>+ALGN!AU69</f>
        <v>0.16013025073266052</v>
      </c>
      <c r="AV102" s="101">
        <f>+ALGN!AV69</f>
        <v>0.12160097218211563</v>
      </c>
      <c r="AW102" s="101">
        <f>+ALGN!AW69</f>
        <v>0.15927789681590632</v>
      </c>
      <c r="AX102" s="101"/>
      <c r="AY102" s="101">
        <f>+ALGN!AY69</f>
        <v>0.11168635096499613</v>
      </c>
      <c r="AZ102" s="101">
        <f>+ALGN!AZ69</f>
        <v>0.11729490638996354</v>
      </c>
      <c r="BA102" s="101">
        <f>+ALGN!BA69</f>
        <v>0.1131370061413064</v>
      </c>
      <c r="BB102" s="101">
        <f>+ALGN!BB69</f>
        <v>0.14809828521162638</v>
      </c>
      <c r="BC102" s="101">
        <f>+ALGN!BC69</f>
        <v>0.12299083992820159</v>
      </c>
      <c r="BD102" s="101"/>
      <c r="BE102" s="101">
        <f>+ALGN!BE69</f>
        <v>0.14809828521162638</v>
      </c>
      <c r="BF102" s="101">
        <f>+ALGN!BF69</f>
        <v>0.21222804842219523</v>
      </c>
      <c r="BG102" s="101">
        <f>+ALGN!BG69</f>
        <v>0.22883424444758194</v>
      </c>
      <c r="BH102" s="101">
        <f>+ALGN!BH69</f>
        <v>0.17508689639706976</v>
      </c>
      <c r="BI102" s="101">
        <f>+ALGN!BI69</f>
        <v>0.19726101181475286</v>
      </c>
      <c r="BJ102" s="101"/>
      <c r="BK102" s="101">
        <f>+ALGN!BK69</f>
        <v>0.29796334089078708</v>
      </c>
      <c r="BL102" s="101">
        <f>+ALGN!BL69</f>
        <v>0.32990704345377075</v>
      </c>
      <c r="BM102" s="101">
        <f>+ALGN!BM69</f>
        <v>0.40195265689380633</v>
      </c>
      <c r="BN102" s="101">
        <f>+ALGN!BN69</f>
        <v>0.44803101083391317</v>
      </c>
      <c r="BO102" s="101">
        <f>+ALGN!BO69</f>
        <v>0.36661685967528235</v>
      </c>
      <c r="BP102" s="101"/>
      <c r="BQ102" s="101">
        <f>+ALGN!BQ69</f>
        <v>0.36510752516829026</v>
      </c>
      <c r="BR102" s="101">
        <f>+ALGN!BR69</f>
        <v>0.34659075155184205</v>
      </c>
      <c r="BS102" s="101">
        <f>+ALGN!BS69</f>
        <v>0.28510951338026236</v>
      </c>
      <c r="BT102" s="101">
        <f>+ALGN!BT69</f>
        <v>0.29384479521134632</v>
      </c>
      <c r="BU102" s="101">
        <f>+ALGN!BU69</f>
        <v>0.31986999578635733</v>
      </c>
      <c r="BV102" s="101"/>
      <c r="BW102" s="101">
        <f>+ALGN!BW69</f>
        <v>0.22520385109391761</v>
      </c>
      <c r="BX102" s="101">
        <f>+ALGN!BX69</f>
        <v>0.26231497140202875</v>
      </c>
      <c r="BY102" s="101">
        <f>+ALGN!BY69</f>
        <v>0.25147415221332947</v>
      </c>
      <c r="BZ102" s="101">
        <f>+ALGN!BZ69</f>
        <v>0.25851620595455715</v>
      </c>
      <c r="CA102" s="101">
        <f>+ALGN!CA69</f>
        <v>0.25024600218896076</v>
      </c>
      <c r="CB102" s="101"/>
      <c r="CC102" s="101">
        <f>+ALGN!CC69</f>
        <v>0.18680273097807265</v>
      </c>
      <c r="CD102" s="101">
        <f>+ALGN!CD69</f>
        <v>0.17110025079938218</v>
      </c>
      <c r="CE102" s="101">
        <f>+ALGN!CE69</f>
        <v>0.16915931880134538</v>
      </c>
      <c r="CF102" s="101">
        <f>+ALGN!CF69</f>
        <v>0.16513753322154479</v>
      </c>
      <c r="CG102" s="101">
        <f>+ALGN!CG69</f>
        <v>0.17240273436297548</v>
      </c>
      <c r="CH102" s="101"/>
      <c r="CI102" s="101"/>
      <c r="CP102" s="121"/>
      <c r="CQ102" s="121"/>
      <c r="CR102" s="121"/>
      <c r="CS102" s="121"/>
    </row>
    <row r="103" spans="1:97" ht="12.75" hidden="1" customHeight="1" outlineLevel="1" x14ac:dyDescent="0.2">
      <c r="A103" s="42"/>
      <c r="B103" s="233" t="s">
        <v>167</v>
      </c>
      <c r="C103" s="103"/>
      <c r="D103" s="103"/>
      <c r="E103" s="103"/>
      <c r="F103" s="103"/>
      <c r="G103" s="103"/>
      <c r="H103" s="103"/>
      <c r="I103" s="101"/>
      <c r="J103" s="101"/>
      <c r="K103" s="101"/>
      <c r="L103" s="101"/>
      <c r="M103" s="101"/>
      <c r="N103" s="101"/>
      <c r="O103" s="101"/>
      <c r="P103" s="101"/>
      <c r="Q103" s="101"/>
      <c r="R103" s="101"/>
      <c r="S103" s="101"/>
      <c r="T103" s="103"/>
      <c r="U103" s="319"/>
      <c r="V103" s="319"/>
      <c r="W103" s="319"/>
      <c r="X103" s="319"/>
      <c r="Y103" s="319"/>
      <c r="Z103" s="103"/>
      <c r="AA103" s="101">
        <f>+ALGN!AA11</f>
        <v>8.2191780821917693E-2</v>
      </c>
      <c r="AB103" s="101">
        <f>+ALGN!AB11</f>
        <v>0.13481481481481472</v>
      </c>
      <c r="AC103" s="101">
        <f>+ALGN!AC11</f>
        <v>0.12762762762762758</v>
      </c>
      <c r="AD103" s="101">
        <f>+ALGN!AD11</f>
        <v>0.2249614791987673</v>
      </c>
      <c r="AE103" s="101">
        <f t="shared" ref="AE103:AE113" si="103">SUMPRODUCT(AA103:AD103,AA$8:AD$8)/AE$8</f>
        <v>0.14564918414391201</v>
      </c>
      <c r="AF103" s="101"/>
      <c r="AG103" s="101">
        <f>+ALGN!AG11</f>
        <v>0.15926863572433203</v>
      </c>
      <c r="AH103" s="101">
        <f>+ALGN!AH11</f>
        <v>0.15687989556135795</v>
      </c>
      <c r="AI103" s="101">
        <f>+ALGN!AI11</f>
        <v>6.9161118508655139E-2</v>
      </c>
      <c r="AJ103" s="101">
        <f>+ALGN!AJ11</f>
        <v>9.7672955974842823E-2</v>
      </c>
      <c r="AK103" s="101">
        <f>+ALGN!AK11</f>
        <v>0.12007939133311285</v>
      </c>
      <c r="AL103" s="101"/>
      <c r="AM103" s="101">
        <f>+ALGN!AM11</f>
        <v>4.23420363001068E-2</v>
      </c>
      <c r="AN103" s="101">
        <f>+ALGN!AN11</f>
        <v>8.0627870498888532E-2</v>
      </c>
      <c r="AO103" s="101">
        <f>+ALGN!AO11</f>
        <v>0.17001270331531626</v>
      </c>
      <c r="AP103" s="101">
        <f>+ALGN!AP11</f>
        <v>0.21965278175671821</v>
      </c>
      <c r="AQ103" s="101">
        <f>+ALGN!AQ11</f>
        <v>0.12833431777909032</v>
      </c>
      <c r="AR103" s="101"/>
      <c r="AS103" s="101">
        <f>+ALGN!AS11</f>
        <v>0.20204684712661058</v>
      </c>
      <c r="AT103" s="101">
        <f>+ALGN!AT11</f>
        <v>0.20336096597852582</v>
      </c>
      <c r="AU103" s="101">
        <f>+ALGN!AU11</f>
        <v>0.19734640481132559</v>
      </c>
      <c r="AV103" s="101">
        <f>+ALGN!AV11</f>
        <v>0.11563964184040643</v>
      </c>
      <c r="AW103" s="101">
        <f>+ALGN!AW11</f>
        <v>0.17714900942817313</v>
      </c>
      <c r="AX103" s="101"/>
      <c r="AY103" s="101">
        <f>+ALGN!AY11</f>
        <v>0.12376313405778672</v>
      </c>
      <c r="AZ103" s="101">
        <f>+ALGN!AZ11</f>
        <v>0.11400217066896934</v>
      </c>
      <c r="BA103" s="101">
        <f>+ALGN!BA11</f>
        <v>0.10319039633369598</v>
      </c>
      <c r="BB103" s="101">
        <f>+ALGN!BB11</f>
        <v>0.1371265783339275</v>
      </c>
      <c r="BC103" s="101">
        <f>+ALGN!BC11</f>
        <v>0.11964481927783388</v>
      </c>
      <c r="BD103" s="101"/>
      <c r="BE103" s="101">
        <f>+ALGN!BE11</f>
        <v>0.18481201818730614</v>
      </c>
      <c r="BF103" s="101">
        <f>+ALGN!BF11</f>
        <v>0.21721085614487542</v>
      </c>
      <c r="BG103" s="101">
        <f>+ALGN!BG11</f>
        <v>0.18682851557262781</v>
      </c>
      <c r="BH103" s="101">
        <f>+ALGN!BH11</f>
        <v>0.14012517675536187</v>
      </c>
      <c r="BI103" s="101">
        <f>+ALGN!BI11</f>
        <v>0.18158610033442102</v>
      </c>
      <c r="BJ103" s="101"/>
      <c r="BK103" s="101">
        <f>+ALGN!BK11</f>
        <v>0.21252194384284401</v>
      </c>
      <c r="BL103" s="101">
        <f>+ALGN!BL11</f>
        <v>0.20426049543341029</v>
      </c>
      <c r="BM103" s="101">
        <f>+ALGN!BM11</f>
        <v>0.2781159420289856</v>
      </c>
      <c r="BN103" s="101">
        <f>+ALGN!BN11</f>
        <v>0.27745318352059933</v>
      </c>
      <c r="BO103" s="101">
        <f>+ALGN!BO11</f>
        <v>0.24338899290084659</v>
      </c>
      <c r="BP103" s="101"/>
      <c r="BQ103" s="101">
        <f>+ALGN!BQ11</f>
        <v>0.29459854014598519</v>
      </c>
      <c r="BR103" s="101">
        <f>+ALGN!BR11</f>
        <v>0.30499999999999999</v>
      </c>
      <c r="BS103" s="101">
        <f>+ALGN!BS11</f>
        <v>0.27500000000000002</v>
      </c>
      <c r="BT103" s="101">
        <f>+ALGN!BT11</f>
        <v>0.27</v>
      </c>
      <c r="BU103" s="101">
        <f>+ALGN!BU11</f>
        <v>0.2857185990955744</v>
      </c>
      <c r="BV103" s="101"/>
      <c r="BW103" s="101">
        <f>+ALGN!BW11</f>
        <v>0.16</v>
      </c>
      <c r="BX103" s="101">
        <f>+ALGN!BX11</f>
        <v>0.17</v>
      </c>
      <c r="BY103" s="101">
        <f>+ALGN!BY11</f>
        <v>0.155</v>
      </c>
      <c r="BZ103" s="101">
        <f>+ALGN!BZ11</f>
        <v>0.14000000000000001</v>
      </c>
      <c r="CA103" s="101">
        <f>+ALGN!CA11</f>
        <v>0.15606862455589576</v>
      </c>
      <c r="CB103" s="101"/>
      <c r="CC103" s="101">
        <f>+ALGN!CC11</f>
        <v>0.11</v>
      </c>
      <c r="CD103" s="101">
        <f>+ALGN!CD11</f>
        <v>0.11</v>
      </c>
      <c r="CE103" s="101">
        <f>+ALGN!CE11</f>
        <v>0.11</v>
      </c>
      <c r="CF103" s="101">
        <f>+ALGN!CF11</f>
        <v>0.11</v>
      </c>
      <c r="CG103" s="101">
        <f>+ALGN!CG11</f>
        <v>0.10999999999999988</v>
      </c>
      <c r="CH103" s="101"/>
      <c r="CI103" s="101"/>
      <c r="CP103" s="121"/>
      <c r="CQ103" s="121"/>
      <c r="CR103" s="121"/>
      <c r="CS103" s="121"/>
    </row>
    <row r="104" spans="1:97" ht="12.75" hidden="1" customHeight="1" outlineLevel="1" x14ac:dyDescent="0.2">
      <c r="A104" s="42"/>
      <c r="B104" s="233" t="s">
        <v>168</v>
      </c>
      <c r="C104" s="103"/>
      <c r="D104" s="103"/>
      <c r="E104" s="103"/>
      <c r="F104" s="103"/>
      <c r="G104" s="103"/>
      <c r="H104" s="103"/>
      <c r="I104" s="101"/>
      <c r="J104" s="101"/>
      <c r="K104" s="101"/>
      <c r="L104" s="101"/>
      <c r="M104" s="101"/>
      <c r="N104" s="101"/>
      <c r="O104" s="101"/>
      <c r="P104" s="101"/>
      <c r="Q104" s="101"/>
      <c r="R104" s="101"/>
      <c r="S104" s="101"/>
      <c r="T104" s="103"/>
      <c r="U104" s="319"/>
      <c r="V104" s="319"/>
      <c r="W104" s="319"/>
      <c r="X104" s="319"/>
      <c r="Y104" s="319"/>
      <c r="Z104" s="103"/>
      <c r="AA104" s="101">
        <f>+ALGN!AA16</f>
        <v>0.17441860465116288</v>
      </c>
      <c r="AB104" s="101">
        <f>+ALGN!AB16</f>
        <v>0.26136363636363624</v>
      </c>
      <c r="AC104" s="101">
        <f>+ALGN!AC16</f>
        <v>0.1797752808988764</v>
      </c>
      <c r="AD104" s="101">
        <f>+ALGN!AD16</f>
        <v>0.31325301204819267</v>
      </c>
      <c r="AE104" s="101">
        <f t="shared" si="103"/>
        <v>0.23489228474785639</v>
      </c>
      <c r="AF104" s="101"/>
      <c r="AG104" s="101">
        <f>+ALGN!AG16</f>
        <v>0.16891089108910884</v>
      </c>
      <c r="AH104" s="101">
        <f>+ALGN!AH16</f>
        <v>0.22810810810810822</v>
      </c>
      <c r="AI104" s="101">
        <f>+ALGN!AI16</f>
        <v>0.21704761904761893</v>
      </c>
      <c r="AJ104" s="101">
        <f>+ALGN!AJ16</f>
        <v>0.21733944954128437</v>
      </c>
      <c r="AK104" s="101">
        <f>+ALGN!AK16</f>
        <v>0.20859154929577461</v>
      </c>
      <c r="AL104" s="101"/>
      <c r="AM104" s="101">
        <f>+ALGN!AM16</f>
        <v>0.36227342029476528</v>
      </c>
      <c r="AN104" s="101">
        <f>+ALGN!AN16</f>
        <v>0.40536971830985924</v>
      </c>
      <c r="AO104" s="101">
        <f>+ALGN!AO16</f>
        <v>0.38524141169105586</v>
      </c>
      <c r="AP104" s="101">
        <f>+ALGN!AP16</f>
        <v>0.46770668475393795</v>
      </c>
      <c r="AQ104" s="101">
        <f>+ALGN!AQ16</f>
        <v>0.40655712232451569</v>
      </c>
      <c r="AR104" s="101"/>
      <c r="AS104" s="101">
        <f>+ALGN!AS16</f>
        <v>0.22023254367966194</v>
      </c>
      <c r="AT104" s="101">
        <f>+ALGN!AT16</f>
        <v>6.8900720325712594E-2</v>
      </c>
      <c r="AU104" s="101">
        <f>+ALGN!AU16</f>
        <v>8.4905660377358361E-2</v>
      </c>
      <c r="AV104" s="101">
        <f>+ALGN!AV16</f>
        <v>9.3196405648266811E-2</v>
      </c>
      <c r="AW104" s="101">
        <f>+ALGN!AW16</f>
        <v>0.11295534259438256</v>
      </c>
      <c r="AX104" s="101"/>
      <c r="AY104" s="101">
        <f>+ALGN!AY16</f>
        <v>5.9821656050955463E-2</v>
      </c>
      <c r="AZ104" s="101">
        <f>+ALGN!AZ16</f>
        <v>7.4323664420353541E-2</v>
      </c>
      <c r="BA104" s="101">
        <f>+ALGN!BA16</f>
        <v>4.1395469929705886E-2</v>
      </c>
      <c r="BB104" s="101">
        <f>+ALGN!BB16</f>
        <v>0.15077501174260211</v>
      </c>
      <c r="BC104" s="101">
        <f>+ALGN!BC16</f>
        <v>8.3141020869004212E-2</v>
      </c>
      <c r="BD104" s="101"/>
      <c r="BE104" s="101">
        <f>+ALGN!BE16</f>
        <v>0.2689862810189575</v>
      </c>
      <c r="BF104" s="101">
        <f>+ALGN!BF16</f>
        <v>0.35277287499999999</v>
      </c>
      <c r="BG104" s="101">
        <f>+ALGN!BG16</f>
        <v>0.33014350000000015</v>
      </c>
      <c r="BH104" s="101">
        <f>+ALGN!BH16</f>
        <v>0.27354480494886524</v>
      </c>
      <c r="BI104" s="101">
        <f>+ALGN!BI16</f>
        <v>0.30539143209155273</v>
      </c>
      <c r="BJ104" s="101"/>
      <c r="BK104" s="101">
        <f>+ALGN!BK16</f>
        <v>0.46321332269212295</v>
      </c>
      <c r="BL104" s="101">
        <f>+ALGN!BL16</f>
        <v>0.4993249993036426</v>
      </c>
      <c r="BM104" s="101">
        <f>+ALGN!BM16</f>
        <v>0.59764705882352942</v>
      </c>
      <c r="BN104" s="101">
        <f>+ALGN!BN16</f>
        <v>0.73222222222222211</v>
      </c>
      <c r="BO104" s="101">
        <f>+ALGN!BO16</f>
        <v>0.57768059322416665</v>
      </c>
      <c r="BP104" s="101"/>
      <c r="BQ104" s="101">
        <f>+ALGN!BQ16</f>
        <v>0.63218390804597702</v>
      </c>
      <c r="BR104" s="101">
        <f>+ALGN!BR16</f>
        <v>0.48499999999999999</v>
      </c>
      <c r="BS104" s="101">
        <f>+ALGN!BS16</f>
        <v>0.44500000000000001</v>
      </c>
      <c r="BT104" s="101">
        <f>+ALGN!BT16</f>
        <v>0.42000000000000004</v>
      </c>
      <c r="BU104" s="101">
        <f>+ALGN!BU16</f>
        <v>0.4876193640667934</v>
      </c>
      <c r="BV104" s="101"/>
      <c r="BW104" s="101">
        <f>+ALGN!BW16</f>
        <v>0.47</v>
      </c>
      <c r="BX104" s="101">
        <f>+ALGN!BX16</f>
        <v>0.47</v>
      </c>
      <c r="BY104" s="101">
        <f>+ALGN!BY16</f>
        <v>0.47</v>
      </c>
      <c r="BZ104" s="101">
        <f>+ALGN!BZ16</f>
        <v>0.47</v>
      </c>
      <c r="CA104" s="101">
        <f>+ALGN!CA16</f>
        <v>0.47</v>
      </c>
      <c r="CB104" s="101"/>
      <c r="CC104" s="101">
        <f>+ALGN!CC16</f>
        <v>0.37</v>
      </c>
      <c r="CD104" s="101">
        <f>+ALGN!CD16</f>
        <v>0.37</v>
      </c>
      <c r="CE104" s="101">
        <f>+ALGN!CE16</f>
        <v>0.37</v>
      </c>
      <c r="CF104" s="101">
        <f>+ALGN!CF16</f>
        <v>0.37</v>
      </c>
      <c r="CG104" s="101">
        <f>+ALGN!CG16</f>
        <v>0.37000000000000011</v>
      </c>
      <c r="CH104" s="101"/>
      <c r="CI104" s="101"/>
      <c r="CP104" s="121"/>
      <c r="CQ104" s="121"/>
      <c r="CR104" s="121"/>
      <c r="CS104" s="121"/>
    </row>
    <row r="105" spans="1:97" ht="12.75" hidden="1" customHeight="1" outlineLevel="1" x14ac:dyDescent="0.2">
      <c r="A105" s="42"/>
      <c r="B105" s="233" t="s">
        <v>169</v>
      </c>
      <c r="C105" s="103"/>
      <c r="D105" s="103"/>
      <c r="E105" s="103"/>
      <c r="F105" s="103"/>
      <c r="G105" s="103"/>
      <c r="H105" s="103"/>
      <c r="I105" s="101"/>
      <c r="J105" s="101"/>
      <c r="K105" s="101"/>
      <c r="L105" s="101"/>
      <c r="M105" s="101"/>
      <c r="N105" s="101"/>
      <c r="O105" s="101"/>
      <c r="P105" s="101"/>
      <c r="Q105" s="101"/>
      <c r="R105" s="101"/>
      <c r="S105" s="101"/>
      <c r="T105" s="103"/>
      <c r="U105" s="319"/>
      <c r="V105" s="319"/>
      <c r="W105" s="319"/>
      <c r="X105" s="319"/>
      <c r="Y105" s="319"/>
      <c r="Z105" s="103"/>
      <c r="AA105" s="101">
        <f>+ALGN!AA21</f>
        <v>0.45121951219512213</v>
      </c>
      <c r="AB105" s="101">
        <f>+ALGN!AB21</f>
        <v>0.52380952380952372</v>
      </c>
      <c r="AC105" s="101">
        <f>+ALGN!AC21</f>
        <v>0.36283185840707954</v>
      </c>
      <c r="AD105" s="101">
        <f>+ALGN!AD21</f>
        <v>0.35849056603773599</v>
      </c>
      <c r="AE105" s="101">
        <f>SUMPRODUCT(AA105:AD105,AA$8:AD$8)/AE$8</f>
        <v>0.42127907359245387</v>
      </c>
      <c r="AF105" s="101"/>
      <c r="AG105" s="101">
        <f>+ALGN!AG21</f>
        <v>0.27294117647058824</v>
      </c>
      <c r="AH105" s="101">
        <f>+ALGN!AH21</f>
        <v>0.27968749999999987</v>
      </c>
      <c r="AI105" s="101">
        <f>+ALGN!AI21</f>
        <v>0.24311688311688306</v>
      </c>
      <c r="AJ105" s="101">
        <f>+ALGN!AJ21</f>
        <v>0.14270833333333321</v>
      </c>
      <c r="AK105" s="101">
        <f>+ALGN!AK21</f>
        <v>0.23168807339449526</v>
      </c>
      <c r="AL105" s="101"/>
      <c r="AM105" s="101">
        <f>+ALGN!AM21</f>
        <v>0.22610245576973864</v>
      </c>
      <c r="AN105" s="101">
        <f>+ALGN!AN21</f>
        <v>0.21715506715506727</v>
      </c>
      <c r="AO105" s="101">
        <f>+ALGN!AO21</f>
        <v>0.24211241119933158</v>
      </c>
      <c r="AP105" s="101">
        <f>+ALGN!AP21</f>
        <v>0.37107262230325144</v>
      </c>
      <c r="AQ105" s="101">
        <f>+ALGN!AQ21</f>
        <v>0.26402192858313356</v>
      </c>
      <c r="AR105" s="101"/>
      <c r="AS105" s="101">
        <f>+ALGN!AS21</f>
        <v>0.41334194798901636</v>
      </c>
      <c r="AT105" s="101">
        <f>+ALGN!AT21</f>
        <v>0.19999999999999996</v>
      </c>
      <c r="AU105" s="101">
        <f>+ALGN!AU21</f>
        <v>0.14799999999999991</v>
      </c>
      <c r="AV105" s="101">
        <f>+ALGN!AV21</f>
        <v>0.16599999999999993</v>
      </c>
      <c r="AW105" s="101">
        <f>+ALGN!AW21</f>
        <v>0.22308565704183869</v>
      </c>
      <c r="AX105" s="101"/>
      <c r="AY105" s="101">
        <f>+ALGN!AY21</f>
        <v>0.12350476190476201</v>
      </c>
      <c r="AZ105" s="101">
        <f>+ALGN!AZ21</f>
        <v>0.23305077661299745</v>
      </c>
      <c r="BA105" s="101">
        <f>+ALGN!BA21</f>
        <v>0.21999999999999997</v>
      </c>
      <c r="BB105" s="101">
        <f>+ALGN!BB21</f>
        <v>0.25</v>
      </c>
      <c r="BC105" s="101">
        <f>+ALGN!BC21</f>
        <v>0.20620542951260035</v>
      </c>
      <c r="BD105" s="101"/>
      <c r="BE105" s="101">
        <f>+ALGN!BE21</f>
        <v>0.21118157484451563</v>
      </c>
      <c r="BF105" s="101">
        <f>+ALGN!BF21</f>
        <v>0.25721085614487543</v>
      </c>
      <c r="BG105" s="101">
        <f>+ALGN!BG21</f>
        <v>0.22082851557262778</v>
      </c>
      <c r="BH105" s="101">
        <f>+ALGN!BH21</f>
        <v>0.22409733190830877</v>
      </c>
      <c r="BI105" s="101">
        <f>+ALGN!BI21</f>
        <v>0.22798835780558058</v>
      </c>
      <c r="BJ105" s="101"/>
      <c r="BK105" s="101">
        <f>+ALGN!BK21</f>
        <v>0.27852194384284401</v>
      </c>
      <c r="BL105" s="101">
        <f>+ALGN!BL21</f>
        <v>0.33026049543341029</v>
      </c>
      <c r="BM105" s="101">
        <f>+ALGN!BM21</f>
        <v>0.49111594202898562</v>
      </c>
      <c r="BN105" s="101">
        <f>+ALGN!BN21</f>
        <v>0.51845318352059933</v>
      </c>
      <c r="BO105" s="101">
        <f>+ALGN!BO21</f>
        <v>0.41006296432749267</v>
      </c>
      <c r="BP105" s="101"/>
      <c r="BQ105" s="101">
        <f>+ALGN!BQ21</f>
        <v>0.47459854014598513</v>
      </c>
      <c r="BR105" s="101">
        <f>+ALGN!BR21</f>
        <v>0.435</v>
      </c>
      <c r="BS105" s="101">
        <f>+ALGN!BS21</f>
        <v>0.40500000000000003</v>
      </c>
      <c r="BT105" s="101">
        <f>+ALGN!BT21</f>
        <v>0.42000000000000004</v>
      </c>
      <c r="BU105" s="101">
        <f>+ALGN!BU21</f>
        <v>0.43072245408214238</v>
      </c>
      <c r="BV105" s="101"/>
      <c r="BW105" s="101">
        <f>+ALGN!BW21</f>
        <v>0.26</v>
      </c>
      <c r="BX105" s="101">
        <f>+ALGN!BX21</f>
        <v>0.26</v>
      </c>
      <c r="BY105" s="101">
        <f>+ALGN!BY21</f>
        <v>0.26</v>
      </c>
      <c r="BZ105" s="101">
        <f>+ALGN!BZ21</f>
        <v>0.26</v>
      </c>
      <c r="CA105" s="101">
        <f>+ALGN!CA21</f>
        <v>0.26</v>
      </c>
      <c r="CB105" s="101"/>
      <c r="CC105" s="101">
        <f>+ALGN!CC21</f>
        <v>0.24000000000000002</v>
      </c>
      <c r="CD105" s="101">
        <f>+ALGN!CD21</f>
        <v>0.24000000000000002</v>
      </c>
      <c r="CE105" s="101">
        <f>+ALGN!CE21</f>
        <v>0.24000000000000002</v>
      </c>
      <c r="CF105" s="101">
        <f>+ALGN!CF21</f>
        <v>0.24000000000000002</v>
      </c>
      <c r="CG105" s="101">
        <f>+ALGN!CG21</f>
        <v>0.24000000000000021</v>
      </c>
      <c r="CH105" s="101"/>
      <c r="CI105" s="101"/>
      <c r="CP105" s="121"/>
      <c r="CQ105" s="121"/>
      <c r="CR105" s="121"/>
      <c r="CS105" s="121"/>
    </row>
    <row r="106" spans="1:97" ht="12.75" hidden="1" customHeight="1" outlineLevel="1" x14ac:dyDescent="0.2">
      <c r="A106" s="42"/>
      <c r="B106" s="233" t="s">
        <v>170</v>
      </c>
      <c r="C106" s="103"/>
      <c r="D106" s="103"/>
      <c r="E106" s="103"/>
      <c r="F106" s="101"/>
      <c r="G106" s="101"/>
      <c r="H106" s="101"/>
      <c r="I106" s="101"/>
      <c r="J106" s="101"/>
      <c r="K106" s="101"/>
      <c r="L106" s="101"/>
      <c r="M106" s="101"/>
      <c r="N106" s="101"/>
      <c r="O106" s="101"/>
      <c r="P106" s="101"/>
      <c r="Q106" s="101"/>
      <c r="R106" s="101"/>
      <c r="S106" s="101"/>
      <c r="T106" s="103"/>
      <c r="U106" s="319"/>
      <c r="V106" s="319"/>
      <c r="W106" s="319"/>
      <c r="X106" s="319"/>
      <c r="Y106" s="319"/>
      <c r="Z106" s="103"/>
      <c r="AA106" s="101">
        <f>+ALGN!AA26</f>
        <v>1.2068965517241379</v>
      </c>
      <c r="AB106" s="101">
        <f>+ALGN!AB26</f>
        <v>0.86842105263157898</v>
      </c>
      <c r="AC106" s="101">
        <f>+ALGN!AC26</f>
        <v>0.62790697674418605</v>
      </c>
      <c r="AD106" s="101">
        <f>+ALGN!AD26</f>
        <v>0.89189189189189189</v>
      </c>
      <c r="AE106" s="101">
        <f t="shared" si="103"/>
        <v>0.88559160173605944</v>
      </c>
      <c r="AF106" s="101"/>
      <c r="AG106" s="101">
        <f>+ALGN!AG26</f>
        <v>0.12390624999999988</v>
      </c>
      <c r="AH106" s="101">
        <f>+ALGN!AH26</f>
        <v>2.1267605633802811E-2</v>
      </c>
      <c r="AI106" s="101">
        <f>+ALGN!AI26</f>
        <v>7.2857142857143398E-3</v>
      </c>
      <c r="AJ106" s="101">
        <f>+ALGN!AJ26</f>
        <v>3.0000000000000027E-2</v>
      </c>
      <c r="AK106" s="101">
        <f>+ALGN!AK26</f>
        <v>4.3818181818181756E-2</v>
      </c>
      <c r="AL106" s="101"/>
      <c r="AM106" s="101">
        <f>+ALGN!AM26</f>
        <v>0.15292645627693591</v>
      </c>
      <c r="AN106" s="101">
        <f>+ALGN!AN26</f>
        <v>5.9164253206454243E-2</v>
      </c>
      <c r="AO106" s="101">
        <f>+ALGN!AO26</f>
        <v>5.5878598780314759E-2</v>
      </c>
      <c r="AP106" s="101">
        <f>+ALGN!AP26</f>
        <v>-3.4674063800277377E-3</v>
      </c>
      <c r="AQ106" s="101">
        <f>+ALGN!AQ26</f>
        <v>6.6120884863264173E-2</v>
      </c>
      <c r="AR106" s="101"/>
      <c r="AS106" s="101">
        <f>+ALGN!AS26</f>
        <v>3.8266872779982197E-2</v>
      </c>
      <c r="AT106" s="101">
        <f>+ALGN!AT26</f>
        <v>4.1321246870363648E-2</v>
      </c>
      <c r="AU106" s="101">
        <f>+ALGN!AU26</f>
        <v>4.7683008730691645E-2</v>
      </c>
      <c r="AV106" s="101">
        <f>+ALGN!AV26</f>
        <v>8.5594989561586621E-2</v>
      </c>
      <c r="AW106" s="101">
        <f>+ALGN!AW26</f>
        <v>5.2435851123379784E-2</v>
      </c>
      <c r="AX106" s="101"/>
      <c r="AY106" s="101">
        <f>+ALGN!AY26</f>
        <v>-2.2222933878731754E-2</v>
      </c>
      <c r="AZ106" s="101">
        <f>+ALGN!AZ26</f>
        <v>2.0283855975316012E-2</v>
      </c>
      <c r="BA106" s="101">
        <f>+ALGN!BA26</f>
        <v>1.9747969230770046E-2</v>
      </c>
      <c r="BB106" s="101">
        <f>+ALGN!BB26</f>
        <v>5.6017787179487133E-2</v>
      </c>
      <c r="BC106" s="101">
        <f>+ALGN!BC26</f>
        <v>1.7444364573207638E-2</v>
      </c>
      <c r="BD106" s="101"/>
      <c r="BE106" s="101">
        <f>+ALGN!BE26</f>
        <v>-0.29528288667744218</v>
      </c>
      <c r="BF106" s="101">
        <f>+ALGN!BF26</f>
        <v>-0.44779688027503972</v>
      </c>
      <c r="BG106" s="101">
        <f>+ALGN!BG26</f>
        <v>0.70564723257772921</v>
      </c>
      <c r="BH106" s="101">
        <f>+ALGN!BH26</f>
        <v>1.548611116263765E-2</v>
      </c>
      <c r="BI106" s="101">
        <f>+ALGN!BI26</f>
        <v>-1.2191618065777843E-2</v>
      </c>
      <c r="BJ106" s="101"/>
      <c r="BK106" s="101">
        <f>+ALGN!BK26</f>
        <v>1.2212650797916349</v>
      </c>
      <c r="BL106" s="101">
        <f>+ALGN!BL26</f>
        <v>2.5168770842342973</v>
      </c>
      <c r="BM106" s="101">
        <f>+ALGN!BM26</f>
        <v>0.3180011322143399</v>
      </c>
      <c r="BN106" s="101">
        <f>+ALGN!BN26</f>
        <v>1.5093879089659352</v>
      </c>
      <c r="BO106" s="101">
        <f>+ALGN!BO26</f>
        <v>1.0974872654719103</v>
      </c>
      <c r="BP106" s="101"/>
      <c r="BQ106" s="101">
        <f>+ALGN!BQ26</f>
        <v>-0.21016812136919827</v>
      </c>
      <c r="BR106" s="101">
        <f>+ALGN!BR26</f>
        <v>0.33843464593315337</v>
      </c>
      <c r="BS106" s="101">
        <f>+ALGN!BS26</f>
        <v>0.26429106223271559</v>
      </c>
      <c r="BT106" s="101">
        <f>+ALGN!BT26</f>
        <v>0.21721950978743873</v>
      </c>
      <c r="BU106" s="101">
        <f>+ALGN!BU26</f>
        <v>0.17494914401532635</v>
      </c>
      <c r="BV106" s="101"/>
      <c r="BW106" s="101">
        <f>+ALGN!BW26</f>
        <v>0.30733734425027914</v>
      </c>
      <c r="BX106" s="101">
        <f>+ALGN!BX26</f>
        <v>0.85554905729715114</v>
      </c>
      <c r="BY106" s="101">
        <f>+ALGN!BY26</f>
        <v>0.80214615005705969</v>
      </c>
      <c r="BZ106" s="101">
        <f>+ALGN!BZ26</f>
        <v>0.88909118128350273</v>
      </c>
      <c r="CA106" s="101">
        <f>+ALGN!CA26</f>
        <v>0.77962644912267831</v>
      </c>
      <c r="CB106" s="101"/>
      <c r="CC106" s="101">
        <f>+ALGN!CC26</f>
        <v>0.35570330682050955</v>
      </c>
      <c r="CD106" s="101">
        <f>+ALGN!CD26</f>
        <v>9.9867988603806523E-2</v>
      </c>
      <c r="CE106" s="101">
        <f>+ALGN!CE26</f>
        <v>0.10263750218978851</v>
      </c>
      <c r="CF106" s="101">
        <f>+ALGN!CF26</f>
        <v>5.2604635818188639E-2</v>
      </c>
      <c r="CG106" s="101">
        <f>+ALGN!CG26</f>
        <v>0.10911739052123304</v>
      </c>
      <c r="CH106" s="101"/>
      <c r="CI106" s="101"/>
      <c r="CP106" s="121"/>
      <c r="CQ106" s="121"/>
      <c r="CR106" s="121"/>
      <c r="CS106" s="121"/>
    </row>
    <row r="107" spans="1:97" ht="12.75" hidden="1" customHeight="1" outlineLevel="1" x14ac:dyDescent="0.2">
      <c r="A107" s="42"/>
      <c r="B107" s="278" t="s">
        <v>171</v>
      </c>
      <c r="C107" s="103"/>
      <c r="D107" s="103"/>
      <c r="E107" s="103"/>
      <c r="F107" s="103"/>
      <c r="G107" s="103"/>
      <c r="H107" s="103"/>
      <c r="I107" s="101"/>
      <c r="J107" s="101"/>
      <c r="K107" s="101"/>
      <c r="L107" s="101"/>
      <c r="M107" s="101"/>
      <c r="N107" s="101"/>
      <c r="O107" s="101"/>
      <c r="P107" s="101"/>
      <c r="Q107" s="101"/>
      <c r="R107" s="101"/>
      <c r="S107" s="101"/>
      <c r="T107" s="103"/>
      <c r="U107" s="319"/>
      <c r="V107" s="319"/>
      <c r="W107" s="319"/>
      <c r="X107" s="319"/>
      <c r="Y107" s="319"/>
      <c r="Z107" s="103"/>
      <c r="AA107" s="101">
        <f>+ALGN!AA31</f>
        <v>0.14200426439231961</v>
      </c>
      <c r="AB107" s="101">
        <f>+ALGN!AB31</f>
        <v>0.11152278621711931</v>
      </c>
      <c r="AC107" s="101">
        <f>+ALGN!AC31</f>
        <v>0.29977305549824718</v>
      </c>
      <c r="AD107" s="101">
        <f>+ALGN!AD31</f>
        <v>0.31652141665121558</v>
      </c>
      <c r="AE107" s="101">
        <f t="shared" si="103"/>
        <v>0.22266837046471188</v>
      </c>
      <c r="AF107" s="101"/>
      <c r="AG107" s="101">
        <f>+ALGN!AG31</f>
        <v>0.26157580283794113</v>
      </c>
      <c r="AH107" s="101">
        <f>+ALGN!AH31</f>
        <v>0.29816666666666669</v>
      </c>
      <c r="AI107" s="101">
        <f>+ALGN!AI31</f>
        <v>0.18365079365079362</v>
      </c>
      <c r="AJ107" s="101">
        <f>+ALGN!AJ31</f>
        <v>0.21971830985915508</v>
      </c>
      <c r="AK107" s="101">
        <f>+ALGN!AK31</f>
        <v>0.23860882210373324</v>
      </c>
      <c r="AL107" s="101"/>
      <c r="AM107" s="101">
        <f>+ALGN!AM31</f>
        <v>0.8808642888856002</v>
      </c>
      <c r="AN107" s="101">
        <f>+ALGN!AN31</f>
        <v>0.38220567466940558</v>
      </c>
      <c r="AO107" s="101">
        <f>+ALGN!AO31</f>
        <v>0.43207724285905869</v>
      </c>
      <c r="AP107" s="101">
        <f>+ALGN!AP31</f>
        <v>0.22055427251732107</v>
      </c>
      <c r="AQ107" s="101">
        <f>+ALGN!AQ31</f>
        <v>0.45856569807259584</v>
      </c>
      <c r="AR107" s="101"/>
      <c r="AS107" s="101">
        <f>+ALGN!AS31</f>
        <v>-0.17530883625777005</v>
      </c>
      <c r="AT107" s="101">
        <f>+ALGN!AT31</f>
        <v>0.12381571614341458</v>
      </c>
      <c r="AU107" s="101">
        <f>+ALGN!AU31</f>
        <v>6.283359865155913E-2</v>
      </c>
      <c r="AV107" s="101">
        <f>+ALGN!AV31</f>
        <v>-2.5443962483559856E-2</v>
      </c>
      <c r="AW107" s="101">
        <f>+ALGN!AW31</f>
        <v>3.3673195599678074E-2</v>
      </c>
      <c r="AX107" s="101"/>
      <c r="AY107" s="101">
        <f>+ALGN!AY31</f>
        <v>0.17021276595744683</v>
      </c>
      <c r="AZ107" s="101">
        <f>+ALGN!AZ31</f>
        <v>5.6616249276799868E-2</v>
      </c>
      <c r="BA107" s="101">
        <f>+ALGN!BA31</f>
        <v>0.14026431718061683</v>
      </c>
      <c r="BB107" s="101">
        <f>+ALGN!BB31</f>
        <v>8.9837398373983524E-2</v>
      </c>
      <c r="BC107" s="101">
        <f>+ALGN!BC31</f>
        <v>0.11174561972744956</v>
      </c>
      <c r="BD107" s="101"/>
      <c r="BE107" s="101">
        <f>+ALGN!BE31</f>
        <v>0.15360782715042798</v>
      </c>
      <c r="BF107" s="101">
        <f>+ALGN!BF31</f>
        <v>0.23779724655819767</v>
      </c>
      <c r="BG107" s="101">
        <f>+ALGN!BG31</f>
        <v>0.20259619842373655</v>
      </c>
      <c r="BH107" s="101">
        <f>+ALGN!BH31</f>
        <v>0.30309585975382336</v>
      </c>
      <c r="BI107" s="101">
        <f>+ALGN!BI31</f>
        <v>0.22587360884115482</v>
      </c>
      <c r="BJ107" s="101"/>
      <c r="BK107" s="101">
        <f>+ALGN!BK31</f>
        <v>0.26807548236624501</v>
      </c>
      <c r="BL107" s="101">
        <f>+ALGN!BL31</f>
        <v>0.30106167846309417</v>
      </c>
      <c r="BM107" s="101">
        <f>+ALGN!BM31</f>
        <v>0.36276021588280649</v>
      </c>
      <c r="BN107" s="101">
        <f>+ALGN!BN31</f>
        <v>0.25761392260132809</v>
      </c>
      <c r="BO107" s="101">
        <f>+ALGN!BO31</f>
        <v>0.29684945639234983</v>
      </c>
      <c r="BP107" s="101"/>
      <c r="BQ107" s="101">
        <f>+ALGN!BQ31</f>
        <v>0.34968230966447456</v>
      </c>
      <c r="BR107" s="101">
        <f>+ALGN!BR31</f>
        <v>0.20499999999999999</v>
      </c>
      <c r="BS107" s="101">
        <f>+ALGN!BS31</f>
        <v>0.17499999999999999</v>
      </c>
      <c r="BT107" s="101">
        <f>+ALGN!BT31</f>
        <v>0.16999999999999998</v>
      </c>
      <c r="BU107" s="101">
        <f>+ALGN!BU31</f>
        <v>0.21957274685465333</v>
      </c>
      <c r="BV107" s="101"/>
      <c r="BW107" s="101">
        <f>+ALGN!BW31</f>
        <v>0.15</v>
      </c>
      <c r="BX107" s="101">
        <f>+ALGN!BX31</f>
        <v>0.15</v>
      </c>
      <c r="BY107" s="101">
        <f>+ALGN!BY31</f>
        <v>0.15</v>
      </c>
      <c r="BZ107" s="101">
        <f>+ALGN!BZ31</f>
        <v>0.15</v>
      </c>
      <c r="CA107" s="101">
        <f>+ALGN!CA31</f>
        <v>0.14999999999999969</v>
      </c>
      <c r="CB107" s="101"/>
      <c r="CC107" s="101">
        <f>+ALGN!CC31</f>
        <v>0.15</v>
      </c>
      <c r="CD107" s="101">
        <f>+ALGN!CD31</f>
        <v>0.15</v>
      </c>
      <c r="CE107" s="101">
        <f>+ALGN!CE31</f>
        <v>0.15</v>
      </c>
      <c r="CF107" s="101">
        <f>+ALGN!CF31</f>
        <v>0.15</v>
      </c>
      <c r="CG107" s="101">
        <f>+ALGN!CG31</f>
        <v>0.14999999999999991</v>
      </c>
      <c r="CH107" s="101"/>
      <c r="CI107" s="101"/>
      <c r="CP107" s="121"/>
      <c r="CQ107" s="121"/>
      <c r="CR107" s="121"/>
      <c r="CS107" s="121"/>
    </row>
    <row r="108" spans="1:97" ht="12.75" hidden="1" customHeight="1" outlineLevel="1" x14ac:dyDescent="0.2">
      <c r="A108" s="42"/>
      <c r="B108" s="233"/>
      <c r="C108" s="103"/>
      <c r="D108" s="103"/>
      <c r="E108" s="103"/>
      <c r="F108" s="103"/>
      <c r="G108" s="103"/>
      <c r="H108" s="103"/>
      <c r="I108" s="232"/>
      <c r="J108" s="232"/>
      <c r="K108" s="232"/>
      <c r="L108" s="232"/>
      <c r="M108" s="232"/>
      <c r="N108" s="103"/>
      <c r="O108" s="232"/>
      <c r="P108" s="232"/>
      <c r="Q108" s="232"/>
      <c r="R108" s="232"/>
      <c r="S108" s="232"/>
      <c r="T108" s="103"/>
      <c r="U108" s="232"/>
      <c r="V108" s="232"/>
      <c r="W108" s="232"/>
      <c r="X108" s="232"/>
      <c r="Y108" s="232"/>
      <c r="Z108" s="103"/>
      <c r="AA108" s="232"/>
      <c r="AB108" s="232"/>
      <c r="AC108" s="232"/>
      <c r="AD108" s="232"/>
      <c r="AE108" s="101"/>
      <c r="AF108" s="103"/>
      <c r="AG108" s="232"/>
      <c r="AH108" s="232"/>
      <c r="AI108" s="232"/>
      <c r="AJ108" s="232"/>
      <c r="AK108" s="232"/>
      <c r="AL108" s="103"/>
      <c r="AM108" s="232"/>
      <c r="AN108" s="232"/>
      <c r="AO108" s="232"/>
      <c r="AP108" s="232"/>
      <c r="AQ108" s="232"/>
      <c r="AR108" s="103"/>
      <c r="AS108" s="232"/>
      <c r="AT108" s="232"/>
      <c r="AU108" s="232"/>
      <c r="AV108" s="232"/>
      <c r="AW108" s="232"/>
      <c r="AX108" s="103"/>
      <c r="AY108" s="232"/>
      <c r="AZ108" s="232"/>
      <c r="BA108" s="232"/>
      <c r="BB108" s="232"/>
      <c r="BC108" s="232"/>
      <c r="BD108" s="103"/>
      <c r="BE108" s="232"/>
      <c r="BF108" s="232"/>
      <c r="BG108" s="232"/>
      <c r="BH108" s="232"/>
      <c r="BI108" s="232"/>
      <c r="BJ108" s="103"/>
      <c r="BK108" s="232"/>
      <c r="BL108" s="232"/>
      <c r="BM108" s="232"/>
      <c r="BN108" s="232"/>
      <c r="BO108" s="232"/>
      <c r="BP108" s="103"/>
      <c r="BQ108" s="232"/>
      <c r="BR108" s="232"/>
      <c r="BS108" s="232"/>
      <c r="BT108" s="232"/>
      <c r="BU108" s="232"/>
      <c r="BV108" s="103"/>
      <c r="BW108" s="232"/>
      <c r="BX108" s="232"/>
      <c r="BY108" s="232"/>
      <c r="BZ108" s="232"/>
      <c r="CA108" s="232"/>
      <c r="CB108" s="103"/>
      <c r="CC108" s="232"/>
      <c r="CD108" s="232"/>
      <c r="CE108" s="232"/>
      <c r="CF108" s="232"/>
      <c r="CG108" s="232"/>
      <c r="CH108" s="232"/>
      <c r="CI108" s="101"/>
      <c r="CP108" s="121"/>
      <c r="CQ108" s="121"/>
      <c r="CR108" s="121"/>
      <c r="CS108" s="121"/>
    </row>
    <row r="109" spans="1:97" ht="12.75" hidden="1" customHeight="1" outlineLevel="1" x14ac:dyDescent="0.2">
      <c r="A109" s="42"/>
      <c r="B109" s="278" t="s">
        <v>337</v>
      </c>
      <c r="C109" s="101">
        <f>+C$47</f>
        <v>0.72508273082291674</v>
      </c>
      <c r="D109" s="101">
        <f>+D$47</f>
        <v>0.73568920277273731</v>
      </c>
      <c r="E109" s="101">
        <f>+E$47</f>
        <v>0.74623168325145894</v>
      </c>
      <c r="F109" s="101">
        <f>+F$47</f>
        <v>0.73624115724588723</v>
      </c>
      <c r="G109" s="101">
        <f>+G$47</f>
        <v>0.73610075545489073</v>
      </c>
      <c r="H109" s="101"/>
      <c r="I109" s="101">
        <f>+I$47</f>
        <v>0.73777682678934409</v>
      </c>
      <c r="J109" s="101">
        <f>+J$47</f>
        <v>0.74665214888238096</v>
      </c>
      <c r="K109" s="101">
        <f>+K$47</f>
        <v>0.75036249717318726</v>
      </c>
      <c r="L109" s="101">
        <f>+L$47</f>
        <v>0.72704215851602028</v>
      </c>
      <c r="M109" s="101">
        <f>+M$47</f>
        <v>0.74060452140958499</v>
      </c>
      <c r="N109" s="101"/>
      <c r="O109" s="101">
        <f>+O$47</f>
        <v>0.75153995323105005</v>
      </c>
      <c r="P109" s="101">
        <f>+P$47</f>
        <v>0.75970962838723211</v>
      </c>
      <c r="Q109" s="101">
        <f>+Q$47</f>
        <v>0.76835837464834933</v>
      </c>
      <c r="R109" s="101">
        <f>+R$47</f>
        <v>0.78582478987715887</v>
      </c>
      <c r="S109" s="101">
        <f>+S$47</f>
        <v>0.76731245177422813</v>
      </c>
      <c r="T109" s="103"/>
      <c r="U109" s="101">
        <f>+U$47</f>
        <v>0.78296148296148305</v>
      </c>
      <c r="V109" s="101">
        <f>+V$47</f>
        <v>0.7744573899337579</v>
      </c>
      <c r="W109" s="101">
        <f>+W$47</f>
        <v>0.78098325116991674</v>
      </c>
      <c r="X109" s="101">
        <f>+X$47</f>
        <v>0.7724586352039442</v>
      </c>
      <c r="Y109" s="101">
        <f>+Y$47</f>
        <v>0.77769373544905418</v>
      </c>
      <c r="Z109" s="103"/>
      <c r="AA109" s="101">
        <f>+AA$47</f>
        <v>0.78418020904859997</v>
      </c>
      <c r="AB109" s="101">
        <f>+AB$47</f>
        <v>0.76092966707193177</v>
      </c>
      <c r="AC109" s="101">
        <f>+AC$47</f>
        <v>0.73882790283889621</v>
      </c>
      <c r="AD109" s="101">
        <f>+AD$47</f>
        <v>0.7490244753888522</v>
      </c>
      <c r="AE109" s="101">
        <f t="shared" si="103"/>
        <v>0.75701263806929164</v>
      </c>
      <c r="AF109" s="101"/>
      <c r="AG109" s="101">
        <f>+AG$47</f>
        <v>0.75107899821585888</v>
      </c>
      <c r="AH109" s="101">
        <f>+AH$47</f>
        <v>0.75013390465988217</v>
      </c>
      <c r="AI109" s="101">
        <f>+AI$47</f>
        <v>0.73743552924627831</v>
      </c>
      <c r="AJ109" s="101">
        <f>+AJ$47</f>
        <v>0.7468426211145337</v>
      </c>
      <c r="AK109" s="101">
        <f>+AK$47</f>
        <v>0.74642749370135408</v>
      </c>
      <c r="AL109" s="101"/>
      <c r="AM109" s="101">
        <f t="shared" ref="AM109:BC109" si="104">+AM$47</f>
        <v>0.73478968615705176</v>
      </c>
      <c r="AN109" s="101">
        <f t="shared" si="104"/>
        <v>0.75500524940791558</v>
      </c>
      <c r="AO109" s="101">
        <f t="shared" si="104"/>
        <v>0.76039779704083743</v>
      </c>
      <c r="AP109" s="101">
        <f t="shared" si="104"/>
        <v>0.76546339712381939</v>
      </c>
      <c r="AQ109" s="101">
        <f t="shared" si="104"/>
        <v>0.75447057433588904</v>
      </c>
      <c r="AR109" s="101"/>
      <c r="AS109" s="101">
        <f>+AS$47</f>
        <v>0.75977879388417113</v>
      </c>
      <c r="AT109" s="101">
        <f>+AT$47</f>
        <v>0.75559779983483177</v>
      </c>
      <c r="AU109" s="101">
        <f t="shared" si="104"/>
        <v>0.76394067707345847</v>
      </c>
      <c r="AV109" s="101">
        <f t="shared" si="104"/>
        <v>0.75862034239677734</v>
      </c>
      <c r="AW109" s="101">
        <f t="shared" si="104"/>
        <v>0.75945739070153995</v>
      </c>
      <c r="AX109" s="101"/>
      <c r="AY109" s="101">
        <f>+AY$47</f>
        <v>0.7627495128378583</v>
      </c>
      <c r="AZ109" s="101">
        <f>+AZ$47</f>
        <v>0.75724623844802574</v>
      </c>
      <c r="BA109" s="101">
        <f>+BA$47</f>
        <v>0.75890500683889117</v>
      </c>
      <c r="BB109" s="101">
        <f t="shared" si="104"/>
        <v>0.7504472893397488</v>
      </c>
      <c r="BC109" s="101">
        <f t="shared" si="104"/>
        <v>0.75709118779021778</v>
      </c>
      <c r="BD109" s="101"/>
      <c r="BE109" s="101">
        <f>+BE$47</f>
        <v>0.75664795576407506</v>
      </c>
      <c r="BF109" s="101">
        <f>+BF$47</f>
        <v>0.76185950505267996</v>
      </c>
      <c r="BG109" s="101">
        <f>+BG$47</f>
        <v>0.75093417184454514</v>
      </c>
      <c r="BH109" s="101">
        <f>+BH$47</f>
        <v>0.7524104460049863</v>
      </c>
      <c r="BI109" s="101">
        <f>+BI$47</f>
        <v>0.75532330623757959</v>
      </c>
      <c r="BJ109" s="101"/>
      <c r="BK109" s="101">
        <f>+BK$47</f>
        <v>0.75924547513863783</v>
      </c>
      <c r="BL109" s="101">
        <f>+BL$47</f>
        <v>0.75997385562244379</v>
      </c>
      <c r="BM109" s="101">
        <f>+BM$47</f>
        <v>0.7591825928511915</v>
      </c>
      <c r="BN109" s="101">
        <f>+BN$47</f>
        <v>0.75456834779966908</v>
      </c>
      <c r="BO109" s="101">
        <f>+BO$47</f>
        <v>0.75806783298369163</v>
      </c>
      <c r="BP109" s="101"/>
      <c r="BQ109" s="101">
        <f>+BQ$47</f>
        <v>0.74934771264567746</v>
      </c>
      <c r="BR109" s="101">
        <f>+BR$47</f>
        <v>0.76021932039875029</v>
      </c>
      <c r="BS109" s="101">
        <f>+BS$47</f>
        <v>0.76286719540492176</v>
      </c>
      <c r="BT109" s="101">
        <f>+BT$47</f>
        <v>0.75701705637179639</v>
      </c>
      <c r="BU109" s="101">
        <f>+BU$47</f>
        <v>0.75756573849132325</v>
      </c>
      <c r="BV109" s="101"/>
      <c r="BW109" s="101">
        <f>+BW$47</f>
        <v>0.7632334788170535</v>
      </c>
      <c r="BX109" s="101">
        <f>+BX$47</f>
        <v>0.77591365909957533</v>
      </c>
      <c r="BY109" s="101">
        <f>+BY$47</f>
        <v>0.77857824612376347</v>
      </c>
      <c r="BZ109" s="101">
        <f>+BZ$47</f>
        <v>0.76862585566678343</v>
      </c>
      <c r="CA109" s="101">
        <f>+CA$47</f>
        <v>0.77177376771247408</v>
      </c>
      <c r="CB109" s="101"/>
      <c r="CC109" s="101">
        <f>+CC$47</f>
        <v>0.77485501741939933</v>
      </c>
      <c r="CD109" s="101">
        <f>+CD$47</f>
        <v>0.78606777733969435</v>
      </c>
      <c r="CE109" s="101">
        <f>+CE$47</f>
        <v>0.78979201973442648</v>
      </c>
      <c r="CF109" s="101">
        <f>+CF$47</f>
        <v>0.77810418234231038</v>
      </c>
      <c r="CG109" s="101">
        <f>+CG$47</f>
        <v>0.78231848700672224</v>
      </c>
      <c r="CH109" s="101"/>
      <c r="CI109" s="101"/>
      <c r="CP109" s="121"/>
      <c r="CQ109" s="121"/>
      <c r="CR109" s="121"/>
      <c r="CS109" s="121"/>
    </row>
    <row r="110" spans="1:97" ht="12.75" hidden="1" customHeight="1" outlineLevel="1" x14ac:dyDescent="0.2">
      <c r="A110" s="42"/>
      <c r="B110" s="233"/>
      <c r="C110" s="103"/>
      <c r="D110" s="103"/>
      <c r="E110" s="103"/>
      <c r="F110" s="103"/>
      <c r="G110" s="103"/>
      <c r="H110" s="103"/>
      <c r="I110" s="101"/>
      <c r="J110" s="101"/>
      <c r="K110" s="101"/>
      <c r="L110" s="101"/>
      <c r="M110" s="101"/>
      <c r="N110" s="101"/>
      <c r="O110" s="101"/>
      <c r="P110" s="101"/>
      <c r="Q110" s="101"/>
      <c r="R110" s="101"/>
      <c r="S110" s="101"/>
      <c r="T110" s="103"/>
      <c r="U110" s="101"/>
      <c r="V110" s="101"/>
      <c r="W110" s="101"/>
      <c r="X110" s="101"/>
      <c r="Y110" s="101"/>
      <c r="Z110" s="103"/>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1"/>
      <c r="BE110" s="101"/>
      <c r="BF110" s="101"/>
      <c r="BG110" s="101"/>
      <c r="BH110" s="101"/>
      <c r="BI110" s="101"/>
      <c r="BJ110" s="101"/>
      <c r="BK110" s="101"/>
      <c r="BL110" s="101"/>
      <c r="BM110" s="101"/>
      <c r="BN110" s="101"/>
      <c r="BO110" s="101"/>
      <c r="BP110" s="101"/>
      <c r="BQ110" s="101"/>
      <c r="BR110" s="101"/>
      <c r="BS110" s="101"/>
      <c r="BT110" s="101"/>
      <c r="BU110" s="101"/>
      <c r="BV110" s="101"/>
      <c r="BW110" s="101"/>
      <c r="BX110" s="101"/>
      <c r="BY110" s="101"/>
      <c r="BZ110" s="101"/>
      <c r="CA110" s="101"/>
      <c r="CB110" s="101"/>
      <c r="CC110" s="101"/>
      <c r="CD110" s="101"/>
      <c r="CE110" s="101"/>
      <c r="CF110" s="101"/>
      <c r="CG110" s="101"/>
      <c r="CH110" s="101"/>
      <c r="CI110" s="101"/>
      <c r="CP110" s="121"/>
      <c r="CQ110" s="121"/>
      <c r="CR110" s="121"/>
      <c r="CS110" s="121"/>
    </row>
    <row r="111" spans="1:97" ht="12.75" hidden="1" customHeight="1" outlineLevel="1" x14ac:dyDescent="0.2">
      <c r="A111" s="119"/>
      <c r="B111" s="329" t="s">
        <v>298</v>
      </c>
      <c r="C111" s="101">
        <f t="shared" ref="C111:G112" si="105">+C50</f>
        <v>0.36307460673452419</v>
      </c>
      <c r="D111" s="101">
        <f t="shared" si="105"/>
        <v>0.31791183112932919</v>
      </c>
      <c r="E111" s="101">
        <f t="shared" si="105"/>
        <v>0.33905753593371685</v>
      </c>
      <c r="F111" s="101">
        <f t="shared" si="105"/>
        <v>0.36545913372036898</v>
      </c>
      <c r="G111" s="101">
        <f t="shared" si="105"/>
        <v>0.3454799319105834</v>
      </c>
      <c r="H111" s="101"/>
      <c r="I111" s="101">
        <f t="shared" ref="I111:M112" si="106">+I50</f>
        <v>0.37524071894725586</v>
      </c>
      <c r="J111" s="101">
        <f t="shared" si="106"/>
        <v>0.40629771470050807</v>
      </c>
      <c r="K111" s="101">
        <f t="shared" si="106"/>
        <v>0.37532092639644549</v>
      </c>
      <c r="L111" s="101">
        <f t="shared" si="106"/>
        <v>0.35514333895446887</v>
      </c>
      <c r="M111" s="101">
        <f t="shared" si="106"/>
        <v>0.37852330447140564</v>
      </c>
      <c r="N111" s="101"/>
      <c r="O111" s="101">
        <f t="shared" ref="O111:S112" si="107">+O50</f>
        <v>0.3971653453487709</v>
      </c>
      <c r="P111" s="101">
        <f t="shared" si="107"/>
        <v>0.38141412023690968</v>
      </c>
      <c r="Q111" s="101">
        <f t="shared" si="107"/>
        <v>0.34927903720243725</v>
      </c>
      <c r="R111" s="101">
        <f t="shared" si="107"/>
        <v>0.32203057171885113</v>
      </c>
      <c r="S111" s="101">
        <f t="shared" si="107"/>
        <v>0.36032695872674358</v>
      </c>
      <c r="T111" s="102"/>
      <c r="U111" s="101">
        <f t="shared" ref="U111:Y112" si="108">+U50</f>
        <v>0.31020091020091023</v>
      </c>
      <c r="V111" s="101">
        <f t="shared" si="108"/>
        <v>0.30819612771305033</v>
      </c>
      <c r="W111" s="101">
        <f t="shared" si="108"/>
        <v>0.28041522924114354</v>
      </c>
      <c r="X111" s="101">
        <f t="shared" si="108"/>
        <v>0.32535282529361748</v>
      </c>
      <c r="Y111" s="101">
        <f t="shared" si="108"/>
        <v>0.30580589440707245</v>
      </c>
      <c r="Z111" s="102"/>
      <c r="AA111" s="101">
        <f t="shared" ref="AA111:AD112" si="109">+AA50</f>
        <v>0.31301022354467078</v>
      </c>
      <c r="AB111" s="101">
        <f t="shared" si="109"/>
        <v>0.32131972086671218</v>
      </c>
      <c r="AC111" s="101">
        <f t="shared" si="109"/>
        <v>0.27527125994884583</v>
      </c>
      <c r="AD111" s="101">
        <f t="shared" si="109"/>
        <v>0.28014429230828908</v>
      </c>
      <c r="AE111" s="101">
        <f t="shared" si="103"/>
        <v>0.29635574195242853</v>
      </c>
      <c r="AF111" s="102"/>
      <c r="AG111" s="101">
        <f t="shared" ref="AG111:AK112" si="110">+AG50</f>
        <v>0.28449277830010589</v>
      </c>
      <c r="AH111" s="101">
        <f t="shared" si="110"/>
        <v>0.2671775644459094</v>
      </c>
      <c r="AI111" s="101">
        <f t="shared" si="110"/>
        <v>0.2658539444379322</v>
      </c>
      <c r="AJ111" s="101">
        <f t="shared" si="110"/>
        <v>0.26441472976757208</v>
      </c>
      <c r="AK111" s="101">
        <f t="shared" si="110"/>
        <v>0.27032663679980573</v>
      </c>
      <c r="AL111" s="102"/>
      <c r="AM111" s="101">
        <f t="shared" ref="AM111:AQ112" si="111">+AM50</f>
        <v>0.27530277379867168</v>
      </c>
      <c r="AN111" s="101">
        <f t="shared" si="111"/>
        <v>0.29205630295187635</v>
      </c>
      <c r="AO111" s="101">
        <f t="shared" si="111"/>
        <v>0.27490790609461052</v>
      </c>
      <c r="AP111" s="101">
        <f t="shared" si="111"/>
        <v>0.25067866197025107</v>
      </c>
      <c r="AQ111" s="101">
        <f t="shared" si="111"/>
        <v>0.27271185054361818</v>
      </c>
      <c r="AR111" s="102"/>
      <c r="AS111" s="101">
        <f t="shared" ref="AS111:AW112" si="112">+AS50</f>
        <v>0.29277149784661716</v>
      </c>
      <c r="AT111" s="101">
        <f t="shared" si="112"/>
        <v>0.29286712269712412</v>
      </c>
      <c r="AU111" s="101">
        <f t="shared" si="112"/>
        <v>0.27580104910573217</v>
      </c>
      <c r="AV111" s="101">
        <f t="shared" si="112"/>
        <v>0.28006042296072509</v>
      </c>
      <c r="AW111" s="101">
        <f t="shared" si="112"/>
        <v>0.28525063250587868</v>
      </c>
      <c r="AX111" s="102"/>
      <c r="AY111" s="101">
        <f t="shared" ref="AY111:BC112" si="113">+AY50</f>
        <v>0.28859358592836087</v>
      </c>
      <c r="AZ111" s="101">
        <f t="shared" si="113"/>
        <v>0.31104265884482146</v>
      </c>
      <c r="BA111" s="101">
        <f t="shared" si="113"/>
        <v>0.31732862151460034</v>
      </c>
      <c r="BB111" s="101">
        <f t="shared" si="113"/>
        <v>0.28003052864224487</v>
      </c>
      <c r="BC111" s="101">
        <f t="shared" si="113"/>
        <v>0.29888041818399874</v>
      </c>
      <c r="BD111" s="102"/>
      <c r="BE111" s="101">
        <f t="shared" ref="BE111:BI112" si="114">+BE50</f>
        <v>0.30437989957828004</v>
      </c>
      <c r="BF111" s="101">
        <f t="shared" si="114"/>
        <v>0.29200829615119234</v>
      </c>
      <c r="BG111" s="101">
        <f t="shared" si="114"/>
        <v>0.29451897769298674</v>
      </c>
      <c r="BH111" s="101">
        <f t="shared" si="114"/>
        <v>0.28770177990310963</v>
      </c>
      <c r="BI111" s="101">
        <f t="shared" si="114"/>
        <v>0.29422162284178288</v>
      </c>
      <c r="BJ111" s="102"/>
      <c r="BK111" s="101">
        <f t="shared" ref="BK111:BO112" si="115">+BK50</f>
        <v>0.31538168021418267</v>
      </c>
      <c r="BL111" s="101">
        <f t="shared" si="115"/>
        <v>0.29602424567836971</v>
      </c>
      <c r="BM111" s="101">
        <f t="shared" si="115"/>
        <v>0.28493289645874514</v>
      </c>
      <c r="BN111" s="101">
        <f t="shared" si="115"/>
        <v>0.27994051780992918</v>
      </c>
      <c r="BO111" s="101">
        <f t="shared" si="115"/>
        <v>0.29260214357581371</v>
      </c>
      <c r="BP111" s="102"/>
      <c r="BQ111" s="101">
        <f t="shared" ref="BQ111:BU112" si="116">+BQ50</f>
        <v>0.31982106727943532</v>
      </c>
      <c r="BR111" s="101">
        <f t="shared" si="116"/>
        <v>0.32</v>
      </c>
      <c r="BS111" s="101">
        <f t="shared" si="116"/>
        <v>0.28999999999999998</v>
      </c>
      <c r="BT111" s="101">
        <f t="shared" si="116"/>
        <v>0.28000000000000003</v>
      </c>
      <c r="BU111" s="101">
        <f t="shared" si="116"/>
        <v>0.30131386270781363</v>
      </c>
      <c r="BV111" s="102"/>
      <c r="BW111" s="101">
        <f t="shared" ref="BW111:CA112" si="117">+BW50</f>
        <v>0.31682106727943532</v>
      </c>
      <c r="BX111" s="101">
        <f t="shared" si="117"/>
        <v>0.317</v>
      </c>
      <c r="BY111" s="101">
        <f t="shared" si="117"/>
        <v>0.28699999999999998</v>
      </c>
      <c r="BZ111" s="101">
        <f t="shared" si="117"/>
        <v>0.27700000000000002</v>
      </c>
      <c r="CA111" s="101">
        <f t="shared" si="117"/>
        <v>0.29827589652393977</v>
      </c>
      <c r="CB111" s="102"/>
      <c r="CC111" s="101">
        <f t="shared" ref="CC111:CG112" si="118">+CC50</f>
        <v>0.31382106727943532</v>
      </c>
      <c r="CD111" s="101">
        <f t="shared" si="118"/>
        <v>0.314</v>
      </c>
      <c r="CE111" s="101">
        <f t="shared" si="118"/>
        <v>0.28399999999999997</v>
      </c>
      <c r="CF111" s="101">
        <f t="shared" si="118"/>
        <v>0.27400000000000002</v>
      </c>
      <c r="CG111" s="101">
        <f t="shared" si="118"/>
        <v>0.29537613042896455</v>
      </c>
      <c r="CH111" s="101"/>
      <c r="CI111" s="101"/>
      <c r="CP111" s="95"/>
      <c r="CQ111" s="95"/>
      <c r="CR111" s="95"/>
      <c r="CS111" s="95"/>
    </row>
    <row r="112" spans="1:97" ht="12.75" hidden="1" customHeight="1" outlineLevel="1" x14ac:dyDescent="0.2">
      <c r="A112" s="119"/>
      <c r="B112" s="329" t="s">
        <v>127</v>
      </c>
      <c r="C112" s="101">
        <f t="shared" si="105"/>
        <v>0.16293659133326016</v>
      </c>
      <c r="D112" s="101">
        <f t="shared" si="105"/>
        <v>0.15508530997480519</v>
      </c>
      <c r="E112" s="101">
        <f t="shared" si="105"/>
        <v>0.19522469944437448</v>
      </c>
      <c r="F112" s="101">
        <f t="shared" si="105"/>
        <v>0.21051615483265992</v>
      </c>
      <c r="G112" s="101">
        <f t="shared" si="105"/>
        <v>0.18107001674099293</v>
      </c>
      <c r="H112" s="101"/>
      <c r="I112" s="101">
        <f t="shared" si="106"/>
        <v>0.20311329838450842</v>
      </c>
      <c r="J112" s="101">
        <f t="shared" si="106"/>
        <v>0.20427523716552776</v>
      </c>
      <c r="K112" s="101">
        <f t="shared" si="106"/>
        <v>0.19149162598273314</v>
      </c>
      <c r="L112" s="101">
        <f t="shared" si="106"/>
        <v>0.2192107925801012</v>
      </c>
      <c r="M112" s="101">
        <f t="shared" si="106"/>
        <v>0.20447008974392716</v>
      </c>
      <c r="N112" s="101"/>
      <c r="O112" s="101">
        <f t="shared" si="107"/>
        <v>0.19203787144242287</v>
      </c>
      <c r="P112" s="101">
        <f t="shared" si="107"/>
        <v>0.21671733319356362</v>
      </c>
      <c r="Q112" s="101">
        <f t="shared" si="107"/>
        <v>0.20467017371229609</v>
      </c>
      <c r="R112" s="101">
        <f t="shared" si="107"/>
        <v>0.17880068347649403</v>
      </c>
      <c r="S112" s="101">
        <f t="shared" si="107"/>
        <v>0.1976031991496256</v>
      </c>
      <c r="T112" s="102"/>
      <c r="U112" s="101">
        <f t="shared" si="108"/>
        <v>0.16595626595626595</v>
      </c>
      <c r="V112" s="101">
        <f t="shared" si="108"/>
        <v>0.15980106072546807</v>
      </c>
      <c r="W112" s="101">
        <f t="shared" si="108"/>
        <v>0.16887448278737219</v>
      </c>
      <c r="X112" s="101">
        <f t="shared" si="108"/>
        <v>0.2005640898668361</v>
      </c>
      <c r="Y112" s="101">
        <f t="shared" si="108"/>
        <v>0.17377986631905332</v>
      </c>
      <c r="Z112" s="102"/>
      <c r="AA112" s="101">
        <f t="shared" si="109"/>
        <v>0.16700045777065689</v>
      </c>
      <c r="AB112" s="101">
        <f t="shared" si="109"/>
        <v>0.16857918491747581</v>
      </c>
      <c r="AC112" s="101">
        <f t="shared" si="109"/>
        <v>0.16077811492207733</v>
      </c>
      <c r="AD112" s="101">
        <f t="shared" si="109"/>
        <v>0.16443117024165083</v>
      </c>
      <c r="AE112" s="101">
        <f t="shared" si="103"/>
        <v>0.16507240365113676</v>
      </c>
      <c r="AF112" s="102"/>
      <c r="AG112" s="101">
        <f t="shared" si="110"/>
        <v>0.16580667609324912</v>
      </c>
      <c r="AH112" s="101">
        <f t="shared" si="110"/>
        <v>0.1519852224190735</v>
      </c>
      <c r="AI112" s="101">
        <f t="shared" si="110"/>
        <v>0.17489157191419527</v>
      </c>
      <c r="AJ112" s="101">
        <f t="shared" si="110"/>
        <v>0.19018482217866145</v>
      </c>
      <c r="AK112" s="101">
        <f t="shared" si="110"/>
        <v>0.17064464923103842</v>
      </c>
      <c r="AL112" s="102"/>
      <c r="AM112" s="101">
        <f t="shared" si="111"/>
        <v>0.18539592928341656</v>
      </c>
      <c r="AN112" s="101">
        <f t="shared" si="111"/>
        <v>0.15276387430720023</v>
      </c>
      <c r="AO112" s="101">
        <f t="shared" si="111"/>
        <v>0.15188813052411462</v>
      </c>
      <c r="AP112" s="101">
        <f t="shared" si="111"/>
        <v>0.14122317097794629</v>
      </c>
      <c r="AQ112" s="101">
        <f t="shared" si="111"/>
        <v>0.15558154394234525</v>
      </c>
      <c r="AR112" s="102"/>
      <c r="AS112" s="101">
        <f t="shared" si="112"/>
        <v>0.15152585720137726</v>
      </c>
      <c r="AT112" s="101">
        <f t="shared" si="112"/>
        <v>0.14059554045841968</v>
      </c>
      <c r="AU112" s="101">
        <f t="shared" si="112"/>
        <v>0.14896564073395269</v>
      </c>
      <c r="AV112" s="101">
        <f t="shared" si="112"/>
        <v>0.1524320241691843</v>
      </c>
      <c r="AW112" s="101">
        <f t="shared" si="112"/>
        <v>0.15073268273084986</v>
      </c>
      <c r="AX112" s="102"/>
      <c r="AY112" s="101">
        <f t="shared" si="113"/>
        <v>0.14753233917487704</v>
      </c>
      <c r="AZ112" s="101">
        <f t="shared" si="113"/>
        <v>0.16929511706597056</v>
      </c>
      <c r="BA112" s="101">
        <f t="shared" si="113"/>
        <v>0.17271645737345373</v>
      </c>
      <c r="BB112" s="101">
        <f t="shared" si="113"/>
        <v>0.15241575321083567</v>
      </c>
      <c r="BC112" s="101">
        <f t="shared" si="113"/>
        <v>0.16848206919012679</v>
      </c>
      <c r="BD112" s="102"/>
      <c r="BE112" s="101">
        <f t="shared" si="114"/>
        <v>0.16566869291501748</v>
      </c>
      <c r="BF112" s="101">
        <f t="shared" si="114"/>
        <v>0.15893504403784689</v>
      </c>
      <c r="BG112" s="101">
        <f t="shared" si="114"/>
        <v>0.16030156439589688</v>
      </c>
      <c r="BH112" s="101">
        <f t="shared" si="114"/>
        <v>0.15659108203895786</v>
      </c>
      <c r="BI112" s="101">
        <f t="shared" si="114"/>
        <v>0.16013971931480206</v>
      </c>
      <c r="BJ112" s="102"/>
      <c r="BK112" s="101">
        <f t="shared" si="115"/>
        <v>0.17165677103782723</v>
      </c>
      <c r="BL112" s="101">
        <f t="shared" si="115"/>
        <v>0.16112085561706735</v>
      </c>
      <c r="BM112" s="101">
        <f t="shared" si="115"/>
        <v>0.15508402686975173</v>
      </c>
      <c r="BN112" s="101">
        <f t="shared" si="115"/>
        <v>0.15236676187810114</v>
      </c>
      <c r="BO112" s="101">
        <f t="shared" si="115"/>
        <v>0.15925826487721337</v>
      </c>
      <c r="BP112" s="102"/>
      <c r="BQ112" s="101">
        <f t="shared" si="116"/>
        <v>0.13706617169118662</v>
      </c>
      <c r="BR112" s="101">
        <f t="shared" si="116"/>
        <v>0.14000000000000001</v>
      </c>
      <c r="BS112" s="101">
        <f t="shared" si="116"/>
        <v>0.15208402686975173</v>
      </c>
      <c r="BT112" s="101">
        <f t="shared" si="116"/>
        <v>0.14936676187810113</v>
      </c>
      <c r="BU112" s="101">
        <f t="shared" si="116"/>
        <v>0.14498577092102852</v>
      </c>
      <c r="BV112" s="102"/>
      <c r="BW112" s="101">
        <f t="shared" si="117"/>
        <v>0.13406617169118662</v>
      </c>
      <c r="BX112" s="101">
        <f t="shared" si="117"/>
        <v>0.13700000000000001</v>
      </c>
      <c r="BY112" s="101">
        <f t="shared" si="117"/>
        <v>0.14908402686975172</v>
      </c>
      <c r="BZ112" s="101">
        <f t="shared" si="117"/>
        <v>0.14636676187810113</v>
      </c>
      <c r="CA112" s="101">
        <f t="shared" si="117"/>
        <v>0.14200854231231283</v>
      </c>
      <c r="CB112" s="102"/>
      <c r="CC112" s="101">
        <f t="shared" si="118"/>
        <v>0.13106617169118662</v>
      </c>
      <c r="CD112" s="101">
        <f t="shared" si="118"/>
        <v>0.13400000000000001</v>
      </c>
      <c r="CE112" s="101">
        <f t="shared" si="118"/>
        <v>0.14608402686975172</v>
      </c>
      <c r="CF112" s="101">
        <f t="shared" si="118"/>
        <v>0.14336676187810113</v>
      </c>
      <c r="CG112" s="101">
        <f t="shared" si="118"/>
        <v>0.13897515863135559</v>
      </c>
      <c r="CH112" s="101"/>
      <c r="CI112" s="101"/>
      <c r="CP112" s="95"/>
      <c r="CQ112" s="95"/>
      <c r="CR112" s="95"/>
      <c r="CS112" s="95"/>
    </row>
    <row r="113" spans="1:97" ht="12.75" hidden="1" customHeight="1" outlineLevel="1" x14ac:dyDescent="0.2">
      <c r="A113" s="119"/>
      <c r="B113" s="329" t="s">
        <v>128</v>
      </c>
      <c r="C113" s="101">
        <f>+C53</f>
        <v>8.9286554476874572E-2</v>
      </c>
      <c r="D113" s="101">
        <f>+D53</f>
        <v>8.7137579468167053E-2</v>
      </c>
      <c r="E113" s="101">
        <f>+E53</f>
        <v>9.4456340709017372E-2</v>
      </c>
      <c r="F113" s="101">
        <f>+F53</f>
        <v>9.1151040445688641E-2</v>
      </c>
      <c r="G113" s="101">
        <f>+G53</f>
        <v>9.0482253140694691E-2</v>
      </c>
      <c r="H113" s="101"/>
      <c r="I113" s="101">
        <f>+I53</f>
        <v>9.7558040012838354E-2</v>
      </c>
      <c r="J113" s="101">
        <f>+J53</f>
        <v>8.7619834297013852E-2</v>
      </c>
      <c r="K113" s="101">
        <f>+K53</f>
        <v>7.8725074162265707E-2</v>
      </c>
      <c r="L113" s="101">
        <f>+L53</f>
        <v>8.0283305227655991E-2</v>
      </c>
      <c r="M113" s="101">
        <f>+M53</f>
        <v>8.6075874411137718E-2</v>
      </c>
      <c r="N113" s="101"/>
      <c r="O113" s="101">
        <f>+O53</f>
        <v>7.4017566873894949E-2</v>
      </c>
      <c r="P113" s="101">
        <f>+P53</f>
        <v>7.4283243356570036E-2</v>
      </c>
      <c r="Q113" s="101">
        <f>+Q53</f>
        <v>7.07842914632454E-2</v>
      </c>
      <c r="R113" s="101">
        <f>+R53</f>
        <v>6.6742865059573303E-2</v>
      </c>
      <c r="S113" s="101">
        <f>+S53</f>
        <v>7.1244473046396001E-2</v>
      </c>
      <c r="T113" s="102"/>
      <c r="U113" s="101">
        <f>+U53</f>
        <v>6.7887667887667882E-2</v>
      </c>
      <c r="V113" s="101">
        <f>+V53</f>
        <v>6.8116466804404779E-2</v>
      </c>
      <c r="W113" s="101">
        <f>+W53</f>
        <v>6.870459732977581E-2</v>
      </c>
      <c r="X113" s="101">
        <f>+X53</f>
        <v>7.4203653666045907E-2</v>
      </c>
      <c r="Y113" s="101">
        <f>+Y53</f>
        <v>6.9729204888044891E-2</v>
      </c>
      <c r="Z113" s="102"/>
      <c r="AA113" s="101">
        <f>+AA53</f>
        <v>8.955138475623714E-2</v>
      </c>
      <c r="AB113" s="101">
        <f>+AB53</f>
        <v>7.71946771480439E-2</v>
      </c>
      <c r="AC113" s="101">
        <f>+AC53</f>
        <v>7.0900916644160955E-2</v>
      </c>
      <c r="AD113" s="101">
        <f>+AD53</f>
        <v>7.4225204608044687E-2</v>
      </c>
      <c r="AE113" s="101">
        <f t="shared" si="103"/>
        <v>7.7445955213333861E-2</v>
      </c>
      <c r="AF113" s="102"/>
      <c r="AG113" s="101">
        <f>+AG53</f>
        <v>7.6407139525758991E-2</v>
      </c>
      <c r="AH113" s="101">
        <f>+AH53</f>
        <v>7.2569458750497848E-2</v>
      </c>
      <c r="AI113" s="101">
        <f>+AI53</f>
        <v>7.2324463720548585E-2</v>
      </c>
      <c r="AJ113" s="101">
        <f>+AJ53</f>
        <v>8.1986838420610469E-2</v>
      </c>
      <c r="AK113" s="101">
        <f>+AK53</f>
        <v>7.5837304768757996E-2</v>
      </c>
      <c r="AL113" s="102"/>
      <c r="AM113" s="101">
        <f>+AM53</f>
        <v>7.3460085948691231E-2</v>
      </c>
      <c r="AN113" s="101">
        <f>+AN53</f>
        <v>6.6630856752203538E-2</v>
      </c>
      <c r="AO113" s="101">
        <f>+AO53</f>
        <v>6.6350163519871608E-2</v>
      </c>
      <c r="AP113" s="101">
        <f>+AP53</f>
        <v>6.1528279451685999E-2</v>
      </c>
      <c r="AQ113" s="101">
        <f>+AQ53</f>
        <v>6.6771583414873534E-2</v>
      </c>
      <c r="AR113" s="102"/>
      <c r="AS113" s="101">
        <f>+AS53</f>
        <v>7.4067513257974171E-2</v>
      </c>
      <c r="AT113" s="101">
        <f>+AT53</f>
        <v>6.9022650897777496E-2</v>
      </c>
      <c r="AU113" s="101">
        <f>+AU53</f>
        <v>6.7696812656681191E-2</v>
      </c>
      <c r="AV113" s="101">
        <f>+AV53</f>
        <v>6.68479355488419E-2</v>
      </c>
      <c r="AW113" s="101">
        <f>+AW53</f>
        <v>6.9321593954202232E-2</v>
      </c>
      <c r="AX113" s="102"/>
      <c r="AY113" s="101">
        <f>+AY53</f>
        <v>7.0095816968387459E-2</v>
      </c>
      <c r="AZ113" s="101">
        <f>+AZ53</f>
        <v>7.4868250210035889E-2</v>
      </c>
      <c r="BA113" s="101">
        <f>+BA53</f>
        <v>8.5625806700186866E-2</v>
      </c>
      <c r="BB113" s="101">
        <f>+BB53</f>
        <v>6.0314579026906838E-2</v>
      </c>
      <c r="BC113" s="101">
        <f>+BC53</f>
        <v>7.2428165575775333E-2</v>
      </c>
      <c r="BD113" s="102"/>
      <c r="BE113" s="101">
        <f>+BE53</f>
        <v>6.3182808310991961E-2</v>
      </c>
      <c r="BF113" s="101">
        <f>+BF53</f>
        <v>6.9100318530453439E-2</v>
      </c>
      <c r="BG113" s="101">
        <f>+BG53</f>
        <v>7.3279993108127023E-2</v>
      </c>
      <c r="BH113" s="101">
        <f>+BH53</f>
        <v>7.3699791611954876E-2</v>
      </c>
      <c r="BI113" s="101">
        <f>+BI53</f>
        <v>7.0119291695142208E-2</v>
      </c>
      <c r="BJ113" s="102"/>
      <c r="BK113" s="101">
        <f>+BK53</f>
        <v>7.3480461814584591E-2</v>
      </c>
      <c r="BL113" s="101">
        <f>+BL53</f>
        <v>6.840177063638557E-2</v>
      </c>
      <c r="BM113" s="101">
        <f>+BM53</f>
        <v>6.2816176833209184E-2</v>
      </c>
      <c r="BN113" s="101">
        <f>+BN53</f>
        <v>6.2113865134350611E-2</v>
      </c>
      <c r="BO113" s="101">
        <f>+BO53</f>
        <v>6.6212935544887969E-2</v>
      </c>
      <c r="BP113" s="102"/>
      <c r="BQ113" s="101">
        <f>+BQ53</f>
        <v>6.7725737199146763E-2</v>
      </c>
      <c r="BR113" s="101">
        <f>+BR53</f>
        <v>6.7725737199146763E-2</v>
      </c>
      <c r="BS113" s="101">
        <f>+BS53</f>
        <v>6.7725737199146763E-2</v>
      </c>
      <c r="BT113" s="101">
        <f>+BT53</f>
        <v>6.7725737199146763E-2</v>
      </c>
      <c r="BU113" s="101">
        <f>+BU53</f>
        <v>6.7725737199146763E-2</v>
      </c>
      <c r="BV113" s="102"/>
      <c r="BW113" s="101">
        <f>+BW53</f>
        <v>6.6725737199146762E-2</v>
      </c>
      <c r="BX113" s="101">
        <f>+BX53</f>
        <v>6.6725737199146762E-2</v>
      </c>
      <c r="BY113" s="101">
        <f>+BY53</f>
        <v>6.6725737199146762E-2</v>
      </c>
      <c r="BZ113" s="101">
        <f>+BZ53</f>
        <v>6.6725737199146762E-2</v>
      </c>
      <c r="CA113" s="101">
        <f>+CA53</f>
        <v>6.6725737199146748E-2</v>
      </c>
      <c r="CB113" s="102"/>
      <c r="CC113" s="101">
        <f>+CC53</f>
        <v>6.5725737199146761E-2</v>
      </c>
      <c r="CD113" s="101">
        <f>+CD53</f>
        <v>6.5725737199146761E-2</v>
      </c>
      <c r="CE113" s="101">
        <f>+CE53</f>
        <v>6.5725737199146761E-2</v>
      </c>
      <c r="CF113" s="101">
        <f>+CF53</f>
        <v>6.5725737199146761E-2</v>
      </c>
      <c r="CG113" s="101">
        <f>+CG53</f>
        <v>6.5725737199146761E-2</v>
      </c>
      <c r="CH113" s="101"/>
      <c r="CI113" s="101"/>
      <c r="CP113" s="95"/>
      <c r="CQ113" s="95"/>
      <c r="CR113" s="95"/>
      <c r="CS113" s="95"/>
    </row>
    <row r="114" spans="1:97" ht="12.75" hidden="1" customHeight="1" outlineLevel="1" x14ac:dyDescent="0.2">
      <c r="A114" s="42"/>
      <c r="B114" s="102"/>
      <c r="C114" s="102"/>
      <c r="D114" s="102"/>
      <c r="E114" s="102"/>
      <c r="F114" s="102"/>
      <c r="G114" s="102"/>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2"/>
      <c r="AP114" s="102"/>
      <c r="AQ114" s="102"/>
      <c r="AR114" s="102"/>
      <c r="AS114" s="102"/>
      <c r="AT114" s="102"/>
      <c r="AU114" s="102"/>
      <c r="AV114" s="102"/>
      <c r="AW114" s="102"/>
      <c r="AX114" s="102"/>
      <c r="AY114" s="102"/>
      <c r="AZ114" s="102"/>
      <c r="BA114" s="102"/>
      <c r="BB114" s="102"/>
      <c r="BC114" s="102"/>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2"/>
      <c r="CD114" s="102"/>
      <c r="CE114" s="102"/>
      <c r="CF114" s="102"/>
      <c r="CG114" s="102"/>
      <c r="CH114" s="102"/>
      <c r="CI114" s="102"/>
      <c r="CP114" s="95"/>
      <c r="CQ114" s="95"/>
      <c r="CR114" s="95"/>
      <c r="CS114" s="95"/>
    </row>
    <row r="115" spans="1:97" ht="12.75" hidden="1" customHeight="1" outlineLevel="1" x14ac:dyDescent="0.2">
      <c r="A115" s="42"/>
      <c r="B115" s="103" t="s">
        <v>347</v>
      </c>
      <c r="C115" s="103"/>
      <c r="D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c r="AM115" s="103"/>
      <c r="AN115" s="103"/>
      <c r="AO115" s="103"/>
      <c r="AP115" s="103"/>
      <c r="AQ115" s="103"/>
      <c r="AR115" s="103"/>
      <c r="AS115" s="103"/>
      <c r="AT115" s="103"/>
      <c r="AU115" s="103"/>
      <c r="AV115" s="103"/>
      <c r="AW115" s="103"/>
      <c r="AX115" s="103"/>
      <c r="AY115" s="103"/>
      <c r="AZ115" s="103"/>
      <c r="BA115" s="103"/>
      <c r="BB115" s="103"/>
      <c r="BC115" s="103"/>
      <c r="BD115" s="103"/>
      <c r="BE115" s="103"/>
      <c r="BF115" s="103"/>
      <c r="BG115" s="103"/>
      <c r="BH115" s="103"/>
      <c r="BI115" s="103"/>
      <c r="BJ115" s="103"/>
      <c r="BK115" s="103"/>
      <c r="BL115" s="103"/>
      <c r="BM115" s="103"/>
      <c r="BN115" s="103"/>
      <c r="BO115" s="103"/>
      <c r="BP115" s="103"/>
      <c r="BQ115" s="103"/>
      <c r="BR115" s="103"/>
      <c r="BS115" s="103"/>
      <c r="BT115" s="103"/>
      <c r="BU115" s="103"/>
      <c r="BV115" s="103"/>
      <c r="BW115" s="103"/>
      <c r="BX115" s="103"/>
      <c r="BY115" s="103"/>
      <c r="BZ115" s="103"/>
      <c r="CA115" s="103"/>
      <c r="CB115" s="103"/>
      <c r="CC115" s="103"/>
      <c r="CD115" s="103"/>
      <c r="CE115" s="103"/>
      <c r="CF115" s="103"/>
      <c r="CG115" s="103"/>
      <c r="CH115" s="103"/>
      <c r="CI115" s="103"/>
      <c r="CP115" s="121"/>
      <c r="CQ115" s="121"/>
      <c r="CR115" s="121"/>
      <c r="CS115" s="121"/>
    </row>
    <row r="116" spans="1:97" ht="12.75" hidden="1" customHeight="1" outlineLevel="1" x14ac:dyDescent="0.2">
      <c r="A116" s="42"/>
      <c r="B116" s="234" t="s">
        <v>102</v>
      </c>
      <c r="C116" s="103"/>
      <c r="D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3"/>
      <c r="BO116" s="103"/>
      <c r="BP116" s="103"/>
      <c r="BQ116" s="103"/>
      <c r="BR116" s="103"/>
      <c r="BS116" s="103"/>
      <c r="BT116" s="103"/>
      <c r="BU116" s="103"/>
      <c r="BV116" s="103"/>
      <c r="BW116" s="103"/>
      <c r="BX116" s="103"/>
      <c r="BY116" s="103"/>
      <c r="BZ116" s="103"/>
      <c r="CA116" s="103"/>
      <c r="CB116" s="103"/>
      <c r="CC116" s="103"/>
      <c r="CD116" s="103"/>
      <c r="CE116" s="103"/>
      <c r="CF116" s="103"/>
      <c r="CG116" s="103"/>
      <c r="CH116" s="103"/>
      <c r="CI116" s="103"/>
      <c r="CP116" s="121"/>
      <c r="CQ116" s="121"/>
      <c r="CR116" s="121"/>
      <c r="CS116" s="121"/>
    </row>
    <row r="117" spans="1:97" ht="12.75" hidden="1" customHeight="1" outlineLevel="1" x14ac:dyDescent="0.2">
      <c r="A117" s="42"/>
      <c r="B117" s="278" t="s">
        <v>166</v>
      </c>
      <c r="C117" s="101"/>
      <c r="D117" s="101"/>
      <c r="E117" s="101"/>
      <c r="F117" s="101"/>
      <c r="G117" s="101"/>
      <c r="H117" s="101"/>
      <c r="I117" s="101"/>
      <c r="J117" s="101"/>
      <c r="K117" s="101"/>
      <c r="L117" s="101"/>
      <c r="M117" s="101"/>
      <c r="N117" s="101"/>
      <c r="O117" s="101"/>
      <c r="P117" s="101"/>
      <c r="Q117" s="101"/>
      <c r="R117" s="101"/>
      <c r="S117" s="101"/>
      <c r="T117" s="103"/>
      <c r="U117" s="319"/>
      <c r="V117" s="319"/>
      <c r="W117" s="319"/>
      <c r="X117" s="319"/>
      <c r="Y117" s="319"/>
      <c r="Z117" s="103"/>
      <c r="AA117" s="101">
        <f>+ALGN!AA69</f>
        <v>0.1639027639027637</v>
      </c>
      <c r="AB117" s="101">
        <f>+ALGN!AB69</f>
        <v>0.20982342541907162</v>
      </c>
      <c r="AC117" s="101">
        <f>+ALGN!AC69</f>
        <v>0.19128268731695641</v>
      </c>
      <c r="AD117" s="101">
        <f>+ALGN!AD69</f>
        <v>0.27996727417566447</v>
      </c>
      <c r="AE117" s="101">
        <f>+ALGN!AE69</f>
        <v>0.21143261772184485</v>
      </c>
      <c r="AF117" s="101"/>
      <c r="AG117" s="101">
        <f>+ALGN!AG69</f>
        <v>0.17616540779736023</v>
      </c>
      <c r="AH117" s="101">
        <f>+ALGN!AH69</f>
        <v>0.1766637323943665</v>
      </c>
      <c r="AI117" s="101">
        <f>+ALGN!AI69</f>
        <v>0.10870516185476808</v>
      </c>
      <c r="AJ117" s="101">
        <f>+ALGN!AJ69</f>
        <v>0.11740117746005052</v>
      </c>
      <c r="AK117" s="101">
        <f>+ALGN!AK69</f>
        <v>0.14374878225906462</v>
      </c>
      <c r="AL117" s="101"/>
      <c r="AM117" s="101">
        <f>+ALGN!AM69</f>
        <v>0.14793072132848994</v>
      </c>
      <c r="AN117" s="101">
        <f>+ALGN!AN69</f>
        <v>0.14688521646754293</v>
      </c>
      <c r="AO117" s="101">
        <f>+ALGN!AO69</f>
        <v>0.2116788321167884</v>
      </c>
      <c r="AP117" s="101">
        <f>+ALGN!AP69</f>
        <v>0.2511308981702407</v>
      </c>
      <c r="AQ117" s="101">
        <f>+ALGN!AQ69</f>
        <v>0.18984050903924077</v>
      </c>
      <c r="AR117" s="101"/>
      <c r="AS117" s="101">
        <f>+ALGN!AS69</f>
        <v>0.18836351820981556</v>
      </c>
      <c r="AT117" s="101">
        <f>+ALGN!AT69</f>
        <v>0.1724167172201454</v>
      </c>
      <c r="AU117" s="101">
        <f>+ALGN!AU69</f>
        <v>0.16013025073266052</v>
      </c>
      <c r="AV117" s="101">
        <f>+ALGN!AV69</f>
        <v>0.12160097218211563</v>
      </c>
      <c r="AW117" s="101">
        <f>+ALGN!AW69</f>
        <v>0.15927789681590632</v>
      </c>
      <c r="AX117" s="101"/>
      <c r="AY117" s="101">
        <f>+ALGN!AY69</f>
        <v>0.11168635096499613</v>
      </c>
      <c r="AZ117" s="101">
        <f>+ALGN!AZ69</f>
        <v>0.11729490638996354</v>
      </c>
      <c r="BA117" s="101">
        <f>+ALGN!BA69</f>
        <v>0.1131370061413064</v>
      </c>
      <c r="BB117" s="101">
        <f>+ALGN!BB69</f>
        <v>0.14809828521162638</v>
      </c>
      <c r="BC117" s="101">
        <f>+ALGN!BC69</f>
        <v>0.12299083992820159</v>
      </c>
      <c r="BD117" s="101"/>
      <c r="BE117" s="101">
        <f>+ALGN!BE69</f>
        <v>0.14809828521162638</v>
      </c>
      <c r="BF117" s="101">
        <f>+ALGN!BF69</f>
        <v>0.21222804842219523</v>
      </c>
      <c r="BG117" s="101">
        <f>+ALGN!BG69</f>
        <v>0.22883424444758194</v>
      </c>
      <c r="BH117" s="101">
        <f>+ALGN!BH69</f>
        <v>0.17508689639706976</v>
      </c>
      <c r="BI117" s="101">
        <f>+ALGN!BI69</f>
        <v>0.19726101181475286</v>
      </c>
      <c r="BJ117" s="101"/>
      <c r="BK117" s="101">
        <f>+ALGN!BK69</f>
        <v>0.29796334089078708</v>
      </c>
      <c r="BL117" s="101">
        <f>+ALGN!BL69</f>
        <v>0.32990704345377075</v>
      </c>
      <c r="BM117" s="101">
        <f>+ALGN!BM69</f>
        <v>0.40195265689380633</v>
      </c>
      <c r="BN117" s="101">
        <f>+ALGN!BN69</f>
        <v>0.44803101083391317</v>
      </c>
      <c r="BO117" s="101">
        <f>+ALGN!BO69</f>
        <v>0.36661685967528235</v>
      </c>
      <c r="BP117" s="101"/>
      <c r="BQ117" s="101">
        <f>+ALGN!BQ69</f>
        <v>0.36510752516829026</v>
      </c>
      <c r="BR117" s="101">
        <f>+ALGN!BR69</f>
        <v>0.34659075155184205</v>
      </c>
      <c r="BS117" s="101">
        <f>+ALGN!BS69</f>
        <v>0.28510951338026236</v>
      </c>
      <c r="BT117" s="101">
        <f>+ALGN!BT69</f>
        <v>0.29384479521134632</v>
      </c>
      <c r="BU117" s="101">
        <f>+ALGN!BU69</f>
        <v>0.31986999578635733</v>
      </c>
      <c r="BV117" s="101"/>
      <c r="BW117" s="101">
        <f>+ALGN!BW69</f>
        <v>0.22520385109391761</v>
      </c>
      <c r="BX117" s="101">
        <f>+ALGN!BX69</f>
        <v>0.26231497140202875</v>
      </c>
      <c r="BY117" s="101">
        <f>+ALGN!BY69</f>
        <v>0.25147415221332947</v>
      </c>
      <c r="BZ117" s="101">
        <f>+ALGN!BZ69</f>
        <v>0.25851620595455715</v>
      </c>
      <c r="CA117" s="101">
        <f>+ALGN!CA69</f>
        <v>0.25024600218896076</v>
      </c>
      <c r="CB117" s="101"/>
      <c r="CC117" s="101">
        <f>+ALGN!CC69</f>
        <v>0.18680273097807265</v>
      </c>
      <c r="CD117" s="101">
        <f>+ALGN!CD69</f>
        <v>0.17110025079938218</v>
      </c>
      <c r="CE117" s="101">
        <f>+ALGN!CE69</f>
        <v>0.16915931880134538</v>
      </c>
      <c r="CF117" s="101">
        <f>+ALGN!CF69</f>
        <v>0.16513753322154479</v>
      </c>
      <c r="CG117" s="101">
        <f>+ALGN!CG69</f>
        <v>0.17240273436297548</v>
      </c>
      <c r="CH117" s="101"/>
      <c r="CI117" s="101"/>
      <c r="CP117" s="121"/>
      <c r="CQ117" s="121"/>
      <c r="CR117" s="121"/>
      <c r="CS117" s="121"/>
    </row>
    <row r="118" spans="1:97" ht="12.75" hidden="1" customHeight="1" outlineLevel="1" x14ac:dyDescent="0.2">
      <c r="A118" s="42"/>
      <c r="B118" s="233" t="s">
        <v>167</v>
      </c>
      <c r="C118" s="101"/>
      <c r="D118" s="101"/>
      <c r="E118" s="101"/>
      <c r="F118" s="101"/>
      <c r="G118" s="101"/>
      <c r="H118" s="103"/>
      <c r="I118" s="101"/>
      <c r="J118" s="101"/>
      <c r="K118" s="101"/>
      <c r="L118" s="101"/>
      <c r="M118" s="101"/>
      <c r="N118" s="101"/>
      <c r="O118" s="101"/>
      <c r="P118" s="101"/>
      <c r="Q118" s="101"/>
      <c r="R118" s="101"/>
      <c r="S118" s="101"/>
      <c r="T118" s="103"/>
      <c r="U118" s="319"/>
      <c r="V118" s="319"/>
      <c r="W118" s="319"/>
      <c r="X118" s="319"/>
      <c r="Y118" s="319"/>
      <c r="Z118" s="103"/>
      <c r="AA118" s="101">
        <f>+ALGN!AA11</f>
        <v>8.2191780821917693E-2</v>
      </c>
      <c r="AB118" s="101">
        <f>+ALGN!AB11</f>
        <v>0.13481481481481472</v>
      </c>
      <c r="AC118" s="101">
        <f>+ALGN!AC11</f>
        <v>0.12762762762762758</v>
      </c>
      <c r="AD118" s="101">
        <f>+ALGN!AD11</f>
        <v>0.2249614791987673</v>
      </c>
      <c r="AE118" s="101">
        <f t="shared" ref="AE118:AE128" si="119">SUMPRODUCT(AA118:AD118,AA$8:AD$8)/AE$8</f>
        <v>0.14564918414391201</v>
      </c>
      <c r="AF118" s="101"/>
      <c r="AG118" s="101">
        <f>+ALGN!AG11</f>
        <v>0.15926863572433203</v>
      </c>
      <c r="AH118" s="101">
        <f>+ALGN!AH11</f>
        <v>0.15687989556135795</v>
      </c>
      <c r="AI118" s="101">
        <f>+ALGN!AI11</f>
        <v>6.9161118508655139E-2</v>
      </c>
      <c r="AJ118" s="104">
        <f>+AJ103+0.005</f>
        <v>0.10267295597484283</v>
      </c>
      <c r="AK118" s="101">
        <f>SUMPRODUCT(AG118:AJ118,AG$8:AJ$8)/AK$8</f>
        <v>0.1222511580034842</v>
      </c>
      <c r="AL118" s="101"/>
      <c r="AM118" s="104">
        <f t="shared" ref="AM118:AP121" si="120">+AM103+0.005</f>
        <v>4.7342036300106798E-2</v>
      </c>
      <c r="AN118" s="104">
        <f t="shared" si="120"/>
        <v>8.5627870498888536E-2</v>
      </c>
      <c r="AO118" s="104">
        <f t="shared" si="120"/>
        <v>0.17501270331531626</v>
      </c>
      <c r="AP118" s="104">
        <f t="shared" si="120"/>
        <v>0.22465278175671821</v>
      </c>
      <c r="AQ118" s="101">
        <f>SUMPRODUCT(AM118:AP118,AM$8:AP$8)/AQ$8</f>
        <v>0.13653839292526959</v>
      </c>
      <c r="AR118" s="101"/>
      <c r="AS118" s="104">
        <f t="shared" ref="AS118:AV122" si="121">+AS103+0.005</f>
        <v>0.20704684712661059</v>
      </c>
      <c r="AT118" s="104">
        <f t="shared" si="121"/>
        <v>0.20836096597852583</v>
      </c>
      <c r="AU118" s="104">
        <f t="shared" si="121"/>
        <v>0.2023464048113256</v>
      </c>
      <c r="AV118" s="104">
        <f t="shared" si="121"/>
        <v>0.12063964184040643</v>
      </c>
      <c r="AW118" s="101">
        <f>SUMPRODUCT(AS118:AV118,AS$8:AV$8)/AW$8</f>
        <v>0.1836766726006531</v>
      </c>
      <c r="AX118" s="101"/>
      <c r="AY118" s="104">
        <f t="shared" ref="AY118:BB122" si="122">+AY103+0.005</f>
        <v>0.12876313405778672</v>
      </c>
      <c r="AZ118" s="104">
        <f t="shared" si="122"/>
        <v>0.11900217066896934</v>
      </c>
      <c r="BA118" s="104">
        <f>+BA103+0.005</f>
        <v>0.10819039633369598</v>
      </c>
      <c r="BB118" s="104">
        <f t="shared" si="122"/>
        <v>0.1421265783339275</v>
      </c>
      <c r="BC118" s="101">
        <f>SUMPRODUCT(AY118:BB118,AY$8:BB$8)/BC$8</f>
        <v>0.12493200595591006</v>
      </c>
      <c r="BD118" s="101"/>
      <c r="BE118" s="104">
        <f t="shared" ref="BE118:BH122" si="123">+BE103+0.005</f>
        <v>0.18981201818730614</v>
      </c>
      <c r="BF118" s="104">
        <f t="shared" si="123"/>
        <v>0.22221085614487543</v>
      </c>
      <c r="BG118" s="104">
        <f t="shared" si="123"/>
        <v>0.19182851557262781</v>
      </c>
      <c r="BH118" s="104">
        <f t="shared" si="123"/>
        <v>0.14512517675536188</v>
      </c>
      <c r="BI118" s="101">
        <f>SUMPRODUCT(BE118:BH118,BE$8:BH$8)/BI$8</f>
        <v>0.18628056341724575</v>
      </c>
      <c r="BJ118" s="101"/>
      <c r="BK118" s="104">
        <f t="shared" ref="BK118:BN122" si="124">+BK103+0.005</f>
        <v>0.21752194384284401</v>
      </c>
      <c r="BL118" s="104">
        <f t="shared" si="124"/>
        <v>0.2092604954334103</v>
      </c>
      <c r="BM118" s="104">
        <f t="shared" si="124"/>
        <v>0.2831159420289856</v>
      </c>
      <c r="BN118" s="104">
        <f t="shared" si="124"/>
        <v>0.28245318352059934</v>
      </c>
      <c r="BO118" s="101">
        <f>SUMPRODUCT(BK118:BN118,BK$8:BN$8)/BO$8</f>
        <v>0.25124172909113446</v>
      </c>
      <c r="BP118" s="101"/>
      <c r="BQ118" s="104">
        <f t="shared" ref="BQ118:BT122" si="125">+BQ103+0.005</f>
        <v>0.29959854014598519</v>
      </c>
      <c r="BR118" s="104">
        <f t="shared" si="125"/>
        <v>0.31</v>
      </c>
      <c r="BS118" s="104">
        <f t="shared" si="125"/>
        <v>0.28000000000000003</v>
      </c>
      <c r="BT118" s="104">
        <f t="shared" si="125"/>
        <v>0.27500000000000002</v>
      </c>
      <c r="BU118" s="101">
        <f>SUMPRODUCT(BQ118:BT118,BQ$8:BT$8)/BU$8</f>
        <v>0.29040869859042767</v>
      </c>
      <c r="BV118" s="101"/>
      <c r="BW118" s="104">
        <f t="shared" ref="BW118:BZ122" si="126">+BW103+0.005</f>
        <v>0.16500000000000001</v>
      </c>
      <c r="BX118" s="104">
        <f t="shared" si="126"/>
        <v>0.17500000000000002</v>
      </c>
      <c r="BY118" s="104">
        <f t="shared" si="126"/>
        <v>0.16</v>
      </c>
      <c r="BZ118" s="104">
        <f t="shared" si="126"/>
        <v>0.14500000000000002</v>
      </c>
      <c r="CA118" s="101">
        <f>SUMPRODUCT(BW118:BZ118,BW$8:BZ$8)/CA$8</f>
        <v>0.16068139072813875</v>
      </c>
      <c r="CB118" s="101"/>
      <c r="CC118" s="104">
        <f t="shared" ref="CC118:CF122" si="127">+CC103+0.005</f>
        <v>0.115</v>
      </c>
      <c r="CD118" s="104">
        <f t="shared" si="127"/>
        <v>0.115</v>
      </c>
      <c r="CE118" s="104">
        <f t="shared" si="127"/>
        <v>0.115</v>
      </c>
      <c r="CF118" s="104">
        <f t="shared" si="127"/>
        <v>0.115</v>
      </c>
      <c r="CG118" s="101">
        <f>SUMPRODUCT(CC118:CF118,CC$8:CF$8)/CG$8</f>
        <v>0.11499999999999999</v>
      </c>
      <c r="CH118" s="101"/>
      <c r="CI118" s="101"/>
      <c r="CP118" s="121"/>
      <c r="CQ118" s="121"/>
      <c r="CR118" s="121"/>
      <c r="CS118" s="121"/>
    </row>
    <row r="119" spans="1:97" ht="12.75" hidden="1" customHeight="1" outlineLevel="1" x14ac:dyDescent="0.2">
      <c r="A119" s="42"/>
      <c r="B119" s="233" t="s">
        <v>168</v>
      </c>
      <c r="C119" s="101"/>
      <c r="D119" s="101"/>
      <c r="E119" s="101"/>
      <c r="F119" s="101"/>
      <c r="G119" s="101"/>
      <c r="H119" s="103"/>
      <c r="I119" s="101"/>
      <c r="J119" s="101"/>
      <c r="K119" s="101"/>
      <c r="L119" s="101"/>
      <c r="M119" s="101"/>
      <c r="N119" s="101"/>
      <c r="O119" s="101"/>
      <c r="P119" s="101"/>
      <c r="Q119" s="101"/>
      <c r="R119" s="101"/>
      <c r="S119" s="101"/>
      <c r="T119" s="103"/>
      <c r="U119" s="319"/>
      <c r="V119" s="319"/>
      <c r="W119" s="319"/>
      <c r="X119" s="319"/>
      <c r="Y119" s="319"/>
      <c r="Z119" s="103"/>
      <c r="AA119" s="101">
        <f>+ALGN!AA16</f>
        <v>0.17441860465116288</v>
      </c>
      <c r="AB119" s="101">
        <f>+ALGN!AB16</f>
        <v>0.26136363636363624</v>
      </c>
      <c r="AC119" s="101">
        <f>+ALGN!AC16</f>
        <v>0.1797752808988764</v>
      </c>
      <c r="AD119" s="101">
        <f>+ALGN!AD16</f>
        <v>0.31325301204819267</v>
      </c>
      <c r="AE119" s="101">
        <f t="shared" si="119"/>
        <v>0.23489228474785639</v>
      </c>
      <c r="AF119" s="101"/>
      <c r="AG119" s="101">
        <f>+ALGN!AG16</f>
        <v>0.16891089108910884</v>
      </c>
      <c r="AH119" s="101">
        <f>+ALGN!AH16</f>
        <v>0.22810810810810822</v>
      </c>
      <c r="AI119" s="101">
        <f>+ALGN!AI16</f>
        <v>0.21704761904761893</v>
      </c>
      <c r="AJ119" s="104">
        <f>+AJ104+0.005</f>
        <v>0.22233944954128437</v>
      </c>
      <c r="AK119" s="101">
        <f>SUMPRODUCT(AG119:AJ119,AG$8:AJ$8)/AK$8</f>
        <v>0.20966301465567333</v>
      </c>
      <c r="AL119" s="101"/>
      <c r="AM119" s="104">
        <f t="shared" si="120"/>
        <v>0.36727342029476528</v>
      </c>
      <c r="AN119" s="104">
        <f t="shared" si="120"/>
        <v>0.41036971830985924</v>
      </c>
      <c r="AO119" s="104">
        <f t="shared" si="120"/>
        <v>0.39024141169105586</v>
      </c>
      <c r="AP119" s="104">
        <f t="shared" si="120"/>
        <v>0.47270668475393796</v>
      </c>
      <c r="AQ119" s="101">
        <f>SUMPRODUCT(AM119:AP119,AM$8:AP$8)/AQ$8</f>
        <v>0.41216343991108167</v>
      </c>
      <c r="AR119" s="101"/>
      <c r="AS119" s="104">
        <f t="shared" si="121"/>
        <v>0.22523254367966195</v>
      </c>
      <c r="AT119" s="104">
        <f t="shared" si="121"/>
        <v>7.3900720325712599E-2</v>
      </c>
      <c r="AU119" s="104">
        <f t="shared" si="121"/>
        <v>8.9905660377358365E-2</v>
      </c>
      <c r="AV119" s="104">
        <f t="shared" si="121"/>
        <v>9.8196405648266816E-2</v>
      </c>
      <c r="AW119" s="101">
        <f>SUMPRODUCT(AS119:AV119,AS$8:AV$8)/AW$8</f>
        <v>0.12011804719753361</v>
      </c>
      <c r="AX119" s="101"/>
      <c r="AY119" s="104">
        <f t="shared" si="122"/>
        <v>6.4821656050955467E-2</v>
      </c>
      <c r="AZ119" s="104">
        <f t="shared" si="122"/>
        <v>7.9323664420353546E-2</v>
      </c>
      <c r="BA119" s="104">
        <f>+BA104+0.005</f>
        <v>4.6395469929705883E-2</v>
      </c>
      <c r="BB119" s="104">
        <f t="shared" si="122"/>
        <v>0.15577501174260211</v>
      </c>
      <c r="BC119" s="101">
        <f>SUMPRODUCT(AY119:BB119,AY$8:BB$8)/BC$8</f>
        <v>8.8661710271919852E-2</v>
      </c>
      <c r="BD119" s="101"/>
      <c r="BE119" s="104">
        <f t="shared" si="123"/>
        <v>0.2739862810189575</v>
      </c>
      <c r="BF119" s="104">
        <f t="shared" si="123"/>
        <v>0.35777287499999999</v>
      </c>
      <c r="BG119" s="104">
        <f t="shared" si="123"/>
        <v>0.33514350000000015</v>
      </c>
      <c r="BH119" s="104">
        <f t="shared" si="123"/>
        <v>0.27854480494886524</v>
      </c>
      <c r="BI119" s="101">
        <f>SUMPRODUCT(BE119:BH119,BE$8:BH$8)/BI$8</f>
        <v>0.31190109876477967</v>
      </c>
      <c r="BJ119" s="101"/>
      <c r="BK119" s="104">
        <f t="shared" si="124"/>
        <v>0.46821332269212296</v>
      </c>
      <c r="BL119" s="104">
        <f t="shared" si="124"/>
        <v>0.50432499930364261</v>
      </c>
      <c r="BM119" s="104">
        <f t="shared" si="124"/>
        <v>0.60264705882352942</v>
      </c>
      <c r="BN119" s="104">
        <f t="shared" si="124"/>
        <v>0.73722222222222211</v>
      </c>
      <c r="BO119" s="101">
        <f>SUMPRODUCT(BK119:BN119,BK$8:BN$8)/BO$8</f>
        <v>0.58902512596566969</v>
      </c>
      <c r="BP119" s="101"/>
      <c r="BQ119" s="104">
        <f t="shared" si="125"/>
        <v>0.63718390804597702</v>
      </c>
      <c r="BR119" s="104">
        <f t="shared" si="125"/>
        <v>0.49</v>
      </c>
      <c r="BS119" s="104">
        <f t="shared" si="125"/>
        <v>0.45</v>
      </c>
      <c r="BT119" s="104">
        <f t="shared" si="125"/>
        <v>0.42500000000000004</v>
      </c>
      <c r="BU119" s="101">
        <f>SUMPRODUCT(BQ119:BT119,BQ$8:BT$8)/BU$8</f>
        <v>0.49487456635646071</v>
      </c>
      <c r="BV119" s="101"/>
      <c r="BW119" s="104">
        <f t="shared" si="126"/>
        <v>0.47499999999999998</v>
      </c>
      <c r="BX119" s="104">
        <f t="shared" si="126"/>
        <v>0.47499999999999998</v>
      </c>
      <c r="BY119" s="104">
        <f t="shared" si="126"/>
        <v>0.47499999999999998</v>
      </c>
      <c r="BZ119" s="104">
        <f t="shared" si="126"/>
        <v>0.47499999999999998</v>
      </c>
      <c r="CA119" s="101">
        <f>SUMPRODUCT(BW119:BZ119,BW$8:BZ$8)/CA$8</f>
        <v>0.47499999999999998</v>
      </c>
      <c r="CB119" s="101"/>
      <c r="CC119" s="104">
        <f t="shared" si="127"/>
        <v>0.375</v>
      </c>
      <c r="CD119" s="104">
        <f t="shared" si="127"/>
        <v>0.375</v>
      </c>
      <c r="CE119" s="104">
        <f t="shared" si="127"/>
        <v>0.375</v>
      </c>
      <c r="CF119" s="104">
        <f t="shared" si="127"/>
        <v>0.375</v>
      </c>
      <c r="CG119" s="101">
        <f>SUMPRODUCT(CC119:CF119,CC$8:CF$8)/CG$8</f>
        <v>0.375</v>
      </c>
      <c r="CH119" s="101"/>
      <c r="CI119" s="101"/>
      <c r="CP119" s="121"/>
      <c r="CQ119" s="121"/>
      <c r="CR119" s="121"/>
      <c r="CS119" s="121"/>
    </row>
    <row r="120" spans="1:97" ht="12.75" hidden="1" customHeight="1" outlineLevel="1" x14ac:dyDescent="0.2">
      <c r="A120" s="42"/>
      <c r="B120" s="233" t="s">
        <v>169</v>
      </c>
      <c r="C120" s="101"/>
      <c r="D120" s="101"/>
      <c r="E120" s="101"/>
      <c r="F120" s="101"/>
      <c r="G120" s="101"/>
      <c r="H120" s="103"/>
      <c r="I120" s="101"/>
      <c r="J120" s="101"/>
      <c r="K120" s="101"/>
      <c r="L120" s="101"/>
      <c r="M120" s="101"/>
      <c r="N120" s="101"/>
      <c r="O120" s="101"/>
      <c r="P120" s="101"/>
      <c r="Q120" s="101"/>
      <c r="R120" s="101"/>
      <c r="S120" s="101"/>
      <c r="T120" s="103"/>
      <c r="U120" s="319"/>
      <c r="V120" s="319"/>
      <c r="W120" s="319"/>
      <c r="X120" s="319"/>
      <c r="Y120" s="319"/>
      <c r="Z120" s="103"/>
      <c r="AA120" s="101">
        <f>+ALGN!AA21</f>
        <v>0.45121951219512213</v>
      </c>
      <c r="AB120" s="101">
        <f>+ALGN!AB21</f>
        <v>0.52380952380952372</v>
      </c>
      <c r="AC120" s="101">
        <f>+ALGN!AC21</f>
        <v>0.36283185840707954</v>
      </c>
      <c r="AD120" s="101">
        <f>+ALGN!AD21</f>
        <v>0.35849056603773599</v>
      </c>
      <c r="AE120" s="101">
        <f t="shared" si="119"/>
        <v>0.42127907359245387</v>
      </c>
      <c r="AF120" s="101"/>
      <c r="AG120" s="101">
        <f>+ALGN!AG21</f>
        <v>0.27294117647058824</v>
      </c>
      <c r="AH120" s="101">
        <f>+ALGN!AH21</f>
        <v>0.27968749999999987</v>
      </c>
      <c r="AI120" s="101">
        <f>+ALGN!AI21</f>
        <v>0.24311688311688306</v>
      </c>
      <c r="AJ120" s="104">
        <f>+AJ105+0.005</f>
        <v>0.14770833333333322</v>
      </c>
      <c r="AK120" s="101">
        <f>SUMPRODUCT(AG120:AJ120,AG$8:AJ$8)/AK$8</f>
        <v>0.23548549742380634</v>
      </c>
      <c r="AL120" s="101"/>
      <c r="AM120" s="104">
        <f t="shared" si="120"/>
        <v>0.23110245576973865</v>
      </c>
      <c r="AN120" s="104">
        <f t="shared" si="120"/>
        <v>0.22215506715506728</v>
      </c>
      <c r="AO120" s="104">
        <f t="shared" si="120"/>
        <v>0.24711241119933158</v>
      </c>
      <c r="AP120" s="104">
        <f t="shared" si="120"/>
        <v>0.37607262230325145</v>
      </c>
      <c r="AQ120" s="101">
        <f>SUMPRODUCT(AM120:AP120,AM$8:AP$8)/AQ$8</f>
        <v>0.27202138391872444</v>
      </c>
      <c r="AR120" s="101"/>
      <c r="AS120" s="104">
        <f t="shared" si="121"/>
        <v>0.41834194798901636</v>
      </c>
      <c r="AT120" s="104">
        <f t="shared" si="121"/>
        <v>0.20499999999999996</v>
      </c>
      <c r="AU120" s="104">
        <f t="shared" si="121"/>
        <v>0.15299999999999991</v>
      </c>
      <c r="AV120" s="104">
        <f t="shared" si="121"/>
        <v>0.17099999999999993</v>
      </c>
      <c r="AW120" s="101">
        <f>SUMPRODUCT(AS120:AV120,AS$8:AV$8)/AW$8</f>
        <v>0.23377086749008244</v>
      </c>
      <c r="AX120" s="101"/>
      <c r="AY120" s="104">
        <f t="shared" si="122"/>
        <v>0.12850476190476201</v>
      </c>
      <c r="AZ120" s="104">
        <f t="shared" si="122"/>
        <v>0.23805077661299745</v>
      </c>
      <c r="BA120" s="104">
        <f>+BA105+0.005</f>
        <v>0.22499999999999998</v>
      </c>
      <c r="BB120" s="104">
        <f t="shared" si="122"/>
        <v>0.255</v>
      </c>
      <c r="BC120" s="101">
        <f>SUMPRODUCT(AY120:BB120,AY$8:BB$8)/BC$8</f>
        <v>0.21379686400220735</v>
      </c>
      <c r="BD120" s="101"/>
      <c r="BE120" s="104">
        <f t="shared" si="123"/>
        <v>0.21618157484451564</v>
      </c>
      <c r="BF120" s="104">
        <f t="shared" si="123"/>
        <v>0.26221085614487544</v>
      </c>
      <c r="BG120" s="104">
        <f t="shared" si="123"/>
        <v>0.22582851557262779</v>
      </c>
      <c r="BH120" s="104">
        <f t="shared" si="123"/>
        <v>0.22909733190830878</v>
      </c>
      <c r="BI120" s="101">
        <f>SUMPRODUCT(BE120:BH120,BE$8:BH$8)/BI$8</f>
        <v>0.23365862268389956</v>
      </c>
      <c r="BJ120" s="101"/>
      <c r="BK120" s="104">
        <f t="shared" si="124"/>
        <v>0.28352194384284402</v>
      </c>
      <c r="BL120" s="104">
        <f t="shared" si="124"/>
        <v>0.3352604954334103</v>
      </c>
      <c r="BM120" s="104">
        <f t="shared" si="124"/>
        <v>0.49611594202898562</v>
      </c>
      <c r="BN120" s="104">
        <f t="shared" si="124"/>
        <v>0.52345318352059933</v>
      </c>
      <c r="BO120" s="101">
        <f>SUMPRODUCT(BK120:BN120,BK$8:BN$8)/BO$8</f>
        <v>0.42023708341473553</v>
      </c>
      <c r="BP120" s="101"/>
      <c r="BQ120" s="104">
        <f t="shared" si="125"/>
        <v>0.47959854014598513</v>
      </c>
      <c r="BR120" s="104">
        <f t="shared" si="125"/>
        <v>0.44</v>
      </c>
      <c r="BS120" s="104">
        <f t="shared" si="125"/>
        <v>0.41000000000000003</v>
      </c>
      <c r="BT120" s="104">
        <f t="shared" si="125"/>
        <v>0.42500000000000004</v>
      </c>
      <c r="BU120" s="101">
        <f>SUMPRODUCT(BQ120:BT120,BQ$8:BT$8)/BU$8</f>
        <v>0.43714573765123121</v>
      </c>
      <c r="BV120" s="101"/>
      <c r="BW120" s="104">
        <f t="shared" si="126"/>
        <v>0.26500000000000001</v>
      </c>
      <c r="BX120" s="104">
        <f t="shared" si="126"/>
        <v>0.26500000000000001</v>
      </c>
      <c r="BY120" s="104">
        <f t="shared" si="126"/>
        <v>0.26500000000000001</v>
      </c>
      <c r="BZ120" s="104">
        <f t="shared" si="126"/>
        <v>0.26500000000000001</v>
      </c>
      <c r="CA120" s="101">
        <f>SUMPRODUCT(BW120:BZ120,BW$8:BZ$8)/CA$8</f>
        <v>0.26500000000000001</v>
      </c>
      <c r="CB120" s="101"/>
      <c r="CC120" s="104">
        <f t="shared" si="127"/>
        <v>0.24500000000000002</v>
      </c>
      <c r="CD120" s="104">
        <f t="shared" si="127"/>
        <v>0.24500000000000002</v>
      </c>
      <c r="CE120" s="104">
        <f t="shared" si="127"/>
        <v>0.24500000000000002</v>
      </c>
      <c r="CF120" s="104">
        <f t="shared" si="127"/>
        <v>0.24500000000000002</v>
      </c>
      <c r="CG120" s="101">
        <f>SUMPRODUCT(CC120:CF120,CC$8:CF$8)/CG$8</f>
        <v>0.245</v>
      </c>
      <c r="CH120" s="101"/>
      <c r="CI120" s="101"/>
      <c r="CP120" s="121"/>
      <c r="CQ120" s="121"/>
      <c r="CR120" s="121"/>
      <c r="CS120" s="121"/>
    </row>
    <row r="121" spans="1:97" ht="12.75" hidden="1" customHeight="1" outlineLevel="1" x14ac:dyDescent="0.2">
      <c r="A121" s="42"/>
      <c r="B121" s="233" t="s">
        <v>170</v>
      </c>
      <c r="C121" s="101"/>
      <c r="D121" s="101"/>
      <c r="E121" s="101"/>
      <c r="F121" s="101"/>
      <c r="G121" s="101"/>
      <c r="H121" s="101"/>
      <c r="I121" s="101"/>
      <c r="J121" s="101"/>
      <c r="K121" s="101"/>
      <c r="L121" s="101"/>
      <c r="M121" s="101"/>
      <c r="N121" s="101"/>
      <c r="O121" s="101"/>
      <c r="P121" s="101"/>
      <c r="Q121" s="101"/>
      <c r="R121" s="101"/>
      <c r="S121" s="101"/>
      <c r="T121" s="103"/>
      <c r="U121" s="319"/>
      <c r="V121" s="319"/>
      <c r="W121" s="319"/>
      <c r="X121" s="319"/>
      <c r="Y121" s="319"/>
      <c r="Z121" s="103"/>
      <c r="AA121" s="101">
        <f>+ALGN!AA26</f>
        <v>1.2068965517241379</v>
      </c>
      <c r="AB121" s="101">
        <f>+ALGN!AB26</f>
        <v>0.86842105263157898</v>
      </c>
      <c r="AC121" s="101">
        <f>+ALGN!AC26</f>
        <v>0.62790697674418605</v>
      </c>
      <c r="AD121" s="101">
        <f>+ALGN!AD26</f>
        <v>0.89189189189189189</v>
      </c>
      <c r="AE121" s="101">
        <f>SUMPRODUCT(AA121:AD121,AA$8:AD$8)/AE$8</f>
        <v>0.88559160173605944</v>
      </c>
      <c r="AF121" s="101"/>
      <c r="AG121" s="101">
        <f>+ALGN!AG26</f>
        <v>0.12390624999999988</v>
      </c>
      <c r="AH121" s="101">
        <f>+ALGN!AH26</f>
        <v>2.1267605633802811E-2</v>
      </c>
      <c r="AI121" s="101">
        <f>+ALGN!AI26</f>
        <v>7.2857142857143398E-3</v>
      </c>
      <c r="AJ121" s="104">
        <f>+AJ106+0.005</f>
        <v>3.5000000000000024E-2</v>
      </c>
      <c r="AK121" s="101">
        <f>SUMPRODUCT(AG121:AJ121,AG$8:AJ$8)/AK$8</f>
        <v>4.6118265517919262E-2</v>
      </c>
      <c r="AL121" s="101"/>
      <c r="AM121" s="104">
        <f t="shared" si="120"/>
        <v>0.15792645627693591</v>
      </c>
      <c r="AN121" s="104">
        <f t="shared" si="120"/>
        <v>6.4164253206454247E-2</v>
      </c>
      <c r="AO121" s="104">
        <f t="shared" si="120"/>
        <v>6.0878598780314756E-2</v>
      </c>
      <c r="AP121" s="104">
        <f t="shared" si="120"/>
        <v>1.5325936199722624E-3</v>
      </c>
      <c r="AQ121" s="101">
        <f>SUMPRODUCT(AM121:AP121,AM$8:AP$8)/AQ$8</f>
        <v>6.824292778612337E-2</v>
      </c>
      <c r="AR121" s="101"/>
      <c r="AS121" s="104">
        <f t="shared" si="121"/>
        <v>4.3266872779982195E-2</v>
      </c>
      <c r="AT121" s="104">
        <f t="shared" si="121"/>
        <v>4.6321246870363646E-2</v>
      </c>
      <c r="AU121" s="104">
        <f t="shared" si="121"/>
        <v>5.2683008730691643E-2</v>
      </c>
      <c r="AV121" s="104">
        <f t="shared" si="121"/>
        <v>9.0594989561586625E-2</v>
      </c>
      <c r="AW121" s="101">
        <f>SUMPRODUCT(AS121:AV121,AS$8:AV$8)/AW$8</f>
        <v>5.8727094062638173E-2</v>
      </c>
      <c r="AX121" s="101"/>
      <c r="AY121" s="104">
        <f t="shared" si="122"/>
        <v>-1.7222933878731753E-2</v>
      </c>
      <c r="AZ121" s="104">
        <f t="shared" si="122"/>
        <v>2.5283855975316013E-2</v>
      </c>
      <c r="BA121" s="104">
        <f>+BA106+0.005</f>
        <v>2.4747969230770047E-2</v>
      </c>
      <c r="BB121" s="104">
        <f t="shared" si="122"/>
        <v>6.101778717948713E-2</v>
      </c>
      <c r="BC121" s="101">
        <f>SUMPRODUCT(AY121:BB121,AY$8:BB$8)/BC$8</f>
        <v>2.4925952221560483E-2</v>
      </c>
      <c r="BD121" s="101"/>
      <c r="BE121" s="104">
        <f t="shared" si="123"/>
        <v>-0.29028288667744218</v>
      </c>
      <c r="BF121" s="104">
        <f t="shared" si="123"/>
        <v>-0.44279688027503972</v>
      </c>
      <c r="BG121" s="104">
        <f t="shared" si="123"/>
        <v>0.71064723257772922</v>
      </c>
      <c r="BH121" s="104">
        <f t="shared" si="123"/>
        <v>2.0486111162637651E-2</v>
      </c>
      <c r="BI121" s="101">
        <f>SUMPRODUCT(BE121:BH121,BE$8:BH$8)/BI$8</f>
        <v>1.4275838806686319E-2</v>
      </c>
      <c r="BJ121" s="101"/>
      <c r="BK121" s="104">
        <f t="shared" si="124"/>
        <v>1.2262650797916348</v>
      </c>
      <c r="BL121" s="104">
        <f t="shared" si="124"/>
        <v>2.5218770842342972</v>
      </c>
      <c r="BM121" s="104">
        <f t="shared" si="124"/>
        <v>0.3230011322143399</v>
      </c>
      <c r="BN121" s="104">
        <f t="shared" si="124"/>
        <v>1.5143879089659351</v>
      </c>
      <c r="BO121" s="101">
        <f>SUMPRODUCT(BK121:BN121,BK$8:BN$8)/BO$8</f>
        <v>1.3859333751254421</v>
      </c>
      <c r="BP121" s="101"/>
      <c r="BQ121" s="104">
        <f t="shared" si="125"/>
        <v>-0.20516812136919826</v>
      </c>
      <c r="BR121" s="104">
        <f t="shared" si="125"/>
        <v>0.34343464593315337</v>
      </c>
      <c r="BS121" s="104">
        <f t="shared" si="125"/>
        <v>0.26929106223271559</v>
      </c>
      <c r="BT121" s="104">
        <f t="shared" si="125"/>
        <v>0.22221950978743873</v>
      </c>
      <c r="BU121" s="101">
        <f>SUMPRODUCT(BQ121:BT121,BQ$8:BT$8)/BU$8</f>
        <v>0.1682843386994177</v>
      </c>
      <c r="BV121" s="101"/>
      <c r="BW121" s="104">
        <f t="shared" si="126"/>
        <v>0.31233734425027915</v>
      </c>
      <c r="BX121" s="104">
        <f t="shared" si="126"/>
        <v>0.86054905729715114</v>
      </c>
      <c r="BY121" s="104">
        <f t="shared" si="126"/>
        <v>0.8071461500570597</v>
      </c>
      <c r="BZ121" s="104">
        <f t="shared" si="126"/>
        <v>0.89409118128350273</v>
      </c>
      <c r="CA121" s="101">
        <f>SUMPRODUCT(BW121:BZ121,BW$8:BZ$8)/CA$8</f>
        <v>0.73569005438438018</v>
      </c>
      <c r="CB121" s="101"/>
      <c r="CC121" s="104">
        <f t="shared" si="127"/>
        <v>0.36070330682050955</v>
      </c>
      <c r="CD121" s="104">
        <f t="shared" si="127"/>
        <v>0.10486798860380653</v>
      </c>
      <c r="CE121" s="104">
        <f t="shared" si="127"/>
        <v>0.10763750218978851</v>
      </c>
      <c r="CF121" s="104">
        <f t="shared" si="127"/>
        <v>5.7604635818188636E-2</v>
      </c>
      <c r="CG121" s="101">
        <f>SUMPRODUCT(CC121:CF121,CC$8:CF$8)/CG$8</f>
        <v>0.14950414552641553</v>
      </c>
      <c r="CH121" s="101"/>
      <c r="CI121" s="101"/>
      <c r="CP121" s="121"/>
      <c r="CQ121" s="121"/>
      <c r="CR121" s="121"/>
      <c r="CS121" s="121"/>
    </row>
    <row r="122" spans="1:97" ht="12.75" hidden="1" customHeight="1" outlineLevel="1" x14ac:dyDescent="0.2">
      <c r="A122" s="42"/>
      <c r="B122" s="278" t="s">
        <v>171</v>
      </c>
      <c r="C122" s="101"/>
      <c r="D122" s="101"/>
      <c r="E122" s="101"/>
      <c r="F122" s="101"/>
      <c r="G122" s="101"/>
      <c r="H122" s="103"/>
      <c r="I122" s="101"/>
      <c r="J122" s="101"/>
      <c r="K122" s="101"/>
      <c r="L122" s="101"/>
      <c r="M122" s="101"/>
      <c r="N122" s="101"/>
      <c r="O122" s="101"/>
      <c r="P122" s="101"/>
      <c r="Q122" s="101"/>
      <c r="R122" s="101"/>
      <c r="S122" s="101"/>
      <c r="T122" s="103"/>
      <c r="U122" s="319"/>
      <c r="V122" s="319"/>
      <c r="W122" s="319"/>
      <c r="X122" s="319"/>
      <c r="Y122" s="319"/>
      <c r="Z122" s="103"/>
      <c r="AA122" s="101">
        <f>+ALGN!AA31</f>
        <v>0.14200426439231961</v>
      </c>
      <c r="AB122" s="101">
        <f>+ALGN!AB31</f>
        <v>0.11152278621711931</v>
      </c>
      <c r="AC122" s="101">
        <f>+ALGN!AC31</f>
        <v>0.29977305549824718</v>
      </c>
      <c r="AD122" s="101">
        <f>+ALGN!AD31</f>
        <v>0.31652141665121558</v>
      </c>
      <c r="AE122" s="101">
        <f t="shared" si="119"/>
        <v>0.22266837046471188</v>
      </c>
      <c r="AF122" s="101"/>
      <c r="AG122" s="101">
        <f>+ALGN!AG31</f>
        <v>0.26157580283794113</v>
      </c>
      <c r="AH122" s="101">
        <f>+ALGN!AH31</f>
        <v>0.29816666666666669</v>
      </c>
      <c r="AI122" s="101">
        <f>+ALGN!AI31</f>
        <v>0.18365079365079362</v>
      </c>
      <c r="AJ122" s="104">
        <f>+AJ107+0.005</f>
        <v>0.22471830985915509</v>
      </c>
      <c r="AK122" s="101">
        <f>SUMPRODUCT(AG122:AJ122,AG$8:AJ$8)/AK$8</f>
        <v>0.24269755068287266</v>
      </c>
      <c r="AL122" s="101"/>
      <c r="AM122" s="104">
        <f>+AM107+0.005</f>
        <v>0.8858642888856002</v>
      </c>
      <c r="AN122" s="104">
        <f>+AN107+0.005</f>
        <v>0.38720567466940559</v>
      </c>
      <c r="AO122" s="104">
        <f>+AO107+0.005</f>
        <v>0.43707724285905869</v>
      </c>
      <c r="AP122" s="104">
        <f>+AP107+0.005</f>
        <v>0.22555427251732107</v>
      </c>
      <c r="AQ122" s="101">
        <f>SUMPRODUCT(AM122:AP122,AM$8:AP$8)/AQ$8</f>
        <v>0.47197771608591926</v>
      </c>
      <c r="AR122" s="101"/>
      <c r="AS122" s="104">
        <f t="shared" si="121"/>
        <v>-0.17030883625777005</v>
      </c>
      <c r="AT122" s="104">
        <f t="shared" si="121"/>
        <v>0.12881571614341458</v>
      </c>
      <c r="AU122" s="104">
        <f t="shared" si="121"/>
        <v>6.7833598651559135E-2</v>
      </c>
      <c r="AV122" s="104">
        <f t="shared" si="121"/>
        <v>-2.0443962483559855E-2</v>
      </c>
      <c r="AW122" s="101">
        <f>SUMPRODUCT(AS122:AV122,AS$8:AV$8)/AW$8</f>
        <v>3.7487018872309095E-3</v>
      </c>
      <c r="AX122" s="101"/>
      <c r="AY122" s="104">
        <f t="shared" si="122"/>
        <v>0.17521276595744684</v>
      </c>
      <c r="AZ122" s="104">
        <f t="shared" si="122"/>
        <v>6.1616249276799866E-2</v>
      </c>
      <c r="BA122" s="104">
        <f>+BA107+0.005</f>
        <v>0.14526431718061683</v>
      </c>
      <c r="BB122" s="104">
        <f t="shared" si="122"/>
        <v>9.4837398373983528E-2</v>
      </c>
      <c r="BC122" s="101">
        <f>SUMPRODUCT(AY122:BB122,AY$8:BB$8)/BC$8</f>
        <v>0.11782092109866638</v>
      </c>
      <c r="BD122" s="101"/>
      <c r="BE122" s="104">
        <f t="shared" si="123"/>
        <v>0.15860782715042798</v>
      </c>
      <c r="BF122" s="104">
        <f t="shared" si="123"/>
        <v>0.24279724655819768</v>
      </c>
      <c r="BG122" s="104">
        <f t="shared" si="123"/>
        <v>0.20759619842373656</v>
      </c>
      <c r="BH122" s="104">
        <f t="shared" si="123"/>
        <v>0.30809585975382336</v>
      </c>
      <c r="BI122" s="101">
        <f>SUMPRODUCT(BE122:BH122,BE$8:BH$8)/BI$8</f>
        <v>0.23283444190232383</v>
      </c>
      <c r="BJ122" s="101"/>
      <c r="BK122" s="104">
        <f t="shared" si="124"/>
        <v>0.27307548236624501</v>
      </c>
      <c r="BL122" s="104">
        <f t="shared" si="124"/>
        <v>0.30606167846309418</v>
      </c>
      <c r="BM122" s="104">
        <f t="shared" si="124"/>
        <v>0.3677602158828065</v>
      </c>
      <c r="BN122" s="104">
        <f t="shared" si="124"/>
        <v>0.2626139226013281</v>
      </c>
      <c r="BO122" s="101">
        <f>SUMPRODUCT(BK122:BN122,BK$8:BN$8)/BO$8</f>
        <v>0.30282287338280861</v>
      </c>
      <c r="BP122" s="101"/>
      <c r="BQ122" s="104">
        <f t="shared" si="125"/>
        <v>0.35468230966447456</v>
      </c>
      <c r="BR122" s="104">
        <f t="shared" si="125"/>
        <v>0.21</v>
      </c>
      <c r="BS122" s="104">
        <f t="shared" si="125"/>
        <v>0.18</v>
      </c>
      <c r="BT122" s="104">
        <f t="shared" si="125"/>
        <v>0.17499999999999999</v>
      </c>
      <c r="BU122" s="101">
        <f>SUMPRODUCT(BQ122:BT122,BQ$8:BT$8)/BU$8</f>
        <v>0.22514458143274926</v>
      </c>
      <c r="BV122" s="101"/>
      <c r="BW122" s="104">
        <f t="shared" si="126"/>
        <v>0.155</v>
      </c>
      <c r="BX122" s="104">
        <f t="shared" si="126"/>
        <v>0.155</v>
      </c>
      <c r="BY122" s="104">
        <f t="shared" si="126"/>
        <v>0.155</v>
      </c>
      <c r="BZ122" s="104">
        <f t="shared" si="126"/>
        <v>0.155</v>
      </c>
      <c r="CA122" s="101">
        <f>SUMPRODUCT(BW122:BZ122,BW$8:BZ$8)/CA$8</f>
        <v>0.155</v>
      </c>
      <c r="CB122" s="101"/>
      <c r="CC122" s="104">
        <f t="shared" si="127"/>
        <v>0.155</v>
      </c>
      <c r="CD122" s="104">
        <f t="shared" si="127"/>
        <v>0.155</v>
      </c>
      <c r="CE122" s="104">
        <f t="shared" si="127"/>
        <v>0.155</v>
      </c>
      <c r="CF122" s="104">
        <f t="shared" si="127"/>
        <v>0.155</v>
      </c>
      <c r="CG122" s="101">
        <f>SUMPRODUCT(CC122:CF122,CC$8:CF$8)/CG$8</f>
        <v>0.155</v>
      </c>
      <c r="CH122" s="101"/>
      <c r="CI122" s="101"/>
      <c r="CP122" s="121"/>
      <c r="CQ122" s="121"/>
      <c r="CR122" s="121"/>
      <c r="CS122" s="121"/>
    </row>
    <row r="123" spans="1:97" ht="12.75" hidden="1" customHeight="1" outlineLevel="1" x14ac:dyDescent="0.2">
      <c r="A123" s="42"/>
      <c r="B123" s="233"/>
      <c r="C123" s="103"/>
      <c r="D123" s="103"/>
      <c r="E123" s="103"/>
      <c r="F123" s="103"/>
      <c r="G123" s="103"/>
      <c r="H123" s="103"/>
      <c r="I123" s="232"/>
      <c r="J123" s="232"/>
      <c r="K123" s="232"/>
      <c r="L123" s="232"/>
      <c r="M123" s="232"/>
      <c r="N123" s="103"/>
      <c r="O123" s="232"/>
      <c r="P123" s="232"/>
      <c r="Q123" s="232"/>
      <c r="R123" s="232"/>
      <c r="S123" s="232"/>
      <c r="T123" s="103"/>
      <c r="U123" s="232"/>
      <c r="V123" s="232"/>
      <c r="W123" s="232"/>
      <c r="X123" s="232"/>
      <c r="Y123" s="232"/>
      <c r="Z123" s="103"/>
      <c r="AA123" s="232"/>
      <c r="AB123" s="232"/>
      <c r="AC123" s="279"/>
      <c r="AD123" s="279"/>
      <c r="AE123" s="101"/>
      <c r="AF123" s="103"/>
      <c r="AG123" s="279"/>
      <c r="AH123" s="232"/>
      <c r="AI123" s="232"/>
      <c r="AJ123" s="279"/>
      <c r="AK123" s="101"/>
      <c r="AL123" s="103"/>
      <c r="AM123" s="279"/>
      <c r="AN123" s="279"/>
      <c r="AO123" s="279"/>
      <c r="AP123" s="279"/>
      <c r="AQ123" s="101"/>
      <c r="AR123" s="103"/>
      <c r="AS123" s="279"/>
      <c r="AT123" s="279"/>
      <c r="AU123" s="279"/>
      <c r="AV123" s="279"/>
      <c r="AW123" s="101"/>
      <c r="AX123" s="103"/>
      <c r="AY123" s="279"/>
      <c r="AZ123" s="279"/>
      <c r="BA123" s="279"/>
      <c r="BB123" s="279"/>
      <c r="BC123" s="101"/>
      <c r="BD123" s="103"/>
      <c r="BE123" s="279"/>
      <c r="BF123" s="279"/>
      <c r="BG123" s="279"/>
      <c r="BH123" s="279"/>
      <c r="BI123" s="101"/>
      <c r="BJ123" s="103"/>
      <c r="BK123" s="279"/>
      <c r="BL123" s="279"/>
      <c r="BM123" s="279"/>
      <c r="BN123" s="279"/>
      <c r="BO123" s="101"/>
      <c r="BP123" s="103"/>
      <c r="BQ123" s="279"/>
      <c r="BR123" s="279"/>
      <c r="BS123" s="279"/>
      <c r="BT123" s="279"/>
      <c r="BU123" s="101"/>
      <c r="BV123" s="103"/>
      <c r="BW123" s="279"/>
      <c r="BX123" s="279"/>
      <c r="BY123" s="279"/>
      <c r="BZ123" s="279"/>
      <c r="CA123" s="101"/>
      <c r="CB123" s="103"/>
      <c r="CC123" s="279"/>
      <c r="CD123" s="279"/>
      <c r="CE123" s="279"/>
      <c r="CF123" s="279"/>
      <c r="CG123" s="101"/>
      <c r="CH123" s="101"/>
      <c r="CI123" s="101"/>
      <c r="CP123" s="121"/>
      <c r="CQ123" s="121"/>
      <c r="CR123" s="121"/>
      <c r="CS123" s="121"/>
    </row>
    <row r="124" spans="1:97" ht="12.75" hidden="1" customHeight="1" outlineLevel="1" x14ac:dyDescent="0.2">
      <c r="A124" s="42"/>
      <c r="B124" s="278" t="s">
        <v>337</v>
      </c>
      <c r="C124" s="101">
        <f>+C$47</f>
        <v>0.72508273082291674</v>
      </c>
      <c r="D124" s="101">
        <f>+D$47</f>
        <v>0.73568920277273731</v>
      </c>
      <c r="E124" s="101">
        <f>+E$47</f>
        <v>0.74623168325145894</v>
      </c>
      <c r="F124" s="101">
        <f>+F$47</f>
        <v>0.73624115724588723</v>
      </c>
      <c r="G124" s="101">
        <f>+G$47</f>
        <v>0.73610075545489073</v>
      </c>
      <c r="H124" s="101"/>
      <c r="I124" s="101">
        <f>+I$47</f>
        <v>0.73777682678934409</v>
      </c>
      <c r="J124" s="101">
        <f>+J$47</f>
        <v>0.74665214888238096</v>
      </c>
      <c r="K124" s="101">
        <f>+K$47</f>
        <v>0.75036249717318726</v>
      </c>
      <c r="L124" s="101">
        <f>+L$47</f>
        <v>0.72704215851602028</v>
      </c>
      <c r="M124" s="101">
        <f>+M$47</f>
        <v>0.74060452140958499</v>
      </c>
      <c r="N124" s="101"/>
      <c r="O124" s="101">
        <f>+O$47</f>
        <v>0.75153995323105005</v>
      </c>
      <c r="P124" s="101">
        <f>+P$47</f>
        <v>0.75970962838723211</v>
      </c>
      <c r="Q124" s="101">
        <f>+Q$47</f>
        <v>0.76835837464834933</v>
      </c>
      <c r="R124" s="101">
        <f>+R$47</f>
        <v>0.78582478987715887</v>
      </c>
      <c r="S124" s="101">
        <f>+S$47</f>
        <v>0.76731245177422813</v>
      </c>
      <c r="T124" s="103"/>
      <c r="U124" s="101">
        <f>+U$47</f>
        <v>0.78296148296148305</v>
      </c>
      <c r="V124" s="101">
        <f>+V$47</f>
        <v>0.7744573899337579</v>
      </c>
      <c r="W124" s="101">
        <f>+W$47</f>
        <v>0.78098325116991674</v>
      </c>
      <c r="X124" s="101">
        <f>+X$47</f>
        <v>0.7724586352039442</v>
      </c>
      <c r="Y124" s="101">
        <f>+Y$47</f>
        <v>0.77769373544905418</v>
      </c>
      <c r="Z124" s="103"/>
      <c r="AA124" s="101">
        <f>+AA$47</f>
        <v>0.78418020904859997</v>
      </c>
      <c r="AB124" s="101">
        <f>+AB$47</f>
        <v>0.76092966707193177</v>
      </c>
      <c r="AC124" s="101">
        <f>+AC$47</f>
        <v>0.73882790283889621</v>
      </c>
      <c r="AD124" s="101">
        <f>+AD$47</f>
        <v>0.7490244753888522</v>
      </c>
      <c r="AE124" s="101">
        <f>+AE$47</f>
        <v>0.75701263806929153</v>
      </c>
      <c r="AF124" s="101"/>
      <c r="AG124" s="101">
        <f>+AG$47</f>
        <v>0.75107899821585888</v>
      </c>
      <c r="AH124" s="101">
        <f>+AH$47</f>
        <v>0.75013390465988217</v>
      </c>
      <c r="AI124" s="101">
        <f>+AI$47</f>
        <v>0.73743552924627831</v>
      </c>
      <c r="AJ124" s="101">
        <f>+AJ$47</f>
        <v>0.7468426211145337</v>
      </c>
      <c r="AK124" s="101">
        <f>+AK$47</f>
        <v>0.74642749370135408</v>
      </c>
      <c r="AL124" s="101"/>
      <c r="AM124" s="101">
        <f>+AM$47</f>
        <v>0.73478968615705176</v>
      </c>
      <c r="AN124" s="101">
        <f>+AN$47</f>
        <v>0.75500524940791558</v>
      </c>
      <c r="AO124" s="101">
        <f>+AO$47</f>
        <v>0.76039779704083743</v>
      </c>
      <c r="AP124" s="101">
        <f>+AP$47</f>
        <v>0.76546339712381939</v>
      </c>
      <c r="AQ124" s="101">
        <f>+AQ$47</f>
        <v>0.75447057433588904</v>
      </c>
      <c r="AR124" s="101"/>
      <c r="AS124" s="101">
        <f>+AS$47</f>
        <v>0.75977879388417113</v>
      </c>
      <c r="AT124" s="101">
        <f>+AT$47</f>
        <v>0.75559779983483177</v>
      </c>
      <c r="AU124" s="101">
        <f>+AU$47</f>
        <v>0.76394067707345847</v>
      </c>
      <c r="AV124" s="101">
        <f>+AV$47</f>
        <v>0.75862034239677734</v>
      </c>
      <c r="AW124" s="101">
        <f>+AW$47</f>
        <v>0.75945739070153995</v>
      </c>
      <c r="AX124" s="101"/>
      <c r="AY124" s="101">
        <f>+AY$47</f>
        <v>0.7627495128378583</v>
      </c>
      <c r="AZ124" s="101">
        <f>+AZ$47</f>
        <v>0.75724623844802574</v>
      </c>
      <c r="BA124" s="101">
        <f>+BA$47</f>
        <v>0.75890500683889117</v>
      </c>
      <c r="BB124" s="101">
        <f>+BB$47</f>
        <v>0.7504472893397488</v>
      </c>
      <c r="BC124" s="101">
        <f>+BC$47</f>
        <v>0.75709118779021778</v>
      </c>
      <c r="BD124" s="101"/>
      <c r="BE124" s="101">
        <f>+BE$47</f>
        <v>0.75664795576407506</v>
      </c>
      <c r="BF124" s="101">
        <f>+BF$47</f>
        <v>0.76185950505267996</v>
      </c>
      <c r="BG124" s="101">
        <f>+BG$47</f>
        <v>0.75093417184454514</v>
      </c>
      <c r="BH124" s="101">
        <f>+BH$47</f>
        <v>0.7524104460049863</v>
      </c>
      <c r="BI124" s="101">
        <f>+BI$47</f>
        <v>0.75532330623757959</v>
      </c>
      <c r="BJ124" s="101"/>
      <c r="BK124" s="101">
        <f>+BK$47</f>
        <v>0.75924547513863783</v>
      </c>
      <c r="BL124" s="101">
        <f>+BL$47</f>
        <v>0.75997385562244379</v>
      </c>
      <c r="BM124" s="101">
        <f>+BM$47</f>
        <v>0.7591825928511915</v>
      </c>
      <c r="BN124" s="101">
        <f>+BN$47</f>
        <v>0.75456834779966908</v>
      </c>
      <c r="BO124" s="101">
        <f>+BO$47</f>
        <v>0.75806783298369163</v>
      </c>
      <c r="BP124" s="101"/>
      <c r="BQ124" s="101">
        <f>+BQ$47</f>
        <v>0.74934771264567746</v>
      </c>
      <c r="BR124" s="101">
        <f>+BR$47</f>
        <v>0.76021932039875029</v>
      </c>
      <c r="BS124" s="101">
        <f>+BS$47</f>
        <v>0.76286719540492176</v>
      </c>
      <c r="BT124" s="101">
        <f>+BT$47</f>
        <v>0.75701705637179639</v>
      </c>
      <c r="BU124" s="101">
        <f>+BU$47</f>
        <v>0.75756573849132325</v>
      </c>
      <c r="BV124" s="101"/>
      <c r="BW124" s="101">
        <f>+BW$47</f>
        <v>0.7632334788170535</v>
      </c>
      <c r="BX124" s="101">
        <f>+BX$47</f>
        <v>0.77591365909957533</v>
      </c>
      <c r="BY124" s="101">
        <f>+BY$47</f>
        <v>0.77857824612376347</v>
      </c>
      <c r="BZ124" s="101">
        <f>+BZ$47</f>
        <v>0.76862585566678343</v>
      </c>
      <c r="CA124" s="101">
        <f>+CA$47</f>
        <v>0.77177376771247408</v>
      </c>
      <c r="CB124" s="101"/>
      <c r="CC124" s="101">
        <f>+CC$47</f>
        <v>0.77485501741939933</v>
      </c>
      <c r="CD124" s="101">
        <f>+CD$47</f>
        <v>0.78606777733969435</v>
      </c>
      <c r="CE124" s="101">
        <f>+CE$47</f>
        <v>0.78979201973442648</v>
      </c>
      <c r="CF124" s="101">
        <f>+CF$47</f>
        <v>0.77810418234231038</v>
      </c>
      <c r="CG124" s="101">
        <f>+CG$47</f>
        <v>0.78231848700672224</v>
      </c>
      <c r="CH124" s="101"/>
      <c r="CI124" s="101"/>
      <c r="CP124" s="121"/>
      <c r="CQ124" s="121"/>
      <c r="CR124" s="121"/>
      <c r="CS124" s="121"/>
    </row>
    <row r="125" spans="1:97" ht="12.75" hidden="1" customHeight="1" outlineLevel="1" x14ac:dyDescent="0.2">
      <c r="A125" s="42"/>
      <c r="B125" s="233"/>
      <c r="C125" s="103"/>
      <c r="D125" s="103"/>
      <c r="E125" s="103"/>
      <c r="F125" s="103"/>
      <c r="G125" s="103"/>
      <c r="H125" s="103"/>
      <c r="I125" s="101"/>
      <c r="J125" s="101"/>
      <c r="K125" s="101"/>
      <c r="L125" s="101"/>
      <c r="M125" s="101"/>
      <c r="N125" s="101"/>
      <c r="O125" s="101"/>
      <c r="P125" s="101"/>
      <c r="Q125" s="101"/>
      <c r="R125" s="101"/>
      <c r="S125" s="101"/>
      <c r="T125" s="103"/>
      <c r="U125" s="101"/>
      <c r="V125" s="101"/>
      <c r="W125" s="101"/>
      <c r="X125" s="101"/>
      <c r="Y125" s="101"/>
      <c r="Z125" s="103"/>
      <c r="AA125" s="101"/>
      <c r="AB125" s="101"/>
      <c r="AC125" s="101"/>
      <c r="AD125" s="101"/>
      <c r="AE125" s="101"/>
      <c r="AF125" s="101"/>
      <c r="AG125" s="101"/>
      <c r="AH125" s="101"/>
      <c r="AI125" s="101"/>
      <c r="AJ125" s="104"/>
      <c r="AK125" s="101"/>
      <c r="AL125" s="101"/>
      <c r="AM125" s="104"/>
      <c r="AN125" s="104"/>
      <c r="AO125" s="104"/>
      <c r="AP125" s="104"/>
      <c r="AQ125" s="101"/>
      <c r="AR125" s="101"/>
      <c r="AS125" s="104"/>
      <c r="AT125" s="104"/>
      <c r="AU125" s="104"/>
      <c r="AV125" s="104"/>
      <c r="AW125" s="101"/>
      <c r="AX125" s="101"/>
      <c r="AY125" s="104"/>
      <c r="AZ125" s="104"/>
      <c r="BA125" s="104"/>
      <c r="BB125" s="104"/>
      <c r="BC125" s="101"/>
      <c r="BD125" s="101"/>
      <c r="BE125" s="104"/>
      <c r="BF125" s="104"/>
      <c r="BG125" s="104"/>
      <c r="BH125" s="104"/>
      <c r="BI125" s="101"/>
      <c r="BJ125" s="101"/>
      <c r="BK125" s="104"/>
      <c r="BL125" s="104"/>
      <c r="BM125" s="104"/>
      <c r="BN125" s="104"/>
      <c r="BO125" s="101"/>
      <c r="BP125" s="101"/>
      <c r="BQ125" s="104"/>
      <c r="BR125" s="104"/>
      <c r="BS125" s="104"/>
      <c r="BT125" s="104"/>
      <c r="BU125" s="101"/>
      <c r="BV125" s="101"/>
      <c r="BW125" s="104"/>
      <c r="BX125" s="104"/>
      <c r="BY125" s="104"/>
      <c r="BZ125" s="104"/>
      <c r="CA125" s="101"/>
      <c r="CB125" s="101"/>
      <c r="CC125" s="104"/>
      <c r="CD125" s="104"/>
      <c r="CE125" s="104"/>
      <c r="CF125" s="104"/>
      <c r="CG125" s="101"/>
      <c r="CH125" s="101"/>
      <c r="CI125" s="101"/>
      <c r="CP125" s="121"/>
      <c r="CQ125" s="121"/>
      <c r="CR125" s="121"/>
      <c r="CS125" s="121"/>
    </row>
    <row r="126" spans="1:97" ht="12.75" hidden="1" customHeight="1" outlineLevel="1" x14ac:dyDescent="0.2">
      <c r="A126" s="119"/>
      <c r="B126" s="329" t="s">
        <v>298</v>
      </c>
      <c r="C126" s="101">
        <f t="shared" ref="C126:G127" si="128">+C50</f>
        <v>0.36307460673452419</v>
      </c>
      <c r="D126" s="101">
        <f t="shared" si="128"/>
        <v>0.31791183112932919</v>
      </c>
      <c r="E126" s="101">
        <f t="shared" si="128"/>
        <v>0.33905753593371685</v>
      </c>
      <c r="F126" s="101">
        <f t="shared" si="128"/>
        <v>0.36545913372036898</v>
      </c>
      <c r="G126" s="101">
        <f t="shared" si="128"/>
        <v>0.3454799319105834</v>
      </c>
      <c r="H126" s="101"/>
      <c r="I126" s="101">
        <f t="shared" ref="I126:M127" si="129">+I50</f>
        <v>0.37524071894725586</v>
      </c>
      <c r="J126" s="101">
        <f t="shared" si="129"/>
        <v>0.40629771470050807</v>
      </c>
      <c r="K126" s="101">
        <f t="shared" si="129"/>
        <v>0.37532092639644549</v>
      </c>
      <c r="L126" s="101">
        <f t="shared" si="129"/>
        <v>0.35514333895446887</v>
      </c>
      <c r="M126" s="101">
        <f t="shared" si="129"/>
        <v>0.37852330447140564</v>
      </c>
      <c r="N126" s="101"/>
      <c r="O126" s="101">
        <f t="shared" ref="O126:S127" si="130">+O50</f>
        <v>0.3971653453487709</v>
      </c>
      <c r="P126" s="101">
        <f t="shared" si="130"/>
        <v>0.38141412023690968</v>
      </c>
      <c r="Q126" s="101">
        <f t="shared" si="130"/>
        <v>0.34927903720243725</v>
      </c>
      <c r="R126" s="101">
        <f t="shared" si="130"/>
        <v>0.32203057171885113</v>
      </c>
      <c r="S126" s="101">
        <f t="shared" si="130"/>
        <v>0.36032695872674358</v>
      </c>
      <c r="T126" s="102"/>
      <c r="U126" s="101">
        <f t="shared" ref="U126:Y127" si="131">+U50</f>
        <v>0.31020091020091023</v>
      </c>
      <c r="V126" s="101">
        <f t="shared" si="131"/>
        <v>0.30819612771305033</v>
      </c>
      <c r="W126" s="101">
        <f t="shared" si="131"/>
        <v>0.28041522924114354</v>
      </c>
      <c r="X126" s="101">
        <f t="shared" si="131"/>
        <v>0.32535282529361748</v>
      </c>
      <c r="Y126" s="101">
        <f t="shared" si="131"/>
        <v>0.30580589440707245</v>
      </c>
      <c r="Z126" s="102"/>
      <c r="AA126" s="101">
        <f t="shared" ref="AA126:AD127" si="132">+AA50</f>
        <v>0.31301022354467078</v>
      </c>
      <c r="AB126" s="101">
        <f t="shared" si="132"/>
        <v>0.32131972086671218</v>
      </c>
      <c r="AC126" s="101">
        <f t="shared" si="132"/>
        <v>0.27527125994884583</v>
      </c>
      <c r="AD126" s="101">
        <f t="shared" si="132"/>
        <v>0.28014429230828908</v>
      </c>
      <c r="AE126" s="101">
        <f t="shared" si="119"/>
        <v>0.29635574195242853</v>
      </c>
      <c r="AF126" s="102"/>
      <c r="AG126" s="101">
        <f t="shared" ref="AG126:AI127" si="133">+AG50</f>
        <v>0.28449277830010589</v>
      </c>
      <c r="AH126" s="101">
        <f t="shared" si="133"/>
        <v>0.2671775644459094</v>
      </c>
      <c r="AI126" s="101">
        <f t="shared" si="133"/>
        <v>0.2658539444379322</v>
      </c>
      <c r="AJ126" s="104">
        <f>+AJ111-0.005</f>
        <v>0.25941472976757207</v>
      </c>
      <c r="AK126" s="101">
        <f>SUMPRODUCT(AG126:AJ126,AG$8:AJ$8)/AK$8</f>
        <v>0.26905137302447496</v>
      </c>
      <c r="AL126" s="101"/>
      <c r="AM126" s="104">
        <f t="shared" ref="AM126:AP128" si="134">+AM111-0.005</f>
        <v>0.27030277379867168</v>
      </c>
      <c r="AN126" s="104">
        <f t="shared" si="134"/>
        <v>0.28705630295187634</v>
      </c>
      <c r="AO126" s="104">
        <f t="shared" si="134"/>
        <v>0.26990790609461052</v>
      </c>
      <c r="AP126" s="104">
        <f t="shared" si="134"/>
        <v>0.24567866197025107</v>
      </c>
      <c r="AQ126" s="101">
        <f>SUMPRODUCT(AM126:AP126,AM$8:AP$8)/AQ$8</f>
        <v>0.26771185054361818</v>
      </c>
      <c r="AR126" s="101"/>
      <c r="AS126" s="104">
        <f t="shared" ref="AS126:AV128" si="135">+AS111-0.005</f>
        <v>0.28777149784661715</v>
      </c>
      <c r="AT126" s="104">
        <f t="shared" si="135"/>
        <v>0.28786712269712411</v>
      </c>
      <c r="AU126" s="104">
        <f t="shared" si="135"/>
        <v>0.27080104910573216</v>
      </c>
      <c r="AV126" s="104">
        <f t="shared" si="135"/>
        <v>0.27506042296072508</v>
      </c>
      <c r="AW126" s="101">
        <f>SUMPRODUCT(AS126:AV126,AS$8:AV$8)/AW$8</f>
        <v>0.28025063250587867</v>
      </c>
      <c r="AX126" s="101"/>
      <c r="AY126" s="104">
        <f t="shared" ref="AY126:BB128" si="136">+AY111-0.005</f>
        <v>0.28359358592836087</v>
      </c>
      <c r="AZ126" s="104">
        <f t="shared" si="136"/>
        <v>0.30604265884482146</v>
      </c>
      <c r="BA126" s="104">
        <f>+BA111-0.005</f>
        <v>0.31232862151460034</v>
      </c>
      <c r="BB126" s="104">
        <f t="shared" si="136"/>
        <v>0.27503052864224486</v>
      </c>
      <c r="BC126" s="101">
        <f>SUMPRODUCT(AY126:BB126,AY$8:BB$8)/BC$8</f>
        <v>0.29388041818399879</v>
      </c>
      <c r="BD126" s="101"/>
      <c r="BE126" s="104">
        <f t="shared" ref="BE126:BH128" si="137">+BE111-0.005</f>
        <v>0.29937989957828004</v>
      </c>
      <c r="BF126" s="104">
        <f t="shared" si="137"/>
        <v>0.28700829615119233</v>
      </c>
      <c r="BG126" s="104">
        <f t="shared" si="137"/>
        <v>0.28951897769298673</v>
      </c>
      <c r="BH126" s="104">
        <f t="shared" si="137"/>
        <v>0.28270177990310963</v>
      </c>
      <c r="BI126" s="101">
        <f>SUMPRODUCT(BE126:BH126,BE$8:BH$8)/BI$8</f>
        <v>0.28922162284178282</v>
      </c>
      <c r="BJ126" s="101"/>
      <c r="BK126" s="104">
        <f t="shared" ref="BK126:BN128" si="138">+BK111-0.005</f>
        <v>0.31038168021418266</v>
      </c>
      <c r="BL126" s="104">
        <f t="shared" si="138"/>
        <v>0.29102424567836971</v>
      </c>
      <c r="BM126" s="104">
        <f t="shared" si="138"/>
        <v>0.27993289645874514</v>
      </c>
      <c r="BN126" s="104">
        <f t="shared" si="138"/>
        <v>0.27494051780992917</v>
      </c>
      <c r="BO126" s="101">
        <f>SUMPRODUCT(BK126:BN126,BK$8:BN$8)/BO$8</f>
        <v>0.28760214357581371</v>
      </c>
      <c r="BP126" s="101"/>
      <c r="BQ126" s="104">
        <f t="shared" ref="BQ126:BT128" si="139">+BQ111-0.005</f>
        <v>0.31482106727943532</v>
      </c>
      <c r="BR126" s="104">
        <f t="shared" si="139"/>
        <v>0.315</v>
      </c>
      <c r="BS126" s="104">
        <f t="shared" si="139"/>
        <v>0.28499999999999998</v>
      </c>
      <c r="BT126" s="104">
        <f t="shared" si="139"/>
        <v>0.27500000000000002</v>
      </c>
      <c r="BU126" s="101">
        <f>SUMPRODUCT(BQ126:BT126,BQ$8:BT$8)/BU$8</f>
        <v>0.29631386270781362</v>
      </c>
      <c r="BV126" s="101"/>
      <c r="BW126" s="104">
        <f>+BW111-0.005</f>
        <v>0.31182106727943532</v>
      </c>
      <c r="BX126" s="104">
        <f>+BX111-0.005</f>
        <v>0.312</v>
      </c>
      <c r="BY126" s="104">
        <f>+BY111-0.005</f>
        <v>0.28199999999999997</v>
      </c>
      <c r="BZ126" s="104">
        <f>+BZ111-0.005</f>
        <v>0.27200000000000002</v>
      </c>
      <c r="CA126" s="101">
        <f>SUMPRODUCT(BW126:BZ126,BW$8:BZ$8)/CA$8</f>
        <v>0.29327589652393976</v>
      </c>
      <c r="CB126" s="101"/>
      <c r="CC126" s="104">
        <f>+CC111-0.005</f>
        <v>0.30882106727943531</v>
      </c>
      <c r="CD126" s="104">
        <f>+CD111-0.005</f>
        <v>0.309</v>
      </c>
      <c r="CE126" s="104">
        <f>+CE111-0.005</f>
        <v>0.27899999999999997</v>
      </c>
      <c r="CF126" s="104">
        <f>+CF111-0.005</f>
        <v>0.26900000000000002</v>
      </c>
      <c r="CG126" s="101">
        <f>SUMPRODUCT(CC126:CF126,CC$8:CF$8)/CG$8</f>
        <v>0.2903761304289646</v>
      </c>
      <c r="CH126" s="101"/>
      <c r="CI126" s="101"/>
      <c r="CP126" s="95"/>
      <c r="CQ126" s="95"/>
      <c r="CR126" s="95"/>
      <c r="CS126" s="95"/>
    </row>
    <row r="127" spans="1:97" ht="12.75" hidden="1" customHeight="1" outlineLevel="1" x14ac:dyDescent="0.2">
      <c r="A127" s="119"/>
      <c r="B127" s="329" t="s">
        <v>127</v>
      </c>
      <c r="C127" s="101">
        <f t="shared" si="128"/>
        <v>0.16293659133326016</v>
      </c>
      <c r="D127" s="101">
        <f t="shared" si="128"/>
        <v>0.15508530997480519</v>
      </c>
      <c r="E127" s="101">
        <f t="shared" si="128"/>
        <v>0.19522469944437448</v>
      </c>
      <c r="F127" s="101">
        <f t="shared" si="128"/>
        <v>0.21051615483265992</v>
      </c>
      <c r="G127" s="101">
        <f t="shared" si="128"/>
        <v>0.18107001674099293</v>
      </c>
      <c r="H127" s="101"/>
      <c r="I127" s="101">
        <f t="shared" si="129"/>
        <v>0.20311329838450842</v>
      </c>
      <c r="J127" s="101">
        <f t="shared" si="129"/>
        <v>0.20427523716552776</v>
      </c>
      <c r="K127" s="101">
        <f t="shared" si="129"/>
        <v>0.19149162598273314</v>
      </c>
      <c r="L127" s="101">
        <f t="shared" si="129"/>
        <v>0.2192107925801012</v>
      </c>
      <c r="M127" s="101">
        <f t="shared" si="129"/>
        <v>0.20447008974392716</v>
      </c>
      <c r="N127" s="101"/>
      <c r="O127" s="101">
        <f t="shared" si="130"/>
        <v>0.19203787144242287</v>
      </c>
      <c r="P127" s="101">
        <f t="shared" si="130"/>
        <v>0.21671733319356362</v>
      </c>
      <c r="Q127" s="101">
        <f t="shared" si="130"/>
        <v>0.20467017371229609</v>
      </c>
      <c r="R127" s="101">
        <f t="shared" si="130"/>
        <v>0.17880068347649403</v>
      </c>
      <c r="S127" s="101">
        <f t="shared" si="130"/>
        <v>0.1976031991496256</v>
      </c>
      <c r="T127" s="102"/>
      <c r="U127" s="101">
        <f t="shared" si="131"/>
        <v>0.16595626595626595</v>
      </c>
      <c r="V127" s="101">
        <f t="shared" si="131"/>
        <v>0.15980106072546807</v>
      </c>
      <c r="W127" s="101">
        <f t="shared" si="131"/>
        <v>0.16887448278737219</v>
      </c>
      <c r="X127" s="101">
        <f t="shared" si="131"/>
        <v>0.2005640898668361</v>
      </c>
      <c r="Y127" s="101">
        <f t="shared" si="131"/>
        <v>0.17377986631905332</v>
      </c>
      <c r="Z127" s="102"/>
      <c r="AA127" s="101">
        <f t="shared" si="132"/>
        <v>0.16700045777065689</v>
      </c>
      <c r="AB127" s="101">
        <f t="shared" si="132"/>
        <v>0.16857918491747581</v>
      </c>
      <c r="AC127" s="101">
        <f t="shared" si="132"/>
        <v>0.16077811492207733</v>
      </c>
      <c r="AD127" s="101">
        <f t="shared" si="132"/>
        <v>0.16443117024165083</v>
      </c>
      <c r="AE127" s="101">
        <f t="shared" si="119"/>
        <v>0.16507240365113676</v>
      </c>
      <c r="AF127" s="102"/>
      <c r="AG127" s="101">
        <f t="shared" si="133"/>
        <v>0.16580667609324912</v>
      </c>
      <c r="AH127" s="101">
        <f t="shared" si="133"/>
        <v>0.1519852224190735</v>
      </c>
      <c r="AI127" s="101">
        <f t="shared" si="133"/>
        <v>0.17489157191419527</v>
      </c>
      <c r="AJ127" s="104">
        <f>+AJ112-0.005</f>
        <v>0.18518482217866145</v>
      </c>
      <c r="AK127" s="101">
        <f>SUMPRODUCT(AG127:AJ127,AG$8:AJ$8)/AK$8</f>
        <v>0.1693693854557077</v>
      </c>
      <c r="AL127" s="101"/>
      <c r="AM127" s="104">
        <f>+AM112-0.005+AM52</f>
        <v>0.1926038546685766</v>
      </c>
      <c r="AN127" s="104">
        <f>+AN112-0.005+AN52</f>
        <v>0.15997179969236028</v>
      </c>
      <c r="AO127" s="104">
        <f>+AO112-0.005+AO52</f>
        <v>0.16208813052411461</v>
      </c>
      <c r="AP127" s="104">
        <f>+AP112-0.005+AP52</f>
        <v>0.15142317097794628</v>
      </c>
      <c r="AQ127" s="101">
        <f>SUMPRODUCT(AM127:AP127,AM$8:AP$8)/AQ$8</f>
        <v>0.16578154394234526</v>
      </c>
      <c r="AR127" s="101"/>
      <c r="AS127" s="104">
        <f>+AS112-0.005+AS52</f>
        <v>0.15652585720137727</v>
      </c>
      <c r="AT127" s="104">
        <f>+AT112-0.005+AT52</f>
        <v>0.13559554045841968</v>
      </c>
      <c r="AU127" s="104">
        <f>+AU112-0.005+AU52</f>
        <v>0.14396564073395268</v>
      </c>
      <c r="AV127" s="104">
        <f>+AV112-0.005+AV52</f>
        <v>0.1474320241691843</v>
      </c>
      <c r="AW127" s="101">
        <f>SUMPRODUCT(AS127:AV127,AS$8:AV$8)/AW$8</f>
        <v>0.14573268273084988</v>
      </c>
      <c r="AX127" s="101"/>
      <c r="AY127" s="104">
        <f>+AY112-0.005+AY52</f>
        <v>0.17686086314931238</v>
      </c>
      <c r="AZ127" s="104">
        <f>+AZ112-0.005+AZ52</f>
        <v>0.16429511706597055</v>
      </c>
      <c r="BA127" s="104">
        <f>+BA112-0.005+BA52</f>
        <v>0.16771645737345373</v>
      </c>
      <c r="BB127" s="104">
        <f>+BB112-0.005+BB52</f>
        <v>0.14741575321083566</v>
      </c>
      <c r="BC127" s="101">
        <f>SUMPRODUCT(AY127:BB127,AY$8:BB$8)/BC$8</f>
        <v>0.16348206919012681</v>
      </c>
      <c r="BD127" s="101"/>
      <c r="BE127" s="104">
        <f>+BE112-0.005+BE52</f>
        <v>0.16066869291501748</v>
      </c>
      <c r="BF127" s="104">
        <f>+BF112-0.005+BF52</f>
        <v>0.15393504403784689</v>
      </c>
      <c r="BG127" s="104">
        <f>+BG112-0.005+BG52</f>
        <v>0.15530156439589687</v>
      </c>
      <c r="BH127" s="104">
        <f>+BH112-0.005+BH52</f>
        <v>0.15159108203895785</v>
      </c>
      <c r="BI127" s="101">
        <f>SUMPRODUCT(BE127:BH127,BE$8:BH$8)/BI$8</f>
        <v>0.15513971931480205</v>
      </c>
      <c r="BJ127" s="101"/>
      <c r="BK127" s="104">
        <f>+BK112-0.005+BK52</f>
        <v>0.16665677103782722</v>
      </c>
      <c r="BL127" s="104">
        <f>+BL112-0.005+BL52</f>
        <v>0.15612085561706734</v>
      </c>
      <c r="BM127" s="104">
        <f>+BM112-0.005+BM52</f>
        <v>0.15008402686975172</v>
      </c>
      <c r="BN127" s="104">
        <f>+BN112-0.005+BN52</f>
        <v>0.14736676187810113</v>
      </c>
      <c r="BO127" s="101">
        <f>SUMPRODUCT(BK127:BN127,BK$8:BN$8)/BO$8</f>
        <v>0.15425826487721339</v>
      </c>
      <c r="BP127" s="101"/>
      <c r="BQ127" s="104">
        <f>+BQ112-0.005+BQ52</f>
        <v>0.13206617169118662</v>
      </c>
      <c r="BR127" s="104">
        <f>+BR112-0.005+BR52</f>
        <v>0.13500000000000001</v>
      </c>
      <c r="BS127" s="104">
        <f>+BS112-0.005+BS52</f>
        <v>0.14708402686975172</v>
      </c>
      <c r="BT127" s="104">
        <f>+BT112-0.005+BT52</f>
        <v>0.14436676187810113</v>
      </c>
      <c r="BU127" s="101">
        <f>SUMPRODUCT(BQ127:BT127,BQ$8:BT$8)/BU$8</f>
        <v>0.13998577092102851</v>
      </c>
      <c r="BV127" s="101"/>
      <c r="BW127" s="104">
        <f>+BW112-0.005+BW52</f>
        <v>0.12906617169118662</v>
      </c>
      <c r="BX127" s="104">
        <f>+BX112-0.005+BX52</f>
        <v>0.13200000000000001</v>
      </c>
      <c r="BY127" s="104">
        <f>+BY112-0.005+BY52</f>
        <v>0.14408402686975172</v>
      </c>
      <c r="BZ127" s="104">
        <f>+BZ112-0.005+BZ52</f>
        <v>0.14136676187810113</v>
      </c>
      <c r="CA127" s="101">
        <f>SUMPRODUCT(BW127:BZ127,BW$8:BZ$8)/CA$8</f>
        <v>0.13700854231231283</v>
      </c>
      <c r="CB127" s="101"/>
      <c r="CC127" s="104">
        <f>+CC112-0.005+CC52</f>
        <v>0.12606617169118661</v>
      </c>
      <c r="CD127" s="104">
        <f>+CD112-0.005+CD52</f>
        <v>0.129</v>
      </c>
      <c r="CE127" s="104">
        <f>+CE112-0.005+CE52</f>
        <v>0.14108402686975172</v>
      </c>
      <c r="CF127" s="104">
        <f>+CF112-0.005+CF52</f>
        <v>0.13836676187810112</v>
      </c>
      <c r="CG127" s="101">
        <f>SUMPRODUCT(CC127:CF127,CC$8:CF$8)/CG$8</f>
        <v>0.13397515863135559</v>
      </c>
      <c r="CH127" s="101"/>
      <c r="CI127" s="101"/>
      <c r="CP127" s="95"/>
      <c r="CQ127" s="95"/>
      <c r="CR127" s="95"/>
      <c r="CS127" s="95"/>
    </row>
    <row r="128" spans="1:97" ht="12.75" hidden="1" customHeight="1" outlineLevel="1" x14ac:dyDescent="0.2">
      <c r="A128" s="119"/>
      <c r="B128" s="329" t="s">
        <v>128</v>
      </c>
      <c r="C128" s="101">
        <f>+C53</f>
        <v>8.9286554476874572E-2</v>
      </c>
      <c r="D128" s="101">
        <f>+D53</f>
        <v>8.7137579468167053E-2</v>
      </c>
      <c r="E128" s="101">
        <f>+E53</f>
        <v>9.4456340709017372E-2</v>
      </c>
      <c r="F128" s="101">
        <f>+F53</f>
        <v>9.1151040445688641E-2</v>
      </c>
      <c r="G128" s="101">
        <f>+G53</f>
        <v>9.0482253140694691E-2</v>
      </c>
      <c r="H128" s="101"/>
      <c r="I128" s="101">
        <f>+I53</f>
        <v>9.7558040012838354E-2</v>
      </c>
      <c r="J128" s="101">
        <f>+J53</f>
        <v>8.7619834297013852E-2</v>
      </c>
      <c r="K128" s="101">
        <f>+K53</f>
        <v>7.8725074162265707E-2</v>
      </c>
      <c r="L128" s="101">
        <f>+L53</f>
        <v>8.0283305227655991E-2</v>
      </c>
      <c r="M128" s="101">
        <f>+M53</f>
        <v>8.6075874411137718E-2</v>
      </c>
      <c r="N128" s="101"/>
      <c r="O128" s="101">
        <f>+O53</f>
        <v>7.4017566873894949E-2</v>
      </c>
      <c r="P128" s="101">
        <f>+P53</f>
        <v>7.4283243356570036E-2</v>
      </c>
      <c r="Q128" s="101">
        <f>+Q53</f>
        <v>7.07842914632454E-2</v>
      </c>
      <c r="R128" s="101">
        <f>+R53</f>
        <v>6.6742865059573303E-2</v>
      </c>
      <c r="S128" s="101">
        <f>+S53</f>
        <v>7.1244473046396001E-2</v>
      </c>
      <c r="T128" s="102"/>
      <c r="U128" s="101">
        <f>+U53</f>
        <v>6.7887667887667882E-2</v>
      </c>
      <c r="V128" s="101">
        <f>+V53</f>
        <v>6.8116466804404779E-2</v>
      </c>
      <c r="W128" s="101">
        <f>+W53</f>
        <v>6.870459732977581E-2</v>
      </c>
      <c r="X128" s="101">
        <f>+X53</f>
        <v>7.4203653666045907E-2</v>
      </c>
      <c r="Y128" s="101">
        <f>+Y53</f>
        <v>6.9729204888044891E-2</v>
      </c>
      <c r="Z128" s="102"/>
      <c r="AA128" s="101">
        <f>+AA53</f>
        <v>8.955138475623714E-2</v>
      </c>
      <c r="AB128" s="101">
        <f>+AB53</f>
        <v>7.71946771480439E-2</v>
      </c>
      <c r="AC128" s="101">
        <f>+AC53</f>
        <v>7.0900916644160955E-2</v>
      </c>
      <c r="AD128" s="101">
        <f>+AD53</f>
        <v>7.4225204608044687E-2</v>
      </c>
      <c r="AE128" s="101">
        <f t="shared" si="119"/>
        <v>7.7445955213333861E-2</v>
      </c>
      <c r="AF128" s="102"/>
      <c r="AG128" s="101">
        <f>+AG53</f>
        <v>7.6407139525758991E-2</v>
      </c>
      <c r="AH128" s="101">
        <f>+AH53</f>
        <v>7.2569458750497848E-2</v>
      </c>
      <c r="AI128" s="101">
        <f>+AI53</f>
        <v>7.2324463720548585E-2</v>
      </c>
      <c r="AJ128" s="104">
        <f>+AJ113-0.005</f>
        <v>7.6986838420610465E-2</v>
      </c>
      <c r="AK128" s="101">
        <f>SUMPRODUCT(AG128:AJ128,AG$8:AJ$8)/AK$8</f>
        <v>7.4562040993427253E-2</v>
      </c>
      <c r="AL128" s="101"/>
      <c r="AM128" s="104">
        <f t="shared" si="134"/>
        <v>6.8460085948691227E-2</v>
      </c>
      <c r="AN128" s="104">
        <f t="shared" si="134"/>
        <v>6.163085675220354E-2</v>
      </c>
      <c r="AO128" s="104">
        <f t="shared" si="134"/>
        <v>6.135016351987161E-2</v>
      </c>
      <c r="AP128" s="104">
        <f t="shared" si="134"/>
        <v>5.6528279451686002E-2</v>
      </c>
      <c r="AQ128" s="101">
        <f>SUMPRODUCT(AM128:AP128,AM$8:AP$8)/AQ$8</f>
        <v>6.1771583414873536E-2</v>
      </c>
      <c r="AR128" s="101"/>
      <c r="AS128" s="104">
        <f t="shared" si="135"/>
        <v>6.9067513257974167E-2</v>
      </c>
      <c r="AT128" s="104">
        <f t="shared" si="135"/>
        <v>6.4022650897777492E-2</v>
      </c>
      <c r="AU128" s="104">
        <f t="shared" si="135"/>
        <v>6.2696812656681186E-2</v>
      </c>
      <c r="AV128" s="104">
        <f t="shared" si="135"/>
        <v>6.1847935548841902E-2</v>
      </c>
      <c r="AW128" s="101">
        <f>SUMPRODUCT(AS128:AV128,AS$8:AV$8)/AW$8</f>
        <v>6.4321593954202241E-2</v>
      </c>
      <c r="AX128" s="101"/>
      <c r="AY128" s="104">
        <f t="shared" si="136"/>
        <v>6.5095816968387454E-2</v>
      </c>
      <c r="AZ128" s="104">
        <f t="shared" si="136"/>
        <v>6.9868250210035884E-2</v>
      </c>
      <c r="BA128" s="104">
        <f>+BA113-0.005</f>
        <v>8.0625806700186861E-2</v>
      </c>
      <c r="BB128" s="104">
        <f t="shared" si="136"/>
        <v>5.531457902690684E-2</v>
      </c>
      <c r="BC128" s="101">
        <f>SUMPRODUCT(AY128:BB128,AY$8:BB$8)/BC$8</f>
        <v>6.7428165575775342E-2</v>
      </c>
      <c r="BD128" s="101"/>
      <c r="BE128" s="104">
        <f t="shared" si="137"/>
        <v>5.8182808310991964E-2</v>
      </c>
      <c r="BF128" s="104">
        <f t="shared" si="137"/>
        <v>6.4100318530453435E-2</v>
      </c>
      <c r="BG128" s="104">
        <f t="shared" si="137"/>
        <v>6.8279993108127018E-2</v>
      </c>
      <c r="BH128" s="104">
        <f t="shared" si="137"/>
        <v>6.8699791611954872E-2</v>
      </c>
      <c r="BI128" s="101">
        <f>SUMPRODUCT(BE128:BH128,BE$8:BH$8)/BI$8</f>
        <v>6.5119291695142204E-2</v>
      </c>
      <c r="BJ128" s="101"/>
      <c r="BK128" s="104">
        <f t="shared" si="138"/>
        <v>6.8480461814584587E-2</v>
      </c>
      <c r="BL128" s="104">
        <f t="shared" si="138"/>
        <v>6.3401770636385565E-2</v>
      </c>
      <c r="BM128" s="104">
        <f t="shared" si="138"/>
        <v>5.7816176833209186E-2</v>
      </c>
      <c r="BN128" s="104">
        <f t="shared" si="138"/>
        <v>5.7113865134350614E-2</v>
      </c>
      <c r="BO128" s="101">
        <f>SUMPRODUCT(BK128:BN128,BK$8:BN$8)/BO$8</f>
        <v>6.1212935544887957E-2</v>
      </c>
      <c r="BP128" s="101"/>
      <c r="BQ128" s="104">
        <f t="shared" si="139"/>
        <v>6.2725737199146758E-2</v>
      </c>
      <c r="BR128" s="104">
        <f t="shared" si="139"/>
        <v>6.2725737199146758E-2</v>
      </c>
      <c r="BS128" s="104">
        <f t="shared" si="139"/>
        <v>6.2725737199146758E-2</v>
      </c>
      <c r="BT128" s="104">
        <f t="shared" si="139"/>
        <v>6.2725737199146758E-2</v>
      </c>
      <c r="BU128" s="101">
        <f>SUMPRODUCT(BQ128:BT128,BQ$8:BT$8)/BU$8</f>
        <v>6.2725737199146772E-2</v>
      </c>
      <c r="BV128" s="101"/>
      <c r="BW128" s="104">
        <f>+BW113-0.005</f>
        <v>6.1725737199146764E-2</v>
      </c>
      <c r="BX128" s="104">
        <f>+BX113-0.005</f>
        <v>6.1725737199146764E-2</v>
      </c>
      <c r="BY128" s="104">
        <f>+BY113-0.005</f>
        <v>6.1725737199146764E-2</v>
      </c>
      <c r="BZ128" s="104">
        <f>+BZ113-0.005</f>
        <v>6.1725737199146764E-2</v>
      </c>
      <c r="CA128" s="101">
        <f>SUMPRODUCT(BW128:BZ128,BW$8:BZ$8)/CA$8</f>
        <v>6.1725737199146764E-2</v>
      </c>
      <c r="CB128" s="101"/>
      <c r="CC128" s="104">
        <f>+CC113-0.005</f>
        <v>6.0725737199146763E-2</v>
      </c>
      <c r="CD128" s="104">
        <f>+CD113-0.005</f>
        <v>6.0725737199146763E-2</v>
      </c>
      <c r="CE128" s="104">
        <f>+CE113-0.005</f>
        <v>6.0725737199146763E-2</v>
      </c>
      <c r="CF128" s="104">
        <f>+CF113-0.005</f>
        <v>6.0725737199146763E-2</v>
      </c>
      <c r="CG128" s="101">
        <f>SUMPRODUCT(CC128:CF128,CC$8:CF$8)/CG$8</f>
        <v>6.0725737199146763E-2</v>
      </c>
      <c r="CH128" s="101"/>
      <c r="CI128" s="101"/>
      <c r="CP128" s="95"/>
      <c r="CQ128" s="95"/>
      <c r="CR128" s="95"/>
      <c r="CS128" s="95"/>
    </row>
    <row r="129" spans="1:97" ht="12.75" hidden="1" customHeight="1" outlineLevel="1" x14ac:dyDescent="0.2">
      <c r="A129" s="42"/>
      <c r="B129" s="102"/>
      <c r="C129" s="101"/>
      <c r="D129" s="101"/>
      <c r="E129" s="101"/>
      <c r="F129" s="101"/>
      <c r="G129" s="101"/>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2"/>
      <c r="AP129" s="102"/>
      <c r="AQ129" s="102"/>
      <c r="AR129" s="102"/>
      <c r="AS129" s="102"/>
      <c r="AT129" s="102"/>
      <c r="AU129" s="102"/>
      <c r="AV129" s="102"/>
      <c r="AW129" s="102"/>
      <c r="AX129" s="102"/>
      <c r="AY129" s="102"/>
      <c r="AZ129" s="102"/>
      <c r="BA129" s="102"/>
      <c r="BB129" s="102"/>
      <c r="BC129" s="102"/>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2"/>
      <c r="CD129" s="102"/>
      <c r="CE129" s="102"/>
      <c r="CF129" s="102"/>
      <c r="CG129" s="102"/>
      <c r="CH129" s="102"/>
      <c r="CI129" s="102"/>
      <c r="CP129" s="95"/>
      <c r="CQ129" s="95"/>
      <c r="CR129" s="95"/>
      <c r="CS129" s="95"/>
    </row>
    <row r="130" spans="1:97" ht="12.75" hidden="1" customHeight="1" outlineLevel="1" x14ac:dyDescent="0.2">
      <c r="A130" s="42"/>
      <c r="B130" s="103" t="s">
        <v>348</v>
      </c>
      <c r="C130" s="101"/>
      <c r="D130" s="101"/>
      <c r="E130" s="101"/>
      <c r="F130" s="101"/>
      <c r="G130" s="101"/>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c r="AM130" s="103"/>
      <c r="AN130" s="103"/>
      <c r="AO130" s="103"/>
      <c r="AP130" s="103"/>
      <c r="AQ130" s="103"/>
      <c r="AR130" s="103"/>
      <c r="AS130" s="103"/>
      <c r="AT130" s="103"/>
      <c r="AU130" s="103"/>
      <c r="AV130" s="103"/>
      <c r="AW130" s="103"/>
      <c r="AX130" s="103"/>
      <c r="AY130" s="103"/>
      <c r="AZ130" s="103"/>
      <c r="BA130" s="103"/>
      <c r="BB130" s="103"/>
      <c r="BC130" s="103"/>
      <c r="BD130" s="103"/>
      <c r="BE130" s="103"/>
      <c r="BF130" s="103"/>
      <c r="BG130" s="103"/>
      <c r="BH130" s="103"/>
      <c r="BI130" s="103"/>
      <c r="BJ130" s="103"/>
      <c r="BK130" s="103"/>
      <c r="BL130" s="103"/>
      <c r="BM130" s="103"/>
      <c r="BN130" s="103"/>
      <c r="BO130" s="103"/>
      <c r="BP130" s="103"/>
      <c r="BQ130" s="103"/>
      <c r="BR130" s="103"/>
      <c r="BS130" s="103"/>
      <c r="BT130" s="103"/>
      <c r="BU130" s="103"/>
      <c r="BV130" s="103"/>
      <c r="BW130" s="103"/>
      <c r="BX130" s="103"/>
      <c r="BY130" s="103"/>
      <c r="BZ130" s="103"/>
      <c r="CA130" s="103"/>
      <c r="CB130" s="103"/>
      <c r="CC130" s="103"/>
      <c r="CD130" s="103"/>
      <c r="CE130" s="103"/>
      <c r="CF130" s="103"/>
      <c r="CG130" s="103"/>
      <c r="CH130" s="103"/>
      <c r="CI130" s="103"/>
      <c r="CP130" s="121"/>
      <c r="CQ130" s="121"/>
      <c r="CR130" s="121"/>
      <c r="CS130" s="121"/>
    </row>
    <row r="131" spans="1:97" ht="12.75" hidden="1" customHeight="1" outlineLevel="1" x14ac:dyDescent="0.2">
      <c r="A131" s="42"/>
      <c r="B131" s="234" t="s">
        <v>102</v>
      </c>
      <c r="C131" s="101"/>
      <c r="D131" s="101"/>
      <c r="E131" s="101"/>
      <c r="F131" s="101"/>
      <c r="G131" s="101"/>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c r="AM131" s="103"/>
      <c r="AN131" s="103"/>
      <c r="AO131" s="103"/>
      <c r="AP131" s="103"/>
      <c r="AQ131" s="103"/>
      <c r="AR131" s="103"/>
      <c r="AS131" s="103"/>
      <c r="AT131" s="103"/>
      <c r="AU131" s="103"/>
      <c r="AV131" s="103"/>
      <c r="AW131" s="103"/>
      <c r="AX131" s="103"/>
      <c r="AY131" s="103"/>
      <c r="AZ131" s="103"/>
      <c r="BA131" s="103"/>
      <c r="BB131" s="103"/>
      <c r="BC131" s="103"/>
      <c r="BD131" s="103"/>
      <c r="BE131" s="103"/>
      <c r="BF131" s="103"/>
      <c r="BG131" s="103"/>
      <c r="BH131" s="103"/>
      <c r="BI131" s="103"/>
      <c r="BJ131" s="103"/>
      <c r="BK131" s="103"/>
      <c r="BL131" s="103"/>
      <c r="BM131" s="103"/>
      <c r="BN131" s="103"/>
      <c r="BO131" s="103"/>
      <c r="BP131" s="103"/>
      <c r="BQ131" s="103"/>
      <c r="BR131" s="103"/>
      <c r="BS131" s="103"/>
      <c r="BT131" s="103"/>
      <c r="BU131" s="103"/>
      <c r="BV131" s="103"/>
      <c r="BW131" s="103"/>
      <c r="BX131" s="103"/>
      <c r="BY131" s="103"/>
      <c r="BZ131" s="103"/>
      <c r="CA131" s="103"/>
      <c r="CB131" s="103"/>
      <c r="CC131" s="103"/>
      <c r="CD131" s="103"/>
      <c r="CE131" s="103"/>
      <c r="CF131" s="103"/>
      <c r="CG131" s="103"/>
      <c r="CH131" s="103"/>
      <c r="CI131" s="103"/>
      <c r="CP131" s="121"/>
      <c r="CQ131" s="121"/>
      <c r="CR131" s="121"/>
      <c r="CS131" s="121"/>
    </row>
    <row r="132" spans="1:97" ht="12.75" hidden="1" customHeight="1" outlineLevel="1" x14ac:dyDescent="0.2">
      <c r="A132" s="42"/>
      <c r="B132" s="278" t="s">
        <v>166</v>
      </c>
      <c r="C132" s="101"/>
      <c r="D132" s="101"/>
      <c r="E132" s="101"/>
      <c r="F132" s="101"/>
      <c r="G132" s="101"/>
      <c r="H132" s="101"/>
      <c r="I132" s="101"/>
      <c r="J132" s="101"/>
      <c r="K132" s="101"/>
      <c r="L132" s="101"/>
      <c r="M132" s="101"/>
      <c r="N132" s="101"/>
      <c r="O132" s="101"/>
      <c r="P132" s="101"/>
      <c r="Q132" s="101"/>
      <c r="R132" s="101"/>
      <c r="S132" s="101"/>
      <c r="T132" s="103"/>
      <c r="U132" s="319"/>
      <c r="V132" s="319"/>
      <c r="W132" s="319"/>
      <c r="X132" s="319"/>
      <c r="Y132" s="319"/>
      <c r="Z132" s="103"/>
      <c r="AA132" s="101">
        <f>+ALGN!AA69</f>
        <v>0.1639027639027637</v>
      </c>
      <c r="AB132" s="101">
        <f>+ALGN!AB69</f>
        <v>0.20982342541907162</v>
      </c>
      <c r="AC132" s="101">
        <f>+ALGN!AC69</f>
        <v>0.19128268731695641</v>
      </c>
      <c r="AD132" s="101">
        <f>+ALGN!AD69</f>
        <v>0.27996727417566447</v>
      </c>
      <c r="AE132" s="101">
        <f>+ALGN!AE69</f>
        <v>0.21143261772184485</v>
      </c>
      <c r="AF132" s="101"/>
      <c r="AG132" s="101">
        <f>+ALGN!AG69</f>
        <v>0.17616540779736023</v>
      </c>
      <c r="AH132" s="101">
        <f>+ALGN!AH69</f>
        <v>0.1766637323943665</v>
      </c>
      <c r="AI132" s="101">
        <f>+ALGN!AI69</f>
        <v>0.10870516185476808</v>
      </c>
      <c r="AJ132" s="101">
        <f>+ALGN!AJ69</f>
        <v>0.11740117746005052</v>
      </c>
      <c r="AK132" s="101">
        <f>+ALGN!AK69</f>
        <v>0.14374878225906462</v>
      </c>
      <c r="AL132" s="101"/>
      <c r="AM132" s="101">
        <f>+ALGN!AM69</f>
        <v>0.14793072132848994</v>
      </c>
      <c r="AN132" s="101">
        <f>+ALGN!AN69</f>
        <v>0.14688521646754293</v>
      </c>
      <c r="AO132" s="101">
        <f>+ALGN!AO69</f>
        <v>0.2116788321167884</v>
      </c>
      <c r="AP132" s="101">
        <f>+ALGN!AP69</f>
        <v>0.2511308981702407</v>
      </c>
      <c r="AQ132" s="101">
        <f>+ALGN!AQ69</f>
        <v>0.18984050903924077</v>
      </c>
      <c r="AR132" s="101"/>
      <c r="AS132" s="101">
        <f>+ALGN!AS69</f>
        <v>0.18836351820981556</v>
      </c>
      <c r="AT132" s="101">
        <f>+ALGN!AT69</f>
        <v>0.1724167172201454</v>
      </c>
      <c r="AU132" s="101">
        <f>+ALGN!AU69</f>
        <v>0.16013025073266052</v>
      </c>
      <c r="AV132" s="101">
        <f>+ALGN!AV69</f>
        <v>0.12160097218211563</v>
      </c>
      <c r="AW132" s="101">
        <f>+ALGN!AW69</f>
        <v>0.15927789681590632</v>
      </c>
      <c r="AX132" s="101"/>
      <c r="AY132" s="101">
        <f>+ALGN!AY69</f>
        <v>0.11168635096499613</v>
      </c>
      <c r="AZ132" s="101">
        <f>+ALGN!AZ69</f>
        <v>0.11729490638996354</v>
      </c>
      <c r="BA132" s="101">
        <f>+ALGN!BA69</f>
        <v>0.1131370061413064</v>
      </c>
      <c r="BB132" s="101">
        <f>+ALGN!BB69</f>
        <v>0.14809828521162638</v>
      </c>
      <c r="BC132" s="101">
        <f>+ALGN!BC69</f>
        <v>0.12299083992820159</v>
      </c>
      <c r="BD132" s="101"/>
      <c r="BE132" s="101">
        <f>+ALGN!BE69</f>
        <v>0.14809828521162638</v>
      </c>
      <c r="BF132" s="101">
        <f>+ALGN!BF69</f>
        <v>0.21222804842219523</v>
      </c>
      <c r="BG132" s="101">
        <f>+ALGN!BG69</f>
        <v>0.22883424444758194</v>
      </c>
      <c r="BH132" s="101">
        <f>+ALGN!BH69</f>
        <v>0.17508689639706976</v>
      </c>
      <c r="BI132" s="101">
        <f>+ALGN!BI69</f>
        <v>0.19726101181475286</v>
      </c>
      <c r="BJ132" s="101"/>
      <c r="BK132" s="101">
        <f>+ALGN!BK69</f>
        <v>0.29796334089078708</v>
      </c>
      <c r="BL132" s="101">
        <f>+ALGN!BL69</f>
        <v>0.32990704345377075</v>
      </c>
      <c r="BM132" s="101">
        <f>+ALGN!BM69</f>
        <v>0.40195265689380633</v>
      </c>
      <c r="BN132" s="101">
        <f>+ALGN!BN69</f>
        <v>0.44803101083391317</v>
      </c>
      <c r="BO132" s="101">
        <f>+ALGN!BO69</f>
        <v>0.36661685967528235</v>
      </c>
      <c r="BP132" s="101"/>
      <c r="BQ132" s="101">
        <f>+ALGN!BQ69</f>
        <v>0.36510752516829026</v>
      </c>
      <c r="BR132" s="101">
        <f>+ALGN!BR69</f>
        <v>0.34659075155184205</v>
      </c>
      <c r="BS132" s="101">
        <f>+ALGN!BS69</f>
        <v>0.28510951338026236</v>
      </c>
      <c r="BT132" s="101">
        <f>+ALGN!BT69</f>
        <v>0.29384479521134632</v>
      </c>
      <c r="BU132" s="101">
        <f>+ALGN!BU69</f>
        <v>0.31986999578635733</v>
      </c>
      <c r="BV132" s="101"/>
      <c r="BW132" s="101">
        <f>+ALGN!BW69</f>
        <v>0.22520385109391761</v>
      </c>
      <c r="BX132" s="101">
        <f>+ALGN!BX69</f>
        <v>0.26231497140202875</v>
      </c>
      <c r="BY132" s="101">
        <f>+ALGN!BY69</f>
        <v>0.25147415221332947</v>
      </c>
      <c r="BZ132" s="101">
        <f>+ALGN!BZ69</f>
        <v>0.25851620595455715</v>
      </c>
      <c r="CA132" s="101">
        <f>+ALGN!CA69</f>
        <v>0.25024600218896076</v>
      </c>
      <c r="CB132" s="101"/>
      <c r="CC132" s="101">
        <f>+ALGN!CC69</f>
        <v>0.18680273097807265</v>
      </c>
      <c r="CD132" s="101">
        <f>+ALGN!CD69</f>
        <v>0.17110025079938218</v>
      </c>
      <c r="CE132" s="101">
        <f>+ALGN!CE69</f>
        <v>0.16915931880134538</v>
      </c>
      <c r="CF132" s="101">
        <f>+ALGN!CF69</f>
        <v>0.16513753322154479</v>
      </c>
      <c r="CG132" s="101">
        <f>+ALGN!CG69</f>
        <v>0.17240273436297548</v>
      </c>
      <c r="CH132" s="101"/>
      <c r="CI132" s="101"/>
      <c r="CP132" s="121"/>
      <c r="CQ132" s="121"/>
      <c r="CR132" s="121"/>
      <c r="CS132" s="121"/>
    </row>
    <row r="133" spans="1:97" ht="12.75" hidden="1" customHeight="1" outlineLevel="1" x14ac:dyDescent="0.2">
      <c r="A133" s="42"/>
      <c r="B133" s="233" t="s">
        <v>167</v>
      </c>
      <c r="C133" s="101"/>
      <c r="D133" s="101"/>
      <c r="E133" s="101"/>
      <c r="F133" s="101"/>
      <c r="G133" s="101"/>
      <c r="H133" s="103"/>
      <c r="I133" s="101"/>
      <c r="J133" s="101"/>
      <c r="K133" s="101"/>
      <c r="L133" s="101"/>
      <c r="M133" s="101"/>
      <c r="N133" s="101"/>
      <c r="O133" s="101"/>
      <c r="P133" s="101"/>
      <c r="Q133" s="101"/>
      <c r="R133" s="101"/>
      <c r="S133" s="101"/>
      <c r="T133" s="103"/>
      <c r="U133" s="319"/>
      <c r="V133" s="319"/>
      <c r="W133" s="319"/>
      <c r="X133" s="319"/>
      <c r="Y133" s="319"/>
      <c r="Z133" s="103"/>
      <c r="AA133" s="101">
        <f>+ALGN!AA11</f>
        <v>8.2191780821917693E-2</v>
      </c>
      <c r="AB133" s="101">
        <f>+ALGN!AB11</f>
        <v>0.13481481481481472</v>
      </c>
      <c r="AC133" s="101">
        <f>+ALGN!AC11</f>
        <v>0.12762762762762758</v>
      </c>
      <c r="AD133" s="101">
        <f>+ALGN!AD11</f>
        <v>0.2249614791987673</v>
      </c>
      <c r="AE133" s="101">
        <f t="shared" ref="AE133:AE143" si="140">SUMPRODUCT(AA133:AD133,AA$8:AD$8)/AE$8</f>
        <v>0.14564918414391201</v>
      </c>
      <c r="AF133" s="101"/>
      <c r="AG133" s="101">
        <f>+ALGN!AG11</f>
        <v>0.15926863572433203</v>
      </c>
      <c r="AH133" s="101">
        <f>+ALGN!AH11</f>
        <v>0.15687989556135795</v>
      </c>
      <c r="AI133" s="101">
        <f>+ALGN!AI11</f>
        <v>6.9161118508655139E-2</v>
      </c>
      <c r="AJ133" s="104">
        <f>+AJ103-0.005</f>
        <v>9.2672955974842819E-2</v>
      </c>
      <c r="AK133" s="101">
        <f t="shared" ref="AK133:AK139" si="141">SUMPRODUCT(AG133:AJ133,AG$8:AJ$8)/AK$8</f>
        <v>0.11970063045282274</v>
      </c>
      <c r="AL133" s="101"/>
      <c r="AM133" s="104">
        <f t="shared" ref="AM133:AP136" si="142">+AM103-0.005</f>
        <v>3.7342036300106803E-2</v>
      </c>
      <c r="AN133" s="104">
        <f t="shared" si="142"/>
        <v>7.5627870498888528E-2</v>
      </c>
      <c r="AO133" s="104">
        <f t="shared" si="142"/>
        <v>0.16501270331531626</v>
      </c>
      <c r="AP133" s="104">
        <f t="shared" si="142"/>
        <v>0.2146527817567182</v>
      </c>
      <c r="AQ133" s="101">
        <f t="shared" ref="AQ133:AQ139" si="143">SUMPRODUCT(AM133:AP133,AM$8:AP$8)/AQ$8</f>
        <v>0.12653839292526958</v>
      </c>
      <c r="AR133" s="101"/>
      <c r="AS133" s="104">
        <f t="shared" ref="AS133:AV137" si="144">+AS103-0.005</f>
        <v>0.19704684712661058</v>
      </c>
      <c r="AT133" s="104">
        <f t="shared" si="144"/>
        <v>0.19836096597852582</v>
      </c>
      <c r="AU133" s="104">
        <f t="shared" si="144"/>
        <v>0.19234640481132559</v>
      </c>
      <c r="AV133" s="104">
        <f t="shared" si="144"/>
        <v>0.11063964184040642</v>
      </c>
      <c r="AW133" s="101">
        <f>SUMPRODUCT(AS133:AV133,AS$8:AV$8)/AW$8</f>
        <v>0.17367667260065309</v>
      </c>
      <c r="AX133" s="101"/>
      <c r="AY133" s="104">
        <f t="shared" ref="AY133:BB137" si="145">+AY103-0.005</f>
        <v>0.11876313405778671</v>
      </c>
      <c r="AZ133" s="104">
        <f t="shared" si="145"/>
        <v>0.10900217066896933</v>
      </c>
      <c r="BA133" s="104">
        <f>+BA103-0.005</f>
        <v>9.8190396333695973E-2</v>
      </c>
      <c r="BB133" s="104">
        <f t="shared" si="145"/>
        <v>0.13212657833392749</v>
      </c>
      <c r="BC133" s="101">
        <f>SUMPRODUCT(AY133:BB133,AY$8:BB$8)/BC$8</f>
        <v>0.11493200595591005</v>
      </c>
      <c r="BD133" s="101"/>
      <c r="BE133" s="104">
        <f t="shared" ref="BE133:BH137" si="146">+BE103-0.005</f>
        <v>0.17981201818730613</v>
      </c>
      <c r="BF133" s="104">
        <f t="shared" si="146"/>
        <v>0.21221085614487542</v>
      </c>
      <c r="BG133" s="104">
        <f t="shared" si="146"/>
        <v>0.1818285155726278</v>
      </c>
      <c r="BH133" s="104">
        <f t="shared" si="146"/>
        <v>0.13512517675536187</v>
      </c>
      <c r="BI133" s="101">
        <f>SUMPRODUCT(BE133:BH133,BE$8:BH$8)/BI$8</f>
        <v>0.17628056341724574</v>
      </c>
      <c r="BJ133" s="101"/>
      <c r="BK133" s="104">
        <f t="shared" ref="BK133:BN137" si="147">+BK103-0.005</f>
        <v>0.207521943842844</v>
      </c>
      <c r="BL133" s="104">
        <f t="shared" si="147"/>
        <v>0.19926049543341029</v>
      </c>
      <c r="BM133" s="104">
        <f t="shared" si="147"/>
        <v>0.27311594202898559</v>
      </c>
      <c r="BN133" s="104">
        <f t="shared" si="147"/>
        <v>0.27245318352059933</v>
      </c>
      <c r="BO133" s="101">
        <f>SUMPRODUCT(BK133:BN133,BK$8:BN$8)/BO$8</f>
        <v>0.24124172909113442</v>
      </c>
      <c r="BP133" s="101"/>
      <c r="BQ133" s="104">
        <f t="shared" ref="BQ133:BT137" si="148">+BQ103-0.005</f>
        <v>0.28959854014598518</v>
      </c>
      <c r="BR133" s="104">
        <f t="shared" si="148"/>
        <v>0.3</v>
      </c>
      <c r="BS133" s="104">
        <f t="shared" si="148"/>
        <v>0.27</v>
      </c>
      <c r="BT133" s="104">
        <f t="shared" si="148"/>
        <v>0.26500000000000001</v>
      </c>
      <c r="BU133" s="101">
        <f>SUMPRODUCT(BQ133:BT133,BQ$8:BT$8)/BU$8</f>
        <v>0.28040869859042766</v>
      </c>
      <c r="BV133" s="101"/>
      <c r="BW133" s="104">
        <f t="shared" ref="BW133:BZ137" si="149">+BW103-0.005</f>
        <v>0.155</v>
      </c>
      <c r="BX133" s="104">
        <f t="shared" si="149"/>
        <v>0.16500000000000001</v>
      </c>
      <c r="BY133" s="104">
        <f t="shared" si="149"/>
        <v>0.15</v>
      </c>
      <c r="BZ133" s="104">
        <f t="shared" si="149"/>
        <v>0.13500000000000001</v>
      </c>
      <c r="CA133" s="101">
        <f>SUMPRODUCT(BW133:BZ133,BW$8:BZ$8)/CA$8</f>
        <v>0.15068139072813874</v>
      </c>
      <c r="CB133" s="101"/>
      <c r="CC133" s="104">
        <f t="shared" ref="CC133:CF137" si="150">+CC103-0.005</f>
        <v>0.105</v>
      </c>
      <c r="CD133" s="104">
        <f t="shared" si="150"/>
        <v>0.105</v>
      </c>
      <c r="CE133" s="104">
        <f t="shared" si="150"/>
        <v>0.105</v>
      </c>
      <c r="CF133" s="104">
        <f t="shared" si="150"/>
        <v>0.105</v>
      </c>
      <c r="CG133" s="101">
        <f>SUMPRODUCT(CC133:CF133,CC$8:CF$8)/CG$8</f>
        <v>0.10499999999999998</v>
      </c>
      <c r="CH133" s="101"/>
      <c r="CI133" s="101"/>
      <c r="CP133" s="121"/>
      <c r="CQ133" s="121"/>
      <c r="CR133" s="121"/>
      <c r="CS133" s="121"/>
    </row>
    <row r="134" spans="1:97" ht="12.75" hidden="1" customHeight="1" outlineLevel="1" x14ac:dyDescent="0.2">
      <c r="A134" s="42"/>
      <c r="B134" s="233" t="s">
        <v>168</v>
      </c>
      <c r="C134" s="101"/>
      <c r="D134" s="101"/>
      <c r="E134" s="101"/>
      <c r="F134" s="101"/>
      <c r="G134" s="101"/>
      <c r="H134" s="103"/>
      <c r="I134" s="101"/>
      <c r="J134" s="101"/>
      <c r="K134" s="101"/>
      <c r="L134" s="101"/>
      <c r="M134" s="101"/>
      <c r="N134" s="101"/>
      <c r="O134" s="101"/>
      <c r="P134" s="101"/>
      <c r="Q134" s="101"/>
      <c r="R134" s="101"/>
      <c r="S134" s="101"/>
      <c r="T134" s="103"/>
      <c r="U134" s="319"/>
      <c r="V134" s="319"/>
      <c r="W134" s="319"/>
      <c r="X134" s="319"/>
      <c r="Y134" s="319"/>
      <c r="Z134" s="103"/>
      <c r="AA134" s="101">
        <f>+ALGN!AA16</f>
        <v>0.17441860465116288</v>
      </c>
      <c r="AB134" s="101">
        <f>+ALGN!AB16</f>
        <v>0.26136363636363624</v>
      </c>
      <c r="AC134" s="101">
        <f>+ALGN!AC16</f>
        <v>0.1797752808988764</v>
      </c>
      <c r="AD134" s="101">
        <f>+ALGN!AD16</f>
        <v>0.31325301204819267</v>
      </c>
      <c r="AE134" s="101">
        <f t="shared" si="140"/>
        <v>0.23489228474785639</v>
      </c>
      <c r="AF134" s="101"/>
      <c r="AG134" s="101">
        <f>+ALGN!AG16</f>
        <v>0.16891089108910884</v>
      </c>
      <c r="AH134" s="101">
        <f>+ALGN!AH16</f>
        <v>0.22810810810810822</v>
      </c>
      <c r="AI134" s="101">
        <f>+ALGN!AI16</f>
        <v>0.21704761904761893</v>
      </c>
      <c r="AJ134" s="104">
        <f>+AJ104-0.005</f>
        <v>0.21233944954128436</v>
      </c>
      <c r="AK134" s="101">
        <f t="shared" si="141"/>
        <v>0.20711248710501184</v>
      </c>
      <c r="AL134" s="101"/>
      <c r="AM134" s="104">
        <f t="shared" si="142"/>
        <v>0.35727342029476528</v>
      </c>
      <c r="AN134" s="104">
        <f t="shared" si="142"/>
        <v>0.40036971830985923</v>
      </c>
      <c r="AO134" s="104">
        <f t="shared" si="142"/>
        <v>0.38024141169105585</v>
      </c>
      <c r="AP134" s="104">
        <f t="shared" si="142"/>
        <v>0.46270668475393795</v>
      </c>
      <c r="AQ134" s="101">
        <f t="shared" si="143"/>
        <v>0.40216343991108167</v>
      </c>
      <c r="AR134" s="101"/>
      <c r="AS134" s="104">
        <f t="shared" si="144"/>
        <v>0.21523254367966194</v>
      </c>
      <c r="AT134" s="104">
        <f t="shared" si="144"/>
        <v>6.390072032571259E-2</v>
      </c>
      <c r="AU134" s="104">
        <f t="shared" si="144"/>
        <v>7.9905660377358356E-2</v>
      </c>
      <c r="AV134" s="104">
        <f t="shared" si="144"/>
        <v>8.8196405648266807E-2</v>
      </c>
      <c r="AW134" s="101">
        <f>SUMPRODUCT(AS134:AV134,AS$8:AV$8)/AW$8</f>
        <v>0.11011804719753361</v>
      </c>
      <c r="AX134" s="101"/>
      <c r="AY134" s="104">
        <f t="shared" si="145"/>
        <v>5.4821656050955465E-2</v>
      </c>
      <c r="AZ134" s="104">
        <f t="shared" si="145"/>
        <v>6.9323664420353537E-2</v>
      </c>
      <c r="BA134" s="104">
        <f>+BA104-0.005</f>
        <v>3.6395469929705888E-2</v>
      </c>
      <c r="BB134" s="104">
        <f t="shared" si="145"/>
        <v>0.1457750117426021</v>
      </c>
      <c r="BC134" s="101">
        <f>SUMPRODUCT(AY134:BB134,AY$8:BB$8)/BC$8</f>
        <v>7.8661710271919857E-2</v>
      </c>
      <c r="BD134" s="101"/>
      <c r="BE134" s="104">
        <f t="shared" si="146"/>
        <v>0.26398628101895749</v>
      </c>
      <c r="BF134" s="104">
        <f t="shared" si="146"/>
        <v>0.34777287499999998</v>
      </c>
      <c r="BG134" s="104">
        <f t="shared" si="146"/>
        <v>0.32514350000000014</v>
      </c>
      <c r="BH134" s="104">
        <f t="shared" si="146"/>
        <v>0.26854480494886523</v>
      </c>
      <c r="BI134" s="101">
        <f>SUMPRODUCT(BE134:BH134,BE$8:BH$8)/BI$8</f>
        <v>0.30190109876477966</v>
      </c>
      <c r="BJ134" s="101"/>
      <c r="BK134" s="104">
        <f t="shared" si="147"/>
        <v>0.45821332269212295</v>
      </c>
      <c r="BL134" s="104">
        <f t="shared" si="147"/>
        <v>0.4943249993036426</v>
      </c>
      <c r="BM134" s="104">
        <f t="shared" si="147"/>
        <v>0.59264705882352942</v>
      </c>
      <c r="BN134" s="104">
        <f t="shared" si="147"/>
        <v>0.7272222222222221</v>
      </c>
      <c r="BO134" s="101">
        <f>SUMPRODUCT(BK134:BN134,BK$8:BN$8)/BO$8</f>
        <v>0.57902512596566968</v>
      </c>
      <c r="BP134" s="101"/>
      <c r="BQ134" s="104">
        <f t="shared" si="148"/>
        <v>0.62718390804597701</v>
      </c>
      <c r="BR134" s="104">
        <f t="shared" si="148"/>
        <v>0.48</v>
      </c>
      <c r="BS134" s="104">
        <f t="shared" si="148"/>
        <v>0.44</v>
      </c>
      <c r="BT134" s="104">
        <f t="shared" si="148"/>
        <v>0.41500000000000004</v>
      </c>
      <c r="BU134" s="101">
        <f>SUMPRODUCT(BQ134:BT134,BQ$8:BT$8)/BU$8</f>
        <v>0.48487456635646065</v>
      </c>
      <c r="BV134" s="101"/>
      <c r="BW134" s="104">
        <f t="shared" si="149"/>
        <v>0.46499999999999997</v>
      </c>
      <c r="BX134" s="104">
        <f t="shared" si="149"/>
        <v>0.46499999999999997</v>
      </c>
      <c r="BY134" s="104">
        <f t="shared" si="149"/>
        <v>0.46499999999999997</v>
      </c>
      <c r="BZ134" s="104">
        <f t="shared" si="149"/>
        <v>0.46499999999999997</v>
      </c>
      <c r="CA134" s="101">
        <f>SUMPRODUCT(BW134:BZ134,BW$8:BZ$8)/CA$8</f>
        <v>0.46499999999999997</v>
      </c>
      <c r="CB134" s="101"/>
      <c r="CC134" s="104">
        <f t="shared" si="150"/>
        <v>0.36499999999999999</v>
      </c>
      <c r="CD134" s="104">
        <f t="shared" si="150"/>
        <v>0.36499999999999999</v>
      </c>
      <c r="CE134" s="104">
        <f t="shared" si="150"/>
        <v>0.36499999999999999</v>
      </c>
      <c r="CF134" s="104">
        <f t="shared" si="150"/>
        <v>0.36499999999999999</v>
      </c>
      <c r="CG134" s="101">
        <f>SUMPRODUCT(CC134:CF134,CC$8:CF$8)/CG$8</f>
        <v>0.36499999999999999</v>
      </c>
      <c r="CH134" s="101"/>
      <c r="CI134" s="101"/>
      <c r="CP134" s="121"/>
      <c r="CQ134" s="121"/>
      <c r="CR134" s="121"/>
      <c r="CS134" s="121"/>
    </row>
    <row r="135" spans="1:97" ht="12.75" hidden="1" customHeight="1" outlineLevel="1" x14ac:dyDescent="0.2">
      <c r="A135" s="42"/>
      <c r="B135" s="233" t="s">
        <v>169</v>
      </c>
      <c r="C135" s="101"/>
      <c r="D135" s="101"/>
      <c r="E135" s="101"/>
      <c r="F135" s="101"/>
      <c r="G135" s="101"/>
      <c r="H135" s="103"/>
      <c r="I135" s="101"/>
      <c r="J135" s="101"/>
      <c r="K135" s="101"/>
      <c r="L135" s="101"/>
      <c r="M135" s="101"/>
      <c r="N135" s="101"/>
      <c r="O135" s="101"/>
      <c r="P135" s="101"/>
      <c r="Q135" s="101"/>
      <c r="R135" s="101"/>
      <c r="S135" s="101"/>
      <c r="T135" s="103"/>
      <c r="U135" s="319"/>
      <c r="V135" s="319"/>
      <c r="W135" s="319"/>
      <c r="X135" s="319"/>
      <c r="Y135" s="319"/>
      <c r="Z135" s="101"/>
      <c r="AA135" s="101">
        <f>+ALGN!AA21</f>
        <v>0.45121951219512213</v>
      </c>
      <c r="AB135" s="101">
        <f>+ALGN!AB21</f>
        <v>0.52380952380952372</v>
      </c>
      <c r="AC135" s="101">
        <f>+ALGN!AC21</f>
        <v>0.36283185840707954</v>
      </c>
      <c r="AD135" s="101">
        <f>+ALGN!AD21</f>
        <v>0.35849056603773599</v>
      </c>
      <c r="AE135" s="101">
        <f t="shared" si="140"/>
        <v>0.42127907359245387</v>
      </c>
      <c r="AF135" s="101"/>
      <c r="AG135" s="101">
        <f>+ALGN!AG21</f>
        <v>0.27294117647058824</v>
      </c>
      <c r="AH135" s="101">
        <f>+ALGN!AH21</f>
        <v>0.27968749999999987</v>
      </c>
      <c r="AI135" s="101">
        <f>+ALGN!AI21</f>
        <v>0.24311688311688306</v>
      </c>
      <c r="AJ135" s="104">
        <f>+AJ105-0.005</f>
        <v>0.13770833333333321</v>
      </c>
      <c r="AK135" s="101">
        <f t="shared" si="141"/>
        <v>0.23293496987314491</v>
      </c>
      <c r="AL135" s="101"/>
      <c r="AM135" s="104">
        <f t="shared" si="142"/>
        <v>0.22110245576973864</v>
      </c>
      <c r="AN135" s="104">
        <f t="shared" si="142"/>
        <v>0.21215506715506727</v>
      </c>
      <c r="AO135" s="104">
        <f t="shared" si="142"/>
        <v>0.23711241119933157</v>
      </c>
      <c r="AP135" s="104">
        <f t="shared" si="142"/>
        <v>0.36607262230325144</v>
      </c>
      <c r="AQ135" s="101">
        <f t="shared" si="143"/>
        <v>0.26202138391872437</v>
      </c>
      <c r="AR135" s="101"/>
      <c r="AS135" s="104">
        <f t="shared" si="144"/>
        <v>0.40834194798901635</v>
      </c>
      <c r="AT135" s="104">
        <f t="shared" si="144"/>
        <v>0.19499999999999995</v>
      </c>
      <c r="AU135" s="104">
        <f t="shared" si="144"/>
        <v>0.1429999999999999</v>
      </c>
      <c r="AV135" s="104">
        <f t="shared" si="144"/>
        <v>0.16099999999999992</v>
      </c>
      <c r="AW135" s="101">
        <f>SUMPRODUCT(AS135:AV135,AS$8:AV$8)/AW$8</f>
        <v>0.22377086749008249</v>
      </c>
      <c r="AX135" s="101"/>
      <c r="AY135" s="104">
        <f t="shared" si="145"/>
        <v>0.118504761904762</v>
      </c>
      <c r="AZ135" s="104">
        <f t="shared" si="145"/>
        <v>0.22805077661299744</v>
      </c>
      <c r="BA135" s="104">
        <f>+BA105-0.005</f>
        <v>0.21499999999999997</v>
      </c>
      <c r="BB135" s="104">
        <f t="shared" si="145"/>
        <v>0.245</v>
      </c>
      <c r="BC135" s="101">
        <f>SUMPRODUCT(AY135:BB135,AY$8:BB$8)/BC$8</f>
        <v>0.20379686400220734</v>
      </c>
      <c r="BD135" s="101"/>
      <c r="BE135" s="104">
        <f t="shared" si="146"/>
        <v>0.20618157484451563</v>
      </c>
      <c r="BF135" s="104">
        <f t="shared" si="146"/>
        <v>0.25221085614487543</v>
      </c>
      <c r="BG135" s="104">
        <f t="shared" si="146"/>
        <v>0.21582851557262778</v>
      </c>
      <c r="BH135" s="104">
        <f t="shared" si="146"/>
        <v>0.21909733190830877</v>
      </c>
      <c r="BI135" s="101">
        <f>SUMPRODUCT(BE135:BH135,BE$8:BH$8)/BI$8</f>
        <v>0.22365862268389955</v>
      </c>
      <c r="BJ135" s="101"/>
      <c r="BK135" s="104">
        <f t="shared" si="147"/>
        <v>0.27352194384284401</v>
      </c>
      <c r="BL135" s="104">
        <f t="shared" si="147"/>
        <v>0.32526049543341029</v>
      </c>
      <c r="BM135" s="104">
        <f t="shared" si="147"/>
        <v>0.48611594202898561</v>
      </c>
      <c r="BN135" s="104">
        <f t="shared" si="147"/>
        <v>0.51345318352059932</v>
      </c>
      <c r="BO135" s="101">
        <f>SUMPRODUCT(BK135:BN135,BK$8:BN$8)/BO$8</f>
        <v>0.41023708341473547</v>
      </c>
      <c r="BP135" s="101"/>
      <c r="BQ135" s="104">
        <f t="shared" si="148"/>
        <v>0.46959854014598512</v>
      </c>
      <c r="BR135" s="104">
        <f t="shared" si="148"/>
        <v>0.43</v>
      </c>
      <c r="BS135" s="104">
        <f t="shared" si="148"/>
        <v>0.4</v>
      </c>
      <c r="BT135" s="104">
        <f t="shared" si="148"/>
        <v>0.41500000000000004</v>
      </c>
      <c r="BU135" s="101">
        <f>SUMPRODUCT(BQ135:BT135,BQ$8:BT$8)/BU$8</f>
        <v>0.42714573765123115</v>
      </c>
      <c r="BV135" s="101"/>
      <c r="BW135" s="104">
        <f t="shared" si="149"/>
        <v>0.255</v>
      </c>
      <c r="BX135" s="104">
        <f t="shared" si="149"/>
        <v>0.255</v>
      </c>
      <c r="BY135" s="104">
        <f t="shared" si="149"/>
        <v>0.255</v>
      </c>
      <c r="BZ135" s="104">
        <f t="shared" si="149"/>
        <v>0.255</v>
      </c>
      <c r="CA135" s="101">
        <f>SUMPRODUCT(BW135:BZ135,BW$8:BZ$8)/CA$8</f>
        <v>0.255</v>
      </c>
      <c r="CB135" s="101"/>
      <c r="CC135" s="104">
        <f t="shared" si="150"/>
        <v>0.23500000000000001</v>
      </c>
      <c r="CD135" s="104">
        <f t="shared" si="150"/>
        <v>0.23500000000000001</v>
      </c>
      <c r="CE135" s="104">
        <f t="shared" si="150"/>
        <v>0.23500000000000001</v>
      </c>
      <c r="CF135" s="104">
        <f t="shared" si="150"/>
        <v>0.23500000000000001</v>
      </c>
      <c r="CG135" s="101">
        <f>SUMPRODUCT(CC135:CF135,CC$8:CF$8)/CG$8</f>
        <v>0.23500000000000001</v>
      </c>
      <c r="CH135" s="101"/>
      <c r="CI135" s="101"/>
      <c r="CP135" s="121"/>
      <c r="CQ135" s="121"/>
      <c r="CR135" s="121"/>
      <c r="CS135" s="121"/>
    </row>
    <row r="136" spans="1:97" ht="12.75" hidden="1" customHeight="1" outlineLevel="1" x14ac:dyDescent="0.2">
      <c r="A136" s="42"/>
      <c r="B136" s="233" t="s">
        <v>170</v>
      </c>
      <c r="C136" s="101"/>
      <c r="D136" s="101"/>
      <c r="E136" s="101"/>
      <c r="F136" s="101"/>
      <c r="G136" s="101"/>
      <c r="H136" s="101"/>
      <c r="I136" s="101"/>
      <c r="J136" s="101"/>
      <c r="K136" s="101"/>
      <c r="L136" s="101"/>
      <c r="M136" s="101"/>
      <c r="N136" s="101"/>
      <c r="O136" s="101"/>
      <c r="P136" s="101"/>
      <c r="Q136" s="101"/>
      <c r="R136" s="101"/>
      <c r="S136" s="101"/>
      <c r="T136" s="103"/>
      <c r="U136" s="319"/>
      <c r="V136" s="319"/>
      <c r="W136" s="319"/>
      <c r="X136" s="319"/>
      <c r="Y136" s="319"/>
      <c r="Z136" s="103"/>
      <c r="AA136" s="101">
        <f>+ALGN!AA26</f>
        <v>1.2068965517241379</v>
      </c>
      <c r="AB136" s="101">
        <f>+ALGN!AB26</f>
        <v>0.86842105263157898</v>
      </c>
      <c r="AC136" s="101">
        <f>+ALGN!AC26</f>
        <v>0.62790697674418605</v>
      </c>
      <c r="AD136" s="101">
        <f>+ALGN!AD26</f>
        <v>0.89189189189189189</v>
      </c>
      <c r="AE136" s="101">
        <f>SUMPRODUCT(AA136:AD136,AA$8:AD$8)/AE$8</f>
        <v>0.88559160173605944</v>
      </c>
      <c r="AF136" s="101"/>
      <c r="AG136" s="101">
        <f>+ALGN!AG26</f>
        <v>0.12390624999999988</v>
      </c>
      <c r="AH136" s="101">
        <f>+ALGN!AH26</f>
        <v>2.1267605633802811E-2</v>
      </c>
      <c r="AI136" s="101">
        <f>+ALGN!AI26</f>
        <v>7.2857142857143398E-3</v>
      </c>
      <c r="AJ136" s="104">
        <f>+AJ106-0.005</f>
        <v>2.5000000000000026E-2</v>
      </c>
      <c r="AK136" s="101">
        <f>SUMPRODUCT(AG136:AJ136,AG$8:AJ$8)/AK$8</f>
        <v>4.356773796725779E-2</v>
      </c>
      <c r="AL136" s="101"/>
      <c r="AM136" s="104">
        <f t="shared" si="142"/>
        <v>0.1479264562769359</v>
      </c>
      <c r="AN136" s="104">
        <f t="shared" si="142"/>
        <v>5.4164253206454245E-2</v>
      </c>
      <c r="AO136" s="104">
        <f t="shared" si="142"/>
        <v>5.0878598780314761E-2</v>
      </c>
      <c r="AP136" s="104">
        <f t="shared" si="142"/>
        <v>-8.4674063800277387E-3</v>
      </c>
      <c r="AQ136" s="101">
        <f>SUMPRODUCT(AM136:AP136,AM$8:AP$8)/AQ$8</f>
        <v>5.8242927786123361E-2</v>
      </c>
      <c r="AR136" s="101"/>
      <c r="AS136" s="104">
        <f t="shared" si="144"/>
        <v>3.32668727799822E-2</v>
      </c>
      <c r="AT136" s="104">
        <f t="shared" si="144"/>
        <v>3.6321246870363651E-2</v>
      </c>
      <c r="AU136" s="104">
        <f t="shared" si="144"/>
        <v>4.2683008730691648E-2</v>
      </c>
      <c r="AV136" s="104">
        <f t="shared" si="144"/>
        <v>8.0594989561586616E-2</v>
      </c>
      <c r="AW136" s="101">
        <f>SUMPRODUCT(AS136:AV136,AS$8:AV$8)/AW$8</f>
        <v>4.8727094062638178E-2</v>
      </c>
      <c r="AX136" s="101"/>
      <c r="AY136" s="104">
        <f t="shared" si="145"/>
        <v>-2.7222933878731755E-2</v>
      </c>
      <c r="AZ136" s="104">
        <f t="shared" si="145"/>
        <v>1.5283855975316011E-2</v>
      </c>
      <c r="BA136" s="104">
        <f>+BA106-0.005</f>
        <v>1.4747969230770045E-2</v>
      </c>
      <c r="BB136" s="104">
        <f t="shared" si="145"/>
        <v>5.1017787179487135E-2</v>
      </c>
      <c r="BC136" s="101">
        <f>SUMPRODUCT(AY136:BB136,AY$8:BB$8)/BC$8</f>
        <v>1.4925952221560485E-2</v>
      </c>
      <c r="BD136" s="101"/>
      <c r="BE136" s="104">
        <f t="shared" si="146"/>
        <v>-0.30028288667744218</v>
      </c>
      <c r="BF136" s="104">
        <f t="shared" si="146"/>
        <v>-0.45279688027503973</v>
      </c>
      <c r="BG136" s="104">
        <f t="shared" si="146"/>
        <v>0.70064723257772921</v>
      </c>
      <c r="BH136" s="104">
        <f t="shared" si="146"/>
        <v>1.0486111162637649E-2</v>
      </c>
      <c r="BI136" s="101">
        <f>SUMPRODUCT(BE136:BH136,BE$8:BH$8)/BI$8</f>
        <v>4.2758388066863346E-3</v>
      </c>
      <c r="BJ136" s="101"/>
      <c r="BK136" s="104">
        <f t="shared" si="147"/>
        <v>1.216265079791635</v>
      </c>
      <c r="BL136" s="104">
        <f t="shared" si="147"/>
        <v>2.5118770842342975</v>
      </c>
      <c r="BM136" s="104">
        <f t="shared" si="147"/>
        <v>0.31300113221433989</v>
      </c>
      <c r="BN136" s="104">
        <f t="shared" si="147"/>
        <v>1.5043879089659353</v>
      </c>
      <c r="BO136" s="101">
        <f>SUMPRODUCT(BK136:BN136,BK$8:BN$8)/BO$8</f>
        <v>1.3759333751254426</v>
      </c>
      <c r="BP136" s="101"/>
      <c r="BQ136" s="104">
        <f t="shared" si="148"/>
        <v>-0.21516812136919827</v>
      </c>
      <c r="BR136" s="104">
        <f t="shared" si="148"/>
        <v>0.33343464593315336</v>
      </c>
      <c r="BS136" s="104">
        <f t="shared" si="148"/>
        <v>0.25929106223271559</v>
      </c>
      <c r="BT136" s="104">
        <f t="shared" si="148"/>
        <v>0.21221950978743873</v>
      </c>
      <c r="BU136" s="101">
        <f>SUMPRODUCT(BQ136:BT136,BQ$8:BT$8)/BU$8</f>
        <v>0.15828433869941771</v>
      </c>
      <c r="BV136" s="101"/>
      <c r="BW136" s="104">
        <f t="shared" si="149"/>
        <v>0.30233734425027914</v>
      </c>
      <c r="BX136" s="104">
        <f t="shared" si="149"/>
        <v>0.85054905729715113</v>
      </c>
      <c r="BY136" s="104">
        <f t="shared" si="149"/>
        <v>0.79714615005705969</v>
      </c>
      <c r="BZ136" s="104">
        <f t="shared" si="149"/>
        <v>0.88409118128350273</v>
      </c>
      <c r="CA136" s="101">
        <f>SUMPRODUCT(BW136:BZ136,BW$8:BZ$8)/CA$8</f>
        <v>0.72569005438438017</v>
      </c>
      <c r="CB136" s="101"/>
      <c r="CC136" s="104">
        <f t="shared" si="150"/>
        <v>0.35070330682050954</v>
      </c>
      <c r="CD136" s="104">
        <f t="shared" si="150"/>
        <v>9.4867988603806519E-2</v>
      </c>
      <c r="CE136" s="104">
        <f t="shared" si="150"/>
        <v>9.7637502189788505E-2</v>
      </c>
      <c r="CF136" s="104">
        <f t="shared" si="150"/>
        <v>4.7604635818188641E-2</v>
      </c>
      <c r="CG136" s="101">
        <f>SUMPRODUCT(CC136:CF136,CC$8:CF$8)/CG$8</f>
        <v>0.13950414552641552</v>
      </c>
      <c r="CH136" s="101"/>
      <c r="CI136" s="101"/>
      <c r="CP136" s="121"/>
      <c r="CQ136" s="121"/>
      <c r="CR136" s="121"/>
      <c r="CS136" s="121"/>
    </row>
    <row r="137" spans="1:97" ht="12.75" hidden="1" customHeight="1" outlineLevel="1" x14ac:dyDescent="0.2">
      <c r="A137" s="42"/>
      <c r="B137" s="278" t="s">
        <v>171</v>
      </c>
      <c r="C137" s="101"/>
      <c r="D137" s="101"/>
      <c r="E137" s="101"/>
      <c r="F137" s="101"/>
      <c r="G137" s="101"/>
      <c r="H137" s="103"/>
      <c r="I137" s="101"/>
      <c r="J137" s="101"/>
      <c r="K137" s="101"/>
      <c r="L137" s="101"/>
      <c r="M137" s="101"/>
      <c r="N137" s="101"/>
      <c r="O137" s="101"/>
      <c r="P137" s="101"/>
      <c r="Q137" s="101"/>
      <c r="R137" s="101"/>
      <c r="S137" s="101"/>
      <c r="T137" s="103"/>
      <c r="U137" s="319"/>
      <c r="V137" s="319"/>
      <c r="W137" s="319"/>
      <c r="X137" s="319"/>
      <c r="Y137" s="319"/>
      <c r="Z137" s="103"/>
      <c r="AA137" s="101">
        <f>+ALGN!AA31</f>
        <v>0.14200426439231961</v>
      </c>
      <c r="AB137" s="101">
        <f>+ALGN!AB31</f>
        <v>0.11152278621711931</v>
      </c>
      <c r="AC137" s="101">
        <f>+ALGN!AC31</f>
        <v>0.29977305549824718</v>
      </c>
      <c r="AD137" s="101">
        <f>+ALGN!AD31</f>
        <v>0.31652141665121558</v>
      </c>
      <c r="AE137" s="101">
        <f t="shared" si="140"/>
        <v>0.22266837046471188</v>
      </c>
      <c r="AF137" s="101"/>
      <c r="AG137" s="101">
        <f>+ALGN!AG31</f>
        <v>0.26157580283794113</v>
      </c>
      <c r="AH137" s="101">
        <f>+ALGN!AH31</f>
        <v>0.29816666666666669</v>
      </c>
      <c r="AI137" s="101">
        <f>+ALGN!AI31</f>
        <v>0.18365079365079362</v>
      </c>
      <c r="AJ137" s="104">
        <f>+AJ107-0.005</f>
        <v>0.21471830985915508</v>
      </c>
      <c r="AK137" s="101">
        <f t="shared" si="141"/>
        <v>0.24014702313221117</v>
      </c>
      <c r="AL137" s="101"/>
      <c r="AM137" s="104">
        <f>+AM107-0.005</f>
        <v>0.8758642888856002</v>
      </c>
      <c r="AN137" s="104">
        <f>+AN107-0.005</f>
        <v>0.37720567466940558</v>
      </c>
      <c r="AO137" s="104">
        <f>+AO107-0.005</f>
        <v>0.42707724285905868</v>
      </c>
      <c r="AP137" s="104">
        <f>+AP107-0.005</f>
        <v>0.21555427251732107</v>
      </c>
      <c r="AQ137" s="101">
        <f t="shared" si="143"/>
        <v>0.4619777160859192</v>
      </c>
      <c r="AR137" s="101"/>
      <c r="AS137" s="104">
        <f t="shared" si="144"/>
        <v>-0.18030883625777006</v>
      </c>
      <c r="AT137" s="104">
        <f t="shared" si="144"/>
        <v>0.11881571614341457</v>
      </c>
      <c r="AU137" s="104">
        <f t="shared" si="144"/>
        <v>5.7833598651559133E-2</v>
      </c>
      <c r="AV137" s="104">
        <f t="shared" si="144"/>
        <v>-3.0443962483559857E-2</v>
      </c>
      <c r="AW137" s="101">
        <f>SUMPRODUCT(AS137:AV137,AS$8:AV$8)/AW$8</f>
        <v>-6.2512981127690959E-3</v>
      </c>
      <c r="AX137" s="101"/>
      <c r="AY137" s="104">
        <f t="shared" si="145"/>
        <v>0.16521276595744683</v>
      </c>
      <c r="AZ137" s="104">
        <f t="shared" si="145"/>
        <v>5.1616249276799871E-2</v>
      </c>
      <c r="BA137" s="104">
        <f>+BA107-0.005</f>
        <v>0.13526431718061682</v>
      </c>
      <c r="BB137" s="104">
        <f t="shared" si="145"/>
        <v>8.4837398373983519E-2</v>
      </c>
      <c r="BC137" s="101">
        <f>SUMPRODUCT(AY137:BB137,AY$8:BB$8)/BC$8</f>
        <v>0.10782092109866638</v>
      </c>
      <c r="BD137" s="101"/>
      <c r="BE137" s="104">
        <f t="shared" si="146"/>
        <v>0.14860782715042797</v>
      </c>
      <c r="BF137" s="104">
        <f t="shared" si="146"/>
        <v>0.23279724655819767</v>
      </c>
      <c r="BG137" s="104">
        <f t="shared" si="146"/>
        <v>0.19759619842373655</v>
      </c>
      <c r="BH137" s="104">
        <f t="shared" si="146"/>
        <v>0.29809585975382336</v>
      </c>
      <c r="BI137" s="101">
        <f>SUMPRODUCT(BE137:BH137,BE$8:BH$8)/BI$8</f>
        <v>0.22283444190232382</v>
      </c>
      <c r="BJ137" s="101"/>
      <c r="BK137" s="104">
        <f t="shared" si="147"/>
        <v>0.26307548236624501</v>
      </c>
      <c r="BL137" s="104">
        <f t="shared" si="147"/>
        <v>0.29606167846309417</v>
      </c>
      <c r="BM137" s="104">
        <f t="shared" si="147"/>
        <v>0.35776021588280649</v>
      </c>
      <c r="BN137" s="104">
        <f t="shared" si="147"/>
        <v>0.25261392260132809</v>
      </c>
      <c r="BO137" s="101">
        <f>SUMPRODUCT(BK137:BN137,BK$8:BN$8)/BO$8</f>
        <v>0.2928228733828086</v>
      </c>
      <c r="BP137" s="101"/>
      <c r="BQ137" s="104">
        <f t="shared" si="148"/>
        <v>0.34468230966447455</v>
      </c>
      <c r="BR137" s="104">
        <f t="shared" si="148"/>
        <v>0.19999999999999998</v>
      </c>
      <c r="BS137" s="104">
        <f t="shared" si="148"/>
        <v>0.16999999999999998</v>
      </c>
      <c r="BT137" s="104">
        <f t="shared" si="148"/>
        <v>0.16499999999999998</v>
      </c>
      <c r="BU137" s="101">
        <f>SUMPRODUCT(BQ137:BT137,BQ$8:BT$8)/BU$8</f>
        <v>0.21514458143274925</v>
      </c>
      <c r="BV137" s="101"/>
      <c r="BW137" s="104">
        <f t="shared" si="149"/>
        <v>0.14499999999999999</v>
      </c>
      <c r="BX137" s="104">
        <f t="shared" si="149"/>
        <v>0.14499999999999999</v>
      </c>
      <c r="BY137" s="104">
        <f t="shared" si="149"/>
        <v>0.14499999999999999</v>
      </c>
      <c r="BZ137" s="104">
        <f t="shared" si="149"/>
        <v>0.14499999999999999</v>
      </c>
      <c r="CA137" s="101">
        <f>SUMPRODUCT(BW137:BZ137,BW$8:BZ$8)/CA$8</f>
        <v>0.14499999999999999</v>
      </c>
      <c r="CB137" s="101"/>
      <c r="CC137" s="104">
        <f t="shared" si="150"/>
        <v>0.14499999999999999</v>
      </c>
      <c r="CD137" s="104">
        <f t="shared" si="150"/>
        <v>0.14499999999999999</v>
      </c>
      <c r="CE137" s="104">
        <f t="shared" si="150"/>
        <v>0.14499999999999999</v>
      </c>
      <c r="CF137" s="104">
        <f t="shared" si="150"/>
        <v>0.14499999999999999</v>
      </c>
      <c r="CG137" s="101">
        <f>SUMPRODUCT(CC137:CF137,CC$8:CF$8)/CG$8</f>
        <v>0.14499999999999996</v>
      </c>
      <c r="CH137" s="101"/>
      <c r="CI137" s="101"/>
      <c r="CP137" s="121"/>
      <c r="CQ137" s="121"/>
      <c r="CR137" s="121"/>
      <c r="CS137" s="121"/>
    </row>
    <row r="138" spans="1:97" ht="12.75" hidden="1" customHeight="1" outlineLevel="1" x14ac:dyDescent="0.2">
      <c r="A138" s="42"/>
      <c r="B138" s="233"/>
      <c r="C138" s="101"/>
      <c r="D138" s="101"/>
      <c r="E138" s="101"/>
      <c r="F138" s="101"/>
      <c r="G138" s="101"/>
      <c r="H138" s="103"/>
      <c r="I138" s="232"/>
      <c r="J138" s="232"/>
      <c r="K138" s="232"/>
      <c r="L138" s="232"/>
      <c r="M138" s="232"/>
      <c r="N138" s="103"/>
      <c r="O138" s="232"/>
      <c r="P138" s="232"/>
      <c r="Q138" s="232"/>
      <c r="R138" s="232"/>
      <c r="S138" s="232"/>
      <c r="T138" s="103"/>
      <c r="U138" s="232"/>
      <c r="V138" s="232"/>
      <c r="W138" s="232"/>
      <c r="X138" s="232"/>
      <c r="Y138" s="232"/>
      <c r="Z138" s="103"/>
      <c r="AA138" s="232"/>
      <c r="AB138" s="232"/>
      <c r="AC138" s="232"/>
      <c r="AD138" s="232"/>
      <c r="AE138" s="101"/>
      <c r="AF138" s="103"/>
      <c r="AG138" s="232"/>
      <c r="AH138" s="232"/>
      <c r="AI138" s="232"/>
      <c r="AJ138" s="279"/>
      <c r="AK138" s="101"/>
      <c r="AL138" s="103"/>
      <c r="AM138" s="279"/>
      <c r="AN138" s="279"/>
      <c r="AO138" s="279"/>
      <c r="AP138" s="279"/>
      <c r="AQ138" s="101"/>
      <c r="AR138" s="103"/>
      <c r="AS138" s="279"/>
      <c r="AT138" s="279"/>
      <c r="AU138" s="279"/>
      <c r="AV138" s="279"/>
      <c r="AW138" s="101"/>
      <c r="AX138" s="103"/>
      <c r="AY138" s="279"/>
      <c r="AZ138" s="279"/>
      <c r="BA138" s="279"/>
      <c r="BB138" s="279"/>
      <c r="BC138" s="101"/>
      <c r="BD138" s="103"/>
      <c r="BE138" s="279"/>
      <c r="BF138" s="279"/>
      <c r="BG138" s="279"/>
      <c r="BH138" s="279"/>
      <c r="BI138" s="101"/>
      <c r="BJ138" s="103"/>
      <c r="BK138" s="279"/>
      <c r="BL138" s="279"/>
      <c r="BM138" s="279"/>
      <c r="BN138" s="279"/>
      <c r="BO138" s="101"/>
      <c r="BP138" s="103"/>
      <c r="BQ138" s="279"/>
      <c r="BR138" s="279"/>
      <c r="BS138" s="279"/>
      <c r="BT138" s="279"/>
      <c r="BU138" s="101"/>
      <c r="BV138" s="103"/>
      <c r="BW138" s="279"/>
      <c r="BX138" s="279"/>
      <c r="BY138" s="279"/>
      <c r="BZ138" s="279"/>
      <c r="CA138" s="101"/>
      <c r="CB138" s="103"/>
      <c r="CC138" s="279"/>
      <c r="CD138" s="279"/>
      <c r="CE138" s="279"/>
      <c r="CF138" s="279"/>
      <c r="CG138" s="101"/>
      <c r="CH138" s="101"/>
      <c r="CI138" s="101"/>
      <c r="CP138" s="121"/>
      <c r="CQ138" s="121"/>
      <c r="CR138" s="121"/>
      <c r="CS138" s="121"/>
    </row>
    <row r="139" spans="1:97" ht="12.75" hidden="1" customHeight="1" outlineLevel="1" x14ac:dyDescent="0.2">
      <c r="A139" s="42"/>
      <c r="B139" s="278" t="s">
        <v>337</v>
      </c>
      <c r="C139" s="101">
        <f>+C$47</f>
        <v>0.72508273082291674</v>
      </c>
      <c r="D139" s="101">
        <f>+D$47</f>
        <v>0.73568920277273731</v>
      </c>
      <c r="E139" s="101">
        <f>+E$47</f>
        <v>0.74623168325145894</v>
      </c>
      <c r="F139" s="101">
        <f>+F$47</f>
        <v>0.73624115724588723</v>
      </c>
      <c r="G139" s="101">
        <f>+G$47</f>
        <v>0.73610075545489073</v>
      </c>
      <c r="H139" s="101"/>
      <c r="I139" s="101">
        <f>+I$47</f>
        <v>0.73777682678934409</v>
      </c>
      <c r="J139" s="101">
        <f>+J$47</f>
        <v>0.74665214888238096</v>
      </c>
      <c r="K139" s="101">
        <f>+K$47</f>
        <v>0.75036249717318726</v>
      </c>
      <c r="L139" s="101">
        <f>+L$47</f>
        <v>0.72704215851602028</v>
      </c>
      <c r="M139" s="101">
        <f>+M$47</f>
        <v>0.74060452140958499</v>
      </c>
      <c r="N139" s="101"/>
      <c r="O139" s="101">
        <f>+O$47</f>
        <v>0.75153995323105005</v>
      </c>
      <c r="P139" s="101">
        <f>+P$47</f>
        <v>0.75970962838723211</v>
      </c>
      <c r="Q139" s="101">
        <f>+Q$47</f>
        <v>0.76835837464834933</v>
      </c>
      <c r="R139" s="101">
        <f>+R$47</f>
        <v>0.78582478987715887</v>
      </c>
      <c r="S139" s="101">
        <f>+S$47</f>
        <v>0.76731245177422813</v>
      </c>
      <c r="T139" s="103"/>
      <c r="U139" s="101">
        <f>+U$47</f>
        <v>0.78296148296148305</v>
      </c>
      <c r="V139" s="101">
        <f>+V$47</f>
        <v>0.7744573899337579</v>
      </c>
      <c r="W139" s="101">
        <f>+W$47</f>
        <v>0.78098325116991674</v>
      </c>
      <c r="X139" s="101">
        <f>+X$47</f>
        <v>0.7724586352039442</v>
      </c>
      <c r="Y139" s="101">
        <f>+Y$47</f>
        <v>0.77769373544905418</v>
      </c>
      <c r="Z139" s="103"/>
      <c r="AA139" s="101">
        <f>+AA$47</f>
        <v>0.78418020904859997</v>
      </c>
      <c r="AB139" s="101">
        <f>+AB$47</f>
        <v>0.76092966707193177</v>
      </c>
      <c r="AC139" s="101">
        <f>+AC$47</f>
        <v>0.73882790283889621</v>
      </c>
      <c r="AD139" s="101">
        <f>+AD$47</f>
        <v>0.7490244753888522</v>
      </c>
      <c r="AE139" s="101">
        <f t="shared" si="140"/>
        <v>0.75701263806929164</v>
      </c>
      <c r="AF139" s="101"/>
      <c r="AG139" s="101">
        <f>+AG$47</f>
        <v>0.75107899821585888</v>
      </c>
      <c r="AH139" s="101">
        <f>+AH$47</f>
        <v>0.75013390465988217</v>
      </c>
      <c r="AI139" s="101">
        <f>+AI$47</f>
        <v>0.73743552924627831</v>
      </c>
      <c r="AJ139" s="101">
        <f>+AJ$47</f>
        <v>0.7468426211145337</v>
      </c>
      <c r="AK139" s="101">
        <f t="shared" si="141"/>
        <v>0.74642749370135386</v>
      </c>
      <c r="AL139" s="101"/>
      <c r="AM139" s="101">
        <f>+AM$47</f>
        <v>0.73478968615705176</v>
      </c>
      <c r="AN139" s="101">
        <f>+AN$47</f>
        <v>0.75500524940791558</v>
      </c>
      <c r="AO139" s="101">
        <f>+AO$47</f>
        <v>0.76039779704083743</v>
      </c>
      <c r="AP139" s="101">
        <f>+AP$47</f>
        <v>0.76546339712381939</v>
      </c>
      <c r="AQ139" s="101">
        <f t="shared" si="143"/>
        <v>0.75447057433588904</v>
      </c>
      <c r="AR139" s="101"/>
      <c r="AS139" s="101">
        <f>+AS$47</f>
        <v>0.75977879388417113</v>
      </c>
      <c r="AT139" s="101">
        <f>+AT$47</f>
        <v>0.75559779983483177</v>
      </c>
      <c r="AU139" s="101">
        <f>+AU$47</f>
        <v>0.76394067707345847</v>
      </c>
      <c r="AV139" s="101">
        <f>+AV$47</f>
        <v>0.75862034239677734</v>
      </c>
      <c r="AW139" s="101">
        <f>SUMPRODUCT(AS139:AV139,AS$8:AV$8)/AW$8</f>
        <v>0.75945739070153995</v>
      </c>
      <c r="AX139" s="101"/>
      <c r="AY139" s="101">
        <f>+AY$47</f>
        <v>0.7627495128378583</v>
      </c>
      <c r="AZ139" s="101">
        <f>+AZ$47</f>
        <v>0.75724623844802574</v>
      </c>
      <c r="BA139" s="101">
        <f>+BA$47</f>
        <v>0.75890500683889117</v>
      </c>
      <c r="BB139" s="101">
        <f>+BB$47</f>
        <v>0.7504472893397488</v>
      </c>
      <c r="BC139" s="101">
        <f>SUMPRODUCT(AY139:BB139,AY$8:BB$8)/BC$8</f>
        <v>0.75709118779021778</v>
      </c>
      <c r="BD139" s="101"/>
      <c r="BE139" s="101">
        <f>+BE$47</f>
        <v>0.75664795576407506</v>
      </c>
      <c r="BF139" s="101">
        <f>+BF$47</f>
        <v>0.76185950505267996</v>
      </c>
      <c r="BG139" s="101">
        <f>+BG$47</f>
        <v>0.75093417184454514</v>
      </c>
      <c r="BH139" s="101">
        <f>+BH$47</f>
        <v>0.7524104460049863</v>
      </c>
      <c r="BI139" s="101">
        <f>SUMPRODUCT(BE139:BH139,BE$8:BH$8)/BI$8</f>
        <v>0.75532330623757959</v>
      </c>
      <c r="BJ139" s="101"/>
      <c r="BK139" s="101">
        <f>+BK$47</f>
        <v>0.75924547513863783</v>
      </c>
      <c r="BL139" s="101">
        <f>+BL$47</f>
        <v>0.75997385562244379</v>
      </c>
      <c r="BM139" s="101">
        <f>+BM$47</f>
        <v>0.7591825928511915</v>
      </c>
      <c r="BN139" s="101">
        <f>+BN$47</f>
        <v>0.75456834779966908</v>
      </c>
      <c r="BO139" s="101">
        <f>SUMPRODUCT(BK139:BN139,BK$8:BN$8)/BO$8</f>
        <v>0.75806783298369151</v>
      </c>
      <c r="BP139" s="101"/>
      <c r="BQ139" s="101">
        <f>+BQ$47</f>
        <v>0.74934771264567746</v>
      </c>
      <c r="BR139" s="101">
        <f>+BR$47</f>
        <v>0.76021932039875029</v>
      </c>
      <c r="BS139" s="101">
        <f>+BS$47</f>
        <v>0.76286719540492176</v>
      </c>
      <c r="BT139" s="101">
        <f>+BT$47</f>
        <v>0.75701705637179639</v>
      </c>
      <c r="BU139" s="101">
        <f>SUMPRODUCT(BQ139:BT139,BQ$8:BT$8)/BU$8</f>
        <v>0.75756573849132325</v>
      </c>
      <c r="BV139" s="101"/>
      <c r="BW139" s="101">
        <f>+BW$47</f>
        <v>0.7632334788170535</v>
      </c>
      <c r="BX139" s="101">
        <f>+BX$47</f>
        <v>0.77591365909957533</v>
      </c>
      <c r="BY139" s="101">
        <f>+BY$47</f>
        <v>0.77857824612376347</v>
      </c>
      <c r="BZ139" s="101">
        <f>+BZ$47</f>
        <v>0.76862585566678343</v>
      </c>
      <c r="CA139" s="101">
        <f>SUMPRODUCT(BW139:BZ139,BW$8:BZ$8)/CA$8</f>
        <v>0.77177376771247397</v>
      </c>
      <c r="CB139" s="101"/>
      <c r="CC139" s="101">
        <f>+CC$47</f>
        <v>0.77485501741939933</v>
      </c>
      <c r="CD139" s="101">
        <f>+CD$47</f>
        <v>0.78606777733969435</v>
      </c>
      <c r="CE139" s="101">
        <f>+CE$47</f>
        <v>0.78979201973442648</v>
      </c>
      <c r="CF139" s="101">
        <f>+CF$47</f>
        <v>0.77810418234231038</v>
      </c>
      <c r="CG139" s="101">
        <f>SUMPRODUCT(CC139:CF139,CC$8:CF$8)/CG$8</f>
        <v>0.78231848700672224</v>
      </c>
      <c r="CH139" s="101"/>
      <c r="CI139" s="101"/>
      <c r="CP139" s="121"/>
      <c r="CQ139" s="121"/>
      <c r="CR139" s="121"/>
      <c r="CS139" s="121"/>
    </row>
    <row r="140" spans="1:97" ht="12.75" hidden="1" customHeight="1" outlineLevel="1" x14ac:dyDescent="0.2">
      <c r="A140" s="42"/>
      <c r="B140" s="233"/>
      <c r="C140" s="103"/>
      <c r="D140" s="103"/>
      <c r="E140" s="103"/>
      <c r="F140" s="103"/>
      <c r="G140" s="103"/>
      <c r="H140" s="103"/>
      <c r="I140" s="101"/>
      <c r="J140" s="101"/>
      <c r="K140" s="101"/>
      <c r="L140" s="101"/>
      <c r="M140" s="101"/>
      <c r="N140" s="101"/>
      <c r="O140" s="101"/>
      <c r="P140" s="101"/>
      <c r="Q140" s="101"/>
      <c r="R140" s="101"/>
      <c r="S140" s="101"/>
      <c r="T140" s="103"/>
      <c r="U140" s="101"/>
      <c r="V140" s="101"/>
      <c r="W140" s="101"/>
      <c r="X140" s="101"/>
      <c r="Y140" s="101"/>
      <c r="Z140" s="103"/>
      <c r="AA140" s="101"/>
      <c r="AB140" s="101"/>
      <c r="AC140" s="101"/>
      <c r="AD140" s="101"/>
      <c r="AE140" s="101"/>
      <c r="AF140" s="101"/>
      <c r="AG140" s="101"/>
      <c r="AH140" s="101"/>
      <c r="AI140" s="101"/>
      <c r="AJ140" s="104"/>
      <c r="AK140" s="101"/>
      <c r="AL140" s="101"/>
      <c r="AM140" s="104"/>
      <c r="AN140" s="104"/>
      <c r="AO140" s="104"/>
      <c r="AP140" s="104"/>
      <c r="AQ140" s="101"/>
      <c r="AR140" s="101"/>
      <c r="AS140" s="104"/>
      <c r="AT140" s="104"/>
      <c r="AU140" s="104"/>
      <c r="AV140" s="104"/>
      <c r="AW140" s="101"/>
      <c r="AX140" s="101"/>
      <c r="AY140" s="104"/>
      <c r="AZ140" s="104"/>
      <c r="BA140" s="104"/>
      <c r="BB140" s="104"/>
      <c r="BC140" s="101"/>
      <c r="BD140" s="101"/>
      <c r="BE140" s="104"/>
      <c r="BF140" s="104"/>
      <c r="BG140" s="104"/>
      <c r="BH140" s="104"/>
      <c r="BI140" s="101"/>
      <c r="BJ140" s="101"/>
      <c r="BK140" s="104"/>
      <c r="BL140" s="104"/>
      <c r="BM140" s="104"/>
      <c r="BN140" s="104"/>
      <c r="BO140" s="101"/>
      <c r="BP140" s="101"/>
      <c r="BQ140" s="104"/>
      <c r="BR140" s="104"/>
      <c r="BS140" s="104"/>
      <c r="BT140" s="104"/>
      <c r="BU140" s="101"/>
      <c r="BV140" s="101"/>
      <c r="BW140" s="104"/>
      <c r="BX140" s="104"/>
      <c r="BY140" s="104"/>
      <c r="BZ140" s="104"/>
      <c r="CA140" s="101"/>
      <c r="CB140" s="101"/>
      <c r="CC140" s="104"/>
      <c r="CD140" s="104"/>
      <c r="CE140" s="104"/>
      <c r="CF140" s="104"/>
      <c r="CG140" s="101"/>
      <c r="CH140" s="101"/>
      <c r="CI140" s="101"/>
      <c r="CP140" s="121"/>
      <c r="CQ140" s="121"/>
      <c r="CR140" s="121"/>
      <c r="CS140" s="121"/>
    </row>
    <row r="141" spans="1:97" ht="12.75" hidden="1" customHeight="1" outlineLevel="1" x14ac:dyDescent="0.2">
      <c r="A141" s="119"/>
      <c r="B141" s="329" t="s">
        <v>298</v>
      </c>
      <c r="C141" s="101">
        <f t="shared" ref="C141:G142" si="151">+C50</f>
        <v>0.36307460673452419</v>
      </c>
      <c r="D141" s="101">
        <f t="shared" si="151"/>
        <v>0.31791183112932919</v>
      </c>
      <c r="E141" s="101">
        <f t="shared" si="151"/>
        <v>0.33905753593371685</v>
      </c>
      <c r="F141" s="101">
        <f t="shared" si="151"/>
        <v>0.36545913372036898</v>
      </c>
      <c r="G141" s="101">
        <f t="shared" si="151"/>
        <v>0.3454799319105834</v>
      </c>
      <c r="H141" s="101"/>
      <c r="I141" s="101">
        <f t="shared" ref="I141:M142" si="152">+I50</f>
        <v>0.37524071894725586</v>
      </c>
      <c r="J141" s="101">
        <f t="shared" si="152"/>
        <v>0.40629771470050807</v>
      </c>
      <c r="K141" s="101">
        <f t="shared" si="152"/>
        <v>0.37532092639644549</v>
      </c>
      <c r="L141" s="101">
        <f t="shared" si="152"/>
        <v>0.35514333895446887</v>
      </c>
      <c r="M141" s="101">
        <f t="shared" si="152"/>
        <v>0.37852330447140564</v>
      </c>
      <c r="N141" s="101"/>
      <c r="O141" s="101">
        <f t="shared" ref="O141:S142" si="153">+O50</f>
        <v>0.3971653453487709</v>
      </c>
      <c r="P141" s="101">
        <f t="shared" si="153"/>
        <v>0.38141412023690968</v>
      </c>
      <c r="Q141" s="101">
        <f t="shared" si="153"/>
        <v>0.34927903720243725</v>
      </c>
      <c r="R141" s="101">
        <f t="shared" si="153"/>
        <v>0.32203057171885113</v>
      </c>
      <c r="S141" s="101">
        <f t="shared" si="153"/>
        <v>0.36032695872674358</v>
      </c>
      <c r="T141" s="102"/>
      <c r="U141" s="101">
        <f t="shared" ref="U141:Y142" si="154">+U50</f>
        <v>0.31020091020091023</v>
      </c>
      <c r="V141" s="101">
        <f t="shared" si="154"/>
        <v>0.30819612771305033</v>
      </c>
      <c r="W141" s="101">
        <f t="shared" si="154"/>
        <v>0.28041522924114354</v>
      </c>
      <c r="X141" s="101">
        <f t="shared" si="154"/>
        <v>0.32535282529361748</v>
      </c>
      <c r="Y141" s="101">
        <f t="shared" si="154"/>
        <v>0.30580589440707245</v>
      </c>
      <c r="Z141" s="102"/>
      <c r="AA141" s="101">
        <f t="shared" ref="AA141:AD142" si="155">+AA50</f>
        <v>0.31301022354467078</v>
      </c>
      <c r="AB141" s="101">
        <f t="shared" si="155"/>
        <v>0.32131972086671218</v>
      </c>
      <c r="AC141" s="101">
        <f t="shared" si="155"/>
        <v>0.27527125994884583</v>
      </c>
      <c r="AD141" s="101">
        <f t="shared" si="155"/>
        <v>0.28014429230828908</v>
      </c>
      <c r="AE141" s="101">
        <f t="shared" si="140"/>
        <v>0.29635574195242853</v>
      </c>
      <c r="AF141" s="102"/>
      <c r="AG141" s="101">
        <f t="shared" ref="AG141:AI142" si="156">+AG50</f>
        <v>0.28449277830010589</v>
      </c>
      <c r="AH141" s="101">
        <f t="shared" si="156"/>
        <v>0.2671775644459094</v>
      </c>
      <c r="AI141" s="101">
        <f t="shared" si="156"/>
        <v>0.2658539444379322</v>
      </c>
      <c r="AJ141" s="104">
        <f>+AJ111+0.005</f>
        <v>0.26941472976757208</v>
      </c>
      <c r="AK141" s="101">
        <f>SUMPRODUCT(AG141:AJ141,AG$8:AJ$8)/AK$8</f>
        <v>0.27160190057513645</v>
      </c>
      <c r="AL141" s="101"/>
      <c r="AM141" s="104">
        <f t="shared" ref="AM141:AP143" si="157">+AM111+0.005</f>
        <v>0.28030277379867169</v>
      </c>
      <c r="AN141" s="104">
        <f t="shared" si="157"/>
        <v>0.29705630295187635</v>
      </c>
      <c r="AO141" s="104">
        <f t="shared" si="157"/>
        <v>0.27990790609461053</v>
      </c>
      <c r="AP141" s="104">
        <f t="shared" si="157"/>
        <v>0.25567866197025108</v>
      </c>
      <c r="AQ141" s="101">
        <f>SUMPRODUCT(AM141:AP141,AM$8:AP$8)/AQ$8</f>
        <v>0.27771185054361824</v>
      </c>
      <c r="AR141" s="101"/>
      <c r="AS141" s="104">
        <f t="shared" ref="AS141:AV143" si="158">+AS111+0.005</f>
        <v>0.29777149784661716</v>
      </c>
      <c r="AT141" s="104">
        <f t="shared" si="158"/>
        <v>0.29786712269712412</v>
      </c>
      <c r="AU141" s="104">
        <f t="shared" si="158"/>
        <v>0.28080104910573217</v>
      </c>
      <c r="AV141" s="104">
        <f t="shared" si="158"/>
        <v>0.28506042296072509</v>
      </c>
      <c r="AW141" s="101">
        <f>SUMPRODUCT(AS141:AV141,AS$8:AV$8)/AW$8</f>
        <v>0.29025063250587868</v>
      </c>
      <c r="AX141" s="101"/>
      <c r="AY141" s="104">
        <f t="shared" ref="AY141:BB143" si="159">+AY111+0.005</f>
        <v>0.29359358592836088</v>
      </c>
      <c r="AZ141" s="104">
        <f t="shared" si="159"/>
        <v>0.31604265884482147</v>
      </c>
      <c r="BA141" s="104">
        <f>+BA111+0.005</f>
        <v>0.32232862151460034</v>
      </c>
      <c r="BB141" s="104">
        <f t="shared" si="159"/>
        <v>0.28503052864224487</v>
      </c>
      <c r="BC141" s="101">
        <f>SUMPRODUCT(AY141:BB141,AY$8:BB$8)/BC$8</f>
        <v>0.30388041818399869</v>
      </c>
      <c r="BD141" s="101"/>
      <c r="BE141" s="104">
        <f t="shared" ref="BE141:BH143" si="160">+BE111+0.005</f>
        <v>0.30937989957828005</v>
      </c>
      <c r="BF141" s="104">
        <f t="shared" si="160"/>
        <v>0.29700829615119234</v>
      </c>
      <c r="BG141" s="104">
        <f t="shared" si="160"/>
        <v>0.29951897769298674</v>
      </c>
      <c r="BH141" s="104">
        <f t="shared" si="160"/>
        <v>0.29270177990310964</v>
      </c>
      <c r="BI141" s="101">
        <f>SUMPRODUCT(BE141:BH141,BE$8:BH$8)/BI$8</f>
        <v>0.29922162284178283</v>
      </c>
      <c r="BJ141" s="101"/>
      <c r="BK141" s="104">
        <f t="shared" ref="BK141:BN143" si="161">+BK111+0.005</f>
        <v>0.32038168021418267</v>
      </c>
      <c r="BL141" s="104">
        <f t="shared" si="161"/>
        <v>0.30102424567836972</v>
      </c>
      <c r="BM141" s="104">
        <f t="shared" si="161"/>
        <v>0.28993289645874515</v>
      </c>
      <c r="BN141" s="104">
        <f t="shared" si="161"/>
        <v>0.28494051780992918</v>
      </c>
      <c r="BO141" s="101">
        <f>SUMPRODUCT(BK141:BN141,BK$8:BN$8)/BO$8</f>
        <v>0.29760214357581372</v>
      </c>
      <c r="BP141" s="101"/>
      <c r="BQ141" s="104">
        <f t="shared" ref="BQ141:BT143" si="162">+BQ111+0.005</f>
        <v>0.32482106727943533</v>
      </c>
      <c r="BR141" s="104">
        <f t="shared" si="162"/>
        <v>0.32500000000000001</v>
      </c>
      <c r="BS141" s="104">
        <f t="shared" si="162"/>
        <v>0.29499999999999998</v>
      </c>
      <c r="BT141" s="104">
        <f t="shared" si="162"/>
        <v>0.28500000000000003</v>
      </c>
      <c r="BU141" s="101">
        <f>SUMPRODUCT(BQ141:BT141,BQ$8:BT$8)/BU$8</f>
        <v>0.30631386270781363</v>
      </c>
      <c r="BV141" s="101"/>
      <c r="BW141" s="104">
        <f>+BW111+0.005</f>
        <v>0.32182106727943532</v>
      </c>
      <c r="BX141" s="104">
        <f>+BX111+0.005</f>
        <v>0.32200000000000001</v>
      </c>
      <c r="BY141" s="104">
        <f>+BY111+0.005</f>
        <v>0.29199999999999998</v>
      </c>
      <c r="BZ141" s="104">
        <f>+BZ111+0.005</f>
        <v>0.28200000000000003</v>
      </c>
      <c r="CA141" s="101">
        <f>SUMPRODUCT(BW141:BZ141,BW$8:BZ$8)/CA$8</f>
        <v>0.30327589652393977</v>
      </c>
      <c r="CB141" s="101"/>
      <c r="CC141" s="104">
        <f>+CC111+0.005</f>
        <v>0.31882106727943532</v>
      </c>
      <c r="CD141" s="104">
        <f>+CD111+0.005</f>
        <v>0.31900000000000001</v>
      </c>
      <c r="CE141" s="104">
        <f>+CE111+0.005</f>
        <v>0.28899999999999998</v>
      </c>
      <c r="CF141" s="104">
        <f>+CF111+0.005</f>
        <v>0.27900000000000003</v>
      </c>
      <c r="CG141" s="101">
        <f>SUMPRODUCT(CC141:CF141,CC$8:CF$8)/CG$8</f>
        <v>0.30037613042896461</v>
      </c>
      <c r="CH141" s="101"/>
      <c r="CI141" s="101"/>
      <c r="CP141" s="95"/>
      <c r="CQ141" s="95"/>
      <c r="CR141" s="95"/>
      <c r="CS141" s="95"/>
    </row>
    <row r="142" spans="1:97" ht="12.75" hidden="1" customHeight="1" outlineLevel="1" x14ac:dyDescent="0.2">
      <c r="A142" s="119"/>
      <c r="B142" s="329" t="s">
        <v>127</v>
      </c>
      <c r="C142" s="101">
        <f t="shared" si="151"/>
        <v>0.16293659133326016</v>
      </c>
      <c r="D142" s="101">
        <f t="shared" si="151"/>
        <v>0.15508530997480519</v>
      </c>
      <c r="E142" s="101">
        <f t="shared" si="151"/>
        <v>0.19522469944437448</v>
      </c>
      <c r="F142" s="101">
        <f t="shared" si="151"/>
        <v>0.21051615483265992</v>
      </c>
      <c r="G142" s="101">
        <f t="shared" si="151"/>
        <v>0.18107001674099293</v>
      </c>
      <c r="H142" s="101"/>
      <c r="I142" s="101">
        <f t="shared" si="152"/>
        <v>0.20311329838450842</v>
      </c>
      <c r="J142" s="101">
        <f t="shared" si="152"/>
        <v>0.20427523716552776</v>
      </c>
      <c r="K142" s="101">
        <f t="shared" si="152"/>
        <v>0.19149162598273314</v>
      </c>
      <c r="L142" s="101">
        <f t="shared" si="152"/>
        <v>0.2192107925801012</v>
      </c>
      <c r="M142" s="101">
        <f t="shared" si="152"/>
        <v>0.20447008974392716</v>
      </c>
      <c r="N142" s="101"/>
      <c r="O142" s="101">
        <f t="shared" si="153"/>
        <v>0.19203787144242287</v>
      </c>
      <c r="P142" s="101">
        <f t="shared" si="153"/>
        <v>0.21671733319356362</v>
      </c>
      <c r="Q142" s="101">
        <f t="shared" si="153"/>
        <v>0.20467017371229609</v>
      </c>
      <c r="R142" s="101">
        <f t="shared" si="153"/>
        <v>0.17880068347649403</v>
      </c>
      <c r="S142" s="101">
        <f t="shared" si="153"/>
        <v>0.1976031991496256</v>
      </c>
      <c r="T142" s="102"/>
      <c r="U142" s="101">
        <f t="shared" si="154"/>
        <v>0.16595626595626595</v>
      </c>
      <c r="V142" s="101">
        <f t="shared" si="154"/>
        <v>0.15980106072546807</v>
      </c>
      <c r="W142" s="101">
        <f t="shared" si="154"/>
        <v>0.16887448278737219</v>
      </c>
      <c r="X142" s="101">
        <f t="shared" si="154"/>
        <v>0.2005640898668361</v>
      </c>
      <c r="Y142" s="101">
        <f t="shared" si="154"/>
        <v>0.17377986631905332</v>
      </c>
      <c r="Z142" s="102"/>
      <c r="AA142" s="101">
        <f t="shared" si="155"/>
        <v>0.16700045777065689</v>
      </c>
      <c r="AB142" s="101">
        <f t="shared" si="155"/>
        <v>0.16857918491747581</v>
      </c>
      <c r="AC142" s="101">
        <f t="shared" si="155"/>
        <v>0.16077811492207733</v>
      </c>
      <c r="AD142" s="101">
        <f t="shared" si="155"/>
        <v>0.16443117024165083</v>
      </c>
      <c r="AE142" s="101">
        <f t="shared" si="140"/>
        <v>0.16507240365113676</v>
      </c>
      <c r="AF142" s="102"/>
      <c r="AG142" s="101">
        <f t="shared" si="156"/>
        <v>0.16580667609324912</v>
      </c>
      <c r="AH142" s="101">
        <f t="shared" si="156"/>
        <v>0.1519852224190735</v>
      </c>
      <c r="AI142" s="101">
        <f t="shared" si="156"/>
        <v>0.17489157191419527</v>
      </c>
      <c r="AJ142" s="104">
        <f>+AJ112+0.005</f>
        <v>0.19518482217866145</v>
      </c>
      <c r="AK142" s="101">
        <f>SUMPRODUCT(AG142:AJ142,AG$8:AJ$8)/AK$8</f>
        <v>0.17191991300636916</v>
      </c>
      <c r="AL142" s="101"/>
      <c r="AM142" s="104">
        <f>+AM112+0.005+AM52</f>
        <v>0.20260385466857661</v>
      </c>
      <c r="AN142" s="104">
        <f>+AN112+0.005+AN52</f>
        <v>0.16997179969236029</v>
      </c>
      <c r="AO142" s="104">
        <f>+AO112+0.005+AO52</f>
        <v>0.17208813052411462</v>
      </c>
      <c r="AP142" s="104">
        <f>+AP112+0.005+AP52</f>
        <v>0.16142317097794628</v>
      </c>
      <c r="AQ142" s="101">
        <f>SUMPRODUCT(AM142:AP142,AM$8:AP$8)/AQ$8</f>
        <v>0.17578154394234527</v>
      </c>
      <c r="AR142" s="101"/>
      <c r="AS142" s="104">
        <f>+AS112+0.005+AS52</f>
        <v>0.16652585720137728</v>
      </c>
      <c r="AT142" s="104">
        <f>+AT112+0.005+AT52</f>
        <v>0.14559554045841969</v>
      </c>
      <c r="AU142" s="104">
        <f>+AU112+0.005+AU52</f>
        <v>0.15396564073395269</v>
      </c>
      <c r="AV142" s="104">
        <f>+AV112+0.005+AV52</f>
        <v>0.15743202416918431</v>
      </c>
      <c r="AW142" s="101">
        <f>SUMPRODUCT(AS142:AV142,AS$8:AV$8)/AW$8</f>
        <v>0.15573268273084986</v>
      </c>
      <c r="AX142" s="101"/>
      <c r="AY142" s="104">
        <f>+AY112+0.005+AY52</f>
        <v>0.18686086314931238</v>
      </c>
      <c r="AZ142" s="104">
        <f>+AZ112+0.005+AZ52</f>
        <v>0.17429511706597056</v>
      </c>
      <c r="BA142" s="104">
        <f>+BA112+0.005+BA52</f>
        <v>0.17771645737345373</v>
      </c>
      <c r="BB142" s="104">
        <f>+BB112+0.005+BB52</f>
        <v>0.15741575321083567</v>
      </c>
      <c r="BC142" s="101">
        <f>SUMPRODUCT(AY142:BB142,AY$8:BB$8)/BC$8</f>
        <v>0.17348206919012682</v>
      </c>
      <c r="BD142" s="101"/>
      <c r="BE142" s="104">
        <f>+BE112+0.005+BE52</f>
        <v>0.17066869291501749</v>
      </c>
      <c r="BF142" s="104">
        <f>+BF112+0.005+BF52</f>
        <v>0.16393504403784689</v>
      </c>
      <c r="BG142" s="104">
        <f>+BG112+0.005+BG52</f>
        <v>0.16530156439589688</v>
      </c>
      <c r="BH142" s="104">
        <f>+BH112+0.005+BH52</f>
        <v>0.16159108203895786</v>
      </c>
      <c r="BI142" s="101">
        <f>SUMPRODUCT(BE142:BH142,BE$8:BH$8)/BI$8</f>
        <v>0.16513971931480209</v>
      </c>
      <c r="BJ142" s="101"/>
      <c r="BK142" s="104">
        <f>+BK112+0.005+BK52</f>
        <v>0.17665677103782723</v>
      </c>
      <c r="BL142" s="104">
        <f>+BL112+0.005+BL52</f>
        <v>0.16612085561706735</v>
      </c>
      <c r="BM142" s="104">
        <f>+BM112+0.005+BM52</f>
        <v>0.16008402686975173</v>
      </c>
      <c r="BN142" s="104">
        <f>+BN112+0.005+BN52</f>
        <v>0.15736676187810114</v>
      </c>
      <c r="BO142" s="101">
        <f>SUMPRODUCT(BK142:BN142,BK$8:BN$8)/BO$8</f>
        <v>0.1642582648772134</v>
      </c>
      <c r="BP142" s="101"/>
      <c r="BQ142" s="104">
        <f>+BQ112+0.005+BQ52</f>
        <v>0.14206617169118663</v>
      </c>
      <c r="BR142" s="104">
        <f>+BR112+0.005+BR52</f>
        <v>0.14500000000000002</v>
      </c>
      <c r="BS142" s="104">
        <f>+BS112+0.005+BS52</f>
        <v>0.15708402686975173</v>
      </c>
      <c r="BT142" s="104">
        <f>+BT112+0.005+BT52</f>
        <v>0.15436676187810114</v>
      </c>
      <c r="BU142" s="101">
        <f>SUMPRODUCT(BQ142:BT142,BQ$8:BT$8)/BU$8</f>
        <v>0.14998577092102849</v>
      </c>
      <c r="BV142" s="101"/>
      <c r="BW142" s="104">
        <f>+BW112+0.005+BW52</f>
        <v>0.13906617169118662</v>
      </c>
      <c r="BX142" s="104">
        <f>+BX112+0.005+BX52</f>
        <v>0.14200000000000002</v>
      </c>
      <c r="BY142" s="104">
        <f>+BY112+0.005+BY52</f>
        <v>0.15408402686975173</v>
      </c>
      <c r="BZ142" s="104">
        <f>+BZ112+0.005+BZ52</f>
        <v>0.15136676187810114</v>
      </c>
      <c r="CA142" s="101">
        <f>SUMPRODUCT(BW142:BZ142,BW$8:BZ$8)/CA$8</f>
        <v>0.14700854231231283</v>
      </c>
      <c r="CB142" s="101"/>
      <c r="CC142" s="104">
        <f>+CC112+0.005+CC52</f>
        <v>0.13606617169118662</v>
      </c>
      <c r="CD142" s="104">
        <f>+CD112+0.005+CD52</f>
        <v>0.13900000000000001</v>
      </c>
      <c r="CE142" s="104">
        <f>+CE112+0.005+CE52</f>
        <v>0.15108402686975173</v>
      </c>
      <c r="CF142" s="104">
        <f>+CF112+0.005+CF52</f>
        <v>0.14836676187810113</v>
      </c>
      <c r="CG142" s="101">
        <f>SUMPRODUCT(CC142:CF142,CC$8:CF$8)/CG$8</f>
        <v>0.14397515863135557</v>
      </c>
      <c r="CH142" s="101"/>
      <c r="CI142" s="101"/>
      <c r="CP142" s="95"/>
      <c r="CQ142" s="95"/>
      <c r="CR142" s="95"/>
      <c r="CS142" s="95"/>
    </row>
    <row r="143" spans="1:97" ht="12.75" hidden="1" customHeight="1" outlineLevel="1" x14ac:dyDescent="0.2">
      <c r="A143" s="119"/>
      <c r="B143" s="329" t="s">
        <v>128</v>
      </c>
      <c r="C143" s="101">
        <f>+C53</f>
        <v>8.9286554476874572E-2</v>
      </c>
      <c r="D143" s="101">
        <f>+D53</f>
        <v>8.7137579468167053E-2</v>
      </c>
      <c r="E143" s="101">
        <f>+E53</f>
        <v>9.4456340709017372E-2</v>
      </c>
      <c r="F143" s="101">
        <f>+F53</f>
        <v>9.1151040445688641E-2</v>
      </c>
      <c r="G143" s="101">
        <f>+G53</f>
        <v>9.0482253140694691E-2</v>
      </c>
      <c r="H143" s="101"/>
      <c r="I143" s="101">
        <f>+I53</f>
        <v>9.7558040012838354E-2</v>
      </c>
      <c r="J143" s="101">
        <f>+J53</f>
        <v>8.7619834297013852E-2</v>
      </c>
      <c r="K143" s="101">
        <f>+K53</f>
        <v>7.8725074162265707E-2</v>
      </c>
      <c r="L143" s="101">
        <f>+L53</f>
        <v>8.0283305227655991E-2</v>
      </c>
      <c r="M143" s="101">
        <f>+M53</f>
        <v>8.6075874411137718E-2</v>
      </c>
      <c r="N143" s="101"/>
      <c r="O143" s="101">
        <f>+O53</f>
        <v>7.4017566873894949E-2</v>
      </c>
      <c r="P143" s="101">
        <f>+P53</f>
        <v>7.4283243356570036E-2</v>
      </c>
      <c r="Q143" s="101">
        <f>+Q53</f>
        <v>7.07842914632454E-2</v>
      </c>
      <c r="R143" s="101">
        <f>+R53</f>
        <v>6.6742865059573303E-2</v>
      </c>
      <c r="S143" s="101">
        <f>+S53</f>
        <v>7.1244473046396001E-2</v>
      </c>
      <c r="T143" s="102"/>
      <c r="U143" s="101">
        <f>+U53</f>
        <v>6.7887667887667882E-2</v>
      </c>
      <c r="V143" s="101">
        <f>+V53</f>
        <v>6.8116466804404779E-2</v>
      </c>
      <c r="W143" s="101">
        <f>+W53</f>
        <v>6.870459732977581E-2</v>
      </c>
      <c r="X143" s="101">
        <f>+X53</f>
        <v>7.4203653666045907E-2</v>
      </c>
      <c r="Y143" s="101">
        <f>+Y53</f>
        <v>6.9729204888044891E-2</v>
      </c>
      <c r="Z143" s="102"/>
      <c r="AA143" s="101">
        <f>+AA53</f>
        <v>8.955138475623714E-2</v>
      </c>
      <c r="AB143" s="101">
        <f>+AB53</f>
        <v>7.71946771480439E-2</v>
      </c>
      <c r="AC143" s="101">
        <f>+AC53</f>
        <v>7.0900916644160955E-2</v>
      </c>
      <c r="AD143" s="101">
        <f>+AD53</f>
        <v>7.4225204608044687E-2</v>
      </c>
      <c r="AE143" s="101">
        <f t="shared" si="140"/>
        <v>7.7445955213333861E-2</v>
      </c>
      <c r="AF143" s="102"/>
      <c r="AG143" s="101">
        <f>+AG53</f>
        <v>7.6407139525758991E-2</v>
      </c>
      <c r="AH143" s="101">
        <f>+AH53</f>
        <v>7.2569458750497848E-2</v>
      </c>
      <c r="AI143" s="101">
        <f>+AI53</f>
        <v>7.2324463720548585E-2</v>
      </c>
      <c r="AJ143" s="104">
        <f>+AJ113+0.005</f>
        <v>8.6986838420610474E-2</v>
      </c>
      <c r="AK143" s="101">
        <f>SUMPRODUCT(AG143:AJ143,AG$8:AJ$8)/AK$8</f>
        <v>7.7112568544088725E-2</v>
      </c>
      <c r="AL143" s="101"/>
      <c r="AM143" s="104">
        <f t="shared" si="157"/>
        <v>7.8460085948691236E-2</v>
      </c>
      <c r="AN143" s="104">
        <f t="shared" si="157"/>
        <v>7.1630856752203542E-2</v>
      </c>
      <c r="AO143" s="104">
        <f t="shared" si="157"/>
        <v>7.1350163519871612E-2</v>
      </c>
      <c r="AP143" s="104">
        <f t="shared" si="157"/>
        <v>6.6528279451686004E-2</v>
      </c>
      <c r="AQ143" s="101">
        <f>SUMPRODUCT(AM143:AP143,AM$8:AP$8)/AQ$8</f>
        <v>7.1771583414873538E-2</v>
      </c>
      <c r="AR143" s="101"/>
      <c r="AS143" s="104">
        <f t="shared" si="158"/>
        <v>7.9067513257974176E-2</v>
      </c>
      <c r="AT143" s="104">
        <f t="shared" si="158"/>
        <v>7.4022650897777501E-2</v>
      </c>
      <c r="AU143" s="104">
        <f t="shared" si="158"/>
        <v>7.2696812656681195E-2</v>
      </c>
      <c r="AV143" s="104">
        <f t="shared" si="158"/>
        <v>7.1847935548841904E-2</v>
      </c>
      <c r="AW143" s="101">
        <f>SUMPRODUCT(AS143:AV143,AS$8:AV$8)/AW$8</f>
        <v>7.4321593954202236E-2</v>
      </c>
      <c r="AX143" s="101"/>
      <c r="AY143" s="104">
        <f t="shared" si="159"/>
        <v>7.5095816968387463E-2</v>
      </c>
      <c r="AZ143" s="104">
        <f t="shared" si="159"/>
        <v>7.9868250210035893E-2</v>
      </c>
      <c r="BA143" s="104">
        <f>+BA113+0.005</f>
        <v>9.062580670018687E-2</v>
      </c>
      <c r="BB143" s="104">
        <f t="shared" si="159"/>
        <v>6.5314579026906835E-2</v>
      </c>
      <c r="BC143" s="101">
        <f>SUMPRODUCT(AY143:BB143,AY$8:BB$8)/BC$8</f>
        <v>7.7428165575775337E-2</v>
      </c>
      <c r="BD143" s="101"/>
      <c r="BE143" s="104">
        <f t="shared" si="160"/>
        <v>6.8182808310991966E-2</v>
      </c>
      <c r="BF143" s="104">
        <f t="shared" si="160"/>
        <v>7.4100318530453443E-2</v>
      </c>
      <c r="BG143" s="104">
        <f t="shared" si="160"/>
        <v>7.8279993108127027E-2</v>
      </c>
      <c r="BH143" s="104">
        <f t="shared" si="160"/>
        <v>7.8699791611954881E-2</v>
      </c>
      <c r="BI143" s="101">
        <f>SUMPRODUCT(BE143:BH143,BE$8:BH$8)/BI$8</f>
        <v>7.5119291695142226E-2</v>
      </c>
      <c r="BJ143" s="101"/>
      <c r="BK143" s="104">
        <f t="shared" si="161"/>
        <v>7.8480461814584596E-2</v>
      </c>
      <c r="BL143" s="104">
        <f t="shared" si="161"/>
        <v>7.3401770636385574E-2</v>
      </c>
      <c r="BM143" s="104">
        <f t="shared" si="161"/>
        <v>6.7816176833209188E-2</v>
      </c>
      <c r="BN143" s="104">
        <f t="shared" si="161"/>
        <v>6.7113865134350609E-2</v>
      </c>
      <c r="BO143" s="101">
        <f>SUMPRODUCT(BK143:BN143,BK$8:BN$8)/BO$8</f>
        <v>7.1212935544887959E-2</v>
      </c>
      <c r="BP143" s="101"/>
      <c r="BQ143" s="104">
        <f t="shared" si="162"/>
        <v>7.2725737199146767E-2</v>
      </c>
      <c r="BR143" s="104">
        <f t="shared" si="162"/>
        <v>7.2725737199146767E-2</v>
      </c>
      <c r="BS143" s="104">
        <f t="shared" si="162"/>
        <v>7.2725737199146767E-2</v>
      </c>
      <c r="BT143" s="104">
        <f t="shared" si="162"/>
        <v>7.2725737199146767E-2</v>
      </c>
      <c r="BU143" s="101">
        <f>SUMPRODUCT(BQ143:BT143,BQ$8:BT$8)/BU$8</f>
        <v>7.2725737199146781E-2</v>
      </c>
      <c r="BV143" s="101"/>
      <c r="BW143" s="104">
        <f>+BW113+0.005</f>
        <v>7.1725737199146766E-2</v>
      </c>
      <c r="BX143" s="104">
        <f>+BX113+0.005</f>
        <v>7.1725737199146766E-2</v>
      </c>
      <c r="BY143" s="104">
        <f>+BY113+0.005</f>
        <v>7.1725737199146766E-2</v>
      </c>
      <c r="BZ143" s="104">
        <f>+BZ113+0.005</f>
        <v>7.1725737199146766E-2</v>
      </c>
      <c r="CA143" s="101">
        <f>SUMPRODUCT(BW143:BZ143,BW$8:BZ$8)/CA$8</f>
        <v>7.1725737199146766E-2</v>
      </c>
      <c r="CB143" s="101"/>
      <c r="CC143" s="104">
        <f>+CC113+0.005</f>
        <v>7.0725737199146765E-2</v>
      </c>
      <c r="CD143" s="104">
        <f>+CD113+0.005</f>
        <v>7.0725737199146765E-2</v>
      </c>
      <c r="CE143" s="104">
        <f>+CE113+0.005</f>
        <v>7.0725737199146765E-2</v>
      </c>
      <c r="CF143" s="104">
        <f>+CF113+0.005</f>
        <v>7.0725737199146765E-2</v>
      </c>
      <c r="CG143" s="101">
        <f>SUMPRODUCT(CC143:CF143,CC$8:CF$8)/CG$8</f>
        <v>7.0725737199146765E-2</v>
      </c>
      <c r="CH143" s="101"/>
      <c r="CI143" s="101"/>
      <c r="CP143" s="95"/>
      <c r="CQ143" s="95"/>
      <c r="CR143" s="95"/>
      <c r="CS143" s="95"/>
    </row>
    <row r="144" spans="1:97" ht="12.75" hidden="1" customHeight="1" outlineLevel="1" x14ac:dyDescent="0.2">
      <c r="A144" s="42"/>
      <c r="B144" s="102"/>
      <c r="C144" s="102"/>
      <c r="D144" s="102"/>
      <c r="E144" s="102"/>
      <c r="F144" s="102"/>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102"/>
      <c r="AP144" s="102"/>
      <c r="AQ144" s="102"/>
      <c r="AR144" s="102"/>
      <c r="AS144" s="102"/>
      <c r="AT144" s="102"/>
      <c r="AU144" s="102"/>
      <c r="AV144" s="102"/>
      <c r="AW144" s="102"/>
      <c r="AX144" s="102"/>
      <c r="AY144" s="102"/>
      <c r="AZ144" s="102"/>
      <c r="BA144" s="102"/>
      <c r="BB144" s="102"/>
      <c r="BC144" s="102"/>
      <c r="BD144" s="102"/>
      <c r="BE144" s="102"/>
      <c r="BF144" s="102"/>
      <c r="BG144" s="102"/>
      <c r="BH144" s="102"/>
      <c r="BI144" s="102"/>
      <c r="BJ144" s="102"/>
      <c r="BK144" s="102"/>
      <c r="BL144" s="102"/>
      <c r="BM144" s="102"/>
      <c r="BN144" s="102"/>
      <c r="BO144" s="102"/>
      <c r="BP144" s="102"/>
      <c r="BQ144" s="102"/>
      <c r="BR144" s="102"/>
      <c r="BS144" s="102"/>
      <c r="BT144" s="102"/>
      <c r="BU144" s="102"/>
      <c r="BV144" s="102"/>
      <c r="BW144" s="102"/>
      <c r="BX144" s="102"/>
      <c r="BY144" s="102"/>
      <c r="BZ144" s="102"/>
      <c r="CA144" s="102"/>
      <c r="CB144" s="102"/>
      <c r="CC144" s="102"/>
      <c r="CD144" s="102"/>
      <c r="CE144" s="102"/>
      <c r="CF144" s="102"/>
      <c r="CG144" s="102"/>
      <c r="CH144" s="102"/>
      <c r="CI144" s="102"/>
      <c r="CP144" s="95"/>
      <c r="CQ144" s="95"/>
      <c r="CR144" s="95"/>
      <c r="CS144" s="95"/>
    </row>
    <row r="145" spans="1:97" collapsed="1" x14ac:dyDescent="0.2">
      <c r="A145" s="42"/>
      <c r="B145" s="42"/>
      <c r="C145" s="42"/>
      <c r="D145" s="31"/>
      <c r="E145" s="31"/>
      <c r="F145" s="31"/>
      <c r="G145" s="31"/>
      <c r="H145" s="115"/>
      <c r="I145" s="31"/>
      <c r="J145" s="31"/>
      <c r="K145" s="31"/>
      <c r="L145" s="31"/>
      <c r="M145" s="31"/>
      <c r="N145" s="115"/>
      <c r="O145" s="42"/>
      <c r="P145" s="42"/>
      <c r="Q145" s="42"/>
      <c r="R145" s="42"/>
      <c r="S145" s="42"/>
      <c r="T145" s="115"/>
      <c r="U145" s="42"/>
      <c r="V145" s="42"/>
      <c r="W145" s="42"/>
      <c r="X145" s="42"/>
      <c r="Y145" s="35"/>
      <c r="Z145" s="115"/>
      <c r="AA145" s="42"/>
      <c r="AB145" s="42"/>
      <c r="AC145" s="42"/>
      <c r="AD145" s="42"/>
      <c r="AE145" s="42"/>
      <c r="AF145" s="115"/>
      <c r="AG145" s="42"/>
      <c r="AH145" s="42"/>
      <c r="AI145" s="42"/>
      <c r="AJ145" s="42"/>
      <c r="AK145" s="42"/>
      <c r="AL145" s="115"/>
      <c r="AM145" s="42"/>
      <c r="AN145" s="42"/>
      <c r="AO145" s="42"/>
      <c r="AP145" s="42"/>
      <c r="AQ145" s="42"/>
      <c r="AR145" s="115"/>
      <c r="AS145" s="42"/>
      <c r="AT145" s="42"/>
      <c r="AU145" s="42"/>
      <c r="AV145" s="42"/>
      <c r="AW145" s="42"/>
      <c r="AX145" s="115"/>
      <c r="AY145" s="42"/>
      <c r="AZ145" s="42"/>
      <c r="BA145" s="42"/>
      <c r="BB145" s="42"/>
      <c r="BC145" s="42"/>
      <c r="BD145" s="115"/>
      <c r="BE145" s="42"/>
      <c r="BF145" s="42"/>
      <c r="BG145" s="42"/>
      <c r="BH145" s="42"/>
      <c r="BI145" s="42"/>
      <c r="BJ145" s="115"/>
      <c r="BK145" s="42"/>
      <c r="BL145" s="42"/>
      <c r="BM145" s="42"/>
      <c r="BN145" s="42"/>
      <c r="BO145" s="42"/>
      <c r="BP145" s="115"/>
      <c r="BQ145" s="42"/>
      <c r="BR145" s="42"/>
      <c r="BS145" s="42"/>
      <c r="BT145" s="42"/>
      <c r="BU145" s="42"/>
      <c r="BV145" s="115"/>
      <c r="BW145" s="42"/>
      <c r="BX145" s="42"/>
      <c r="BY145" s="42"/>
      <c r="BZ145" s="42"/>
      <c r="CA145" s="42"/>
      <c r="CB145" s="115"/>
      <c r="CC145" s="42"/>
      <c r="CD145" s="42"/>
      <c r="CE145" s="42"/>
      <c r="CF145" s="42"/>
      <c r="CG145" s="42"/>
      <c r="CH145" s="42"/>
      <c r="CI145" s="42"/>
      <c r="CP145" s="42"/>
      <c r="CQ145" s="42"/>
      <c r="CR145" s="42"/>
      <c r="CS145" s="42"/>
    </row>
    <row r="146" spans="1:97" x14ac:dyDescent="0.2">
      <c r="A146" s="42"/>
      <c r="B146" s="120" t="s">
        <v>107</v>
      </c>
      <c r="C146" s="42"/>
      <c r="D146" s="31"/>
      <c r="E146" s="31"/>
      <c r="F146" s="31"/>
      <c r="G146" s="31"/>
      <c r="H146" s="115"/>
      <c r="I146" s="31"/>
      <c r="J146" s="31"/>
      <c r="K146" s="31"/>
      <c r="L146" s="31"/>
      <c r="M146" s="31"/>
      <c r="N146" s="115"/>
      <c r="O146" s="42"/>
      <c r="P146" s="42"/>
      <c r="Q146" s="42"/>
      <c r="R146" s="42"/>
      <c r="S146" s="42"/>
      <c r="T146" s="115"/>
      <c r="U146" s="42"/>
      <c r="V146" s="42"/>
      <c r="W146" s="42"/>
      <c r="X146" s="42"/>
      <c r="Y146" s="35"/>
      <c r="Z146" s="115"/>
      <c r="AA146" s="42"/>
      <c r="AB146" s="42"/>
      <c r="AC146" s="42"/>
      <c r="AD146" s="42"/>
      <c r="AE146" s="42"/>
      <c r="AF146" s="115"/>
      <c r="AG146" s="42"/>
      <c r="AH146" s="42"/>
      <c r="AI146" s="42"/>
      <c r="AJ146" s="42"/>
      <c r="AK146" s="42"/>
      <c r="AL146" s="115"/>
      <c r="AM146" s="42"/>
      <c r="AN146" s="42"/>
      <c r="AO146" s="42"/>
      <c r="AP146" s="42"/>
      <c r="AQ146" s="42"/>
      <c r="AR146" s="115"/>
      <c r="AS146" s="42"/>
      <c r="AT146" s="42"/>
      <c r="AU146" s="42"/>
      <c r="AV146" s="42"/>
      <c r="AW146" s="42"/>
      <c r="AX146" s="115"/>
      <c r="AY146" s="42"/>
      <c r="AZ146" s="42"/>
      <c r="BA146" s="42"/>
      <c r="BB146" s="42"/>
      <c r="BC146" s="42"/>
      <c r="BD146" s="115"/>
      <c r="BE146" s="42"/>
      <c r="BF146" s="42"/>
      <c r="BG146" s="42"/>
      <c r="BH146" s="42"/>
      <c r="BI146" s="42"/>
      <c r="BJ146" s="115"/>
      <c r="BK146" s="42"/>
      <c r="BL146" s="42"/>
      <c r="BM146" s="42"/>
      <c r="BN146" s="42"/>
      <c r="BO146" s="42"/>
      <c r="BP146" s="115"/>
      <c r="BQ146" s="42"/>
      <c r="BR146" s="42"/>
      <c r="BS146" s="42"/>
      <c r="BT146" s="42"/>
      <c r="BU146" s="42"/>
      <c r="BV146" s="115"/>
      <c r="BW146" s="42"/>
      <c r="BX146" s="42"/>
      <c r="BY146" s="42"/>
      <c r="BZ146" s="42"/>
      <c r="CA146" s="42"/>
      <c r="CB146" s="115"/>
      <c r="CC146" s="42"/>
      <c r="CD146" s="42"/>
      <c r="CE146" s="42"/>
      <c r="CF146" s="42"/>
      <c r="CG146" s="42"/>
      <c r="CH146" s="42"/>
      <c r="CI146" s="42"/>
      <c r="CP146" s="42"/>
      <c r="CQ146" s="42"/>
      <c r="CR146" s="42"/>
      <c r="CS146" s="42"/>
    </row>
    <row r="147" spans="1:97" ht="12.75" hidden="1" customHeight="1" outlineLevel="1" x14ac:dyDescent="0.2">
      <c r="A147" s="42"/>
      <c r="B147" s="95" t="s">
        <v>350</v>
      </c>
      <c r="C147" s="326">
        <v>64.858999999999995</v>
      </c>
      <c r="D147" s="327">
        <f>+C148</f>
        <v>65.853999999999999</v>
      </c>
      <c r="E147" s="327">
        <f t="shared" ref="E147:L147" si="163">+D148</f>
        <v>67.198999999999998</v>
      </c>
      <c r="F147" s="327">
        <f t="shared" si="163"/>
        <v>68.480999999999995</v>
      </c>
      <c r="G147" s="327">
        <f>+C147</f>
        <v>64.858999999999995</v>
      </c>
      <c r="H147" s="115"/>
      <c r="I147" s="327">
        <f>+G148</f>
        <v>68.641999999999996</v>
      </c>
      <c r="J147" s="327">
        <f t="shared" si="163"/>
        <v>69.546000000000006</v>
      </c>
      <c r="K147" s="327">
        <f t="shared" si="163"/>
        <v>67.58</v>
      </c>
      <c r="L147" s="327">
        <f t="shared" si="163"/>
        <v>67.034999999999997</v>
      </c>
      <c r="M147" s="327">
        <f>+I147</f>
        <v>68.641999999999996</v>
      </c>
      <c r="N147" s="115"/>
      <c r="O147" s="327">
        <f>+M148</f>
        <v>65.632999999999996</v>
      </c>
      <c r="P147" s="327">
        <f>+O148</f>
        <v>66.182000000000002</v>
      </c>
      <c r="Q147" s="327">
        <f>+P148</f>
        <v>66.381</v>
      </c>
      <c r="R147" s="327">
        <f>+Q148</f>
        <v>74.328999999999994</v>
      </c>
      <c r="S147" s="327">
        <f>+O147</f>
        <v>65.632999999999996</v>
      </c>
      <c r="T147" s="115"/>
      <c r="U147" s="327">
        <f>+S148</f>
        <v>74.567999999999998</v>
      </c>
      <c r="V147" s="327">
        <f>+U148</f>
        <v>75.608000000000004</v>
      </c>
      <c r="W147" s="327">
        <f>+V148</f>
        <v>75.759</v>
      </c>
      <c r="X147" s="327">
        <f>+W148</f>
        <v>76.254999999999995</v>
      </c>
      <c r="Y147" s="327">
        <f>+U147</f>
        <v>74.567999999999998</v>
      </c>
      <c r="Z147" s="115"/>
      <c r="AA147" s="327">
        <f>+Y148</f>
        <v>76.39</v>
      </c>
      <c r="AB147" s="327">
        <f>+AA148</f>
        <v>77.188999999999993</v>
      </c>
      <c r="AC147" s="327">
        <f>+AB148</f>
        <v>78.305000000000007</v>
      </c>
      <c r="AD147" s="327">
        <f>+AC148</f>
        <v>78.475259361334878</v>
      </c>
      <c r="AE147" s="327">
        <f>+AA147</f>
        <v>76.39</v>
      </c>
      <c r="AF147" s="115"/>
      <c r="AG147" s="327">
        <f>+AE148</f>
        <v>78.376268045747949</v>
      </c>
      <c r="AH147" s="327">
        <f>+AG148</f>
        <v>78.746907548967087</v>
      </c>
      <c r="AI147" s="327">
        <f>+AH148</f>
        <v>80.760000000000005</v>
      </c>
      <c r="AJ147" s="327">
        <f>+AI148</f>
        <v>81.784000000000006</v>
      </c>
      <c r="AK147" s="327">
        <f>+AG147</f>
        <v>78.376268045747949</v>
      </c>
      <c r="AL147" s="115"/>
      <c r="AM147" s="327">
        <f>+AK148</f>
        <v>80.611000000000004</v>
      </c>
      <c r="AN147" s="327">
        <f>+AM148</f>
        <v>81.066911342040711</v>
      </c>
      <c r="AO147" s="327">
        <f>+AN148</f>
        <v>79.698999999999998</v>
      </c>
      <c r="AP147" s="327">
        <f>+AO148</f>
        <v>80.114000000000004</v>
      </c>
      <c r="AQ147" s="327">
        <f>+AM147</f>
        <v>80.611000000000004</v>
      </c>
      <c r="AR147" s="115"/>
      <c r="AS147" s="327">
        <f>+AQ148</f>
        <v>80.582999999999998</v>
      </c>
      <c r="AT147" s="327">
        <f>+AS148</f>
        <v>81.632000000000005</v>
      </c>
      <c r="AU147" s="327">
        <f>+AT148</f>
        <v>80.783000000000001</v>
      </c>
      <c r="AV147" s="327">
        <f>+AU148</f>
        <v>80.516000000000005</v>
      </c>
      <c r="AW147" s="327">
        <f>+AS147</f>
        <v>80.582999999999998</v>
      </c>
      <c r="AX147" s="115"/>
      <c r="AY147" s="327">
        <f>+AW148</f>
        <v>80.204999999999998</v>
      </c>
      <c r="AZ147" s="327">
        <f>+AY148</f>
        <v>80.733999999999995</v>
      </c>
      <c r="BA147" s="327">
        <f>+AZ148</f>
        <v>80.257000000000005</v>
      </c>
      <c r="BB147" s="327">
        <f>+BA148</f>
        <v>79.808000000000007</v>
      </c>
      <c r="BC147" s="327">
        <f>+AY147</f>
        <v>80.204999999999998</v>
      </c>
      <c r="BD147" s="115"/>
      <c r="BE147" s="327">
        <f>+BC148</f>
        <v>79.480999999999995</v>
      </c>
      <c r="BF147" s="327">
        <f>+BE148</f>
        <v>80.174999999999997</v>
      </c>
      <c r="BG147" s="327">
        <f>+BF148</f>
        <v>79.867999999999995</v>
      </c>
      <c r="BH147" s="327">
        <f>+BG148</f>
        <v>79.867000000000004</v>
      </c>
      <c r="BI147" s="327">
        <f>+BE147</f>
        <v>79.480999999999995</v>
      </c>
      <c r="BJ147" s="115"/>
      <c r="BK147" s="327">
        <f>+BI148</f>
        <v>79.552999999999997</v>
      </c>
      <c r="BL147" s="327">
        <f>+BK148</f>
        <v>79.623091661891792</v>
      </c>
      <c r="BM147" s="327">
        <f>+BL148</f>
        <v>79.257813766325143</v>
      </c>
      <c r="BN147" s="327">
        <f>+BM148</f>
        <v>79.344411883973748</v>
      </c>
      <c r="BO147" s="327">
        <f>+BK147</f>
        <v>79.552999999999997</v>
      </c>
      <c r="BP147" s="115"/>
      <c r="BQ147" s="327">
        <f>+BO148</f>
        <v>79.130110314019007</v>
      </c>
      <c r="BR147" s="327">
        <f>+BQ148</f>
        <v>78.825214599068914</v>
      </c>
      <c r="BS147" s="327">
        <f>+BR148</f>
        <v>78.533275632191774</v>
      </c>
      <c r="BT147" s="327">
        <f>+BS148</f>
        <v>78.244974638860867</v>
      </c>
      <c r="BU147" s="327">
        <f>+BQ147</f>
        <v>79.130110314019007</v>
      </c>
      <c r="BV147" s="115"/>
      <c r="BW147" s="327">
        <f>+BU148</f>
        <v>78.038885478500688</v>
      </c>
      <c r="BX147" s="327">
        <f>+BW148</f>
        <v>77.7619116751344</v>
      </c>
      <c r="BY147" s="327">
        <f>+BX148</f>
        <v>77.500386000199967</v>
      </c>
      <c r="BZ147" s="327">
        <f>+BY148</f>
        <v>77.242367854081976</v>
      </c>
      <c r="CA147" s="327">
        <f>+BW147</f>
        <v>78.038885478500688</v>
      </c>
      <c r="CB147" s="115"/>
      <c r="CC147" s="327">
        <f>+CA148</f>
        <v>77.062232040903154</v>
      </c>
      <c r="CD147" s="327">
        <f>+CC148</f>
        <v>76.793457847967503</v>
      </c>
      <c r="CE147" s="327">
        <f>+CD148</f>
        <v>76.543432807158226</v>
      </c>
      <c r="CF147" s="327">
        <f>+CE148</f>
        <v>76.375916813013561</v>
      </c>
      <c r="CG147" s="327">
        <f>+CC147</f>
        <v>77.062232040903154</v>
      </c>
      <c r="CH147" s="327"/>
      <c r="CI147" s="327"/>
      <c r="CP147" s="42"/>
      <c r="CQ147" s="42"/>
      <c r="CR147" s="42"/>
      <c r="CS147" s="42"/>
    </row>
    <row r="148" spans="1:97" ht="12.75" hidden="1" customHeight="1" outlineLevel="1" x14ac:dyDescent="0.2">
      <c r="A148" s="31"/>
      <c r="B148" s="114" t="s">
        <v>351</v>
      </c>
      <c r="C148" s="327">
        <f>+C42</f>
        <v>65.853999999999999</v>
      </c>
      <c r="D148" s="327">
        <f>+D42</f>
        <v>67.198999999999998</v>
      </c>
      <c r="E148" s="327">
        <f>+E42</f>
        <v>68.480999999999995</v>
      </c>
      <c r="F148" s="327">
        <f>+F42</f>
        <v>68.641999999999996</v>
      </c>
      <c r="G148" s="327">
        <f>+F148</f>
        <v>68.641999999999996</v>
      </c>
      <c r="H148" s="328"/>
      <c r="I148" s="327">
        <f>+I42</f>
        <v>69.546000000000006</v>
      </c>
      <c r="J148" s="327">
        <f>+J42</f>
        <v>67.58</v>
      </c>
      <c r="K148" s="327">
        <f>+K42</f>
        <v>67.034999999999997</v>
      </c>
      <c r="L148" s="327">
        <f>+L42</f>
        <v>65.632999999999996</v>
      </c>
      <c r="M148" s="327">
        <f>+L148</f>
        <v>65.632999999999996</v>
      </c>
      <c r="N148" s="328"/>
      <c r="O148" s="327">
        <f>+O42</f>
        <v>66.182000000000002</v>
      </c>
      <c r="P148" s="327">
        <f>+P42</f>
        <v>66.381</v>
      </c>
      <c r="Q148" s="327">
        <f>+Q42</f>
        <v>74.328999999999994</v>
      </c>
      <c r="R148" s="327">
        <f>+R42</f>
        <v>74.567999999999998</v>
      </c>
      <c r="S148" s="327">
        <f>+R148</f>
        <v>74.567999999999998</v>
      </c>
      <c r="T148" s="328"/>
      <c r="U148" s="327">
        <f>+U42</f>
        <v>75.608000000000004</v>
      </c>
      <c r="V148" s="327">
        <f>+V42</f>
        <v>75.759</v>
      </c>
      <c r="W148" s="327">
        <f>+W42</f>
        <v>76.254999999999995</v>
      </c>
      <c r="X148" s="327">
        <f>+X42</f>
        <v>76.39</v>
      </c>
      <c r="Y148" s="327">
        <f>+X148</f>
        <v>76.39</v>
      </c>
      <c r="Z148" s="328"/>
      <c r="AA148" s="327">
        <f>+AA42</f>
        <v>77.188999999999993</v>
      </c>
      <c r="AB148" s="327">
        <f>+AB42</f>
        <v>78.305000000000007</v>
      </c>
      <c r="AC148" s="327">
        <f>+AC147+('Cash Flow'!AB36+'Cash Flow'!AB38)/'Cash Flow'!AB84</f>
        <v>78.475259361334878</v>
      </c>
      <c r="AD148" s="327">
        <f>+AD147+('Cash Flow'!AC36+'Cash Flow'!AC38)/'Cash Flow'!AC84</f>
        <v>78.376268045747949</v>
      </c>
      <c r="AE148" s="327">
        <f>+AD148</f>
        <v>78.376268045747949</v>
      </c>
      <c r="AF148" s="117"/>
      <c r="AG148" s="327">
        <f>+AG147+('Cash Flow'!AF36+'Cash Flow'!AF38)/'Cash Flow'!AF84</f>
        <v>78.746907548967087</v>
      </c>
      <c r="AH148" s="327">
        <f>+AH42</f>
        <v>80.760000000000005</v>
      </c>
      <c r="AI148" s="327">
        <f>+AI42</f>
        <v>81.784000000000006</v>
      </c>
      <c r="AJ148" s="327">
        <f>+AJ42</f>
        <v>80.611000000000004</v>
      </c>
      <c r="AK148" s="327">
        <f>+AJ148</f>
        <v>80.611000000000004</v>
      </c>
      <c r="AL148" s="117"/>
      <c r="AM148" s="327">
        <f>+AM147+('Cash Flow'!AL36+'Cash Flow'!AL38)/'Cash Flow'!AL84</f>
        <v>81.066911342040711</v>
      </c>
      <c r="AN148" s="327">
        <f>+AN42</f>
        <v>79.698999999999998</v>
      </c>
      <c r="AO148" s="327">
        <f>+AO42</f>
        <v>80.114000000000004</v>
      </c>
      <c r="AP148" s="327">
        <f>+AP42</f>
        <v>80.582999999999998</v>
      </c>
      <c r="AQ148" s="327">
        <f>+AP148</f>
        <v>80.582999999999998</v>
      </c>
      <c r="AR148" s="117"/>
      <c r="AS148" s="327">
        <f>+AS42</f>
        <v>81.632000000000005</v>
      </c>
      <c r="AT148" s="327">
        <f>+AT42</f>
        <v>80.783000000000001</v>
      </c>
      <c r="AU148" s="327">
        <f>+AU42</f>
        <v>80.516000000000005</v>
      </c>
      <c r="AV148" s="327">
        <f>+AV42</f>
        <v>80.204999999999998</v>
      </c>
      <c r="AW148" s="327">
        <f>+AV148</f>
        <v>80.204999999999998</v>
      </c>
      <c r="AX148" s="117"/>
      <c r="AY148" s="327">
        <f>+AY42</f>
        <v>80.733999999999995</v>
      </c>
      <c r="AZ148" s="327">
        <f>+AZ42</f>
        <v>80.257000000000005</v>
      </c>
      <c r="BA148" s="327">
        <f>+BA42</f>
        <v>79.808000000000007</v>
      </c>
      <c r="BB148" s="327">
        <f>+BB42</f>
        <v>79.480999999999995</v>
      </c>
      <c r="BC148" s="327">
        <f>+BB148</f>
        <v>79.480999999999995</v>
      </c>
      <c r="BD148" s="117"/>
      <c r="BE148" s="327">
        <f>+BE42</f>
        <v>80.174999999999997</v>
      </c>
      <c r="BF148" s="327">
        <f>+BF42</f>
        <v>79.867999999999995</v>
      </c>
      <c r="BG148" s="327">
        <f>+BG42</f>
        <v>79.867000000000004</v>
      </c>
      <c r="BH148" s="327">
        <f>+BH42</f>
        <v>79.552999999999997</v>
      </c>
      <c r="BI148" s="327">
        <f>+BH148</f>
        <v>79.552999999999997</v>
      </c>
      <c r="BJ148" s="117"/>
      <c r="BK148" s="327">
        <f>+BK147+('Cash Flow'!BJ38/'Cash Flow'!BJ84)+('Cash Flow'!BJ36/'Cash Flow'!BJ72)</f>
        <v>79.623091661891792</v>
      </c>
      <c r="BL148" s="327">
        <f>+BL147+('Cash Flow'!BK38/'Cash Flow'!BK84)+('Cash Flow'!BK36/'Cash Flow'!BK72)</f>
        <v>79.257813766325143</v>
      </c>
      <c r="BM148" s="327">
        <f>+BM147+('Cash Flow'!BL38/'Cash Flow'!BL84)+('Cash Flow'!BL36/'Cash Flow'!BL72)</f>
        <v>79.344411883973748</v>
      </c>
      <c r="BN148" s="327">
        <f>+BN147+('Cash Flow'!BM38/'Cash Flow'!BM84)+('Cash Flow'!BM36/'Cash Flow'!BM72)</f>
        <v>79.130110314019007</v>
      </c>
      <c r="BO148" s="327">
        <f>+BN148</f>
        <v>79.130110314019007</v>
      </c>
      <c r="BP148" s="117"/>
      <c r="BQ148" s="327">
        <f>+BQ147+('Cash Flow'!BP38/'Cash Flow'!BP84)+('Cash Flow'!BP36/'Cash Flow'!BP72)</f>
        <v>78.825214599068914</v>
      </c>
      <c r="BR148" s="327">
        <f>+BR147+('Cash Flow'!BQ38/'Cash Flow'!BQ84)+('Cash Flow'!BQ36/'Cash Flow'!BQ72)</f>
        <v>78.533275632191774</v>
      </c>
      <c r="BS148" s="327">
        <f>+BS147+('Cash Flow'!BR38/'Cash Flow'!BR84)+('Cash Flow'!BR36/'Cash Flow'!BR72)</f>
        <v>78.244974638860867</v>
      </c>
      <c r="BT148" s="327">
        <f>+BT147+('Cash Flow'!BS38/'Cash Flow'!BS84)+('Cash Flow'!BS36/'Cash Flow'!BS72)</f>
        <v>78.038885478500688</v>
      </c>
      <c r="BU148" s="327">
        <f>+BT148</f>
        <v>78.038885478500688</v>
      </c>
      <c r="BV148" s="117"/>
      <c r="BW148" s="327">
        <f>+BW147+('Cash Flow'!BV38/'Cash Flow'!BV84)+('Cash Flow'!BV36/'Cash Flow'!BV72)</f>
        <v>77.7619116751344</v>
      </c>
      <c r="BX148" s="327">
        <f>+BX147+('Cash Flow'!BW38/'Cash Flow'!BW84)+('Cash Flow'!BW36/'Cash Flow'!BW72)</f>
        <v>77.500386000199967</v>
      </c>
      <c r="BY148" s="327">
        <f>+BY147+('Cash Flow'!BX38/'Cash Flow'!BX84)+('Cash Flow'!BX36/'Cash Flow'!BX72)</f>
        <v>77.242367854081976</v>
      </c>
      <c r="BZ148" s="327">
        <f>+BZ147+('Cash Flow'!BY38/'Cash Flow'!BY84)+('Cash Flow'!BY36/'Cash Flow'!BY72)</f>
        <v>77.062232040903154</v>
      </c>
      <c r="CA148" s="327">
        <f>+BZ148</f>
        <v>77.062232040903154</v>
      </c>
      <c r="CB148" s="117"/>
      <c r="CC148" s="327">
        <f>+CC147+('Cash Flow'!CB38/'Cash Flow'!CB84)+('Cash Flow'!CB36/'Cash Flow'!CB72)</f>
        <v>76.793457847967503</v>
      </c>
      <c r="CD148" s="327">
        <f>+CD147+('Cash Flow'!CC38/'Cash Flow'!CC84)+('Cash Flow'!CC36/'Cash Flow'!CC72)</f>
        <v>76.543432807158226</v>
      </c>
      <c r="CE148" s="327">
        <f>+CE147+('Cash Flow'!CE38/'Cash Flow'!CE84)+('Cash Flow'!CE36/'Cash Flow'!CE72)</f>
        <v>76.375916813013561</v>
      </c>
      <c r="CF148" s="327">
        <f>+CF147+('Cash Flow'!CF38/'Cash Flow'!CF84)+('Cash Flow'!CF36/'Cash Flow'!CF72)</f>
        <v>75.464715492681307</v>
      </c>
      <c r="CG148" s="327">
        <f>+CF148</f>
        <v>75.464715492681307</v>
      </c>
      <c r="CH148" s="327"/>
      <c r="CI148" s="327"/>
      <c r="CP148" s="31"/>
      <c r="CQ148" s="31"/>
      <c r="CR148" s="31"/>
      <c r="CS148" s="31"/>
    </row>
    <row r="149" spans="1:97" ht="12.75" hidden="1" customHeight="1" outlineLevel="1" x14ac:dyDescent="0.2">
      <c r="A149" s="42"/>
      <c r="B149" s="95" t="s">
        <v>352</v>
      </c>
      <c r="C149" s="286">
        <f>+SUM(C150:C151)</f>
        <v>0.40039999999999998</v>
      </c>
      <c r="D149" s="286">
        <f>+SUM(D150:D151)</f>
        <v>0.40039999999999998</v>
      </c>
      <c r="E149" s="286">
        <f>+SUM(E150:E151)</f>
        <v>0.40039999999999998</v>
      </c>
      <c r="F149" s="286">
        <f>+SUM(F150:F151)</f>
        <v>0.40039999999999998</v>
      </c>
      <c r="G149" s="286">
        <f>+SUM(G150:G151)</f>
        <v>0.40039999999999998</v>
      </c>
      <c r="H149" s="115"/>
      <c r="I149" s="286">
        <f>+SUM(I150:I151)</f>
        <v>0.4274</v>
      </c>
      <c r="J149" s="286">
        <f>+SUM(J150:J151)</f>
        <v>0.4274</v>
      </c>
      <c r="K149" s="286">
        <f>+SUM(K150:K151)</f>
        <v>0.4274</v>
      </c>
      <c r="L149" s="286">
        <f>+SUM(L150:L151)</f>
        <v>0.4274</v>
      </c>
      <c r="M149" s="286">
        <f>+SUM(M150:M151)</f>
        <v>0.4274</v>
      </c>
      <c r="N149" s="115"/>
      <c r="O149" s="286">
        <f>+SUM(O150:O151)</f>
        <v>0.36890000000000001</v>
      </c>
      <c r="P149" s="286">
        <f>+SUM(P150:P151)</f>
        <v>0.36890000000000001</v>
      </c>
      <c r="Q149" s="286">
        <f>+SUM(Q150:Q151)</f>
        <v>0.36890000000000001</v>
      </c>
      <c r="R149" s="286">
        <f>+SUM(R150:R151)</f>
        <v>0.36890000000000001</v>
      </c>
      <c r="S149" s="286">
        <f>+SUM(S150:S151)</f>
        <v>0.36890000000000001</v>
      </c>
      <c r="T149" s="107"/>
      <c r="U149" s="286">
        <f>+SUM(U150:U151)</f>
        <v>0.37969999999999998</v>
      </c>
      <c r="V149" s="286">
        <f>+SUM(V150:V151)</f>
        <v>0.37969999999999998</v>
      </c>
      <c r="W149" s="286">
        <f>+SUM(W150:W151)</f>
        <v>0.37969999999999998</v>
      </c>
      <c r="X149" s="286">
        <f>+SUM(X150:X151)</f>
        <v>0.37969999999999998</v>
      </c>
      <c r="Y149" s="286">
        <f>+SUM(Y150:Y151)</f>
        <v>0.37969999999999998</v>
      </c>
      <c r="Z149" s="107"/>
      <c r="AA149" s="286">
        <f>+SUM(AA150:AA151)</f>
        <v>0.37969999999999998</v>
      </c>
      <c r="AB149" s="286">
        <f>+SUM(AB150:AB151)</f>
        <v>0.37969999999999998</v>
      </c>
      <c r="AC149" s="286">
        <f>+SUM(AC150:AC151)</f>
        <v>0.37969999999999998</v>
      </c>
      <c r="AD149" s="286">
        <f>+SUM(AD150:AD151)</f>
        <v>0.37969999999999998</v>
      </c>
      <c r="AE149" s="286">
        <f>+AE34</f>
        <v>0.25028062668495943</v>
      </c>
      <c r="AF149" s="286"/>
      <c r="AG149" s="286">
        <f>+SUM(AG150:AG151)</f>
        <v>0.37969999999999998</v>
      </c>
      <c r="AH149" s="286">
        <f>+SUM(AH150:AH151)</f>
        <v>0.37969999999999998</v>
      </c>
      <c r="AI149" s="286">
        <f>+SUM(AI150:AI151)</f>
        <v>0.37969999999999998</v>
      </c>
      <c r="AJ149" s="107">
        <v>0.27</v>
      </c>
      <c r="AK149" s="286">
        <f>+AK34</f>
        <v>0.2399999999999998</v>
      </c>
      <c r="AL149" s="286"/>
      <c r="AM149" s="107">
        <v>0.27</v>
      </c>
      <c r="AN149" s="107">
        <v>0.27</v>
      </c>
      <c r="AO149" s="107">
        <v>0.27</v>
      </c>
      <c r="AP149" s="107">
        <v>0.27</v>
      </c>
      <c r="AQ149" s="286">
        <f>+AQ34</f>
        <v>0.20375515912908285</v>
      </c>
      <c r="AR149" s="286"/>
      <c r="AS149" s="107">
        <v>0.27</v>
      </c>
      <c r="AT149" s="107">
        <v>0.27</v>
      </c>
      <c r="AU149" s="107">
        <v>0.27</v>
      </c>
      <c r="AV149" s="107">
        <v>0.27</v>
      </c>
      <c r="AW149" s="286">
        <f>+AW34</f>
        <v>0.23395090587227962</v>
      </c>
      <c r="AX149" s="286"/>
      <c r="AY149" s="107">
        <v>0.27</v>
      </c>
      <c r="AZ149" s="107">
        <v>0.27</v>
      </c>
      <c r="BA149" s="107">
        <v>0.27</v>
      </c>
      <c r="BB149" s="107">
        <v>0.27</v>
      </c>
      <c r="BC149" s="286">
        <f>+BC34</f>
        <v>0.23224591697317437</v>
      </c>
      <c r="BD149" s="286"/>
      <c r="BE149" s="107">
        <v>0.27</v>
      </c>
      <c r="BF149" s="107">
        <v>0.27</v>
      </c>
      <c r="BG149" s="107">
        <v>0.27</v>
      </c>
      <c r="BH149" s="107">
        <v>0.27</v>
      </c>
      <c r="BI149" s="286">
        <f>+BI34</f>
        <v>0.21223501711973869</v>
      </c>
      <c r="BJ149" s="286"/>
      <c r="BK149" s="107">
        <v>0.27</v>
      </c>
      <c r="BL149" s="107">
        <v>0.27</v>
      </c>
      <c r="BM149" s="107">
        <v>0.27</v>
      </c>
      <c r="BN149" s="107">
        <v>0.27</v>
      </c>
      <c r="BO149" s="286">
        <f>+BO34</f>
        <v>0.12047679628298023</v>
      </c>
      <c r="BP149" s="286"/>
      <c r="BQ149" s="107">
        <v>0.27</v>
      </c>
      <c r="BR149" s="107">
        <v>0.27</v>
      </c>
      <c r="BS149" s="107">
        <v>0.27</v>
      </c>
      <c r="BT149" s="107">
        <v>0.27</v>
      </c>
      <c r="BU149" s="286">
        <f>+BU34</f>
        <v>0.1592812201011527</v>
      </c>
      <c r="BV149" s="286"/>
      <c r="BW149" s="107">
        <v>0.27</v>
      </c>
      <c r="BX149" s="107">
        <v>0.27</v>
      </c>
      <c r="BY149" s="107">
        <v>0.27</v>
      </c>
      <c r="BZ149" s="107">
        <v>0.27</v>
      </c>
      <c r="CA149" s="286">
        <f>+CA34</f>
        <v>0.17999999999999994</v>
      </c>
      <c r="CB149" s="286"/>
      <c r="CC149" s="107">
        <v>0.27</v>
      </c>
      <c r="CD149" s="107">
        <v>0.27</v>
      </c>
      <c r="CE149" s="107">
        <v>0.27</v>
      </c>
      <c r="CF149" s="107">
        <v>0.27</v>
      </c>
      <c r="CG149" s="286">
        <f>+CG34</f>
        <v>0.17999999999999991</v>
      </c>
      <c r="CH149" s="286"/>
      <c r="CI149" s="286"/>
      <c r="CP149" s="42"/>
      <c r="CQ149" s="42"/>
      <c r="CR149" s="42"/>
      <c r="CS149" s="42"/>
    </row>
    <row r="150" spans="1:97" ht="12.75" hidden="1" customHeight="1" outlineLevel="1" x14ac:dyDescent="0.2">
      <c r="A150" s="42"/>
      <c r="B150" s="594" t="s">
        <v>113</v>
      </c>
      <c r="C150" s="107">
        <f>+G150</f>
        <v>0.35</v>
      </c>
      <c r="D150" s="107">
        <f>+G150</f>
        <v>0.35</v>
      </c>
      <c r="E150" s="107">
        <f>+G150</f>
        <v>0.35</v>
      </c>
      <c r="F150" s="107">
        <f>+G150</f>
        <v>0.35</v>
      </c>
      <c r="G150" s="107">
        <v>0.35</v>
      </c>
      <c r="H150" s="115"/>
      <c r="I150" s="107">
        <f>+M150</f>
        <v>0.35</v>
      </c>
      <c r="J150" s="107">
        <f>+M150</f>
        <v>0.35</v>
      </c>
      <c r="K150" s="107">
        <f>+M150</f>
        <v>0.35</v>
      </c>
      <c r="L150" s="107">
        <f>+M150</f>
        <v>0.35</v>
      </c>
      <c r="M150" s="107">
        <v>0.35</v>
      </c>
      <c r="N150" s="115"/>
      <c r="O150" s="107">
        <f>+S150</f>
        <v>0.35</v>
      </c>
      <c r="P150" s="107">
        <f>+S150</f>
        <v>0.35</v>
      </c>
      <c r="Q150" s="107">
        <f>+S150</f>
        <v>0.35</v>
      </c>
      <c r="R150" s="107">
        <f>+S150</f>
        <v>0.35</v>
      </c>
      <c r="S150" s="107">
        <v>0.35</v>
      </c>
      <c r="T150" s="107"/>
      <c r="U150" s="107">
        <f>+Y150</f>
        <v>0.35</v>
      </c>
      <c r="V150" s="107">
        <f>+Y150</f>
        <v>0.35</v>
      </c>
      <c r="W150" s="107">
        <f>+Y150</f>
        <v>0.35</v>
      </c>
      <c r="X150" s="107">
        <f>+Y150</f>
        <v>0.35</v>
      </c>
      <c r="Y150" s="107">
        <v>0.35</v>
      </c>
      <c r="Z150" s="107"/>
      <c r="AA150" s="107">
        <f>+Y150</f>
        <v>0.35</v>
      </c>
      <c r="AB150" s="107">
        <f t="shared" ref="AB150:AD151" si="164">+AA150</f>
        <v>0.35</v>
      </c>
      <c r="AC150" s="107">
        <f t="shared" si="164"/>
        <v>0.35</v>
      </c>
      <c r="AD150" s="107">
        <f t="shared" si="164"/>
        <v>0.35</v>
      </c>
      <c r="AE150" s="107">
        <v>0.35</v>
      </c>
      <c r="AF150" s="107"/>
      <c r="AG150" s="107">
        <f>+AE150</f>
        <v>0.35</v>
      </c>
      <c r="AH150" s="107">
        <f>+AG150</f>
        <v>0.35</v>
      </c>
      <c r="AI150" s="107">
        <f>+AH150</f>
        <v>0.35</v>
      </c>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c r="BS150" s="107"/>
      <c r="BT150" s="107"/>
      <c r="BU150" s="107"/>
      <c r="BV150" s="107"/>
      <c r="BW150" s="107"/>
      <c r="BX150" s="107"/>
      <c r="BY150" s="107"/>
      <c r="BZ150" s="107"/>
      <c r="CA150" s="107"/>
      <c r="CB150" s="107"/>
      <c r="CC150" s="107"/>
      <c r="CD150" s="107"/>
      <c r="CE150" s="107"/>
      <c r="CF150" s="107"/>
      <c r="CG150" s="107"/>
      <c r="CH150" s="107"/>
      <c r="CI150" s="107"/>
      <c r="CP150" s="42"/>
      <c r="CQ150" s="42"/>
      <c r="CR150" s="42"/>
      <c r="CS150" s="42"/>
    </row>
    <row r="151" spans="1:97" ht="12.75" hidden="1" customHeight="1" outlineLevel="1" x14ac:dyDescent="0.2">
      <c r="A151" s="42"/>
      <c r="B151" s="594" t="s">
        <v>114</v>
      </c>
      <c r="C151" s="107">
        <f>+G151</f>
        <v>5.04E-2</v>
      </c>
      <c r="D151" s="107">
        <f>+G151</f>
        <v>5.04E-2</v>
      </c>
      <c r="E151" s="107">
        <f>+G151</f>
        <v>5.04E-2</v>
      </c>
      <c r="F151" s="107">
        <f>+G151</f>
        <v>5.04E-2</v>
      </c>
      <c r="G151" s="107">
        <v>5.04E-2</v>
      </c>
      <c r="H151" s="115"/>
      <c r="I151" s="107">
        <f>+M151</f>
        <v>7.7399999999999997E-2</v>
      </c>
      <c r="J151" s="107">
        <f>+M151</f>
        <v>7.7399999999999997E-2</v>
      </c>
      <c r="K151" s="107">
        <f>+M151</f>
        <v>7.7399999999999997E-2</v>
      </c>
      <c r="L151" s="107">
        <f>+M151</f>
        <v>7.7399999999999997E-2</v>
      </c>
      <c r="M151" s="107">
        <v>7.7399999999999997E-2</v>
      </c>
      <c r="N151" s="115"/>
      <c r="O151" s="107">
        <f>+S151</f>
        <v>1.89E-2</v>
      </c>
      <c r="P151" s="107">
        <f>+S151</f>
        <v>1.89E-2</v>
      </c>
      <c r="Q151" s="107">
        <f>+S151</f>
        <v>1.89E-2</v>
      </c>
      <c r="R151" s="107">
        <f>+S151</f>
        <v>1.89E-2</v>
      </c>
      <c r="S151" s="107">
        <v>1.89E-2</v>
      </c>
      <c r="T151" s="107"/>
      <c r="U151" s="107">
        <f>+Y151</f>
        <v>2.9700000000000001E-2</v>
      </c>
      <c r="V151" s="107">
        <f>+Y151</f>
        <v>2.9700000000000001E-2</v>
      </c>
      <c r="W151" s="107">
        <f>+Y151</f>
        <v>2.9700000000000001E-2</v>
      </c>
      <c r="X151" s="107">
        <f>+Y151</f>
        <v>2.9700000000000001E-2</v>
      </c>
      <c r="Y151" s="107">
        <v>2.9700000000000001E-2</v>
      </c>
      <c r="Z151" s="107"/>
      <c r="AA151" s="107">
        <f>+Y151</f>
        <v>2.9700000000000001E-2</v>
      </c>
      <c r="AB151" s="107">
        <f t="shared" si="164"/>
        <v>2.9700000000000001E-2</v>
      </c>
      <c r="AC151" s="107">
        <f t="shared" si="164"/>
        <v>2.9700000000000001E-2</v>
      </c>
      <c r="AD151" s="107">
        <f t="shared" si="164"/>
        <v>2.9700000000000001E-2</v>
      </c>
      <c r="AE151" s="107">
        <v>2.9700000000000001E-2</v>
      </c>
      <c r="AF151" s="107"/>
      <c r="AG151" s="107">
        <f>+AE151</f>
        <v>2.9700000000000001E-2</v>
      </c>
      <c r="AH151" s="107">
        <f>+AG151</f>
        <v>2.9700000000000001E-2</v>
      </c>
      <c r="AI151" s="107">
        <f>+AH151</f>
        <v>2.9700000000000001E-2</v>
      </c>
      <c r="AJ151" s="107"/>
      <c r="AK151" s="107"/>
      <c r="AL151" s="107"/>
      <c r="AM151" s="107"/>
      <c r="AN151" s="107"/>
      <c r="AO151" s="107"/>
      <c r="AP151" s="107"/>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c r="BS151" s="107"/>
      <c r="BT151" s="107"/>
      <c r="BU151" s="107"/>
      <c r="BV151" s="107"/>
      <c r="BW151" s="107"/>
      <c r="BX151" s="107"/>
      <c r="BY151" s="107"/>
      <c r="BZ151" s="107"/>
      <c r="CA151" s="107"/>
      <c r="CB151" s="107"/>
      <c r="CC151" s="107"/>
      <c r="CD151" s="107"/>
      <c r="CE151" s="107"/>
      <c r="CF151" s="107"/>
      <c r="CG151" s="107"/>
      <c r="CH151" s="107"/>
      <c r="CI151" s="107"/>
      <c r="CP151" s="42"/>
      <c r="CQ151" s="42"/>
      <c r="CR151" s="42"/>
      <c r="CS151" s="42"/>
    </row>
    <row r="152" spans="1:97" ht="12.75" hidden="1" customHeight="1" outlineLevel="1" x14ac:dyDescent="0.2">
      <c r="A152" s="42"/>
      <c r="B152" s="95"/>
      <c r="C152" s="107"/>
      <c r="D152" s="107"/>
      <c r="E152" s="107"/>
      <c r="F152" s="107"/>
      <c r="G152" s="107"/>
      <c r="H152" s="115"/>
      <c r="I152" s="107"/>
      <c r="J152" s="107"/>
      <c r="K152" s="107"/>
      <c r="L152" s="107"/>
      <c r="M152" s="107"/>
      <c r="N152" s="115"/>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c r="BS152" s="107"/>
      <c r="BT152" s="107"/>
      <c r="BU152" s="107"/>
      <c r="BV152" s="107"/>
      <c r="BW152" s="107"/>
      <c r="BX152" s="107"/>
      <c r="BY152" s="107"/>
      <c r="BZ152" s="107"/>
      <c r="CA152" s="107"/>
      <c r="CB152" s="107"/>
      <c r="CC152" s="107"/>
      <c r="CD152" s="107"/>
      <c r="CE152" s="107"/>
      <c r="CF152" s="107"/>
      <c r="CG152" s="107"/>
      <c r="CH152" s="107"/>
      <c r="CI152" s="107"/>
      <c r="CP152" s="42"/>
      <c r="CQ152" s="42"/>
      <c r="CR152" s="42"/>
      <c r="CS152" s="42"/>
    </row>
    <row r="153" spans="1:97" ht="12.75" hidden="1" customHeight="1" outlineLevel="1" x14ac:dyDescent="0.2">
      <c r="A153" s="42"/>
      <c r="B153" s="79" t="s">
        <v>361</v>
      </c>
      <c r="C153" s="466">
        <v>0</v>
      </c>
      <c r="D153" s="466">
        <v>0</v>
      </c>
      <c r="E153" s="466">
        <v>0</v>
      </c>
      <c r="F153" s="466">
        <v>0</v>
      </c>
      <c r="G153" s="466">
        <v>0</v>
      </c>
      <c r="H153" s="466"/>
      <c r="I153" s="466">
        <v>0</v>
      </c>
      <c r="J153" s="466">
        <v>0</v>
      </c>
      <c r="K153" s="466">
        <v>0</v>
      </c>
      <c r="L153" s="466">
        <v>0</v>
      </c>
      <c r="M153" s="466">
        <v>0</v>
      </c>
      <c r="N153" s="123"/>
      <c r="O153" s="466">
        <v>0</v>
      </c>
      <c r="P153" s="466">
        <v>0</v>
      </c>
      <c r="Q153" s="466">
        <v>0</v>
      </c>
      <c r="R153" s="466">
        <v>0</v>
      </c>
      <c r="S153" s="466">
        <v>0</v>
      </c>
      <c r="T153" s="123"/>
      <c r="U153" s="466">
        <v>0</v>
      </c>
      <c r="V153" s="466">
        <v>0</v>
      </c>
      <c r="W153" s="466">
        <v>0</v>
      </c>
      <c r="X153" s="466">
        <v>0</v>
      </c>
      <c r="Y153" s="466">
        <v>0</v>
      </c>
      <c r="Z153" s="123"/>
      <c r="AA153" s="466">
        <v>0</v>
      </c>
      <c r="AB153" s="466">
        <v>0</v>
      </c>
      <c r="AC153" s="466">
        <v>0</v>
      </c>
      <c r="AD153" s="466">
        <v>0</v>
      </c>
      <c r="AE153" s="466">
        <v>0</v>
      </c>
      <c r="AF153" s="123"/>
      <c r="AG153" s="466">
        <v>0</v>
      </c>
      <c r="AH153" s="466">
        <v>0</v>
      </c>
      <c r="AI153" s="466">
        <v>0</v>
      </c>
      <c r="AJ153" s="466">
        <v>0</v>
      </c>
      <c r="AK153" s="466">
        <v>0</v>
      </c>
      <c r="AL153" s="123"/>
      <c r="AM153" s="466">
        <v>0</v>
      </c>
      <c r="AN153" s="466">
        <v>0</v>
      </c>
      <c r="AO153" s="466">
        <v>0</v>
      </c>
      <c r="AP153" s="466">
        <v>0</v>
      </c>
      <c r="AQ153" s="466">
        <v>0</v>
      </c>
      <c r="AR153" s="123"/>
      <c r="AS153" s="466">
        <v>0</v>
      </c>
      <c r="AT153" s="466">
        <v>0</v>
      </c>
      <c r="AU153" s="466">
        <v>0</v>
      </c>
      <c r="AV153" s="466">
        <v>0</v>
      </c>
      <c r="AW153" s="466">
        <v>0</v>
      </c>
      <c r="AX153" s="123"/>
      <c r="AY153" s="466">
        <v>0</v>
      </c>
      <c r="AZ153" s="466">
        <v>0</v>
      </c>
      <c r="BA153" s="466">
        <v>0</v>
      </c>
      <c r="BB153" s="466">
        <v>0</v>
      </c>
      <c r="BC153" s="466">
        <v>0</v>
      </c>
      <c r="BD153" s="123"/>
      <c r="BE153" s="466">
        <v>0</v>
      </c>
      <c r="BF153" s="466">
        <v>0</v>
      </c>
      <c r="BG153" s="466">
        <v>0</v>
      </c>
      <c r="BH153" s="466">
        <v>0</v>
      </c>
      <c r="BI153" s="466">
        <v>0</v>
      </c>
      <c r="BJ153" s="123"/>
      <c r="BK153" s="466">
        <v>0</v>
      </c>
      <c r="BL153" s="466">
        <v>0</v>
      </c>
      <c r="BM153" s="466">
        <v>0</v>
      </c>
      <c r="BN153" s="466">
        <v>0</v>
      </c>
      <c r="BO153" s="466">
        <v>0</v>
      </c>
      <c r="BP153" s="123"/>
      <c r="BQ153" s="466">
        <v>0</v>
      </c>
      <c r="BR153" s="466">
        <v>0</v>
      </c>
      <c r="BS153" s="466">
        <v>0</v>
      </c>
      <c r="BT153" s="466">
        <v>0</v>
      </c>
      <c r="BU153" s="466">
        <v>0</v>
      </c>
      <c r="BV153" s="123"/>
      <c r="BW153" s="466">
        <v>0</v>
      </c>
      <c r="BX153" s="466">
        <v>0</v>
      </c>
      <c r="BY153" s="466">
        <v>0</v>
      </c>
      <c r="BZ153" s="466">
        <v>0</v>
      </c>
      <c r="CA153" s="466">
        <v>0</v>
      </c>
      <c r="CB153" s="123"/>
      <c r="CC153" s="466">
        <v>0</v>
      </c>
      <c r="CD153" s="466">
        <v>0</v>
      </c>
      <c r="CE153" s="466">
        <v>0</v>
      </c>
      <c r="CF153" s="466">
        <v>0</v>
      </c>
      <c r="CG153" s="466">
        <v>0</v>
      </c>
      <c r="CH153" s="466"/>
      <c r="CI153" s="466"/>
      <c r="CP153" s="42"/>
      <c r="CQ153" s="42"/>
      <c r="CR153" s="42"/>
      <c r="CS153" s="42"/>
    </row>
    <row r="154" spans="1:97" ht="12.75" hidden="1" customHeight="1" outlineLevel="1" x14ac:dyDescent="0.2">
      <c r="A154" s="42"/>
      <c r="B154" s="79" t="s">
        <v>189</v>
      </c>
      <c r="C154" s="338">
        <f>+C36/C39</f>
        <v>0.10064761794868096</v>
      </c>
      <c r="D154" s="338">
        <f>+D36/D39</f>
        <v>0.19124524274298868</v>
      </c>
      <c r="E154" s="338">
        <f>+E36/E39</f>
        <v>0.13097051086806022</v>
      </c>
      <c r="F154" s="338">
        <f>+F36/F39</f>
        <v>7.8871201157742418E-2</v>
      </c>
      <c r="G154" s="338">
        <f>+G36/G39</f>
        <v>0.50002799395330588</v>
      </c>
      <c r="H154" s="115"/>
      <c r="I154" s="338">
        <f>+I36/I39</f>
        <v>7.4851820491109097E-2</v>
      </c>
      <c r="J154" s="338">
        <f>+J36/J39</f>
        <v>5.7640597288174479E-2</v>
      </c>
      <c r="K154" s="338">
        <f>+K36/K39</f>
        <v>0.10567070330694005</v>
      </c>
      <c r="L154" s="338">
        <f>+L36/L39</f>
        <v>7.314116379310337E-2</v>
      </c>
      <c r="M154" s="338">
        <f>+M36/M39</f>
        <v>0.31560002350728733</v>
      </c>
      <c r="N154" s="115"/>
      <c r="O154" s="338">
        <f>+O36/O39</f>
        <v>4.8023236564479786E-2</v>
      </c>
      <c r="P154" s="338">
        <f>+P36/P39</f>
        <v>7.1645911566948273E-2</v>
      </c>
      <c r="Q154" s="338">
        <f>+Q36/Q39</f>
        <v>0.12809227936946271</v>
      </c>
      <c r="R154" s="338">
        <f>+R36/R39</f>
        <v>0.15808723041480607</v>
      </c>
      <c r="S154" s="338">
        <f>+S36/S39</f>
        <v>0.42073117781572905</v>
      </c>
      <c r="T154" s="115"/>
      <c r="U154" s="338">
        <f>+U36/U39</f>
        <v>0.2002783612768535</v>
      </c>
      <c r="V154" s="338">
        <f>+V36/V39</f>
        <v>0.21202984266883135</v>
      </c>
      <c r="W154" s="338">
        <f>+W36/W39</f>
        <v>0.2475386959249255</v>
      </c>
      <c r="X154" s="338">
        <f>+X36/X39</f>
        <v>0.13928408109344004</v>
      </c>
      <c r="Y154" s="338">
        <f>+Y36/Y39</f>
        <v>0.79784836065573728</v>
      </c>
      <c r="Z154" s="115"/>
      <c r="AA154" s="338">
        <f>+AA36/AA39</f>
        <v>0.21349277352855942</v>
      </c>
      <c r="AB154" s="338">
        <f>+AB36/AB39</f>
        <v>0.20267426949365672</v>
      </c>
      <c r="AC154" s="338">
        <f>+AC36/AC39</f>
        <v>0.27335359928238617</v>
      </c>
      <c r="AD154" s="338">
        <f>+AD36/AD39</f>
        <v>0.28424593996215158</v>
      </c>
      <c r="AE154" s="338">
        <f>+AE36/AE39</f>
        <v>0.974373201744405</v>
      </c>
      <c r="AF154" s="115"/>
      <c r="AG154" s="338">
        <f>+AG36/AG39</f>
        <v>0.27025508209538712</v>
      </c>
      <c r="AH154" s="338">
        <f>+AH36/AH39</f>
        <v>0.34474528051691311</v>
      </c>
      <c r="AI154" s="338">
        <f>+AI36/AI39</f>
        <v>0.28245894214954842</v>
      </c>
      <c r="AJ154" s="338">
        <f>+AJ36/AJ39</f>
        <v>0.26907364336414363</v>
      </c>
      <c r="AK154" s="338">
        <f>+AK36/AK39</f>
        <v>1.1667033467290944</v>
      </c>
      <c r="AL154" s="115"/>
      <c r="AM154" s="338">
        <f>+AM36/AM39</f>
        <v>0.26144643560456909</v>
      </c>
      <c r="AN154" s="338">
        <f>+AN36/AN39</f>
        <v>0.35691243959147412</v>
      </c>
      <c r="AO154" s="338">
        <f>+AO36/AO39</f>
        <v>0.42196510605023946</v>
      </c>
      <c r="AP154" s="338">
        <f>+AP36/AP39</f>
        <v>0.51459278488075888</v>
      </c>
      <c r="AQ154" s="338">
        <f>+AQ36/AQ39</f>
        <v>1.5566385805794014</v>
      </c>
      <c r="AR154" s="115"/>
      <c r="AS154" s="338">
        <f>+AS36/AS39</f>
        <v>0.39175531593754892</v>
      </c>
      <c r="AT154" s="338">
        <f>+AT36/AT39</f>
        <v>0.43234840480441089</v>
      </c>
      <c r="AU154" s="338">
        <f>+AU36/AU39</f>
        <v>0.46634720901309529</v>
      </c>
      <c r="AV154" s="338">
        <f>+AV36/AV39</f>
        <v>0.4840312886364469</v>
      </c>
      <c r="AW154" s="338">
        <f>+AW36/AW39</f>
        <v>1.772322350910881</v>
      </c>
      <c r="AX154" s="115"/>
      <c r="AY154" s="338">
        <f>+AY36/AY39</f>
        <v>0.38213189284317567</v>
      </c>
      <c r="AZ154" s="338">
        <f>+AZ36/AZ39</f>
        <v>0.38516352556699529</v>
      </c>
      <c r="BA154" s="338">
        <f>+BA36/BA39</f>
        <v>0.34055147240171646</v>
      </c>
      <c r="BB154" s="338">
        <f>+BB36/BB39</f>
        <v>0.60304006119603748</v>
      </c>
      <c r="BC154" s="338">
        <f>+BC36/BC39</f>
        <v>1.7102302980381823</v>
      </c>
      <c r="BD154" s="115"/>
      <c r="BE154" s="338">
        <f>+BE36/BE39</f>
        <v>0.49859813084112198</v>
      </c>
      <c r="BF154" s="338">
        <f>+BF36/BF39</f>
        <v>0.61697075577318217</v>
      </c>
      <c r="BG154" s="338">
        <f>+BG36/BG39</f>
        <v>0.63053298308496808</v>
      </c>
      <c r="BH154" s="338">
        <f>+BH36/BH39</f>
        <v>0.59054992122882988</v>
      </c>
      <c r="BI154" s="338">
        <f>+BI36/BI39</f>
        <v>2.3367136467731271</v>
      </c>
      <c r="BJ154" s="115"/>
      <c r="BK154" s="338">
        <f>+BK36/BK39</f>
        <v>0.85142394583854586</v>
      </c>
      <c r="BL154" s="338">
        <f>+BL36/BL39</f>
        <v>0.84745991106319918</v>
      </c>
      <c r="BM154" s="338">
        <f>+BM36/BM39</f>
        <v>1.0093655626062186</v>
      </c>
      <c r="BN154" s="338">
        <f>+BN36/BN39</f>
        <v>1.1832451779192064</v>
      </c>
      <c r="BO154" s="338">
        <f>+BO36/BO39</f>
        <v>3.8923067037516419</v>
      </c>
      <c r="BP154" s="115"/>
      <c r="BQ154" s="338">
        <f>+BQ36/BQ39</f>
        <v>1.1744254422502076</v>
      </c>
      <c r="BR154" s="338">
        <f>+BR36/BR39</f>
        <v>1.2114649791742005</v>
      </c>
      <c r="BS154" s="338">
        <f>+BS36/BS39</f>
        <v>1.2147870744814779</v>
      </c>
      <c r="BT154" s="338">
        <f>+BT36/BT39</f>
        <v>1.3758118841924571</v>
      </c>
      <c r="BU154" s="338">
        <f>+BU36/BU39</f>
        <v>4.9745390981955175</v>
      </c>
      <c r="BV154" s="115"/>
      <c r="BW154" s="338">
        <f>+BW36/BW39</f>
        <v>1.3540501937887879</v>
      </c>
      <c r="BX154" s="338">
        <f>+BX36/BX39</f>
        <v>1.5985888273217885</v>
      </c>
      <c r="BY154" s="338">
        <f>+BY36/BY39</f>
        <v>1.7572036578492767</v>
      </c>
      <c r="BZ154" s="338">
        <f>+BZ36/BZ39</f>
        <v>1.9544516634290834</v>
      </c>
      <c r="CA154" s="338">
        <f>+CA36/CA39</f>
        <v>6.6611874304623413</v>
      </c>
      <c r="CB154" s="115"/>
      <c r="CC154" s="338">
        <f>+CC36/CC39</f>
        <v>1.959309512472583</v>
      </c>
      <c r="CD154" s="338">
        <f>+CD36/CD39</f>
        <v>2.249183975606579</v>
      </c>
      <c r="CE154" s="338">
        <f>+CE36/CE39</f>
        <v>2.4793577185353417</v>
      </c>
      <c r="CF154" s="338">
        <f>+CF36/CF39</f>
        <v>2.7388787917801638</v>
      </c>
      <c r="CG154" s="338">
        <f>+CG36/CG39</f>
        <v>9.4214201964727078</v>
      </c>
      <c r="CH154" s="338"/>
      <c r="CI154" s="338"/>
      <c r="CP154" s="42"/>
      <c r="CQ154" s="42"/>
      <c r="CR154" s="42"/>
      <c r="CS154" s="42"/>
    </row>
    <row r="155" spans="1:97" collapsed="1" x14ac:dyDescent="0.2">
      <c r="A155" s="42"/>
      <c r="B155" s="42"/>
      <c r="C155" s="42"/>
      <c r="D155" s="31"/>
      <c r="E155" s="31"/>
      <c r="F155" s="31"/>
      <c r="G155" s="31"/>
      <c r="H155" s="115"/>
      <c r="I155" s="31"/>
      <c r="J155" s="31"/>
      <c r="K155" s="31"/>
      <c r="L155" s="31"/>
      <c r="M155" s="31"/>
      <c r="N155" s="115"/>
      <c r="O155" s="42"/>
      <c r="P155" s="42"/>
      <c r="Q155" s="42"/>
      <c r="R155" s="42"/>
      <c r="S155" s="42"/>
      <c r="T155" s="115"/>
      <c r="U155" s="42"/>
      <c r="V155" s="42"/>
      <c r="W155" s="42"/>
      <c r="X155" s="42"/>
      <c r="Y155" s="35"/>
      <c r="Z155" s="115"/>
      <c r="AA155" s="42"/>
      <c r="AB155" s="42"/>
      <c r="AC155" s="42"/>
      <c r="AD155" s="42"/>
      <c r="AE155" s="42"/>
      <c r="AF155" s="115"/>
      <c r="AG155" s="42"/>
      <c r="AH155" s="42"/>
      <c r="AI155" s="42"/>
      <c r="AJ155" s="42"/>
      <c r="AK155" s="42"/>
      <c r="AL155" s="115"/>
      <c r="AM155" s="42"/>
      <c r="AN155" s="42"/>
      <c r="AO155" s="42"/>
      <c r="AP155" s="42"/>
      <c r="AQ155" s="42"/>
      <c r="AR155" s="115"/>
      <c r="AS155" s="42"/>
      <c r="AT155" s="42"/>
      <c r="AU155" s="42"/>
      <c r="AV155" s="42"/>
      <c r="AW155" s="42"/>
      <c r="AX155" s="115"/>
      <c r="AY155" s="42"/>
      <c r="AZ155" s="42"/>
      <c r="BA155" s="42"/>
      <c r="BB155" s="42"/>
      <c r="BC155" s="42"/>
      <c r="BD155" s="115"/>
      <c r="BE155" s="42"/>
      <c r="BF155" s="42"/>
      <c r="BG155" s="42"/>
      <c r="BH155" s="42"/>
      <c r="BI155" s="42"/>
      <c r="BJ155" s="115"/>
      <c r="BK155" s="42"/>
      <c r="BL155" s="42"/>
      <c r="BM155" s="42"/>
      <c r="BN155" s="42"/>
      <c r="BO155" s="42"/>
      <c r="BP155" s="115"/>
      <c r="BQ155" s="42"/>
      <c r="BR155" s="42"/>
      <c r="BS155" s="42"/>
      <c r="BT155" s="42"/>
      <c r="BU155" s="42"/>
      <c r="BV155" s="115"/>
      <c r="BW155" s="42"/>
      <c r="BX155" s="42"/>
      <c r="BY155" s="42"/>
      <c r="BZ155" s="42"/>
      <c r="CA155" s="42"/>
      <c r="CB155" s="115"/>
      <c r="CC155" s="42"/>
      <c r="CD155" s="42"/>
      <c r="CE155" s="42"/>
      <c r="CF155" s="42"/>
      <c r="CG155" s="42"/>
      <c r="CH155" s="42"/>
      <c r="CI155" s="42"/>
      <c r="CP155" s="42"/>
      <c r="CQ155" s="42"/>
      <c r="CR155" s="42"/>
      <c r="CS155" s="42"/>
    </row>
    <row r="156" spans="1:97" x14ac:dyDescent="0.2">
      <c r="A156" s="42"/>
      <c r="B156" s="42"/>
      <c r="C156" s="42"/>
      <c r="D156" s="31"/>
      <c r="E156" s="31"/>
      <c r="F156" s="31"/>
      <c r="G156" s="31"/>
      <c r="H156" s="115"/>
      <c r="I156" s="31"/>
      <c r="J156" s="31"/>
      <c r="K156" s="31"/>
      <c r="L156" s="31"/>
      <c r="M156" s="31"/>
      <c r="N156" s="115"/>
      <c r="O156" s="42"/>
      <c r="P156" s="42"/>
      <c r="Q156" s="42"/>
      <c r="R156" s="42"/>
      <c r="S156" s="42"/>
      <c r="T156" s="115"/>
      <c r="U156" s="42"/>
      <c r="V156" s="42"/>
      <c r="W156" s="42"/>
      <c r="X156" s="42"/>
      <c r="Y156" s="35"/>
      <c r="Z156" s="115"/>
      <c r="AA156" s="42"/>
      <c r="AB156" s="42"/>
      <c r="AC156" s="42"/>
      <c r="AD156" s="42"/>
      <c r="AE156" s="42"/>
      <c r="AF156" s="115"/>
      <c r="AG156" s="42"/>
      <c r="AH156" s="42"/>
      <c r="AI156" s="42"/>
      <c r="AJ156" s="42"/>
      <c r="AK156" s="42"/>
      <c r="AL156" s="115"/>
      <c r="AM156" s="42"/>
      <c r="AN156" s="42"/>
      <c r="AO156" s="42"/>
      <c r="AP156" s="42"/>
      <c r="AQ156" s="42"/>
      <c r="AR156" s="115"/>
      <c r="AS156" s="42"/>
      <c r="AT156" s="42"/>
      <c r="AU156" s="42"/>
      <c r="AV156" s="42"/>
      <c r="AW156" s="42"/>
      <c r="AX156" s="115"/>
      <c r="AY156" s="42"/>
      <c r="AZ156" s="42"/>
      <c r="BA156" s="42"/>
      <c r="BB156" s="42"/>
      <c r="BC156" s="42"/>
      <c r="BD156" s="115"/>
      <c r="BE156" s="42"/>
      <c r="BF156" s="42"/>
      <c r="BG156" s="42"/>
      <c r="BH156" s="42"/>
      <c r="BI156" s="42"/>
      <c r="BJ156" s="115"/>
      <c r="BK156" s="42"/>
      <c r="BL156" s="42"/>
      <c r="BM156" s="42"/>
      <c r="BN156" s="42"/>
      <c r="BO156" s="42"/>
      <c r="BP156" s="115"/>
      <c r="BQ156" s="42"/>
      <c r="BR156" s="42"/>
      <c r="BS156" s="42"/>
      <c r="BT156" s="42"/>
      <c r="BU156" s="42"/>
      <c r="BV156" s="115"/>
      <c r="BW156" s="42"/>
      <c r="BX156" s="42"/>
      <c r="BY156" s="42"/>
      <c r="BZ156" s="42"/>
      <c r="CA156" s="42"/>
      <c r="CB156" s="115"/>
      <c r="CC156" s="42"/>
      <c r="CD156" s="42"/>
      <c r="CE156" s="42"/>
      <c r="CF156" s="42"/>
      <c r="CG156" s="42"/>
      <c r="CH156" s="42"/>
      <c r="CI156" s="42"/>
      <c r="CP156" s="42"/>
      <c r="CQ156" s="42"/>
      <c r="CR156" s="42"/>
      <c r="CS156" s="42"/>
    </row>
    <row r="158" spans="1:97" s="53" customFormat="1" x14ac:dyDescent="0.2">
      <c r="AQ158" s="737"/>
      <c r="AW158" s="737"/>
      <c r="BC158" s="737"/>
      <c r="BI158" s="737"/>
      <c r="CJ158"/>
      <c r="CK158"/>
      <c r="CL158"/>
      <c r="CM158"/>
      <c r="CN158"/>
      <c r="CO158"/>
    </row>
    <row r="159" spans="1:97" s="53" customFormat="1" x14ac:dyDescent="0.2">
      <c r="B159" s="735" t="s">
        <v>475</v>
      </c>
      <c r="AQ159" s="738"/>
      <c r="AW159" s="738"/>
      <c r="BC159" s="738"/>
      <c r="BI159" s="738"/>
      <c r="CJ159"/>
      <c r="CK159"/>
      <c r="CL159"/>
      <c r="CM159"/>
      <c r="CN159"/>
      <c r="CO159"/>
    </row>
    <row r="160" spans="1:97" s="124" customFormat="1" x14ac:dyDescent="0.2">
      <c r="B160" s="124" t="s">
        <v>467</v>
      </c>
      <c r="AM160" s="736">
        <f>+AM54</f>
        <v>0.18842297174111231</v>
      </c>
      <c r="AN160" s="736">
        <f>+AN54</f>
        <v>0.2313462900114755</v>
      </c>
      <c r="AO160" s="736">
        <f>+AO54</f>
        <v>0.25205159690224066</v>
      </c>
      <c r="AP160" s="736">
        <f>+AP54</f>
        <v>0.296833284723936</v>
      </c>
      <c r="AQ160" s="739">
        <f>+AQ54</f>
        <v>0.24420559643505207</v>
      </c>
      <c r="AS160" s="736">
        <f>+AS54</f>
        <v>0.23141392557820262</v>
      </c>
      <c r="AT160" s="736">
        <f>+AT54</f>
        <v>0.25311248578151052</v>
      </c>
      <c r="AU160" s="736">
        <f>+AU54</f>
        <v>0.27147717457709242</v>
      </c>
      <c r="AV160" s="736">
        <f>+AV54</f>
        <v>0.25927995971802609</v>
      </c>
      <c r="AW160" s="739">
        <f>+AW54</f>
        <v>0.25415248151060921</v>
      </c>
      <c r="AY160" s="736">
        <f>+AY54</f>
        <v>0.22219924679179751</v>
      </c>
      <c r="AZ160" s="736">
        <f>+AZ54</f>
        <v>0.20204021232719782</v>
      </c>
      <c r="BA160" s="736">
        <f>+BA54</f>
        <v>0.18323412125065014</v>
      </c>
      <c r="BB160" s="736">
        <f>+BB54</f>
        <v>0.25768642845976142</v>
      </c>
      <c r="BC160" s="739">
        <f>+BC54</f>
        <v>0.21730053484031694</v>
      </c>
      <c r="BE160" s="736">
        <f>+BE54</f>
        <v>0.22341655495978566</v>
      </c>
      <c r="BF160" s="736">
        <f>+BF54</f>
        <v>0.24181584633318737</v>
      </c>
      <c r="BG160" s="736">
        <f>+BG54</f>
        <v>0.22283363664753456</v>
      </c>
      <c r="BH160" s="736">
        <f>+BH54</f>
        <v>0.23441779245096392</v>
      </c>
      <c r="BI160" s="739">
        <f>+BI54</f>
        <v>0.23084267238585238</v>
      </c>
      <c r="BK160" s="736">
        <f>+BK54</f>
        <v>0.19872656207204334</v>
      </c>
      <c r="BL160" s="736">
        <f>+BL54</f>
        <v>0.23442698369062115</v>
      </c>
      <c r="BM160" s="736">
        <f>+BM54</f>
        <v>0.25634949268948548</v>
      </c>
      <c r="BN160" s="736">
        <f>+BN54</f>
        <v>0.26014720297728822</v>
      </c>
      <c r="BO160" s="739">
        <f>+BO54</f>
        <v>0.23999448898577663</v>
      </c>
      <c r="BQ160" s="736">
        <f>+BQ54</f>
        <v>0.22473473647590875</v>
      </c>
      <c r="BR160" s="736">
        <f>+BR54</f>
        <v>0.23249358319960359</v>
      </c>
      <c r="BS160" s="736">
        <f>+BS54</f>
        <v>0.25305743133602326</v>
      </c>
      <c r="BT160" s="736">
        <f>+BT54</f>
        <v>0.25992455729454844</v>
      </c>
      <c r="BU160" s="739">
        <f>+BU54</f>
        <v>0.24354036766333437</v>
      </c>
      <c r="BW160" s="736">
        <f>+BW54</f>
        <v>0.24562050264728486</v>
      </c>
      <c r="BX160" s="736">
        <f>+BX54</f>
        <v>0.25518792190042866</v>
      </c>
      <c r="BY160" s="736">
        <f>+BY54</f>
        <v>0.27576848205486504</v>
      </c>
      <c r="BZ160" s="736">
        <f>+BZ54</f>
        <v>0.27853335658953549</v>
      </c>
      <c r="CA160" s="739">
        <f>+CA54</f>
        <v>0.26476359167707475</v>
      </c>
      <c r="CC160" s="736">
        <f>+CC54</f>
        <v>0.26424204124963074</v>
      </c>
      <c r="CD160" s="736">
        <f>+CD54</f>
        <v>0.27234204014054764</v>
      </c>
      <c r="CE160" s="736">
        <f>+CE54</f>
        <v>0.2939822556655281</v>
      </c>
      <c r="CF160" s="736">
        <f>+CF54</f>
        <v>0.2950116832650625</v>
      </c>
      <c r="CG160" s="739">
        <f>+CG54</f>
        <v>0.28224146074725542</v>
      </c>
      <c r="CJ160"/>
      <c r="CK160"/>
      <c r="CL160"/>
      <c r="CM160"/>
      <c r="CN160"/>
      <c r="CO160"/>
    </row>
    <row r="161" spans="2:93" s="124" customFormat="1" x14ac:dyDescent="0.2">
      <c r="B161" s="124" t="s">
        <v>477</v>
      </c>
      <c r="AQ161" s="739"/>
      <c r="AS161" s="736">
        <f>+AS160-AM160</f>
        <v>4.2990953837090312E-2</v>
      </c>
      <c r="AT161" s="736">
        <f>+AT160-AN160</f>
        <v>2.1766195770035024E-2</v>
      </c>
      <c r="AU161" s="736">
        <f>+AU160-AO160</f>
        <v>1.9425577674851757E-2</v>
      </c>
      <c r="AV161" s="736">
        <f>+AV160-AP160</f>
        <v>-3.755332500590991E-2</v>
      </c>
      <c r="AW161" s="739">
        <f>+AW160-AQ160</f>
        <v>9.9468850755571325E-3</v>
      </c>
      <c r="AY161" s="736">
        <f>+AY160-AS160</f>
        <v>-9.2146787864051116E-3</v>
      </c>
      <c r="AZ161" s="736">
        <f>+AZ160-AT160</f>
        <v>-5.10722734543127E-2</v>
      </c>
      <c r="BA161" s="736">
        <f>+BA160-AU160</f>
        <v>-8.8243053326442278E-2</v>
      </c>
      <c r="BB161" s="736">
        <f>+BB160-AV160</f>
        <v>-1.5935312582646688E-3</v>
      </c>
      <c r="BC161" s="739">
        <f>+BC160-AW160</f>
        <v>-3.6851946670292263E-2</v>
      </c>
      <c r="BE161" s="736">
        <f>+BE160-AY160</f>
        <v>1.2173081679881514E-3</v>
      </c>
      <c r="BF161" s="736">
        <f>+BF160-AZ160</f>
        <v>3.9775634005989546E-2</v>
      </c>
      <c r="BG161" s="736">
        <f>+BG160-BA160</f>
        <v>3.9599515396884416E-2</v>
      </c>
      <c r="BH161" s="736">
        <f>+BH160-BB160</f>
        <v>-2.32686360087975E-2</v>
      </c>
      <c r="BI161" s="739">
        <f>+BI160-BC160</f>
        <v>1.3542137545535432E-2</v>
      </c>
      <c r="BK161" s="736">
        <f>+BK160-BE160</f>
        <v>-2.4689992887742318E-2</v>
      </c>
      <c r="BL161" s="736">
        <f>+BL160-BF160</f>
        <v>-7.3888626425662185E-3</v>
      </c>
      <c r="BM161" s="736">
        <f>+BM160-BG160</f>
        <v>3.3515856041950925E-2</v>
      </c>
      <c r="BN161" s="736">
        <f>+BN160-BH160</f>
        <v>2.5729410526324298E-2</v>
      </c>
      <c r="BO161" s="739">
        <f>+BO160-BI160</f>
        <v>9.1518165999242562E-3</v>
      </c>
      <c r="BQ161" s="736">
        <f>+BQ160-BK160</f>
        <v>2.6008174403865408E-2</v>
      </c>
      <c r="BR161" s="736">
        <f>+BR160-BL160</f>
        <v>-1.9334004910175617E-3</v>
      </c>
      <c r="BS161" s="736">
        <f>+BS160-BM160</f>
        <v>-3.2920613534622167E-3</v>
      </c>
      <c r="BT161" s="736">
        <f>+BT160-BN160</f>
        <v>-2.2264568273977492E-4</v>
      </c>
      <c r="BU161" s="739">
        <f>+BU160-BO160</f>
        <v>3.5458786775577344E-3</v>
      </c>
      <c r="BW161" s="736">
        <f>+BW160-BQ160</f>
        <v>2.0885766171376108E-2</v>
      </c>
      <c r="BX161" s="736">
        <f>+BX160-BR160</f>
        <v>2.2694338700825073E-2</v>
      </c>
      <c r="BY161" s="736">
        <f>+BY160-BS160</f>
        <v>2.2711050718841774E-2</v>
      </c>
      <c r="BZ161" s="736">
        <f>+BZ160-BT160</f>
        <v>1.8608799294987044E-2</v>
      </c>
      <c r="CA161" s="739">
        <f>+CA160-BU160</f>
        <v>2.1223224013740383E-2</v>
      </c>
      <c r="CC161" s="736">
        <f>+CC160-BW160</f>
        <v>1.8621538602345888E-2</v>
      </c>
      <c r="CD161" s="736">
        <f>+CD160-BX160</f>
        <v>1.7154118240118976E-2</v>
      </c>
      <c r="CE161" s="736">
        <f>+CE160-BY160</f>
        <v>1.8213773610663064E-2</v>
      </c>
      <c r="CF161" s="736">
        <f>+CF160-BZ160</f>
        <v>1.6478326675527011E-2</v>
      </c>
      <c r="CG161" s="739">
        <f>+CG160-CA160</f>
        <v>1.7477869070180674E-2</v>
      </c>
      <c r="CJ161"/>
      <c r="CK161"/>
      <c r="CL161"/>
      <c r="CM161"/>
      <c r="CN161"/>
      <c r="CO161"/>
    </row>
    <row r="162" spans="2:93" s="53" customFormat="1" x14ac:dyDescent="0.2">
      <c r="B162" s="53" t="s">
        <v>468</v>
      </c>
      <c r="AQ162" s="740"/>
      <c r="AS162" s="349">
        <v>0</v>
      </c>
      <c r="AT162" s="349">
        <v>0</v>
      </c>
      <c r="AU162" s="349">
        <v>0</v>
      </c>
      <c r="AV162" s="349">
        <v>0.01</v>
      </c>
      <c r="AW162" s="740">
        <f>+AVERAGE(AS162:AV162)</f>
        <v>2.5000000000000001E-3</v>
      </c>
      <c r="AY162" s="349">
        <v>1.4999999999999999E-2</v>
      </c>
      <c r="AZ162" s="349">
        <v>1.4999999999999999E-2</v>
      </c>
      <c r="BA162" s="349">
        <v>0.01</v>
      </c>
      <c r="BB162" s="349">
        <v>0</v>
      </c>
      <c r="BC162" s="740">
        <f>+AVERAGE(AY162:BB162)</f>
        <v>0.01</v>
      </c>
      <c r="BE162" s="349">
        <v>0</v>
      </c>
      <c r="BF162" s="349">
        <v>0</v>
      </c>
      <c r="BG162" s="349">
        <v>0</v>
      </c>
      <c r="BH162" s="349">
        <v>0</v>
      </c>
      <c r="BI162" s="740">
        <f>+AVERAGE(BE162:BH162)</f>
        <v>0</v>
      </c>
      <c r="BK162" s="349">
        <v>0</v>
      </c>
      <c r="BL162" s="349">
        <v>0</v>
      </c>
      <c r="BM162" s="349">
        <v>0</v>
      </c>
      <c r="BN162" s="349">
        <v>0</v>
      </c>
      <c r="BO162" s="740">
        <f>+AVERAGE(BK162:BN162)</f>
        <v>0</v>
      </c>
      <c r="BQ162" s="349">
        <v>0</v>
      </c>
      <c r="BR162" s="349">
        <v>0</v>
      </c>
      <c r="BS162" s="349">
        <v>0</v>
      </c>
      <c r="BT162" s="349">
        <v>0</v>
      </c>
      <c r="BU162" s="740">
        <f>+AVERAGE(BQ162:BT162)</f>
        <v>0</v>
      </c>
      <c r="BW162" s="349">
        <v>0</v>
      </c>
      <c r="BX162" s="349">
        <v>0</v>
      </c>
      <c r="BY162" s="349">
        <v>0</v>
      </c>
      <c r="BZ162" s="349">
        <v>0</v>
      </c>
      <c r="CA162" s="740">
        <f>+AVERAGE(BW162:BZ162)</f>
        <v>0</v>
      </c>
      <c r="CC162" s="349">
        <v>0</v>
      </c>
      <c r="CD162" s="349">
        <v>0</v>
      </c>
      <c r="CE162" s="349">
        <v>0</v>
      </c>
      <c r="CF162" s="349">
        <v>0</v>
      </c>
      <c r="CG162" s="740">
        <f>+AVERAGE(CC162:CF162)</f>
        <v>0</v>
      </c>
      <c r="CJ162"/>
      <c r="CK162"/>
      <c r="CL162"/>
      <c r="CM162"/>
      <c r="CN162"/>
      <c r="CO162"/>
    </row>
    <row r="163" spans="2:93" s="53" customFormat="1" x14ac:dyDescent="0.2">
      <c r="B163" s="53" t="s">
        <v>469</v>
      </c>
      <c r="AQ163" s="740"/>
      <c r="AS163" s="349">
        <v>-2E-3</v>
      </c>
      <c r="AT163" s="349">
        <v>-2E-3</v>
      </c>
      <c r="AU163" s="349">
        <f>-AU174</f>
        <v>1.1100717310244534E-2</v>
      </c>
      <c r="AV163" s="349">
        <f>-AV174</f>
        <v>1.0356333659355399E-2</v>
      </c>
      <c r="AW163" s="740">
        <f>-AW174</f>
        <v>6.4448461909255017E-3</v>
      </c>
      <c r="AY163" s="349">
        <f>-AY174</f>
        <v>2.36161970617213E-2</v>
      </c>
      <c r="AZ163" s="349">
        <f>-AZ174</f>
        <v>2.2648678290114715E-2</v>
      </c>
      <c r="BA163" s="349">
        <f>-BA174</f>
        <v>2.4995126086035158E-2</v>
      </c>
      <c r="BB163" s="349">
        <f>-BB174</f>
        <v>1.4078931369313374E-2</v>
      </c>
      <c r="BC163" s="740">
        <f>-BC174</f>
        <v>2.1165170091521329E-2</v>
      </c>
      <c r="BE163" s="349">
        <f>-BE174</f>
        <v>6.8130026809651301E-3</v>
      </c>
      <c r="BF163" s="349">
        <f>-BF174</f>
        <v>0</v>
      </c>
      <c r="BG163" s="349">
        <f>-BG174</f>
        <v>5.8484721220150582E-4</v>
      </c>
      <c r="BH163" s="349">
        <f>-BH174</f>
        <v>2.2168395275628167E-2</v>
      </c>
      <c r="BI163" s="740">
        <f>-BI174</f>
        <v>7.6760547989858097E-3</v>
      </c>
      <c r="BK163" s="579">
        <f>-BK174</f>
        <v>3.5467727435304908E-3</v>
      </c>
      <c r="BL163" s="349">
        <f>-BL174</f>
        <v>6.8697157219719529E-3</v>
      </c>
      <c r="BM163" s="349">
        <f>-BM174</f>
        <v>7.0056272662854524E-3</v>
      </c>
      <c r="BN163" s="349">
        <f>-BN174</f>
        <v>3.8859972040453661E-3</v>
      </c>
      <c r="BO163" s="740">
        <f>-BO174</f>
        <v>5.3511541740163537E-3</v>
      </c>
      <c r="BQ163" s="349">
        <f>-BQ174</f>
        <v>-1.5880061520996774E-2</v>
      </c>
      <c r="BR163" s="349">
        <f>-BR174</f>
        <v>0</v>
      </c>
      <c r="BS163" s="349">
        <f>-BS174</f>
        <v>0</v>
      </c>
      <c r="BT163" s="349">
        <f>-BT174</f>
        <v>0</v>
      </c>
      <c r="BU163" s="740">
        <f>-BU174</f>
        <v>0</v>
      </c>
      <c r="BW163" s="349">
        <f>-BW174</f>
        <v>0</v>
      </c>
      <c r="BX163" s="349">
        <f>-BX174</f>
        <v>0</v>
      </c>
      <c r="BY163" s="349">
        <f>-BY174</f>
        <v>0</v>
      </c>
      <c r="BZ163" s="349">
        <f>-BZ174</f>
        <v>0</v>
      </c>
      <c r="CA163" s="740">
        <f>-CA174</f>
        <v>0</v>
      </c>
      <c r="CC163" s="349">
        <f>-CC174</f>
        <v>0</v>
      </c>
      <c r="CD163" s="349">
        <f>-CD174</f>
        <v>0</v>
      </c>
      <c r="CE163" s="349">
        <f>-CE174</f>
        <v>0</v>
      </c>
      <c r="CF163" s="349">
        <f>-CF174</f>
        <v>0</v>
      </c>
      <c r="CG163" s="740">
        <f>-CG174</f>
        <v>0</v>
      </c>
      <c r="CJ163"/>
      <c r="CK163"/>
      <c r="CL163"/>
      <c r="CM163"/>
      <c r="CN163"/>
      <c r="CO163"/>
    </row>
    <row r="164" spans="2:93" s="53" customFormat="1" x14ac:dyDescent="0.2">
      <c r="B164" s="53" t="s">
        <v>470</v>
      </c>
      <c r="AQ164" s="740"/>
      <c r="AS164" s="349">
        <v>0</v>
      </c>
      <c r="AT164" s="349">
        <v>0</v>
      </c>
      <c r="AU164" s="349">
        <v>0</v>
      </c>
      <c r="AV164" s="349">
        <v>0</v>
      </c>
      <c r="AW164" s="740">
        <f>+AVERAGE(AS164:AV164)</f>
        <v>0</v>
      </c>
      <c r="AY164" s="349">
        <f>+AY184</f>
        <v>2.2717405571317517E-2</v>
      </c>
      <c r="AZ164" s="349">
        <f>+AZ184</f>
        <v>3.4846864736882283E-2</v>
      </c>
      <c r="BA164" s="349">
        <f>+BA184</f>
        <v>1.0595465140919691E-2</v>
      </c>
      <c r="BB164" s="349">
        <f>+BB184</f>
        <v>0</v>
      </c>
      <c r="BC164" s="740">
        <f>+BC184</f>
        <v>1.6558523736643793E-2</v>
      </c>
      <c r="BE164" s="349">
        <f>+BE184</f>
        <v>1.2567024128686322E-2</v>
      </c>
      <c r="BF164" s="349">
        <f>+BF184</f>
        <v>9.6524379830859597E-3</v>
      </c>
      <c r="BG164" s="349">
        <f>+BG184</f>
        <v>1.1127503239539233E-2</v>
      </c>
      <c r="BH164" s="349">
        <f>+BH184</f>
        <v>1.2574905440940226E-2</v>
      </c>
      <c r="BI164" s="740">
        <f>+AVERAGE(BE164:BH164)</f>
        <v>1.1480467698062935E-2</v>
      </c>
      <c r="BK164" s="349">
        <f>+BK184</f>
        <v>1.1600143068431185E-2</v>
      </c>
      <c r="BL164" s="349">
        <f>+BL184</f>
        <v>1.0098686609702562E-2</v>
      </c>
      <c r="BM164" s="349">
        <f>+BM184</f>
        <v>8.8250486026573705E-3</v>
      </c>
      <c r="BN164" s="349">
        <f>+BN184</f>
        <v>8.069818168008891E-3</v>
      </c>
      <c r="BO164" s="740">
        <f>+AVERAGE(BK164:BN164)</f>
        <v>9.648424112200002E-3</v>
      </c>
      <c r="BQ164" s="349">
        <f>+BQ184</f>
        <v>8.2394192124946031E-3</v>
      </c>
      <c r="BR164" s="349">
        <f>+BR184</f>
        <v>7.4781442119050967E-3</v>
      </c>
      <c r="BS164" s="349">
        <f>+BS184</f>
        <v>6.9072201431586155E-3</v>
      </c>
      <c r="BT164" s="349">
        <f>+BT184</f>
        <v>6.2945480912576235E-3</v>
      </c>
      <c r="BU164" s="740">
        <f>+AVERAGE(BQ164:BT164)</f>
        <v>7.2298329147039847E-3</v>
      </c>
      <c r="BW164" s="349">
        <f>+BW184</f>
        <v>0</v>
      </c>
      <c r="BX164" s="349">
        <f>+BX184</f>
        <v>0</v>
      </c>
      <c r="BY164" s="349">
        <f>+BY184</f>
        <v>0</v>
      </c>
      <c r="BZ164" s="349">
        <f>+BZ184</f>
        <v>0</v>
      </c>
      <c r="CA164" s="740">
        <f>+AVERAGE(BW164:BZ164)</f>
        <v>0</v>
      </c>
      <c r="CC164" s="349">
        <f>+CC184</f>
        <v>0</v>
      </c>
      <c r="CD164" s="349">
        <f>+CD184</f>
        <v>0</v>
      </c>
      <c r="CE164" s="349">
        <f>+CE184</f>
        <v>0</v>
      </c>
      <c r="CF164" s="349">
        <f>+CF184</f>
        <v>0</v>
      </c>
      <c r="CG164" s="740">
        <f>+AVERAGE(CC164:CF164)</f>
        <v>0</v>
      </c>
      <c r="CJ164"/>
      <c r="CK164"/>
      <c r="CL164"/>
      <c r="CM164"/>
      <c r="CN164"/>
      <c r="CO164"/>
    </row>
    <row r="165" spans="2:93" s="53" customFormat="1" x14ac:dyDescent="0.2">
      <c r="B165" s="53" t="s">
        <v>506</v>
      </c>
      <c r="AQ165" s="740"/>
      <c r="AS165" s="349">
        <v>0</v>
      </c>
      <c r="AT165" s="349">
        <v>0</v>
      </c>
      <c r="AU165" s="349">
        <v>0</v>
      </c>
      <c r="AV165" s="349">
        <v>0</v>
      </c>
      <c r="AW165" s="740">
        <f>+AVERAGE(AS165:AV165)</f>
        <v>0</v>
      </c>
      <c r="AY165" s="349">
        <f>+AY188</f>
        <v>0</v>
      </c>
      <c r="AZ165" s="349">
        <f>+AZ188</f>
        <v>0</v>
      </c>
      <c r="BA165" s="349">
        <f>+BA188</f>
        <v>2.8496187878772755E-2</v>
      </c>
      <c r="BB165" s="349">
        <f>+BB188</f>
        <v>2.3272519217388626E-2</v>
      </c>
      <c r="BC165" s="740">
        <f>+AVERAGE(AY165:BB165)</f>
        <v>1.2942176774040345E-2</v>
      </c>
      <c r="BE165" s="349">
        <f>+BE188</f>
        <v>2.5189757969905746E-2</v>
      </c>
      <c r="BF165" s="349">
        <f>+BF188</f>
        <v>2.4105110952319903E-2</v>
      </c>
      <c r="BG165" s="349">
        <f>+BG188</f>
        <v>-5.7433675757587455E-3</v>
      </c>
      <c r="BH165" s="349">
        <f>+BH188</f>
        <v>-8.37911426658422E-3</v>
      </c>
      <c r="BI165" s="740">
        <f>+AVERAGE(BE165:BH165)</f>
        <v>8.7930967699706708E-3</v>
      </c>
      <c r="BK165" s="349">
        <f>+BK188</f>
        <v>0</v>
      </c>
      <c r="BL165" s="349">
        <f>+BL188</f>
        <v>0</v>
      </c>
      <c r="BM165" s="349">
        <f>+BM188</f>
        <v>0</v>
      </c>
      <c r="BN165" s="349">
        <f>+BN188</f>
        <v>0</v>
      </c>
      <c r="BO165" s="740">
        <f>+AVERAGE(BK165:BN165)</f>
        <v>0</v>
      </c>
      <c r="BQ165" s="349">
        <f>+BQ188</f>
        <v>0</v>
      </c>
      <c r="BR165" s="349">
        <f>+BR188</f>
        <v>0</v>
      </c>
      <c r="BS165" s="349">
        <f>+BS188</f>
        <v>0</v>
      </c>
      <c r="BT165" s="349">
        <f>+BT188</f>
        <v>0</v>
      </c>
      <c r="BU165" s="740">
        <f>+AVERAGE(BQ165:BT165)</f>
        <v>0</v>
      </c>
      <c r="BW165" s="349">
        <f>+BW188</f>
        <v>0</v>
      </c>
      <c r="BX165" s="349">
        <f>+BX188</f>
        <v>0</v>
      </c>
      <c r="BY165" s="349">
        <f>+BY188</f>
        <v>0</v>
      </c>
      <c r="BZ165" s="349">
        <f>+BZ188</f>
        <v>0</v>
      </c>
      <c r="CA165" s="740">
        <f>+AVERAGE(BW165:BZ165)</f>
        <v>0</v>
      </c>
      <c r="CC165" s="349">
        <f>+CC188</f>
        <v>0</v>
      </c>
      <c r="CD165" s="349">
        <f>+CD188</f>
        <v>0</v>
      </c>
      <c r="CE165" s="349">
        <f>+CE188</f>
        <v>0</v>
      </c>
      <c r="CF165" s="349">
        <f>+CF188</f>
        <v>0</v>
      </c>
      <c r="CG165" s="740">
        <f>+AVERAGE(CC165:CF165)</f>
        <v>0</v>
      </c>
      <c r="CJ165"/>
      <c r="CK165"/>
      <c r="CL165"/>
      <c r="CM165"/>
      <c r="CN165"/>
      <c r="CO165"/>
    </row>
    <row r="166" spans="2:93" s="53" customFormat="1" x14ac:dyDescent="0.2">
      <c r="B166" s="53" t="s">
        <v>479</v>
      </c>
      <c r="AQ166" s="740"/>
      <c r="AS166" s="349">
        <v>0</v>
      </c>
      <c r="AT166" s="349">
        <v>0</v>
      </c>
      <c r="AU166" s="349">
        <v>0</v>
      </c>
      <c r="AV166" s="349">
        <v>0</v>
      </c>
      <c r="AW166" s="740">
        <f>+AVERAGE(AS166:AV166)</f>
        <v>0</v>
      </c>
      <c r="AY166" s="349">
        <f>+AY191</f>
        <v>1.5144937047545021E-2</v>
      </c>
      <c r="AZ166" s="349">
        <f>+AZ191</f>
        <v>1.4320629343924224E-2</v>
      </c>
      <c r="BA166" s="349">
        <f>+BA191</f>
        <v>1.4448361555799566E-2</v>
      </c>
      <c r="BB166" s="349">
        <f>+BB191</f>
        <v>1.3027844847053077E-2</v>
      </c>
      <c r="BC166" s="740">
        <f>+BC191</f>
        <v>1.4193020345694668E-2</v>
      </c>
      <c r="BE166" s="349">
        <f>+BE191</f>
        <v>-2.524156174590834E-3</v>
      </c>
      <c r="BF166" s="349">
        <f>+BF191</f>
        <v>0</v>
      </c>
      <c r="BG166" s="349">
        <f>+BG191</f>
        <v>-2.4080602592999288E-3</v>
      </c>
      <c r="BH166" s="349">
        <f>+BH191</f>
        <v>-2.1713074745088501E-3</v>
      </c>
      <c r="BI166" s="740">
        <f>+BI191</f>
        <v>-1.7741275432118331E-3</v>
      </c>
      <c r="BK166" s="349">
        <f>+BK191</f>
        <v>0</v>
      </c>
      <c r="BL166" s="349">
        <f>+BL191</f>
        <v>0</v>
      </c>
      <c r="BM166" s="349">
        <f>+BM191</f>
        <v>0</v>
      </c>
      <c r="BN166" s="349">
        <f>+BN191</f>
        <v>0</v>
      </c>
      <c r="BO166" s="740">
        <f>+BO191</f>
        <v>-9.7233566138271686E-3</v>
      </c>
      <c r="BQ166" s="349">
        <v>0</v>
      </c>
      <c r="BR166" s="349">
        <v>0</v>
      </c>
      <c r="BS166" s="349">
        <v>0</v>
      </c>
      <c r="BT166" s="349">
        <v>0</v>
      </c>
      <c r="BU166" s="740">
        <f>+AVERAGE(BQ166:BT166)</f>
        <v>0</v>
      </c>
      <c r="BW166" s="349">
        <v>0</v>
      </c>
      <c r="BX166" s="349">
        <v>0</v>
      </c>
      <c r="BY166" s="349">
        <v>0</v>
      </c>
      <c r="BZ166" s="349">
        <v>0</v>
      </c>
      <c r="CA166" s="740">
        <f>+AVERAGE(BW166:BZ166)</f>
        <v>0</v>
      </c>
      <c r="CC166" s="349">
        <v>0</v>
      </c>
      <c r="CD166" s="349">
        <v>0</v>
      </c>
      <c r="CE166" s="349">
        <v>0</v>
      </c>
      <c r="CF166" s="349">
        <v>0</v>
      </c>
      <c r="CG166" s="740">
        <f>+AVERAGE(CC166:CF166)</f>
        <v>0</v>
      </c>
      <c r="CJ166"/>
      <c r="CK166"/>
      <c r="CL166"/>
      <c r="CM166"/>
      <c r="CN166"/>
      <c r="CO166"/>
    </row>
    <row r="167" spans="2:93" s="124" customFormat="1" x14ac:dyDescent="0.2">
      <c r="B167" s="124" t="s">
        <v>433</v>
      </c>
      <c r="AQ167" s="739"/>
      <c r="AS167" s="736">
        <f>+AS160+AS162+AS164+AS163+AS165+AS166</f>
        <v>0.22941392557820262</v>
      </c>
      <c r="AT167" s="736">
        <f>+AT160+AT162+AT164+AT163+AT165+AT166</f>
        <v>0.25111248578151052</v>
      </c>
      <c r="AU167" s="736">
        <f>+AU160+AU162+AU164+AU163+AU165+AU166</f>
        <v>0.28257789188733695</v>
      </c>
      <c r="AV167" s="736">
        <f>+AV160+AV162+AV164+AV163+AV165+AV166</f>
        <v>0.2796362933773815</v>
      </c>
      <c r="AW167" s="739">
        <f>+AW160+AW162+AW164+AW163+AW165+AW166</f>
        <v>0.26309732770153471</v>
      </c>
      <c r="AY167" s="736">
        <f>+AY160+AY162+AY164+AY163+AY165+AY166</f>
        <v>0.2986777864723813</v>
      </c>
      <c r="AZ167" s="736">
        <f>+AZ160+AZ162+AZ164+AZ163+AZ165+AZ166</f>
        <v>0.28885638469811903</v>
      </c>
      <c r="BA167" s="736">
        <f>+BA160+BA162+BA164+BA163+BA165+BA166</f>
        <v>0.27176926191217732</v>
      </c>
      <c r="BB167" s="736">
        <f>+BB160+BB162+BB164+BB163+BB165+BB166</f>
        <v>0.3080657238935165</v>
      </c>
      <c r="BC167" s="739">
        <f>+BC160+BC162+BC164+BC163+BC165+BC166</f>
        <v>0.29215942578821708</v>
      </c>
      <c r="BE167" s="736">
        <f>+BE160+BE162+BE164+BE163+BE165+BE166</f>
        <v>0.26546218356475199</v>
      </c>
      <c r="BF167" s="736">
        <f>+BF160+BF162+BF164+BF163+BF165+BF166</f>
        <v>0.27557339526859326</v>
      </c>
      <c r="BG167" s="736">
        <f>+BG160+BG162+BG164+BG163+BG165+BG166</f>
        <v>0.22639455926421662</v>
      </c>
      <c r="BH167" s="736">
        <f>+BH160+BH162+BH164+BH163+BH165+BH166</f>
        <v>0.25861067142643929</v>
      </c>
      <c r="BI167" s="739">
        <f>+BI160+BI162+BI164+BI163+BI165+BI166</f>
        <v>0.25701816410965994</v>
      </c>
      <c r="BK167" s="736">
        <f>+BK160+BK162+BK164+BK163+BK165+BK166</f>
        <v>0.21387347788400501</v>
      </c>
      <c r="BL167" s="736">
        <f>+BL160+BL162+BL164+BL163+BL165+BL166</f>
        <v>0.25139538602229566</v>
      </c>
      <c r="BM167" s="736">
        <f>+BM160+BM162+BM164+BM163+BM165+BM166</f>
        <v>0.2721801685584283</v>
      </c>
      <c r="BN167" s="736">
        <f>+BN160+BN162+BN164+BN163+BN165+BN166</f>
        <v>0.27210301834934247</v>
      </c>
      <c r="BO167" s="739">
        <f>+BO160+BO162+BO164+BO163+BO165+BO166</f>
        <v>0.24527071065816586</v>
      </c>
      <c r="BQ167" s="736">
        <f>+BQ160+BQ162+BQ164+BQ163+BQ165+BQ166</f>
        <v>0.21709409416740658</v>
      </c>
      <c r="BR167" s="736">
        <f>+BR160+BR162+BR164+BR163+BR165+BR166</f>
        <v>0.23997172741150868</v>
      </c>
      <c r="BS167" s="736">
        <f>+BS160+BS162+BS164+BS163+BS165+BS166</f>
        <v>0.25996465147918191</v>
      </c>
      <c r="BT167" s="736">
        <f>+BT160+BT162+BT164+BT163+BT165+BT166</f>
        <v>0.26621910538580607</v>
      </c>
      <c r="BU167" s="739">
        <f>+BU160+BU162+BU164+BU163+BU165+BU166</f>
        <v>0.25077020057803834</v>
      </c>
      <c r="BW167" s="736">
        <f>+BW160+BW162+BW164+BW163+BW165+BW166</f>
        <v>0.24562050264728486</v>
      </c>
      <c r="BX167" s="736">
        <f>+BX160+BX162+BX164+BX163+BX165+BX166</f>
        <v>0.25518792190042866</v>
      </c>
      <c r="BY167" s="736">
        <f>+BY160+BY162+BY164+BY163+BY165+BY166</f>
        <v>0.27576848205486504</v>
      </c>
      <c r="BZ167" s="736">
        <f>+BZ160+BZ162+BZ164+BZ163+BZ165+BZ166</f>
        <v>0.27853335658953549</v>
      </c>
      <c r="CA167" s="739">
        <f>+CA160+CA162+CA164+CA163+CA165+CA166</f>
        <v>0.26476359167707475</v>
      </c>
      <c r="CC167" s="736">
        <f>+CC160+CC162+CC164+CC163+CC165+CC166</f>
        <v>0.26424204124963074</v>
      </c>
      <c r="CD167" s="736">
        <f>+CD160+CD162+CD164+CD163+CD165+CD166</f>
        <v>0.27234204014054764</v>
      </c>
      <c r="CE167" s="736">
        <f>+CE160+CE162+CE164+CE163+CE165+CE166</f>
        <v>0.2939822556655281</v>
      </c>
      <c r="CF167" s="736">
        <f>+CF160+CF162+CF164+CF163+CF165+CF166</f>
        <v>0.2950116832650625</v>
      </c>
      <c r="CG167" s="739">
        <f>+CG160+CG162+CG164+CG163+CG165+CG166</f>
        <v>0.28224146074725542</v>
      </c>
      <c r="CJ167"/>
      <c r="CK167"/>
      <c r="CL167"/>
      <c r="CM167"/>
      <c r="CN167"/>
      <c r="CO167"/>
    </row>
    <row r="168" spans="2:93" s="124" customFormat="1" x14ac:dyDescent="0.2">
      <c r="B168" s="124" t="s">
        <v>478</v>
      </c>
      <c r="AQ168" s="739"/>
      <c r="AS168" s="736">
        <f>+AS167-AM160</f>
        <v>4.099095383709031E-2</v>
      </c>
      <c r="AT168" s="736">
        <f>+AT167-AN160</f>
        <v>1.9766195770035022E-2</v>
      </c>
      <c r="AU168" s="736">
        <f>+AU167-AO160</f>
        <v>3.0526294985096292E-2</v>
      </c>
      <c r="AV168" s="736">
        <f>+AV167-AP160</f>
        <v>-1.7196991346554502E-2</v>
      </c>
      <c r="AW168" s="739">
        <f>+AW167-AQ160</f>
        <v>1.8891731266482636E-2</v>
      </c>
      <c r="AY168" s="736">
        <f>+AY167-AS160</f>
        <v>6.7263860894178684E-2</v>
      </c>
      <c r="AZ168" s="736">
        <f>+AZ167-AT160</f>
        <v>3.5743898916608507E-2</v>
      </c>
      <c r="BA168" s="736">
        <f>+BA167-AU160</f>
        <v>2.920873350849007E-4</v>
      </c>
      <c r="BB168" s="736">
        <f>+BB167-AV160</f>
        <v>4.8785764175490409E-2</v>
      </c>
      <c r="BC168" s="739">
        <f>+BC167-AW160</f>
        <v>3.8006944277607868E-2</v>
      </c>
      <c r="BE168" s="736">
        <f>+BE167-AY160</f>
        <v>4.326293677295448E-2</v>
      </c>
      <c r="BF168" s="736">
        <f>+BF167-AZ160</f>
        <v>7.3533182941395436E-2</v>
      </c>
      <c r="BG168" s="736">
        <f>+BG167-BA160</f>
        <v>4.3160438013566477E-2</v>
      </c>
      <c r="BH168" s="736">
        <f>+BH167-BB160</f>
        <v>9.2424296667786843E-4</v>
      </c>
      <c r="BI168" s="739">
        <f>+BI167-BC160</f>
        <v>3.9717629269342997E-2</v>
      </c>
      <c r="BK168" s="736">
        <f>+BK167-BE160</f>
        <v>-9.5430770757806427E-3</v>
      </c>
      <c r="BL168" s="736">
        <f>+BL167-BF160</f>
        <v>9.5795396891082962E-3</v>
      </c>
      <c r="BM168" s="736">
        <f>+BM167-BG160</f>
        <v>4.9346531910893748E-2</v>
      </c>
      <c r="BN168" s="736">
        <f>+BN167-BH160</f>
        <v>3.7685225898378555E-2</v>
      </c>
      <c r="BO168" s="739">
        <f>+BO167-BI160</f>
        <v>1.4428038272313481E-2</v>
      </c>
      <c r="BQ168" s="736">
        <f>+BQ167-BK160</f>
        <v>1.8367532095363237E-2</v>
      </c>
      <c r="BR168" s="736">
        <f>+BR167-BL160</f>
        <v>5.544743720887535E-3</v>
      </c>
      <c r="BS168" s="736">
        <f>+BS167-BM160</f>
        <v>3.6151587896964266E-3</v>
      </c>
      <c r="BT168" s="736">
        <f>+BT167-BN160</f>
        <v>6.0719024085178486E-3</v>
      </c>
      <c r="BU168" s="739">
        <f>+BU167-BO160</f>
        <v>1.0775711592261705E-2</v>
      </c>
      <c r="BW168" s="736">
        <f>+BW167-BQ160</f>
        <v>2.0885766171376108E-2</v>
      </c>
      <c r="BX168" s="736">
        <f>+BX167-BR160</f>
        <v>2.2694338700825073E-2</v>
      </c>
      <c r="BY168" s="736">
        <f>+BY167-BS160</f>
        <v>2.2711050718841774E-2</v>
      </c>
      <c r="BZ168" s="736">
        <f>+BZ167-BT160</f>
        <v>1.8608799294987044E-2</v>
      </c>
      <c r="CA168" s="739">
        <f>+CA167-BU160</f>
        <v>2.1223224013740383E-2</v>
      </c>
      <c r="CC168" s="736">
        <f>+CC167-BW160</f>
        <v>1.8621538602345888E-2</v>
      </c>
      <c r="CD168" s="736">
        <f>+CD167-BX160</f>
        <v>1.7154118240118976E-2</v>
      </c>
      <c r="CE168" s="736">
        <f>+CE167-BY160</f>
        <v>1.8213773610663064E-2</v>
      </c>
      <c r="CF168" s="736">
        <f>+CF167-BZ160</f>
        <v>1.6478326675527011E-2</v>
      </c>
      <c r="CG168" s="739">
        <f>+CG167-CA160</f>
        <v>1.7477869070180674E-2</v>
      </c>
      <c r="CJ168"/>
      <c r="CK168"/>
      <c r="CL168"/>
      <c r="CM168"/>
      <c r="CN168"/>
      <c r="CO168"/>
    </row>
    <row r="169" spans="2:93" s="124" customFormat="1" x14ac:dyDescent="0.2">
      <c r="B169" s="741" t="s">
        <v>434</v>
      </c>
      <c r="C169" s="741"/>
      <c r="D169" s="741"/>
      <c r="E169" s="741"/>
      <c r="F169" s="741"/>
      <c r="G169" s="741"/>
      <c r="H169" s="741"/>
      <c r="I169" s="741"/>
      <c r="J169" s="741"/>
      <c r="K169" s="741"/>
      <c r="L169" s="741"/>
      <c r="M169" s="741"/>
      <c r="N169" s="741"/>
      <c r="O169" s="741"/>
      <c r="P169" s="741"/>
      <c r="Q169" s="741"/>
      <c r="R169" s="741"/>
      <c r="S169" s="741"/>
      <c r="T169" s="741"/>
      <c r="U169" s="741"/>
      <c r="V169" s="741"/>
      <c r="W169" s="741"/>
      <c r="X169" s="741"/>
      <c r="Y169" s="741"/>
      <c r="Z169" s="741"/>
      <c r="AA169" s="741"/>
      <c r="AB169" s="741"/>
      <c r="AC169" s="741"/>
      <c r="AD169" s="741"/>
      <c r="AE169" s="741"/>
      <c r="AF169" s="741"/>
      <c r="AG169" s="741"/>
      <c r="AH169" s="741"/>
      <c r="AI169" s="741"/>
      <c r="AJ169" s="741"/>
      <c r="AK169" s="741"/>
      <c r="AL169" s="741"/>
      <c r="AM169" s="741"/>
      <c r="AN169" s="741"/>
      <c r="AO169" s="741"/>
      <c r="AP169" s="741"/>
      <c r="AQ169" s="743"/>
      <c r="AR169" s="741"/>
      <c r="AS169" s="742">
        <f>+((AS167*AS8)-(AM54*AM8))/(((1+AS62)*AM8)-AM8)</f>
        <v>0.56146751508633352</v>
      </c>
      <c r="AT169" s="742">
        <f>+((AT167*AT8)-(AN54*AN8))/(((1+AT62)*AN8)-AN8)</f>
        <v>0.43286301554217765</v>
      </c>
      <c r="AU169" s="742">
        <f>+((AU167*AU8)-(AO54*AO8))/(((1+AU62)*AO8)-AO8)</f>
        <v>0.49515467375704447</v>
      </c>
      <c r="AV169" s="742">
        <f>+((AV167*AV8)-(AP54*AP8))/(((1+AV62)*AP8)-AP8)</f>
        <v>0.10957549120864946</v>
      </c>
      <c r="AW169" s="743">
        <f>+((AW167*AW8)-(AQ54*AQ8))/(((1+AW62)*AQ8)-AQ8)</f>
        <v>0.41281330208977052</v>
      </c>
      <c r="AX169" s="741"/>
      <c r="AY169" s="742">
        <f>+((AY167*AY8)-(AS54*AS8))/(((1+AY62)*AS8)-AS8)</f>
        <v>0.79817967947511614</v>
      </c>
      <c r="AZ169" s="742">
        <f>+((AZ167*AZ8)-(AT54*AT8))/(((1+AZ62)*AT8)-AT8)</f>
        <v>0.43164996686766316</v>
      </c>
      <c r="BA169" s="742">
        <f>+((BA167*BA8)-(AU54*AU8))/(((1+BA62)*AU8)-AU8)</f>
        <v>0.18193207896174676</v>
      </c>
      <c r="BB169" s="742">
        <f>+((BB167*BB8)-(AV54*AV8))/(((1+BB62)*AV8)-AV8)</f>
        <v>0.50760535744263924</v>
      </c>
      <c r="BC169" s="743">
        <f>+((BC167*BC8)-(AW54*AW8))/(((1+BC62)*AW8)-AW8)</f>
        <v>0.46801434928589297</v>
      </c>
      <c r="BD169" s="741"/>
      <c r="BE169" s="742">
        <f>+((BE167*BE8)-(AY54*AY8))/(((1+BE62)*AY8)-AY8)</f>
        <v>0.4466832616554573</v>
      </c>
      <c r="BF169" s="742">
        <f>+((BF167*BF8)-(AZ54*AZ8))/(((1+BF62)*AZ8)-AZ8)</f>
        <v>0.53285233818249633</v>
      </c>
      <c r="BG169" s="742">
        <f>+((BG167*BG8)-(BA54*BA8))/(((1+BG62)*BA8)-BA8)</f>
        <v>0.35269874241904992</v>
      </c>
      <c r="BH169" s="742">
        <f>+((BH167*BH8)-(BB54*BB8))/(((1+BH62)*BB8)-BB8)</f>
        <v>0.25007090712828212</v>
      </c>
      <c r="BI169" s="743">
        <f>+((BI167*BI8)-(BC54*BC8))/(((1+BI62)*BC8)-BC8)</f>
        <v>0.3907845163013341</v>
      </c>
      <c r="BJ169" s="741"/>
      <c r="BK169" s="742">
        <f>+((BK167*BK8)-(BE54*BE8))/(((1+BK62)*BE8)-BE8)</f>
        <v>0.17474583562267956</v>
      </c>
      <c r="BL169" s="742">
        <f>+((BL167*BL8)-(BF54*BF8))/(((1+BL62)*BF8)-BF8)</f>
        <v>0.27165923213493109</v>
      </c>
      <c r="BM169" s="742">
        <f>+((BM167*BM8)-(BG54*BG8))/(((1+BM62)*BG8)-BG8)</f>
        <v>0.4118025613302107</v>
      </c>
      <c r="BN169" s="742">
        <f>+((BN167*BN8)-(BH54*BH8))/(((1+BN62)*BH8)-BH8)</f>
        <v>0.39445414920697269</v>
      </c>
      <c r="BO169" s="743">
        <f>+((BO167*BO8)-(BI54*BI8))/(((1+BO62)*BI8)-BI8)</f>
        <v>0.29116046104690541</v>
      </c>
      <c r="BP169" s="741"/>
      <c r="BQ169" s="742">
        <f>+((BQ167*BQ8)-(BK54*BK8))/(((1+BQ62)*BK8)-BK8)</f>
        <v>0.2987470057204748</v>
      </c>
      <c r="BR169" s="742">
        <f>+((BR167*BR8)-(BL54*BL8))/(((1+BR62)*BL8)-BL8)</f>
        <v>0.30341616303232311</v>
      </c>
      <c r="BS169" s="742">
        <f>+((BS167*BS8)-(BM54*BM8))/(((1+BS62)*BM8)-BM8)</f>
        <v>0.29999651485562623</v>
      </c>
      <c r="BT169" s="742">
        <f>+((BT167*BT8)-(BN54*BN8))/(((1+BT62)*BN8)-BN8)</f>
        <v>0.30971090196545653</v>
      </c>
      <c r="BU169" s="743">
        <f>+((BU167*BU8)-(BO54*BO8))/(((1+BU62)*BO8)-BO8)</f>
        <v>0.31965025965218258</v>
      </c>
      <c r="BV169" s="741"/>
      <c r="BW169" s="742">
        <f>+((BW167*BW8)-(BQ54*BQ8))/(((1+BW62)*BQ8)-BQ8)</f>
        <v>0.34387380330244188</v>
      </c>
      <c r="BX169" s="742">
        <f>+((BX167*BX8)-(BR54*BR8))/(((1+BX62)*BR8)-BR8)</f>
        <v>0.34675732624702948</v>
      </c>
      <c r="BY169" s="742">
        <f>+((BY167*BY8)-(BS54*BS8))/(((1+BY62)*BS8)-BS8)</f>
        <v>0.3719286944571924</v>
      </c>
      <c r="BZ169" s="742">
        <f>+((BZ167*BZ8)-(BT54*BT8))/(((1+BZ62)*BT8)-BT8)</f>
        <v>0.35716957968359758</v>
      </c>
      <c r="CA169" s="743">
        <f>+((CA167*CA8)-(BU54*BU8))/(((1+CA62)*BU8)-BU8)</f>
        <v>0.35550100800442436</v>
      </c>
      <c r="CB169" s="741"/>
      <c r="CC169" s="742">
        <f>+((CC167*CC8)-(BW54*BW8))/(((1+CC62)*BW8)-BW8)</f>
        <v>0.36914368025770794</v>
      </c>
      <c r="CD169" s="742">
        <f>+((CD167*CD8)-(BX54*BX8))/(((1+CD62)*BX8)-BX8)</f>
        <v>0.3763555976257828</v>
      </c>
      <c r="CE169" s="742">
        <f>+((CE167*CE8)-(BY54*BY8))/(((1+CE62)*BY8)-BY8)</f>
        <v>0.40638865151070708</v>
      </c>
      <c r="CF169" s="742">
        <f>+((CF167*CF8)-(BZ54*BZ8))/(((1+CF62)*BZ8)-BZ8)</f>
        <v>0.40114794218575078</v>
      </c>
      <c r="CG169" s="743">
        <f>+((CG167*CG8)-(CA54*CA8))/(((1+CG62)*CA8)-CA8)</f>
        <v>0.38863123789926707</v>
      </c>
      <c r="CJ169"/>
      <c r="CK169"/>
      <c r="CL169"/>
      <c r="CM169"/>
      <c r="CN169"/>
      <c r="CO169"/>
    </row>
    <row r="170" spans="2:93" s="53" customFormat="1" x14ac:dyDescent="0.2">
      <c r="CJ170"/>
      <c r="CK170"/>
      <c r="CL170"/>
      <c r="CM170"/>
      <c r="CN170"/>
      <c r="CO170"/>
    </row>
    <row r="171" spans="2:93" s="53" customFormat="1" x14ac:dyDescent="0.2">
      <c r="CJ171"/>
      <c r="CK171"/>
      <c r="CL171"/>
      <c r="CM171"/>
      <c r="CN171"/>
      <c r="CO171"/>
    </row>
    <row r="172" spans="2:93" s="53" customFormat="1" x14ac:dyDescent="0.2">
      <c r="B172" s="53" t="s">
        <v>472</v>
      </c>
      <c r="AS172" s="733"/>
      <c r="AT172" s="733"/>
      <c r="AU172" s="745">
        <v>-2.5700000000000001E-2</v>
      </c>
      <c r="AV172" s="745">
        <v>-0.02</v>
      </c>
      <c r="AW172" s="977">
        <f>SUM(AS172:AV172)</f>
        <v>-4.5700000000000005E-2</v>
      </c>
      <c r="AX172" s="977"/>
      <c r="AY172" s="978">
        <v>-4.2000000000000003E-2</v>
      </c>
      <c r="AZ172" s="978">
        <v>-4.2999999999999997E-2</v>
      </c>
      <c r="BA172" s="978">
        <v>-6.4000000000000001E-2</v>
      </c>
      <c r="BB172" s="978">
        <v>-0.04</v>
      </c>
      <c r="BC172" s="978">
        <v>-0.22</v>
      </c>
      <c r="BD172" s="977"/>
      <c r="BE172" s="978">
        <v>-0.02</v>
      </c>
      <c r="BF172" s="978">
        <v>0</v>
      </c>
      <c r="BG172" s="978">
        <v>-2E-3</v>
      </c>
      <c r="BH172" s="978">
        <v>-0.08</v>
      </c>
      <c r="BI172" s="977">
        <f>+SUM(BE172:BH172)</f>
        <v>-0.10200000000000001</v>
      </c>
      <c r="BJ172" s="977"/>
      <c r="BK172" s="978">
        <v>-1.35E-2</v>
      </c>
      <c r="BL172" s="978">
        <v>-0.03</v>
      </c>
      <c r="BM172" s="978">
        <v>-3.3000000000000002E-2</v>
      </c>
      <c r="BN172" s="978">
        <v>-0.02</v>
      </c>
      <c r="BO172" s="977">
        <f>+SUM(BK172:BN172)</f>
        <v>-9.6500000000000002E-2</v>
      </c>
      <c r="BQ172" s="978">
        <v>8.5000000000000006E-2</v>
      </c>
      <c r="CJ172"/>
      <c r="CK172"/>
      <c r="CL172"/>
      <c r="CM172"/>
      <c r="CN172"/>
      <c r="CO172"/>
    </row>
    <row r="173" spans="2:93" s="53" customFormat="1" x14ac:dyDescent="0.2">
      <c r="B173" s="53" t="s">
        <v>473</v>
      </c>
      <c r="AS173" s="732">
        <f>+(AS172*AS39)/(1-AS34)</f>
        <v>0</v>
      </c>
      <c r="AT173" s="732">
        <f>+(AT172*AT39)/(1-AT34)</f>
        <v>0</v>
      </c>
      <c r="AU173" s="732">
        <f>+(AU172*AU39)</f>
        <v>-2.1077597999999997</v>
      </c>
      <c r="AV173" s="732">
        <f>+(AV172*AV39)/(1-AV34)</f>
        <v>-2.0567678647479832</v>
      </c>
      <c r="AW173" s="732">
        <f>+(AW172*AW39)/(1-AW34)</f>
        <v>-4.9087364358570138</v>
      </c>
      <c r="AY173" s="732">
        <f>+(AY172*AY39)/(1-AY34)</f>
        <v>-4.6780380111681241</v>
      </c>
      <c r="AZ173" s="732">
        <f>+(AZ172*AZ39)/(1-AZ34)</f>
        <v>-4.7446263176395522</v>
      </c>
      <c r="BA173" s="732">
        <f>+(BA172*BA39)</f>
        <v>-5.1898879999999998</v>
      </c>
      <c r="BB173" s="732">
        <f>+(BB172*BB39)</f>
        <v>-3.2420400000000003</v>
      </c>
      <c r="BC173" s="732">
        <f>+(BC172*BC39)</f>
        <v>-17.894855</v>
      </c>
      <c r="BE173" s="732">
        <f>+(BE172*BE39)</f>
        <v>-1.6263999999999998</v>
      </c>
      <c r="BF173" s="732">
        <f>+(BF64/AZ64)*AZ173</f>
        <v>0</v>
      </c>
      <c r="BG173" s="732">
        <f>+(BG172*BG39)</f>
        <v>-0.16293199999999999</v>
      </c>
      <c r="BH173" s="732">
        <f>+(BH172*BH39)</f>
        <v>-6.4998400000000007</v>
      </c>
      <c r="BI173" s="732">
        <f>SUM(BE173:BH173)</f>
        <v>-8.2891720000000007</v>
      </c>
      <c r="BK173" s="732">
        <f>+(BK172*BK39)</f>
        <v>-1.1007090000000002</v>
      </c>
      <c r="BL173" s="732">
        <f>+(BL172*BL39)</f>
        <v>-2.4489299999999998</v>
      </c>
      <c r="BM173" s="732">
        <f>+(BM172*BM39)</f>
        <v>-2.6990370000000001</v>
      </c>
      <c r="BN173" s="732">
        <f>+(BN172*BN39)</f>
        <v>-1.6372599999999999</v>
      </c>
      <c r="BO173" s="732">
        <f>+(BO172*BO39)</f>
        <v>-7.8844601250000004</v>
      </c>
      <c r="BQ173" s="732">
        <f>+(BQ172*BQ39)</f>
        <v>6.9383800000000004</v>
      </c>
      <c r="CJ173"/>
      <c r="CK173"/>
      <c r="CL173"/>
      <c r="CM173"/>
      <c r="CN173"/>
      <c r="CO173"/>
    </row>
    <row r="174" spans="2:93" s="53" customFormat="1" x14ac:dyDescent="0.2">
      <c r="B174" s="53" t="s">
        <v>474</v>
      </c>
      <c r="AS174" s="349">
        <f>-(((AS25-AS173)/AS8)-AS54)</f>
        <v>0</v>
      </c>
      <c r="AT174" s="349">
        <f>-(((AT25-AT173)/AT8)-AT54)</f>
        <v>0</v>
      </c>
      <c r="AU174" s="349">
        <f>-(((AU25-AU173)/AU8)-AU54)</f>
        <v>-1.1100717310244534E-2</v>
      </c>
      <c r="AV174" s="349">
        <f>-(((AV25-AV173)/AV8)-AV54)</f>
        <v>-1.0356333659355399E-2</v>
      </c>
      <c r="AW174" s="349">
        <f>-(((AW25-AW173)/AW8)-AW54)</f>
        <v>-6.4448461909255017E-3</v>
      </c>
      <c r="AY174" s="349">
        <f>-(((AY25-AY173)/AY8)-AY54)</f>
        <v>-2.36161970617213E-2</v>
      </c>
      <c r="AZ174" s="349">
        <f>-(((AZ25-AZ173)/AZ8)-AZ54)</f>
        <v>-2.2648678290114715E-2</v>
      </c>
      <c r="BA174" s="349">
        <f>-(((BA25-BA173)/BA8)-BA54)</f>
        <v>-2.4995126086035158E-2</v>
      </c>
      <c r="BB174" s="349">
        <f>-(((BB25-BB173)/BB8)-BB54)</f>
        <v>-1.4078931369313374E-2</v>
      </c>
      <c r="BC174" s="349">
        <f>-(((BC25-BC173)/BC8)-BC54)</f>
        <v>-2.1165170091521329E-2</v>
      </c>
      <c r="BE174" s="349">
        <f>-(((BE25-BE173)/BE8)-BE54)</f>
        <v>-6.8130026809651301E-3</v>
      </c>
      <c r="BF174" s="349">
        <f>-(((BF25-BF173)/BF8)-BF54)</f>
        <v>0</v>
      </c>
      <c r="BG174" s="349">
        <f>-(((BG$25-BG$173)/BG$8)-BG$54)</f>
        <v>-5.8484721220150582E-4</v>
      </c>
      <c r="BH174" s="349">
        <f>-(((BH25-BH173)/BH8)-BH54)</f>
        <v>-2.2168395275628167E-2</v>
      </c>
      <c r="BI174" s="349">
        <f>-(((BI25-BI173)/BI8)-BI54)</f>
        <v>-7.6760547989858097E-3</v>
      </c>
      <c r="BK174" s="855">
        <f>-(((BK25-BK173)/BK8)-BK54)</f>
        <v>-3.5467727435304908E-3</v>
      </c>
      <c r="BL174" s="853">
        <f>-(((BL25-BL173)/BL8)-BL54)</f>
        <v>-6.8697157219719529E-3</v>
      </c>
      <c r="BM174" s="853">
        <f>-(((BM$25-BM$173)/BM$8)-BM$54)</f>
        <v>-7.0056272662854524E-3</v>
      </c>
      <c r="BN174" s="853">
        <f>-(((BN25-BN173)/BN8)-BN54)</f>
        <v>-3.8859972040453661E-3</v>
      </c>
      <c r="BO174" s="853">
        <f>-(((BO25-BO173)/BO8)-BO54)</f>
        <v>-5.3511541740163537E-3</v>
      </c>
      <c r="BQ174" s="855">
        <f>-(((BQ25-BQ173)/BQ8)-BQ54)</f>
        <v>1.5880061520996774E-2</v>
      </c>
      <c r="CJ174"/>
      <c r="CK174"/>
      <c r="CL174"/>
      <c r="CM174"/>
      <c r="CN174"/>
      <c r="CO174"/>
    </row>
    <row r="175" spans="2:93" s="53" customFormat="1" x14ac:dyDescent="0.2">
      <c r="CJ175"/>
      <c r="CK175"/>
      <c r="CL175"/>
      <c r="CM175"/>
      <c r="CN175"/>
      <c r="CO175"/>
    </row>
    <row r="176" spans="2:93" s="53" customFormat="1" x14ac:dyDescent="0.2">
      <c r="CJ176"/>
      <c r="CK176"/>
      <c r="CL176"/>
      <c r="CM176"/>
      <c r="CN176"/>
      <c r="CO176"/>
    </row>
    <row r="177" spans="2:93" s="53" customFormat="1" x14ac:dyDescent="0.2">
      <c r="CJ177"/>
      <c r="CK177"/>
      <c r="CL177"/>
      <c r="CM177"/>
      <c r="CN177"/>
      <c r="CO177"/>
    </row>
    <row r="178" spans="2:93" s="53" customFormat="1" x14ac:dyDescent="0.2">
      <c r="BE178" s="744"/>
      <c r="BF178" s="744"/>
      <c r="BG178" s="744"/>
      <c r="CJ178"/>
      <c r="CK178"/>
      <c r="CL178"/>
      <c r="CM178"/>
      <c r="CN178"/>
      <c r="CO178"/>
    </row>
    <row r="179" spans="2:93" s="53" customFormat="1" x14ac:dyDescent="0.2">
      <c r="B179" s="53" t="s">
        <v>437</v>
      </c>
      <c r="AY179" s="744">
        <v>5</v>
      </c>
      <c r="AZ179" s="744">
        <v>25</v>
      </c>
      <c r="BA179" s="744">
        <v>10</v>
      </c>
      <c r="BB179" s="744">
        <v>0</v>
      </c>
      <c r="BC179" s="734">
        <f>SUM(AY179:BB179)</f>
        <v>40</v>
      </c>
      <c r="BD179" s="744"/>
      <c r="BE179" s="744">
        <v>20</v>
      </c>
      <c r="BF179" s="744">
        <v>10</v>
      </c>
      <c r="BG179" s="744">
        <v>15</v>
      </c>
      <c r="BH179" s="744">
        <v>20.87</v>
      </c>
      <c r="BI179" s="734">
        <f>SUM(BE179:BH179)</f>
        <v>65.87</v>
      </c>
      <c r="BK179" s="744">
        <v>20</v>
      </c>
      <c r="BL179" s="744">
        <v>20</v>
      </c>
      <c r="BM179" s="744">
        <v>20</v>
      </c>
      <c r="BN179" s="744">
        <v>20</v>
      </c>
      <c r="BO179" s="734">
        <f>SUM(BK179:BN179)</f>
        <v>80</v>
      </c>
      <c r="BQ179" s="744">
        <v>20</v>
      </c>
      <c r="BR179" s="744">
        <v>20</v>
      </c>
      <c r="BS179" s="744">
        <v>20</v>
      </c>
      <c r="BT179" s="744">
        <v>20</v>
      </c>
      <c r="BU179" s="734">
        <f>SUM(BQ179:BT179)</f>
        <v>80</v>
      </c>
      <c r="CJ179"/>
      <c r="CK179"/>
      <c r="CL179"/>
      <c r="CM179"/>
      <c r="CN179"/>
      <c r="CO179"/>
    </row>
    <row r="180" spans="2:93" s="53" customFormat="1" x14ac:dyDescent="0.2">
      <c r="B180" s="53" t="s">
        <v>438</v>
      </c>
      <c r="AY180" s="734">
        <v>0.1</v>
      </c>
      <c r="AZ180" s="734">
        <v>0.1</v>
      </c>
      <c r="BA180" s="734">
        <v>0.1</v>
      </c>
      <c r="BB180" s="734">
        <v>0.1</v>
      </c>
      <c r="BC180" s="734">
        <v>0.1</v>
      </c>
      <c r="BD180" s="734"/>
      <c r="BE180" s="734">
        <v>0.1</v>
      </c>
      <c r="BF180" s="734">
        <v>0.1</v>
      </c>
      <c r="BG180" s="734">
        <v>0.1</v>
      </c>
      <c r="BH180" s="734">
        <v>0.1</v>
      </c>
      <c r="BI180" s="734">
        <v>0.1</v>
      </c>
      <c r="BK180" s="734">
        <v>0.1</v>
      </c>
      <c r="BL180" s="734">
        <v>0.1</v>
      </c>
      <c r="BM180" s="734">
        <v>0.1</v>
      </c>
      <c r="BN180" s="734">
        <v>0.1</v>
      </c>
      <c r="BO180" s="734">
        <v>0.1</v>
      </c>
      <c r="BQ180" s="734">
        <v>0.1</v>
      </c>
      <c r="BR180" s="734">
        <v>0.1</v>
      </c>
      <c r="BS180" s="734">
        <v>0.1</v>
      </c>
      <c r="BT180" s="734">
        <v>0.1</v>
      </c>
      <c r="BU180" s="734">
        <v>0.1</v>
      </c>
      <c r="CJ180"/>
      <c r="CK180"/>
      <c r="CL180"/>
      <c r="CM180"/>
      <c r="CN180"/>
      <c r="CO180"/>
    </row>
    <row r="181" spans="2:93" s="53" customFormat="1" x14ac:dyDescent="0.2">
      <c r="B181" s="53" t="s">
        <v>435</v>
      </c>
      <c r="AY181" s="744">
        <v>20</v>
      </c>
      <c r="AZ181" s="744">
        <v>24</v>
      </c>
      <c r="BA181" s="744">
        <v>6</v>
      </c>
      <c r="BB181" s="744">
        <v>0</v>
      </c>
      <c r="BC181" s="734">
        <f>SUM(AY181:BB181)</f>
        <v>50</v>
      </c>
      <c r="BD181" s="744"/>
      <c r="BE181" s="744">
        <v>5</v>
      </c>
      <c r="BF181" s="744">
        <v>8</v>
      </c>
      <c r="BG181" s="744">
        <v>8</v>
      </c>
      <c r="BH181" s="744">
        <v>8</v>
      </c>
      <c r="BI181" s="734">
        <f>SUM(BE181:BH181)</f>
        <v>29</v>
      </c>
      <c r="BK181" s="744">
        <v>8</v>
      </c>
      <c r="BL181" s="744">
        <v>8</v>
      </c>
      <c r="BM181" s="744">
        <v>7</v>
      </c>
      <c r="BN181" s="744">
        <v>7</v>
      </c>
      <c r="BO181" s="734">
        <f>SUM(BK181:BN181)</f>
        <v>30</v>
      </c>
      <c r="BQ181" s="744">
        <v>8</v>
      </c>
      <c r="BR181" s="744">
        <v>8</v>
      </c>
      <c r="BS181" s="744">
        <v>7</v>
      </c>
      <c r="BT181" s="744">
        <v>7</v>
      </c>
      <c r="BU181" s="734">
        <f>SUM(BQ181:BT181)</f>
        <v>30</v>
      </c>
      <c r="CJ181"/>
      <c r="CK181"/>
      <c r="CL181"/>
      <c r="CM181"/>
      <c r="CN181"/>
      <c r="CO181"/>
    </row>
    <row r="182" spans="2:93" s="53" customFormat="1" x14ac:dyDescent="0.2">
      <c r="B182" s="53" t="s">
        <v>436</v>
      </c>
      <c r="AY182" s="734">
        <v>0.2</v>
      </c>
      <c r="AZ182" s="734">
        <v>0.2</v>
      </c>
      <c r="BA182" s="734">
        <v>0.2</v>
      </c>
      <c r="BB182" s="734">
        <v>0.2</v>
      </c>
      <c r="BC182" s="734">
        <v>0.2</v>
      </c>
      <c r="BD182" s="734"/>
      <c r="BE182" s="734">
        <v>0.2</v>
      </c>
      <c r="BF182" s="734">
        <v>0.2</v>
      </c>
      <c r="BG182" s="734">
        <v>0.2</v>
      </c>
      <c r="BH182" s="734">
        <v>0.2</v>
      </c>
      <c r="BI182" s="734">
        <v>0.2</v>
      </c>
      <c r="BK182" s="734">
        <v>0.2</v>
      </c>
      <c r="BL182" s="734">
        <v>0.2</v>
      </c>
      <c r="BM182" s="734">
        <v>0.2</v>
      </c>
      <c r="BN182" s="734">
        <v>0.2</v>
      </c>
      <c r="BO182" s="734">
        <v>0.2</v>
      </c>
      <c r="BQ182" s="734">
        <v>0.2</v>
      </c>
      <c r="BR182" s="734">
        <v>0.2</v>
      </c>
      <c r="BS182" s="734">
        <v>0.2</v>
      </c>
      <c r="BT182" s="734">
        <v>0.2</v>
      </c>
      <c r="BU182" s="734">
        <v>0.2</v>
      </c>
      <c r="CJ182"/>
      <c r="CK182"/>
      <c r="CL182"/>
      <c r="CM182"/>
      <c r="CN182"/>
      <c r="CO182"/>
    </row>
    <row r="183" spans="2:93" s="53" customFormat="1" x14ac:dyDescent="0.2">
      <c r="B183" s="53" t="s">
        <v>431</v>
      </c>
      <c r="AY183" s="734">
        <f>+AY182*AY181+AY180*AY179</f>
        <v>4.5</v>
      </c>
      <c r="AZ183" s="734">
        <f>+AZ182*AZ181+AZ180*AZ179</f>
        <v>7.3000000000000007</v>
      </c>
      <c r="BA183" s="734">
        <f>+BA182*BA181+BA180*BA179</f>
        <v>2.2000000000000002</v>
      </c>
      <c r="BB183" s="734">
        <f>+BB182*BB181+BB180*BB179</f>
        <v>0</v>
      </c>
      <c r="BC183" s="734">
        <f>+BC182*BC181+BC180*BC179</f>
        <v>14</v>
      </c>
      <c r="BD183" s="734"/>
      <c r="BE183" s="734">
        <f>+BE182*BE181+BE180*BE179</f>
        <v>3</v>
      </c>
      <c r="BF183" s="734">
        <f>+BF182*BF181+BF180*BF179</f>
        <v>2.6</v>
      </c>
      <c r="BG183" s="734">
        <f>+BG182*BG181+BG180*BG179</f>
        <v>3.1</v>
      </c>
      <c r="BH183" s="734">
        <f>+BH182*BH181+BH180*BH179</f>
        <v>3.6870000000000003</v>
      </c>
      <c r="BI183" s="734">
        <f>+BI182*BI181+BI180*BI179</f>
        <v>12.387</v>
      </c>
      <c r="BK183" s="734">
        <f>+BK182*BK181+BK180*BK179</f>
        <v>3.6</v>
      </c>
      <c r="BL183" s="734">
        <f>+BL182*BL181+BL180*BL179</f>
        <v>3.6</v>
      </c>
      <c r="BM183" s="734">
        <f>+BM182*BM181+BM180*BM179</f>
        <v>3.4000000000000004</v>
      </c>
      <c r="BN183" s="734">
        <f>+BN182*BN181+BN180*BN179</f>
        <v>3.4000000000000004</v>
      </c>
      <c r="BO183" s="734">
        <f>+BO182*BO181+BO180*BO179</f>
        <v>14</v>
      </c>
      <c r="BQ183" s="734">
        <f>+BQ182*BQ181+BQ180*BQ179</f>
        <v>3.6</v>
      </c>
      <c r="BR183" s="734">
        <f>+BR182*BR181+BR180*BR179</f>
        <v>3.6</v>
      </c>
      <c r="BS183" s="734">
        <f>+BS182*BS181+BS180*BS179</f>
        <v>3.4000000000000004</v>
      </c>
      <c r="BT183" s="734">
        <f>+BT182*BT181+BT180*BT179</f>
        <v>3.4000000000000004</v>
      </c>
      <c r="BU183" s="734">
        <f>+BU182*BU181+BU180*BU179</f>
        <v>14</v>
      </c>
      <c r="CJ183"/>
      <c r="CK183"/>
      <c r="CL183"/>
      <c r="CM183"/>
      <c r="CN183"/>
      <c r="CO183"/>
    </row>
    <row r="184" spans="2:93" s="53" customFormat="1" x14ac:dyDescent="0.2">
      <c r="B184" s="53" t="s">
        <v>432</v>
      </c>
      <c r="AY184" s="349">
        <f>-(((AY25-AY183)/(AY8))-AY54)</f>
        <v>2.2717405571317517E-2</v>
      </c>
      <c r="AZ184" s="349">
        <f>-(((AZ25-AZ183)/(AZ8))-AZ54)</f>
        <v>3.4846864736882283E-2</v>
      </c>
      <c r="BA184" s="349">
        <f>-(((BA25-BA183)/(BA8))-BA54)</f>
        <v>1.0595465140919691E-2</v>
      </c>
      <c r="BB184" s="349">
        <f>-(((BB25-BB183)/(BB8))-BB54)</f>
        <v>0</v>
      </c>
      <c r="BC184" s="349">
        <f>-(((BC25-BC183)/(BC8))-BC54)</f>
        <v>1.6558523736643793E-2</v>
      </c>
      <c r="BD184" s="349"/>
      <c r="BE184" s="349">
        <f>-(((BE25-BE183)/(BE8))-BE54)</f>
        <v>1.2567024128686322E-2</v>
      </c>
      <c r="BF184" s="349">
        <f>-(((BF25-BF183)/(BF8))-BF54)</f>
        <v>9.6524379830859597E-3</v>
      </c>
      <c r="BG184" s="349">
        <f>-(((BG25-BG183)/(BG8))-BG54)</f>
        <v>1.1127503239539233E-2</v>
      </c>
      <c r="BH184" s="349">
        <f>-(((BH25-BH183)/(BH8))-BH54)</f>
        <v>1.2574905440940226E-2</v>
      </c>
      <c r="BI184" s="349">
        <f>-(((BI25-BI183)/(BI8))-BI54)</f>
        <v>1.1470782702426408E-2</v>
      </c>
      <c r="BK184" s="349">
        <f>-(((BK25-BK183)/(BK8))-BK54)</f>
        <v>1.1600143068431185E-2</v>
      </c>
      <c r="BL184" s="349">
        <f>-(((BL25-BL183)/(BL8))-BL54)</f>
        <v>1.0098686609702562E-2</v>
      </c>
      <c r="BM184" s="349">
        <f>-(((BM25-BM183)/(BM8))-BM54)</f>
        <v>8.8250486026573705E-3</v>
      </c>
      <c r="BN184" s="349">
        <f>-(((BN25-BN183)/(BN8))-BN54)</f>
        <v>8.069818168008891E-3</v>
      </c>
      <c r="BO184" s="349">
        <f>-(((BO25-BO183)/(BO8))-BO54)</f>
        <v>9.5017486611018165E-3</v>
      </c>
      <c r="BQ184" s="349">
        <f>-(((BQ25-BQ183)/(BQ8))-BQ54)</f>
        <v>8.2394192124946031E-3</v>
      </c>
      <c r="BR184" s="349">
        <f>-(((BR25-BR183)/(BR8))-BR54)</f>
        <v>7.4781442119050967E-3</v>
      </c>
      <c r="BS184" s="349">
        <f>-(((BS25-BS183)/(BS8))-BS54)</f>
        <v>6.9072201431586155E-3</v>
      </c>
      <c r="BT184" s="349">
        <f>-(((BT25-BT183)/(BT8))-BT54)</f>
        <v>6.2945480912576235E-3</v>
      </c>
      <c r="BU184" s="349">
        <f>-(((BU25-BU183)/(BU8))-BU54)</f>
        <v>7.1768542661320989E-3</v>
      </c>
      <c r="CJ184"/>
      <c r="CK184"/>
      <c r="CL184"/>
      <c r="CM184"/>
      <c r="CN184"/>
      <c r="CO184"/>
    </row>
    <row r="185" spans="2:93" s="53" customFormat="1" x14ac:dyDescent="0.2">
      <c r="AY185" s="349"/>
      <c r="AZ185" s="349"/>
      <c r="BA185" s="349"/>
      <c r="BB185" s="349"/>
      <c r="BC185" s="349"/>
      <c r="CJ185"/>
      <c r="CK185"/>
      <c r="CL185"/>
      <c r="CM185"/>
      <c r="CN185"/>
      <c r="CO185"/>
    </row>
    <row r="186" spans="2:93" s="53" customFormat="1" x14ac:dyDescent="0.2">
      <c r="AY186" s="734"/>
      <c r="AZ186" s="734"/>
      <c r="BA186" s="734"/>
      <c r="BB186" s="744"/>
      <c r="BC186" s="734"/>
      <c r="BE186" s="804"/>
      <c r="BF186" s="804"/>
      <c r="BG186" s="744"/>
      <c r="BH186" s="744"/>
      <c r="BI186" s="734"/>
      <c r="BK186" s="744"/>
      <c r="BL186" s="744"/>
      <c r="BM186" s="744"/>
      <c r="BN186" s="744"/>
      <c r="BO186" s="734"/>
      <c r="BQ186" s="744"/>
      <c r="BR186" s="744"/>
      <c r="BS186" s="744"/>
      <c r="BT186" s="744"/>
      <c r="BU186" s="734"/>
      <c r="CJ186"/>
      <c r="CK186"/>
      <c r="CL186"/>
      <c r="CM186"/>
      <c r="CN186"/>
      <c r="CO186"/>
    </row>
    <row r="187" spans="2:93" s="53" customFormat="1" x14ac:dyDescent="0.2">
      <c r="B187" s="53" t="s">
        <v>471</v>
      </c>
      <c r="AY187" s="734">
        <v>0</v>
      </c>
      <c r="AZ187" s="734">
        <v>0</v>
      </c>
      <c r="BA187" s="744">
        <v>7</v>
      </c>
      <c r="BB187" s="744">
        <v>7</v>
      </c>
      <c r="BC187" s="734">
        <f>SUM(BA187:BB187)</f>
        <v>14</v>
      </c>
      <c r="BE187" s="744">
        <v>7.5</v>
      </c>
      <c r="BF187" s="744">
        <v>8.3000000000000007</v>
      </c>
      <c r="BG187" s="744">
        <v>7</v>
      </c>
      <c r="BH187" s="744">
        <v>6</v>
      </c>
      <c r="BI187" s="734">
        <f>SUM(BE187:BH187)</f>
        <v>28.8</v>
      </c>
      <c r="BK187" s="744">
        <v>0</v>
      </c>
      <c r="BL187" s="744">
        <v>0</v>
      </c>
      <c r="BM187" s="744">
        <v>0</v>
      </c>
      <c r="BN187" s="744">
        <v>0</v>
      </c>
      <c r="BO187" s="734">
        <f>SUM(BK187:BN187)</f>
        <v>0</v>
      </c>
      <c r="BQ187" s="744">
        <v>0</v>
      </c>
      <c r="BR187" s="744">
        <v>0</v>
      </c>
      <c r="BS187" s="744">
        <v>0</v>
      </c>
      <c r="BT187" s="744">
        <v>0</v>
      </c>
      <c r="BU187" s="734">
        <f>SUM(BQ187:BT187)</f>
        <v>0</v>
      </c>
      <c r="CJ187"/>
      <c r="CK187"/>
      <c r="CL187"/>
      <c r="CM187"/>
      <c r="CN187"/>
      <c r="CO187"/>
    </row>
    <row r="188" spans="2:93" s="53" customFormat="1" x14ac:dyDescent="0.2">
      <c r="B188" s="53" t="s">
        <v>466</v>
      </c>
      <c r="AY188" s="349">
        <f>-(((AY25-(AY187-AS187))/(AY8-AY187)-AY54))</f>
        <v>0</v>
      </c>
      <c r="AZ188" s="349">
        <f>-(((AZ25-(AZ187-AT187))/(AZ8-AZ187)-AZ54))</f>
        <v>0</v>
      </c>
      <c r="BA188" s="349">
        <f>-(((BA25-(BA187-AU187))/(BA8-BA187)-BA54))</f>
        <v>2.8496187878772755E-2</v>
      </c>
      <c r="BB188" s="349">
        <f>-(((BB25-(BB187-AV187))/(BB8-BB187)-BB54))</f>
        <v>2.3272519217388626E-2</v>
      </c>
      <c r="BC188" s="349">
        <f>-(((BC25-BC187)/(BC8-BC187)-BC54))</f>
        <v>1.3178565258146951E-2</v>
      </c>
      <c r="BE188" s="349">
        <f>-(((BE25-(BE187-AY187))/(BE8-BE187)-BE54))</f>
        <v>2.5189757969905746E-2</v>
      </c>
      <c r="BF188" s="349">
        <f>-(((BF25-(BF187-AZ187))/(BF8-BF187)-BF54))</f>
        <v>2.4105110952319903E-2</v>
      </c>
      <c r="BG188" s="349">
        <f>-(((BG25-(BG187-BA187))/(BG8-BG187)-BG54))</f>
        <v>-5.7433675757587455E-3</v>
      </c>
      <c r="BH188" s="349">
        <f>-(((BH25-(BH187-BB187))/(BH8-BH187)-BH54))</f>
        <v>-8.37911426658422E-3</v>
      </c>
      <c r="BI188" s="349">
        <f>-(((BI25-BI187)/(BI8-BI187)-BI54))</f>
        <v>2.1075329648804431E-2</v>
      </c>
      <c r="BK188" s="349">
        <f>-(((BK25-(BK187))/(BK8-BK187)-BK54))</f>
        <v>0</v>
      </c>
      <c r="BL188" s="349">
        <f>-(((BL25-(BL187))/(BL8-BL187)-BL54))</f>
        <v>0</v>
      </c>
      <c r="BM188" s="349">
        <f>-(((BM25-(BM187))/(BM8-BM187)-BM54))</f>
        <v>0</v>
      </c>
      <c r="BN188" s="349">
        <f>-(((BN25-(BN187))/(BN8-BN187)-BN54))</f>
        <v>0</v>
      </c>
      <c r="BO188" s="349">
        <f>-(((BO25-BO187)/(BO8-BO187)-BO54))</f>
        <v>0</v>
      </c>
      <c r="BQ188" s="349">
        <f>-(((BQ25-(BQ187))/(BQ8-BQ187)-BQ54))</f>
        <v>0</v>
      </c>
      <c r="BR188" s="349">
        <f>-(((BR25-(BR187))/(BR8-BR187)-BR54))</f>
        <v>0</v>
      </c>
      <c r="BS188" s="349">
        <f>-(((BS25-(BS187))/(BS8-BS187)-BS54))</f>
        <v>0</v>
      </c>
      <c r="BT188" s="349">
        <f>-(((BT25-(BT187))/(BT8-BT187)-BT54))</f>
        <v>0</v>
      </c>
      <c r="BU188" s="349">
        <f>-(((BU25-BU187)/(BU8-BU187)-BU54))</f>
        <v>0</v>
      </c>
      <c r="CJ188"/>
      <c r="CK188"/>
      <c r="CL188"/>
      <c r="CM188"/>
      <c r="CN188"/>
      <c r="CO188"/>
    </row>
    <row r="189" spans="2:93" s="53" customFormat="1" x14ac:dyDescent="0.2">
      <c r="CJ189"/>
      <c r="CK189"/>
      <c r="CL189"/>
      <c r="CM189"/>
      <c r="CN189"/>
      <c r="CO189"/>
    </row>
    <row r="190" spans="2:93" s="53" customFormat="1" x14ac:dyDescent="0.2">
      <c r="B190" s="53" t="s">
        <v>480</v>
      </c>
      <c r="AY190" s="744">
        <v>3</v>
      </c>
      <c r="AZ190" s="744">
        <v>3</v>
      </c>
      <c r="BA190" s="744">
        <v>3</v>
      </c>
      <c r="BB190" s="744">
        <v>3</v>
      </c>
      <c r="BC190" s="734">
        <f>SUM(AY190:BB190)</f>
        <v>12</v>
      </c>
      <c r="BE190" s="744">
        <v>2.5</v>
      </c>
      <c r="BF190" s="744">
        <v>3</v>
      </c>
      <c r="BG190" s="744">
        <v>2.5</v>
      </c>
      <c r="BH190" s="744">
        <v>2.5</v>
      </c>
      <c r="BI190" s="734">
        <f>SUM(BE190:BH190)</f>
        <v>10.5</v>
      </c>
      <c r="BK190" s="744">
        <v>0</v>
      </c>
      <c r="BL190" s="744">
        <v>0</v>
      </c>
      <c r="BM190" s="744">
        <v>0</v>
      </c>
      <c r="BN190" s="744">
        <v>0</v>
      </c>
      <c r="BO190" s="734">
        <f>SUM(BK190:BN190)</f>
        <v>0</v>
      </c>
      <c r="BQ190" s="744">
        <v>0</v>
      </c>
      <c r="BR190" s="744">
        <v>0</v>
      </c>
      <c r="BS190" s="744">
        <v>0</v>
      </c>
      <c r="BT190" s="744">
        <v>0</v>
      </c>
      <c r="BU190" s="734"/>
      <c r="CJ190"/>
      <c r="CK190"/>
      <c r="CL190"/>
      <c r="CM190"/>
      <c r="CN190"/>
      <c r="CO190"/>
    </row>
    <row r="191" spans="2:93" s="53" customFormat="1" x14ac:dyDescent="0.2">
      <c r="B191" s="53" t="s">
        <v>481</v>
      </c>
      <c r="AY191" s="349">
        <f>-(((AY25-AY190)/(AY8)-AY54))</f>
        <v>1.5144937047545021E-2</v>
      </c>
      <c r="AZ191" s="349">
        <f>-(((AZ25-AZ190)/(AZ8)-AZ54))</f>
        <v>1.4320629343924224E-2</v>
      </c>
      <c r="BA191" s="349">
        <f>-(((BA25-BA190)/(BA8)-BA54))</f>
        <v>1.4448361555799566E-2</v>
      </c>
      <c r="BB191" s="349">
        <f>-(((BB25-BB190)/(BB8)-BB54))</f>
        <v>1.3027844847053077E-2</v>
      </c>
      <c r="BC191" s="349">
        <f>-(((BC25-BC190)/(BC8)-BC54))</f>
        <v>1.4193020345694668E-2</v>
      </c>
      <c r="BE191" s="349">
        <f>+(BE190-AY190)/AY8</f>
        <v>-2.524156174590834E-3</v>
      </c>
      <c r="BF191" s="349">
        <f>+(BF190-AZ190)/AZ8</f>
        <v>0</v>
      </c>
      <c r="BG191" s="349">
        <f>+(BG190-BA190)/BA8</f>
        <v>-2.4080602592999288E-3</v>
      </c>
      <c r="BH191" s="349">
        <f>+(BH190-BB190)/BB8</f>
        <v>-2.1713074745088501E-3</v>
      </c>
      <c r="BI191" s="349">
        <f>+(BI190-BC190)/BC8</f>
        <v>-1.7741275432118331E-3</v>
      </c>
      <c r="BK191" s="349">
        <f>-(((BK25-BK190)/(BK8)-BK54))</f>
        <v>0</v>
      </c>
      <c r="BL191" s="349">
        <f>-(((BL25-BL190)/(BL8)-BL54))</f>
        <v>0</v>
      </c>
      <c r="BM191" s="349">
        <f>-(((BM25-BM190)/(BM8)-BM54))</f>
        <v>0</v>
      </c>
      <c r="BN191" s="349">
        <f>-(((BN25-BN190)/(BN8)-BN54))</f>
        <v>0</v>
      </c>
      <c r="BO191" s="349">
        <f>+(BO190-BI190)/BI8</f>
        <v>-9.7233566138271686E-3</v>
      </c>
      <c r="BQ191" s="349">
        <f>-(((BQ25-BQ190)/(BQ8)-BQ54))</f>
        <v>0</v>
      </c>
      <c r="BR191" s="349">
        <f>-(((BR25-BR190)/(BR8)-BR54))</f>
        <v>0</v>
      </c>
      <c r="BS191" s="349">
        <f>-(((BS25-BS190)/(BS8)-BS54))</f>
        <v>0</v>
      </c>
      <c r="BT191" s="349">
        <f>-(((BT25-BT190)/(BT8)-BT54))</f>
        <v>0</v>
      </c>
      <c r="BU191" s="349"/>
      <c r="CJ191"/>
      <c r="CK191"/>
      <c r="CL191"/>
      <c r="CM191"/>
      <c r="CN191"/>
      <c r="CO191"/>
    </row>
    <row r="192" spans="2:93" s="53" customFormat="1" x14ac:dyDescent="0.2">
      <c r="AY192" s="349"/>
      <c r="AZ192" s="349"/>
      <c r="BA192" s="349"/>
      <c r="BB192" s="349"/>
      <c r="BC192" s="349"/>
      <c r="BE192" s="349"/>
      <c r="BF192" s="349"/>
      <c r="BG192" s="349"/>
      <c r="BH192" s="349"/>
      <c r="BI192" s="349"/>
      <c r="BK192" s="349"/>
      <c r="BL192" s="349"/>
      <c r="BM192" s="349"/>
      <c r="BN192" s="349"/>
      <c r="BO192" s="349"/>
      <c r="CJ192"/>
      <c r="CK192"/>
      <c r="CL192"/>
      <c r="CM192"/>
      <c r="CN192"/>
      <c r="CO192"/>
    </row>
    <row r="193" spans="2:93" s="53" customFormat="1" x14ac:dyDescent="0.2">
      <c r="AY193" s="349"/>
      <c r="AZ193" s="349"/>
      <c r="BA193" s="349"/>
      <c r="BB193" s="349"/>
      <c r="BC193" s="349"/>
      <c r="BE193" s="349"/>
      <c r="BF193" s="765"/>
      <c r="BG193" s="349"/>
      <c r="BH193" s="349"/>
      <c r="BI193" s="349"/>
      <c r="BK193" s="349"/>
      <c r="BL193" s="349"/>
      <c r="BM193" s="349"/>
      <c r="BN193" s="349"/>
      <c r="BO193" s="349"/>
      <c r="CJ193"/>
      <c r="CK193"/>
      <c r="CL193"/>
      <c r="CM193"/>
      <c r="CN193"/>
      <c r="CO193"/>
    </row>
    <row r="194" spans="2:93" s="53" customFormat="1" x14ac:dyDescent="0.2">
      <c r="B194" s="53" t="s">
        <v>439</v>
      </c>
      <c r="BC194" s="53">
        <v>20</v>
      </c>
      <c r="CJ194"/>
      <c r="CK194"/>
      <c r="CL194"/>
      <c r="CM194"/>
      <c r="CN194"/>
      <c r="CO194"/>
    </row>
    <row r="195" spans="2:93" s="53" customFormat="1" x14ac:dyDescent="0.2">
      <c r="B195" s="53" t="s">
        <v>440</v>
      </c>
      <c r="BC195" s="53">
        <v>10</v>
      </c>
      <c r="CJ195"/>
      <c r="CK195"/>
      <c r="CL195"/>
      <c r="CM195"/>
      <c r="CN195"/>
      <c r="CO195"/>
    </row>
    <row r="196" spans="2:93" s="53" customFormat="1" x14ac:dyDescent="0.2">
      <c r="B196" s="53" t="s">
        <v>441</v>
      </c>
      <c r="BC196" s="53">
        <v>12</v>
      </c>
      <c r="CJ196"/>
      <c r="CK196"/>
      <c r="CL196"/>
      <c r="CM196"/>
      <c r="CN196"/>
      <c r="CO196"/>
    </row>
    <row r="197" spans="2:93" s="53" customFormat="1" x14ac:dyDescent="0.2">
      <c r="BC197" s="53">
        <f>+BC196*BC195*BC194</f>
        <v>2400</v>
      </c>
      <c r="CJ197"/>
      <c r="CK197"/>
      <c r="CL197"/>
      <c r="CM197"/>
      <c r="CN197"/>
      <c r="CO197"/>
    </row>
    <row r="198" spans="2:93" s="53" customFormat="1" x14ac:dyDescent="0.2">
      <c r="B198" s="53" t="s">
        <v>442</v>
      </c>
      <c r="BC198" s="53">
        <f>+BC197*12</f>
        <v>28800</v>
      </c>
      <c r="CJ198"/>
      <c r="CK198"/>
      <c r="CL198"/>
      <c r="CM198"/>
      <c r="CN198"/>
      <c r="CO198"/>
    </row>
    <row r="199" spans="2:93" s="53" customFormat="1" x14ac:dyDescent="0.2">
      <c r="B199" s="53" t="s">
        <v>443</v>
      </c>
      <c r="BC199" s="53">
        <f>+BC198*0.7</f>
        <v>20160</v>
      </c>
      <c r="CJ199"/>
      <c r="CK199"/>
      <c r="CL199"/>
      <c r="CM199"/>
      <c r="CN199"/>
      <c r="CO199"/>
    </row>
    <row r="200" spans="2:93" s="53" customFormat="1" x14ac:dyDescent="0.2">
      <c r="CJ200"/>
      <c r="CK200"/>
      <c r="CL200"/>
      <c r="CM200"/>
      <c r="CN200"/>
      <c r="CO200"/>
    </row>
    <row r="201" spans="2:93" s="53" customFormat="1" x14ac:dyDescent="0.2">
      <c r="B201" s="53" t="s">
        <v>501</v>
      </c>
      <c r="BG201" s="745">
        <v>-0.01</v>
      </c>
      <c r="BH201" s="745">
        <v>-6.0000000000000001E-3</v>
      </c>
      <c r="CJ201"/>
      <c r="CK201"/>
      <c r="CL201"/>
      <c r="CM201"/>
      <c r="CN201"/>
      <c r="CO201"/>
    </row>
    <row r="202" spans="2:93" x14ac:dyDescent="0.2">
      <c r="B202" s="53" t="s">
        <v>502</v>
      </c>
      <c r="BG202" s="732">
        <f>+(BG201*BG39)</f>
        <v>-0.81465999999999994</v>
      </c>
      <c r="BH202" s="732">
        <f>+(BH201*BH39)</f>
        <v>-0.48748800000000003</v>
      </c>
    </row>
    <row r="203" spans="2:93" x14ac:dyDescent="0.2">
      <c r="B203" s="53" t="s">
        <v>503</v>
      </c>
      <c r="BG203" s="349">
        <f>-(((BG$25-BG$202)/BG$8)-BG$54)</f>
        <v>-2.9242360610074736E-3</v>
      </c>
      <c r="BH203" s="349">
        <f>-(((BH$25-BH$202)/BH$8)-BH$54)</f>
        <v>-1.6626296456721257E-3</v>
      </c>
    </row>
  </sheetData>
  <mergeCells count="14">
    <mergeCell ref="C5:G5"/>
    <mergeCell ref="I5:M5"/>
    <mergeCell ref="O5:S5"/>
    <mergeCell ref="U5:Y5"/>
    <mergeCell ref="AS5:AW5"/>
    <mergeCell ref="AA5:AE5"/>
    <mergeCell ref="BW5:CA5"/>
    <mergeCell ref="CC5:CG5"/>
    <mergeCell ref="AG5:AK5"/>
    <mergeCell ref="AM5:AQ5"/>
    <mergeCell ref="BE5:BI5"/>
    <mergeCell ref="BK5:BO5"/>
    <mergeCell ref="BQ5:BU5"/>
    <mergeCell ref="AY5:BC5"/>
  </mergeCells>
  <phoneticPr fontId="13" type="noConversion"/>
  <printOptions horizontalCentered="1" verticalCentered="1"/>
  <pageMargins left="0" right="0" top="0" bottom="0" header="0" footer="0"/>
  <pageSetup paperSize="5" scale="51" orientation="landscape" r:id="rId1"/>
  <headerFooter alignWithMargins="0"/>
  <ignoredErrors>
    <ignoredError sqref="BE127:BG127 BE142:BG142 BO163 BK141:BL142 BU163:CH163 BO63 BO14:CG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01" r:id="rId4" name="Drop Down 5">
              <controlPr defaultSize="0" autoLine="0" autoPict="0">
                <anchor moveWithCells="1">
                  <from>
                    <xdr:col>1</xdr:col>
                    <xdr:colOff>180975</xdr:colOff>
                    <xdr:row>4</xdr:row>
                    <xdr:rowOff>9525</xdr:rowOff>
                  </from>
                  <to>
                    <xdr:col>1</xdr:col>
                    <xdr:colOff>733425</xdr:colOff>
                    <xdr:row>4</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1"/>
  <sheetViews>
    <sheetView workbookViewId="0"/>
  </sheetViews>
  <sheetFormatPr defaultRowHeight="12.75" x14ac:dyDescent="0.2"/>
  <sheetData>
    <row r="1" spans="1:2" x14ac:dyDescent="0.2"/>
  </sheetData>
  <phoneticPr fontId="13"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rgb="FF66CCFF"/>
    <pageSetUpPr fitToPage="1"/>
  </sheetPr>
  <dimension ref="A1:CN122"/>
  <sheetViews>
    <sheetView zoomScaleNormal="100" zoomScaleSheetLayoutView="85" workbookViewId="0">
      <pane xSplit="2" ySplit="5" topLeftCell="C6" activePane="bottomRight" state="frozen"/>
      <selection activeCell="G46" sqref="G46"/>
      <selection pane="topRight" activeCell="G46" sqref="G46"/>
      <selection pane="bottomLeft" activeCell="G46" sqref="G46"/>
      <selection pane="bottomRight" sqref="A1:XFD1048576"/>
    </sheetView>
  </sheetViews>
  <sheetFormatPr defaultRowHeight="12.75" outlineLevelRow="1" outlineLevelCol="1" x14ac:dyDescent="0.2"/>
  <cols>
    <col min="1" max="1" width="1.140625" customWidth="1"/>
    <col min="2" max="2" width="21.28515625" customWidth="1"/>
    <col min="3" max="6" width="7" hidden="1" customWidth="1" outlineLevel="1"/>
    <col min="7" max="7" width="7" hidden="1" customWidth="1" outlineLevel="1" collapsed="1"/>
    <col min="8" max="8" width="1.42578125" hidden="1" customWidth="1" outlineLevel="1"/>
    <col min="9" max="12" width="7" hidden="1" customWidth="1" outlineLevel="1"/>
    <col min="13" max="13" width="7" hidden="1" customWidth="1" outlineLevel="1" collapsed="1"/>
    <col min="14" max="14" width="1.42578125" hidden="1" customWidth="1" outlineLevel="1"/>
    <col min="15" max="19" width="7" hidden="1" customWidth="1" outlineLevel="1"/>
    <col min="20" max="20" width="1.42578125" hidden="1" customWidth="1" outlineLevel="1"/>
    <col min="21" max="25" width="7" hidden="1" customWidth="1" outlineLevel="1"/>
    <col min="26" max="26" width="1.42578125" hidden="1" customWidth="1" outlineLevel="1"/>
    <col min="27" max="30" width="7" hidden="1" customWidth="1" outlineLevel="1"/>
    <col min="31" max="31" width="7" hidden="1" customWidth="1" outlineLevel="1" collapsed="1"/>
    <col min="32" max="32" width="1.42578125" hidden="1" customWidth="1" outlineLevel="1"/>
    <col min="33" max="36" width="7" hidden="1" customWidth="1" outlineLevel="1"/>
    <col min="37" max="37" width="7" customWidth="1" collapsed="1"/>
    <col min="38" max="38" width="1.42578125" customWidth="1"/>
    <col min="39" max="42" width="7" hidden="1" customWidth="1" outlineLevel="1"/>
    <col min="43" max="43" width="7" customWidth="1" collapsed="1"/>
    <col min="44" max="44" width="1.5703125" customWidth="1"/>
    <col min="45" max="48" width="7" hidden="1" customWidth="1" outlineLevel="1"/>
    <col min="49" max="49" width="7" customWidth="1" collapsed="1"/>
    <col min="50" max="50" width="1.42578125" customWidth="1"/>
    <col min="51" max="54" width="7" hidden="1" customWidth="1" outlineLevel="1"/>
    <col min="55" max="55" width="7" customWidth="1" collapsed="1"/>
    <col min="56" max="56" width="1.42578125" customWidth="1"/>
    <col min="57" max="57" width="7" hidden="1" customWidth="1" outlineLevel="1"/>
    <col min="58" max="58" width="7.7109375" hidden="1" customWidth="1" outlineLevel="1"/>
    <col min="59" max="60" width="7" hidden="1" customWidth="1" outlineLevel="1"/>
    <col min="61" max="61" width="7" customWidth="1" collapsed="1"/>
    <col min="62" max="62" width="1.42578125" customWidth="1"/>
    <col min="63" max="66" width="7" customWidth="1" outlineLevel="1"/>
    <col min="67" max="67" width="7" customWidth="1"/>
    <col min="68" max="68" width="1.42578125" customWidth="1"/>
    <col min="69" max="72" width="7" customWidth="1" outlineLevel="1"/>
    <col min="73" max="73" width="7" customWidth="1"/>
    <col min="74" max="74" width="1.42578125" customWidth="1"/>
    <col min="75" max="78" width="7" hidden="1" customWidth="1" outlineLevel="1"/>
    <col min="79" max="79" width="7" customWidth="1" collapsed="1"/>
    <col min="80" max="80" width="1.42578125" customWidth="1"/>
    <col min="81" max="84" width="7" hidden="1" customWidth="1" outlineLevel="1"/>
    <col min="85" max="85" width="7" customWidth="1" collapsed="1"/>
  </cols>
  <sheetData>
    <row r="1" spans="1:88" x14ac:dyDescent="0.2">
      <c r="A1" s="230"/>
      <c r="B1" s="43" t="s">
        <v>203</v>
      </c>
      <c r="C1" s="42"/>
      <c r="D1" s="42"/>
      <c r="E1" s="42"/>
      <c r="F1" s="42"/>
      <c r="G1" s="42"/>
      <c r="H1" s="51"/>
      <c r="I1" s="42"/>
      <c r="J1" s="42"/>
      <c r="K1" s="42"/>
      <c r="L1" s="42"/>
      <c r="M1" s="42"/>
      <c r="N1" s="51"/>
      <c r="O1" s="42"/>
      <c r="P1" s="42"/>
      <c r="Q1" s="42"/>
      <c r="R1" s="42"/>
      <c r="S1" s="42"/>
      <c r="T1" s="51"/>
      <c r="U1" s="42"/>
      <c r="V1" s="42"/>
      <c r="W1" s="42"/>
      <c r="X1" s="42"/>
      <c r="Y1" s="42"/>
      <c r="Z1" s="51"/>
      <c r="AA1" s="42"/>
      <c r="AB1" s="42"/>
      <c r="AC1" s="42"/>
      <c r="AD1" s="42"/>
      <c r="AE1" s="42"/>
      <c r="AF1" s="51"/>
      <c r="AG1" s="42"/>
      <c r="AH1" s="42"/>
      <c r="AI1" s="42"/>
      <c r="AJ1" s="42"/>
      <c r="AK1" s="42"/>
      <c r="AL1" s="42"/>
      <c r="AM1" s="42"/>
      <c r="AN1" s="42"/>
      <c r="AO1" s="465"/>
      <c r="AP1" s="230"/>
      <c r="AQ1" s="42"/>
      <c r="AR1" s="51"/>
      <c r="AS1" s="42"/>
      <c r="AT1" s="42"/>
      <c r="AU1" s="42"/>
      <c r="AV1" s="42"/>
      <c r="AW1" s="42"/>
      <c r="AX1" s="51"/>
      <c r="AY1" s="42"/>
      <c r="AZ1" s="42"/>
      <c r="BA1" s="42"/>
      <c r="BB1" s="42"/>
      <c r="BC1" s="42"/>
      <c r="BD1" s="51"/>
      <c r="BE1" s="42"/>
      <c r="BF1" s="42"/>
      <c r="BG1" s="42"/>
      <c r="BH1" s="42"/>
      <c r="BI1" s="42"/>
      <c r="BJ1" s="51"/>
      <c r="BK1" s="42"/>
      <c r="BL1" s="42"/>
      <c r="BM1" s="42"/>
      <c r="BN1" s="42"/>
      <c r="BO1" s="42"/>
      <c r="BP1" s="51"/>
      <c r="BQ1" s="42"/>
      <c r="BR1" s="42"/>
      <c r="BS1" s="42"/>
      <c r="BT1" s="42"/>
      <c r="BU1" s="42"/>
      <c r="BV1" s="51"/>
      <c r="BW1" s="42"/>
      <c r="BX1" s="42"/>
      <c r="BY1" s="42"/>
      <c r="BZ1" s="42"/>
      <c r="CA1" s="42"/>
      <c r="CB1" s="51"/>
      <c r="CC1" s="42"/>
      <c r="CD1" s="42"/>
      <c r="CE1" s="42"/>
      <c r="CF1" s="42"/>
      <c r="CG1" s="42"/>
    </row>
    <row r="2" spans="1:88" x14ac:dyDescent="0.2">
      <c r="A2" s="230"/>
      <c r="B2" s="129" t="s">
        <v>202</v>
      </c>
      <c r="C2" s="42"/>
      <c r="D2" s="42"/>
      <c r="E2" s="42"/>
      <c r="F2" s="42"/>
      <c r="G2" s="42"/>
      <c r="H2" s="51"/>
      <c r="I2" s="42"/>
      <c r="J2" s="42"/>
      <c r="K2" s="42"/>
      <c r="L2" s="42"/>
      <c r="M2" s="42"/>
      <c r="N2" s="51"/>
      <c r="O2" s="228"/>
      <c r="P2" s="228"/>
      <c r="Q2" s="228"/>
      <c r="R2" s="228"/>
      <c r="S2" s="228"/>
      <c r="T2" s="51"/>
      <c r="U2" s="228"/>
      <c r="V2" s="228"/>
      <c r="W2" s="228"/>
      <c r="X2" s="228"/>
      <c r="Y2" s="228"/>
      <c r="Z2" s="51"/>
      <c r="AA2" s="228"/>
      <c r="AB2" s="228"/>
      <c r="AC2" s="228"/>
      <c r="AD2" s="228"/>
      <c r="AE2" s="228"/>
      <c r="AF2" s="51"/>
      <c r="AG2" s="228"/>
      <c r="AH2" s="228"/>
      <c r="AI2" s="228"/>
      <c r="AJ2" s="228"/>
      <c r="AK2" s="228"/>
      <c r="AL2" s="51"/>
      <c r="AM2" s="231"/>
      <c r="AN2" s="228"/>
      <c r="AO2" s="228"/>
      <c r="AP2" s="228"/>
      <c r="AQ2" s="228"/>
      <c r="AR2" s="51"/>
      <c r="AS2" s="45"/>
      <c r="AT2" s="228"/>
      <c r="AU2" s="228"/>
      <c r="AV2" s="618"/>
      <c r="AW2" s="618"/>
      <c r="AX2" s="51"/>
      <c r="AY2" s="395"/>
      <c r="AZ2" s="228"/>
      <c r="BA2" s="228"/>
      <c r="BB2" s="309"/>
      <c r="BC2" s="231"/>
      <c r="BD2" s="51"/>
      <c r="BE2" s="228"/>
      <c r="BF2" s="355"/>
      <c r="BG2" s="228"/>
      <c r="BH2" s="309"/>
      <c r="BI2" s="618"/>
      <c r="BJ2" s="51"/>
      <c r="BK2" s="228"/>
      <c r="BL2" s="228"/>
      <c r="BM2" s="228"/>
      <c r="BN2" s="228"/>
    </row>
    <row r="3" spans="1:88" x14ac:dyDescent="0.2">
      <c r="A3" s="308"/>
      <c r="B3" s="595" t="s">
        <v>197</v>
      </c>
      <c r="C3" s="31"/>
      <c r="D3" s="31"/>
      <c r="E3" s="31"/>
      <c r="F3" s="31"/>
      <c r="G3" s="527"/>
      <c r="H3" s="79"/>
      <c r="I3" s="31"/>
      <c r="J3" s="31"/>
      <c r="K3" s="31"/>
      <c r="L3" s="31"/>
      <c r="M3" s="527"/>
      <c r="N3" s="79"/>
      <c r="O3" s="31"/>
      <c r="P3" s="31"/>
      <c r="Q3" s="31"/>
      <c r="R3" s="31"/>
      <c r="S3" s="527"/>
      <c r="T3" s="79"/>
      <c r="U3" s="527"/>
      <c r="V3" s="527"/>
      <c r="W3" s="527"/>
      <c r="X3" s="527"/>
      <c r="Y3" s="529"/>
      <c r="Z3" s="79"/>
      <c r="AA3" s="527"/>
      <c r="AB3" s="527"/>
      <c r="AC3" s="527"/>
      <c r="AD3" s="527"/>
      <c r="AE3" s="529"/>
      <c r="AF3" s="79"/>
      <c r="AG3" s="528"/>
      <c r="AH3" s="528"/>
      <c r="AI3" s="528"/>
      <c r="AJ3" s="528"/>
      <c r="AK3" s="529"/>
      <c r="AL3" s="79"/>
      <c r="AM3" s="529"/>
      <c r="AN3" s="529"/>
      <c r="AO3" s="529"/>
      <c r="AP3" s="529"/>
      <c r="AQ3" s="529"/>
      <c r="AR3" s="79"/>
      <c r="AS3" s="529"/>
      <c r="AT3" s="529"/>
      <c r="AU3" s="529"/>
      <c r="AV3" s="636"/>
      <c r="AW3" s="529"/>
      <c r="AX3" s="79"/>
      <c r="AZ3" s="528"/>
      <c r="BA3" s="528"/>
      <c r="BB3" s="528"/>
      <c r="BC3" s="31"/>
      <c r="BD3" s="79"/>
      <c r="BE3" s="528"/>
      <c r="BF3" s="528"/>
      <c r="BG3" s="528"/>
      <c r="BH3" s="528"/>
      <c r="BI3" s="31"/>
      <c r="BJ3" s="79"/>
      <c r="BK3" s="528"/>
      <c r="BL3" s="528"/>
      <c r="BM3" s="528"/>
      <c r="BN3" s="528"/>
      <c r="BO3" s="31"/>
      <c r="BP3" s="79"/>
      <c r="BQ3" s="528"/>
      <c r="BR3" s="528"/>
      <c r="BS3" s="528"/>
      <c r="BT3" s="528"/>
      <c r="BU3" s="31"/>
      <c r="BV3" s="79"/>
      <c r="BW3" s="528"/>
      <c r="BX3" s="528"/>
      <c r="BY3" s="528"/>
      <c r="BZ3" s="528"/>
      <c r="CA3" s="31"/>
      <c r="CB3" s="79"/>
      <c r="CC3" s="528"/>
      <c r="CD3" s="528"/>
      <c r="CE3" s="528"/>
      <c r="CF3" s="528"/>
      <c r="CG3" s="31"/>
    </row>
    <row r="4" spans="1:88" x14ac:dyDescent="0.2">
      <c r="A4" s="50"/>
      <c r="B4" s="596" t="s">
        <v>125</v>
      </c>
      <c r="C4" s="1002" t="s">
        <v>208</v>
      </c>
      <c r="D4" s="1002"/>
      <c r="E4" s="1002"/>
      <c r="F4" s="1002"/>
      <c r="G4" s="1002"/>
      <c r="H4" s="79"/>
      <c r="I4" s="1002" t="s">
        <v>209</v>
      </c>
      <c r="J4" s="1002"/>
      <c r="K4" s="1002"/>
      <c r="L4" s="1002"/>
      <c r="M4" s="1002"/>
      <c r="N4" s="94"/>
      <c r="O4" s="1002" t="s">
        <v>210</v>
      </c>
      <c r="P4" s="1002"/>
      <c r="Q4" s="1002"/>
      <c r="R4" s="1002"/>
      <c r="S4" s="1002"/>
      <c r="T4" s="94"/>
      <c r="U4" s="1002" t="s">
        <v>301</v>
      </c>
      <c r="V4" s="1002"/>
      <c r="W4" s="1002"/>
      <c r="X4" s="1002"/>
      <c r="Y4" s="1002"/>
      <c r="Z4" s="94"/>
      <c r="AA4" s="1002" t="str">
        <f>+'P&amp;L'!AA5</f>
        <v>2011A</v>
      </c>
      <c r="AB4" s="1002"/>
      <c r="AC4" s="1002"/>
      <c r="AD4" s="1002"/>
      <c r="AE4" s="1002"/>
      <c r="AF4" s="94"/>
      <c r="AG4" s="1002" t="str">
        <f>+'P&amp;L'!AG5</f>
        <v>2012A</v>
      </c>
      <c r="AH4" s="1002"/>
      <c r="AI4" s="1002"/>
      <c r="AJ4" s="1002"/>
      <c r="AK4" s="1002"/>
      <c r="AL4" s="79"/>
      <c r="AM4" s="1002" t="str">
        <f>+'P&amp;L'!AM5</f>
        <v>2013A</v>
      </c>
      <c r="AN4" s="1002"/>
      <c r="AO4" s="1002"/>
      <c r="AP4" s="1002"/>
      <c r="AQ4" s="1002"/>
      <c r="AR4" s="79"/>
      <c r="AS4" s="1002" t="str">
        <f>+'P&amp;L'!AS5</f>
        <v>2014A</v>
      </c>
      <c r="AT4" s="1002"/>
      <c r="AU4" s="1002"/>
      <c r="AV4" s="1002"/>
      <c r="AW4" s="1002"/>
      <c r="AX4" s="79"/>
      <c r="AY4" s="1002" t="str">
        <f>+'P&amp;L'!AY5</f>
        <v>2015A</v>
      </c>
      <c r="AZ4" s="1002"/>
      <c r="BA4" s="1002"/>
      <c r="BB4" s="1002"/>
      <c r="BC4" s="1002"/>
      <c r="BD4" s="94"/>
      <c r="BE4" s="1002" t="str">
        <f>+'P&amp;L'!BE5</f>
        <v>2016A</v>
      </c>
      <c r="BF4" s="1002"/>
      <c r="BG4" s="1002"/>
      <c r="BH4" s="1002"/>
      <c r="BI4" s="1002"/>
      <c r="BJ4" s="94"/>
      <c r="BK4" s="1002" t="str">
        <f>+'P&amp;L'!BK5</f>
        <v>2017A</v>
      </c>
      <c r="BL4" s="1002"/>
      <c r="BM4" s="1002"/>
      <c r="BN4" s="1002"/>
      <c r="BO4" s="1002"/>
      <c r="BP4" s="94"/>
      <c r="BQ4" s="1002" t="str">
        <f>+'P&amp;L'!BQ5</f>
        <v>2018E</v>
      </c>
      <c r="BR4" s="1002"/>
      <c r="BS4" s="1002"/>
      <c r="BT4" s="1002"/>
      <c r="BU4" s="1002"/>
      <c r="BV4" s="94"/>
      <c r="BW4" s="1002" t="str">
        <f>+'P&amp;L'!BW5</f>
        <v>2019E</v>
      </c>
      <c r="BX4" s="1002"/>
      <c r="BY4" s="1002"/>
      <c r="BZ4" s="1002"/>
      <c r="CA4" s="1002"/>
      <c r="CB4" s="94"/>
      <c r="CC4" s="1002" t="str">
        <f>+'P&amp;L'!CC5</f>
        <v>2020E</v>
      </c>
      <c r="CD4" s="1002"/>
      <c r="CE4" s="1002"/>
      <c r="CF4" s="1002"/>
      <c r="CG4" s="1002"/>
    </row>
    <row r="5" spans="1:88" x14ac:dyDescent="0.2">
      <c r="A5" s="50"/>
      <c r="B5" s="246"/>
      <c r="C5" s="525">
        <f>+'Cash Flow'!B6</f>
        <v>39172</v>
      </c>
      <c r="D5" s="525">
        <f>+'Cash Flow'!C6</f>
        <v>39263</v>
      </c>
      <c r="E5" s="525">
        <f>+'Cash Flow'!D6</f>
        <v>39355</v>
      </c>
      <c r="F5" s="525">
        <f>+'Cash Flow'!E6</f>
        <v>39447</v>
      </c>
      <c r="G5" s="161" t="str">
        <f>+'Cash Flow'!F6</f>
        <v>2007A</v>
      </c>
      <c r="H5" s="79"/>
      <c r="I5" s="525">
        <f>+'Cash Flow'!H6</f>
        <v>39538</v>
      </c>
      <c r="J5" s="525">
        <f>+'Cash Flow'!I6</f>
        <v>39629</v>
      </c>
      <c r="K5" s="525">
        <f>+'Cash Flow'!J6</f>
        <v>39721</v>
      </c>
      <c r="L5" s="525">
        <f>+'Cash Flow'!K6</f>
        <v>39813</v>
      </c>
      <c r="M5" s="161" t="str">
        <f>+'Cash Flow'!L6</f>
        <v>2008A</v>
      </c>
      <c r="N5" s="79"/>
      <c r="O5" s="525">
        <f>+'Cash Flow'!N6</f>
        <v>39903</v>
      </c>
      <c r="P5" s="525">
        <f>+'Cash Flow'!O6</f>
        <v>39994</v>
      </c>
      <c r="Q5" s="525">
        <f>+'Cash Flow'!P6</f>
        <v>40086</v>
      </c>
      <c r="R5" s="525">
        <f>+'Cash Flow'!Q6</f>
        <v>40178</v>
      </c>
      <c r="S5" s="161" t="str">
        <f>+'Cash Flow'!R6</f>
        <v>2009A</v>
      </c>
      <c r="T5" s="79"/>
      <c r="U5" s="525">
        <f>+'Cash Flow'!T6</f>
        <v>40268</v>
      </c>
      <c r="V5" s="525">
        <f>+'Cash Flow'!U6</f>
        <v>40359</v>
      </c>
      <c r="W5" s="525">
        <f>+'Cash Flow'!V6</f>
        <v>40451</v>
      </c>
      <c r="X5" s="525">
        <f>+'Cash Flow'!W6</f>
        <v>40543</v>
      </c>
      <c r="Y5" s="161" t="str">
        <f>+'Cash Flow'!X6</f>
        <v>2010A</v>
      </c>
      <c r="Z5" s="79"/>
      <c r="AA5" s="525">
        <f>+'Cash Flow'!Z6</f>
        <v>40633</v>
      </c>
      <c r="AB5" s="525">
        <f>+'Cash Flow'!AA6</f>
        <v>40724</v>
      </c>
      <c r="AC5" s="525">
        <f>+'Cash Flow'!AB6</f>
        <v>40816</v>
      </c>
      <c r="AD5" s="525">
        <f>+'Cash Flow'!AC6</f>
        <v>40908</v>
      </c>
      <c r="AE5" s="161" t="str">
        <f>+'Cash Flow'!AD6</f>
        <v>2011A</v>
      </c>
      <c r="AF5" s="79"/>
      <c r="AG5" s="525">
        <f>+'Cash Flow'!AF6</f>
        <v>40998.25</v>
      </c>
      <c r="AH5" s="525">
        <f>+'Cash Flow'!AG6</f>
        <v>41089.25</v>
      </c>
      <c r="AI5" s="525">
        <f>+'Cash Flow'!AH6</f>
        <v>41181.25</v>
      </c>
      <c r="AJ5" s="525">
        <f>+'Cash Flow'!AI6</f>
        <v>41273.25</v>
      </c>
      <c r="AK5" s="161" t="str">
        <f>+'Cash Flow'!AJ6</f>
        <v>2012A</v>
      </c>
      <c r="AL5" s="79"/>
      <c r="AM5" s="525">
        <f>+'Cash Flow'!AL6</f>
        <v>41363.5</v>
      </c>
      <c r="AN5" s="525">
        <f>+'Cash Flow'!AM6</f>
        <v>41454.5</v>
      </c>
      <c r="AO5" s="525">
        <f>+'Cash Flow'!AN6</f>
        <v>41546.5</v>
      </c>
      <c r="AP5" s="525">
        <f>+'Cash Flow'!AO6</f>
        <v>41638.5</v>
      </c>
      <c r="AQ5" s="161" t="str">
        <f>+'Cash Flow'!AP6</f>
        <v>2013A</v>
      </c>
      <c r="AR5" s="79"/>
      <c r="AS5" s="525">
        <f>+'Cash Flow'!AR6</f>
        <v>41728.75</v>
      </c>
      <c r="AT5" s="525">
        <f>+'Cash Flow'!AS6</f>
        <v>41819.75</v>
      </c>
      <c r="AU5" s="525">
        <f>+'Cash Flow'!AT6</f>
        <v>41911.75</v>
      </c>
      <c r="AV5" s="525">
        <f>+'Cash Flow'!AU6</f>
        <v>42003.75</v>
      </c>
      <c r="AW5" s="161" t="str">
        <f>+'Cash Flow'!AV6</f>
        <v>2014A</v>
      </c>
      <c r="AX5" s="79"/>
      <c r="AY5" s="525">
        <f>+'Cash Flow'!AX6</f>
        <v>42094</v>
      </c>
      <c r="AZ5" s="525">
        <f>+'Cash Flow'!AY6</f>
        <v>42185</v>
      </c>
      <c r="BA5" s="525">
        <f>+'Cash Flow'!AZ6</f>
        <v>42277</v>
      </c>
      <c r="BB5" s="525">
        <f>+'Cash Flow'!BA6</f>
        <v>42369</v>
      </c>
      <c r="BC5" s="161" t="str">
        <f>+'Cash Flow'!BB6</f>
        <v>2015A</v>
      </c>
      <c r="BD5" s="79"/>
      <c r="BE5" s="525">
        <f>+'Cash Flow'!BD6</f>
        <v>42459.25</v>
      </c>
      <c r="BF5" s="525">
        <f>+'Cash Flow'!BE6</f>
        <v>42550.25</v>
      </c>
      <c r="BG5" s="525">
        <f>+'Cash Flow'!BF6</f>
        <v>42642.25</v>
      </c>
      <c r="BH5" s="525">
        <f>+'Cash Flow'!BG6</f>
        <v>42734.25</v>
      </c>
      <c r="BI5" s="161" t="str">
        <f>+'Cash Flow'!BH6</f>
        <v>2016A</v>
      </c>
      <c r="BJ5" s="79"/>
      <c r="BK5" s="525">
        <f>+'Cash Flow'!BJ6</f>
        <v>42824.5</v>
      </c>
      <c r="BL5" s="525">
        <f>+'Cash Flow'!BK6</f>
        <v>42915.5</v>
      </c>
      <c r="BM5" s="525">
        <f>+'Cash Flow'!BL6</f>
        <v>43007.5</v>
      </c>
      <c r="BN5" s="525">
        <f>+'Cash Flow'!BM6</f>
        <v>43099.5</v>
      </c>
      <c r="BO5" s="161" t="str">
        <f>+'Cash Flow'!BN6</f>
        <v>2017A</v>
      </c>
      <c r="BP5" s="79"/>
      <c r="BQ5" s="525">
        <f>+'Cash Flow'!BP6</f>
        <v>43189.75</v>
      </c>
      <c r="BR5" s="526">
        <f>+'Cash Flow'!BQ6</f>
        <v>43280.75</v>
      </c>
      <c r="BS5" s="526">
        <f>+'Cash Flow'!BR6</f>
        <v>43372.75</v>
      </c>
      <c r="BT5" s="526">
        <f>+'Cash Flow'!BS6</f>
        <v>43464.75</v>
      </c>
      <c r="BU5" s="161" t="str">
        <f>+'Cash Flow'!BT6</f>
        <v>2018E</v>
      </c>
      <c r="BV5" s="79"/>
      <c r="BW5" s="526">
        <f>+'Cash Flow'!BV6</f>
        <v>43555</v>
      </c>
      <c r="BX5" s="526">
        <f>+'Cash Flow'!BW6</f>
        <v>43646</v>
      </c>
      <c r="BY5" s="526">
        <f>+'Cash Flow'!BX6</f>
        <v>43738</v>
      </c>
      <c r="BZ5" s="526">
        <f>+'Cash Flow'!BY6</f>
        <v>43830</v>
      </c>
      <c r="CA5" s="161" t="str">
        <f>+'Cash Flow'!BZ6</f>
        <v>2019E</v>
      </c>
      <c r="CB5" s="79"/>
      <c r="CC5" s="526">
        <f>+'Cash Flow'!CB6</f>
        <v>43920.25</v>
      </c>
      <c r="CD5" s="526">
        <f>+'Cash Flow'!CC6</f>
        <v>44011.25</v>
      </c>
      <c r="CE5" s="526">
        <f>+'Cash Flow'!CE6</f>
        <v>44195.25</v>
      </c>
      <c r="CF5" s="526" t="str">
        <f>+'Cash Flow'!CF6</f>
        <v>2020E</v>
      </c>
      <c r="CG5" s="161">
        <f>+'Cash Flow'!CH6</f>
        <v>0</v>
      </c>
    </row>
    <row r="6" spans="1:88" s="42" customFormat="1" x14ac:dyDescent="0.2">
      <c r="A6" s="402"/>
      <c r="B6" s="817" t="s">
        <v>507</v>
      </c>
      <c r="C6" s="38">
        <f>C95</f>
        <v>63.76100000000001</v>
      </c>
      <c r="D6" s="38">
        <f>D95</f>
        <v>76.602999999999994</v>
      </c>
      <c r="E6" s="38">
        <f>E95</f>
        <v>71.450999999999979</v>
      </c>
      <c r="F6" s="38">
        <f>F95</f>
        <v>72.516999999999982</v>
      </c>
      <c r="G6" s="38">
        <f>+G9+G14+G19+G24+G29</f>
        <v>284.33199999999994</v>
      </c>
      <c r="H6" s="178"/>
      <c r="I6" s="38">
        <f>I95</f>
        <v>74.775999999999996</v>
      </c>
      <c r="J6" s="38">
        <f>J95</f>
        <v>79.902000000000001</v>
      </c>
      <c r="K6" s="38">
        <f>K95</f>
        <v>75.172999999999988</v>
      </c>
      <c r="L6" s="38">
        <f>L95</f>
        <v>74.125</v>
      </c>
      <c r="M6" s="38">
        <f>+M9+M14+M19+M24+M29</f>
        <v>303.976</v>
      </c>
      <c r="N6" s="178"/>
      <c r="O6" s="38">
        <f>O95</f>
        <v>70.132000000000005</v>
      </c>
      <c r="P6" s="38">
        <f>P95</f>
        <v>76.316000000000017</v>
      </c>
      <c r="Q6" s="38">
        <f>Q95</f>
        <v>79.269000000000005</v>
      </c>
      <c r="R6" s="38">
        <f>R95</f>
        <v>86.616</v>
      </c>
      <c r="S6" s="38">
        <f>+S9+S14+S19+S24+S29</f>
        <v>312.33300000000003</v>
      </c>
      <c r="T6" s="178"/>
      <c r="U6" s="38">
        <f>+U9+U14+U19+U24+U29</f>
        <v>90.090000000000018</v>
      </c>
      <c r="V6" s="38">
        <f>+V9+V14+V19+V24+V29</f>
        <v>93.897999999999996</v>
      </c>
      <c r="W6" s="38">
        <f>+W9+W14+W19+W24+W29</f>
        <v>95.946999999999989</v>
      </c>
      <c r="X6" s="38">
        <f>+X9+X14+X19+X24+X29</f>
        <v>92.893000000000001</v>
      </c>
      <c r="Y6" s="38">
        <f>+SUM(U6:X6)</f>
        <v>372.82799999999997</v>
      </c>
      <c r="Z6" s="178"/>
      <c r="AA6" s="38">
        <f>+AA9+AA14+AA19+AA24+AA29</f>
        <v>104.85599999999999</v>
      </c>
      <c r="AB6" s="38">
        <f>+AB9+AB14+AB19+AB24+AB29</f>
        <v>113.59999999999998</v>
      </c>
      <c r="AC6" s="38">
        <f>+AC9+AC14+AC19+AC24+AC29</f>
        <v>114.3</v>
      </c>
      <c r="AD6" s="38">
        <f>+AD9+AD14+AD19+AD24+AD29</f>
        <v>118.9</v>
      </c>
      <c r="AE6" s="38">
        <f>+SUM(AA6:AD6)</f>
        <v>451.65599999999995</v>
      </c>
      <c r="AF6" s="178"/>
      <c r="AG6" s="38">
        <f>+AG9+AG14+AG19+AG24+AG29</f>
        <v>123.328</v>
      </c>
      <c r="AH6" s="38">
        <f>+AH9+AH14+AH19+AH24+AH29</f>
        <v>133.66900000000001</v>
      </c>
      <c r="AI6" s="38">
        <f>+AI9+AI14+AI19+AI24+AI29</f>
        <v>126.72499999999998</v>
      </c>
      <c r="AJ6" s="38">
        <f>+AJ9+AJ14+AJ19+AJ24+AJ29</f>
        <v>132.85900000000001</v>
      </c>
      <c r="AK6" s="38">
        <f>+SUM(AG6:AJ6)</f>
        <v>516.58100000000002</v>
      </c>
      <c r="AL6" s="178"/>
      <c r="AM6" s="38">
        <f>+AM9+AM14+AM19+AM24+AM29</f>
        <v>141.572</v>
      </c>
      <c r="AN6" s="38">
        <f>+AN9+AN14+AN19+AN24+AN29</f>
        <v>153.303</v>
      </c>
      <c r="AO6" s="38">
        <f>+AO9+AO14+AO19+AO24+AO29</f>
        <v>153.54999999999998</v>
      </c>
      <c r="AP6" s="38">
        <f>+AP9+AP14+AP19+AP24+AP29</f>
        <v>166.22400000000002</v>
      </c>
      <c r="AQ6" s="38">
        <f>+SUM(AM6:AP6)</f>
        <v>614.649</v>
      </c>
      <c r="AR6" s="178"/>
      <c r="AS6" s="38">
        <f>+AS9+AS14+AS19+AS24+AS29</f>
        <v>168.239</v>
      </c>
      <c r="AT6" s="38">
        <f>+AT9+AT14+AT19+AT24+AT29</f>
        <v>179.73499999999996</v>
      </c>
      <c r="AU6" s="38">
        <f>+AU9+AU14+AU19+AU24+AU29</f>
        <v>178.13800000000001</v>
      </c>
      <c r="AV6" s="38">
        <f>+AV9+AV14+AV19+AV24+AV29</f>
        <v>186.43700000000001</v>
      </c>
      <c r="AW6" s="38">
        <f>+SUM(AS6:AV6)</f>
        <v>712.54899999999998</v>
      </c>
      <c r="AX6" s="178"/>
      <c r="AY6" s="754">
        <v>187.029</v>
      </c>
      <c r="AZ6" s="754">
        <v>200.81700000000004</v>
      </c>
      <c r="BA6" s="754">
        <v>198.29200000000006</v>
      </c>
      <c r="BB6" s="754">
        <v>214.048</v>
      </c>
      <c r="BC6" s="38">
        <f>+BC9+BC14+BC19+BC24+BC29+BC34</f>
        <v>800.18600000000015</v>
      </c>
      <c r="BD6" s="178"/>
      <c r="BE6" s="754">
        <v>219.69800000000001</v>
      </c>
      <c r="BF6" s="754">
        <v>243.43600000000001</v>
      </c>
      <c r="BG6" s="754">
        <v>243.66800000000001</v>
      </c>
      <c r="BH6" s="754">
        <v>251.52500000000001</v>
      </c>
      <c r="BI6" s="38">
        <f>+BI9+BI14+BI19+BI24+BI29</f>
        <v>958.03149999999994</v>
      </c>
      <c r="BJ6" s="178"/>
      <c r="BK6" s="638">
        <v>282.399</v>
      </c>
      <c r="BL6" s="638">
        <v>321.036</v>
      </c>
      <c r="BM6" s="638">
        <v>341.61099999999999</v>
      </c>
      <c r="BN6" s="638">
        <v>364.21600000000001</v>
      </c>
      <c r="BO6" s="38">
        <f>+BO9+BO14+BO19+BO24+BO29+BO34</f>
        <v>1309.2620000000002</v>
      </c>
      <c r="BP6" s="178"/>
      <c r="BQ6" s="638">
        <v>385.505</v>
      </c>
      <c r="BR6" s="38">
        <f>+BR9+BR14+BR19+BR24+BR29+BR34</f>
        <v>432.30410851519719</v>
      </c>
      <c r="BS6" s="38">
        <f>+BS9+BS14+BS19+BS24+BS29+BS34</f>
        <v>439.00754597534478</v>
      </c>
      <c r="BT6" s="38">
        <f>+BT9+BT14+BT19+BT24+BT29+BT34</f>
        <v>471.23897593269572</v>
      </c>
      <c r="BU6" s="38">
        <f>+BU9+BU14+BU19+BU24+BU29+BU34</f>
        <v>1728.055630423238</v>
      </c>
      <c r="BV6" s="178"/>
      <c r="BW6" s="38">
        <f>+BW9+BW14+BW19+BW24+BW29+BW34</f>
        <v>472.32221061596067</v>
      </c>
      <c r="BX6" s="38">
        <f>+BX9+BX14+BX19+BX24+BX29+BX34</f>
        <v>545.70394837734068</v>
      </c>
      <c r="BY6" s="38">
        <f>+BY9+BY14+BY19+BY24+BY29+BY34</f>
        <v>549.40659641474883</v>
      </c>
      <c r="BZ6" s="38">
        <f>+BZ9+BZ14+BZ19+BZ24+BZ29+BZ34</f>
        <v>593.06188808872707</v>
      </c>
      <c r="CA6" s="38">
        <f>+CA9+CA14+CA19+CA24+CA29+CA34</f>
        <v>2160.4946434967774</v>
      </c>
      <c r="CB6" s="178"/>
      <c r="CC6" s="38">
        <f>+CC9+CC14+CC19+CC24+CC29+CC34</f>
        <v>560.55328946062252</v>
      </c>
      <c r="CD6" s="38">
        <f>+CD9+CD14+CD19+CD24+CD29+CD34</f>
        <v>639.07403080691677</v>
      </c>
      <c r="CE6" s="38">
        <f>+CE9+CE14+CE19+CE24+CE29+CE34</f>
        <v>642.34384200923341</v>
      </c>
      <c r="CF6" s="38">
        <f>+CF9+CF14+CF19+CF24+CF29+CF34</f>
        <v>690.99866533541126</v>
      </c>
      <c r="CG6" s="38">
        <f>+CG9+CG14+CG19+CG24+CG29+CG34</f>
        <v>2532.9698276121835</v>
      </c>
      <c r="CI6"/>
      <c r="CJ6"/>
    </row>
    <row r="7" spans="1:88" s="42" customFormat="1" ht="12.75" customHeight="1" x14ac:dyDescent="0.2">
      <c r="A7" s="308"/>
      <c r="B7" s="268" t="s">
        <v>111</v>
      </c>
      <c r="C7" s="318"/>
      <c r="D7" s="318"/>
      <c r="E7" s="318"/>
      <c r="F7" s="318"/>
      <c r="G7" s="318"/>
      <c r="H7" s="318"/>
      <c r="I7" s="318"/>
      <c r="J7" s="318"/>
      <c r="K7" s="318"/>
      <c r="L7" s="318"/>
      <c r="M7" s="316">
        <f>+M69-M70</f>
        <v>6.9088248948412589E-2</v>
      </c>
      <c r="N7" s="318"/>
      <c r="O7" s="318"/>
      <c r="P7" s="318"/>
      <c r="Q7" s="318"/>
      <c r="R7" s="318"/>
      <c r="S7" s="316">
        <f>+S69-S70</f>
        <v>3.7742132397185102E-2</v>
      </c>
      <c r="T7" s="318"/>
      <c r="U7" s="318"/>
      <c r="V7" s="318"/>
      <c r="W7" s="318"/>
      <c r="X7" s="318"/>
      <c r="Y7" s="316">
        <f>+((Y10*S9)+(Y15*S14)+(Y20*S19)+(Y25*S24)+(Y30*S29))/S6</f>
        <v>0.20379093392730749</v>
      </c>
      <c r="Z7" s="318"/>
      <c r="AA7" s="316">
        <f>+((AA10*U9)+(AA15*U14)+(AA20*U19)+(AA25*U24)+(AA30*U29))/U6</f>
        <v>0.16502148945832465</v>
      </c>
      <c r="AB7" s="316">
        <f>+((AB10*V9)+(AB15*V14)+(AB20*V19)+(AB25*V24)+(AB30*V29))/V6</f>
        <v>0.18008133404808371</v>
      </c>
      <c r="AC7" s="316">
        <f>+((AC10*W9)+(AC15*W14)+(AC20*W19)+(AC25*W24)+(AC30*W29))/W6</f>
        <v>0.17273442341457665</v>
      </c>
      <c r="AD7" s="316">
        <f>+((AD10*X9)+(AD15*X14)+(AD20*X19)+(AD25*X24)+(AD30*X29))/X6</f>
        <v>0.28099787748036392</v>
      </c>
      <c r="AE7" s="316">
        <f>SUMPRODUCT(AA7:AD7,U6:X6)/Y6</f>
        <v>0.19969570055330946</v>
      </c>
      <c r="AF7" s="430"/>
      <c r="AG7" s="316">
        <f>+((AG10*AA9)+(AG15*AA14)+(AG20*AA19)+(AG25*AA24)+(AG30*AA29))/AA6</f>
        <v>0.18376822606163193</v>
      </c>
      <c r="AH7" s="316">
        <f>+((AH10*AB9)+(AH15*AB14)+(AH20*AB19)+(AH25*AB24)+(AH30*AB29))/AB6</f>
        <v>0.19800778749605091</v>
      </c>
      <c r="AI7" s="316">
        <f>+((AI10*AC9)+(AI15*AC14)+(AI20*AC19)+(AI25*AC24)+(AI30*AC29))/AC6</f>
        <v>0.13182113323064659</v>
      </c>
      <c r="AJ7" s="316">
        <f>+((AJ10*AD9)+(AJ15*AD14)+(AJ20*AD19)+(AJ25*AD24)+(AJ30*AD29))/AD6</f>
        <v>0.12539109323439354</v>
      </c>
      <c r="AK7" s="316">
        <f>SUMPRODUCT(AG7:AJ7,AA6:AD6)/AE6</f>
        <v>0.15883557903648388</v>
      </c>
      <c r="AL7" s="430"/>
      <c r="AM7" s="316">
        <f>+((AM10*AG9)+(AM15*AG14)+(AM20*AG19)+(AM25*AG24)+(AM30*AG29))/AG6</f>
        <v>0.14797450078254287</v>
      </c>
      <c r="AN7" s="316">
        <f>+((AN10*AH9)+(AN15*AH14)+(AN20*AH19)+(AN25*AH24)+(AN30*AH29))/AH6</f>
        <v>0.14845263327202052</v>
      </c>
      <c r="AO7" s="316">
        <f>+((AO10*AI9)+(AO15*AI14)+(AO20*AI19)+(AO25*AI24)+(AO30*AI29))/AI6</f>
        <v>0.21116021933660786</v>
      </c>
      <c r="AP7" s="316">
        <f>+((AP10*AJ9)+(AP15*AJ14)+(AP20*AJ19)+(AP25*AJ24)+(AP30*AJ29))/AJ6</f>
        <v>0.25519114809205684</v>
      </c>
      <c r="AQ7" s="316">
        <f>SUMPRODUCT(AM7:AP7,AG6:AJ6)/AK6</f>
        <v>0.1911735696998948</v>
      </c>
      <c r="AR7" s="430"/>
      <c r="AS7" s="316">
        <f>+((AS10*AM9)+(AS15*AM14)+(AS20*AM19)+(AS25*AM24)+(AS30*AM29))/AM6</f>
        <v>0.18319013578177318</v>
      </c>
      <c r="AT7" s="316">
        <f>+((AT10*AN9)+(AT15*AN14)+(AT20*AN19)+(AT25*AN24)+(AT30*AN29))/AN6</f>
        <v>0.1658806099927867</v>
      </c>
      <c r="AU7" s="316">
        <f>+((AU10*AO9)+(AU15*AO14)+(AU20*AO19)+(AU25*AO24)+(AU30*AO29))/AO6</f>
        <v>0.1616505872349763</v>
      </c>
      <c r="AV7" s="316">
        <f>+((AV10*AP9)+(AV15*AP14)+(AV20*AP19)+(AV25*AP24)+(AV30*AP29))/AP6</f>
        <v>0.13501933858176915</v>
      </c>
      <c r="AW7" s="316">
        <f>SUMPRODUCT(AS7:AV7,AM6:AP6)/AQ6</f>
        <v>0.16046473883951323</v>
      </c>
      <c r="AX7" s="430"/>
      <c r="AY7" s="316">
        <f>+((AY10*AS9)+(AY15*AS14)+(AY20*AS19)+(AY25*AS24)+(AY30*AS29))/AS6</f>
        <v>0.13830940653111654</v>
      </c>
      <c r="AZ7" s="316">
        <f>+((AZ10*AT9)+(AZ15*AT14)+(AZ20*AT19)+(AZ25*AT24)+(AZ30*AT29))/AT6</f>
        <v>0.17096681746444137</v>
      </c>
      <c r="BA7" s="316">
        <f>+((BA10*AU9)+(BA15*AU14)+(BA20*AU19)+(BA25*AU24)+(BA30*AU29))/AU6</f>
        <v>0.15360564579008076</v>
      </c>
      <c r="BB7" s="316">
        <f>+((BB10*AV9)+(BB15*AV14)+(BB20*AV19)+(BB25*AV24)+(BB30*AV29))/AV6</f>
        <v>0.17679551359893211</v>
      </c>
      <c r="BC7" s="316">
        <f>SUMPRODUCT(AY7:BB7,AS6:AV6)/AW6</f>
        <v>0.16044087477627139</v>
      </c>
      <c r="BD7" s="430"/>
      <c r="BE7" s="316">
        <f>+((BE10*AY9)+(BE15*AY14)+(BE20*AY19)+(BE25*AY24)+(BE30*AY29))/AY6</f>
        <v>0.18830388970672332</v>
      </c>
      <c r="BF7" s="316">
        <f>+((BF10*AZ9)+(BF15*AZ14)+(BF20*AZ19)+(BF25*AZ24)+(BF30*AZ29))/AZ6</f>
        <v>0.21222804842219511</v>
      </c>
      <c r="BG7" s="316">
        <f>+((BG10*BA9)+(BG15*BA14)+(BG20*BA19)+(BG25*BA24)+(BG30*BA29))/BA6</f>
        <v>0.22883424444758213</v>
      </c>
      <c r="BH7" s="316">
        <f>+((BH10*BB9)+(BH15*BB14)+(BH20*BB19)+(BH25*BB24)+(BH30*BB29))/BB6</f>
        <v>0.18673420977454602</v>
      </c>
      <c r="BI7" s="316">
        <f>SUMPRODUCT(BE7:BH7,AY6:BB6)/BC6</f>
        <v>0.20393180125843327</v>
      </c>
      <c r="BJ7" s="430"/>
      <c r="BK7" s="316">
        <f>+((BK10*BE9)+(BK15*BE14)+(BK20*BE19)+(BK25*BE24)+(BK30*BE29))/BE6</f>
        <v>0.29675600172520528</v>
      </c>
      <c r="BL7" s="316">
        <f>+((BL10*BF9)+(BL15*BF14)+(BL20*BF19)+(BL25*BF24)+(BL30*BF29))/BF6</f>
        <v>0.31976330957710464</v>
      </c>
      <c r="BM7" s="562">
        <f>+((BM10*BG9)+(BM15*BG14)+(BM20*BG19)+(BM25*BG24)+(BM30*BG29)+(BM35*BG34))/BG6</f>
        <v>0.34616966528226933</v>
      </c>
      <c r="BN7" s="562">
        <f>+((BN10*BH9)+(BN15*BH14)+(BN20*BH19)+(BN25*BH24)+(BN30*BH29)+(BN35*BH34))/BH6</f>
        <v>0.37174622800914442</v>
      </c>
      <c r="BO7" s="316">
        <f>SUMPRODUCT(BK7:BN7,BE6:BH6)/BI6</f>
        <v>0.33494988536100984</v>
      </c>
      <c r="BP7" s="430"/>
      <c r="BQ7" s="316">
        <f>+((BQ10*BK9)+(BQ15*BK14)+(BQ20*BK19)+(BQ25*BK24)+(BQ30*BK29))/BK6</f>
        <v>0.29958821560982846</v>
      </c>
      <c r="BR7" s="316">
        <f>+((BR10*BL9)+(BR15*BL14)+(BR20*BL19)+(BR25*BL24)+(BR30*BL29)+(BR35*BL34))/BL6</f>
        <v>0.29159075155184239</v>
      </c>
      <c r="BS7" s="316">
        <f>+((BS10*BM9)+(BS15*BM14)+(BS20*BM19)+(BS25*BM24)+(BS30*BM29)+(BS35*BM34))/BM6</f>
        <v>0.2601095133802625</v>
      </c>
      <c r="BT7" s="316">
        <f>+((BT10*BN9)+(BT15*BN14)+(BT20*BN19)+(BT25*BN24)+(BT30*BN29)+(BT35*BN34))/BN6</f>
        <v>0.27384479521134625</v>
      </c>
      <c r="BU7" s="316">
        <f>+((BU10*BO9)+(BU15*BO14)+(BU20*BO19)+(BU25*BO24)+(BU30*BO29)+(BU35*BO34))/BO6</f>
        <v>0.28016506086882365</v>
      </c>
      <c r="BV7" s="430"/>
      <c r="BW7" s="316">
        <f>+((BW10*BQ9)+(BW15*BQ14)+(BW20*BQ19)+(BW25*BQ24)+(BW30*BQ29)+(BW35*BQ34))/BQ6</f>
        <v>0.22520385109391783</v>
      </c>
      <c r="BX7" s="316">
        <f>+((BX10*BR9)+(BX15*BR14)+(BX20*BR19)+(BX25*BR24)+(BX30*BR29)+(BX35*BR34))/BR6</f>
        <v>0.2623149714020287</v>
      </c>
      <c r="BY7" s="316">
        <f>+((BY10*BS9)+(BY15*BS14)+(BY20*BS19)+(BY25*BS24)+(BY30*BS29)+(BY35*BS34))/BS6</f>
        <v>0.25147415221332925</v>
      </c>
      <c r="BZ7" s="316">
        <f>+((BZ10*BT9)+(BZ15*BT14)+(BZ20*BT19)+(BZ25*BT24)+(BZ30*BT29)+(BZ35*BT34))/BT6</f>
        <v>0.25851620595455704</v>
      </c>
      <c r="CA7" s="316">
        <f>+((CA10*BU9)+(CA15*BU14)+(CA20*BU19)+(CA25*BU24)+(CA30*BU29)+(CA35*BU34))/BU6</f>
        <v>0.2502460021889607</v>
      </c>
      <c r="CB7" s="430"/>
      <c r="CC7" s="316">
        <f>+((CC10*BW9)+(CC15*BW14)+(CC20*BW19)+(CC25*BW24)+(CC30*BW29)+(CC35*BW34))/BW6</f>
        <v>0.18680273097807235</v>
      </c>
      <c r="CD7" s="316">
        <f>+((CD10*BX9)+(CD15*BX14)+(CD20*BX19)+(CD25*BX24)+(CD30*BX29)+(CD35*BX34))/BX6</f>
        <v>0.17110025079938201</v>
      </c>
      <c r="CE7" s="316">
        <f>+((CE10*BY9)+(CE15*BY14)+(CE20*BY19)+(CE25*BY24)+(CE30*BY29)+(CE35*BY34))/BY6</f>
        <v>0.16915931880134522</v>
      </c>
      <c r="CF7" s="316">
        <f>+((CF10*BZ9)+(CF15*BZ14)+(CF20*BZ19)+(CF25*BZ24)+(CF30*BZ29)+(CF35*BZ34))/BZ6</f>
        <v>0.1651375332215447</v>
      </c>
      <c r="CG7" s="316">
        <f>+((CG10*CA9)+(CG15*CA14)+(CG20*CA19)+(CG25*CA24)+(CG30*CA29)+(CG35*CA34))/CA6</f>
        <v>0.17240273436297551</v>
      </c>
    </row>
    <row r="8" spans="1:88" s="42" customFormat="1" ht="6.75" customHeight="1" x14ac:dyDescent="0.2">
      <c r="A8" s="308"/>
      <c r="B8" s="354"/>
      <c r="C8" s="316"/>
      <c r="D8" s="316"/>
      <c r="E8" s="316"/>
      <c r="F8" s="316"/>
      <c r="G8" s="316"/>
      <c r="H8" s="236"/>
      <c r="I8" s="316"/>
      <c r="J8" s="316"/>
      <c r="K8" s="316"/>
      <c r="L8" s="316"/>
      <c r="M8" s="316"/>
      <c r="N8" s="236"/>
      <c r="O8" s="316"/>
      <c r="P8" s="316"/>
      <c r="Q8" s="316"/>
      <c r="R8" s="316"/>
      <c r="S8" s="316"/>
      <c r="T8" s="236"/>
      <c r="U8" s="316"/>
      <c r="V8" s="316"/>
      <c r="W8" s="316"/>
      <c r="X8" s="316"/>
      <c r="Y8" s="316"/>
      <c r="Z8" s="236"/>
      <c r="AA8" s="38"/>
      <c r="AB8" s="38"/>
      <c r="AC8" s="38"/>
      <c r="AD8" s="38"/>
      <c r="AE8" s="38"/>
      <c r="AF8" s="236"/>
      <c r="AG8" s="38"/>
      <c r="AH8" s="38"/>
      <c r="AI8" s="38"/>
      <c r="AJ8" s="316"/>
      <c r="AK8" s="38"/>
      <c r="AL8" s="236"/>
      <c r="AM8" s="316"/>
      <c r="AN8" s="316"/>
      <c r="AO8" s="316"/>
      <c r="AP8" s="316"/>
      <c r="AQ8" s="316"/>
      <c r="AR8" s="236"/>
      <c r="AS8" s="316"/>
      <c r="AT8" s="316"/>
      <c r="AU8" s="316"/>
      <c r="AV8" s="316"/>
      <c r="AW8" s="316"/>
      <c r="AX8" s="236"/>
      <c r="AY8" s="316"/>
      <c r="AZ8" s="316"/>
      <c r="BA8" s="316"/>
      <c r="BB8" s="316"/>
      <c r="BC8" s="316"/>
      <c r="BD8" s="236"/>
      <c r="BE8" s="316"/>
      <c r="BF8" s="316"/>
      <c r="BG8" s="316"/>
      <c r="BH8" s="316"/>
      <c r="BI8" s="316"/>
      <c r="BJ8" s="236"/>
      <c r="BK8" s="316"/>
      <c r="BL8" s="316"/>
      <c r="BM8" s="316"/>
      <c r="BN8" s="316"/>
      <c r="BO8" s="316"/>
      <c r="BP8" s="236"/>
      <c r="BQ8" s="316"/>
      <c r="BR8" s="316"/>
      <c r="BS8" s="316"/>
      <c r="BT8" s="316"/>
      <c r="BU8" s="316"/>
      <c r="BV8" s="236"/>
      <c r="BW8" s="316"/>
      <c r="BX8" s="316"/>
      <c r="BY8" s="316"/>
      <c r="BZ8" s="316"/>
      <c r="CA8" s="316"/>
      <c r="CB8" s="236"/>
      <c r="CC8" s="316"/>
      <c r="CD8" s="316"/>
      <c r="CE8" s="316"/>
      <c r="CF8" s="316"/>
      <c r="CG8" s="316"/>
    </row>
    <row r="9" spans="1:88" s="42" customFormat="1" ht="12.75" customHeight="1" x14ac:dyDescent="0.2">
      <c r="A9" s="402"/>
      <c r="B9" s="314" t="s">
        <v>147</v>
      </c>
      <c r="C9" s="403"/>
      <c r="D9" s="403"/>
      <c r="E9" s="403"/>
      <c r="F9" s="404"/>
      <c r="G9" s="403">
        <v>245.7</v>
      </c>
      <c r="H9" s="252"/>
      <c r="I9" s="403"/>
      <c r="J9" s="403"/>
      <c r="K9" s="403"/>
      <c r="L9" s="403"/>
      <c r="M9" s="403">
        <v>255.5</v>
      </c>
      <c r="N9" s="252"/>
      <c r="O9" s="403"/>
      <c r="P9" s="403"/>
      <c r="Q9" s="403"/>
      <c r="R9" s="403"/>
      <c r="S9" s="403">
        <v>234.8</v>
      </c>
      <c r="T9" s="252"/>
      <c r="U9" s="403">
        <v>65.7</v>
      </c>
      <c r="V9" s="403">
        <v>67.5</v>
      </c>
      <c r="W9" s="403">
        <v>66.599999999999994</v>
      </c>
      <c r="X9" s="403">
        <v>64.900000000000006</v>
      </c>
      <c r="Y9" s="38">
        <f>+SUM(U9:X9)</f>
        <v>264.7</v>
      </c>
      <c r="Z9" s="252"/>
      <c r="AA9" s="417">
        <v>71.099999999999994</v>
      </c>
      <c r="AB9" s="417">
        <v>76.599999999999994</v>
      </c>
      <c r="AC9" s="417">
        <v>75.099999999999994</v>
      </c>
      <c r="AD9" s="417">
        <v>79.5</v>
      </c>
      <c r="AE9" s="38">
        <f>+SUM(AA9:AD9)</f>
        <v>302.29999999999995</v>
      </c>
      <c r="AF9" s="252"/>
      <c r="AG9" s="417">
        <v>82.424000000000007</v>
      </c>
      <c r="AH9" s="417">
        <v>88.617000000000004</v>
      </c>
      <c r="AI9" s="417">
        <v>80.293999999999997</v>
      </c>
      <c r="AJ9" s="417">
        <v>87.265000000000001</v>
      </c>
      <c r="AK9" s="38">
        <f>+SUM(AG9:AJ9)</f>
        <v>338.59999999999997</v>
      </c>
      <c r="AL9" s="252"/>
      <c r="AM9" s="417">
        <v>85.914000000000001</v>
      </c>
      <c r="AN9" s="417">
        <v>95.762</v>
      </c>
      <c r="AO9" s="417">
        <v>93.944999999999993</v>
      </c>
      <c r="AP9" s="417">
        <v>106.43300000000001</v>
      </c>
      <c r="AQ9" s="38">
        <f>+SUM(AM9:AP9)</f>
        <v>382.05399999999997</v>
      </c>
      <c r="AR9" s="252"/>
      <c r="AS9" s="537">
        <f>138.133-AS24-AS19</f>
        <v>103.27265282403562</v>
      </c>
      <c r="AT9" s="537">
        <f>147.158-AT24-AT19</f>
        <v>115.23625282403559</v>
      </c>
      <c r="AU9" s="537">
        <f>147.583-AU24-AU19</f>
        <v>112.48470799999998</v>
      </c>
      <c r="AV9" s="537">
        <f>186.437-12.3-21.29-AV24-AV19</f>
        <v>118.74087399999999</v>
      </c>
      <c r="AW9" s="38">
        <f>+SUM(AS9:AV9)</f>
        <v>449.73448764807119</v>
      </c>
      <c r="AX9" s="252"/>
      <c r="AY9" s="754">
        <v>116.054</v>
      </c>
      <c r="AZ9" s="754">
        <v>128.37343578573379</v>
      </c>
      <c r="BA9" s="754">
        <v>124.09204960000004</v>
      </c>
      <c r="BB9" s="754">
        <v>135.02340376000001</v>
      </c>
      <c r="BC9" s="38">
        <f>+SUM(AY9:BB9)</f>
        <v>503.54288914573385</v>
      </c>
      <c r="BD9" s="252"/>
      <c r="BE9" s="38">
        <f>+AY9*(1+BE11)</f>
        <v>137.50217395870962</v>
      </c>
      <c r="BF9" s="38">
        <f>+AZ9*(1+BF11)</f>
        <v>156.25753967901221</v>
      </c>
      <c r="BG9" s="763">
        <f>+BA9*(1+BG11)</f>
        <v>147.27598302113296</v>
      </c>
      <c r="BH9" s="38">
        <f>+BB9*(1+BH11)</f>
        <v>153.94358207798061</v>
      </c>
      <c r="BI9" s="38">
        <f>+SUM(BE9:BH9)</f>
        <v>594.97927873683534</v>
      </c>
      <c r="BJ9" s="252"/>
      <c r="BK9" s="38">
        <f>+BE9*(1+BK11)</f>
        <v>166.72440325103148</v>
      </c>
      <c r="BL9" s="38">
        <f>+BF9*(1+BL11)</f>
        <v>188.17478214905304</v>
      </c>
      <c r="BM9" s="38">
        <f>+BG9*(1+BM11)</f>
        <v>188.23578177730025</v>
      </c>
      <c r="BN9" s="38">
        <f>+BH9*(1+BN11)</f>
        <v>196.65571900808101</v>
      </c>
      <c r="BO9" s="38">
        <f>+SUM(BK9:BN9)</f>
        <v>739.7906861854658</v>
      </c>
      <c r="BP9" s="252"/>
      <c r="BQ9" s="38">
        <f>+BK9*(1+BQ11)</f>
        <v>215.8411690554959</v>
      </c>
      <c r="BR9" s="38">
        <f>+BL9*(1+BR11)</f>
        <v>245.56809070451422</v>
      </c>
      <c r="BS9" s="38">
        <f>+BM9*(1+BS11)</f>
        <v>240.0006217660578</v>
      </c>
      <c r="BT9" s="38">
        <f>+BN9*(1+BT11)</f>
        <v>249.75276314026289</v>
      </c>
      <c r="BU9" s="38">
        <f>+SUM(BQ9:BT9)</f>
        <v>951.16264466633083</v>
      </c>
      <c r="BV9" s="252"/>
      <c r="BW9" s="38">
        <f>+BQ9*(1+BW11)</f>
        <v>250.37575610437523</v>
      </c>
      <c r="BX9" s="38">
        <f>+BR9*(1+BX11)</f>
        <v>287.31466612428164</v>
      </c>
      <c r="BY9" s="38">
        <f>+BS9*(1+BY11)</f>
        <v>277.20071813979678</v>
      </c>
      <c r="BZ9" s="38">
        <f>+BT9*(1+BZ11)</f>
        <v>284.71814997989969</v>
      </c>
      <c r="CA9" s="38">
        <f>+SUM(BW9:BZ9)</f>
        <v>1099.6092903483534</v>
      </c>
      <c r="CB9" s="252"/>
      <c r="CC9" s="38">
        <f>+BW9*(1+CC11)</f>
        <v>277.91708927585654</v>
      </c>
      <c r="CD9" s="38">
        <f>+BX9*(1+CD11)</f>
        <v>318.91927939795266</v>
      </c>
      <c r="CE9" s="38">
        <f>+BY9*(1+CE11)</f>
        <v>307.69279713517443</v>
      </c>
      <c r="CF9" s="38">
        <f>+BZ9*(1+CF11)</f>
        <v>316.03714647768868</v>
      </c>
      <c r="CG9" s="38">
        <f>+SUM(CC9:CF9)</f>
        <v>1220.5663122866722</v>
      </c>
    </row>
    <row r="10" spans="1:88" s="42" customFormat="1" ht="12.75" customHeight="1" x14ac:dyDescent="0.2">
      <c r="A10" s="308"/>
      <c r="B10" s="268" t="s">
        <v>111</v>
      </c>
      <c r="C10" s="318"/>
      <c r="D10" s="318"/>
      <c r="E10" s="318"/>
      <c r="F10" s="318"/>
      <c r="G10" s="318"/>
      <c r="H10" s="318"/>
      <c r="I10" s="318"/>
      <c r="J10" s="318"/>
      <c r="K10" s="318"/>
      <c r="L10" s="318"/>
      <c r="M10" s="316">
        <f>+M11-M12</f>
        <v>3.9886039886039892E-2</v>
      </c>
      <c r="N10" s="318"/>
      <c r="O10" s="318"/>
      <c r="P10" s="318"/>
      <c r="Q10" s="318"/>
      <c r="R10" s="318"/>
      <c r="S10" s="316">
        <f>+S11-S12</f>
        <v>-7.0767782151120728E-2</v>
      </c>
      <c r="T10" s="318"/>
      <c r="U10" s="318"/>
      <c r="V10" s="318"/>
      <c r="W10" s="318"/>
      <c r="X10" s="318"/>
      <c r="Y10" s="316">
        <f>+Y11-Y12</f>
        <v>0.13744584640384677</v>
      </c>
      <c r="Z10" s="318"/>
      <c r="AA10" s="316">
        <f>+AA11-AA12</f>
        <v>8.3310506377478735E-2</v>
      </c>
      <c r="AB10" s="316">
        <f>+AB11-AB12</f>
        <v>0.10507272344382669</v>
      </c>
      <c r="AC10" s="316">
        <f>+AC11-AC12</f>
        <v>0.10907936372524796</v>
      </c>
      <c r="AD10" s="316">
        <f>+AD11-AD12</f>
        <v>0.22599208250346672</v>
      </c>
      <c r="AE10" s="316">
        <f>SUMPRODUCT(AA10:AD10,U9:X9)/Y9</f>
        <v>0.13032671280708408</v>
      </c>
      <c r="AF10" s="430"/>
      <c r="AG10" s="316">
        <f>+AG11-AG12</f>
        <v>0.16687145398860359</v>
      </c>
      <c r="AH10" s="316">
        <f>+AH11-AH12</f>
        <v>0.17822395066304247</v>
      </c>
      <c r="AI10" s="316">
        <f>+AI11-AI12</f>
        <v>9.2277089884533606E-2</v>
      </c>
      <c r="AJ10" s="316">
        <f>+AJ11-AJ12</f>
        <v>0.10566287174918587</v>
      </c>
      <c r="AK10" s="316">
        <f>SUMPRODUCT(AG10:AJ10,AA9:AD9)/AE9</f>
        <v>0.13511982386294252</v>
      </c>
      <c r="AL10" s="430"/>
      <c r="AM10" s="316">
        <f>+AM11-AM12</f>
        <v>4.2385815754159756E-2</v>
      </c>
      <c r="AN10" s="316">
        <f>+AN11-AN12</f>
        <v>8.219528730336606E-2</v>
      </c>
      <c r="AO10" s="316">
        <f>+AO11-AO12</f>
        <v>0.16949409053513567</v>
      </c>
      <c r="AP10" s="316">
        <f>+AP11-AP12</f>
        <v>0.22371303167853429</v>
      </c>
      <c r="AQ10" s="316">
        <f>SUMPRODUCT(AM10:AP10,AG9:AJ9)/AK9</f>
        <v>0.12967863103230579</v>
      </c>
      <c r="AR10" s="430"/>
      <c r="AS10" s="316">
        <f>+AS11-AS12</f>
        <v>0.19687346469856815</v>
      </c>
      <c r="AT10" s="316">
        <f>+AT11-AT12</f>
        <v>0.19682485875116687</v>
      </c>
      <c r="AU10" s="316">
        <f>+AU11-AU12</f>
        <v>0.19886674131364165</v>
      </c>
      <c r="AV10" s="316">
        <f>+AV11-AV12</f>
        <v>0.14108360432396627</v>
      </c>
      <c r="AW10" s="316">
        <f>SUMPRODUCT(AS10:AV10,AM9:AP9)/AQ9</f>
        <v>0.18180942024311955</v>
      </c>
      <c r="AX10" s="430"/>
      <c r="AY10" s="316">
        <f>+AY11-AY12</f>
        <v>0.15038618962390699</v>
      </c>
      <c r="AZ10" s="316">
        <f>+AZ11-AZ12</f>
        <v>0.16767408174344731</v>
      </c>
      <c r="BA10" s="316">
        <f>+BA11-BA12</f>
        <v>0.15098286839120845</v>
      </c>
      <c r="BB10" s="316">
        <f>+BB11-BB12</f>
        <v>0.17053815622142532</v>
      </c>
      <c r="BC10" s="316">
        <f>SUMPRODUCT(AY10:BB10,AS9:AV9)/AW9</f>
        <v>0.16028574456772035</v>
      </c>
      <c r="BD10" s="430"/>
      <c r="BE10" s="480">
        <f>UnitBuild!BE67+UnitBuild!BE94</f>
        <v>0.19844246153009665</v>
      </c>
      <c r="BF10" s="480">
        <f>UnitBuild!BF67+UnitBuild!BF94</f>
        <v>0.21721085614487542</v>
      </c>
      <c r="BG10" s="480">
        <f>UnitBuild!BG67+UnitBuild!BG94</f>
        <v>0.18682851557262781</v>
      </c>
      <c r="BH10" s="480">
        <f>UnitBuild!BH67+UnitBuild!BH94</f>
        <v>0.15315302160241498</v>
      </c>
      <c r="BI10" s="316">
        <f>SUMPRODUCT(BE10:BH10,AY9:BB9)/BC9</f>
        <v>0.18822095011311318</v>
      </c>
      <c r="BJ10" s="430"/>
      <c r="BK10" s="480">
        <f>UnitBuild!BK67+UnitBuild!BK94</f>
        <v>0.22508896797153033</v>
      </c>
      <c r="BL10" s="480">
        <f>UnitBuild!BL67+UnitBuild!BL94</f>
        <v>0.21539792387543255</v>
      </c>
      <c r="BM10" s="480">
        <f>UnitBuild!BM67+UnitBuild!BM94</f>
        <v>0.26811594202898559</v>
      </c>
      <c r="BN10" s="480">
        <f>UnitBuild!BN67+UnitBuild!BN94</f>
        <v>0.23745318352059935</v>
      </c>
      <c r="BO10" s="316">
        <f>SUMPRODUCT(BK10:BN10,BE9:BH9)/BI9</f>
        <v>0.2363934504382926</v>
      </c>
      <c r="BP10" s="430"/>
      <c r="BQ10" s="480">
        <f>UnitBuild!BQ67+UnitBuild!BQ94</f>
        <v>0.24459854014598517</v>
      </c>
      <c r="BR10" s="480">
        <f>UnitBuild!BR67+UnitBuild!BR94</f>
        <v>0.25</v>
      </c>
      <c r="BS10" s="480">
        <f>UnitBuild!BS67+UnitBuild!BS94</f>
        <v>0.25</v>
      </c>
      <c r="BT10" s="480">
        <f>UnitBuild!BT67+UnitBuild!BT94</f>
        <v>0.25</v>
      </c>
      <c r="BU10" s="316">
        <f>SUMPRODUCT(BQ10:BT10,BK9:BN9)/BO9</f>
        <v>0.24878268922864044</v>
      </c>
      <c r="BV10" s="430"/>
      <c r="BW10" s="480">
        <f>UnitBuild!BW67+UnitBuild!BW94</f>
        <v>0.16</v>
      </c>
      <c r="BX10" s="480">
        <f>UnitBuild!BX67+UnitBuild!BX94</f>
        <v>0.17</v>
      </c>
      <c r="BY10" s="480">
        <f>UnitBuild!BY67+UnitBuild!BY94</f>
        <v>0.155</v>
      </c>
      <c r="BZ10" s="480">
        <f>UnitBuild!BZ67+UnitBuild!BZ94</f>
        <v>0.14000000000000001</v>
      </c>
      <c r="CA10" s="316">
        <f>SUMPRODUCT(BW10:BZ10,BQ9:BT9)/BU9</f>
        <v>0.15606862455589579</v>
      </c>
      <c r="CB10" s="430"/>
      <c r="CC10" s="480">
        <f>UnitBuild!CC67+UnitBuild!CC94</f>
        <v>0.11</v>
      </c>
      <c r="CD10" s="480">
        <f>UnitBuild!CD67+UnitBuild!CD94</f>
        <v>0.11</v>
      </c>
      <c r="CE10" s="480">
        <f>UnitBuild!CE67+UnitBuild!CE94</f>
        <v>0.11</v>
      </c>
      <c r="CF10" s="480">
        <f>UnitBuild!CF67+UnitBuild!CF94</f>
        <v>0.11</v>
      </c>
      <c r="CG10" s="316">
        <f>SUMPRODUCT(CC10:CF10,BW9:BZ9)/CA9</f>
        <v>0.10999999999999999</v>
      </c>
    </row>
    <row r="11" spans="1:88" ht="12.75" hidden="1" customHeight="1" outlineLevel="1" x14ac:dyDescent="0.2">
      <c r="A11" s="308"/>
      <c r="B11" s="599" t="s">
        <v>299</v>
      </c>
      <c r="C11" s="600"/>
      <c r="D11" s="600"/>
      <c r="E11" s="600"/>
      <c r="F11" s="600"/>
      <c r="G11" s="600"/>
      <c r="H11" s="601"/>
      <c r="I11" s="600"/>
      <c r="J11" s="600"/>
      <c r="K11" s="600"/>
      <c r="L11" s="600"/>
      <c r="M11" s="600">
        <f>IF(ISERROR(M9/G9-1),"NM",M9/G9-1)</f>
        <v>3.9886039886039892E-2</v>
      </c>
      <c r="N11" s="601"/>
      <c r="O11" s="600"/>
      <c r="P11" s="600"/>
      <c r="Q11" s="600"/>
      <c r="R11" s="600"/>
      <c r="S11" s="600">
        <f>IF(ISERROR(S9/M9-1),"NM",S9/M9-1)</f>
        <v>-8.1017612524461824E-2</v>
      </c>
      <c r="T11" s="601"/>
      <c r="U11" s="600"/>
      <c r="V11" s="600"/>
      <c r="W11" s="600"/>
      <c r="X11" s="600"/>
      <c r="Y11" s="600">
        <f>IF(ISERROR(Y9/S9-1),"NM",Y9/S9-1)</f>
        <v>0.12734241908006805</v>
      </c>
      <c r="Z11" s="601"/>
      <c r="AA11" s="600">
        <f>IF(ISERROR(AA9/U9-1),"NM",AA9/U9-1)</f>
        <v>8.2191780821917693E-2</v>
      </c>
      <c r="AB11" s="600">
        <f>IF(ISERROR(AB9/V9-1),"NM",AB9/V9-1)</f>
        <v>0.13481481481481472</v>
      </c>
      <c r="AC11" s="600">
        <f>IF(ISERROR(AC9/W9-1),"NM",AC9/W9-1)</f>
        <v>0.12762762762762758</v>
      </c>
      <c r="AD11" s="600">
        <f>IF(ISERROR(AD9/X9-1),"NM",AD9/X9-1)</f>
        <v>0.2249614791987673</v>
      </c>
      <c r="AE11" s="600">
        <f>IF(ISERROR(AE9/Y9-1),"NM",AE9/Y9-1)</f>
        <v>0.14204760105780112</v>
      </c>
      <c r="AF11" s="601"/>
      <c r="AG11" s="600">
        <f>IF(ISERROR(AG9/AA9-1),"NM",AG9/AA9-1)</f>
        <v>0.15926863572433203</v>
      </c>
      <c r="AH11" s="600">
        <f>IF(ISERROR(AH9/AB9-1),"NM",AH9/AB9-1)</f>
        <v>0.15687989556135795</v>
      </c>
      <c r="AI11" s="600">
        <f>IF(ISERROR(AI9/AC9-1),"NM",AI9/AC9-1)</f>
        <v>6.9161118508655139E-2</v>
      </c>
      <c r="AJ11" s="600">
        <f>IF(ISERROR(AJ9/AD9-1),"NM",AJ9/AD9-1)</f>
        <v>9.7672955974842823E-2</v>
      </c>
      <c r="AK11" s="600">
        <f>IF(ISERROR(AK9/AE9-1),"NM",AK9/AE9-1)</f>
        <v>0.12007939133311285</v>
      </c>
      <c r="AL11" s="601"/>
      <c r="AM11" s="600">
        <f>IF(ISERROR(AM9/AG9-1),"NM",AM9/AG9-1)</f>
        <v>4.23420363001068E-2</v>
      </c>
      <c r="AN11" s="600">
        <f>IF(ISERROR(AN9/AH9-1),"NM",AN9/AH9-1)</f>
        <v>8.0627870498888532E-2</v>
      </c>
      <c r="AO11" s="600">
        <f>IF(ISERROR(AO9/AI9-1),"NM",AO9/AI9-1)</f>
        <v>0.17001270331531626</v>
      </c>
      <c r="AP11" s="600">
        <f>IF(ISERROR(AP9/AJ9-1),"NM",AP9/AJ9-1)</f>
        <v>0.21965278175671821</v>
      </c>
      <c r="AQ11" s="600">
        <f>IF(ISERROR(AQ9/AK9-1),"NM",AQ9/AK9-1)</f>
        <v>0.12833431777909032</v>
      </c>
      <c r="AR11" s="601"/>
      <c r="AS11" s="600">
        <f>IF(ISERROR(AS9/AM9-1),"NM",AS9/AM9-1)</f>
        <v>0.20204684712661058</v>
      </c>
      <c r="AT11" s="600">
        <f>IF(ISERROR(AT9/AN9-1),"NM",AT9/AN9-1)</f>
        <v>0.20336096597852582</v>
      </c>
      <c r="AU11" s="600">
        <f>IF(ISERROR(AU9/AO9-1),"NM",AU9/AO9-1)</f>
        <v>0.19734640481132559</v>
      </c>
      <c r="AV11" s="600">
        <f>IF(ISERROR(AV9/AP9-1),"NM",AV9/AP9-1)</f>
        <v>0.11563964184040643</v>
      </c>
      <c r="AW11" s="600">
        <f>IF(ISERROR(AW9/AQ9-1),"NM",AW9/AQ9-1)</f>
        <v>0.17714900942817313</v>
      </c>
      <c r="AX11" s="601"/>
      <c r="AY11" s="600">
        <f>IF(ISERROR(AY9/AS9-1),"NM",AY9/AS9-1)</f>
        <v>0.12376313405778672</v>
      </c>
      <c r="AZ11" s="600">
        <f>IF(ISERROR(AZ9/AT9-1),"NM",AZ9/AT9-1)</f>
        <v>0.11400217066896934</v>
      </c>
      <c r="BA11" s="600">
        <f>IF(ISERROR(BA9/AU9-1),"NM",BA9/AU9-1)</f>
        <v>0.10319039633369598</v>
      </c>
      <c r="BB11" s="600">
        <f>IF(ISERROR(BB9/AV9-1),"NM",BB9/AV9-1)</f>
        <v>0.1371265783339275</v>
      </c>
      <c r="BC11" s="600">
        <f>IF(ISERROR(BC9/AW9-1),"NM",BC9/AW9-1)</f>
        <v>0.11964481927783388</v>
      </c>
      <c r="BD11" s="601"/>
      <c r="BE11" s="600">
        <f>+BE10+BE12</f>
        <v>0.18481201818730614</v>
      </c>
      <c r="BF11" s="600">
        <f>+BF10+BF12</f>
        <v>0.21721085614487542</v>
      </c>
      <c r="BG11" s="600">
        <f>+BG10+BG12</f>
        <v>0.18682851557262781</v>
      </c>
      <c r="BH11" s="600">
        <f>+BH10+BH12</f>
        <v>0.14012517675536187</v>
      </c>
      <c r="BI11" s="600">
        <f>IF(ISERROR(BI9/BC9-1),"NM",BI9/BC9-1)</f>
        <v>0.18158610033442102</v>
      </c>
      <c r="BJ11" s="601"/>
      <c r="BK11" s="600">
        <f>+BK10+BK12</f>
        <v>0.21252194384284401</v>
      </c>
      <c r="BL11" s="600">
        <f>+BL10+BL12</f>
        <v>0.20426049543341029</v>
      </c>
      <c r="BM11" s="600">
        <f>+BM10+BM12</f>
        <v>0.2781159420289856</v>
      </c>
      <c r="BN11" s="600">
        <f>+BN10+BN12</f>
        <v>0.27745318352059933</v>
      </c>
      <c r="BO11" s="600">
        <f>IF(ISERROR(BO9/BI9-1),"NM",BO9/BI9-1)</f>
        <v>0.24338899290084659</v>
      </c>
      <c r="BP11" s="601"/>
      <c r="BQ11" s="600">
        <f>+BQ10+BQ12</f>
        <v>0.29459854014598519</v>
      </c>
      <c r="BR11" s="600">
        <f>+BR10+BR12</f>
        <v>0.30499999999999999</v>
      </c>
      <c r="BS11" s="600">
        <f>+BS10+BS12</f>
        <v>0.27500000000000002</v>
      </c>
      <c r="BT11" s="600">
        <f>+BT10+BT12</f>
        <v>0.27</v>
      </c>
      <c r="BU11" s="600">
        <f>IF(ISERROR(BU9/BO9-1),"NM",BU9/BO9-1)</f>
        <v>0.2857185990955744</v>
      </c>
      <c r="BV11" s="601"/>
      <c r="BW11" s="600">
        <f>+BW10+BW12</f>
        <v>0.16</v>
      </c>
      <c r="BX11" s="600">
        <f>+BX10+BX12</f>
        <v>0.17</v>
      </c>
      <c r="BY11" s="600">
        <f>+BY10+BY12</f>
        <v>0.155</v>
      </c>
      <c r="BZ11" s="600">
        <f>+BZ10+BZ12</f>
        <v>0.14000000000000001</v>
      </c>
      <c r="CA11" s="600">
        <f>IF(ISERROR(CA9/BU9-1),"NM",CA9/BU9-1)</f>
        <v>0.15606862455589576</v>
      </c>
      <c r="CB11" s="601"/>
      <c r="CC11" s="600">
        <f>+CC10+CC12</f>
        <v>0.11</v>
      </c>
      <c r="CD11" s="600">
        <f>+CD10+CD12</f>
        <v>0.11</v>
      </c>
      <c r="CE11" s="600">
        <f>+CE10+CE12</f>
        <v>0.11</v>
      </c>
      <c r="CF11" s="600">
        <f>+CF10+CF12</f>
        <v>0.11</v>
      </c>
      <c r="CG11" s="600">
        <f>IF(ISERROR(CG9/CA9-1),"NM",CG9/CA9-1)</f>
        <v>0.10999999999999988</v>
      </c>
    </row>
    <row r="12" spans="1:88" ht="12.75" hidden="1" customHeight="1" outlineLevel="1" x14ac:dyDescent="0.2">
      <c r="A12" s="308"/>
      <c r="B12" s="602" t="s">
        <v>110</v>
      </c>
      <c r="C12" s="603"/>
      <c r="D12" s="603"/>
      <c r="E12" s="603"/>
      <c r="F12" s="603"/>
      <c r="G12" s="603"/>
      <c r="H12" s="603"/>
      <c r="I12" s="603"/>
      <c r="J12" s="603"/>
      <c r="K12" s="603"/>
      <c r="L12" s="603"/>
      <c r="M12" s="604">
        <f>+M$59</f>
        <v>0</v>
      </c>
      <c r="N12" s="603"/>
      <c r="O12" s="603"/>
      <c r="P12" s="603"/>
      <c r="Q12" s="603"/>
      <c r="R12" s="603"/>
      <c r="S12" s="604">
        <f>+S$59</f>
        <v>-1.0249830373341096E-2</v>
      </c>
      <c r="T12" s="603"/>
      <c r="U12" s="603"/>
      <c r="V12" s="603"/>
      <c r="W12" s="603"/>
      <c r="X12" s="603"/>
      <c r="Y12" s="603">
        <f>+Y$59</f>
        <v>-1.0103427323778721E-2</v>
      </c>
      <c r="Z12" s="603"/>
      <c r="AA12" s="603">
        <f>+AA$59</f>
        <v>-1.1187255555610426E-3</v>
      </c>
      <c r="AB12" s="603">
        <f>+AB$59</f>
        <v>2.9742091370988034E-2</v>
      </c>
      <c r="AC12" s="603">
        <f>+AC$59</f>
        <v>1.8548263902379618E-2</v>
      </c>
      <c r="AD12" s="603">
        <f>+AD$59</f>
        <v>-1.0306033046994286E-3</v>
      </c>
      <c r="AE12" s="603">
        <f>+AE11-AE10</f>
        <v>1.1720888250717043E-2</v>
      </c>
      <c r="AF12" s="603"/>
      <c r="AG12" s="603">
        <f>+AG$59</f>
        <v>-7.6028182642715559E-3</v>
      </c>
      <c r="AH12" s="603">
        <f>+AH$59</f>
        <v>-2.1344055101684519E-2</v>
      </c>
      <c r="AI12" s="603">
        <f>+AI$59</f>
        <v>-2.3115971375878466E-2</v>
      </c>
      <c r="AJ12" s="603">
        <f>+AJ$59</f>
        <v>-7.9899157743430413E-3</v>
      </c>
      <c r="AK12" s="603">
        <f>+AK11-AK10</f>
        <v>-1.5040432529829673E-2</v>
      </c>
      <c r="AL12" s="603"/>
      <c r="AM12" s="603">
        <f>+AM$59</f>
        <v>-4.3779454052956775E-5</v>
      </c>
      <c r="AN12" s="603">
        <f>+AN$59</f>
        <v>-1.5674168044775352E-3</v>
      </c>
      <c r="AO12" s="603">
        <f>+AO$59</f>
        <v>5.1861278018057629E-4</v>
      </c>
      <c r="AP12" s="603">
        <f>+AP$59</f>
        <v>-4.0602499218160906E-3</v>
      </c>
      <c r="AQ12" s="603">
        <f>+AQ11-AQ10</f>
        <v>-1.3443132532154622E-3</v>
      </c>
      <c r="AR12" s="603"/>
      <c r="AS12" s="603">
        <f>+AS$59</f>
        <v>5.173382428042439E-3</v>
      </c>
      <c r="AT12" s="603">
        <f>+AT$59</f>
        <v>6.5361072273589583E-3</v>
      </c>
      <c r="AU12" s="603">
        <f>+AU$59</f>
        <v>-1.5203365023160557E-3</v>
      </c>
      <c r="AV12" s="603">
        <f>+AV$59</f>
        <v>-2.5443962483559856E-2</v>
      </c>
      <c r="AW12" s="603">
        <f>+AW11-AW10</f>
        <v>-4.6604108149464196E-3</v>
      </c>
      <c r="AX12" s="603"/>
      <c r="AY12" s="603">
        <f>+AY$59</f>
        <v>-2.6623055566120258E-2</v>
      </c>
      <c r="AZ12" s="603">
        <f>+AZ$59</f>
        <v>-5.3671911074477975E-2</v>
      </c>
      <c r="BA12" s="603">
        <f>+BA$59</f>
        <v>-4.7792472057512483E-2</v>
      </c>
      <c r="BB12" s="603">
        <f>+BB$59</f>
        <v>-3.341157788749783E-2</v>
      </c>
      <c r="BC12" s="603">
        <f>+BC11-BC10</f>
        <v>-4.064092528988647E-2</v>
      </c>
      <c r="BD12" s="603"/>
      <c r="BE12" s="603">
        <f>+BE$59</f>
        <v>-1.3630443342790505E-2</v>
      </c>
      <c r="BF12" s="603">
        <f>+BF$59</f>
        <v>0</v>
      </c>
      <c r="BG12" s="603">
        <f>+BG$59</f>
        <v>0</v>
      </c>
      <c r="BH12" s="603">
        <f>+BH$59</f>
        <v>-1.3027844847053102E-2</v>
      </c>
      <c r="BI12" s="603">
        <f>+BI11-BI10</f>
        <v>-6.6348497786921645E-3</v>
      </c>
      <c r="BJ12" s="603"/>
      <c r="BK12" s="603">
        <f>+BK$59</f>
        <v>-1.2567024128686327E-2</v>
      </c>
      <c r="BL12" s="603">
        <f>+BL$59</f>
        <v>-1.1137428442022259E-2</v>
      </c>
      <c r="BM12" s="603">
        <f>+BM$59</f>
        <v>0.01</v>
      </c>
      <c r="BN12" s="603">
        <f>+BN$59</f>
        <v>0.04</v>
      </c>
      <c r="BO12" s="603">
        <f>+BO11-BO10</f>
        <v>6.9955424625539886E-3</v>
      </c>
      <c r="BP12" s="603"/>
      <c r="BQ12" s="603">
        <f>+BQ$59</f>
        <v>0.05</v>
      </c>
      <c r="BR12" s="603">
        <f>+BR$59</f>
        <v>5.5E-2</v>
      </c>
      <c r="BS12" s="603">
        <f>+BS$59</f>
        <v>2.5000000000000001E-2</v>
      </c>
      <c r="BT12" s="603">
        <f>+BT$59</f>
        <v>0.02</v>
      </c>
      <c r="BU12" s="603">
        <f>+BU11-BU10</f>
        <v>3.6935909866933958E-2</v>
      </c>
      <c r="BV12" s="603"/>
      <c r="BW12" s="603">
        <f>+BW$59</f>
        <v>0</v>
      </c>
      <c r="BX12" s="603">
        <f>+BX$59</f>
        <v>0</v>
      </c>
      <c r="BY12" s="603">
        <f>+BY$59</f>
        <v>0</v>
      </c>
      <c r="BZ12" s="603">
        <f>+BZ$59</f>
        <v>0</v>
      </c>
      <c r="CA12" s="603">
        <f>+CA11-CA10</f>
        <v>0</v>
      </c>
      <c r="CB12" s="603"/>
      <c r="CC12" s="603">
        <f>+CC$59</f>
        <v>0</v>
      </c>
      <c r="CD12" s="603">
        <f>+CD$59</f>
        <v>0</v>
      </c>
      <c r="CE12" s="603">
        <f>+CE$59</f>
        <v>0</v>
      </c>
      <c r="CF12" s="603">
        <f>+CF$59</f>
        <v>0</v>
      </c>
      <c r="CG12" s="603">
        <f>+CG11-CG10</f>
        <v>-1.1102230246251565E-16</v>
      </c>
    </row>
    <row r="13" spans="1:88" s="42" customFormat="1" ht="6.75" customHeight="1" collapsed="1" x14ac:dyDescent="0.2">
      <c r="A13" s="308"/>
      <c r="B13" s="308"/>
      <c r="C13" s="316"/>
      <c r="D13" s="316"/>
      <c r="E13" s="316"/>
      <c r="F13" s="316"/>
      <c r="G13" s="316"/>
      <c r="H13" s="236"/>
      <c r="I13" s="316"/>
      <c r="J13" s="316"/>
      <c r="K13" s="316"/>
      <c r="L13" s="316"/>
      <c r="M13" s="316"/>
      <c r="N13" s="236"/>
      <c r="O13" s="316"/>
      <c r="P13" s="316"/>
      <c r="Q13" s="316"/>
      <c r="R13" s="316"/>
      <c r="S13" s="316"/>
      <c r="T13" s="236"/>
      <c r="U13" s="316"/>
      <c r="V13" s="316"/>
      <c r="W13" s="316"/>
      <c r="X13" s="316"/>
      <c r="Y13" s="316"/>
      <c r="Z13" s="316"/>
      <c r="AA13" s="38"/>
      <c r="AB13" s="38"/>
      <c r="AC13" s="38"/>
      <c r="AD13" s="38"/>
      <c r="AE13" s="38"/>
      <c r="AF13" s="236"/>
      <c r="AG13" s="38"/>
      <c r="AH13" s="38"/>
      <c r="AI13" s="38"/>
      <c r="AJ13" s="38"/>
      <c r="AK13" s="38"/>
      <c r="AL13" s="236"/>
      <c r="AM13" s="38"/>
      <c r="AN13" s="38"/>
      <c r="AO13" s="316"/>
      <c r="AP13" s="38"/>
      <c r="AQ13" s="316"/>
      <c r="AR13" s="236"/>
      <c r="AS13" s="38"/>
      <c r="AT13" s="316"/>
      <c r="AU13" s="316"/>
      <c r="AV13" s="316"/>
      <c r="AW13" s="316"/>
      <c r="AX13" s="236"/>
      <c r="AY13" s="316"/>
      <c r="AZ13" s="316"/>
      <c r="BA13" s="316"/>
      <c r="BB13" s="316"/>
      <c r="BC13" s="316"/>
      <c r="BD13" s="236"/>
      <c r="BE13" s="316"/>
      <c r="BF13" s="316"/>
      <c r="BG13" s="316"/>
      <c r="BH13" s="316"/>
      <c r="BI13" s="316"/>
      <c r="BJ13" s="236"/>
      <c r="BK13" s="316"/>
      <c r="BL13" s="316"/>
      <c r="BM13" s="316"/>
      <c r="BN13" s="316"/>
      <c r="BO13" s="316"/>
      <c r="BP13" s="236"/>
      <c r="BQ13" s="316"/>
      <c r="BR13" s="316"/>
      <c r="BS13" s="316"/>
      <c r="BT13" s="316"/>
      <c r="BU13" s="316"/>
      <c r="BV13" s="236"/>
      <c r="BW13" s="316"/>
      <c r="BX13" s="316"/>
      <c r="BY13" s="316"/>
      <c r="BZ13" s="316"/>
      <c r="CA13" s="316"/>
      <c r="CB13" s="236"/>
      <c r="CC13" s="316"/>
      <c r="CD13" s="316"/>
      <c r="CE13" s="316"/>
      <c r="CF13" s="316"/>
      <c r="CG13" s="316"/>
    </row>
    <row r="14" spans="1:88" s="42" customFormat="1" ht="12.75" customHeight="1" x14ac:dyDescent="0.2">
      <c r="A14" s="402"/>
      <c r="B14" s="314" t="s">
        <v>538</v>
      </c>
      <c r="C14" s="403"/>
      <c r="D14" s="403"/>
      <c r="E14" s="403"/>
      <c r="F14" s="404"/>
      <c r="G14" s="403">
        <v>22.2</v>
      </c>
      <c r="H14" s="252"/>
      <c r="I14" s="403"/>
      <c r="J14" s="403"/>
      <c r="K14" s="403"/>
      <c r="L14" s="403"/>
      <c r="M14" s="403">
        <v>23.5</v>
      </c>
      <c r="N14" s="252"/>
      <c r="O14" s="403"/>
      <c r="P14" s="403"/>
      <c r="Q14" s="403"/>
      <c r="R14" s="403"/>
      <c r="S14" s="403">
        <v>29</v>
      </c>
      <c r="T14" s="252"/>
      <c r="U14" s="403">
        <v>8.6</v>
      </c>
      <c r="V14" s="403">
        <v>8.8000000000000007</v>
      </c>
      <c r="W14" s="403">
        <v>8.9</v>
      </c>
      <c r="X14" s="403">
        <v>8.3000000000000007</v>
      </c>
      <c r="Y14" s="38">
        <f>+SUM(U14:X14)</f>
        <v>34.599999999999994</v>
      </c>
      <c r="Z14" s="252"/>
      <c r="AA14" s="417">
        <v>10.1</v>
      </c>
      <c r="AB14" s="417">
        <v>11.1</v>
      </c>
      <c r="AC14" s="417">
        <v>10.5</v>
      </c>
      <c r="AD14" s="417">
        <v>10.9</v>
      </c>
      <c r="AE14" s="38">
        <f>+SUM(AA14:AD14)</f>
        <v>42.6</v>
      </c>
      <c r="AF14" s="252"/>
      <c r="AG14" s="417">
        <v>11.805999999999999</v>
      </c>
      <c r="AH14" s="417">
        <v>13.632</v>
      </c>
      <c r="AI14" s="417">
        <v>12.779</v>
      </c>
      <c r="AJ14" s="417">
        <v>13.269</v>
      </c>
      <c r="AK14" s="38">
        <f>+SUM(AG14:AJ14)</f>
        <v>51.485999999999997</v>
      </c>
      <c r="AL14" s="252"/>
      <c r="AM14" s="417">
        <v>16.082999999999998</v>
      </c>
      <c r="AN14" s="417">
        <v>19.158000000000001</v>
      </c>
      <c r="AO14" s="417">
        <v>17.702000000000002</v>
      </c>
      <c r="AP14" s="417">
        <v>19.475000000000001</v>
      </c>
      <c r="AQ14" s="38">
        <f>+SUM(AM14:AP14)</f>
        <v>72.418000000000006</v>
      </c>
      <c r="AR14" s="252"/>
      <c r="AS14" s="417">
        <v>19.625</v>
      </c>
      <c r="AT14" s="417">
        <v>20.478000000000002</v>
      </c>
      <c r="AU14" s="417">
        <v>19.204999999999998</v>
      </c>
      <c r="AV14" s="417">
        <v>21.29</v>
      </c>
      <c r="AW14" s="38">
        <f>+SUM(AS14:AV14)</f>
        <v>80.597999999999999</v>
      </c>
      <c r="AX14" s="252"/>
      <c r="AY14" s="754">
        <v>20.798999999999999</v>
      </c>
      <c r="AZ14" s="754">
        <v>22</v>
      </c>
      <c r="BA14" s="754">
        <v>20</v>
      </c>
      <c r="BB14" s="754">
        <v>24.5</v>
      </c>
      <c r="BC14" s="38">
        <f>+SUM(AY14:BB14)</f>
        <v>87.299000000000007</v>
      </c>
      <c r="BD14" s="252"/>
      <c r="BE14" s="38">
        <f>+AY14*(1+BE16)</f>
        <v>26.393645658913293</v>
      </c>
      <c r="BF14" s="38">
        <f>+AZ14*(1+BF16)</f>
        <v>29.761003249999998</v>
      </c>
      <c r="BG14" s="763">
        <f>+BA14*(1+BG16)</f>
        <v>26.602870000000003</v>
      </c>
      <c r="BH14" s="38">
        <f>+BB14*(1+BH16)</f>
        <v>31.201847721247194</v>
      </c>
      <c r="BI14" s="38">
        <f>+SUM(BE14:BH14)</f>
        <v>113.95936663016047</v>
      </c>
      <c r="BJ14" s="252"/>
      <c r="BK14" s="38">
        <f>+BE14*(1+BK16)</f>
        <v>38.619533962537048</v>
      </c>
      <c r="BL14" s="38">
        <f>+BF14*(1+BL16)</f>
        <v>44.621416177081954</v>
      </c>
      <c r="BM14" s="38">
        <f>+BG14*(1+BM16)</f>
        <v>42.501997011764708</v>
      </c>
      <c r="BN14" s="38">
        <f>+BH14*(1+BN16)</f>
        <v>54.048533997138193</v>
      </c>
      <c r="BO14" s="38">
        <f>+SUM(BK14:BN14)</f>
        <v>179.79148114852188</v>
      </c>
      <c r="BP14" s="252"/>
      <c r="BQ14" s="38">
        <f>+BK14*(1+BQ16)</f>
        <v>63.034181869888059</v>
      </c>
      <c r="BR14" s="38">
        <f>+BL14*(1+BR16)</f>
        <v>66.262803022966693</v>
      </c>
      <c r="BS14" s="38">
        <f>+BM14*(1+BS16)</f>
        <v>61.415385682000007</v>
      </c>
      <c r="BT14" s="38">
        <f>+BN14*(1+BT16)</f>
        <v>76.748918275936234</v>
      </c>
      <c r="BU14" s="38">
        <f>+SUM(BQ14:BT14)</f>
        <v>267.46128885079099</v>
      </c>
      <c r="BV14" s="252"/>
      <c r="BW14" s="38">
        <f>+BQ14*(1+BW16)</f>
        <v>92.660247348735439</v>
      </c>
      <c r="BX14" s="38">
        <f>+BR14*(1+BX16)</f>
        <v>97.406320443761032</v>
      </c>
      <c r="BY14" s="38">
        <f>+BS14*(1+BY16)</f>
        <v>90.280616952540015</v>
      </c>
      <c r="BZ14" s="38">
        <f>+BT14*(1+BZ16)</f>
        <v>112.82090986562626</v>
      </c>
      <c r="CA14" s="38">
        <f>+SUM(BW14:BZ14)</f>
        <v>393.16809461066276</v>
      </c>
      <c r="CB14" s="252"/>
      <c r="CC14" s="38">
        <f>+BW14*(1+CC16)</f>
        <v>126.94453886776756</v>
      </c>
      <c r="CD14" s="38">
        <f>+BX14*(1+CD16)</f>
        <v>133.44665900795263</v>
      </c>
      <c r="CE14" s="38">
        <f>+BY14*(1+CE16)</f>
        <v>123.68444522497983</v>
      </c>
      <c r="CF14" s="38">
        <f>+BZ14*(1+CF16)</f>
        <v>154.56464651590798</v>
      </c>
      <c r="CG14" s="38">
        <f>+SUM(CC14:CF14)</f>
        <v>538.64028961660802</v>
      </c>
      <c r="CH14" s="408"/>
    </row>
    <row r="15" spans="1:88" s="42" customFormat="1" ht="12.75" customHeight="1" x14ac:dyDescent="0.2">
      <c r="A15" s="308"/>
      <c r="B15" s="268" t="s">
        <v>111</v>
      </c>
      <c r="C15" s="318"/>
      <c r="D15" s="318"/>
      <c r="E15" s="318"/>
      <c r="F15" s="318"/>
      <c r="G15" s="318"/>
      <c r="H15" s="318"/>
      <c r="I15" s="318"/>
      <c r="J15" s="318"/>
      <c r="K15" s="318"/>
      <c r="L15" s="318"/>
      <c r="M15" s="316">
        <f>+M16-M17</f>
        <v>5.8558558558558627E-2</v>
      </c>
      <c r="N15" s="318"/>
      <c r="O15" s="318"/>
      <c r="P15" s="318"/>
      <c r="Q15" s="318"/>
      <c r="R15" s="318"/>
      <c r="S15" s="316">
        <f>+S16-S17</f>
        <v>0.24429238356483046</v>
      </c>
      <c r="T15" s="318"/>
      <c r="U15" s="318"/>
      <c r="V15" s="318"/>
      <c r="W15" s="318"/>
      <c r="X15" s="318"/>
      <c r="Y15" s="316">
        <f>+Y16-Y17</f>
        <v>0.20320687559964051</v>
      </c>
      <c r="Z15" s="318"/>
      <c r="AA15" s="316">
        <f>+AA16-AA17</f>
        <v>0.17553733020672391</v>
      </c>
      <c r="AB15" s="316">
        <f>+AB16-AB17</f>
        <v>0.2316215449926482</v>
      </c>
      <c r="AC15" s="316">
        <f>+AC16-AC17</f>
        <v>0.16122701699649677</v>
      </c>
      <c r="AD15" s="316">
        <f>+AD16-AD17</f>
        <v>0.31428361535289212</v>
      </c>
      <c r="AE15" s="316">
        <f>SUMPRODUCT(AA15:AD15,U14:X14)/Y14</f>
        <v>0.2194036154454034</v>
      </c>
      <c r="AF15" s="430"/>
      <c r="AG15" s="316">
        <f>+AG16-AG17</f>
        <v>0.1765137093533804</v>
      </c>
      <c r="AH15" s="316">
        <f>+AH16-AH17</f>
        <v>0.24945216320979274</v>
      </c>
      <c r="AI15" s="316">
        <f>+AI16-AI17</f>
        <v>0.24016359042349739</v>
      </c>
      <c r="AJ15" s="316">
        <f>+AJ16-AJ17</f>
        <v>0.22532936531562742</v>
      </c>
      <c r="AK15" s="316">
        <f>SUMPRODUCT(AG15:AJ15,AA14:AD14)/AE14</f>
        <v>0.22369754125551414</v>
      </c>
      <c r="AL15" s="430"/>
      <c r="AM15" s="316">
        <f>+AM16-AM17</f>
        <v>0.36231719974881826</v>
      </c>
      <c r="AN15" s="316">
        <f>+AN16-AN17</f>
        <v>0.40693713511433677</v>
      </c>
      <c r="AO15" s="316">
        <f>+AO16-AO17</f>
        <v>0.3847227989108753</v>
      </c>
      <c r="AP15" s="316">
        <f>+AP16-AP17</f>
        <v>0.47176693467575403</v>
      </c>
      <c r="AQ15" s="316">
        <f>SUMPRODUCT(AM15:AP15,AG14:AJ14)/AK14</f>
        <v>0.40789985606976348</v>
      </c>
      <c r="AR15" s="430"/>
      <c r="AS15" s="316">
        <f>+AS16-AS17</f>
        <v>0.2150591612516195</v>
      </c>
      <c r="AT15" s="316">
        <f>+AT16-AT17</f>
        <v>6.2364613098353637E-2</v>
      </c>
      <c r="AU15" s="316">
        <f>+AU16-AU17</f>
        <v>8.6425996879674422E-2</v>
      </c>
      <c r="AV15" s="316">
        <f>+AV16-AV17</f>
        <v>0.11864036813182667</v>
      </c>
      <c r="AW15" s="316">
        <f>SUMPRODUCT(AS15:AV15,AM14:AP14)/AQ14</f>
        <v>0.11729144569415584</v>
      </c>
      <c r="AX15" s="430"/>
      <c r="AY15" s="316">
        <f>+AY16-AY17</f>
        <v>8.6444711617075717E-2</v>
      </c>
      <c r="AZ15" s="316">
        <f>+AZ16-AZ17</f>
        <v>0.12799557549483151</v>
      </c>
      <c r="BA15" s="316">
        <f>+BA16-BA17</f>
        <v>8.9187941987218369E-2</v>
      </c>
      <c r="BB15" s="316">
        <f>+BB16-BB17</f>
        <v>0.18418658963009993</v>
      </c>
      <c r="BC15" s="316">
        <f>SUMPRODUCT(AY15:BB15,AS14:AV14)/AW14</f>
        <v>0.12347400406409124</v>
      </c>
      <c r="BD15" s="430"/>
      <c r="BE15" s="480">
        <f>UnitBuild!BE72+UnitBuild!BE97</f>
        <v>0.28261672436174801</v>
      </c>
      <c r="BF15" s="480">
        <f>UnitBuild!BF72+UnitBuild!BF97</f>
        <v>0.35277287499999999</v>
      </c>
      <c r="BG15" s="480">
        <f>UnitBuild!BG72+UnitBuild!BG97</f>
        <v>0.33014350000000015</v>
      </c>
      <c r="BH15" s="480">
        <f>UnitBuild!BH72+UnitBuild!BH97</f>
        <v>0.28657264979591834</v>
      </c>
      <c r="BI15" s="316">
        <f>SUMPRODUCT(BE15:BH15,AY14:BB14)/BC14</f>
        <v>0.31229508264699479</v>
      </c>
      <c r="BJ15" s="430"/>
      <c r="BK15" s="480">
        <f>UnitBuild!BK72+UnitBuild!BK97</f>
        <v>0.47578034682080927</v>
      </c>
      <c r="BL15" s="480">
        <f>UnitBuild!BL72+UnitBuild!BL97</f>
        <v>0.51046242774566486</v>
      </c>
      <c r="BM15" s="480">
        <f>UnitBuild!BM72+UnitBuild!BM97</f>
        <v>0.58764705882352941</v>
      </c>
      <c r="BN15" s="480">
        <f>UnitBuild!BN72+UnitBuild!BN97</f>
        <v>0.69222222222222207</v>
      </c>
      <c r="BO15" s="316">
        <f>SUMPRODUCT(BK15:BN15,BE14:BH14)/BI14</f>
        <v>0.57021344060552925</v>
      </c>
      <c r="BP15" s="430"/>
      <c r="BQ15" s="480">
        <f>UnitBuild!BQ72+UnitBuild!BQ97</f>
        <v>0.58218390804597697</v>
      </c>
      <c r="BR15" s="480">
        <f>UnitBuild!BR72+UnitBuild!BR97</f>
        <v>0.43</v>
      </c>
      <c r="BS15" s="480">
        <f>UnitBuild!BS72+UnitBuild!BS97</f>
        <v>0.42</v>
      </c>
      <c r="BT15" s="480">
        <f>UnitBuild!BT72+UnitBuild!BT97</f>
        <v>0.4</v>
      </c>
      <c r="BU15" s="316">
        <f>SUMPRODUCT(BQ15:BT15,BK14:BN14)/BO14</f>
        <v>0.4513068805642515</v>
      </c>
      <c r="BV15" s="430"/>
      <c r="BW15" s="480">
        <f>UnitBuild!BW72+UnitBuild!BW97</f>
        <v>0.47</v>
      </c>
      <c r="BX15" s="480">
        <f>UnitBuild!BX72+UnitBuild!BX97</f>
        <v>0.47</v>
      </c>
      <c r="BY15" s="480">
        <f>UnitBuild!BY72+UnitBuild!BY97</f>
        <v>0.47</v>
      </c>
      <c r="BZ15" s="480">
        <f>UnitBuild!BZ72+UnitBuild!BZ97</f>
        <v>0.47</v>
      </c>
      <c r="CA15" s="316">
        <f>SUMPRODUCT(BW15:BZ15,BQ14:BT14)/BU14</f>
        <v>0.47</v>
      </c>
      <c r="CB15" s="430"/>
      <c r="CC15" s="480">
        <f>UnitBuild!CC72+UnitBuild!CC97</f>
        <v>0.37</v>
      </c>
      <c r="CD15" s="480">
        <f>UnitBuild!CD72+UnitBuild!CD97</f>
        <v>0.37</v>
      </c>
      <c r="CE15" s="480">
        <f>UnitBuild!CE72+UnitBuild!CE97</f>
        <v>0.37</v>
      </c>
      <c r="CF15" s="480">
        <f>UnitBuild!CF72+UnitBuild!CF97</f>
        <v>0.37</v>
      </c>
      <c r="CG15" s="316">
        <f>SUMPRODUCT(CC15:CF15,BW14:BZ14)/CA14</f>
        <v>0.36999999999999994</v>
      </c>
    </row>
    <row r="16" spans="1:88" ht="12.75" hidden="1" customHeight="1" outlineLevel="1" x14ac:dyDescent="0.2">
      <c r="A16" s="308"/>
      <c r="B16" s="599" t="s">
        <v>299</v>
      </c>
      <c r="C16" s="600"/>
      <c r="D16" s="600"/>
      <c r="E16" s="600"/>
      <c r="F16" s="600"/>
      <c r="G16" s="600"/>
      <c r="H16" s="601"/>
      <c r="I16" s="600"/>
      <c r="J16" s="600"/>
      <c r="K16" s="600"/>
      <c r="L16" s="600"/>
      <c r="M16" s="600">
        <f>IF(ISERROR(M14/G14-1),"NM",M14/G14-1)</f>
        <v>5.8558558558558627E-2</v>
      </c>
      <c r="N16" s="601"/>
      <c r="O16" s="600"/>
      <c r="P16" s="600"/>
      <c r="Q16" s="600"/>
      <c r="R16" s="600"/>
      <c r="S16" s="600">
        <f>IF(ISERROR(S14/M14-1),"NM",S14/M14-1)</f>
        <v>0.23404255319148937</v>
      </c>
      <c r="T16" s="601"/>
      <c r="U16" s="600"/>
      <c r="V16" s="600"/>
      <c r="W16" s="600"/>
      <c r="X16" s="600"/>
      <c r="Y16" s="600">
        <f>IF(ISERROR(Y14/S14-1),"NM",Y14/S14-1)</f>
        <v>0.19310344827586179</v>
      </c>
      <c r="Z16" s="601"/>
      <c r="AA16" s="600">
        <f>IF(ISERROR(AA14/U14-1),"NM",AA14/U14-1)</f>
        <v>0.17441860465116288</v>
      </c>
      <c r="AB16" s="600">
        <f>IF(ISERROR(AB14/V14-1),"NM",AB14/V14-1)</f>
        <v>0.26136363636363624</v>
      </c>
      <c r="AC16" s="600">
        <f>IF(ISERROR(AC14/W14-1),"NM",AC14/W14-1)</f>
        <v>0.1797752808988764</v>
      </c>
      <c r="AD16" s="600">
        <f>IF(ISERROR(AD14/X14-1),"NM",AD14/X14-1)</f>
        <v>0.31325301204819267</v>
      </c>
      <c r="AE16" s="600">
        <f>IF(ISERROR(AE14/Y14-1),"NM",AE14/Y14-1)</f>
        <v>0.23121387283237027</v>
      </c>
      <c r="AF16" s="601"/>
      <c r="AG16" s="600">
        <f>IF(ISERROR(AG14/AA14-1),"NM",AG14/AA14-1)</f>
        <v>0.16891089108910884</v>
      </c>
      <c r="AH16" s="600">
        <f>IF(ISERROR(AH14/AB14-1),"NM",AH14/AB14-1)</f>
        <v>0.22810810810810822</v>
      </c>
      <c r="AI16" s="600">
        <f>IF(ISERROR(AI14/AC14-1),"NM",AI14/AC14-1)</f>
        <v>0.21704761904761893</v>
      </c>
      <c r="AJ16" s="600">
        <f>IF(ISERROR(AJ14/AD14-1),"NM",AJ14/AD14-1)</f>
        <v>0.21733944954128437</v>
      </c>
      <c r="AK16" s="600">
        <f>IF(ISERROR(AK14/AE14-1),"NM",AK14/AE14-1)</f>
        <v>0.20859154929577461</v>
      </c>
      <c r="AL16" s="601"/>
      <c r="AM16" s="600">
        <f>IF(ISERROR(AM14/AG14-1),"NM",AM14/AG14-1)</f>
        <v>0.36227342029476528</v>
      </c>
      <c r="AN16" s="600">
        <f>IF(ISERROR(AN14/AH14-1),"NM",AN14/AH14-1)</f>
        <v>0.40536971830985924</v>
      </c>
      <c r="AO16" s="600">
        <f>IF(ISERROR(AO14/AI14-1),"NM",AO14/AI14-1)</f>
        <v>0.38524141169105586</v>
      </c>
      <c r="AP16" s="600">
        <f>IF(ISERROR(AP14/AJ14-1),"NM",AP14/AJ14-1)</f>
        <v>0.46770668475393795</v>
      </c>
      <c r="AQ16" s="600">
        <f>IF(ISERROR(AQ14/AK14-1),"NM",AQ14/AK14-1)</f>
        <v>0.40655712232451569</v>
      </c>
      <c r="AR16" s="601"/>
      <c r="AS16" s="600">
        <f>IF(ISERROR(AS14/AM14-1),"NM",AS14/AM14-1)</f>
        <v>0.22023254367966194</v>
      </c>
      <c r="AT16" s="600">
        <f>IF(ISERROR(AT14/AN14-1),"NM",AT14/AN14-1)</f>
        <v>6.8900720325712594E-2</v>
      </c>
      <c r="AU16" s="600">
        <f>IF(ISERROR(AU14/AO14-1),"NM",AU14/AO14-1)</f>
        <v>8.4905660377358361E-2</v>
      </c>
      <c r="AV16" s="600">
        <f>IF(ISERROR(AV14/AP14-1),"NM",AV14/AP14-1)</f>
        <v>9.3196405648266811E-2</v>
      </c>
      <c r="AW16" s="600">
        <f>IF(ISERROR(AW14/AQ14-1),"NM",AW14/AQ14-1)</f>
        <v>0.11295534259438256</v>
      </c>
      <c r="AX16" s="601"/>
      <c r="AY16" s="600">
        <f>IF(ISERROR(AY14/AS14-1),"NM",AY14/AS14-1)</f>
        <v>5.9821656050955463E-2</v>
      </c>
      <c r="AZ16" s="600">
        <f>IF(ISERROR(AZ14/AT14-1),"NM",AZ14/AT14-1)</f>
        <v>7.4323664420353541E-2</v>
      </c>
      <c r="BA16" s="600">
        <f>IF(ISERROR(BA14/AU14-1),"NM",BA14/AU14-1)</f>
        <v>4.1395469929705886E-2</v>
      </c>
      <c r="BB16" s="600">
        <f>IF(ISERROR(BB14/AV14-1),"NM",BB14/AV14-1)</f>
        <v>0.15077501174260211</v>
      </c>
      <c r="BC16" s="600">
        <f>IF(ISERROR(BC14/AW14-1),"NM",BC14/AW14-1)</f>
        <v>8.3141020869004212E-2</v>
      </c>
      <c r="BD16" s="601"/>
      <c r="BE16" s="600">
        <f>+BE15+BE17</f>
        <v>0.2689862810189575</v>
      </c>
      <c r="BF16" s="600">
        <f>+BF15+BF17</f>
        <v>0.35277287499999999</v>
      </c>
      <c r="BG16" s="600">
        <f>+BG15+BG17</f>
        <v>0.33014350000000015</v>
      </c>
      <c r="BH16" s="600">
        <f>+BH15+BH17</f>
        <v>0.27354480494886524</v>
      </c>
      <c r="BI16" s="600">
        <f>IF(ISERROR(BI14/BC14-1),"NM",BI14/BC14-1)</f>
        <v>0.30539143209155273</v>
      </c>
      <c r="BJ16" s="601"/>
      <c r="BK16" s="600">
        <f>+BK15+BK17</f>
        <v>0.46321332269212295</v>
      </c>
      <c r="BL16" s="600">
        <f>+BL15+BL17</f>
        <v>0.4993249993036426</v>
      </c>
      <c r="BM16" s="600">
        <f>+BM15+BM17</f>
        <v>0.59764705882352942</v>
      </c>
      <c r="BN16" s="600">
        <f>+BN15+BN17</f>
        <v>0.73222222222222211</v>
      </c>
      <c r="BO16" s="600">
        <f>IF(ISERROR(BO14/BI14-1),"NM",BO14/BI14-1)</f>
        <v>0.57768059322416665</v>
      </c>
      <c r="BP16" s="601"/>
      <c r="BQ16" s="600">
        <f>+BQ15+BQ17</f>
        <v>0.63218390804597702</v>
      </c>
      <c r="BR16" s="600">
        <f>+BR15+BR17</f>
        <v>0.48499999999999999</v>
      </c>
      <c r="BS16" s="600">
        <f>+BS15+BS17</f>
        <v>0.44500000000000001</v>
      </c>
      <c r="BT16" s="600">
        <f>+BT15+BT17</f>
        <v>0.42000000000000004</v>
      </c>
      <c r="BU16" s="600">
        <f>IF(ISERROR(BU14/BO14-1),"NM",BU14/BO14-1)</f>
        <v>0.4876193640667934</v>
      </c>
      <c r="BV16" s="601"/>
      <c r="BW16" s="600">
        <f>+BW15+BW17</f>
        <v>0.47</v>
      </c>
      <c r="BX16" s="600">
        <f>+BX15+BX17</f>
        <v>0.47</v>
      </c>
      <c r="BY16" s="600">
        <f>+BY15+BY17</f>
        <v>0.47</v>
      </c>
      <c r="BZ16" s="600">
        <f>+BZ15+BZ17</f>
        <v>0.47</v>
      </c>
      <c r="CA16" s="600">
        <f>IF(ISERROR(CA14/BU14-1),"NM",CA14/BU14-1)</f>
        <v>0.47</v>
      </c>
      <c r="CB16" s="601"/>
      <c r="CC16" s="600">
        <f>+CC15+CC17</f>
        <v>0.37</v>
      </c>
      <c r="CD16" s="600">
        <f>+CD15+CD17</f>
        <v>0.37</v>
      </c>
      <c r="CE16" s="600">
        <f>+CE15+CE17</f>
        <v>0.37</v>
      </c>
      <c r="CF16" s="600">
        <f>+CF15+CF17</f>
        <v>0.37</v>
      </c>
      <c r="CG16" s="600">
        <f>IF(ISERROR(CG14/CA14-1),"NM",CG14/CA14-1)</f>
        <v>0.37000000000000011</v>
      </c>
    </row>
    <row r="17" spans="1:88" ht="12.75" hidden="1" customHeight="1" outlineLevel="1" x14ac:dyDescent="0.2">
      <c r="A17" s="308"/>
      <c r="B17" s="602" t="s">
        <v>110</v>
      </c>
      <c r="C17" s="603"/>
      <c r="D17" s="603"/>
      <c r="E17" s="603"/>
      <c r="F17" s="603"/>
      <c r="G17" s="603"/>
      <c r="H17" s="603"/>
      <c r="I17" s="603"/>
      <c r="J17" s="603"/>
      <c r="K17" s="603"/>
      <c r="L17" s="603"/>
      <c r="M17" s="604">
        <f>+M$59</f>
        <v>0</v>
      </c>
      <c r="N17" s="603"/>
      <c r="O17" s="603"/>
      <c r="P17" s="603"/>
      <c r="Q17" s="603"/>
      <c r="R17" s="603"/>
      <c r="S17" s="604">
        <f>+S$59</f>
        <v>-1.0249830373341096E-2</v>
      </c>
      <c r="T17" s="603"/>
      <c r="U17" s="603"/>
      <c r="V17" s="603"/>
      <c r="W17" s="603"/>
      <c r="X17" s="603"/>
      <c r="Y17" s="603">
        <f>+Y$59</f>
        <v>-1.0103427323778721E-2</v>
      </c>
      <c r="Z17" s="603"/>
      <c r="AA17" s="603">
        <f>+AA$59</f>
        <v>-1.1187255555610426E-3</v>
      </c>
      <c r="AB17" s="603">
        <f>+AB$59</f>
        <v>2.9742091370988034E-2</v>
      </c>
      <c r="AC17" s="603">
        <f>+AC$59</f>
        <v>1.8548263902379618E-2</v>
      </c>
      <c r="AD17" s="603">
        <f>+AD$59</f>
        <v>-1.0306033046994286E-3</v>
      </c>
      <c r="AE17" s="603">
        <f>+AE16-AE15</f>
        <v>1.1810257386966866E-2</v>
      </c>
      <c r="AF17" s="603"/>
      <c r="AG17" s="603">
        <f>+AG$59</f>
        <v>-7.6028182642715559E-3</v>
      </c>
      <c r="AH17" s="603">
        <f>+AH$59</f>
        <v>-2.1344055101684519E-2</v>
      </c>
      <c r="AI17" s="603">
        <f>+AI$59</f>
        <v>-2.3115971375878466E-2</v>
      </c>
      <c r="AJ17" s="603">
        <f>+AJ$59</f>
        <v>-7.9899157743430413E-3</v>
      </c>
      <c r="AK17" s="603">
        <f>+AK16-AK15</f>
        <v>-1.5105991959739523E-2</v>
      </c>
      <c r="AL17" s="603"/>
      <c r="AM17" s="603">
        <f>+AM$59</f>
        <v>-4.3779454052956775E-5</v>
      </c>
      <c r="AN17" s="603">
        <f>+AN$59</f>
        <v>-1.5674168044775352E-3</v>
      </c>
      <c r="AO17" s="603">
        <f>+AO$59</f>
        <v>5.1861278018057629E-4</v>
      </c>
      <c r="AP17" s="603">
        <f>+AP$59</f>
        <v>-4.0602499218160906E-3</v>
      </c>
      <c r="AQ17" s="603">
        <f>+AQ16-AQ15</f>
        <v>-1.3427337452477928E-3</v>
      </c>
      <c r="AR17" s="603"/>
      <c r="AS17" s="603">
        <f>+AS$59</f>
        <v>5.173382428042439E-3</v>
      </c>
      <c r="AT17" s="603">
        <f>+AT$59</f>
        <v>6.5361072273589583E-3</v>
      </c>
      <c r="AU17" s="603">
        <f>+AU$59</f>
        <v>-1.5203365023160557E-3</v>
      </c>
      <c r="AV17" s="603">
        <f>+AV$59</f>
        <v>-2.5443962483559856E-2</v>
      </c>
      <c r="AW17" s="603">
        <f>+AW16-AW15</f>
        <v>-4.3361030997732808E-3</v>
      </c>
      <c r="AX17" s="603"/>
      <c r="AY17" s="603">
        <f>+AY$59</f>
        <v>-2.6623055566120258E-2</v>
      </c>
      <c r="AZ17" s="603">
        <f>+AZ$59</f>
        <v>-5.3671911074477975E-2</v>
      </c>
      <c r="BA17" s="603">
        <f>+BA$59</f>
        <v>-4.7792472057512483E-2</v>
      </c>
      <c r="BB17" s="603">
        <f>+BB$59</f>
        <v>-3.341157788749783E-2</v>
      </c>
      <c r="BC17" s="603">
        <f>+BC16-BC15</f>
        <v>-4.0332983195087033E-2</v>
      </c>
      <c r="BD17" s="603"/>
      <c r="BE17" s="603">
        <f>+BE$59</f>
        <v>-1.3630443342790505E-2</v>
      </c>
      <c r="BF17" s="603">
        <f>+BF$59</f>
        <v>0</v>
      </c>
      <c r="BG17" s="603">
        <f>+BG$59</f>
        <v>0</v>
      </c>
      <c r="BH17" s="603">
        <f>+BH$59</f>
        <v>-1.3027844847053102E-2</v>
      </c>
      <c r="BI17" s="603">
        <f>+BI16-BI15</f>
        <v>-6.9036505554420646E-3</v>
      </c>
      <c r="BJ17" s="603"/>
      <c r="BK17" s="603">
        <f>+BK$59</f>
        <v>-1.2567024128686327E-2</v>
      </c>
      <c r="BL17" s="603">
        <f>+BL$59</f>
        <v>-1.1137428442022259E-2</v>
      </c>
      <c r="BM17" s="603">
        <f>+BM$59</f>
        <v>0.01</v>
      </c>
      <c r="BN17" s="603">
        <f>+BN$59</f>
        <v>0.04</v>
      </c>
      <c r="BO17" s="603">
        <f>+BO16-BO15</f>
        <v>7.467152618637396E-3</v>
      </c>
      <c r="BP17" s="603"/>
      <c r="BQ17" s="603">
        <f>+BQ$59</f>
        <v>0.05</v>
      </c>
      <c r="BR17" s="603">
        <f>+BR$59</f>
        <v>5.5E-2</v>
      </c>
      <c r="BS17" s="603">
        <f>+BS$59</f>
        <v>2.5000000000000001E-2</v>
      </c>
      <c r="BT17" s="603">
        <f>+BT$59</f>
        <v>0.02</v>
      </c>
      <c r="BU17" s="603">
        <f>+BU16-BU15</f>
        <v>3.6312483502541903E-2</v>
      </c>
      <c r="BV17" s="603"/>
      <c r="BW17" s="603">
        <f>+BW$59</f>
        <v>0</v>
      </c>
      <c r="BX17" s="603">
        <f>+BX$59</f>
        <v>0</v>
      </c>
      <c r="BY17" s="603">
        <f>+BY$59</f>
        <v>0</v>
      </c>
      <c r="BZ17" s="603">
        <f>+BZ$59</f>
        <v>0</v>
      </c>
      <c r="CA17" s="603">
        <f>+CA16-CA15</f>
        <v>0</v>
      </c>
      <c r="CB17" s="603"/>
      <c r="CC17" s="603">
        <f>+CC$59</f>
        <v>0</v>
      </c>
      <c r="CD17" s="603">
        <f>+CD$59</f>
        <v>0</v>
      </c>
      <c r="CE17" s="603">
        <f>+CE$59</f>
        <v>0</v>
      </c>
      <c r="CF17" s="603">
        <f>+CF$59</f>
        <v>0</v>
      </c>
      <c r="CG17" s="603">
        <f>+CG16-CG15</f>
        <v>0</v>
      </c>
    </row>
    <row r="18" spans="1:88" s="42" customFormat="1" ht="6.75" customHeight="1" collapsed="1" x14ac:dyDescent="0.2">
      <c r="A18" s="308"/>
      <c r="B18" s="308"/>
      <c r="C18" s="316"/>
      <c r="D18" s="316"/>
      <c r="E18" s="316"/>
      <c r="F18" s="316"/>
      <c r="G18" s="316"/>
      <c r="H18" s="236"/>
      <c r="I18" s="316"/>
      <c r="J18" s="316"/>
      <c r="K18" s="316"/>
      <c r="L18" s="316"/>
      <c r="M18" s="316"/>
      <c r="N18" s="236"/>
      <c r="O18" s="316"/>
      <c r="P18" s="316"/>
      <c r="Q18" s="316"/>
      <c r="R18" s="316"/>
      <c r="S18" s="316"/>
      <c r="T18" s="236"/>
      <c r="U18" s="316"/>
      <c r="V18" s="316"/>
      <c r="W18" s="316"/>
      <c r="X18" s="316"/>
      <c r="Y18" s="316"/>
      <c r="Z18" s="316"/>
      <c r="AA18" s="38"/>
      <c r="AB18" s="38"/>
      <c r="AC18" s="38"/>
      <c r="AD18" s="38"/>
      <c r="AE18" s="38"/>
      <c r="AF18" s="236"/>
      <c r="AG18" s="38"/>
      <c r="AH18" s="38"/>
      <c r="AI18" s="38"/>
      <c r="AJ18" s="38"/>
      <c r="AK18" s="38"/>
      <c r="AL18" s="236"/>
      <c r="AM18" s="38"/>
      <c r="AN18" s="38"/>
      <c r="AO18" s="316"/>
      <c r="AP18" s="38"/>
      <c r="AQ18" s="316"/>
      <c r="AR18" s="236"/>
      <c r="AS18" s="38"/>
      <c r="AT18" s="316"/>
      <c r="AU18" s="316"/>
      <c r="AV18" s="316"/>
      <c r="AW18" s="316"/>
      <c r="AX18" s="236"/>
      <c r="AY18" s="316"/>
      <c r="AZ18" s="316"/>
      <c r="BA18" s="316"/>
      <c r="BB18" s="316"/>
      <c r="BC18" s="316"/>
      <c r="BD18" s="236"/>
      <c r="BE18" s="316"/>
      <c r="BF18" s="316"/>
      <c r="BG18" s="316"/>
      <c r="BH18" s="316"/>
      <c r="BI18" s="316"/>
      <c r="BJ18" s="236"/>
      <c r="BK18" s="316"/>
      <c r="BL18" s="316"/>
      <c r="BM18" s="316"/>
      <c r="BN18" s="316"/>
      <c r="BO18" s="316"/>
      <c r="BP18" s="236"/>
      <c r="BQ18" s="316"/>
      <c r="BR18" s="316"/>
      <c r="BS18" s="316"/>
      <c r="BT18" s="316"/>
      <c r="BU18" s="316"/>
      <c r="BV18" s="236"/>
      <c r="BW18" s="316"/>
      <c r="BX18" s="316"/>
      <c r="BY18" s="316"/>
      <c r="BZ18" s="316"/>
      <c r="CA18" s="316"/>
      <c r="CB18" s="236"/>
      <c r="CC18" s="316"/>
      <c r="CD18" s="316"/>
      <c r="CE18" s="316"/>
      <c r="CF18" s="316"/>
      <c r="CG18" s="316"/>
    </row>
    <row r="19" spans="1:88" s="42" customFormat="1" ht="12.75" customHeight="1" x14ac:dyDescent="0.2">
      <c r="A19" s="402"/>
      <c r="B19" s="314" t="s">
        <v>148</v>
      </c>
      <c r="C19" s="403"/>
      <c r="D19" s="403"/>
      <c r="E19" s="403"/>
      <c r="F19" s="404"/>
      <c r="G19" s="403">
        <v>0</v>
      </c>
      <c r="H19" s="252"/>
      <c r="I19" s="403"/>
      <c r="J19" s="403"/>
      <c r="K19" s="403"/>
      <c r="L19" s="403"/>
      <c r="M19" s="403">
        <v>6.2</v>
      </c>
      <c r="N19" s="252"/>
      <c r="O19" s="403"/>
      <c r="P19" s="403"/>
      <c r="Q19" s="403"/>
      <c r="R19" s="403"/>
      <c r="S19" s="403">
        <v>25.9</v>
      </c>
      <c r="T19" s="252"/>
      <c r="U19" s="403">
        <v>8.1999999999999993</v>
      </c>
      <c r="V19" s="403">
        <v>8.4</v>
      </c>
      <c r="W19" s="403">
        <v>11.3</v>
      </c>
      <c r="X19" s="403">
        <v>10.6</v>
      </c>
      <c r="Y19" s="38">
        <f>+SUM(U19:X19)</f>
        <v>38.5</v>
      </c>
      <c r="Z19" s="252"/>
      <c r="AA19" s="417">
        <v>11.9</v>
      </c>
      <c r="AB19" s="417">
        <v>12.8</v>
      </c>
      <c r="AC19" s="417">
        <v>15.4</v>
      </c>
      <c r="AD19" s="417">
        <v>14.4</v>
      </c>
      <c r="AE19" s="38">
        <f>+SUM(AA19:AD19)</f>
        <v>54.5</v>
      </c>
      <c r="AF19" s="252"/>
      <c r="AG19" s="417">
        <v>15.148</v>
      </c>
      <c r="AH19" s="417">
        <v>16.38</v>
      </c>
      <c r="AI19" s="417">
        <v>19.143999999999998</v>
      </c>
      <c r="AJ19" s="417">
        <v>16.454999999999998</v>
      </c>
      <c r="AK19" s="38">
        <f>+SUM(AG19:AJ19)</f>
        <v>67.126999999999995</v>
      </c>
      <c r="AL19" s="252"/>
      <c r="AM19" s="417">
        <v>18.573</v>
      </c>
      <c r="AN19" s="417">
        <v>19.937000000000001</v>
      </c>
      <c r="AO19" s="417">
        <v>23.779</v>
      </c>
      <c r="AP19" s="417">
        <v>22.561</v>
      </c>
      <c r="AQ19" s="38">
        <f>+SUM(AM19:AP19)</f>
        <v>84.85</v>
      </c>
      <c r="AR19" s="252"/>
      <c r="AS19" s="538">
        <v>26.25</v>
      </c>
      <c r="AT19" s="538">
        <f>+AN19*1.2</f>
        <v>23.924400000000002</v>
      </c>
      <c r="AU19" s="538">
        <f>+AO19*1.148</f>
        <v>27.298291999999996</v>
      </c>
      <c r="AV19" s="538">
        <f>+AP19*1.166</f>
        <v>26.306125999999999</v>
      </c>
      <c r="AW19" s="38">
        <f>+SUM(AS19:AV19)</f>
        <v>103.778818</v>
      </c>
      <c r="AX19" s="252"/>
      <c r="AY19" s="548">
        <v>29.492000000000001</v>
      </c>
      <c r="AZ19" s="790">
        <v>29.5</v>
      </c>
      <c r="BA19" s="38">
        <f>+AU19*(1+BA20)</f>
        <v>33.303916239999992</v>
      </c>
      <c r="BB19" s="38">
        <f>+AV19*(1+BB20)</f>
        <v>32.882657500000001</v>
      </c>
      <c r="BC19" s="38">
        <f>+SUM(AY19:BB19)</f>
        <v>125.17857373999999</v>
      </c>
      <c r="BD19" s="252"/>
      <c r="BE19" s="38">
        <f>+AY19*(1+BE21)</f>
        <v>35.720167005314458</v>
      </c>
      <c r="BF19" s="38">
        <f>+AZ19*(1+BF21)</f>
        <v>37.087720256273826</v>
      </c>
      <c r="BG19" s="763">
        <f>+BA19*(1+BG21)</f>
        <v>40.658370626034319</v>
      </c>
      <c r="BH19" s="38">
        <f>+BB19*(1+BH21)</f>
        <v>40.251573311804741</v>
      </c>
      <c r="BI19" s="38">
        <f>+SUM(BE19:BH19)</f>
        <v>153.71783119942737</v>
      </c>
      <c r="BJ19" s="252"/>
      <c r="BK19" s="38">
        <f>+BE19*(1+BK21)</f>
        <v>45.669017354025655</v>
      </c>
      <c r="BL19" s="38">
        <f>+BF19*(1+BL21)</f>
        <v>49.33632912260655</v>
      </c>
      <c r="BM19" s="38">
        <f>+BG19*(1+BM21)</f>
        <v>60.6263446174028</v>
      </c>
      <c r="BN19" s="38">
        <f>+BH19*(1+BN21)</f>
        <v>61.1201296370227</v>
      </c>
      <c r="BO19" s="38">
        <f>+SUM(BK19:BN19)</f>
        <v>216.75182073105771</v>
      </c>
      <c r="BP19" s="252"/>
      <c r="BQ19" s="38">
        <f>+BK19*(1+BQ21)</f>
        <v>67.343466320147897</v>
      </c>
      <c r="BR19" s="38">
        <f>+BL19*(1+BR21)</f>
        <v>70.797632290940399</v>
      </c>
      <c r="BS19" s="38">
        <f>+BM19*(1+BS21)</f>
        <v>85.180014187450936</v>
      </c>
      <c r="BT19" s="38">
        <f>+BN19*(1+BT21)</f>
        <v>86.790584084572231</v>
      </c>
      <c r="BU19" s="38">
        <f>+SUM(BQ19:BT19)</f>
        <v>310.11169688311145</v>
      </c>
      <c r="BV19" s="252"/>
      <c r="BW19" s="38">
        <f>+BQ19*(1+BW21)</f>
        <v>84.852767563386351</v>
      </c>
      <c r="BX19" s="38">
        <f>+BR19*(1+BX21)</f>
        <v>89.205016686584898</v>
      </c>
      <c r="BY19" s="38">
        <f>+BS19*(1+BY21)</f>
        <v>107.32681787618819</v>
      </c>
      <c r="BZ19" s="38">
        <f>+BT19*(1+BZ21)</f>
        <v>109.35613594656101</v>
      </c>
      <c r="CA19" s="38">
        <f>+SUM(BW19:BZ19)</f>
        <v>390.74073807272043</v>
      </c>
      <c r="CB19" s="252"/>
      <c r="CC19" s="38">
        <f>+BW19*(1+CC21)</f>
        <v>105.21743177859908</v>
      </c>
      <c r="CD19" s="38">
        <f>+BX19*(1+CD21)</f>
        <v>110.61422069136528</v>
      </c>
      <c r="CE19" s="38">
        <f>+BY19*(1+CE21)</f>
        <v>133.08525416647336</v>
      </c>
      <c r="CF19" s="38">
        <f>+BZ19*(1+CF21)</f>
        <v>135.60160857373566</v>
      </c>
      <c r="CG19" s="38">
        <f>+SUM(CC19:CF19)</f>
        <v>484.5185152101734</v>
      </c>
      <c r="CI19" s="309"/>
    </row>
    <row r="20" spans="1:88" s="42" customFormat="1" ht="12.75" customHeight="1" x14ac:dyDescent="0.2">
      <c r="A20" s="308"/>
      <c r="B20" s="268" t="s">
        <v>111</v>
      </c>
      <c r="C20" s="318"/>
      <c r="D20" s="318"/>
      <c r="E20" s="318"/>
      <c r="F20" s="318"/>
      <c r="G20" s="318"/>
      <c r="H20" s="318"/>
      <c r="I20" s="318"/>
      <c r="J20" s="318"/>
      <c r="K20" s="318"/>
      <c r="L20" s="318"/>
      <c r="M20" s="316"/>
      <c r="N20" s="318"/>
      <c r="O20" s="318"/>
      <c r="P20" s="318"/>
      <c r="Q20" s="318"/>
      <c r="R20" s="318"/>
      <c r="S20" s="316">
        <f>+S21-S22</f>
        <v>3.1876691852120502</v>
      </c>
      <c r="T20" s="318"/>
      <c r="U20" s="318"/>
      <c r="V20" s="318"/>
      <c r="W20" s="318"/>
      <c r="X20" s="318"/>
      <c r="Y20" s="316">
        <f>+Y21-Y22</f>
        <v>0.49658991381026535</v>
      </c>
      <c r="Z20" s="318"/>
      <c r="AA20" s="316">
        <f>+AA21-AA22</f>
        <v>0.45233823775068316</v>
      </c>
      <c r="AB20" s="316">
        <f>+AB21-AB22</f>
        <v>0.49406743243853568</v>
      </c>
      <c r="AC20" s="316">
        <f>+AC21-AC22</f>
        <v>0.34428359450469992</v>
      </c>
      <c r="AD20" s="316">
        <f>+AD21-AD22</f>
        <v>0.35952116934243544</v>
      </c>
      <c r="AE20" s="316">
        <f>SUMPRODUCT(AA20:AD20,U19:X19)/Y19</f>
        <v>0.40417322064862921</v>
      </c>
      <c r="AF20" s="430"/>
      <c r="AG20" s="316">
        <f>+AG21-AG22</f>
        <v>0.2805439947348598</v>
      </c>
      <c r="AH20" s="316">
        <f>+AH21-AH22</f>
        <v>0.30103155510168439</v>
      </c>
      <c r="AI20" s="316">
        <f>+AI21-AI22</f>
        <v>0.26623285449276152</v>
      </c>
      <c r="AJ20" s="316">
        <f>+AJ21-AJ22</f>
        <v>0.15069824910767626</v>
      </c>
      <c r="AK20" s="316">
        <f>SUMPRODUCT(AG20:AJ20,AA19:AD19)/AE19</f>
        <v>0.24700400346762311</v>
      </c>
      <c r="AL20" s="430"/>
      <c r="AM20" s="316">
        <f>+AM21-AM22</f>
        <v>0.2261462352237916</v>
      </c>
      <c r="AN20" s="316">
        <f>+AN21-AN22</f>
        <v>0.2187224839595448</v>
      </c>
      <c r="AO20" s="316">
        <f>+AO21-AO22</f>
        <v>0.24159379841915099</v>
      </c>
      <c r="AP20" s="316">
        <f>+AP21-AP22</f>
        <v>0.37513287222506753</v>
      </c>
      <c r="AQ20" s="316">
        <f>SUMPRODUCT(AM20:AP20,AG19:AJ19)/AK19</f>
        <v>0.26526167634226244</v>
      </c>
      <c r="AR20" s="430"/>
      <c r="AS20" s="316">
        <f>+AS21-AS22</f>
        <v>0.40816856556097392</v>
      </c>
      <c r="AT20" s="316">
        <f>+AT21-AT22</f>
        <v>0.19346389277264101</v>
      </c>
      <c r="AU20" s="316">
        <f>+AU21-AU22</f>
        <v>0.14952033650231597</v>
      </c>
      <c r="AV20" s="316">
        <f>+AV21-AV22</f>
        <v>0.19144396248355977</v>
      </c>
      <c r="AW20" s="316">
        <f>SUMPRODUCT(AS20:AV20,AM19:AP19)/AQ19</f>
        <v>0.22760890651328555</v>
      </c>
      <c r="AX20" s="430"/>
      <c r="AY20" s="316">
        <f>+AY21-AY22</f>
        <v>0.15012781747088227</v>
      </c>
      <c r="AZ20" s="316">
        <f>+AZ21-AZ22</f>
        <v>0.28672268768747544</v>
      </c>
      <c r="BA20" s="903">
        <v>0.22</v>
      </c>
      <c r="BB20" s="903">
        <v>0.25</v>
      </c>
      <c r="BC20" s="316">
        <f>SUMPRODUCT(AY20:BB20,AS19:AV19)/AW19</f>
        <v>0.22531263767063617</v>
      </c>
      <c r="BD20" s="430"/>
      <c r="BE20" s="480">
        <f>UnitBuild!BE77+UnitBuild!BE100</f>
        <v>0.22481201818730615</v>
      </c>
      <c r="BF20" s="480">
        <f>UnitBuild!BF77+UnitBuild!BF100</f>
        <v>0.25721085614487543</v>
      </c>
      <c r="BG20" s="480">
        <f>UnitBuild!BG77+UnitBuild!BG100</f>
        <v>0.22082851557262778</v>
      </c>
      <c r="BH20" s="480">
        <f>UnitBuild!BH77+UnitBuild!BH100</f>
        <v>0.23712517675536188</v>
      </c>
      <c r="BI20" s="316">
        <f>SUMPRODUCT(BE20:BH20,AY19:BB19)/BC19</f>
        <v>0.23462191473409352</v>
      </c>
      <c r="BJ20" s="430"/>
      <c r="BK20" s="480">
        <f>UnitBuild!BK77+UnitBuild!BK100</f>
        <v>0.29108896797153033</v>
      </c>
      <c r="BL20" s="480">
        <f>UnitBuild!BL77+UnitBuild!BL100</f>
        <v>0.34139792387543255</v>
      </c>
      <c r="BM20" s="480">
        <f>UnitBuild!BM77+UnitBuild!BM100</f>
        <v>0.48111594202898561</v>
      </c>
      <c r="BN20" s="480">
        <f>UnitBuild!BN77+UnitBuild!BN100</f>
        <v>0.47845318352059935</v>
      </c>
      <c r="BO20" s="316">
        <f>SUMPRODUCT(BK20:BN20,BE19:BH19)/BI19</f>
        <v>0.40255122285511941</v>
      </c>
      <c r="BP20" s="430"/>
      <c r="BQ20" s="480">
        <f>UnitBuild!BQ77+UnitBuild!BQ100</f>
        <v>0.42459854014598514</v>
      </c>
      <c r="BR20" s="480">
        <f>UnitBuild!BR77+UnitBuild!BR100</f>
        <v>0.38</v>
      </c>
      <c r="BS20" s="480">
        <f>UnitBuild!BS77+UnitBuild!BS100</f>
        <v>0.38</v>
      </c>
      <c r="BT20" s="480">
        <f>UnitBuild!BT77+UnitBuild!BT100</f>
        <v>0.4</v>
      </c>
      <c r="BU20" s="316">
        <f>SUMPRODUCT(BQ20:BT20,BK19:BN19)/BO19</f>
        <v>0.3950364323844624</v>
      </c>
      <c r="BV20" s="430"/>
      <c r="BW20" s="480">
        <f>UnitBuild!BW77+UnitBuild!BW100</f>
        <v>0.26</v>
      </c>
      <c r="BX20" s="480">
        <f>UnitBuild!BX77+UnitBuild!BX100</f>
        <v>0.26</v>
      </c>
      <c r="BY20" s="480">
        <f>UnitBuild!BY77+UnitBuild!BY100</f>
        <v>0.26</v>
      </c>
      <c r="BZ20" s="480">
        <f>UnitBuild!BZ77+UnitBuild!BZ100</f>
        <v>0.26</v>
      </c>
      <c r="CA20" s="316">
        <f>SUMPRODUCT(BW20:BZ20,BQ19:BT19)/BU19</f>
        <v>0.26</v>
      </c>
      <c r="CB20" s="430"/>
      <c r="CC20" s="480">
        <f>UnitBuild!CC77+UnitBuild!CC100</f>
        <v>0.24000000000000002</v>
      </c>
      <c r="CD20" s="480">
        <f>UnitBuild!CD77+UnitBuild!CD100</f>
        <v>0.24000000000000002</v>
      </c>
      <c r="CE20" s="480">
        <f>UnitBuild!CE77+UnitBuild!CE100</f>
        <v>0.24000000000000002</v>
      </c>
      <c r="CF20" s="480">
        <f>UnitBuild!CF77+UnitBuild!CF100</f>
        <v>0.24000000000000002</v>
      </c>
      <c r="CG20" s="316">
        <f>SUMPRODUCT(CC20:CF20,BW19:BZ19)/CA19</f>
        <v>0.24000000000000002</v>
      </c>
      <c r="CJ20"/>
    </row>
    <row r="21" spans="1:88" ht="12.75" hidden="1" customHeight="1" outlineLevel="1" x14ac:dyDescent="0.2">
      <c r="A21" s="308"/>
      <c r="B21" s="599" t="s">
        <v>299</v>
      </c>
      <c r="C21" s="600"/>
      <c r="D21" s="600"/>
      <c r="E21" s="600"/>
      <c r="F21" s="600"/>
      <c r="G21" s="600"/>
      <c r="H21" s="601"/>
      <c r="I21" s="600"/>
      <c r="J21" s="600"/>
      <c r="K21" s="600"/>
      <c r="L21" s="600"/>
      <c r="M21" s="600"/>
      <c r="N21" s="601"/>
      <c r="O21" s="600"/>
      <c r="P21" s="600"/>
      <c r="Q21" s="600"/>
      <c r="R21" s="600"/>
      <c r="S21" s="600">
        <f>IF(ISERROR(S19/M19-1),"NM",S19/M19-1)</f>
        <v>3.1774193548387091</v>
      </c>
      <c r="T21" s="601"/>
      <c r="U21" s="600"/>
      <c r="V21" s="600"/>
      <c r="W21" s="600"/>
      <c r="X21" s="600"/>
      <c r="Y21" s="600">
        <f>IF(ISERROR(Y19/S19-1),"NM",Y19/S19-1)</f>
        <v>0.48648648648648662</v>
      </c>
      <c r="Z21" s="601"/>
      <c r="AA21" s="600">
        <f>IF(ISERROR(AA19/U19-1),"NM",AA19/U19-1)</f>
        <v>0.45121951219512213</v>
      </c>
      <c r="AB21" s="600">
        <f>IF(ISERROR(AB19/V19-1),"NM",AB19/V19-1)</f>
        <v>0.52380952380952372</v>
      </c>
      <c r="AC21" s="600">
        <f>IF(ISERROR(AC19/W19-1),"NM",AC19/W19-1)</f>
        <v>0.36283185840707954</v>
      </c>
      <c r="AD21" s="600">
        <f>IF(ISERROR(AD19/X19-1),"NM",AD19/X19-1)</f>
        <v>0.35849056603773599</v>
      </c>
      <c r="AE21" s="600">
        <f>IF(ISERROR(AE19/Y19-1),"NM",AE19/Y19-1)</f>
        <v>0.4155844155844155</v>
      </c>
      <c r="AF21" s="601"/>
      <c r="AG21" s="600">
        <f>IF(ISERROR(AG19/AA19-1),"NM",AG19/AA19-1)</f>
        <v>0.27294117647058824</v>
      </c>
      <c r="AH21" s="600">
        <f>IF(ISERROR(AH19/AB19-1),"NM",AH19/AB19-1)</f>
        <v>0.27968749999999987</v>
      </c>
      <c r="AI21" s="600">
        <f>IF(ISERROR(AI19/AC19-1),"NM",AI19/AC19-1)</f>
        <v>0.24311688311688306</v>
      </c>
      <c r="AJ21" s="600">
        <f>IF(ISERROR(AJ19/AD19-1),"NM",AJ19/AD19-1)</f>
        <v>0.14270833333333321</v>
      </c>
      <c r="AK21" s="600">
        <f>IF(ISERROR(AK19/AE19-1),"NM",AK19/AE19-1)</f>
        <v>0.23168807339449526</v>
      </c>
      <c r="AL21" s="601"/>
      <c r="AM21" s="600">
        <f>IF(ISERROR(AM19/AG19-1),"NM",AM19/AG19-1)</f>
        <v>0.22610245576973864</v>
      </c>
      <c r="AN21" s="600">
        <f>IF(ISERROR(AN19/AH19-1),"NM",AN19/AH19-1)</f>
        <v>0.21715506715506727</v>
      </c>
      <c r="AO21" s="600">
        <f>IF(ISERROR(AO19/AI19-1),"NM",AO19/AI19-1)</f>
        <v>0.24211241119933158</v>
      </c>
      <c r="AP21" s="600">
        <f>IF(ISERROR(AP19/AJ19-1),"NM",AP19/AJ19-1)</f>
        <v>0.37107262230325144</v>
      </c>
      <c r="AQ21" s="600">
        <f>IF(ISERROR(AQ19/AK19-1),"NM",AQ19/AK19-1)</f>
        <v>0.26402192858313356</v>
      </c>
      <c r="AR21" s="601"/>
      <c r="AS21" s="600">
        <f>IF(ISERROR(AS19/AM19-1),"NM",AS19/AM19-1)</f>
        <v>0.41334194798901636</v>
      </c>
      <c r="AT21" s="600">
        <f>IF(ISERROR(AT19/AN19-1),"NM",AT19/AN19-1)</f>
        <v>0.19999999999999996</v>
      </c>
      <c r="AU21" s="600">
        <f>IF(ISERROR(AU19/AO19-1),"NM",AU19/AO19-1)</f>
        <v>0.14799999999999991</v>
      </c>
      <c r="AV21" s="600">
        <f>IF(ISERROR(AV19/AP19-1),"NM",AV19/AP19-1)</f>
        <v>0.16599999999999993</v>
      </c>
      <c r="AW21" s="600">
        <f>IF(ISERROR(AW19/AQ19-1),"NM",AW19/AQ19-1)</f>
        <v>0.22308565704183869</v>
      </c>
      <c r="AX21" s="601"/>
      <c r="AY21" s="600">
        <f>IF(ISERROR(AY19/AS19-1),"NM",AY19/AS19-1)</f>
        <v>0.12350476190476201</v>
      </c>
      <c r="AZ21" s="600">
        <f>IF(ISERROR(AZ19/AT19-1),"NM",AZ19/AT19-1)</f>
        <v>0.23305077661299745</v>
      </c>
      <c r="BA21" s="600">
        <f>IF(ISERROR(BA19/AU19-1),"NM",BA19/AU19-1)</f>
        <v>0.21999999999999997</v>
      </c>
      <c r="BB21" s="600">
        <f>IF(ISERROR(BB19/AV19-1),"NM",BB19/AV19-1)</f>
        <v>0.25</v>
      </c>
      <c r="BC21" s="600">
        <f>IF(ISERROR(BC19/AW19-1),"NM",BC19/AW19-1)</f>
        <v>0.20620542951260035</v>
      </c>
      <c r="BD21" s="601"/>
      <c r="BE21" s="600">
        <f>+BE20+BE22</f>
        <v>0.21118157484451563</v>
      </c>
      <c r="BF21" s="600">
        <f>+BF20+BF22</f>
        <v>0.25721085614487543</v>
      </c>
      <c r="BG21" s="600">
        <f>+BG20+BG22</f>
        <v>0.22082851557262778</v>
      </c>
      <c r="BH21" s="600">
        <f>+BH20+BH22</f>
        <v>0.22409733190830877</v>
      </c>
      <c r="BI21" s="600">
        <f>IF(ISERROR(BI19/BC19-1),"NM",BI19/BC19-1)</f>
        <v>0.22798835780558058</v>
      </c>
      <c r="BJ21" s="601"/>
      <c r="BK21" s="600">
        <f>+BK20+BK22</f>
        <v>0.27852194384284401</v>
      </c>
      <c r="BL21" s="600">
        <f>+BL20+BL22</f>
        <v>0.33026049543341029</v>
      </c>
      <c r="BM21" s="600">
        <f>+BM20+BM22</f>
        <v>0.49111594202898562</v>
      </c>
      <c r="BN21" s="600">
        <f>+BN20+BN22</f>
        <v>0.51845318352059933</v>
      </c>
      <c r="BO21" s="600">
        <f>IF(ISERROR(BO19/BI19-1),"NM",BO19/BI19-1)</f>
        <v>0.41006296432749267</v>
      </c>
      <c r="BP21" s="601"/>
      <c r="BQ21" s="600">
        <f>+BQ20+BQ22</f>
        <v>0.47459854014598513</v>
      </c>
      <c r="BR21" s="600">
        <f>+BR20+BR22</f>
        <v>0.435</v>
      </c>
      <c r="BS21" s="600">
        <f>+BS20+BS22</f>
        <v>0.40500000000000003</v>
      </c>
      <c r="BT21" s="600">
        <f>+BT20+BT22</f>
        <v>0.42000000000000004</v>
      </c>
      <c r="BU21" s="600">
        <f>IF(ISERROR(BU19/BO19-1),"NM",BU19/BO19-1)</f>
        <v>0.43072245408214238</v>
      </c>
      <c r="BV21" s="601"/>
      <c r="BW21" s="600">
        <f>+BW20+BW22</f>
        <v>0.26</v>
      </c>
      <c r="BX21" s="600">
        <f>+BX20+BX22</f>
        <v>0.26</v>
      </c>
      <c r="BY21" s="600">
        <f>+BY20+BY22</f>
        <v>0.26</v>
      </c>
      <c r="BZ21" s="600">
        <f>+BZ20+BZ22</f>
        <v>0.26</v>
      </c>
      <c r="CA21" s="600">
        <f>IF(ISERROR(CA19/BU19-1),"NM",CA19/BU19-1)</f>
        <v>0.26</v>
      </c>
      <c r="CB21" s="601"/>
      <c r="CC21" s="600">
        <f>+CC20+CC22</f>
        <v>0.24000000000000002</v>
      </c>
      <c r="CD21" s="600">
        <f>+CD20+CD22</f>
        <v>0.24000000000000002</v>
      </c>
      <c r="CE21" s="600">
        <f>+CE20+CE22</f>
        <v>0.24000000000000002</v>
      </c>
      <c r="CF21" s="600">
        <f>+CF20+CF22</f>
        <v>0.24000000000000002</v>
      </c>
      <c r="CG21" s="600">
        <f>IF(ISERROR(CG19/CA19-1),"NM",CG19/CA19-1)</f>
        <v>0.24000000000000021</v>
      </c>
    </row>
    <row r="22" spans="1:88" ht="12.75" hidden="1" customHeight="1" outlineLevel="1" x14ac:dyDescent="0.2">
      <c r="A22" s="308"/>
      <c r="B22" s="602" t="s">
        <v>110</v>
      </c>
      <c r="C22" s="603"/>
      <c r="D22" s="603"/>
      <c r="E22" s="603"/>
      <c r="F22" s="603"/>
      <c r="G22" s="603"/>
      <c r="H22" s="603"/>
      <c r="I22" s="603"/>
      <c r="J22" s="603"/>
      <c r="K22" s="603"/>
      <c r="L22" s="603"/>
      <c r="M22" s="604"/>
      <c r="N22" s="603"/>
      <c r="O22" s="603"/>
      <c r="P22" s="603"/>
      <c r="Q22" s="603"/>
      <c r="R22" s="603"/>
      <c r="S22" s="604">
        <f>+S$59</f>
        <v>-1.0249830373341096E-2</v>
      </c>
      <c r="T22" s="603"/>
      <c r="U22" s="603"/>
      <c r="V22" s="603"/>
      <c r="W22" s="603"/>
      <c r="X22" s="603"/>
      <c r="Y22" s="603">
        <f>+Y$59</f>
        <v>-1.0103427323778721E-2</v>
      </c>
      <c r="Z22" s="603"/>
      <c r="AA22" s="603">
        <f>+AA$59</f>
        <v>-1.1187255555610426E-3</v>
      </c>
      <c r="AB22" s="603">
        <f>+AB$59</f>
        <v>2.9742091370988034E-2</v>
      </c>
      <c r="AC22" s="603">
        <f>+AC$59</f>
        <v>1.8548263902379618E-2</v>
      </c>
      <c r="AD22" s="603">
        <f>+AD$59</f>
        <v>-1.0306033046994286E-3</v>
      </c>
      <c r="AE22" s="603">
        <f>+AE21-AE20</f>
        <v>1.1411194935786295E-2</v>
      </c>
      <c r="AF22" s="603"/>
      <c r="AG22" s="603">
        <f>+AG$59</f>
        <v>-7.6028182642715559E-3</v>
      </c>
      <c r="AH22" s="603">
        <f>+AH$59</f>
        <v>-2.1344055101684519E-2</v>
      </c>
      <c r="AI22" s="603">
        <f>+AI$59</f>
        <v>-2.3115971375878466E-2</v>
      </c>
      <c r="AJ22" s="603">
        <f>+AJ$59</f>
        <v>-7.9899157743430413E-3</v>
      </c>
      <c r="AK22" s="603">
        <f>+AK21-AK20</f>
        <v>-1.5315930073127842E-2</v>
      </c>
      <c r="AL22" s="603"/>
      <c r="AM22" s="603">
        <f>+AM$59</f>
        <v>-4.3779454052956775E-5</v>
      </c>
      <c r="AN22" s="603">
        <f>+AN$59</f>
        <v>-1.5674168044775352E-3</v>
      </c>
      <c r="AO22" s="603">
        <f>+AO$59</f>
        <v>5.1861278018057629E-4</v>
      </c>
      <c r="AP22" s="603">
        <f>+AP$59</f>
        <v>-4.0602499218160906E-3</v>
      </c>
      <c r="AQ22" s="603">
        <f>+AQ21-AQ20</f>
        <v>-1.2397477591288841E-3</v>
      </c>
      <c r="AR22" s="603"/>
      <c r="AS22" s="603">
        <f>+AS$59</f>
        <v>5.173382428042439E-3</v>
      </c>
      <c r="AT22" s="603">
        <f>+AT$59</f>
        <v>6.5361072273589583E-3</v>
      </c>
      <c r="AU22" s="603">
        <f>+AU$59</f>
        <v>-1.5203365023160557E-3</v>
      </c>
      <c r="AV22" s="603">
        <f>+AV$59</f>
        <v>-2.5443962483559856E-2</v>
      </c>
      <c r="AW22" s="603">
        <f>+AW21-AW20</f>
        <v>-4.5232494714468607E-3</v>
      </c>
      <c r="AX22" s="603"/>
      <c r="AY22" s="603">
        <f>+AY$59</f>
        <v>-2.6623055566120258E-2</v>
      </c>
      <c r="AZ22" s="603">
        <f>+AZ$59</f>
        <v>-5.3671911074477975E-2</v>
      </c>
      <c r="BA22" s="603">
        <f>+BA$59</f>
        <v>-4.7792472057512483E-2</v>
      </c>
      <c r="BB22" s="603">
        <f>+BB$59</f>
        <v>-3.341157788749783E-2</v>
      </c>
      <c r="BC22" s="603">
        <f>+BC21-BC20</f>
        <v>-1.9107208158035821E-2</v>
      </c>
      <c r="BD22" s="603"/>
      <c r="BE22" s="603">
        <f>+BE$59</f>
        <v>-1.3630443342790505E-2</v>
      </c>
      <c r="BF22" s="603">
        <f>+BF$59</f>
        <v>0</v>
      </c>
      <c r="BG22" s="603">
        <f>+BG$59</f>
        <v>0</v>
      </c>
      <c r="BH22" s="603">
        <f>+BH$59</f>
        <v>-1.3027844847053102E-2</v>
      </c>
      <c r="BI22" s="603">
        <f>+BI21-BI20</f>
        <v>-6.6335569285129459E-3</v>
      </c>
      <c r="BJ22" s="603"/>
      <c r="BK22" s="603">
        <f>+BK$59</f>
        <v>-1.2567024128686327E-2</v>
      </c>
      <c r="BL22" s="603">
        <f>+BL$59</f>
        <v>-1.1137428442022259E-2</v>
      </c>
      <c r="BM22" s="603">
        <f>+BM$59</f>
        <v>0.01</v>
      </c>
      <c r="BN22" s="603">
        <f>+BN$59</f>
        <v>0.04</v>
      </c>
      <c r="BO22" s="603">
        <f>+BO21-BO20</f>
        <v>7.5117414723732678E-3</v>
      </c>
      <c r="BP22" s="603"/>
      <c r="BQ22" s="603">
        <f>+BQ$59</f>
        <v>0.05</v>
      </c>
      <c r="BR22" s="603">
        <f>+BR$59</f>
        <v>5.5E-2</v>
      </c>
      <c r="BS22" s="603">
        <f>+BS$59</f>
        <v>2.5000000000000001E-2</v>
      </c>
      <c r="BT22" s="603">
        <f>+BT$59</f>
        <v>0.02</v>
      </c>
      <c r="BU22" s="603">
        <f>+BU21-BU20</f>
        <v>3.5686021697679982E-2</v>
      </c>
      <c r="BV22" s="603"/>
      <c r="BW22" s="603">
        <f>+BW$59</f>
        <v>0</v>
      </c>
      <c r="BX22" s="603">
        <f>+BX$59</f>
        <v>0</v>
      </c>
      <c r="BY22" s="603">
        <f>+BY$59</f>
        <v>0</v>
      </c>
      <c r="BZ22" s="603">
        <f>+BZ$59</f>
        <v>0</v>
      </c>
      <c r="CA22" s="603">
        <f>+CA21-CA20</f>
        <v>0</v>
      </c>
      <c r="CB22" s="603"/>
      <c r="CC22" s="603">
        <f>+CC$59</f>
        <v>0</v>
      </c>
      <c r="CD22" s="603">
        <f>+CD$59</f>
        <v>0</v>
      </c>
      <c r="CE22" s="603">
        <f>+CE$59</f>
        <v>0</v>
      </c>
      <c r="CF22" s="603">
        <f>+CF$59</f>
        <v>0</v>
      </c>
      <c r="CG22" s="603">
        <f>+CG21-CG20</f>
        <v>0</v>
      </c>
    </row>
    <row r="23" spans="1:88" s="42" customFormat="1" ht="6.75" customHeight="1" collapsed="1" x14ac:dyDescent="0.2">
      <c r="A23" s="308"/>
      <c r="B23" s="308"/>
      <c r="C23" s="316"/>
      <c r="D23" s="316"/>
      <c r="E23" s="316"/>
      <c r="F23" s="316"/>
      <c r="G23" s="316"/>
      <c r="H23" s="236"/>
      <c r="I23" s="316"/>
      <c r="J23" s="316"/>
      <c r="K23" s="316"/>
      <c r="L23" s="316"/>
      <c r="M23" s="316"/>
      <c r="N23" s="236"/>
      <c r="O23" s="316"/>
      <c r="P23" s="316"/>
      <c r="Q23" s="316"/>
      <c r="R23" s="316"/>
      <c r="S23" s="316"/>
      <c r="T23" s="236"/>
      <c r="U23" s="316"/>
      <c r="V23" s="316"/>
      <c r="W23" s="316"/>
      <c r="X23" s="316"/>
      <c r="Y23" s="316"/>
      <c r="Z23" s="316"/>
      <c r="AA23" s="38"/>
      <c r="AB23" s="38"/>
      <c r="AC23" s="38"/>
      <c r="AD23" s="38"/>
      <c r="AE23" s="38"/>
      <c r="AF23" s="236"/>
      <c r="AG23" s="38"/>
      <c r="AH23" s="38"/>
      <c r="AI23" s="38"/>
      <c r="AJ23" s="38"/>
      <c r="AK23" s="38"/>
      <c r="AL23" s="236"/>
      <c r="AM23" s="38"/>
      <c r="AN23" s="38"/>
      <c r="AO23" s="316"/>
      <c r="AP23" s="38"/>
      <c r="AQ23" s="316"/>
      <c r="AR23" s="236"/>
      <c r="AS23" s="38"/>
      <c r="AT23" s="316"/>
      <c r="AU23" s="316"/>
      <c r="AV23" s="316"/>
      <c r="AW23" s="316"/>
      <c r="AX23" s="236"/>
      <c r="AY23" s="316"/>
      <c r="AZ23" s="316"/>
      <c r="BA23" s="316"/>
      <c r="BB23" s="316"/>
      <c r="BC23" s="316"/>
      <c r="BD23" s="236"/>
      <c r="BE23" s="316"/>
      <c r="BF23" s="316"/>
      <c r="BG23" s="316"/>
      <c r="BH23" s="316"/>
      <c r="BI23" s="316"/>
      <c r="BJ23" s="236"/>
      <c r="BK23" s="316"/>
      <c r="BL23" s="316"/>
      <c r="BM23" s="316"/>
      <c r="BN23" s="316"/>
      <c r="BO23" s="316"/>
      <c r="BP23" s="236"/>
      <c r="BQ23" s="316"/>
      <c r="BR23" s="316"/>
      <c r="BS23" s="316"/>
      <c r="BT23" s="316"/>
      <c r="BU23" s="316"/>
      <c r="BV23" s="236"/>
      <c r="BW23" s="316"/>
      <c r="BX23" s="316"/>
      <c r="BY23" s="316"/>
      <c r="BZ23" s="316"/>
      <c r="CA23" s="316"/>
      <c r="CB23" s="236"/>
      <c r="CC23" s="316"/>
      <c r="CD23" s="316"/>
      <c r="CE23" s="316"/>
      <c r="CF23" s="316"/>
      <c r="CG23" s="316"/>
    </row>
    <row r="24" spans="1:88" s="42" customFormat="1" ht="12.75" customHeight="1" x14ac:dyDescent="0.2">
      <c r="A24" s="402"/>
      <c r="B24" s="314" t="s">
        <v>149</v>
      </c>
      <c r="C24" s="403"/>
      <c r="D24" s="403"/>
      <c r="E24" s="403"/>
      <c r="F24" s="404"/>
      <c r="G24" s="403">
        <v>0</v>
      </c>
      <c r="H24" s="252"/>
      <c r="I24" s="403"/>
      <c r="J24" s="403"/>
      <c r="K24" s="403"/>
      <c r="L24" s="403"/>
      <c r="M24" s="403">
        <v>0.6</v>
      </c>
      <c r="N24" s="252"/>
      <c r="O24" s="403"/>
      <c r="P24" s="403"/>
      <c r="Q24" s="403"/>
      <c r="R24" s="403"/>
      <c r="S24" s="403">
        <v>5.5</v>
      </c>
      <c r="T24" s="252"/>
      <c r="U24" s="403">
        <v>2.9</v>
      </c>
      <c r="V24" s="403">
        <v>3.8</v>
      </c>
      <c r="W24" s="403">
        <v>4.3</v>
      </c>
      <c r="X24" s="403">
        <v>3.7</v>
      </c>
      <c r="Y24" s="38">
        <f>+SUM(U24:X24)</f>
        <v>14.7</v>
      </c>
      <c r="Z24" s="252"/>
      <c r="AA24" s="417">
        <v>6.4</v>
      </c>
      <c r="AB24" s="417">
        <v>7.1</v>
      </c>
      <c r="AC24" s="417">
        <v>7</v>
      </c>
      <c r="AD24" s="417">
        <v>7</v>
      </c>
      <c r="AE24" s="38">
        <f>+SUM(AA24:AD24)</f>
        <v>27.5</v>
      </c>
      <c r="AF24" s="252"/>
      <c r="AG24" s="417">
        <v>7.1929999999999996</v>
      </c>
      <c r="AH24" s="417">
        <v>7.2510000000000003</v>
      </c>
      <c r="AI24" s="417">
        <v>7.0510000000000002</v>
      </c>
      <c r="AJ24" s="417">
        <v>7.21</v>
      </c>
      <c r="AK24" s="38">
        <f>+SUM(AG24:AJ24)</f>
        <v>28.704999999999998</v>
      </c>
      <c r="AL24" s="252"/>
      <c r="AM24" s="417">
        <v>8.2929999999999993</v>
      </c>
      <c r="AN24" s="417">
        <v>7.68</v>
      </c>
      <c r="AO24" s="417">
        <v>7.4450000000000003</v>
      </c>
      <c r="AP24" s="417">
        <v>7.1849999999999996</v>
      </c>
      <c r="AQ24" s="38">
        <f>+SUM(AM24:AP24)</f>
        <v>30.602999999999998</v>
      </c>
      <c r="AR24" s="252"/>
      <c r="AS24" s="537">
        <v>8.6103471759643924</v>
      </c>
      <c r="AT24" s="537">
        <f>+AN24+AS24-AM24</f>
        <v>7.9973471759643928</v>
      </c>
      <c r="AU24" s="537">
        <v>7.8</v>
      </c>
      <c r="AV24" s="537">
        <v>7.8</v>
      </c>
      <c r="AW24" s="38">
        <f>+SUM(AS24:AV24)</f>
        <v>32.207694351928787</v>
      </c>
      <c r="AX24" s="252"/>
      <c r="AY24" s="38">
        <f>AY6-AY29-AY19-AY14-AY9-AY34</f>
        <v>8.4190000000000111</v>
      </c>
      <c r="AZ24" s="38">
        <f>AZ6-AZ29-AZ19-AZ14-AZ9-AZ34</f>
        <v>8.1595642142662541</v>
      </c>
      <c r="BA24" s="38">
        <f>BA6-BA29-BA19-BA14-BA9-BA34</f>
        <v>7.9540341600000062</v>
      </c>
      <c r="BB24" s="38">
        <f>BB6-BB29-BB19-BB14-BB9-BB34</f>
        <v>8.2369387399999994</v>
      </c>
      <c r="BC24" s="38">
        <f>+SUM(AY24:BB24)</f>
        <v>32.769537114266271</v>
      </c>
      <c r="BD24" s="252"/>
      <c r="BE24" s="38">
        <f>BE6-BE29-BE19-BE14-BE9-BE34</f>
        <v>5.9330133770626219</v>
      </c>
      <c r="BF24" s="38">
        <f>BF6-BF29-BF19-BF14-BF9-BF34</f>
        <v>4.5057368147139698</v>
      </c>
      <c r="BG24" s="38">
        <f>BG6-BG29-BG19-BG14-BG9-BG34</f>
        <v>13.566776352832733</v>
      </c>
      <c r="BH24" s="38">
        <f>BH6-BH29-BH19-BH14-BH9-BH34</f>
        <v>8.3644968889674765</v>
      </c>
      <c r="BI24" s="38">
        <f>+SUM(BE24:BH24)</f>
        <v>32.370023433576804</v>
      </c>
      <c r="BJ24" s="252"/>
      <c r="BK24" s="38">
        <f>BK6-BK29-BK19-BK14-BK9-BK34</f>
        <v>13.178795432405842</v>
      </c>
      <c r="BL24" s="38">
        <f>BL6-BL29-BL19-BL14-BL9-BL34</f>
        <v>15.846122551258397</v>
      </c>
      <c r="BM24" s="38">
        <f>BM6-BM29-BM19-BM14-BM9-BM34</f>
        <v>17.881026593532276</v>
      </c>
      <c r="BN24" s="38">
        <f>BN6-BN29-BN19-BN14-BN9-BN34</f>
        <v>20.989767357758165</v>
      </c>
      <c r="BO24" s="38">
        <f>+SUM(BK24:BN24)</f>
        <v>67.895711934954676</v>
      </c>
      <c r="BP24" s="252"/>
      <c r="BQ24" s="38">
        <f>BQ6-BQ29-BQ19-BQ14-BQ9-BQ34</f>
        <v>10.409032754468136</v>
      </c>
      <c r="BR24" s="38">
        <f>+BL24*(1+BR26)</f>
        <v>21.208999426306889</v>
      </c>
      <c r="BS24" s="38">
        <f>+BM24*(1+BS26)</f>
        <v>22.606822105748357</v>
      </c>
      <c r="BT24" s="38">
        <f>+BN24*(1+BT26)</f>
        <v>25.549154333762779</v>
      </c>
      <c r="BU24" s="38">
        <f>+SUM(BQ24:BT24)</f>
        <v>79.774008620286168</v>
      </c>
      <c r="BV24" s="252"/>
      <c r="BW24" s="38">
        <f>+BQ24*(1+BW26)</f>
        <v>13.60811723744054</v>
      </c>
      <c r="BX24" s="38">
        <f>+BR24*(1+BX26)</f>
        <v>39.35433889169957</v>
      </c>
      <c r="BY24" s="38">
        <f>+BS24*(1+BY26)</f>
        <v>40.740797422899234</v>
      </c>
      <c r="BZ24" s="38">
        <f>+BT24*(1+BZ26)</f>
        <v>48.264682141162453</v>
      </c>
      <c r="CA24" s="38">
        <f>+SUM(BW24:BZ24)</f>
        <v>141.96793569320181</v>
      </c>
      <c r="CB24" s="252"/>
      <c r="CC24" s="38">
        <f>+BW24*(1+CC26)</f>
        <v>18.448569538399319</v>
      </c>
      <c r="CD24" s="38">
        <f>+BX24*(1+CD26)</f>
        <v>43.284577559646159</v>
      </c>
      <c r="CE24" s="38">
        <f>+BY24*(1+CE26)</f>
        <v>44.922331107605785</v>
      </c>
      <c r="CF24" s="38">
        <f>+BZ24*(1+CF26)</f>
        <v>50.803628168078937</v>
      </c>
      <c r="CG24" s="38">
        <f>+SUM(CC24:CF24)</f>
        <v>157.45910637373021</v>
      </c>
    </row>
    <row r="25" spans="1:88" s="42" customFormat="1" ht="12.75" customHeight="1" x14ac:dyDescent="0.2">
      <c r="A25" s="308"/>
      <c r="B25" s="268" t="s">
        <v>111</v>
      </c>
      <c r="C25" s="318"/>
      <c r="D25" s="318"/>
      <c r="E25" s="318"/>
      <c r="F25" s="318"/>
      <c r="G25" s="318"/>
      <c r="H25" s="318"/>
      <c r="I25" s="318"/>
      <c r="J25" s="318"/>
      <c r="K25" s="318"/>
      <c r="L25" s="318"/>
      <c r="M25" s="316"/>
      <c r="N25" s="318"/>
      <c r="O25" s="318"/>
      <c r="P25" s="318"/>
      <c r="Q25" s="318"/>
      <c r="R25" s="318"/>
      <c r="S25" s="316">
        <f>+S26-S27</f>
        <v>8.1769164970400094</v>
      </c>
      <c r="T25" s="318"/>
      <c r="U25" s="318"/>
      <c r="V25" s="318"/>
      <c r="W25" s="318"/>
      <c r="X25" s="318"/>
      <c r="Y25" s="316">
        <f>+Y26-Y27</f>
        <v>1.6828307000510512</v>
      </c>
      <c r="Z25" s="318"/>
      <c r="AA25" s="316">
        <f>+AA26-AA27</f>
        <v>1.208015277279699</v>
      </c>
      <c r="AB25" s="316">
        <f>+AB26-AB27</f>
        <v>0.83867896126059094</v>
      </c>
      <c r="AC25" s="316">
        <f>+AC26-AC27</f>
        <v>0.60935871284180643</v>
      </c>
      <c r="AD25" s="316">
        <f>+AD26-AD27</f>
        <v>0.89292249519659128</v>
      </c>
      <c r="AE25" s="316">
        <f>SUMPRODUCT(AA25:AD25,U24:X24)/Y24</f>
        <v>0.85811428941146439</v>
      </c>
      <c r="AF25" s="430"/>
      <c r="AG25" s="316">
        <f>+AG26-AG27</f>
        <v>0.13150906826427144</v>
      </c>
      <c r="AH25" s="316">
        <f>+AH26-AH27</f>
        <v>4.2611660735487333E-2</v>
      </c>
      <c r="AI25" s="316">
        <f>+AI26-AI27</f>
        <v>3.0401685661592806E-2</v>
      </c>
      <c r="AJ25" s="316">
        <f>+AJ26-AJ27</f>
        <v>3.7989915774343068E-2</v>
      </c>
      <c r="AK25" s="316">
        <f>SUMPRODUCT(AG25:AJ25,AA24:AD24)/AE24</f>
        <v>5.9016074115085401E-2</v>
      </c>
      <c r="AL25" s="430"/>
      <c r="AM25" s="316">
        <f>+AM26-AM27</f>
        <v>0.15297023573098886</v>
      </c>
      <c r="AN25" s="316">
        <f>+AN26-AN27</f>
        <v>6.0731670010931778E-2</v>
      </c>
      <c r="AO25" s="316">
        <f>+AO26-AO27</f>
        <v>5.5359986000134184E-2</v>
      </c>
      <c r="AP25" s="316">
        <f>+AP26-AP27</f>
        <v>5.9284354178835291E-4</v>
      </c>
      <c r="AQ25" s="316">
        <f>SUMPRODUCT(AM25:AP25,AG24:AJ24)/AK24</f>
        <v>6.7420237174203423E-2</v>
      </c>
      <c r="AR25" s="430"/>
      <c r="AS25" s="316">
        <f>+AS26-AS27</f>
        <v>3.3093490351939758E-2</v>
      </c>
      <c r="AT25" s="316">
        <f>+AT26-AT27</f>
        <v>3.4785139643004691E-2</v>
      </c>
      <c r="AU25" s="316">
        <f>+AU26-AU27</f>
        <v>4.9203345233007699E-2</v>
      </c>
      <c r="AV25" s="316">
        <f>+AV26-AV27</f>
        <v>0.11103895204514648</v>
      </c>
      <c r="AW25" s="316">
        <f>SUMPRODUCT(AS25:AV25,AM24:AP24)/AQ24</f>
        <v>5.5737279471000628E-2</v>
      </c>
      <c r="AX25" s="430"/>
      <c r="AY25" s="316">
        <f>+AY26-AY27</f>
        <v>4.4001216873885036E-3</v>
      </c>
      <c r="AZ25" s="316">
        <f>+AZ26-AZ27</f>
        <v>7.395576704979398E-2</v>
      </c>
      <c r="BA25" s="316">
        <f>+BA26-BA27</f>
        <v>6.7540441288282529E-2</v>
      </c>
      <c r="BB25" s="316">
        <f>+BB26-BB27</f>
        <v>8.9429365066984956E-2</v>
      </c>
      <c r="BC25" s="316">
        <f>SUMPRODUCT(AY25:BB25,AS24:AV24)/AW24</f>
        <v>5.7554601376392261E-2</v>
      </c>
      <c r="BD25" s="430"/>
      <c r="BE25" s="316">
        <f>+BE26-BE27</f>
        <v>-0.28165244333465167</v>
      </c>
      <c r="BF25" s="316">
        <f>+BF26-BF27</f>
        <v>-0.44779688027503972</v>
      </c>
      <c r="BG25" s="316">
        <f>+BG26-BG27</f>
        <v>0.70564723257772921</v>
      </c>
      <c r="BH25" s="316">
        <f>+BH26-BH27</f>
        <v>2.8513956009690752E-2</v>
      </c>
      <c r="BI25" s="316">
        <f>SUMPRODUCT(BE25:BH25,AY24:BB24)/BC24</f>
        <v>-5.4150724695425281E-3</v>
      </c>
      <c r="BJ25" s="430"/>
      <c r="BK25" s="316">
        <f>+BK26-BK27</f>
        <v>1.2338321039203213</v>
      </c>
      <c r="BL25" s="316">
        <f>+BL26-BL27</f>
        <v>2.5280145126763198</v>
      </c>
      <c r="BM25" s="316">
        <f>+BM26-BM27</f>
        <v>0.30800113221433989</v>
      </c>
      <c r="BN25" s="316">
        <f>+BN26-BN27</f>
        <v>1.4693879089659352</v>
      </c>
      <c r="BO25" s="316">
        <f>SUMPRODUCT(BK25:BN25,BE24:BH24)/BI24</f>
        <v>1.0868136557917023</v>
      </c>
      <c r="BP25" s="430"/>
      <c r="BQ25" s="316">
        <f>+BQ26-BQ27</f>
        <v>-0.26016812136919826</v>
      </c>
      <c r="BR25" s="480">
        <f>UnitBuild!BR82+UnitBuild!BR103</f>
        <v>0.28343464593315337</v>
      </c>
      <c r="BS25" s="480">
        <f>UnitBuild!BS82+UnitBuild!BS103</f>
        <v>0.23929106223271557</v>
      </c>
      <c r="BT25" s="480">
        <f>UnitBuild!BT82+UnitBuild!BT103</f>
        <v>0.19721950978743874</v>
      </c>
      <c r="BU25" s="316">
        <f>SUMPRODUCT(BQ25:BT25,BK24:BN24)/BO24</f>
        <v>0.13964061781223347</v>
      </c>
      <c r="BV25" s="430"/>
      <c r="BW25" s="480">
        <f>UnitBuild!BW82+UnitBuild!BW103</f>
        <v>0.30733734425027914</v>
      </c>
      <c r="BX25" s="480">
        <f>UnitBuild!BX82+UnitBuild!BX103</f>
        <v>0.85554905729715114</v>
      </c>
      <c r="BY25" s="480">
        <f>UnitBuild!BY82+UnitBuild!BY103</f>
        <v>0.80214615005705969</v>
      </c>
      <c r="BZ25" s="480">
        <f>UnitBuild!BZ82+UnitBuild!BZ103</f>
        <v>0.88909118128350273</v>
      </c>
      <c r="CA25" s="316">
        <f>SUMPRODUCT(BW25:BZ25,BQ24:BT24)/BU24</f>
        <v>0.7796264491226782</v>
      </c>
      <c r="CB25" s="430"/>
      <c r="CC25" s="480">
        <f>UnitBuild!CC82+UnitBuild!CC103</f>
        <v>0.35570330682050955</v>
      </c>
      <c r="CD25" s="480">
        <f>UnitBuild!CD82+UnitBuild!CD103</f>
        <v>9.9867988603806523E-2</v>
      </c>
      <c r="CE25" s="480">
        <f>UnitBuild!CE82+UnitBuild!CE103</f>
        <v>0.10263750218978851</v>
      </c>
      <c r="CF25" s="480">
        <f>UnitBuild!CF82+UnitBuild!CF103</f>
        <v>5.2604635818188639E-2</v>
      </c>
      <c r="CG25" s="316">
        <f>SUMPRODUCT(CC25:CF25,BW24:BZ24)/CA24</f>
        <v>0.10911739052123308</v>
      </c>
    </row>
    <row r="26" spans="1:88" ht="12.75" hidden="1" customHeight="1" outlineLevel="1" x14ac:dyDescent="0.2">
      <c r="A26" s="308"/>
      <c r="B26" s="599" t="s">
        <v>299</v>
      </c>
      <c r="C26" s="600"/>
      <c r="D26" s="600"/>
      <c r="E26" s="600"/>
      <c r="F26" s="600"/>
      <c r="G26" s="600"/>
      <c r="H26" s="601"/>
      <c r="I26" s="600"/>
      <c r="J26" s="600"/>
      <c r="K26" s="600"/>
      <c r="L26" s="600"/>
      <c r="M26" s="600"/>
      <c r="N26" s="601"/>
      <c r="O26" s="600"/>
      <c r="P26" s="600"/>
      <c r="Q26" s="600"/>
      <c r="R26" s="600"/>
      <c r="S26" s="600">
        <f>IF(ISERROR(S24/M24-1),"NM",S24/M24-1)</f>
        <v>8.1666666666666679</v>
      </c>
      <c r="T26" s="601"/>
      <c r="U26" s="600"/>
      <c r="V26" s="600"/>
      <c r="W26" s="600"/>
      <c r="X26" s="600"/>
      <c r="Y26" s="600">
        <f>IF(ISERROR(Y24/S24-1),"NM",Y24/S24-1)</f>
        <v>1.6727272727272724</v>
      </c>
      <c r="Z26" s="601"/>
      <c r="AA26" s="600">
        <f>IF(ISERROR(AA24/U24-1),"NM",AA24/U24-1)</f>
        <v>1.2068965517241379</v>
      </c>
      <c r="AB26" s="600">
        <f>IF(ISERROR(AB24/V24-1),"NM",AB24/V24-1)</f>
        <v>0.86842105263157898</v>
      </c>
      <c r="AC26" s="600">
        <f>IF(ISERROR(AC24/W24-1),"NM",AC24/W24-1)</f>
        <v>0.62790697674418605</v>
      </c>
      <c r="AD26" s="600">
        <f>IF(ISERROR(AD24/X24-1),"NM",AD24/X24-1)</f>
        <v>0.89189189189189189</v>
      </c>
      <c r="AE26" s="600">
        <f>IF(ISERROR(AE24/Y24-1),"NM",AE24/Y24-1)</f>
        <v>0.87074829931972797</v>
      </c>
      <c r="AF26" s="601"/>
      <c r="AG26" s="600">
        <f>IF(ISERROR(AG24/AA24-1),"NM",AG24/AA24-1)</f>
        <v>0.12390624999999988</v>
      </c>
      <c r="AH26" s="600">
        <f>IF(ISERROR(AH24/AB24-1),"NM",AH24/AB24-1)</f>
        <v>2.1267605633802811E-2</v>
      </c>
      <c r="AI26" s="600">
        <f>IF(ISERROR(AI24/AC24-1),"NM",AI24/AC24-1)</f>
        <v>7.2857142857143398E-3</v>
      </c>
      <c r="AJ26" s="600">
        <f>IF(ISERROR(AJ24/AD24-1),"NM",AJ24/AD24-1)</f>
        <v>3.0000000000000027E-2</v>
      </c>
      <c r="AK26" s="600">
        <f>IF(ISERROR(AK24/AE24-1),"NM",AK24/AE24-1)</f>
        <v>4.3818181818181756E-2</v>
      </c>
      <c r="AL26" s="601"/>
      <c r="AM26" s="600">
        <f>IF(ISERROR(AM24/AG24-1),"NM",AM24/AG24-1)</f>
        <v>0.15292645627693591</v>
      </c>
      <c r="AN26" s="600">
        <f>IF(ISERROR(AN24/AH24-1),"NM",AN24/AH24-1)</f>
        <v>5.9164253206454243E-2</v>
      </c>
      <c r="AO26" s="600">
        <f>IF(ISERROR(AO24/AI24-1),"NM",AO24/AI24-1)</f>
        <v>5.5878598780314759E-2</v>
      </c>
      <c r="AP26" s="600">
        <f>IF(ISERROR(AP24/AJ24-1),"NM",AP24/AJ24-1)</f>
        <v>-3.4674063800277377E-3</v>
      </c>
      <c r="AQ26" s="600">
        <f>IF(ISERROR(AQ24/AK24-1),"NM",AQ24/AK24-1)</f>
        <v>6.6120884863264173E-2</v>
      </c>
      <c r="AR26" s="601"/>
      <c r="AS26" s="600">
        <f>IF(ISERROR(AS24/AM24-1),"NM",AS24/AM24-1)</f>
        <v>3.8266872779982197E-2</v>
      </c>
      <c r="AT26" s="600">
        <f>IF(ISERROR(AT24/AN24-1),"NM",AT24/AN24-1)</f>
        <v>4.1321246870363648E-2</v>
      </c>
      <c r="AU26" s="600">
        <f>IF(ISERROR(AU24/AO24-1),"NM",AU24/AO24-1)</f>
        <v>4.7683008730691645E-2</v>
      </c>
      <c r="AV26" s="600">
        <f>IF(ISERROR(AV24/AP24-1),"NM",AV24/AP24-1)</f>
        <v>8.5594989561586621E-2</v>
      </c>
      <c r="AW26" s="600">
        <f>IF(ISERROR(AW24/AQ24-1),"NM",AW24/AQ24-1)</f>
        <v>5.2435851123379784E-2</v>
      </c>
      <c r="AX26" s="601"/>
      <c r="AY26" s="600">
        <f>IF(ISERROR(AY24/AS24-1),"NM",AY24/AS24-1)</f>
        <v>-2.2222933878731754E-2</v>
      </c>
      <c r="AZ26" s="600">
        <f>IF(ISERROR(AZ24/AT24-1),"NM",AZ24/AT24-1)</f>
        <v>2.0283855975316012E-2</v>
      </c>
      <c r="BA26" s="600">
        <f>IF(ISERROR(BA24/AU24-1),"NM",BA24/AU24-1)</f>
        <v>1.9747969230770046E-2</v>
      </c>
      <c r="BB26" s="600">
        <f>IF(ISERROR(BB24/AV24-1),"NM",BB24/AV24-1)</f>
        <v>5.6017787179487133E-2</v>
      </c>
      <c r="BC26" s="600">
        <f>IF(ISERROR(BC24/AW24-1),"NM",BC24/AW24-1)</f>
        <v>1.7444364573207638E-2</v>
      </c>
      <c r="BD26" s="601"/>
      <c r="BE26" s="600">
        <f>IF(ISERROR(BE24/AY24-1),"NM",BE24/AY24-1)</f>
        <v>-0.29528288667744218</v>
      </c>
      <c r="BF26" s="600">
        <f>IF(ISERROR(BF24/AZ24-1),"NM",BF24/AZ24-1)</f>
        <v>-0.44779688027503972</v>
      </c>
      <c r="BG26" s="600">
        <f>IF(ISERROR(BG24/BA24-1),"NM",BG24/BA24-1)</f>
        <v>0.70564723257772921</v>
      </c>
      <c r="BH26" s="600">
        <f>IF(ISERROR(BH24/BB24-1),"NM",BH24/BB24-1)</f>
        <v>1.548611116263765E-2</v>
      </c>
      <c r="BI26" s="600">
        <f>IF(ISERROR(BI24/BC24-1),"NM",BI24/BC24-1)</f>
        <v>-1.2191618065777843E-2</v>
      </c>
      <c r="BJ26" s="601"/>
      <c r="BK26" s="600">
        <f>IF(ISERROR(BK24/BE24-1),"NM",BK24/BE24-1)</f>
        <v>1.2212650797916349</v>
      </c>
      <c r="BL26" s="600">
        <f>IF(ISERROR(BL24/BF24-1),"NM",BL24/BF24-1)</f>
        <v>2.5168770842342973</v>
      </c>
      <c r="BM26" s="600">
        <f>IF(ISERROR(BM24/BG24-1),"NM",BM24/BG24-1)</f>
        <v>0.3180011322143399</v>
      </c>
      <c r="BN26" s="600">
        <f>IF(ISERROR(BN24/BH24-1),"NM",BN24/BH24-1)</f>
        <v>1.5093879089659352</v>
      </c>
      <c r="BO26" s="600">
        <f>IF(ISERROR(BO24/BI24-1),"NM",BO24/BI24-1)</f>
        <v>1.0974872654719103</v>
      </c>
      <c r="BP26" s="601"/>
      <c r="BQ26" s="600">
        <f>IF(ISERROR(BQ24/BK24-1),"NM",BQ24/BK24-1)</f>
        <v>-0.21016812136919827</v>
      </c>
      <c r="BR26" s="600">
        <f>+BR25+BR27</f>
        <v>0.33843464593315337</v>
      </c>
      <c r="BS26" s="600">
        <f>+BS25+BS27</f>
        <v>0.26429106223271559</v>
      </c>
      <c r="BT26" s="600">
        <f>+BT25+BT27</f>
        <v>0.21721950978743873</v>
      </c>
      <c r="BU26" s="600">
        <f>IF(ISERROR(BU24/BO24-1),"NM",BU24/BO24-1)</f>
        <v>0.17494914401532635</v>
      </c>
      <c r="BV26" s="601"/>
      <c r="BW26" s="600">
        <f>+BW25+BW27</f>
        <v>0.30733734425027914</v>
      </c>
      <c r="BX26" s="600">
        <f>+BX25+BX27</f>
        <v>0.85554905729715114</v>
      </c>
      <c r="BY26" s="600">
        <f>+BY25+BY27</f>
        <v>0.80214615005705969</v>
      </c>
      <c r="BZ26" s="600">
        <f>+BZ25+BZ27</f>
        <v>0.88909118128350273</v>
      </c>
      <c r="CA26" s="600">
        <f>IF(ISERROR(CA24/BU24-1),"NM",CA24/BU24-1)</f>
        <v>0.77962644912267831</v>
      </c>
      <c r="CB26" s="601"/>
      <c r="CC26" s="600">
        <f>+CC25+CC27</f>
        <v>0.35570330682050955</v>
      </c>
      <c r="CD26" s="600">
        <f>+CD25+CD27</f>
        <v>9.9867988603806523E-2</v>
      </c>
      <c r="CE26" s="600">
        <f>+CE25+CE27</f>
        <v>0.10263750218978851</v>
      </c>
      <c r="CF26" s="600">
        <f>+CF25+CF27</f>
        <v>5.2604635818188639E-2</v>
      </c>
      <c r="CG26" s="600">
        <f>IF(ISERROR(CG24/CA24-1),"NM",CG24/CA24-1)</f>
        <v>0.10911739052123304</v>
      </c>
    </row>
    <row r="27" spans="1:88" ht="12.75" hidden="1" customHeight="1" outlineLevel="1" x14ac:dyDescent="0.2">
      <c r="A27" s="308"/>
      <c r="B27" s="602" t="s">
        <v>110</v>
      </c>
      <c r="C27" s="603"/>
      <c r="D27" s="603"/>
      <c r="E27" s="603"/>
      <c r="F27" s="603"/>
      <c r="G27" s="603"/>
      <c r="H27" s="603"/>
      <c r="I27" s="603"/>
      <c r="J27" s="603"/>
      <c r="K27" s="603"/>
      <c r="L27" s="603"/>
      <c r="M27" s="604"/>
      <c r="N27" s="603"/>
      <c r="O27" s="603"/>
      <c r="P27" s="603"/>
      <c r="Q27" s="603"/>
      <c r="R27" s="603"/>
      <c r="S27" s="604">
        <f>+S$59</f>
        <v>-1.0249830373341096E-2</v>
      </c>
      <c r="T27" s="603"/>
      <c r="U27" s="603"/>
      <c r="V27" s="603"/>
      <c r="W27" s="603"/>
      <c r="X27" s="603"/>
      <c r="Y27" s="603">
        <f>+Y$59</f>
        <v>-1.0103427323778721E-2</v>
      </c>
      <c r="Z27" s="603"/>
      <c r="AA27" s="603">
        <f>+AA$59</f>
        <v>-1.1187255555610426E-3</v>
      </c>
      <c r="AB27" s="603">
        <f>+AB$59</f>
        <v>2.9742091370988034E-2</v>
      </c>
      <c r="AC27" s="603">
        <f>+AC$59</f>
        <v>1.8548263902379618E-2</v>
      </c>
      <c r="AD27" s="603">
        <f>+AD$59</f>
        <v>-1.0306033046994286E-3</v>
      </c>
      <c r="AE27" s="603">
        <f>+AE26-AE25</f>
        <v>1.2634009908263577E-2</v>
      </c>
      <c r="AF27" s="603"/>
      <c r="AG27" s="603">
        <f>+AG$59</f>
        <v>-7.6028182642715559E-3</v>
      </c>
      <c r="AH27" s="603">
        <f>+AH$59</f>
        <v>-2.1344055101684519E-2</v>
      </c>
      <c r="AI27" s="603">
        <f>+AI$59</f>
        <v>-2.3115971375878466E-2</v>
      </c>
      <c r="AJ27" s="603">
        <f>+AJ$59</f>
        <v>-7.9899157743430413E-3</v>
      </c>
      <c r="AK27" s="603">
        <f>+AK26-AK25</f>
        <v>-1.5197892296903645E-2</v>
      </c>
      <c r="AL27" s="603"/>
      <c r="AM27" s="603">
        <f>+AM$59</f>
        <v>-4.3779454052956775E-5</v>
      </c>
      <c r="AN27" s="603">
        <f>+AN$59</f>
        <v>-1.5674168044775352E-3</v>
      </c>
      <c r="AO27" s="603">
        <f>+AO$59</f>
        <v>5.1861278018057629E-4</v>
      </c>
      <c r="AP27" s="603">
        <f>+AP$59</f>
        <v>-4.0602499218160906E-3</v>
      </c>
      <c r="AQ27" s="603">
        <f>+AQ26-AQ25</f>
        <v>-1.2993523109392502E-3</v>
      </c>
      <c r="AR27" s="603"/>
      <c r="AS27" s="603">
        <f>+AS$59</f>
        <v>5.173382428042439E-3</v>
      </c>
      <c r="AT27" s="603">
        <f>+AT$59</f>
        <v>6.5361072273589583E-3</v>
      </c>
      <c r="AU27" s="603">
        <f>+AU$59</f>
        <v>-1.5203365023160557E-3</v>
      </c>
      <c r="AV27" s="603">
        <f>+AV$59</f>
        <v>-2.5443962483559856E-2</v>
      </c>
      <c r="AW27" s="603">
        <f>+AW26-AW25</f>
        <v>-3.3014283476208439E-3</v>
      </c>
      <c r="AX27" s="603"/>
      <c r="AY27" s="603">
        <f>+AY$59</f>
        <v>-2.6623055566120258E-2</v>
      </c>
      <c r="AZ27" s="603">
        <f>+AZ$59</f>
        <v>-5.3671911074477975E-2</v>
      </c>
      <c r="BA27" s="603">
        <f>+BA$59</f>
        <v>-4.7792472057512483E-2</v>
      </c>
      <c r="BB27" s="603">
        <f>+BB$59</f>
        <v>-3.341157788749783E-2</v>
      </c>
      <c r="BC27" s="603">
        <f>+BC26-BC25</f>
        <v>-4.0110236803184623E-2</v>
      </c>
      <c r="BD27" s="603"/>
      <c r="BE27" s="603">
        <f>+BE$59</f>
        <v>-1.3630443342790505E-2</v>
      </c>
      <c r="BF27" s="603">
        <f>+BF$59</f>
        <v>0</v>
      </c>
      <c r="BG27" s="603">
        <f>+BG$59</f>
        <v>0</v>
      </c>
      <c r="BH27" s="603">
        <f>+BH$59</f>
        <v>-1.3027844847053102E-2</v>
      </c>
      <c r="BI27" s="603">
        <f>+BI26-BI25</f>
        <v>-6.7765455962353147E-3</v>
      </c>
      <c r="BJ27" s="603"/>
      <c r="BK27" s="603">
        <f>+BK$59</f>
        <v>-1.2567024128686327E-2</v>
      </c>
      <c r="BL27" s="603">
        <f>+BL$59</f>
        <v>-1.1137428442022259E-2</v>
      </c>
      <c r="BM27" s="603">
        <f>+BM$59</f>
        <v>0.01</v>
      </c>
      <c r="BN27" s="603">
        <f>+BN$59</f>
        <v>0.04</v>
      </c>
      <c r="BO27" s="603">
        <f>+BO26-BO25</f>
        <v>1.0673609680208029E-2</v>
      </c>
      <c r="BP27" s="603"/>
      <c r="BQ27" s="603">
        <f>+BQ$59</f>
        <v>0.05</v>
      </c>
      <c r="BR27" s="603">
        <f>+BR$59</f>
        <v>5.5E-2</v>
      </c>
      <c r="BS27" s="603">
        <f>+BS$59</f>
        <v>2.5000000000000001E-2</v>
      </c>
      <c r="BT27" s="603">
        <f>+BT$59</f>
        <v>0.02</v>
      </c>
      <c r="BU27" s="603">
        <f>+BU26-BU25</f>
        <v>3.5308526203092883E-2</v>
      </c>
      <c r="BV27" s="603"/>
      <c r="BW27" s="603">
        <f>+BW$59</f>
        <v>0</v>
      </c>
      <c r="BX27" s="603">
        <f>+BX$59</f>
        <v>0</v>
      </c>
      <c r="BY27" s="603">
        <f>+BY$59</f>
        <v>0</v>
      </c>
      <c r="BZ27" s="603">
        <f>+BZ$59</f>
        <v>0</v>
      </c>
      <c r="CA27" s="603">
        <f>+CA26-CA25</f>
        <v>0</v>
      </c>
      <c r="CB27" s="603"/>
      <c r="CC27" s="603">
        <f>+CC$59</f>
        <v>0</v>
      </c>
      <c r="CD27" s="603">
        <f>+CD$59</f>
        <v>0</v>
      </c>
      <c r="CE27" s="603">
        <f>+CE$59</f>
        <v>0</v>
      </c>
      <c r="CF27" s="603">
        <f>+CF$59</f>
        <v>0</v>
      </c>
      <c r="CG27" s="603">
        <f>+CG26-CG25</f>
        <v>0</v>
      </c>
    </row>
    <row r="28" spans="1:88" s="42" customFormat="1" ht="6.75" customHeight="1" collapsed="1" x14ac:dyDescent="0.2">
      <c r="A28" s="308"/>
      <c r="B28" s="308"/>
      <c r="C28" s="316"/>
      <c r="D28" s="316"/>
      <c r="E28" s="316"/>
      <c r="F28" s="316"/>
      <c r="G28" s="316"/>
      <c r="H28" s="236"/>
      <c r="I28" s="316"/>
      <c r="J28" s="316"/>
      <c r="K28" s="316"/>
      <c r="L28" s="316"/>
      <c r="M28" s="316"/>
      <c r="N28" s="236"/>
      <c r="O28" s="316"/>
      <c r="P28" s="316"/>
      <c r="Q28" s="316"/>
      <c r="R28" s="316"/>
      <c r="S28" s="316"/>
      <c r="T28" s="236"/>
      <c r="U28" s="316"/>
      <c r="V28" s="316"/>
      <c r="W28" s="316"/>
      <c r="X28" s="316"/>
      <c r="Y28" s="316"/>
      <c r="Z28" s="316"/>
      <c r="AA28" s="38"/>
      <c r="AB28" s="38"/>
      <c r="AC28" s="38"/>
      <c r="AD28" s="38"/>
      <c r="AE28" s="38"/>
      <c r="AF28" s="236"/>
      <c r="AG28" s="38"/>
      <c r="AH28" s="38"/>
      <c r="AI28" s="38"/>
      <c r="AJ28" s="38"/>
      <c r="AK28" s="38"/>
      <c r="AL28" s="236"/>
      <c r="AM28" s="38"/>
      <c r="AN28" s="38"/>
      <c r="AO28" s="316"/>
      <c r="AP28" s="38"/>
      <c r="AQ28" s="316"/>
      <c r="AR28" s="236"/>
      <c r="AS28" s="38"/>
      <c r="AT28" s="316"/>
      <c r="AU28" s="316"/>
      <c r="AV28" s="316"/>
      <c r="AW28" s="316"/>
      <c r="AX28" s="236"/>
      <c r="AY28" s="316"/>
      <c r="AZ28" s="316"/>
      <c r="BA28" s="316"/>
      <c r="BB28" s="316"/>
      <c r="BC28" s="316"/>
      <c r="BD28" s="236"/>
      <c r="BE28" s="316"/>
      <c r="BF28" s="316"/>
      <c r="BG28" s="316"/>
      <c r="BH28" s="316"/>
      <c r="BI28" s="316"/>
      <c r="BJ28" s="236"/>
      <c r="BK28" s="316"/>
      <c r="BL28" s="316"/>
      <c r="BM28" s="316"/>
      <c r="BN28" s="316"/>
      <c r="BO28" s="316"/>
      <c r="BP28" s="236"/>
      <c r="BQ28" s="316"/>
      <c r="BR28" s="316"/>
      <c r="BS28" s="316"/>
      <c r="BT28" s="316"/>
      <c r="BU28" s="316"/>
      <c r="BV28" s="236"/>
      <c r="BW28" s="316"/>
      <c r="BX28" s="316"/>
      <c r="BY28" s="316"/>
      <c r="BZ28" s="316"/>
      <c r="CA28" s="316"/>
      <c r="CB28" s="236"/>
      <c r="CC28" s="316"/>
      <c r="CD28" s="316"/>
      <c r="CE28" s="316"/>
      <c r="CF28" s="316"/>
      <c r="CG28" s="316"/>
    </row>
    <row r="29" spans="1:88" s="42" customFormat="1" x14ac:dyDescent="0.2">
      <c r="A29" s="402"/>
      <c r="B29" s="314" t="s">
        <v>150</v>
      </c>
      <c r="C29" s="403"/>
      <c r="D29" s="403"/>
      <c r="E29" s="403"/>
      <c r="F29" s="404"/>
      <c r="G29" s="403">
        <f>16.4+(284.332-284.3)</f>
        <v>16.431999999999981</v>
      </c>
      <c r="H29" s="252"/>
      <c r="I29" s="403">
        <f>0.042*I6</f>
        <v>3.1405919999999998</v>
      </c>
      <c r="J29" s="403">
        <f>0.043*J6</f>
        <v>3.4357859999999998</v>
      </c>
      <c r="K29" s="403">
        <v>2.6</v>
      </c>
      <c r="L29" s="612">
        <f>12.4-K29-J29-I29</f>
        <v>3.2236220000000007</v>
      </c>
      <c r="M29" s="403">
        <f>18.2+(303.976-304)</f>
        <v>18.175999999999998</v>
      </c>
      <c r="N29" s="252"/>
      <c r="O29" s="403">
        <f>0.055*O6</f>
        <v>3.8572600000000001</v>
      </c>
      <c r="P29" s="403">
        <f>0.065*P6</f>
        <v>4.9605400000000008</v>
      </c>
      <c r="Q29" s="403">
        <f>0.053*Q6</f>
        <v>4.201257</v>
      </c>
      <c r="R29" s="403">
        <f>0.048*R6</f>
        <v>4.1575680000000004</v>
      </c>
      <c r="S29" s="403">
        <f>17.1+(312.333-312.3)</f>
        <v>17.133000000000017</v>
      </c>
      <c r="T29" s="252"/>
      <c r="U29" s="403">
        <f>4.7+(90.09-90.1)</f>
        <v>4.6900000000000093</v>
      </c>
      <c r="V29" s="403">
        <f>5.4+(93.898-93.9)</f>
        <v>5.3979999999999908</v>
      </c>
      <c r="W29" s="403">
        <f>4.8+(95.947-95.9)</f>
        <v>4.8469999999999969</v>
      </c>
      <c r="X29" s="403">
        <f>5.4++(92.893-92.9)</f>
        <v>5.3929999999999954</v>
      </c>
      <c r="Y29" s="38">
        <f>+SUM(U29:X29)</f>
        <v>20.327999999999996</v>
      </c>
      <c r="Z29" s="252"/>
      <c r="AA29" s="417">
        <f>5.4+(104.856-104.9)</f>
        <v>5.3559999999999892</v>
      </c>
      <c r="AB29" s="417">
        <v>6</v>
      </c>
      <c r="AC29" s="417">
        <v>6.3</v>
      </c>
      <c r="AD29" s="417">
        <v>7.1</v>
      </c>
      <c r="AE29" s="38">
        <f>+SUM(AA29:AD29)</f>
        <v>24.755999999999986</v>
      </c>
      <c r="AF29" s="252"/>
      <c r="AG29" s="417">
        <v>6.7569999999999997</v>
      </c>
      <c r="AH29" s="417">
        <v>7.7889999999999997</v>
      </c>
      <c r="AI29" s="417">
        <v>7.4569999999999999</v>
      </c>
      <c r="AJ29" s="417">
        <v>8.66</v>
      </c>
      <c r="AK29" s="38">
        <f>+SUM(AG29:AJ29)</f>
        <v>30.663</v>
      </c>
      <c r="AL29" s="252"/>
      <c r="AM29" s="417">
        <v>12.709</v>
      </c>
      <c r="AN29" s="417">
        <v>10.766</v>
      </c>
      <c r="AO29" s="417">
        <v>10.679</v>
      </c>
      <c r="AP29" s="417">
        <v>10.57</v>
      </c>
      <c r="AQ29" s="38">
        <f>+SUM(AM29:AP29)</f>
        <v>44.724000000000004</v>
      </c>
      <c r="AR29" s="252"/>
      <c r="AS29" s="417">
        <v>10.481</v>
      </c>
      <c r="AT29" s="417">
        <v>12.099</v>
      </c>
      <c r="AU29" s="417">
        <v>11.35</v>
      </c>
      <c r="AV29" s="417">
        <v>12.3</v>
      </c>
      <c r="AW29" s="38">
        <f>+SUM(AS29:AV29)</f>
        <v>46.230000000000004</v>
      </c>
      <c r="AX29" s="252"/>
      <c r="AY29" s="754">
        <v>12.265000000000001</v>
      </c>
      <c r="AZ29" s="754">
        <v>12.784000000000001</v>
      </c>
      <c r="BA29" s="754">
        <v>12.942</v>
      </c>
      <c r="BB29" s="754">
        <v>13.404999999999999</v>
      </c>
      <c r="BC29" s="38">
        <f>+SUM(AY29:BB29)</f>
        <v>51.396000000000001</v>
      </c>
      <c r="BD29" s="252"/>
      <c r="BE29" s="754">
        <v>14.148999999999999</v>
      </c>
      <c r="BF29" s="754">
        <v>15.824</v>
      </c>
      <c r="BG29" s="795">
        <v>15.564</v>
      </c>
      <c r="BH29" s="795">
        <v>17.468</v>
      </c>
      <c r="BI29" s="38">
        <f>+SUM(BE29:BH29)</f>
        <v>63.004999999999995</v>
      </c>
      <c r="BJ29" s="252"/>
      <c r="BK29" s="754">
        <v>17.942</v>
      </c>
      <c r="BL29" s="754">
        <v>20.588000000000001</v>
      </c>
      <c r="BM29" s="795">
        <v>21.21</v>
      </c>
      <c r="BN29" s="795">
        <v>21.968</v>
      </c>
      <c r="BO29" s="38">
        <f>+SUM(BK29:BN29)</f>
        <v>81.707999999999998</v>
      </c>
      <c r="BP29" s="252"/>
      <c r="BQ29" s="754">
        <v>24.216000000000001</v>
      </c>
      <c r="BR29" s="38">
        <f>+BL29*(1+BR31)</f>
        <v>24.808540000000004</v>
      </c>
      <c r="BS29" s="38">
        <f>+BM29*(1+BS31)</f>
        <v>24.921750000000003</v>
      </c>
      <c r="BT29" s="38">
        <f>+BN29*(1+BT31)</f>
        <v>25.702559999999998</v>
      </c>
      <c r="BU29" s="38">
        <f>+SUM(BQ29:BT29)</f>
        <v>99.64885000000001</v>
      </c>
      <c r="BV29" s="252"/>
      <c r="BW29" s="38">
        <f>+BQ29*(1+BW31)</f>
        <v>27.848399999999998</v>
      </c>
      <c r="BX29" s="38">
        <f>+BR29*(1+BX31)</f>
        <v>28.529821000000002</v>
      </c>
      <c r="BY29" s="38">
        <f>+BS29*(1+BY31)</f>
        <v>28.660012500000001</v>
      </c>
      <c r="BZ29" s="38">
        <f>+BT29*(1+BZ31)</f>
        <v>29.557943999999996</v>
      </c>
      <c r="CA29" s="38">
        <f>+SUM(BW29:BZ29)</f>
        <v>114.59617749999998</v>
      </c>
      <c r="CB29" s="252"/>
      <c r="CC29" s="38">
        <f>+BW29*(1+CC31)</f>
        <v>32.025659999999995</v>
      </c>
      <c r="CD29" s="38">
        <f>+BX29*(1+CD31)</f>
        <v>32.809294149999999</v>
      </c>
      <c r="CE29" s="38">
        <f>+BY29*(1+CE31)</f>
        <v>32.959014374999995</v>
      </c>
      <c r="CF29" s="38">
        <f>+BZ29*(1+CF31)</f>
        <v>33.991635599999995</v>
      </c>
      <c r="CG29" s="38">
        <f>+SUM(CC29:CF29)</f>
        <v>131.78560412499996</v>
      </c>
    </row>
    <row r="30" spans="1:88" s="42" customFormat="1" ht="12.75" customHeight="1" x14ac:dyDescent="0.2">
      <c r="A30" s="308"/>
      <c r="B30" s="268" t="s">
        <v>111</v>
      </c>
      <c r="C30" s="318"/>
      <c r="D30" s="318"/>
      <c r="E30" s="318"/>
      <c r="F30" s="318"/>
      <c r="G30" s="318"/>
      <c r="H30" s="318"/>
      <c r="I30" s="318"/>
      <c r="J30" s="318"/>
      <c r="K30" s="318"/>
      <c r="L30" s="318"/>
      <c r="M30" s="316">
        <f>+M31-M32</f>
        <v>0.10613437195715791</v>
      </c>
      <c r="N30" s="318"/>
      <c r="O30" s="318"/>
      <c r="P30" s="318"/>
      <c r="Q30" s="318"/>
      <c r="R30" s="318"/>
      <c r="S30" s="316">
        <f>+S31-S32</f>
        <v>-4.7133532302714276E-2</v>
      </c>
      <c r="T30" s="318"/>
      <c r="U30" s="318"/>
      <c r="V30" s="318"/>
      <c r="W30" s="318"/>
      <c r="X30" s="318"/>
      <c r="Y30" s="316">
        <f>+Y31-Y32</f>
        <v>0.1965856546044637</v>
      </c>
      <c r="Z30" s="318"/>
      <c r="AA30" s="316">
        <f>+AA31-AA32</f>
        <v>0.14312298994788064</v>
      </c>
      <c r="AB30" s="316">
        <f>+AB31-AB32</f>
        <v>8.1780694846131277E-2</v>
      </c>
      <c r="AC30" s="316">
        <f>+AC31-AC32</f>
        <v>0.28122479159586755</v>
      </c>
      <c r="AD30" s="316">
        <f>+AD31-AD32</f>
        <v>0.31755201995591503</v>
      </c>
      <c r="AE30" s="316">
        <f>SUMPRODUCT(AA30:AD30,U29:X29)/Y29</f>
        <v>0.20603864729055468</v>
      </c>
      <c r="AF30" s="430"/>
      <c r="AG30" s="316">
        <f>+AG31-AG32</f>
        <v>0.26917862110221269</v>
      </c>
      <c r="AH30" s="316">
        <f>+AH31-AH32</f>
        <v>0.31951072176835121</v>
      </c>
      <c r="AI30" s="316">
        <f>+AI31-AI32</f>
        <v>0.20676676502667207</v>
      </c>
      <c r="AJ30" s="316">
        <f>+AJ31-AJ32</f>
        <v>0.22770822563349813</v>
      </c>
      <c r="AK30" s="316">
        <f>SUMPRODUCT(AG30:AJ30,AA29:AD29)/AE29</f>
        <v>0.25360090672561925</v>
      </c>
      <c r="AL30" s="430"/>
      <c r="AM30" s="316">
        <f>+AM31-AM32</f>
        <v>0.88090806833965318</v>
      </c>
      <c r="AN30" s="316">
        <f>+AN31-AN32</f>
        <v>0.38377309147388311</v>
      </c>
      <c r="AO30" s="316">
        <f>+AO31-AO32</f>
        <v>0.43155863007887812</v>
      </c>
      <c r="AP30" s="316">
        <f>+AP31-AP32</f>
        <v>0.22461452243913715</v>
      </c>
      <c r="AQ30" s="316">
        <f>SUMPRODUCT(AM30:AP30,AG29:AJ29)/AK29</f>
        <v>0.45999409373127981</v>
      </c>
      <c r="AR30" s="430"/>
      <c r="AS30" s="316">
        <f>+AS31-AS32</f>
        <v>-0.18048221868581249</v>
      </c>
      <c r="AT30" s="316">
        <f>+AT31-AT32</f>
        <v>0.11727960891605561</v>
      </c>
      <c r="AU30" s="316">
        <f>+AU31-AU32</f>
        <v>6.4353935153875191E-2</v>
      </c>
      <c r="AV30" s="430">
        <v>0</v>
      </c>
      <c r="AW30" s="316">
        <f>SUMPRODUCT(AS30:AV30,AM29:AP29)/AQ29</f>
        <v>-7.6889494271420939E-3</v>
      </c>
      <c r="AX30" s="430"/>
      <c r="AY30" s="316">
        <f>+AY31-AY32</f>
        <v>0.1968358215235671</v>
      </c>
      <c r="AZ30" s="316">
        <f>+AZ31-AZ32</f>
        <v>0.11028816035127784</v>
      </c>
      <c r="BA30" s="316">
        <f>+BA31-BA32</f>
        <v>0.1880567892381293</v>
      </c>
      <c r="BB30" s="316">
        <f>+BB31-BB32</f>
        <v>0.12324897626148135</v>
      </c>
      <c r="BC30" s="316">
        <f>SUMPRODUCT(AY30:BB30,AS29:AV29)/AW29</f>
        <v>0.15245121486799926</v>
      </c>
      <c r="BD30" s="430"/>
      <c r="BE30" s="316">
        <f>+BE31-BE32</f>
        <v>0.16723827049321849</v>
      </c>
      <c r="BF30" s="316">
        <f>+BF31-BF32</f>
        <v>0.23779724655819767</v>
      </c>
      <c r="BG30" s="316">
        <f>+BG31-BG32</f>
        <v>0.20259619842373655</v>
      </c>
      <c r="BH30" s="316">
        <f>+BH31-BH32</f>
        <v>0.31612370460087647</v>
      </c>
      <c r="BI30" s="316">
        <f>SUMPRODUCT(BE30:BH30,AY29:BB29)/BC29</f>
        <v>0.23252423627858337</v>
      </c>
      <c r="BJ30" s="430"/>
      <c r="BK30" s="316">
        <f>+BK31-BK32</f>
        <v>0.28064250649493133</v>
      </c>
      <c r="BL30" s="316">
        <f>+BL31-BL32</f>
        <v>0.31219910690511643</v>
      </c>
      <c r="BM30" s="316">
        <f>+BM31-BM32</f>
        <v>0.35276021588280648</v>
      </c>
      <c r="BN30" s="316">
        <f>+BN31-BN32</f>
        <v>0.21761392260132809</v>
      </c>
      <c r="BO30" s="316">
        <f>SUMPRODUCT(BK30:BN30,BE29:BH29)/BI29</f>
        <v>0.28890864998116567</v>
      </c>
      <c r="BP30" s="430"/>
      <c r="BQ30" s="316">
        <f>+BQ31-BQ32</f>
        <v>0.29968230966447457</v>
      </c>
      <c r="BR30" s="430">
        <v>0.15</v>
      </c>
      <c r="BS30" s="430">
        <v>0.15</v>
      </c>
      <c r="BT30" s="430">
        <v>0.15</v>
      </c>
      <c r="BU30" s="316">
        <f t="shared" ref="BU30" si="0">SUMPRODUCT(BQ30:BT30,BK29:BN29)/BO29</f>
        <v>0.18286826259362612</v>
      </c>
      <c r="BV30" s="430"/>
      <c r="BW30" s="430">
        <v>0.15</v>
      </c>
      <c r="BX30" s="430">
        <v>0.15</v>
      </c>
      <c r="BY30" s="430">
        <v>0.15</v>
      </c>
      <c r="BZ30" s="430">
        <v>0.15</v>
      </c>
      <c r="CA30" s="316">
        <f t="shared" ref="CA30" si="1">SUMPRODUCT(BW30:BZ30,BQ29:BT29)/BU29</f>
        <v>0.14999999999999997</v>
      </c>
      <c r="CB30" s="430"/>
      <c r="CC30" s="430">
        <v>0.15</v>
      </c>
      <c r="CD30" s="430">
        <v>0.15</v>
      </c>
      <c r="CE30" s="430">
        <v>0.15</v>
      </c>
      <c r="CF30" s="430">
        <v>0.15</v>
      </c>
      <c r="CG30" s="316">
        <f t="shared" ref="CG30" si="2">SUMPRODUCT(CC30:CF30,BW29:BZ29)/CA29</f>
        <v>0.15000000000000002</v>
      </c>
    </row>
    <row r="31" spans="1:88" ht="12.75" hidden="1" customHeight="1" outlineLevel="1" x14ac:dyDescent="0.2">
      <c r="A31" s="308"/>
      <c r="B31" s="599" t="s">
        <v>299</v>
      </c>
      <c r="C31" s="600"/>
      <c r="D31" s="600"/>
      <c r="E31" s="600"/>
      <c r="F31" s="600"/>
      <c r="G31" s="600"/>
      <c r="H31" s="601"/>
      <c r="I31" s="600"/>
      <c r="J31" s="600"/>
      <c r="K31" s="600"/>
      <c r="L31" s="600"/>
      <c r="M31" s="600">
        <f>IF(ISERROR(M29/G29-1),"NM",M29/G29-1)</f>
        <v>0.10613437195715791</v>
      </c>
      <c r="N31" s="601"/>
      <c r="O31" s="600"/>
      <c r="P31" s="600"/>
      <c r="Q31" s="600"/>
      <c r="R31" s="600"/>
      <c r="S31" s="600">
        <f>IF(ISERROR(S29/M29-1),"NM",S29/M29-1)</f>
        <v>-5.7383362676055372E-2</v>
      </c>
      <c r="T31" s="601"/>
      <c r="U31" s="600">
        <f>IF(ISERROR(U29/O29-1),"NM",U29/O29-1)</f>
        <v>0.21588899892670166</v>
      </c>
      <c r="V31" s="600">
        <f>IF(ISERROR(V29/P29-1),"NM",V29/P29-1)</f>
        <v>8.8187979534484207E-2</v>
      </c>
      <c r="W31" s="600">
        <f>IF(ISERROR(W29/Q29-1),"NM",W29/Q29-1)</f>
        <v>0.15370233242098652</v>
      </c>
      <c r="X31" s="600">
        <f>IF(ISERROR(X29/R29-1),"NM",X29/R29-1)</f>
        <v>0.29715256611557406</v>
      </c>
      <c r="Y31" s="600">
        <f>IF(ISERROR(Y29/S29-1),"NM",Y29/S29-1)</f>
        <v>0.18648222728068498</v>
      </c>
      <c r="Z31" s="601"/>
      <c r="AA31" s="600">
        <f>IF(ISERROR(AA29/U29-1),"NM",AA29/U29-1)</f>
        <v>0.14200426439231961</v>
      </c>
      <c r="AB31" s="600">
        <f>IF(ISERROR(AB29/V29-1),"NM",AB29/V29-1)</f>
        <v>0.11152278621711931</v>
      </c>
      <c r="AC31" s="600">
        <f>IF(ISERROR(AC29/W29-1),"NM",AC29/W29-1)</f>
        <v>0.29977305549824718</v>
      </c>
      <c r="AD31" s="600">
        <f>IF(ISERROR(AD29/X29-1),"NM",AD29/X29-1)</f>
        <v>0.31652141665121558</v>
      </c>
      <c r="AE31" s="600">
        <f>IF(ISERROR(AE29/Y29-1),"NM",AE29/Y29-1)</f>
        <v>0.21782762691853552</v>
      </c>
      <c r="AF31" s="601"/>
      <c r="AG31" s="600">
        <f>IF(ISERROR(AG29/AA29-1),"NM",AG29/AA29-1)</f>
        <v>0.26157580283794113</v>
      </c>
      <c r="AH31" s="600">
        <f>IF(ISERROR(AH29/AB29-1),"NM",AH29/AB29-1)</f>
        <v>0.29816666666666669</v>
      </c>
      <c r="AI31" s="600">
        <f>IF(ISERROR(AI29/AC29-1),"NM",AI29/AC29-1)</f>
        <v>0.18365079365079362</v>
      </c>
      <c r="AJ31" s="600">
        <f>IF(ISERROR(AJ29/AD29-1),"NM",AJ29/AD29-1)</f>
        <v>0.21971830985915508</v>
      </c>
      <c r="AK31" s="600">
        <f>IF(ISERROR(AK29/AE29-1),"NM",AK29/AE29-1)</f>
        <v>0.23860882210373324</v>
      </c>
      <c r="AL31" s="601"/>
      <c r="AM31" s="600">
        <f>IF(ISERROR(AM29/AG29-1),"NM",AM29/AG29-1)</f>
        <v>0.8808642888856002</v>
      </c>
      <c r="AN31" s="600">
        <f>IF(ISERROR(AN29/AH29-1),"NM",AN29/AH29-1)</f>
        <v>0.38220567466940558</v>
      </c>
      <c r="AO31" s="600">
        <f>IF(ISERROR(AO29/AI29-1),"NM",AO29/AI29-1)</f>
        <v>0.43207724285905869</v>
      </c>
      <c r="AP31" s="600">
        <f>IF(ISERROR(AP29/AJ29-1),"NM",AP29/AJ29-1)</f>
        <v>0.22055427251732107</v>
      </c>
      <c r="AQ31" s="600">
        <f>IF(ISERROR(AQ29/AK29-1),"NM",AQ29/AK29-1)</f>
        <v>0.45856569807259584</v>
      </c>
      <c r="AR31" s="601"/>
      <c r="AS31" s="600">
        <f>IF(ISERROR(AS29/AM29-1),"NM",AS29/AM29-1)</f>
        <v>-0.17530883625777005</v>
      </c>
      <c r="AT31" s="600">
        <f>IF(ISERROR(AT29/AN29-1),"NM",AT29/AN29-1)</f>
        <v>0.12381571614341458</v>
      </c>
      <c r="AU31" s="600">
        <f>IF(ISERROR(AU29/AO29-1),"NM",AU29/AO29-1)</f>
        <v>6.283359865155913E-2</v>
      </c>
      <c r="AV31" s="600">
        <f>+AV30+AV32</f>
        <v>-2.5443962483559856E-2</v>
      </c>
      <c r="AW31" s="600">
        <f>IF(ISERROR(AW29/AQ29-1),"NM",AW29/AQ29-1)</f>
        <v>3.3673195599678074E-2</v>
      </c>
      <c r="AX31" s="601"/>
      <c r="AY31" s="600">
        <f>IF(ISERROR(AY29/AS29-1),"NM",AY29/AS29-1)</f>
        <v>0.17021276595744683</v>
      </c>
      <c r="AZ31" s="600">
        <f>IF(ISERROR(AZ29/AT29-1),"NM",AZ29/AT29-1)</f>
        <v>5.6616249276799868E-2</v>
      </c>
      <c r="BA31" s="600">
        <f>IF(ISERROR(BA29/AU29-1),"NM",BA29/AU29-1)</f>
        <v>0.14026431718061683</v>
      </c>
      <c r="BB31" s="600">
        <f>IF(ISERROR(BB29/AV29-1),"NM",BB29/AV29-1)</f>
        <v>8.9837398373983524E-2</v>
      </c>
      <c r="BC31" s="600">
        <f>IF(ISERROR(BC29/AW29-1),"NM",BC29/AW29-1)</f>
        <v>0.11174561972744956</v>
      </c>
      <c r="BD31" s="601"/>
      <c r="BE31" s="600">
        <f>IF(ISERROR(BE29/AY29-1),"NM",BE29/AY29-1)</f>
        <v>0.15360782715042798</v>
      </c>
      <c r="BF31" s="600">
        <f>IF(ISERROR(BF29/AZ29-1),"NM",BF29/AZ29-1)</f>
        <v>0.23779724655819767</v>
      </c>
      <c r="BG31" s="600">
        <f>IF(ISERROR(BG29/BA29-1),"NM",BG29/BA29-1)</f>
        <v>0.20259619842373655</v>
      </c>
      <c r="BH31" s="600">
        <f>IF(ISERROR(BH29/BB29-1),"NM",BH29/BB29-1)</f>
        <v>0.30309585975382336</v>
      </c>
      <c r="BI31" s="600">
        <f>IF(ISERROR(BI29/BC29-1),"NM",BI29/BC29-1)</f>
        <v>0.22587360884115482</v>
      </c>
      <c r="BJ31" s="601"/>
      <c r="BK31" s="600">
        <f>IF(ISERROR(BK29/BE29-1),"NM",BK29/BE29-1)</f>
        <v>0.26807548236624501</v>
      </c>
      <c r="BL31" s="600">
        <f>IF(ISERROR(BL29/BF29-1),"NM",BL29/BF29-1)</f>
        <v>0.30106167846309417</v>
      </c>
      <c r="BM31" s="600">
        <f>IF(ISERROR(BM29/BG29-1),"NM",BM29/BG29-1)</f>
        <v>0.36276021588280649</v>
      </c>
      <c r="BN31" s="600">
        <f>IF(ISERROR(BN29/BH29-1),"NM",BN29/BH29-1)</f>
        <v>0.25761392260132809</v>
      </c>
      <c r="BO31" s="600">
        <f>IF(ISERROR(BO29/BI29-1),"NM",BO29/BI29-1)</f>
        <v>0.29684945639234983</v>
      </c>
      <c r="BP31" s="601"/>
      <c r="BQ31" s="600">
        <f>IF(ISERROR(BQ29/BK29-1),"NM",BQ29/BK29-1)</f>
        <v>0.34968230966447456</v>
      </c>
      <c r="BR31" s="600">
        <f>+BR30+BR32</f>
        <v>0.20499999999999999</v>
      </c>
      <c r="BS31" s="600">
        <f>+BS30+BS32</f>
        <v>0.17499999999999999</v>
      </c>
      <c r="BT31" s="600">
        <f>+BT30+BT32</f>
        <v>0.16999999999999998</v>
      </c>
      <c r="BU31" s="600">
        <f>IF(ISERROR(BU29/BO29-1),"NM",BU29/BO29-1)</f>
        <v>0.21957274685465333</v>
      </c>
      <c r="BV31" s="601"/>
      <c r="BW31" s="600">
        <f>+BW30+BW32</f>
        <v>0.15</v>
      </c>
      <c r="BX31" s="600">
        <f>+BX30+BX32</f>
        <v>0.15</v>
      </c>
      <c r="BY31" s="600">
        <f>+BY30+BY32</f>
        <v>0.15</v>
      </c>
      <c r="BZ31" s="600">
        <f>+BZ30+BZ32</f>
        <v>0.15</v>
      </c>
      <c r="CA31" s="600">
        <f>IF(ISERROR(CA29/BU29-1),"NM",CA29/BU29-1)</f>
        <v>0.14999999999999969</v>
      </c>
      <c r="CB31" s="601"/>
      <c r="CC31" s="600">
        <f>+CC30+CC32</f>
        <v>0.15</v>
      </c>
      <c r="CD31" s="600">
        <f>+CD30+CD32</f>
        <v>0.15</v>
      </c>
      <c r="CE31" s="600">
        <f>+CE30+CE32</f>
        <v>0.15</v>
      </c>
      <c r="CF31" s="600">
        <f>+CF30+CF32</f>
        <v>0.15</v>
      </c>
      <c r="CG31" s="600">
        <f>IF(ISERROR(CG29/CA29-1),"NM",CG29/CA29-1)</f>
        <v>0.14999999999999991</v>
      </c>
    </row>
    <row r="32" spans="1:88" ht="12.75" hidden="1" customHeight="1" outlineLevel="1" x14ac:dyDescent="0.2">
      <c r="A32" s="308"/>
      <c r="B32" s="602" t="s">
        <v>110</v>
      </c>
      <c r="C32" s="603"/>
      <c r="D32" s="603"/>
      <c r="E32" s="603"/>
      <c r="F32" s="603"/>
      <c r="G32" s="603"/>
      <c r="H32" s="603"/>
      <c r="I32" s="603"/>
      <c r="J32" s="603"/>
      <c r="K32" s="603"/>
      <c r="L32" s="603"/>
      <c r="M32" s="604">
        <f>+M$59</f>
        <v>0</v>
      </c>
      <c r="N32" s="603"/>
      <c r="O32" s="603"/>
      <c r="P32" s="603"/>
      <c r="Q32" s="603"/>
      <c r="R32" s="603"/>
      <c r="S32" s="604">
        <f>+S$59</f>
        <v>-1.0249830373341096E-2</v>
      </c>
      <c r="T32" s="603"/>
      <c r="U32" s="603"/>
      <c r="V32" s="603"/>
      <c r="W32" s="603"/>
      <c r="X32" s="603"/>
      <c r="Y32" s="603">
        <f>+Y$59</f>
        <v>-1.0103427323778721E-2</v>
      </c>
      <c r="Z32" s="603"/>
      <c r="AA32" s="603">
        <f>+AA$59</f>
        <v>-1.1187255555610426E-3</v>
      </c>
      <c r="AB32" s="603">
        <f>+AB$59</f>
        <v>2.9742091370988034E-2</v>
      </c>
      <c r="AC32" s="603">
        <f>+AC$59</f>
        <v>1.8548263902379618E-2</v>
      </c>
      <c r="AD32" s="603">
        <f>+AD$59</f>
        <v>-1.0306033046994286E-3</v>
      </c>
      <c r="AE32" s="603">
        <f>+AE31-AE30</f>
        <v>1.1788979627980839E-2</v>
      </c>
      <c r="AF32" s="603"/>
      <c r="AG32" s="603">
        <f>+AG$59</f>
        <v>-7.6028182642715559E-3</v>
      </c>
      <c r="AH32" s="603">
        <f>+AH$59</f>
        <v>-2.1344055101684519E-2</v>
      </c>
      <c r="AI32" s="603">
        <f>+AI$59</f>
        <v>-2.3115971375878466E-2</v>
      </c>
      <c r="AJ32" s="603">
        <f>+AJ$59</f>
        <v>-7.9899157743430413E-3</v>
      </c>
      <c r="AK32" s="603">
        <f>+AK31-AK30</f>
        <v>-1.4992084621886004E-2</v>
      </c>
      <c r="AL32" s="603"/>
      <c r="AM32" s="603">
        <f>+AM$59</f>
        <v>-4.3779454052956775E-5</v>
      </c>
      <c r="AN32" s="603">
        <f>+AN$59</f>
        <v>-1.5674168044775352E-3</v>
      </c>
      <c r="AO32" s="603">
        <f>+AO$59</f>
        <v>5.1861278018057629E-4</v>
      </c>
      <c r="AP32" s="603">
        <f>+AP$59</f>
        <v>-4.0602499218160906E-3</v>
      </c>
      <c r="AQ32" s="603">
        <f>+AQ31-AQ30</f>
        <v>-1.4283956586839675E-3</v>
      </c>
      <c r="AR32" s="603"/>
      <c r="AS32" s="603">
        <f>+AS$59</f>
        <v>5.173382428042439E-3</v>
      </c>
      <c r="AT32" s="603">
        <f>+AT$59</f>
        <v>6.5361072273589583E-3</v>
      </c>
      <c r="AU32" s="603">
        <f>+AU$59</f>
        <v>-1.5203365023160557E-3</v>
      </c>
      <c r="AV32" s="603">
        <f>+AV$59</f>
        <v>-2.5443962483559856E-2</v>
      </c>
      <c r="AW32" s="603">
        <f>+AW31-AW30</f>
        <v>4.1362145026820167E-2</v>
      </c>
      <c r="AX32" s="603"/>
      <c r="AY32" s="603">
        <f>+AY$59</f>
        <v>-2.6623055566120258E-2</v>
      </c>
      <c r="AZ32" s="603">
        <f>+AZ$59</f>
        <v>-5.3671911074477975E-2</v>
      </c>
      <c r="BA32" s="603">
        <f>+BA$59</f>
        <v>-4.7792472057512483E-2</v>
      </c>
      <c r="BB32" s="603">
        <f>+BB$59</f>
        <v>-3.341157788749783E-2</v>
      </c>
      <c r="BC32" s="603">
        <f>+BC31-BC30</f>
        <v>-4.0705595140549694E-2</v>
      </c>
      <c r="BD32" s="603"/>
      <c r="BE32" s="603">
        <f>+BE$59</f>
        <v>-1.3630443342790505E-2</v>
      </c>
      <c r="BF32" s="603">
        <f>+BF$59</f>
        <v>0</v>
      </c>
      <c r="BG32" s="603">
        <f>+BG$59</f>
        <v>0</v>
      </c>
      <c r="BH32" s="603">
        <f>+BH$59</f>
        <v>-1.3027844847053102E-2</v>
      </c>
      <c r="BI32" s="603">
        <f>+BI31-BI30</f>
        <v>-6.6506274374285579E-3</v>
      </c>
      <c r="BJ32" s="603"/>
      <c r="BK32" s="603">
        <f>+BK$59</f>
        <v>-1.2567024128686327E-2</v>
      </c>
      <c r="BL32" s="603">
        <f>+BL$59</f>
        <v>-1.1137428442022259E-2</v>
      </c>
      <c r="BM32" s="603">
        <f>+BM$59</f>
        <v>0.01</v>
      </c>
      <c r="BN32" s="603">
        <f>+BN$59</f>
        <v>0.04</v>
      </c>
      <c r="BO32" s="603">
        <f>+BO31-BO30</f>
        <v>7.9408064111841647E-3</v>
      </c>
      <c r="BP32" s="603"/>
      <c r="BQ32" s="603">
        <f>+BQ$59</f>
        <v>0.05</v>
      </c>
      <c r="BR32" s="603">
        <f>+BR$59</f>
        <v>5.5E-2</v>
      </c>
      <c r="BS32" s="603">
        <f>+BS$59</f>
        <v>2.5000000000000001E-2</v>
      </c>
      <c r="BT32" s="603">
        <f>+BT$59</f>
        <v>0.02</v>
      </c>
      <c r="BU32" s="603">
        <f>+BU31-BU30</f>
        <v>3.6704484261027209E-2</v>
      </c>
      <c r="BV32" s="603"/>
      <c r="BW32" s="603">
        <f>+BW$59</f>
        <v>0</v>
      </c>
      <c r="BX32" s="603">
        <f>+BX$59</f>
        <v>0</v>
      </c>
      <c r="BY32" s="603">
        <f>+BY$59</f>
        <v>0</v>
      </c>
      <c r="BZ32" s="603">
        <f>+BZ$59</f>
        <v>0</v>
      </c>
      <c r="CA32" s="603">
        <f>+CA31-CA30</f>
        <v>-2.7755575615628914E-16</v>
      </c>
      <c r="CB32" s="603"/>
      <c r="CC32" s="603">
        <f>+CC$59</f>
        <v>0</v>
      </c>
      <c r="CD32" s="603">
        <f>+CD$59</f>
        <v>0</v>
      </c>
      <c r="CE32" s="603">
        <f>+CE$59</f>
        <v>0</v>
      </c>
      <c r="CF32" s="603">
        <f>+CF$59</f>
        <v>0</v>
      </c>
      <c r="CG32" s="603">
        <f>+CG31-CG30</f>
        <v>0</v>
      </c>
    </row>
    <row r="33" spans="1:92" s="42" customFormat="1" ht="6.75" customHeight="1" collapsed="1" x14ac:dyDescent="0.2">
      <c r="A33" s="308"/>
      <c r="B33" s="308"/>
      <c r="C33" s="316"/>
      <c r="D33" s="316"/>
      <c r="E33" s="316"/>
      <c r="F33" s="316"/>
      <c r="G33" s="316"/>
      <c r="H33" s="236"/>
      <c r="I33" s="316"/>
      <c r="J33" s="316"/>
      <c r="K33" s="316"/>
      <c r="L33" s="316"/>
      <c r="M33" s="316"/>
      <c r="N33" s="236"/>
      <c r="O33" s="316"/>
      <c r="P33" s="316"/>
      <c r="Q33" s="316"/>
      <c r="R33" s="316"/>
      <c r="S33" s="316"/>
      <c r="T33" s="236"/>
      <c r="U33" s="316"/>
      <c r="V33" s="316"/>
      <c r="W33" s="316"/>
      <c r="X33" s="316"/>
      <c r="Y33" s="316"/>
      <c r="Z33" s="316"/>
      <c r="AA33" s="38"/>
      <c r="AB33" s="38"/>
      <c r="AC33" s="38"/>
      <c r="AD33" s="38"/>
      <c r="AE33" s="38"/>
      <c r="AF33" s="236"/>
      <c r="AG33" s="38"/>
      <c r="AH33" s="38"/>
      <c r="AI33" s="38"/>
      <c r="AJ33" s="38"/>
      <c r="AK33" s="38"/>
      <c r="AL33" s="236"/>
      <c r="AM33" s="38"/>
      <c r="AN33" s="38"/>
      <c r="AO33" s="316"/>
      <c r="AP33" s="38"/>
      <c r="AQ33" s="316"/>
      <c r="AR33" s="236"/>
      <c r="AS33" s="38"/>
      <c r="AT33" s="316"/>
      <c r="AU33" s="316"/>
      <c r="AV33" s="316"/>
      <c r="AW33" s="316"/>
      <c r="AX33" s="236"/>
      <c r="AY33" s="316"/>
      <c r="AZ33" s="316"/>
      <c r="BA33" s="316"/>
      <c r="BB33" s="316"/>
      <c r="BC33" s="316"/>
      <c r="BD33" s="236"/>
      <c r="BE33" s="316"/>
      <c r="BF33" s="316"/>
      <c r="BG33" s="316"/>
      <c r="BH33" s="316"/>
      <c r="BI33" s="316"/>
      <c r="BJ33" s="236"/>
      <c r="BK33" s="316"/>
      <c r="BL33" s="316"/>
      <c r="BM33" s="316"/>
      <c r="BN33" s="316"/>
      <c r="BO33" s="316"/>
      <c r="BP33" s="236"/>
      <c r="BQ33" s="316"/>
      <c r="BR33" s="316"/>
      <c r="BS33" s="316"/>
      <c r="BT33" s="316"/>
      <c r="BU33" s="316"/>
      <c r="BV33" s="236"/>
      <c r="BW33" s="316"/>
      <c r="BX33" s="316"/>
      <c r="BY33" s="316"/>
      <c r="BZ33" s="316"/>
      <c r="CA33" s="316"/>
      <c r="CB33" s="236"/>
      <c r="CC33" s="316"/>
      <c r="CD33" s="316"/>
      <c r="CE33" s="316"/>
      <c r="CF33" s="316"/>
      <c r="CG33" s="316"/>
    </row>
    <row r="34" spans="1:92" s="42" customFormat="1" ht="12.75" customHeight="1" x14ac:dyDescent="0.2">
      <c r="A34" s="402"/>
      <c r="B34" s="314" t="s">
        <v>500</v>
      </c>
      <c r="C34" s="403"/>
      <c r="D34" s="403"/>
      <c r="E34" s="403"/>
      <c r="F34" s="404"/>
      <c r="G34" s="403"/>
      <c r="H34" s="252"/>
      <c r="I34" s="403"/>
      <c r="J34" s="403"/>
      <c r="K34" s="403"/>
      <c r="L34" s="403"/>
      <c r="M34" s="403"/>
      <c r="N34" s="252"/>
      <c r="O34" s="403"/>
      <c r="P34" s="403"/>
      <c r="Q34" s="403"/>
      <c r="R34" s="403"/>
      <c r="S34" s="403"/>
      <c r="T34" s="252"/>
      <c r="U34" s="403"/>
      <c r="V34" s="403"/>
      <c r="W34" s="403"/>
      <c r="X34" s="403"/>
      <c r="Y34" s="38"/>
      <c r="Z34" s="252"/>
      <c r="AA34" s="417"/>
      <c r="AB34" s="417"/>
      <c r="AC34" s="417"/>
      <c r="AD34" s="417"/>
      <c r="AE34" s="38"/>
      <c r="AF34" s="252"/>
      <c r="AG34" s="417"/>
      <c r="AH34" s="417"/>
      <c r="AI34" s="417"/>
      <c r="AJ34" s="417"/>
      <c r="AK34" s="38"/>
      <c r="AL34" s="252"/>
      <c r="AM34" s="417"/>
      <c r="AN34" s="417"/>
      <c r="AO34" s="417"/>
      <c r="AP34" s="417"/>
      <c r="AQ34" s="38"/>
      <c r="AR34" s="252"/>
      <c r="AS34" s="38"/>
      <c r="AT34" s="38"/>
      <c r="AU34" s="38"/>
      <c r="AV34" s="38"/>
      <c r="AW34" s="38"/>
      <c r="AX34" s="252"/>
      <c r="AY34" s="417"/>
      <c r="AZ34" s="417"/>
      <c r="BA34" s="417"/>
      <c r="BB34" s="417"/>
      <c r="BC34" s="38"/>
      <c r="BD34" s="252"/>
      <c r="BE34" s="753"/>
      <c r="BF34" s="753"/>
      <c r="BG34" s="766">
        <v>0</v>
      </c>
      <c r="BH34" s="766">
        <f>+UnitBuild!BH183</f>
        <v>0.29549999999999343</v>
      </c>
      <c r="BI34" s="766">
        <f>+UnitBuild!BI183</f>
        <v>0.29549999999999343</v>
      </c>
      <c r="BJ34" s="252"/>
      <c r="BK34" s="766">
        <f>+UnitBuild!BK183</f>
        <v>0.26524999999998755</v>
      </c>
      <c r="BL34" s="766">
        <f>+UnitBuild!BL183</f>
        <v>2.4693500000000412</v>
      </c>
      <c r="BM34" s="766">
        <f>+UnitBuild!BM183</f>
        <v>11.155849999999965</v>
      </c>
      <c r="BN34" s="766">
        <f>+UnitBuild!BN183</f>
        <v>9.4338499999999677</v>
      </c>
      <c r="BO34" s="766">
        <f>+UnitBuild!BO183</f>
        <v>23.324299999999962</v>
      </c>
      <c r="BP34" s="252"/>
      <c r="BQ34" s="766">
        <f>+UnitBuild!BQ183</f>
        <v>4.6611499999999708</v>
      </c>
      <c r="BR34" s="766">
        <f>+UnitBuild!BR183</f>
        <v>3.6580430704690508</v>
      </c>
      <c r="BS34" s="766">
        <f>+UnitBuild!BS183</f>
        <v>4.8829522340877531</v>
      </c>
      <c r="BT34" s="766">
        <f>+UnitBuild!BT183</f>
        <v>6.6949960981616048</v>
      </c>
      <c r="BU34" s="766">
        <f>+UnitBuild!BU183</f>
        <v>19.897141402718379</v>
      </c>
      <c r="BV34" s="252"/>
      <c r="BW34" s="766">
        <f>+UnitBuild!BW183</f>
        <v>2.9769223620231573</v>
      </c>
      <c r="BX34" s="766">
        <f>+UnitBuild!BX183</f>
        <v>3.8937852310135348</v>
      </c>
      <c r="BY34" s="766">
        <f>+UnitBuild!BY183</f>
        <v>5.1976335233246669</v>
      </c>
      <c r="BZ34" s="766">
        <f>+UnitBuild!BZ183</f>
        <v>8.3440661554776288</v>
      </c>
      <c r="CA34" s="766">
        <f>+UnitBuild!CA183</f>
        <v>20.412407271838987</v>
      </c>
      <c r="CB34" s="252"/>
      <c r="CC34" s="766">
        <f>+UnitBuild!CC183</f>
        <v>0</v>
      </c>
      <c r="CD34" s="766">
        <f>+UnitBuild!CD183</f>
        <v>0</v>
      </c>
      <c r="CE34" s="766">
        <f>+UnitBuild!CE183</f>
        <v>0</v>
      </c>
      <c r="CF34" s="766">
        <f>+UnitBuild!CF183</f>
        <v>0</v>
      </c>
      <c r="CG34" s="766">
        <f>+UnitBuild!CG183</f>
        <v>0</v>
      </c>
      <c r="CJ34" s="231"/>
      <c r="CK34" s="231"/>
      <c r="CL34" s="231"/>
      <c r="CM34" s="231"/>
      <c r="CN34" s="231"/>
    </row>
    <row r="35" spans="1:92" s="42" customFormat="1" ht="12.75" customHeight="1" x14ac:dyDescent="0.2">
      <c r="A35" s="308"/>
      <c r="B35" s="268" t="s">
        <v>111</v>
      </c>
      <c r="C35" s="318"/>
      <c r="D35" s="318"/>
      <c r="E35" s="318"/>
      <c r="F35" s="318"/>
      <c r="G35" s="318"/>
      <c r="H35" s="318"/>
      <c r="I35" s="318"/>
      <c r="J35" s="318"/>
      <c r="K35" s="318"/>
      <c r="L35" s="318"/>
      <c r="M35" s="316"/>
      <c r="N35" s="318"/>
      <c r="O35" s="318"/>
      <c r="P35" s="318"/>
      <c r="Q35" s="318"/>
      <c r="R35" s="318"/>
      <c r="S35" s="316"/>
      <c r="T35" s="318"/>
      <c r="U35" s="318"/>
      <c r="V35" s="318"/>
      <c r="W35" s="318"/>
      <c r="X35" s="318"/>
      <c r="Y35" s="316"/>
      <c r="Z35" s="318"/>
      <c r="AA35" s="316"/>
      <c r="AB35" s="316"/>
      <c r="AC35" s="316"/>
      <c r="AD35" s="316"/>
      <c r="AE35" s="316"/>
      <c r="AF35" s="430"/>
      <c r="AG35" s="316"/>
      <c r="AH35" s="316"/>
      <c r="AI35" s="316"/>
      <c r="AJ35" s="316"/>
      <c r="AK35" s="316"/>
      <c r="AL35" s="430"/>
      <c r="AM35" s="316"/>
      <c r="AN35" s="316"/>
      <c r="AO35" s="316"/>
      <c r="AP35" s="316"/>
      <c r="AQ35" s="316"/>
      <c r="AR35" s="430"/>
      <c r="AS35" s="316"/>
      <c r="AT35" s="316"/>
      <c r="AU35" s="316"/>
      <c r="AV35" s="316"/>
      <c r="AW35" s="316"/>
      <c r="AX35" s="430"/>
      <c r="AY35" s="316"/>
      <c r="AZ35" s="316"/>
      <c r="BA35" s="316"/>
      <c r="BB35" s="316"/>
      <c r="BC35" s="316"/>
      <c r="BD35" s="430"/>
      <c r="BE35" s="900"/>
      <c r="BF35" s="900"/>
      <c r="BG35" s="900"/>
      <c r="BH35" s="900"/>
      <c r="BI35" s="900"/>
      <c r="BJ35" s="430"/>
      <c r="BK35" s="900"/>
      <c r="BL35" s="900"/>
      <c r="BM35" s="900"/>
      <c r="BN35" s="900"/>
      <c r="BO35" s="316" t="s">
        <v>174</v>
      </c>
      <c r="BP35" s="430"/>
      <c r="BQ35" s="900"/>
      <c r="BR35" s="316">
        <f>+BR36-BR37</f>
        <v>0.42637893391742349</v>
      </c>
      <c r="BS35" s="316">
        <f>+BS36-BS37</f>
        <v>-0.58729671122435601</v>
      </c>
      <c r="BT35" s="316">
        <f>+BT36-BT37</f>
        <v>-0.31032196842629178</v>
      </c>
      <c r="BU35" s="316">
        <f>SUMPRODUCT(BQ35:BT35,BK34:BN34)/BO34</f>
        <v>-0.3612732685346004</v>
      </c>
      <c r="BV35" s="430"/>
      <c r="BW35" s="316">
        <f>+BW36-BW37</f>
        <v>-0.36133306973103718</v>
      </c>
      <c r="BX35" s="316">
        <f>+BX36-BX37</f>
        <v>6.4444883781605178E-2</v>
      </c>
      <c r="BY35" s="316">
        <f>+BY36-BY37</f>
        <v>6.4444883781604956E-2</v>
      </c>
      <c r="BZ35" s="316">
        <f>+BZ36-BZ37</f>
        <v>0.24631381902804184</v>
      </c>
      <c r="CA35" s="316">
        <f>SUMPRODUCT(BW35:BZ35,BQ34:BT34)/BU34</f>
        <v>2.5896477222110477E-2</v>
      </c>
      <c r="CB35" s="430"/>
      <c r="CC35" s="316">
        <f>+CC36-CC37</f>
        <v>-1</v>
      </c>
      <c r="CD35" s="316">
        <f>+CD36-CD37</f>
        <v>-1</v>
      </c>
      <c r="CE35" s="316">
        <f>+CE36-CE37</f>
        <v>-1</v>
      </c>
      <c r="CF35" s="316">
        <f>+CF36-CF37</f>
        <v>-1</v>
      </c>
      <c r="CG35" s="316">
        <f>SUMPRODUCT(CC35:CF35,BW34:BZ34)/CA34</f>
        <v>-1</v>
      </c>
      <c r="CJ35" s="714"/>
      <c r="CK35" s="714"/>
      <c r="CL35" s="714"/>
      <c r="CM35" s="714"/>
      <c r="CN35" s="714"/>
    </row>
    <row r="36" spans="1:92" s="42" customFormat="1" ht="12.75" hidden="1" customHeight="1" outlineLevel="1" x14ac:dyDescent="0.2">
      <c r="A36" s="308"/>
      <c r="B36" s="599" t="s">
        <v>364</v>
      </c>
      <c r="C36" s="600"/>
      <c r="D36" s="600"/>
      <c r="E36" s="600"/>
      <c r="F36" s="600"/>
      <c r="G36" s="600"/>
      <c r="H36" s="601"/>
      <c r="I36" s="600"/>
      <c r="J36" s="600"/>
      <c r="K36" s="600"/>
      <c r="L36" s="600"/>
      <c r="M36" s="600"/>
      <c r="N36" s="601"/>
      <c r="O36" s="600"/>
      <c r="P36" s="600"/>
      <c r="Q36" s="600"/>
      <c r="R36" s="600"/>
      <c r="S36" s="600"/>
      <c r="T36" s="601"/>
      <c r="U36" s="600"/>
      <c r="V36" s="600"/>
      <c r="W36" s="600"/>
      <c r="X36" s="600"/>
      <c r="Y36" s="600"/>
      <c r="Z36" s="601"/>
      <c r="AA36" s="600"/>
      <c r="AB36" s="600"/>
      <c r="AC36" s="600"/>
      <c r="AD36" s="600"/>
      <c r="AE36" s="600"/>
      <c r="AF36" s="601"/>
      <c r="AG36" s="600"/>
      <c r="AH36" s="600"/>
      <c r="AI36" s="600"/>
      <c r="AJ36" s="600"/>
      <c r="AK36" s="600"/>
      <c r="AL36" s="601"/>
      <c r="AM36" s="600"/>
      <c r="AN36" s="600"/>
      <c r="AO36" s="600"/>
      <c r="AP36" s="600"/>
      <c r="AQ36" s="600"/>
      <c r="AR36" s="601"/>
      <c r="AS36" s="600"/>
      <c r="AT36" s="600"/>
      <c r="AU36" s="600"/>
      <c r="AV36" s="600"/>
      <c r="AW36" s="600"/>
      <c r="AX36" s="601"/>
      <c r="AY36" s="600"/>
      <c r="AZ36" s="600"/>
      <c r="BA36" s="600"/>
      <c r="BB36" s="600"/>
      <c r="BC36" s="600"/>
      <c r="BD36" s="601"/>
      <c r="BE36" s="600"/>
      <c r="BF36" s="600"/>
      <c r="BG36" s="600" t="s">
        <v>174</v>
      </c>
      <c r="BH36" s="600" t="s">
        <v>174</v>
      </c>
      <c r="BI36" s="600"/>
      <c r="BJ36" s="601"/>
      <c r="BK36" s="600" t="s">
        <v>174</v>
      </c>
      <c r="BL36" s="600" t="s">
        <v>174</v>
      </c>
      <c r="BM36" s="600" t="s">
        <v>174</v>
      </c>
      <c r="BN36" s="600" t="s">
        <v>174</v>
      </c>
      <c r="BO36" s="600" t="s">
        <v>174</v>
      </c>
      <c r="BP36" s="601"/>
      <c r="BQ36" s="600" t="s">
        <v>174</v>
      </c>
      <c r="BR36" s="600">
        <f>+BR34/BL34-1</f>
        <v>0.48137893391742348</v>
      </c>
      <c r="BS36" s="600">
        <f>+BS34/BM34-1</f>
        <v>-0.56229671122435598</v>
      </c>
      <c r="BT36" s="600">
        <f>IF(ISERROR(BT34/BN34-1),"NM",BT34/BN34-1)</f>
        <v>-0.29032196842629177</v>
      </c>
      <c r="BU36" s="600">
        <f>IF(ISERROR(BU34/BO34-1),"NM",BU34/BO34-1)</f>
        <v>-0.14693511047626673</v>
      </c>
      <c r="BV36" s="601"/>
      <c r="BW36" s="600">
        <f>+BW34/BQ34-1</f>
        <v>-0.36133306973103718</v>
      </c>
      <c r="BX36" s="600">
        <f>+BX34/BR34-1</f>
        <v>6.4444883781605178E-2</v>
      </c>
      <c r="BY36" s="600">
        <f>+BY34/BS34-1</f>
        <v>6.4444883781604956E-2</v>
      </c>
      <c r="BZ36" s="600">
        <f>IF(ISERROR(BZ34/BT34-1),"NM",BZ34/BT34-1)</f>
        <v>0.24631381902804184</v>
      </c>
      <c r="CA36" s="600">
        <f>IF(ISERROR(CA34/BU34-1),"NM",CA34/BU34-1)</f>
        <v>2.5896477222110414E-2</v>
      </c>
      <c r="CB36" s="601"/>
      <c r="CC36" s="600">
        <f>+CC34/BW34-1</f>
        <v>-1</v>
      </c>
      <c r="CD36" s="600">
        <f>+CD34/BX34-1</f>
        <v>-1</v>
      </c>
      <c r="CE36" s="600">
        <f>+CE34/BY34-1</f>
        <v>-1</v>
      </c>
      <c r="CF36" s="600">
        <f>IF(ISERROR(CF34/BZ34-1),"NM",CF34/BZ34-1)</f>
        <v>-1</v>
      </c>
      <c r="CG36" s="600">
        <f>IF(ISERROR(CG34/CA34-1),"NM",CG34/CA34-1)</f>
        <v>-1</v>
      </c>
    </row>
    <row r="37" spans="1:92" s="42" customFormat="1" ht="12.75" hidden="1" customHeight="1" outlineLevel="1" x14ac:dyDescent="0.2">
      <c r="A37" s="308"/>
      <c r="B37" s="602" t="s">
        <v>110</v>
      </c>
      <c r="C37" s="603"/>
      <c r="D37" s="603"/>
      <c r="E37" s="603"/>
      <c r="F37" s="603"/>
      <c r="G37" s="603"/>
      <c r="H37" s="603"/>
      <c r="I37" s="603"/>
      <c r="J37" s="603"/>
      <c r="K37" s="603"/>
      <c r="L37" s="603"/>
      <c r="M37" s="604"/>
      <c r="N37" s="603"/>
      <c r="O37" s="603"/>
      <c r="P37" s="603"/>
      <c r="Q37" s="603"/>
      <c r="R37" s="603"/>
      <c r="S37" s="604"/>
      <c r="T37" s="603"/>
      <c r="U37" s="603"/>
      <c r="V37" s="603"/>
      <c r="W37" s="603"/>
      <c r="X37" s="603"/>
      <c r="Y37" s="603"/>
      <c r="Z37" s="603"/>
      <c r="AA37" s="603"/>
      <c r="AB37" s="603"/>
      <c r="AC37" s="603"/>
      <c r="AD37" s="603"/>
      <c r="AE37" s="605"/>
      <c r="AF37" s="603"/>
      <c r="AG37" s="603"/>
      <c r="AH37" s="603"/>
      <c r="AI37" s="603"/>
      <c r="AJ37" s="603"/>
      <c r="AK37" s="603"/>
      <c r="AL37" s="603"/>
      <c r="AM37" s="603"/>
      <c r="AN37" s="603"/>
      <c r="AO37" s="603"/>
      <c r="AP37" s="603"/>
      <c r="AQ37" s="603"/>
      <c r="AR37" s="603"/>
      <c r="AS37" s="603"/>
      <c r="AT37" s="603"/>
      <c r="AU37" s="603"/>
      <c r="AV37" s="603"/>
      <c r="AW37" s="603"/>
      <c r="AX37" s="603"/>
      <c r="AY37" s="603"/>
      <c r="AZ37" s="603"/>
      <c r="BA37" s="603"/>
      <c r="BB37" s="603"/>
      <c r="BC37" s="603"/>
      <c r="BD37" s="603"/>
      <c r="BE37" s="603"/>
      <c r="BF37" s="603"/>
      <c r="BG37" s="603">
        <f>+BG59</f>
        <v>0</v>
      </c>
      <c r="BH37" s="603">
        <f>+BH59</f>
        <v>-1.3027844847053102E-2</v>
      </c>
      <c r="BI37" s="603">
        <f>+BI59</f>
        <v>-6.7416846642049657E-3</v>
      </c>
      <c r="BJ37" s="603"/>
      <c r="BK37" s="603">
        <f>+BK59</f>
        <v>-1.2567024128686327E-2</v>
      </c>
      <c r="BL37" s="603">
        <f>+BL59</f>
        <v>-1.1137428442022259E-2</v>
      </c>
      <c r="BM37" s="603">
        <f>+BM59</f>
        <v>0.01</v>
      </c>
      <c r="BN37" s="603">
        <f>+BN59</f>
        <v>0.04</v>
      </c>
      <c r="BO37" s="603">
        <f>+BO59</f>
        <v>7.8864204872549793E-3</v>
      </c>
      <c r="BP37" s="603"/>
      <c r="BQ37" s="603">
        <f>+BQ59</f>
        <v>0.05</v>
      </c>
      <c r="BR37" s="603">
        <f>+BR59</f>
        <v>5.5E-2</v>
      </c>
      <c r="BS37" s="603">
        <f>+BS59</f>
        <v>2.5000000000000001E-2</v>
      </c>
      <c r="BT37" s="603">
        <f>+BT59</f>
        <v>0.02</v>
      </c>
      <c r="BU37" s="603">
        <f>+BU59</f>
        <v>3.6094221375812474E-2</v>
      </c>
      <c r="BV37" s="603"/>
      <c r="BW37" s="603">
        <f>+BW59</f>
        <v>0</v>
      </c>
      <c r="BX37" s="603">
        <f>+BX59</f>
        <v>0</v>
      </c>
      <c r="BY37" s="603">
        <f>+BY59</f>
        <v>0</v>
      </c>
      <c r="BZ37" s="603">
        <f>+BZ59</f>
        <v>0</v>
      </c>
      <c r="CA37" s="603">
        <f>+CA59</f>
        <v>0</v>
      </c>
      <c r="CB37" s="603"/>
      <c r="CC37" s="603">
        <f>+CC59</f>
        <v>0</v>
      </c>
      <c r="CD37" s="603">
        <f>+CD59</f>
        <v>0</v>
      </c>
      <c r="CE37" s="603">
        <f>+CE59</f>
        <v>0</v>
      </c>
      <c r="CF37" s="603">
        <f>+CF59</f>
        <v>0</v>
      </c>
      <c r="CG37" s="603">
        <f>+CG59</f>
        <v>0</v>
      </c>
      <c r="CJ37" s="714"/>
      <c r="CK37" s="714"/>
      <c r="CL37" s="714"/>
      <c r="CM37" s="714"/>
      <c r="CN37" s="714"/>
    </row>
    <row r="38" spans="1:92" s="42" customFormat="1" ht="6.75" customHeight="1" collapsed="1" x14ac:dyDescent="0.2">
      <c r="A38" s="308"/>
      <c r="B38" s="354"/>
      <c r="C38" s="316"/>
      <c r="D38" s="316"/>
      <c r="E38" s="316"/>
      <c r="F38" s="316"/>
      <c r="G38" s="316"/>
      <c r="H38" s="236"/>
      <c r="I38" s="316"/>
      <c r="J38" s="316"/>
      <c r="K38" s="316"/>
      <c r="L38" s="316"/>
      <c r="M38" s="316"/>
      <c r="N38" s="236"/>
      <c r="O38" s="316"/>
      <c r="P38" s="316"/>
      <c r="Q38" s="316"/>
      <c r="R38" s="316"/>
      <c r="S38" s="316"/>
      <c r="T38" s="236"/>
      <c r="U38" s="316"/>
      <c r="V38" s="316"/>
      <c r="W38" s="316"/>
      <c r="X38" s="316"/>
      <c r="Y38" s="316"/>
      <c r="Z38" s="236"/>
      <c r="AA38" s="38"/>
      <c r="AB38" s="38"/>
      <c r="AC38" s="38"/>
      <c r="AD38" s="38"/>
      <c r="AE38" s="38"/>
      <c r="AF38" s="236"/>
      <c r="AG38" s="38"/>
      <c r="AH38" s="38"/>
      <c r="AI38" s="38"/>
      <c r="AJ38" s="316"/>
      <c r="AK38" s="38"/>
      <c r="AL38" s="236"/>
      <c r="AM38" s="316"/>
      <c r="AN38" s="316"/>
      <c r="AO38" s="316"/>
      <c r="AP38" s="316"/>
      <c r="AQ38" s="316"/>
      <c r="AR38" s="236"/>
      <c r="AS38" s="316"/>
      <c r="AT38" s="316"/>
      <c r="AU38" s="316"/>
      <c r="AV38" s="316"/>
      <c r="AW38" s="316"/>
      <c r="AX38" s="236"/>
      <c r="AY38" s="316"/>
      <c r="AZ38" s="316"/>
      <c r="BA38" s="316"/>
      <c r="BB38" s="316"/>
      <c r="BC38" s="316"/>
      <c r="BD38" s="236"/>
      <c r="BE38" s="316"/>
      <c r="BF38" s="316"/>
      <c r="BG38" s="316"/>
      <c r="BH38" s="316"/>
      <c r="BI38" s="316"/>
      <c r="BJ38" s="236"/>
      <c r="BK38" s="316"/>
      <c r="BL38" s="316"/>
      <c r="BM38" s="316"/>
      <c r="BN38" s="316"/>
      <c r="BO38" s="316"/>
      <c r="BP38" s="236"/>
      <c r="BQ38" s="316"/>
      <c r="BR38" s="316"/>
      <c r="BS38" s="316"/>
      <c r="BT38" s="316"/>
      <c r="BU38" s="316"/>
      <c r="BV38" s="236"/>
      <c r="BW38" s="316"/>
      <c r="BX38" s="316"/>
      <c r="BY38" s="316"/>
      <c r="BZ38" s="316"/>
      <c r="CA38" s="316"/>
      <c r="CB38" s="236"/>
      <c r="CC38" s="316"/>
      <c r="CD38" s="316"/>
      <c r="CE38" s="316"/>
      <c r="CF38" s="316"/>
      <c r="CG38" s="316"/>
    </row>
    <row r="39" spans="1:92" s="42" customFormat="1" ht="12" customHeight="1" x14ac:dyDescent="0.2">
      <c r="A39" s="402"/>
      <c r="B39" s="357" t="s">
        <v>206</v>
      </c>
      <c r="C39" s="38"/>
      <c r="D39" s="38"/>
      <c r="E39" s="38"/>
      <c r="F39" s="38"/>
      <c r="G39" s="38"/>
      <c r="H39" s="178"/>
      <c r="I39" s="38"/>
      <c r="J39" s="38"/>
      <c r="K39" s="38"/>
      <c r="L39" s="38"/>
      <c r="M39" s="38"/>
      <c r="N39" s="178"/>
      <c r="O39" s="38"/>
      <c r="P39" s="38"/>
      <c r="Q39" s="38"/>
      <c r="R39" s="38"/>
      <c r="S39" s="38"/>
      <c r="T39" s="178"/>
      <c r="U39" s="38"/>
      <c r="V39" s="38"/>
      <c r="W39" s="38"/>
      <c r="X39" s="38"/>
      <c r="Y39" s="38"/>
      <c r="Z39" s="178"/>
      <c r="AA39" s="38"/>
      <c r="AB39" s="38">
        <f>+AB44+AB49</f>
        <v>6.5</v>
      </c>
      <c r="AC39" s="38">
        <f>+AC44+AC49</f>
        <v>11.600000000000001</v>
      </c>
      <c r="AD39" s="38">
        <f>+AD44+AD49</f>
        <v>10</v>
      </c>
      <c r="AE39" s="38">
        <f>+SUM(AA39:AD39)</f>
        <v>28.1</v>
      </c>
      <c r="AF39" s="178"/>
      <c r="AG39" s="38">
        <f>+AG44+AG49</f>
        <v>11.750999999999999</v>
      </c>
      <c r="AH39" s="38">
        <f>+AH44+AH49</f>
        <v>11.957000000000001</v>
      </c>
      <c r="AI39" s="38">
        <f>+AI44+AI49</f>
        <v>9.7710000000000008</v>
      </c>
      <c r="AJ39" s="38">
        <f>+AJ44+AJ49</f>
        <v>9.9809999999999999</v>
      </c>
      <c r="AK39" s="38">
        <f>+SUM(AG39:AJ39)</f>
        <v>43.46</v>
      </c>
      <c r="AL39" s="236"/>
      <c r="AM39" s="38">
        <f>+AM44+AM49</f>
        <v>12.007999999999999</v>
      </c>
      <c r="AN39" s="38">
        <f>+AN44+AN49</f>
        <v>10.525</v>
      </c>
      <c r="AO39" s="38">
        <f>+AO44+AO49</f>
        <v>10.956</v>
      </c>
      <c r="AP39" s="38">
        <f>+AP44+AP49</f>
        <v>12.068</v>
      </c>
      <c r="AQ39" s="38">
        <f>+SUM(AM39:AP39)</f>
        <v>45.557000000000002</v>
      </c>
      <c r="AR39" s="178"/>
      <c r="AS39" s="38">
        <f>+AS44+AS49</f>
        <v>12.407</v>
      </c>
      <c r="AT39" s="38">
        <f>+AT44+AT49</f>
        <v>12.795999999999999</v>
      </c>
      <c r="AU39" s="38">
        <f>+AU44+AU49</f>
        <v>11.738</v>
      </c>
      <c r="AV39" s="38">
        <f>+AV44+AV49</f>
        <v>12.163</v>
      </c>
      <c r="AW39" s="38">
        <f>+SUM(AS39:AV39)</f>
        <v>49.103999999999999</v>
      </c>
      <c r="AX39" s="178"/>
      <c r="AY39" s="38">
        <f>+AY44+AY49</f>
        <v>11.057</v>
      </c>
      <c r="AZ39" s="38">
        <f>+AZ44+AZ49</f>
        <v>8.6709999999999994</v>
      </c>
      <c r="BA39" s="38">
        <f>+BA44+BA49</f>
        <v>9.3439999999999994</v>
      </c>
      <c r="BB39" s="38">
        <f>+BB44+BB49</f>
        <v>16.228000000000002</v>
      </c>
      <c r="BC39" s="38">
        <f>+SUM(AY39:BB39)</f>
        <v>45.300000000000004</v>
      </c>
      <c r="BD39" s="178"/>
      <c r="BE39" s="38">
        <f>+BE44+BE49</f>
        <v>19.021999999999998</v>
      </c>
      <c r="BF39" s="38">
        <f>+BF44+BF49</f>
        <v>25.925999999999998</v>
      </c>
      <c r="BG39" s="763">
        <f>+BG44+BG49</f>
        <v>34.920999999999999</v>
      </c>
      <c r="BH39" s="38">
        <f>+BH44+BH49</f>
        <v>41.677999999999997</v>
      </c>
      <c r="BI39" s="38">
        <f>+SUM(BE39:BH39)</f>
        <v>121.547</v>
      </c>
      <c r="BJ39" s="178"/>
      <c r="BK39" s="38">
        <f>+BK44+BK49</f>
        <v>27.942</v>
      </c>
      <c r="BL39" s="38">
        <f>+BL44+BL49</f>
        <v>35.445999999999998</v>
      </c>
      <c r="BM39" s="38">
        <f>+BM44+BM49</f>
        <v>43.655999999999999</v>
      </c>
      <c r="BN39" s="38">
        <f>+BN44+BN49</f>
        <v>57.106999999999999</v>
      </c>
      <c r="BO39" s="38">
        <f>+SUM(BK39:BN39)</f>
        <v>164.15100000000001</v>
      </c>
      <c r="BP39" s="178"/>
      <c r="BQ39" s="38">
        <f>+BQ44+BQ49</f>
        <v>51.418999999999997</v>
      </c>
      <c r="BR39" s="38">
        <f>+BR44+BR49</f>
        <v>49.098749999999995</v>
      </c>
      <c r="BS39" s="38">
        <f>+BS44+BS49</f>
        <v>53.231000000000002</v>
      </c>
      <c r="BT39" s="38">
        <f>+BT44+BT49</f>
        <v>68.911000000000001</v>
      </c>
      <c r="BU39" s="38">
        <f>+SUM(BQ39:BT39)</f>
        <v>222.65975</v>
      </c>
      <c r="BV39" s="178"/>
      <c r="BW39" s="38">
        <f>+BW44+BW49</f>
        <v>57.478999999999999</v>
      </c>
      <c r="BX39" s="38">
        <f>+BX44+BX49</f>
        <v>55.008625000000002</v>
      </c>
      <c r="BY39" s="38">
        <f>+BY44+BY49</f>
        <v>59.088500000000003</v>
      </c>
      <c r="BZ39" s="38">
        <f>+BZ44+BZ49</f>
        <v>74.9114</v>
      </c>
      <c r="CA39" s="38">
        <f>+SUM(BW39:BZ39)</f>
        <v>246.48752500000001</v>
      </c>
      <c r="CB39" s="178"/>
      <c r="CC39" s="38">
        <f>+CC44+CC49</f>
        <v>63.295199999999994</v>
      </c>
      <c r="CD39" s="38">
        <f>+CD44+CD49</f>
        <v>60.709228750000001</v>
      </c>
      <c r="CE39" s="38">
        <f>+CE44+CE49</f>
        <v>64.748774999999995</v>
      </c>
      <c r="CF39" s="38">
        <f>+CF44+CF49</f>
        <v>80.681708</v>
      </c>
      <c r="CG39" s="38">
        <f>+SUM(CC39:CF39)</f>
        <v>269.43491174999997</v>
      </c>
    </row>
    <row r="40" spans="1:92" s="42" customFormat="1" ht="12.75" customHeight="1" x14ac:dyDescent="0.2">
      <c r="A40" s="308"/>
      <c r="B40" s="268" t="s">
        <v>111</v>
      </c>
      <c r="C40" s="318"/>
      <c r="D40" s="318"/>
      <c r="E40" s="318"/>
      <c r="F40" s="318"/>
      <c r="G40" s="318"/>
      <c r="H40" s="318"/>
      <c r="I40" s="318"/>
      <c r="J40" s="318"/>
      <c r="K40" s="318"/>
      <c r="L40" s="318"/>
      <c r="M40" s="316"/>
      <c r="N40" s="318"/>
      <c r="O40" s="318"/>
      <c r="P40" s="318"/>
      <c r="Q40" s="318"/>
      <c r="R40" s="318"/>
      <c r="S40" s="316"/>
      <c r="T40" s="318"/>
      <c r="U40" s="318"/>
      <c r="V40" s="318"/>
      <c r="W40" s="318"/>
      <c r="X40" s="318"/>
      <c r="Y40" s="316"/>
      <c r="Z40" s="318"/>
      <c r="AA40" s="316"/>
      <c r="AB40" s="316" t="s">
        <v>174</v>
      </c>
      <c r="AC40" s="316" t="s">
        <v>174</v>
      </c>
      <c r="AD40" s="316" t="s">
        <v>174</v>
      </c>
      <c r="AE40" s="316" t="s">
        <v>174</v>
      </c>
      <c r="AF40" s="430"/>
      <c r="AG40" s="316" t="s">
        <v>174</v>
      </c>
      <c r="AH40" s="316" t="s">
        <v>174</v>
      </c>
      <c r="AI40" s="316" t="s">
        <v>174</v>
      </c>
      <c r="AJ40" s="316">
        <f>+((AJ45*AD44)+(AJ50*AD49))/AD39</f>
        <v>6.0899157743429687E-3</v>
      </c>
      <c r="AK40" s="316">
        <f>SUMPRODUCT(AG40:AJ40,AA39:AD39)/AE39</f>
        <v>2.1672298129334407E-3</v>
      </c>
      <c r="AL40" s="430"/>
      <c r="AM40" s="316">
        <f>+((AM45*AG44)+(AM50*AG49))/AG39</f>
        <v>2.1914258562214021E-2</v>
      </c>
      <c r="AN40" s="316">
        <f>+((AN45*AH44)+(AN50*AH49))/AH39</f>
        <v>-0.11819506542350604</v>
      </c>
      <c r="AO40" s="316">
        <f>+((AO45*AI44)+(AO50*AI49))/AI39</f>
        <v>0.12075863622196874</v>
      </c>
      <c r="AP40" s="316">
        <f>+((AP45*AJ44)+(AP50*AJ49))/AJ39</f>
        <v>0.21315753476301433</v>
      </c>
      <c r="AQ40" s="316">
        <f>SUMPRODUCT(AM40:AP40,AG39:AJ39)/AK39</f>
        <v>4.9510217305343253E-2</v>
      </c>
      <c r="AR40" s="430"/>
      <c r="AS40" s="316">
        <f>+((AS45*AM44)+(AS50*AM49))/AM39</f>
        <v>2.8054465673223318E-2</v>
      </c>
      <c r="AT40" s="316">
        <f>+((AT45*AN44)+(AT50*AN49))/AN39</f>
        <v>0.20923586426907798</v>
      </c>
      <c r="AU40" s="316">
        <f>+((AU45*AO44)+(AU50*AO49))/AO39</f>
        <v>7.2896751252224667E-2</v>
      </c>
      <c r="AV40" s="316">
        <f>+((AV45*AP44)+(AV50*AP49))/AP39</f>
        <v>3.3316020819655345E-2</v>
      </c>
      <c r="AW40" s="316">
        <f>SUMPRODUCT(AS40:AV40,AM39:AP39)/AQ39</f>
        <v>8.2090568764560556E-2</v>
      </c>
      <c r="AX40" s="430"/>
      <c r="AY40" s="316">
        <f>+AY41-AY42</f>
        <v>-8.2186487433799152E-2</v>
      </c>
      <c r="AZ40" s="316">
        <f>+((AZ45*AT44)+(AZ50*AT49))/AT39</f>
        <v>-0.26869445341442477</v>
      </c>
      <c r="BA40" s="316">
        <f>+((BA45*AU44)+(BA50*AU49))/AU39</f>
        <v>-0.15616050119176336</v>
      </c>
      <c r="BB40" s="316">
        <f>+((BB45*AV44)+(BB50*AV49))/AV39</f>
        <v>0.36762188784392313</v>
      </c>
      <c r="BC40" s="316">
        <f>SUMPRODUCT(AY40:BB40,AS39:AV39)/AW39</f>
        <v>-3.7054596705470143E-2</v>
      </c>
      <c r="BD40" s="430"/>
      <c r="BE40" s="316">
        <f>+((BE45*AY44)+(BE50*AY49))/AY39</f>
        <v>0.73398858750485951</v>
      </c>
      <c r="BF40" s="316">
        <f>+((BF45*AZ44)+(BF50*AZ49))/AZ39</f>
        <v>1.9899665551839461</v>
      </c>
      <c r="BG40" s="316">
        <f>+((BG45*BA44)+(BG50*BA49))/BA39</f>
        <v>2.7372645547945202</v>
      </c>
      <c r="BH40" s="316">
        <f>+((BH45*BB44)+(BH50*BB49))/BB39</f>
        <v>1.5813048968559262</v>
      </c>
      <c r="BI40" s="316">
        <f>SUMPRODUCT(BE40:BH40,AY39:BB39)/BC39</f>
        <v>1.691150721373492</v>
      </c>
      <c r="BJ40" s="430"/>
      <c r="BK40" s="316">
        <f>+((BK45*BE44)+(BK50*BE49))/BE39</f>
        <v>0.48149773593606743</v>
      </c>
      <c r="BL40" s="316">
        <f>+((BL45*BF44)+(BL50*BF49))/BF39</f>
        <v>0.37833637930216263</v>
      </c>
      <c r="BM40" s="316">
        <f>+((BM45*BG44)+(BM50*BG49))/BG39</f>
        <v>0.24013602130523176</v>
      </c>
      <c r="BN40" s="316">
        <f>+((BN45*BH44)+(BN50*BH49))/BH39</f>
        <v>0.33019530687652954</v>
      </c>
      <c r="BO40" s="316">
        <f>SUMPRODUCT(BK40:BN40,BE39:BH39)/BI39</f>
        <v>0.33826806834198903</v>
      </c>
      <c r="BP40" s="430"/>
      <c r="BQ40" s="316">
        <f>+((BQ45*BK44)+(BQ50*BK49))/BK39</f>
        <v>0.79020470975592283</v>
      </c>
      <c r="BR40" s="316">
        <f>+((BR45*BL44)+(BR50*BL49))/BL39</f>
        <v>0.33017040004513926</v>
      </c>
      <c r="BS40" s="316">
        <f>+((BS45*BM44)+(BS50*BM49))/BM39</f>
        <v>0.19432838555983142</v>
      </c>
      <c r="BT40" s="316">
        <f>+((BT45*BN44)+(BT50*BN49))/BN39</f>
        <v>0.18669970406430034</v>
      </c>
      <c r="BU40" s="316">
        <f>SUMPRODUCT(BQ40:BT40,BK39:BN39)/BO39</f>
        <v>0.32243836467642595</v>
      </c>
      <c r="BV40" s="430"/>
      <c r="BW40" s="316">
        <f>+((BW45*BQ44)+(BW50*BQ49))/BQ39</f>
        <v>0.11785526750811962</v>
      </c>
      <c r="BX40" s="316">
        <f>+((BX45*BR44)+(BX50*BR49))/BR39</f>
        <v>0.1203671172891367</v>
      </c>
      <c r="BY40" s="316">
        <f>+((BY45*BS44)+(BY50*BS49))/BS39</f>
        <v>0.11003926283556567</v>
      </c>
      <c r="BZ40" s="316">
        <f>+((BZ45*BT44)+(BZ50*BT49))/BT39</f>
        <v>8.7074632496988782E-2</v>
      </c>
      <c r="CA40" s="316">
        <f>SUMPRODUCT(BW40:BZ40,BQ39:BT39)/BU39</f>
        <v>0.10701428974028754</v>
      </c>
      <c r="CB40" s="430"/>
      <c r="CC40" s="316">
        <f>+((CC45*BW44)+(CC50*BW49))/BW39</f>
        <v>0.10118826006019593</v>
      </c>
      <c r="CD40" s="316">
        <f>+((CD45*BX44)+(CD50*BX49))/BX39</f>
        <v>0.10363108967002904</v>
      </c>
      <c r="CE40" s="316">
        <f>+((CE45*BY44)+(CE50*BY49))/BY39</f>
        <v>9.5793174644812407E-2</v>
      </c>
      <c r="CF40" s="316">
        <f>+((CF45*BZ44)+(CF50*BZ49))/BZ39</f>
        <v>7.7028436259367644E-2</v>
      </c>
      <c r="CG40" s="316">
        <f>SUMPRODUCT(CC40:CF40,BW39:BZ39)/CA39</f>
        <v>9.3097558385561274E-2</v>
      </c>
    </row>
    <row r="41" spans="1:92" x14ac:dyDescent="0.2">
      <c r="A41" s="308"/>
      <c r="B41" s="599" t="s">
        <v>299</v>
      </c>
      <c r="C41" s="600"/>
      <c r="D41" s="600"/>
      <c r="E41" s="600"/>
      <c r="F41" s="600"/>
      <c r="G41" s="600"/>
      <c r="H41" s="601"/>
      <c r="I41" s="600"/>
      <c r="J41" s="600"/>
      <c r="K41" s="600"/>
      <c r="L41" s="600"/>
      <c r="M41" s="600"/>
      <c r="N41" s="601"/>
      <c r="O41" s="600"/>
      <c r="P41" s="600"/>
      <c r="Q41" s="600"/>
      <c r="R41" s="600"/>
      <c r="S41" s="600"/>
      <c r="T41" s="601"/>
      <c r="U41" s="600"/>
      <c r="V41" s="600"/>
      <c r="W41" s="600"/>
      <c r="X41" s="600"/>
      <c r="Y41" s="600"/>
      <c r="Z41" s="601"/>
      <c r="AA41" s="600"/>
      <c r="AB41" s="600"/>
      <c r="AC41" s="600"/>
      <c r="AD41" s="600"/>
      <c r="AE41" s="600">
        <v>7.4026315789474717E-2</v>
      </c>
      <c r="AF41" s="601"/>
      <c r="AG41" s="600">
        <v>0.27909001850440673</v>
      </c>
      <c r="AH41" s="600">
        <v>0.19259924197087286</v>
      </c>
      <c r="AI41" s="600">
        <v>-0.15767241379310348</v>
      </c>
      <c r="AJ41" s="600">
        <v>-1.9000000000000128E-3</v>
      </c>
      <c r="AK41" s="600">
        <v>6.4856785828043995E-2</v>
      </c>
      <c r="AL41" s="601"/>
      <c r="AM41" s="600">
        <f>IF(ISERROR(AM39/AG39-1),"NM",AM39/AG39-1)-1.4/AG39</f>
        <v>-9.7268317589992367E-2</v>
      </c>
      <c r="AN41" s="600">
        <f>IF(ISERROR(AN39/AH39-1),"NM",AN39/AH39-1)</f>
        <v>-0.11976248222798358</v>
      </c>
      <c r="AO41" s="600">
        <f>IF(ISERROR(AO39/AI39-1),"NM",AO39/AI39-1)</f>
        <v>0.12127724900214898</v>
      </c>
      <c r="AP41" s="600">
        <f>IF(ISERROR(AP39/AJ39-1),"NM",AP39/AJ39-1)</f>
        <v>0.20909728484119827</v>
      </c>
      <c r="AQ41" s="600">
        <f>IF(ISERROR(AQ39/AK39-1),"NM",AQ39/AK39-1)</f>
        <v>4.8251265531523257E-2</v>
      </c>
      <c r="AR41" s="601"/>
      <c r="AS41" s="600">
        <f>IF(ISERROR(AS39/AM39-1),"NM",AS39/AM39-1)</f>
        <v>3.3227848101266E-2</v>
      </c>
      <c r="AT41" s="600">
        <f>IF(ISERROR(AT39/AN39-1),"NM",AT39/AN39-1)</f>
        <v>0.21577197149643701</v>
      </c>
      <c r="AU41" s="600">
        <f>IF(ISERROR(AU39/AO39-1),"NM",AU39/AO39-1)</f>
        <v>7.1376414749908745E-2</v>
      </c>
      <c r="AV41" s="600">
        <f>IF(ISERROR(AV39/AP39-1),"NM",AV39/AP39-1)</f>
        <v>7.8720583360956109E-3</v>
      </c>
      <c r="AW41" s="600">
        <f>IF(ISERROR(AW39/AQ39-1),"NM",AW39/AQ39-1)</f>
        <v>7.7858506925390092E-2</v>
      </c>
      <c r="AX41" s="601"/>
      <c r="AY41" s="600">
        <f>IF(ISERROR(AY39/AS39-1),"NM",AY39/AS39-1)</f>
        <v>-0.10880954299991941</v>
      </c>
      <c r="AZ41" s="600">
        <f>IF(ISERROR(AZ39/AT39-1),"NM",AZ39/AT39-1)</f>
        <v>-0.32236636448890277</v>
      </c>
      <c r="BA41" s="600">
        <f>IF(ISERROR(BA39/AU39-1),"NM",BA39/AU39-1)</f>
        <v>-0.20395297324927586</v>
      </c>
      <c r="BB41" s="600">
        <f>IF(ISERROR(BB39/AV39-1),"NM",BB39/AV39-1)</f>
        <v>0.33421030995642531</v>
      </c>
      <c r="BC41" s="600">
        <f>IF(ISERROR(BC39/AW39-1),"NM",BC39/AW39-1)</f>
        <v>-7.7468230694037077E-2</v>
      </c>
      <c r="BD41" s="601"/>
      <c r="BE41" s="600">
        <f>IF(ISERROR(BE39/AY39-1),"NM",BE39/AY39-1)</f>
        <v>0.720358144162069</v>
      </c>
      <c r="BF41" s="600">
        <f>IF(ISERROR(BF39/AZ39-1),"NM",BF39/AZ39-1)</f>
        <v>1.9899665551839467</v>
      </c>
      <c r="BG41" s="600">
        <f>IF(ISERROR(BG39/BA39-1),"NM",BG39/BA39-1)</f>
        <v>2.7372645547945207</v>
      </c>
      <c r="BH41" s="600">
        <f>IF(ISERROR(BH39/BB39-1),"NM",BH39/BB39-1)</f>
        <v>1.5682770520088734</v>
      </c>
      <c r="BI41" s="600">
        <f>IF(ISERROR(BI39/BC39-1),"NM",BI39/BC39-1)</f>
        <v>1.683156732891832</v>
      </c>
      <c r="BJ41" s="601"/>
      <c r="BK41" s="600">
        <f>IF(ISERROR(BK39/BE39-1),"NM",BK39/BE39-1)</f>
        <v>0.46893071180738111</v>
      </c>
      <c r="BL41" s="600">
        <f>IF(ISERROR(BL39/BF39-1),"NM",BL39/BF39-1)</f>
        <v>0.36719895086014032</v>
      </c>
      <c r="BM41" s="600">
        <f>IF(ISERROR(BM39/BG39-1),"NM",BM39/BG39-1)</f>
        <v>0.25013602130523171</v>
      </c>
      <c r="BN41" s="600">
        <f>IF(ISERROR(BN39/BH39-1),"NM",BN39/BH39-1)</f>
        <v>0.37019530687652957</v>
      </c>
      <c r="BO41" s="600">
        <f>IF(ISERROR(BO39/BI39-1),"NM",BO39/BI39-1)</f>
        <v>0.35051461574534959</v>
      </c>
      <c r="BP41" s="601"/>
      <c r="BQ41" s="600">
        <f>IF(ISERROR(BQ39/BK39-1),"NM",BQ39/BK39-1)</f>
        <v>0.84020470975592287</v>
      </c>
      <c r="BR41" s="600">
        <f>IF(ISERROR(BR39/BL39-1),"NM",BR39/BL39-1)</f>
        <v>0.38517040004513903</v>
      </c>
      <c r="BS41" s="600">
        <f>IF(ISERROR(BS39/BM39-1),"NM",BS39/BM39-1)</f>
        <v>0.21932838555983158</v>
      </c>
      <c r="BT41" s="600">
        <f>IF(ISERROR(BT39/BN39-1),"NM",BT39/BN39-1)</f>
        <v>0.20669970406430038</v>
      </c>
      <c r="BU41" s="600">
        <f>IF(ISERROR(BU39/BO39-1),"NM",BU39/BO39-1)</f>
        <v>0.35643249203477279</v>
      </c>
      <c r="BV41" s="601"/>
      <c r="BW41" s="600">
        <f>IF(ISERROR(BW39/BQ39-1),"NM",BW39/BQ39-1)</f>
        <v>0.1178552675081197</v>
      </c>
      <c r="BX41" s="600">
        <f>IF(ISERROR(BX39/BR39-1),"NM",BX39/BR39-1)</f>
        <v>0.12036711728913674</v>
      </c>
      <c r="BY41" s="600">
        <f>IF(ISERROR(BY39/BS39-1),"NM",BY39/BS39-1)</f>
        <v>0.11003926283556575</v>
      </c>
      <c r="BZ41" s="600">
        <f>IF(ISERROR(BZ39/BT39-1),"NM",BZ39/BT39-1)</f>
        <v>8.707463249698888E-2</v>
      </c>
      <c r="CA41" s="600">
        <f>IF(ISERROR(CA39/BU39-1),"NM",CA39/BU39-1)</f>
        <v>0.1070142897402877</v>
      </c>
      <c r="CB41" s="601"/>
      <c r="CC41" s="600">
        <f>IF(ISERROR(CC39/BW39-1),"NM",CC39/BW39-1)</f>
        <v>0.10118826006019588</v>
      </c>
      <c r="CD41" s="600">
        <f>IF(ISERROR(CD39/BX39-1),"NM",CD39/BX39-1)</f>
        <v>0.10363108967002899</v>
      </c>
      <c r="CE41" s="600">
        <f>IF(ISERROR(CE39/BY39-1),"NM",CE39/BY39-1)</f>
        <v>9.5793174644812185E-2</v>
      </c>
      <c r="CF41" s="600">
        <f>IF(ISERROR(CF39/BZ39-1),"NM",CF39/BZ39-1)</f>
        <v>7.7028436259367838E-2</v>
      </c>
      <c r="CG41" s="600">
        <f>IF(ISERROR(CG39/CA39-1),"NM",CG39/CA39-1)</f>
        <v>9.3097558385561108E-2</v>
      </c>
    </row>
    <row r="42" spans="1:92" ht="12.75" hidden="1" customHeight="1" outlineLevel="1" x14ac:dyDescent="0.2">
      <c r="A42" s="308"/>
      <c r="B42" s="602" t="s">
        <v>110</v>
      </c>
      <c r="C42" s="603"/>
      <c r="D42" s="603"/>
      <c r="E42" s="603"/>
      <c r="F42" s="603"/>
      <c r="G42" s="603"/>
      <c r="H42" s="603"/>
      <c r="I42" s="603"/>
      <c r="J42" s="603"/>
      <c r="K42" s="603"/>
      <c r="L42" s="603"/>
      <c r="M42" s="604"/>
      <c r="N42" s="603"/>
      <c r="O42" s="603"/>
      <c r="P42" s="603"/>
      <c r="Q42" s="603"/>
      <c r="R42" s="603"/>
      <c r="S42" s="604"/>
      <c r="T42" s="603"/>
      <c r="U42" s="603"/>
      <c r="V42" s="603"/>
      <c r="W42" s="603"/>
      <c r="X42" s="603"/>
      <c r="Y42" s="603"/>
      <c r="Z42" s="603"/>
      <c r="AA42" s="605"/>
      <c r="AB42" s="605" t="s">
        <v>174</v>
      </c>
      <c r="AC42" s="605" t="s">
        <v>174</v>
      </c>
      <c r="AD42" s="605" t="s">
        <v>174</v>
      </c>
      <c r="AE42" s="605" t="s">
        <v>174</v>
      </c>
      <c r="AF42" s="605"/>
      <c r="AG42" s="605" t="s">
        <v>174</v>
      </c>
      <c r="AH42" s="605" t="s">
        <v>174</v>
      </c>
      <c r="AI42" s="605" t="s">
        <v>174</v>
      </c>
      <c r="AJ42" s="603">
        <f>+AJ41-AJ40</f>
        <v>-7.9899157743429823E-3</v>
      </c>
      <c r="AK42" s="603">
        <f>+AK41-AK40</f>
        <v>6.2689556015110559E-2</v>
      </c>
      <c r="AL42" s="603"/>
      <c r="AM42" s="605">
        <f>+AM41-AM40</f>
        <v>-0.11918257615220638</v>
      </c>
      <c r="AN42" s="605">
        <f>+AN41-AN40</f>
        <v>-1.5674168044775422E-3</v>
      </c>
      <c r="AO42" s="605">
        <f>+AO41-AO40</f>
        <v>5.1861278018024148E-4</v>
      </c>
      <c r="AP42" s="605">
        <f>+AP41-AP40</f>
        <v>-4.0602499218160559E-3</v>
      </c>
      <c r="AQ42" s="603">
        <f>+AQ41-AQ40</f>
        <v>-1.2589517738199954E-3</v>
      </c>
      <c r="AR42" s="603"/>
      <c r="AS42" s="605">
        <f>+AS41-AS40</f>
        <v>5.1733824280426818E-3</v>
      </c>
      <c r="AT42" s="603">
        <f>+AT41-AT40</f>
        <v>6.5361072273590337E-3</v>
      </c>
      <c r="AU42" s="603">
        <f>+AU41-AU40</f>
        <v>-1.5203365023159221E-3</v>
      </c>
      <c r="AV42" s="603">
        <f>+AV41-AV40</f>
        <v>-2.5443962483559734E-2</v>
      </c>
      <c r="AW42" s="603">
        <f>+AW41-AW40</f>
        <v>-4.2320618391704645E-3</v>
      </c>
      <c r="AX42" s="603"/>
      <c r="AY42" s="700">
        <f>+AY$59</f>
        <v>-2.6623055566120258E-2</v>
      </c>
      <c r="AZ42" s="603">
        <f>+AZ41-AZ40</f>
        <v>-5.3671911074477996E-2</v>
      </c>
      <c r="BA42" s="603">
        <f>+BA41-BA40</f>
        <v>-4.7792472057512497E-2</v>
      </c>
      <c r="BB42" s="603">
        <f>+BB41-BB40</f>
        <v>-3.3411577887497823E-2</v>
      </c>
      <c r="BC42" s="603">
        <f>+BC41-BC40</f>
        <v>-4.0413633988566934E-2</v>
      </c>
      <c r="BD42" s="603"/>
      <c r="BE42" s="603">
        <f>+BE41-BE40</f>
        <v>-1.363044334279051E-2</v>
      </c>
      <c r="BF42" s="603">
        <f>+BF41-BF40</f>
        <v>0</v>
      </c>
      <c r="BG42" s="603">
        <f>+BG41-BG40</f>
        <v>0</v>
      </c>
      <c r="BH42" s="603">
        <f>+BH41-BH40</f>
        <v>-1.3027844847052883E-2</v>
      </c>
      <c r="BI42" s="603">
        <f>+BI41-BI40</f>
        <v>-7.9939884816599971E-3</v>
      </c>
      <c r="BJ42" s="603"/>
      <c r="BK42" s="603">
        <f>+BK41-BK40</f>
        <v>-1.2567024128686322E-2</v>
      </c>
      <c r="BL42" s="603">
        <f>+BL41-BL40</f>
        <v>-1.1137428442022312E-2</v>
      </c>
      <c r="BM42" s="603">
        <f>+BM41-BM40</f>
        <v>9.9999999999999534E-3</v>
      </c>
      <c r="BN42" s="603">
        <f>+BN41-BN40</f>
        <v>4.0000000000000036E-2</v>
      </c>
      <c r="BO42" s="603">
        <f>+BO41-BO40</f>
        <v>1.2246547403360564E-2</v>
      </c>
      <c r="BP42" s="603"/>
      <c r="BQ42" s="603">
        <f>+BQ41-BQ40</f>
        <v>5.0000000000000044E-2</v>
      </c>
      <c r="BR42" s="603">
        <f>+BR41-BR40</f>
        <v>5.4999999999999771E-2</v>
      </c>
      <c r="BS42" s="603">
        <f>+BS41-BS40</f>
        <v>2.5000000000000161E-2</v>
      </c>
      <c r="BT42" s="603">
        <f>+BT41-BT40</f>
        <v>2.0000000000000046E-2</v>
      </c>
      <c r="BU42" s="603">
        <f>+BU41-BU40</f>
        <v>3.3994127358346837E-2</v>
      </c>
      <c r="BV42" s="603"/>
      <c r="BW42" s="603">
        <f>+BW41-BW40</f>
        <v>0</v>
      </c>
      <c r="BX42" s="603">
        <f>+BX41-BX40</f>
        <v>0</v>
      </c>
      <c r="BY42" s="603">
        <f>+BY41-BY40</f>
        <v>0</v>
      </c>
      <c r="BZ42" s="603">
        <f>+BZ41-BZ40</f>
        <v>0</v>
      </c>
      <c r="CA42" s="603">
        <f>+CA41-CA40</f>
        <v>1.6653345369377348E-16</v>
      </c>
      <c r="CB42" s="603"/>
      <c r="CC42" s="603">
        <f>+CC41-CC40</f>
        <v>0</v>
      </c>
      <c r="CD42" s="603">
        <f>+CD41-CD40</f>
        <v>0</v>
      </c>
      <c r="CE42" s="603">
        <f>+CE41-CE40</f>
        <v>-2.2204460492503131E-16</v>
      </c>
      <c r="CF42" s="603">
        <f>+CF41-CF40</f>
        <v>1.9428902930940239E-16</v>
      </c>
      <c r="CG42" s="603">
        <f>+CG41-CG40</f>
        <v>-1.6653345369377348E-16</v>
      </c>
    </row>
    <row r="43" spans="1:92" s="42" customFormat="1" ht="6.75" customHeight="1" collapsed="1" x14ac:dyDescent="0.2">
      <c r="A43" s="308"/>
      <c r="B43" s="354"/>
      <c r="C43" s="316"/>
      <c r="D43" s="316"/>
      <c r="E43" s="316"/>
      <c r="F43" s="316"/>
      <c r="G43" s="316"/>
      <c r="H43" s="236"/>
      <c r="I43" s="316"/>
      <c r="J43" s="316"/>
      <c r="K43" s="316"/>
      <c r="L43" s="316"/>
      <c r="M43" s="316"/>
      <c r="N43" s="236"/>
      <c r="O43" s="316"/>
      <c r="P43" s="316"/>
      <c r="Q43" s="316"/>
      <c r="R43" s="316"/>
      <c r="S43" s="316"/>
      <c r="T43" s="236"/>
      <c r="U43" s="316"/>
      <c r="V43" s="316"/>
      <c r="W43" s="316"/>
      <c r="X43" s="316"/>
      <c r="Y43" s="316"/>
      <c r="Z43" s="236"/>
      <c r="AA43" s="38"/>
      <c r="AB43" s="38"/>
      <c r="AC43" s="38"/>
      <c r="AD43" s="38"/>
      <c r="AE43" s="38"/>
      <c r="AF43" s="236"/>
      <c r="AG43" s="38"/>
      <c r="AH43" s="38"/>
      <c r="AI43" s="38"/>
      <c r="AJ43" s="316"/>
      <c r="AK43" s="38"/>
      <c r="AL43" s="236"/>
      <c r="AM43" s="316"/>
      <c r="AN43" s="316"/>
      <c r="AO43" s="316"/>
      <c r="AP43" s="316"/>
      <c r="AQ43" s="316"/>
      <c r="AR43" s="236"/>
      <c r="AS43" s="316"/>
      <c r="AT43" s="316"/>
      <c r="AU43" s="316"/>
      <c r="AV43" s="316"/>
      <c r="AW43" s="316"/>
      <c r="AX43" s="236"/>
      <c r="AY43" s="316"/>
      <c r="AZ43" s="316"/>
      <c r="BA43" s="316"/>
      <c r="BB43" s="316"/>
      <c r="BC43" s="316"/>
      <c r="BD43" s="236"/>
      <c r="BE43" s="316"/>
      <c r="BF43" s="316"/>
      <c r="BG43" s="316"/>
      <c r="BH43" s="316"/>
      <c r="BI43" s="316"/>
      <c r="BJ43" s="236"/>
      <c r="BK43" s="316"/>
      <c r="BL43" s="316"/>
      <c r="BM43" s="316"/>
      <c r="BN43" s="316"/>
      <c r="BO43" s="316"/>
      <c r="BP43" s="236"/>
      <c r="BQ43" s="316"/>
      <c r="BR43" s="316"/>
      <c r="BS43" s="316"/>
      <c r="BT43" s="316"/>
      <c r="BU43" s="316"/>
      <c r="BV43" s="236"/>
      <c r="BW43" s="316"/>
      <c r="BX43" s="316"/>
      <c r="BY43" s="316"/>
      <c r="BZ43" s="316"/>
      <c r="CA43" s="316"/>
      <c r="CB43" s="236"/>
      <c r="CC43" s="316"/>
      <c r="CD43" s="316"/>
      <c r="CE43" s="316"/>
      <c r="CF43" s="316"/>
      <c r="CG43" s="316"/>
    </row>
    <row r="44" spans="1:92" s="42" customFormat="1" ht="12.75" customHeight="1" x14ac:dyDescent="0.2">
      <c r="A44" s="402"/>
      <c r="B44" s="314" t="s">
        <v>199</v>
      </c>
      <c r="C44" s="403"/>
      <c r="D44" s="403"/>
      <c r="E44" s="403"/>
      <c r="F44" s="404"/>
      <c r="G44" s="403"/>
      <c r="H44" s="252"/>
      <c r="I44" s="403"/>
      <c r="J44" s="403"/>
      <c r="K44" s="403"/>
      <c r="L44" s="403"/>
      <c r="M44" s="403"/>
      <c r="N44" s="252"/>
      <c r="O44" s="403"/>
      <c r="P44" s="403"/>
      <c r="Q44" s="403"/>
      <c r="R44" s="403"/>
      <c r="S44" s="403"/>
      <c r="T44" s="252"/>
      <c r="U44" s="403"/>
      <c r="V44" s="403"/>
      <c r="W44" s="403"/>
      <c r="X44" s="403"/>
      <c r="Y44" s="38"/>
      <c r="Z44" s="252"/>
      <c r="AA44" s="417"/>
      <c r="AB44" s="417">
        <v>2.7</v>
      </c>
      <c r="AC44" s="417">
        <v>5.4</v>
      </c>
      <c r="AD44" s="417">
        <v>5.2</v>
      </c>
      <c r="AE44" s="38">
        <f>+SUM(AA44:AD44)</f>
        <v>13.3</v>
      </c>
      <c r="AF44" s="252"/>
      <c r="AG44" s="417">
        <v>5.3609999999999998</v>
      </c>
      <c r="AH44" s="417">
        <v>6.032</v>
      </c>
      <c r="AI44" s="417">
        <v>4.0229999999999997</v>
      </c>
      <c r="AJ44" s="417">
        <v>4.6429999999999998</v>
      </c>
      <c r="AK44" s="38">
        <f>+SUM(AG44:AJ44)</f>
        <v>20.059000000000001</v>
      </c>
      <c r="AL44" s="252"/>
      <c r="AM44" s="417">
        <v>6.625</v>
      </c>
      <c r="AN44" s="417">
        <v>5.0270000000000001</v>
      </c>
      <c r="AO44" s="417">
        <v>5.5380000000000003</v>
      </c>
      <c r="AP44" s="417">
        <v>6.508</v>
      </c>
      <c r="AQ44" s="38">
        <f>+SUM(AM44:AP44)</f>
        <v>23.698</v>
      </c>
      <c r="AR44" s="252"/>
      <c r="AS44" s="537">
        <v>7.0110180321673825</v>
      </c>
      <c r="AT44" s="537">
        <f>+AN44+AS44-AM44</f>
        <v>5.4130180321673826</v>
      </c>
      <c r="AU44" s="537">
        <v>5.35</v>
      </c>
      <c r="AV44" s="537">
        <v>5.5</v>
      </c>
      <c r="AW44" s="38">
        <f>+SUM(AS44:AV44)</f>
        <v>23.274036064334766</v>
      </c>
      <c r="AX44" s="252"/>
      <c r="AY44" s="754">
        <v>5.5</v>
      </c>
      <c r="AZ44" s="754">
        <v>4</v>
      </c>
      <c r="BA44" s="754">
        <v>6</v>
      </c>
      <c r="BB44" s="754">
        <v>11</v>
      </c>
      <c r="BC44" s="38">
        <f>+SUM(AY44:BB44)</f>
        <v>26.5</v>
      </c>
      <c r="BD44" s="252"/>
      <c r="BE44" s="753">
        <v>14</v>
      </c>
      <c r="BF44" s="753">
        <f>25.926-BF49</f>
        <v>20.625999999999998</v>
      </c>
      <c r="BG44" s="796">
        <f>34.921-BG49</f>
        <v>29.120999999999999</v>
      </c>
      <c r="BH44" s="796">
        <f>41.678-BH49</f>
        <v>35.677999999999997</v>
      </c>
      <c r="BI44" s="38">
        <f>+SUM(BE44:BH44)</f>
        <v>99.424999999999997</v>
      </c>
      <c r="BJ44" s="252"/>
      <c r="BK44" s="753">
        <f>27.942-BK49</f>
        <v>22.141999999999999</v>
      </c>
      <c r="BL44" s="753">
        <f>35.446-BL49</f>
        <v>28.195999999999998</v>
      </c>
      <c r="BM44" s="796">
        <f>43.656-BM49</f>
        <v>36.655999999999999</v>
      </c>
      <c r="BN44" s="796">
        <f>57.107-BN49</f>
        <v>48.906999999999996</v>
      </c>
      <c r="BO44" s="38">
        <f>+SUM(BK44:BN44)</f>
        <v>135.90100000000001</v>
      </c>
      <c r="BP44" s="252"/>
      <c r="BQ44" s="753">
        <f>51.419-BQ49</f>
        <v>40.818999999999996</v>
      </c>
      <c r="BR44" s="729">
        <v>40</v>
      </c>
      <c r="BS44" s="729">
        <f>+BM44+8</f>
        <v>44.655999999999999</v>
      </c>
      <c r="BT44" s="729">
        <f>+BN44+10</f>
        <v>58.906999999999996</v>
      </c>
      <c r="BU44" s="38">
        <f>+SUM(BQ44:BT44)</f>
        <v>184.38200000000001</v>
      </c>
      <c r="BV44" s="252"/>
      <c r="BW44" s="729">
        <f t="shared" ref="BW44" si="3">+BQ44+5</f>
        <v>45.818999999999996</v>
      </c>
      <c r="BX44" s="729">
        <f t="shared" ref="BX44" si="4">+BR44+5</f>
        <v>45</v>
      </c>
      <c r="BY44" s="729">
        <f t="shared" ref="BY44" si="5">+BS44+5</f>
        <v>49.655999999999999</v>
      </c>
      <c r="BZ44" s="729">
        <f t="shared" ref="BZ44" si="6">+BT44+5</f>
        <v>63.906999999999996</v>
      </c>
      <c r="CA44" s="38">
        <f t="shared" ref="CA44" si="7">+SUM(BW44:BZ44)</f>
        <v>204.38200000000001</v>
      </c>
      <c r="CB44" s="252"/>
      <c r="CC44" s="729">
        <f t="shared" ref="CC44" si="8">+BW44+5</f>
        <v>50.818999999999996</v>
      </c>
      <c r="CD44" s="729">
        <f t="shared" ref="CD44" si="9">+BX44+5</f>
        <v>50</v>
      </c>
      <c r="CE44" s="729">
        <f t="shared" ref="CE44" si="10">+BY44+5</f>
        <v>54.655999999999999</v>
      </c>
      <c r="CF44" s="729">
        <f t="shared" ref="CF44" si="11">+BZ44+5</f>
        <v>68.906999999999996</v>
      </c>
      <c r="CG44" s="38">
        <f t="shared" ref="CG44" si="12">+SUM(CC44:CF44)</f>
        <v>224.38200000000001</v>
      </c>
    </row>
    <row r="45" spans="1:92" s="42" customFormat="1" ht="12.75" customHeight="1" x14ac:dyDescent="0.2">
      <c r="A45" s="308"/>
      <c r="B45" s="268" t="s">
        <v>111</v>
      </c>
      <c r="C45" s="318"/>
      <c r="D45" s="318"/>
      <c r="E45" s="318"/>
      <c r="F45" s="318"/>
      <c r="G45" s="318"/>
      <c r="H45" s="318"/>
      <c r="I45" s="318"/>
      <c r="J45" s="318"/>
      <c r="K45" s="318"/>
      <c r="L45" s="318"/>
      <c r="M45" s="316"/>
      <c r="N45" s="318"/>
      <c r="O45" s="318"/>
      <c r="P45" s="318"/>
      <c r="Q45" s="318"/>
      <c r="R45" s="318"/>
      <c r="S45" s="316"/>
      <c r="T45" s="318"/>
      <c r="U45" s="318"/>
      <c r="V45" s="318"/>
      <c r="W45" s="318"/>
      <c r="X45" s="318"/>
      <c r="Y45" s="316"/>
      <c r="Z45" s="318"/>
      <c r="AA45" s="316"/>
      <c r="AB45" s="316"/>
      <c r="AC45" s="316"/>
      <c r="AD45" s="316"/>
      <c r="AE45" s="316"/>
      <c r="AF45" s="430"/>
      <c r="AG45" s="316"/>
      <c r="AH45" s="316">
        <f>+AH46-AH47</f>
        <v>1.2554181291757587</v>
      </c>
      <c r="AI45" s="316">
        <f>+AI46-AI47</f>
        <v>-0.23188402862412166</v>
      </c>
      <c r="AJ45" s="316">
        <f>+AJ46-AJ47</f>
        <v>-9.9125468841041675E-2</v>
      </c>
      <c r="AK45" s="316">
        <f>SUMPRODUCT(AG45:AJ45,AA44:AD44)/AE44</f>
        <v>0.12195509445344924</v>
      </c>
      <c r="AL45" s="430"/>
      <c r="AM45" s="316">
        <f>+AM46-AM47</f>
        <v>0.23582068674746845</v>
      </c>
      <c r="AN45" s="316">
        <f>+AN46-AN47</f>
        <v>-0.16504398903106626</v>
      </c>
      <c r="AO45" s="316">
        <f>+AO46-AO47</f>
        <v>0.37606602554942442</v>
      </c>
      <c r="AP45" s="316">
        <f>+AP46-AP47</f>
        <v>0.40574019823109886</v>
      </c>
      <c r="AQ45" s="316">
        <f>SUMPRODUCT(AM45:AP45,AG44:AJ44)/AK44</f>
        <v>0.18273367171793772</v>
      </c>
      <c r="AR45" s="430"/>
      <c r="AS45" s="316">
        <f>+AS46-AS47</f>
        <v>5.3093490351939776E-2</v>
      </c>
      <c r="AT45" s="316">
        <f>+AT46-AT47</f>
        <v>7.0252838897045713E-2</v>
      </c>
      <c r="AU45" s="316">
        <f>+AU46-AU47</f>
        <v>-3.2426936881577197E-2</v>
      </c>
      <c r="AV45" s="316">
        <f>+AV46-AV47</f>
        <v>-0.12944233130869587</v>
      </c>
      <c r="AW45" s="316">
        <f>SUMPRODUCT(AS45:AV45,AM44:AP44)/AQ44</f>
        <v>-1.338027149506783E-2</v>
      </c>
      <c r="AX45" s="430"/>
      <c r="AY45" s="316">
        <f>+AY46-AY47</f>
        <v>-0.18889743307542256</v>
      </c>
      <c r="AZ45" s="316">
        <f>+AZ46-AZ47</f>
        <v>-0.20736879186986593</v>
      </c>
      <c r="BA45" s="316">
        <f>+BA46-BA47</f>
        <v>0.16928779916031633</v>
      </c>
      <c r="BB45" s="316">
        <f>+BB46-BB47</f>
        <v>1.0334115778874979</v>
      </c>
      <c r="BC45" s="316">
        <f>SUMPRODUCT(AY45:BB45,AS44:AV44)/AW44</f>
        <v>0.17799229464178751</v>
      </c>
      <c r="BD45" s="430"/>
      <c r="BE45" s="316">
        <f>+BE46-BE47</f>
        <v>1.5590849887973359</v>
      </c>
      <c r="BF45" s="316">
        <f>+BF46-BF47</f>
        <v>4.1564999999999994</v>
      </c>
      <c r="BG45" s="316">
        <f>+BG46-BG47</f>
        <v>3.8534999999999995</v>
      </c>
      <c r="BH45" s="316">
        <f>+BH46-BH47</f>
        <v>2.2564823903015983</v>
      </c>
      <c r="BI45" s="316">
        <f>SUMPRODUCT(BE45:BH45,AY44:BB44)/BC44</f>
        <v>2.7601235370453931</v>
      </c>
      <c r="BJ45" s="430"/>
      <c r="BK45" s="316">
        <f>+BK46-BK47</f>
        <v>0.59413845270011501</v>
      </c>
      <c r="BL45" s="316">
        <f>+BL46-BL47</f>
        <v>0.37814993692645937</v>
      </c>
      <c r="BM45" s="316">
        <f>+BM46-BM47</f>
        <v>0.24874798255554409</v>
      </c>
      <c r="BN45" s="316">
        <f>+BN46-BN47</f>
        <v>0.33078872134088227</v>
      </c>
      <c r="BO45" s="316">
        <f>SUMPRODUCT(BK45:BN45,BE44:BH44)/BI44</f>
        <v>0.35366687389335433</v>
      </c>
      <c r="BP45" s="430">
        <v>0</v>
      </c>
      <c r="BQ45" s="316">
        <f>+BQ46-BQ47</f>
        <v>0.79351007135760065</v>
      </c>
      <c r="BR45" s="316">
        <f>+BR46-BR47</f>
        <v>0.36364094197758562</v>
      </c>
      <c r="BS45" s="316">
        <f>+BS46-BS47</f>
        <v>0.19324530772588391</v>
      </c>
      <c r="BT45" s="316">
        <f>+BT46-BT47</f>
        <v>0.18446970781278751</v>
      </c>
      <c r="BU45" s="316">
        <f>SUMPRODUCT(BQ45:BT45,BK44:BN44)/BO44</f>
        <v>0.32323956409445098</v>
      </c>
      <c r="BV45" s="430">
        <v>0</v>
      </c>
      <c r="BW45" s="316">
        <f>+BW46-BW47</f>
        <v>0.12249197677552126</v>
      </c>
      <c r="BX45" s="316">
        <f>+BX46-BX47</f>
        <v>0.125</v>
      </c>
      <c r="BY45" s="316">
        <f>+BY46-BY47</f>
        <v>0.11196703690433529</v>
      </c>
      <c r="BZ45" s="316">
        <f>+BZ46-BZ47</f>
        <v>8.4879555910163385E-2</v>
      </c>
      <c r="CA45" s="316">
        <f>SUMPRODUCT(BW45:BZ45,BQ44:BT44)/BU44</f>
        <v>0.10847045807074439</v>
      </c>
      <c r="CB45" s="430">
        <v>0</v>
      </c>
      <c r="CC45" s="316">
        <f>+CC46-CC47</f>
        <v>0.10912503546563657</v>
      </c>
      <c r="CD45" s="316">
        <f>+CD46-CD47</f>
        <v>0.11111111111111116</v>
      </c>
      <c r="CE45" s="316">
        <f>+CE46-CE47</f>
        <v>0.10069276623167389</v>
      </c>
      <c r="CF45" s="316">
        <f>+CF46-CF47</f>
        <v>7.8238690597274063E-2</v>
      </c>
      <c r="CG45" s="316">
        <f>SUMPRODUCT(CC45:CF45,BW44:BZ44)/CA44</f>
        <v>9.7855975575148454E-2</v>
      </c>
    </row>
    <row r="46" spans="1:92" s="42" customFormat="1" ht="12.75" hidden="1" customHeight="1" outlineLevel="1" x14ac:dyDescent="0.2">
      <c r="A46" s="308"/>
      <c r="B46" s="599" t="s">
        <v>299</v>
      </c>
      <c r="C46" s="600"/>
      <c r="D46" s="600"/>
      <c r="E46" s="600"/>
      <c r="F46" s="600"/>
      <c r="G46" s="600"/>
      <c r="H46" s="601"/>
      <c r="I46" s="600"/>
      <c r="J46" s="600"/>
      <c r="K46" s="600"/>
      <c r="L46" s="600"/>
      <c r="M46" s="600"/>
      <c r="N46" s="601"/>
      <c r="O46" s="600"/>
      <c r="P46" s="600"/>
      <c r="Q46" s="600"/>
      <c r="R46" s="600"/>
      <c r="S46" s="600"/>
      <c r="T46" s="601"/>
      <c r="U46" s="600"/>
      <c r="V46" s="600"/>
      <c r="W46" s="600"/>
      <c r="X46" s="600"/>
      <c r="Y46" s="600"/>
      <c r="Z46" s="601"/>
      <c r="AA46" s="600"/>
      <c r="AB46" s="600"/>
      <c r="AC46" s="600"/>
      <c r="AD46" s="600"/>
      <c r="AE46" s="600" t="str">
        <f>IF(ISERROR(AE44/Y44-1),"NM",AE44/Y44-1)</f>
        <v>NM</v>
      </c>
      <c r="AF46" s="601"/>
      <c r="AG46" s="600"/>
      <c r="AH46" s="600">
        <f>+AH44/AB44-1</f>
        <v>1.2340740740740741</v>
      </c>
      <c r="AI46" s="600">
        <f>+AI44/AC44-1</f>
        <v>-0.25500000000000012</v>
      </c>
      <c r="AJ46" s="600">
        <f>+AJ44/AD44-1</f>
        <v>-0.10711538461538472</v>
      </c>
      <c r="AK46" s="600">
        <f>+AK44/AE44-1</f>
        <v>0.50819548872180453</v>
      </c>
      <c r="AL46" s="601"/>
      <c r="AM46" s="600">
        <f>+AM44/AG44-1</f>
        <v>0.23577690729341549</v>
      </c>
      <c r="AN46" s="600">
        <f>+AN44/AH44-1</f>
        <v>-0.16661140583554379</v>
      </c>
      <c r="AO46" s="600">
        <f>+AO44/AI44-1</f>
        <v>0.37658463832960498</v>
      </c>
      <c r="AP46" s="600">
        <f>+AP44/AJ44-1</f>
        <v>0.40167994830928277</v>
      </c>
      <c r="AQ46" s="600">
        <f>+AQ44/AK44-1</f>
        <v>0.18141482626252547</v>
      </c>
      <c r="AR46" s="601"/>
      <c r="AS46" s="600">
        <f>+AS44/AM44-1</f>
        <v>5.8266872779982215E-2</v>
      </c>
      <c r="AT46" s="600">
        <f>+AT44/AN44-1</f>
        <v>7.6788946124404678E-2</v>
      </c>
      <c r="AU46" s="600">
        <f>+AU44/AO44-1</f>
        <v>-3.3947273383893251E-2</v>
      </c>
      <c r="AV46" s="600">
        <f>+AV44/AP44-1</f>
        <v>-0.15488629379225571</v>
      </c>
      <c r="AW46" s="600">
        <f>+AW44/AQ44-1</f>
        <v>-1.789028338531673E-2</v>
      </c>
      <c r="AX46" s="601"/>
      <c r="AY46" s="600">
        <f>+AY44/AS44-1</f>
        <v>-0.21552048864154283</v>
      </c>
      <c r="AZ46" s="600">
        <f>+AZ44/AT44-1</f>
        <v>-0.26104070294434389</v>
      </c>
      <c r="BA46" s="600">
        <f>+BA44/AU44-1</f>
        <v>0.12149532710280386</v>
      </c>
      <c r="BB46" s="600">
        <f>+BB44/AV44-1</f>
        <v>1</v>
      </c>
      <c r="BC46" s="600">
        <f>IF(ISERROR(BC44/AW44-1),"NM",BC44/AW44-1)</f>
        <v>0.13860784295203166</v>
      </c>
      <c r="BD46" s="601"/>
      <c r="BE46" s="600">
        <f>+BE44/AY44-1</f>
        <v>1.5454545454545454</v>
      </c>
      <c r="BF46" s="600">
        <f>+BF44/AZ44-1</f>
        <v>4.1564999999999994</v>
      </c>
      <c r="BG46" s="600">
        <f>+BG44/BA44-1</f>
        <v>3.8534999999999995</v>
      </c>
      <c r="BH46" s="600">
        <f>+BH44/BB44-1</f>
        <v>2.2434545454545454</v>
      </c>
      <c r="BI46" s="600">
        <f>IF(ISERROR(BI44/BC44-1),"NM",BI44/BC44-1)</f>
        <v>2.7518867924528303</v>
      </c>
      <c r="BJ46" s="601"/>
      <c r="BK46" s="600">
        <f>+BK44/BE44-1</f>
        <v>0.58157142857142863</v>
      </c>
      <c r="BL46" s="600">
        <f>+BL44/BF44-1</f>
        <v>0.36701250848443712</v>
      </c>
      <c r="BM46" s="600">
        <f>+BM44/BG44-1</f>
        <v>0.2587479825555441</v>
      </c>
      <c r="BN46" s="600">
        <f>+BN44/BH44-1</f>
        <v>0.37078872134088225</v>
      </c>
      <c r="BO46" s="600">
        <f>IF(ISERROR(BO44/BI44-1),"NM",BO44/BI44-1)</f>
        <v>0.36686949962283144</v>
      </c>
      <c r="BP46" s="601"/>
      <c r="BQ46" s="600">
        <f>+BQ44/BK44-1</f>
        <v>0.8435100713576007</v>
      </c>
      <c r="BR46" s="600">
        <f>+BR44/BL44-1</f>
        <v>0.41864094197758561</v>
      </c>
      <c r="BS46" s="600">
        <f>+BS44/BM44-1</f>
        <v>0.21824530772588391</v>
      </c>
      <c r="BT46" s="600">
        <f>+BT44/BN44-1</f>
        <v>0.2044697078127875</v>
      </c>
      <c r="BU46" s="600">
        <f>IF(ISERROR(BU44/BO44-1),"NM",BU44/BO44-1)</f>
        <v>0.35673762518303764</v>
      </c>
      <c r="BV46" s="601"/>
      <c r="BW46" s="600">
        <f>+BW44/BQ44-1</f>
        <v>0.12249197677552126</v>
      </c>
      <c r="BX46" s="600">
        <f>+BX44/BR44-1</f>
        <v>0.125</v>
      </c>
      <c r="BY46" s="600">
        <f>+BY44/BS44-1</f>
        <v>0.11196703690433529</v>
      </c>
      <c r="BZ46" s="600">
        <f>+BZ44/BT44-1</f>
        <v>8.4879555910163385E-2</v>
      </c>
      <c r="CA46" s="600">
        <f>IF(ISERROR(CA44/BU44-1),"NM",CA44/BU44-1)</f>
        <v>0.10847045807074451</v>
      </c>
      <c r="CB46" s="601"/>
      <c r="CC46" s="600">
        <f>+CC44/BW44-1</f>
        <v>0.10912503546563657</v>
      </c>
      <c r="CD46" s="600">
        <f>+CD44/BX44-1</f>
        <v>0.11111111111111116</v>
      </c>
      <c r="CE46" s="600">
        <f>+CE44/BY44-1</f>
        <v>0.10069276623167389</v>
      </c>
      <c r="CF46" s="600">
        <f>+CF44/BZ44-1</f>
        <v>7.8238690597274063E-2</v>
      </c>
      <c r="CG46" s="600">
        <f>IF(ISERROR(CG44/CA44-1),"NM",CG44/CA44-1)</f>
        <v>9.7855975575148468E-2</v>
      </c>
    </row>
    <row r="47" spans="1:92" s="42" customFormat="1" ht="12.75" hidden="1" customHeight="1" outlineLevel="1" x14ac:dyDescent="0.2">
      <c r="A47" s="308"/>
      <c r="B47" s="602" t="s">
        <v>110</v>
      </c>
      <c r="C47" s="603"/>
      <c r="D47" s="603"/>
      <c r="E47" s="603"/>
      <c r="F47" s="603"/>
      <c r="G47" s="603"/>
      <c r="H47" s="603"/>
      <c r="I47" s="603"/>
      <c r="J47" s="603"/>
      <c r="K47" s="603"/>
      <c r="L47" s="603"/>
      <c r="M47" s="604"/>
      <c r="N47" s="603"/>
      <c r="O47" s="603"/>
      <c r="P47" s="603"/>
      <c r="Q47" s="603"/>
      <c r="R47" s="603"/>
      <c r="S47" s="604"/>
      <c r="T47" s="603"/>
      <c r="U47" s="603"/>
      <c r="V47" s="603"/>
      <c r="W47" s="603"/>
      <c r="X47" s="603"/>
      <c r="Y47" s="603"/>
      <c r="Z47" s="603"/>
      <c r="AA47" s="603"/>
      <c r="AB47" s="603"/>
      <c r="AC47" s="603"/>
      <c r="AD47" s="603"/>
      <c r="AE47" s="605" t="s">
        <v>174</v>
      </c>
      <c r="AF47" s="603"/>
      <c r="AG47" s="603"/>
      <c r="AH47" s="603">
        <f>+AH$59</f>
        <v>-2.1344055101684519E-2</v>
      </c>
      <c r="AI47" s="603">
        <f>+AI$59</f>
        <v>-2.3115971375878466E-2</v>
      </c>
      <c r="AJ47" s="603">
        <f>+AJ$59</f>
        <v>-7.9899157743430413E-3</v>
      </c>
      <c r="AK47" s="603">
        <f>+AK46-AK45</f>
        <v>0.38624039426835532</v>
      </c>
      <c r="AL47" s="603"/>
      <c r="AM47" s="603">
        <f>+AM$59</f>
        <v>-4.3779454052956775E-5</v>
      </c>
      <c r="AN47" s="603">
        <f>+AN$59</f>
        <v>-1.5674168044775352E-3</v>
      </c>
      <c r="AO47" s="603">
        <f>+AO$59</f>
        <v>5.1861278018057629E-4</v>
      </c>
      <c r="AP47" s="603">
        <f>+AP$59</f>
        <v>-4.0602499218160906E-3</v>
      </c>
      <c r="AQ47" s="603">
        <f>+AQ46-AQ45</f>
        <v>-1.3188454554122486E-3</v>
      </c>
      <c r="AR47" s="603"/>
      <c r="AS47" s="603">
        <f>+AS$59</f>
        <v>5.173382428042439E-3</v>
      </c>
      <c r="AT47" s="603">
        <f>+AT$59</f>
        <v>6.5361072273589583E-3</v>
      </c>
      <c r="AU47" s="603">
        <f>+AU$59</f>
        <v>-1.5203365023160557E-3</v>
      </c>
      <c r="AV47" s="603">
        <f>+AV$59</f>
        <v>-2.5443962483559856E-2</v>
      </c>
      <c r="AW47" s="603">
        <f>+AW46-AW45</f>
        <v>-4.5100118902489002E-3</v>
      </c>
      <c r="AX47" s="603"/>
      <c r="AY47" s="603">
        <f>+AY$59</f>
        <v>-2.6623055566120258E-2</v>
      </c>
      <c r="AZ47" s="603">
        <f>+AZ$59</f>
        <v>-5.3671911074477975E-2</v>
      </c>
      <c r="BA47" s="603">
        <f>+BA$59</f>
        <v>-4.7792472057512483E-2</v>
      </c>
      <c r="BB47" s="603">
        <f>+BB$59</f>
        <v>-3.341157788749783E-2</v>
      </c>
      <c r="BC47" s="603">
        <f>+BC46-BC45</f>
        <v>-3.9384451689755851E-2</v>
      </c>
      <c r="BD47" s="603"/>
      <c r="BE47" s="603">
        <f>+BE$59</f>
        <v>-1.3630443342790505E-2</v>
      </c>
      <c r="BF47" s="603">
        <f>+BF$59</f>
        <v>0</v>
      </c>
      <c r="BG47" s="603">
        <f>+BG$59</f>
        <v>0</v>
      </c>
      <c r="BH47" s="603">
        <f>+BH$59</f>
        <v>-1.3027844847053102E-2</v>
      </c>
      <c r="BI47" s="603">
        <f>+BI46-BI45</f>
        <v>-8.2367445925628502E-3</v>
      </c>
      <c r="BJ47" s="603"/>
      <c r="BK47" s="603">
        <f>+BK$59</f>
        <v>-1.2567024128686327E-2</v>
      </c>
      <c r="BL47" s="603">
        <f>+BL$59</f>
        <v>-1.1137428442022259E-2</v>
      </c>
      <c r="BM47" s="603">
        <f>+BM$59</f>
        <v>0.01</v>
      </c>
      <c r="BN47" s="603">
        <f>+BN$59</f>
        <v>0.04</v>
      </c>
      <c r="BO47" s="603">
        <f>+BO46-BO45</f>
        <v>1.3202625729477113E-2</v>
      </c>
      <c r="BP47" s="603"/>
      <c r="BQ47" s="603">
        <f>+BQ$59</f>
        <v>0.05</v>
      </c>
      <c r="BR47" s="603">
        <f>+BR$59</f>
        <v>5.5E-2</v>
      </c>
      <c r="BS47" s="603">
        <f>+BS$59</f>
        <v>2.5000000000000001E-2</v>
      </c>
      <c r="BT47" s="603">
        <f>+BT$59</f>
        <v>0.02</v>
      </c>
      <c r="BU47" s="603">
        <f>+BU46-BU45</f>
        <v>3.3498061088586661E-2</v>
      </c>
      <c r="BV47" s="603"/>
      <c r="BW47" s="603">
        <f>+BW$59</f>
        <v>0</v>
      </c>
      <c r="BX47" s="603">
        <f>+BX$59</f>
        <v>0</v>
      </c>
      <c r="BY47" s="603">
        <f>+BY$59</f>
        <v>0</v>
      </c>
      <c r="BZ47" s="603">
        <f>+BZ$59</f>
        <v>0</v>
      </c>
      <c r="CA47" s="603">
        <f>+CA46-CA45</f>
        <v>1.2490009027033011E-16</v>
      </c>
      <c r="CB47" s="603"/>
      <c r="CC47" s="603">
        <f>+CC$59</f>
        <v>0</v>
      </c>
      <c r="CD47" s="603">
        <f>+CD$59</f>
        <v>0</v>
      </c>
      <c r="CE47" s="603">
        <f>+CE$59</f>
        <v>0</v>
      </c>
      <c r="CF47" s="603">
        <f>+CF$59</f>
        <v>0</v>
      </c>
      <c r="CG47" s="603">
        <f>+CG46-CG45</f>
        <v>0</v>
      </c>
    </row>
    <row r="48" spans="1:92" s="42" customFormat="1" ht="6.75" customHeight="1" collapsed="1" x14ac:dyDescent="0.2">
      <c r="A48" s="308"/>
      <c r="B48" s="308"/>
      <c r="C48" s="316"/>
      <c r="D48" s="316"/>
      <c r="E48" s="316"/>
      <c r="F48" s="316"/>
      <c r="G48" s="316"/>
      <c r="H48" s="236"/>
      <c r="I48" s="316"/>
      <c r="J48" s="316"/>
      <c r="K48" s="316"/>
      <c r="L48" s="316"/>
      <c r="M48" s="316"/>
      <c r="N48" s="236"/>
      <c r="O48" s="316"/>
      <c r="P48" s="316"/>
      <c r="Q48" s="316"/>
      <c r="R48" s="316"/>
      <c r="S48" s="316"/>
      <c r="T48" s="236"/>
      <c r="U48" s="316"/>
      <c r="V48" s="316"/>
      <c r="W48" s="316"/>
      <c r="X48" s="316"/>
      <c r="Y48" s="316"/>
      <c r="Z48" s="316"/>
      <c r="AA48" s="38"/>
      <c r="AB48" s="38"/>
      <c r="AC48" s="38"/>
      <c r="AD48" s="38"/>
      <c r="AE48" s="38"/>
      <c r="AF48" s="236"/>
      <c r="AG48" s="38"/>
      <c r="AH48" s="38"/>
      <c r="AI48" s="38"/>
      <c r="AJ48" s="38"/>
      <c r="AK48" s="38"/>
      <c r="AL48" s="236"/>
      <c r="AM48" s="316"/>
      <c r="AN48" s="316"/>
      <c r="AO48" s="316"/>
      <c r="AP48" s="38"/>
      <c r="AQ48" s="316"/>
      <c r="AR48" s="236"/>
      <c r="AS48" s="316"/>
      <c r="AT48" s="316"/>
      <c r="AU48" s="316"/>
      <c r="AV48" s="316"/>
      <c r="AW48" s="316"/>
      <c r="AX48" s="236"/>
      <c r="AY48" s="316"/>
      <c r="AZ48" s="316"/>
      <c r="BA48" s="316"/>
      <c r="BB48" s="316"/>
      <c r="BC48" s="316"/>
      <c r="BD48" s="236"/>
      <c r="BE48" s="316"/>
      <c r="BF48" s="316"/>
      <c r="BG48" s="316"/>
      <c r="BH48" s="316"/>
      <c r="BI48" s="316"/>
      <c r="BJ48" s="236"/>
      <c r="BK48" s="316"/>
      <c r="BL48" s="316"/>
      <c r="BM48" s="316"/>
      <c r="BN48" s="316"/>
      <c r="BO48" s="316"/>
      <c r="BP48" s="236"/>
      <c r="BQ48" s="316"/>
      <c r="BR48" s="316"/>
      <c r="BS48" s="316"/>
      <c r="BT48" s="316"/>
      <c r="BU48" s="316"/>
      <c r="BV48" s="236"/>
      <c r="BW48" s="316"/>
      <c r="BX48" s="316"/>
      <c r="BY48" s="316"/>
      <c r="BZ48" s="316"/>
      <c r="CA48" s="316"/>
      <c r="CB48" s="236"/>
      <c r="CC48" s="316"/>
      <c r="CD48" s="316"/>
      <c r="CE48" s="316"/>
      <c r="CF48" s="316"/>
      <c r="CG48" s="316"/>
    </row>
    <row r="49" spans="1:92" s="42" customFormat="1" ht="12.75" customHeight="1" x14ac:dyDescent="0.2">
      <c r="A49" s="402"/>
      <c r="B49" s="314" t="s">
        <v>200</v>
      </c>
      <c r="C49" s="403"/>
      <c r="D49" s="403"/>
      <c r="E49" s="403"/>
      <c r="F49" s="404"/>
      <c r="G49" s="403"/>
      <c r="H49" s="252"/>
      <c r="I49" s="403"/>
      <c r="J49" s="403"/>
      <c r="K49" s="403"/>
      <c r="L49" s="403"/>
      <c r="M49" s="403"/>
      <c r="N49" s="252"/>
      <c r="O49" s="403"/>
      <c r="P49" s="403"/>
      <c r="Q49" s="403"/>
      <c r="R49" s="403"/>
      <c r="S49" s="403"/>
      <c r="T49" s="252"/>
      <c r="U49" s="403"/>
      <c r="V49" s="403"/>
      <c r="W49" s="403"/>
      <c r="X49" s="403"/>
      <c r="Y49" s="38"/>
      <c r="Z49" s="252"/>
      <c r="AA49" s="417"/>
      <c r="AB49" s="417">
        <v>3.8</v>
      </c>
      <c r="AC49" s="417">
        <v>6.2</v>
      </c>
      <c r="AD49" s="417">
        <v>4.8</v>
      </c>
      <c r="AE49" s="38">
        <f>+SUM(AA49:AD49)</f>
        <v>14.8</v>
      </c>
      <c r="AF49" s="252"/>
      <c r="AG49" s="417">
        <v>6.39</v>
      </c>
      <c r="AH49" s="417">
        <v>5.9249999999999998</v>
      </c>
      <c r="AI49" s="417">
        <v>5.7480000000000002</v>
      </c>
      <c r="AJ49" s="417">
        <v>5.3380000000000001</v>
      </c>
      <c r="AK49" s="38">
        <f>+SUM(AG49:AJ49)</f>
        <v>23.401</v>
      </c>
      <c r="AL49" s="252"/>
      <c r="AM49" s="417">
        <v>5.383</v>
      </c>
      <c r="AN49" s="417">
        <v>5.4980000000000002</v>
      </c>
      <c r="AO49" s="417">
        <v>5.4180000000000001</v>
      </c>
      <c r="AP49" s="417">
        <v>5.56</v>
      </c>
      <c r="AQ49" s="38">
        <f>+SUM(AM49:AP49)</f>
        <v>21.858999999999998</v>
      </c>
      <c r="AR49" s="252"/>
      <c r="AS49" s="38">
        <f>12.407-AS44</f>
        <v>5.3959819678326175</v>
      </c>
      <c r="AT49" s="38">
        <f>12.796-AT44</f>
        <v>7.3829819678326167</v>
      </c>
      <c r="AU49" s="38">
        <f>11.738-AU44</f>
        <v>6.3879999999999999</v>
      </c>
      <c r="AV49" s="38">
        <f>12.163-AV44</f>
        <v>6.6630000000000003</v>
      </c>
      <c r="AW49" s="38">
        <f>+SUM(AS49:AV49)</f>
        <v>25.829963935665237</v>
      </c>
      <c r="AX49" s="252"/>
      <c r="AY49" s="754">
        <f>11.057-AY44</f>
        <v>5.5570000000000004</v>
      </c>
      <c r="AZ49" s="754">
        <v>4.6710000000000003</v>
      </c>
      <c r="BA49" s="754">
        <f>9.344-BA44</f>
        <v>3.3439999999999994</v>
      </c>
      <c r="BB49" s="754">
        <f>16.228-BB44</f>
        <v>5.2280000000000015</v>
      </c>
      <c r="BC49" s="38">
        <f>+SUM(AY49:BB49)</f>
        <v>18.800000000000004</v>
      </c>
      <c r="BD49" s="252"/>
      <c r="BE49" s="753">
        <f>19.022-BE44</f>
        <v>5.0219999999999985</v>
      </c>
      <c r="BF49" s="753">
        <v>5.3</v>
      </c>
      <c r="BG49" s="796">
        <v>5.8</v>
      </c>
      <c r="BH49" s="796">
        <v>6</v>
      </c>
      <c r="BI49" s="38">
        <f>+SUM(BE49:BH49)</f>
        <v>22.122</v>
      </c>
      <c r="BJ49" s="252"/>
      <c r="BK49" s="754">
        <v>5.8</v>
      </c>
      <c r="BL49" s="754">
        <v>7.25</v>
      </c>
      <c r="BM49" s="796">
        <v>7</v>
      </c>
      <c r="BN49" s="796">
        <v>8.1999999999999993</v>
      </c>
      <c r="BO49" s="38">
        <f>+SUM(BK49:BN49)</f>
        <v>28.25</v>
      </c>
      <c r="BP49" s="252"/>
      <c r="BQ49" s="754">
        <v>10.6</v>
      </c>
      <c r="BR49" s="38">
        <f>+BL49*(1+BR51)</f>
        <v>9.098749999999999</v>
      </c>
      <c r="BS49" s="38">
        <f>+BM49*(1+BS51)</f>
        <v>8.5750000000000011</v>
      </c>
      <c r="BT49" s="38">
        <f>+BN49*(1+BT51)</f>
        <v>10.004</v>
      </c>
      <c r="BU49" s="38">
        <f>+SUM(BQ49:BT49)</f>
        <v>38.277749999999997</v>
      </c>
      <c r="BV49" s="252"/>
      <c r="BW49" s="38">
        <f>+BQ49*(1+BW51)</f>
        <v>11.66</v>
      </c>
      <c r="BX49" s="38">
        <f>+BR49*(1+BX51)</f>
        <v>10.008625</v>
      </c>
      <c r="BY49" s="38">
        <f>+BS49*(1+BY51)</f>
        <v>9.4325000000000028</v>
      </c>
      <c r="BZ49" s="38">
        <f>+BT49*(1+BZ51)</f>
        <v>11.0044</v>
      </c>
      <c r="CA49" s="38">
        <f>+SUM(BW49:BZ49)</f>
        <v>42.105525</v>
      </c>
      <c r="CB49" s="252"/>
      <c r="CC49" s="38">
        <f>+BW49*(1+CC51)</f>
        <v>12.4762</v>
      </c>
      <c r="CD49" s="38">
        <f>+BX49*(1+CD51)</f>
        <v>10.709228750000001</v>
      </c>
      <c r="CE49" s="38">
        <f>+BY49*(1+CE51)</f>
        <v>10.092775000000003</v>
      </c>
      <c r="CF49" s="38">
        <f>+BZ49*(1+CF51)</f>
        <v>11.774708</v>
      </c>
      <c r="CG49" s="38">
        <f>+SUM(CC49:CF49)</f>
        <v>45.052911750000007</v>
      </c>
      <c r="CJ49" s="231"/>
      <c r="CK49" s="231"/>
      <c r="CL49" s="231"/>
      <c r="CM49" s="231"/>
      <c r="CN49" s="231"/>
    </row>
    <row r="50" spans="1:92" s="42" customFormat="1" ht="12.75" customHeight="1" x14ac:dyDescent="0.2">
      <c r="A50" s="308"/>
      <c r="B50" s="268" t="s">
        <v>111</v>
      </c>
      <c r="C50" s="318"/>
      <c r="D50" s="318"/>
      <c r="E50" s="318"/>
      <c r="F50" s="318"/>
      <c r="G50" s="318"/>
      <c r="H50" s="318"/>
      <c r="I50" s="318"/>
      <c r="J50" s="318"/>
      <c r="K50" s="318"/>
      <c r="L50" s="318"/>
      <c r="M50" s="316"/>
      <c r="N50" s="318"/>
      <c r="O50" s="318"/>
      <c r="P50" s="318"/>
      <c r="Q50" s="318"/>
      <c r="R50" s="318"/>
      <c r="S50" s="316"/>
      <c r="T50" s="318"/>
      <c r="U50" s="318"/>
      <c r="V50" s="318"/>
      <c r="W50" s="318"/>
      <c r="X50" s="318"/>
      <c r="Y50" s="316"/>
      <c r="Z50" s="318"/>
      <c r="AA50" s="316"/>
      <c r="AB50" s="316"/>
      <c r="AC50" s="316"/>
      <c r="AD50" s="316"/>
      <c r="AE50" s="316"/>
      <c r="AF50" s="430"/>
      <c r="AG50" s="316"/>
      <c r="AH50" s="316">
        <f>+AH51-AH52</f>
        <v>0.5592105263157896</v>
      </c>
      <c r="AI50" s="316">
        <f>+AI51-AI52</f>
        <v>-7.2903225806451588E-2</v>
      </c>
      <c r="AJ50" s="316">
        <f>+AJ51-AJ52</f>
        <v>0.12007324910767636</v>
      </c>
      <c r="AK50" s="316">
        <f>SUMPRODUCT(AG50:AJ50,AA49:AD49)/AE49</f>
        <v>0.15198321592681396</v>
      </c>
      <c r="AL50" s="430"/>
      <c r="AM50" s="316">
        <f>+AM51-AM52</f>
        <v>-0.15754620489649476</v>
      </c>
      <c r="AN50" s="316">
        <f>+AN51-AN52</f>
        <v>-7.0500093744045589E-2</v>
      </c>
      <c r="AO50" s="316">
        <f>+AO51-AO52</f>
        <v>-5.7929886266610622E-2</v>
      </c>
      <c r="AP50" s="316">
        <f>+AP51-AP52</f>
        <v>4.5648859888095535E-2</v>
      </c>
      <c r="AQ50" s="316">
        <f>SUMPRODUCT(AM50:AP50,AG49:AJ49)/AK49</f>
        <v>-6.4687008115033362E-2</v>
      </c>
      <c r="AR50" s="430"/>
      <c r="AS50" s="316">
        <f>+AS51-AS52</f>
        <v>-2.7617220467277548E-3</v>
      </c>
      <c r="AT50" s="316">
        <f>+AT51-AT52</f>
        <v>0.33631255916635083</v>
      </c>
      <c r="AU50" s="316">
        <f>+AU51-AU52</f>
        <v>0.18055318995377409</v>
      </c>
      <c r="AV50" s="316">
        <f>+AV51-AV52</f>
        <v>0.22382525744758874</v>
      </c>
      <c r="AW50" s="316">
        <f>SUMPRODUCT(AS50:AV50,AM49:AP49)/AQ49</f>
        <v>0.18559338099168321</v>
      </c>
      <c r="AX50" s="430"/>
      <c r="AY50" s="316">
        <f>+AY51-AY52</f>
        <v>5.6463413285488026E-2</v>
      </c>
      <c r="AZ50" s="316">
        <f>+AZ51-AZ52</f>
        <v>-0.31365689721038892</v>
      </c>
      <c r="BA50" s="316">
        <f>+BA51-BA52</f>
        <v>-0.4287260000777412</v>
      </c>
      <c r="BB50" s="316">
        <f>+BB51-BB52</f>
        <v>-0.18195687476145894</v>
      </c>
      <c r="BC50" s="316">
        <f>SUMPRODUCT(AY50:BB50,AS49:AV49)/AW49</f>
        <v>-0.23082215740377945</v>
      </c>
      <c r="BD50" s="430"/>
      <c r="BE50" s="316">
        <f>+BE51-BE52</f>
        <v>-8.2644525165397664E-2</v>
      </c>
      <c r="BF50" s="316">
        <f>+BF51-BF52</f>
        <v>0.13466067223292644</v>
      </c>
      <c r="BG50" s="316">
        <f>+BG51-BG52</f>
        <v>0.73444976076555046</v>
      </c>
      <c r="BH50" s="316">
        <f>+BH51-BH52</f>
        <v>0.16069425647673907</v>
      </c>
      <c r="BI50" s="316">
        <f>SUMPRODUCT(BE50:BH50,AY49:BB49)/BC49</f>
        <v>0.18435393332533384</v>
      </c>
      <c r="BJ50" s="430"/>
      <c r="BK50" s="316">
        <f>+BK51-BK52</f>
        <v>0.16748538334812108</v>
      </c>
      <c r="BL50" s="316">
        <f>+BL51-BL52</f>
        <v>0.37906195674390908</v>
      </c>
      <c r="BM50" s="316">
        <f>+BM51-BM52</f>
        <v>0.19689655172413789</v>
      </c>
      <c r="BN50" s="316">
        <f>+BN51-BN52</f>
        <v>0.32666666666666649</v>
      </c>
      <c r="BO50" s="316">
        <f>SUMPRODUCT(BK50:BN50,BE49:BH49)/BI49</f>
        <v>0.2690597579747302</v>
      </c>
      <c r="BP50" s="430"/>
      <c r="BQ50" s="316">
        <f>+BQ51-BQ52</f>
        <v>0.77758620689655178</v>
      </c>
      <c r="BR50" s="430">
        <v>0.2</v>
      </c>
      <c r="BS50" s="430">
        <v>0.2</v>
      </c>
      <c r="BT50" s="430">
        <v>0.2</v>
      </c>
      <c r="BU50" s="316">
        <f>SUMPRODUCT(BQ50:BT50,BK49:BN49)/BO49</f>
        <v>0.31858407079646017</v>
      </c>
      <c r="BV50" s="430"/>
      <c r="BW50" s="430">
        <v>0.1</v>
      </c>
      <c r="BX50" s="430">
        <v>0.1</v>
      </c>
      <c r="BY50" s="430">
        <v>0.1</v>
      </c>
      <c r="BZ50" s="430">
        <v>0.1</v>
      </c>
      <c r="CA50" s="316">
        <f>SUMPRODUCT(BW50:BZ50,BQ49:BT49)/BU49</f>
        <v>0.1</v>
      </c>
      <c r="CB50" s="430"/>
      <c r="CC50" s="430">
        <v>7.0000000000000007E-2</v>
      </c>
      <c r="CD50" s="430">
        <v>7.0000000000000007E-2</v>
      </c>
      <c r="CE50" s="430">
        <v>7.0000000000000007E-2</v>
      </c>
      <c r="CF50" s="430">
        <v>7.0000000000000007E-2</v>
      </c>
      <c r="CG50" s="316">
        <f>SUMPRODUCT(CC50:CF50,BW49:BZ49)/CA49</f>
        <v>7.0000000000000021E-2</v>
      </c>
      <c r="CJ50" s="714"/>
      <c r="CK50" s="714"/>
      <c r="CL50" s="714"/>
      <c r="CM50" s="714"/>
      <c r="CN50" s="714"/>
    </row>
    <row r="51" spans="1:92" s="42" customFormat="1" ht="12.75" hidden="1" customHeight="1" outlineLevel="1" x14ac:dyDescent="0.2">
      <c r="A51" s="308"/>
      <c r="B51" s="599" t="s">
        <v>299</v>
      </c>
      <c r="C51" s="600"/>
      <c r="D51" s="600"/>
      <c r="E51" s="600"/>
      <c r="F51" s="600"/>
      <c r="G51" s="600"/>
      <c r="H51" s="601"/>
      <c r="I51" s="600"/>
      <c r="J51" s="600"/>
      <c r="K51" s="600"/>
      <c r="L51" s="600"/>
      <c r="M51" s="600"/>
      <c r="N51" s="601"/>
      <c r="O51" s="600"/>
      <c r="P51" s="600"/>
      <c r="Q51" s="600"/>
      <c r="R51" s="600"/>
      <c r="S51" s="600"/>
      <c r="T51" s="601"/>
      <c r="U51" s="600"/>
      <c r="V51" s="600"/>
      <c r="W51" s="600"/>
      <c r="X51" s="600"/>
      <c r="Y51" s="600"/>
      <c r="Z51" s="601"/>
      <c r="AA51" s="600"/>
      <c r="AB51" s="600"/>
      <c r="AC51" s="600"/>
      <c r="AD51" s="600"/>
      <c r="AE51" s="600" t="str">
        <f>IF(ISERROR(AE49/Y49-1),"NM",AE49/Y49-1)</f>
        <v>NM</v>
      </c>
      <c r="AF51" s="601"/>
      <c r="AG51" s="600"/>
      <c r="AH51" s="600">
        <f>+AH49/AB49-1</f>
        <v>0.5592105263157896</v>
      </c>
      <c r="AI51" s="600">
        <f>+AI49/AC49-1</f>
        <v>-7.2903225806451588E-2</v>
      </c>
      <c r="AJ51" s="600">
        <f>+AJ49/AD49-1</f>
        <v>0.11208333333333331</v>
      </c>
      <c r="AK51" s="600">
        <f>+AK49/AE49-1</f>
        <v>0.58114864864864857</v>
      </c>
      <c r="AL51" s="601"/>
      <c r="AM51" s="600">
        <f>+AM49/AG49-1</f>
        <v>-0.15758998435054772</v>
      </c>
      <c r="AN51" s="600">
        <f>+AN49/AH49-1</f>
        <v>-7.2067510548523117E-2</v>
      </c>
      <c r="AO51" s="600">
        <f>+AO49/AI49-1</f>
        <v>-5.7411273486430048E-2</v>
      </c>
      <c r="AP51" s="600">
        <f>+AP49/AJ49-1</f>
        <v>4.1588609966279444E-2</v>
      </c>
      <c r="AQ51" s="600">
        <f>+AQ49/AK49-1</f>
        <v>-6.5894619888039019E-2</v>
      </c>
      <c r="AR51" s="601"/>
      <c r="AS51" s="600">
        <f>+AS49/AM49-1</f>
        <v>2.4116603813146842E-3</v>
      </c>
      <c r="AT51" s="600">
        <f>+AT49/AN49-1</f>
        <v>0.34284866639370981</v>
      </c>
      <c r="AU51" s="600">
        <f>+AU49/AO49-1</f>
        <v>0.17903285345145803</v>
      </c>
      <c r="AV51" s="600">
        <f>+AV49/AP49-1</f>
        <v>0.1983812949640289</v>
      </c>
      <c r="AW51" s="600">
        <f>+AW49/AQ49-1</f>
        <v>0.18166265317101593</v>
      </c>
      <c r="AX51" s="601"/>
      <c r="AY51" s="600">
        <f>+AY49/AS49-1</f>
        <v>2.9840357719367772E-2</v>
      </c>
      <c r="AZ51" s="600">
        <f>+AZ49/AT49-1</f>
        <v>-0.36732880828486691</v>
      </c>
      <c r="BA51" s="600">
        <f>+BA49/AU49-1</f>
        <v>-0.47651847213525367</v>
      </c>
      <c r="BB51" s="600">
        <f>+BB49/AV49-1</f>
        <v>-0.21536845264895677</v>
      </c>
      <c r="BC51" s="600">
        <f>IF(ISERROR(BC49/AW49-1),"NM",BC49/AW49-1)</f>
        <v>-0.27216313399332592</v>
      </c>
      <c r="BD51" s="601"/>
      <c r="BE51" s="600">
        <f>+BE49/AY49-1</f>
        <v>-9.6274968508188175E-2</v>
      </c>
      <c r="BF51" s="600">
        <f>+BF49/AZ49-1</f>
        <v>0.13466067223292644</v>
      </c>
      <c r="BG51" s="600">
        <f>+BG49/BA49-1</f>
        <v>0.73444976076555046</v>
      </c>
      <c r="BH51" s="600">
        <f>+BH49/BB49-1</f>
        <v>0.14766641162968597</v>
      </c>
      <c r="BI51" s="600">
        <f>IF(ISERROR(BI49/BC49-1),"NM",BI49/BC49-1)</f>
        <v>0.17670212765957416</v>
      </c>
      <c r="BJ51" s="601"/>
      <c r="BK51" s="600">
        <f>+BK49/BE49-1</f>
        <v>0.15491835921943475</v>
      </c>
      <c r="BL51" s="600">
        <f>+BL49/BF49-1</f>
        <v>0.36792452830188682</v>
      </c>
      <c r="BM51" s="600">
        <f>+BM49/BG49-1</f>
        <v>0.2068965517241379</v>
      </c>
      <c r="BN51" s="600">
        <f>+BN49/BH49-1</f>
        <v>0.36666666666666647</v>
      </c>
      <c r="BO51" s="600">
        <f>IF(ISERROR(BO49/BI49-1),"NM",BO49/BI49-1)</f>
        <v>0.27700931199710688</v>
      </c>
      <c r="BP51" s="601"/>
      <c r="BQ51" s="600">
        <f>+BQ49/BK49-1</f>
        <v>0.82758620689655182</v>
      </c>
      <c r="BR51" s="600">
        <f>+BR50+BR52</f>
        <v>0.255</v>
      </c>
      <c r="BS51" s="600">
        <f>+BS50+BS52</f>
        <v>0.22500000000000001</v>
      </c>
      <c r="BT51" s="600">
        <f>+BT50+BT52</f>
        <v>0.22</v>
      </c>
      <c r="BU51" s="600">
        <f>IF(ISERROR(BU49/BO49-1),"NM",BU49/BO49-1)</f>
        <v>0.35496460176991151</v>
      </c>
      <c r="BV51" s="601"/>
      <c r="BW51" s="600">
        <f>+BW50+BW52</f>
        <v>0.1</v>
      </c>
      <c r="BX51" s="600">
        <f>+BX50+BX52</f>
        <v>0.1</v>
      </c>
      <c r="BY51" s="600">
        <f>+BY50+BY52</f>
        <v>0.1</v>
      </c>
      <c r="BZ51" s="600">
        <f>+BZ50+BZ52</f>
        <v>0.1</v>
      </c>
      <c r="CA51" s="600">
        <f>IF(ISERROR(CA49/BU49-1),"NM",CA49/BU49-1)</f>
        <v>0.10000000000000009</v>
      </c>
      <c r="CB51" s="601"/>
      <c r="CC51" s="600">
        <f>+CC50+CC52</f>
        <v>7.0000000000000007E-2</v>
      </c>
      <c r="CD51" s="600">
        <f>+CD50+CD52</f>
        <v>7.0000000000000007E-2</v>
      </c>
      <c r="CE51" s="600">
        <f>+CE50+CE52</f>
        <v>7.0000000000000007E-2</v>
      </c>
      <c r="CF51" s="600">
        <f>+CF50+CF52</f>
        <v>7.0000000000000007E-2</v>
      </c>
      <c r="CG51" s="600">
        <f>IF(ISERROR(CG49/CA49-1),"NM",CG49/CA49-1)</f>
        <v>7.0000000000000062E-2</v>
      </c>
    </row>
    <row r="52" spans="1:92" s="42" customFormat="1" ht="12.75" hidden="1" customHeight="1" outlineLevel="1" x14ac:dyDescent="0.2">
      <c r="A52" s="308"/>
      <c r="B52" s="602" t="s">
        <v>110</v>
      </c>
      <c r="C52" s="603"/>
      <c r="D52" s="603"/>
      <c r="E52" s="603"/>
      <c r="F52" s="603"/>
      <c r="G52" s="603"/>
      <c r="H52" s="603"/>
      <c r="I52" s="603"/>
      <c r="J52" s="603"/>
      <c r="K52" s="603"/>
      <c r="L52" s="603"/>
      <c r="M52" s="604"/>
      <c r="N52" s="603"/>
      <c r="O52" s="603"/>
      <c r="P52" s="603"/>
      <c r="Q52" s="603"/>
      <c r="R52" s="603"/>
      <c r="S52" s="604"/>
      <c r="T52" s="603"/>
      <c r="U52" s="603"/>
      <c r="V52" s="603"/>
      <c r="W52" s="603"/>
      <c r="X52" s="603"/>
      <c r="Y52" s="603"/>
      <c r="Z52" s="603"/>
      <c r="AA52" s="603"/>
      <c r="AB52" s="603"/>
      <c r="AC52" s="603"/>
      <c r="AD52" s="603"/>
      <c r="AE52" s="605" t="s">
        <v>174</v>
      </c>
      <c r="AF52" s="603"/>
      <c r="AG52" s="603"/>
      <c r="AH52" s="603"/>
      <c r="AI52" s="603"/>
      <c r="AJ52" s="603">
        <f>+AJ$59</f>
        <v>-7.9899157743430413E-3</v>
      </c>
      <c r="AK52" s="603">
        <f>+AK51-AK50</f>
        <v>0.42916543272183461</v>
      </c>
      <c r="AL52" s="603"/>
      <c r="AM52" s="603">
        <f>+AM$59</f>
        <v>-4.3779454052956775E-5</v>
      </c>
      <c r="AN52" s="603">
        <f>+AN$59</f>
        <v>-1.5674168044775352E-3</v>
      </c>
      <c r="AO52" s="603">
        <f>+AO$59</f>
        <v>5.1861278018057629E-4</v>
      </c>
      <c r="AP52" s="603">
        <f>+AP$59</f>
        <v>-4.0602499218160906E-3</v>
      </c>
      <c r="AQ52" s="603">
        <f>+AQ51-AQ50</f>
        <v>-1.2076117730056568E-3</v>
      </c>
      <c r="AR52" s="603"/>
      <c r="AS52" s="603">
        <f>+AS$59</f>
        <v>5.173382428042439E-3</v>
      </c>
      <c r="AT52" s="603">
        <f>+AT$59</f>
        <v>6.5361072273589583E-3</v>
      </c>
      <c r="AU52" s="603">
        <f>+AU$59</f>
        <v>-1.5203365023160557E-3</v>
      </c>
      <c r="AV52" s="603">
        <f>+AV$59</f>
        <v>-2.5443962483559856E-2</v>
      </c>
      <c r="AW52" s="603">
        <f>+AW51-AW50</f>
        <v>-3.9307278206672791E-3</v>
      </c>
      <c r="AX52" s="603"/>
      <c r="AY52" s="603">
        <f>+AY$59</f>
        <v>-2.6623055566120258E-2</v>
      </c>
      <c r="AZ52" s="603">
        <f>+AZ$59</f>
        <v>-5.3671911074477975E-2</v>
      </c>
      <c r="BA52" s="603">
        <f>+BA$59</f>
        <v>-4.7792472057512483E-2</v>
      </c>
      <c r="BB52" s="603">
        <f>+BB$59</f>
        <v>-3.341157788749783E-2</v>
      </c>
      <c r="BC52" s="603">
        <f>+BC51-BC50</f>
        <v>-4.1340976589546469E-2</v>
      </c>
      <c r="BD52" s="603"/>
      <c r="BE52" s="603">
        <f>+BE$59</f>
        <v>-1.3630443342790505E-2</v>
      </c>
      <c r="BF52" s="603">
        <f>+BF$59</f>
        <v>0</v>
      </c>
      <c r="BG52" s="603">
        <f>+BG$59</f>
        <v>0</v>
      </c>
      <c r="BH52" s="603">
        <f>+BH$59</f>
        <v>-1.3027844847053102E-2</v>
      </c>
      <c r="BI52" s="603">
        <f>+BI51-BI50</f>
        <v>-7.6518056657596811E-3</v>
      </c>
      <c r="BJ52" s="603"/>
      <c r="BK52" s="603">
        <f>+BK$59</f>
        <v>-1.2567024128686327E-2</v>
      </c>
      <c r="BL52" s="603">
        <f>+BL$59</f>
        <v>-1.1137428442022259E-2</v>
      </c>
      <c r="BM52" s="603">
        <f>+BM$59</f>
        <v>0.01</v>
      </c>
      <c r="BN52" s="603">
        <f>+BN$59</f>
        <v>0.04</v>
      </c>
      <c r="BO52" s="603">
        <f>+BO51-BO50</f>
        <v>7.9495540223766814E-3</v>
      </c>
      <c r="BP52" s="603"/>
      <c r="BQ52" s="603">
        <f>+BQ$59</f>
        <v>0.05</v>
      </c>
      <c r="BR52" s="603">
        <f>+BR$59</f>
        <v>5.5E-2</v>
      </c>
      <c r="BS52" s="603">
        <f>+BS$59</f>
        <v>2.5000000000000001E-2</v>
      </c>
      <c r="BT52" s="603">
        <f>+BT$59</f>
        <v>0.02</v>
      </c>
      <c r="BU52" s="603">
        <f>+BU51-BU50</f>
        <v>3.6380530973451342E-2</v>
      </c>
      <c r="BV52" s="603"/>
      <c r="BW52" s="603">
        <f>+BW$59</f>
        <v>0</v>
      </c>
      <c r="BX52" s="603">
        <f>+BX$59</f>
        <v>0</v>
      </c>
      <c r="BY52" s="603">
        <f>+BY$59</f>
        <v>0</v>
      </c>
      <c r="BZ52" s="603">
        <f>+BZ$59</f>
        <v>0</v>
      </c>
      <c r="CA52" s="603">
        <f>+CA51-CA50</f>
        <v>0</v>
      </c>
      <c r="CB52" s="603"/>
      <c r="CC52" s="603">
        <f>+CC$59</f>
        <v>0</v>
      </c>
      <c r="CD52" s="603">
        <f>+CD$59</f>
        <v>0</v>
      </c>
      <c r="CE52" s="603">
        <f>+CE$59</f>
        <v>0</v>
      </c>
      <c r="CF52" s="603">
        <f>+CF$59</f>
        <v>0</v>
      </c>
      <c r="CG52" s="603">
        <f>+CG51-CG50</f>
        <v>0</v>
      </c>
      <c r="CJ52" s="714"/>
      <c r="CK52" s="714"/>
      <c r="CL52" s="714"/>
      <c r="CM52" s="714"/>
      <c r="CN52" s="714"/>
    </row>
    <row r="53" spans="1:92" s="42" customFormat="1" ht="6.75" customHeight="1" collapsed="1" x14ac:dyDescent="0.2">
      <c r="A53" s="308"/>
      <c r="B53" s="308"/>
      <c r="C53" s="316"/>
      <c r="D53" s="316"/>
      <c r="E53" s="316"/>
      <c r="F53" s="316"/>
      <c r="G53" s="316"/>
      <c r="H53" s="236"/>
      <c r="I53" s="316"/>
      <c r="J53" s="316"/>
      <c r="K53" s="316"/>
      <c r="L53" s="316"/>
      <c r="M53" s="316"/>
      <c r="N53" s="236"/>
      <c r="O53" s="316"/>
      <c r="P53" s="316"/>
      <c r="Q53" s="316"/>
      <c r="R53" s="316"/>
      <c r="S53" s="316"/>
      <c r="T53" s="236"/>
      <c r="U53" s="316"/>
      <c r="V53" s="316"/>
      <c r="W53" s="316"/>
      <c r="X53" s="316"/>
      <c r="Y53" s="316"/>
      <c r="Z53" s="316"/>
      <c r="AA53" s="38"/>
      <c r="AB53" s="38"/>
      <c r="AC53" s="38"/>
      <c r="AD53" s="38"/>
      <c r="AE53" s="38"/>
      <c r="AF53" s="236"/>
      <c r="AG53" s="38"/>
      <c r="AH53" s="38"/>
      <c r="AI53" s="38"/>
      <c r="AJ53" s="38"/>
      <c r="AK53" s="38"/>
      <c r="AL53" s="236"/>
      <c r="AM53" s="316"/>
      <c r="AN53" s="316"/>
      <c r="AO53" s="316"/>
      <c r="AP53" s="38"/>
      <c r="AQ53" s="316"/>
      <c r="AR53" s="236"/>
      <c r="AS53" s="316"/>
      <c r="AT53" s="316"/>
      <c r="AU53" s="316"/>
      <c r="AV53" s="316"/>
      <c r="AW53" s="316"/>
      <c r="AX53" s="236"/>
      <c r="AY53" s="316"/>
      <c r="AZ53" s="316"/>
      <c r="BA53" s="316"/>
      <c r="BB53" s="316"/>
      <c r="BC53" s="316"/>
      <c r="BD53" s="236"/>
      <c r="BE53" s="316"/>
      <c r="BF53" s="316"/>
      <c r="BG53" s="316"/>
      <c r="BH53" s="316"/>
      <c r="BI53" s="316"/>
      <c r="BJ53" s="236"/>
      <c r="BK53" s="316"/>
      <c r="BL53" s="316"/>
      <c r="BM53" s="316"/>
      <c r="BN53" s="316"/>
      <c r="BO53" s="316"/>
      <c r="BP53" s="236"/>
      <c r="BQ53" s="316"/>
      <c r="BR53" s="316"/>
      <c r="BS53" s="316"/>
      <c r="BT53" s="316"/>
      <c r="BU53" s="316"/>
      <c r="BV53" s="236"/>
      <c r="BW53" s="316"/>
      <c r="BX53" s="316"/>
      <c r="BY53" s="316"/>
      <c r="BZ53" s="316"/>
      <c r="CA53" s="316"/>
      <c r="CB53" s="236"/>
      <c r="CC53" s="316"/>
      <c r="CD53" s="316"/>
      <c r="CE53" s="316"/>
      <c r="CF53" s="316"/>
      <c r="CG53" s="316"/>
    </row>
    <row r="54" spans="1:92" x14ac:dyDescent="0.2">
      <c r="A54" s="359"/>
      <c r="B54" s="509" t="s">
        <v>57</v>
      </c>
      <c r="C54" s="510">
        <f>+'P&amp;L'!C8</f>
        <v>63.761000000000003</v>
      </c>
      <c r="D54" s="510">
        <f>+'P&amp;L'!D8</f>
        <v>76.602999999999994</v>
      </c>
      <c r="E54" s="510">
        <f>+'P&amp;L'!E8</f>
        <v>71.450999999999993</v>
      </c>
      <c r="F54" s="510">
        <f>+'P&amp;L'!F8</f>
        <v>72.516999999999996</v>
      </c>
      <c r="G54" s="510">
        <f>+'P&amp;L'!G8</f>
        <v>284.33199999999999</v>
      </c>
      <c r="H54" s="511"/>
      <c r="I54" s="510">
        <f>+'P&amp;L'!I8</f>
        <v>74.775999999999996</v>
      </c>
      <c r="J54" s="510">
        <f>+'P&amp;L'!J8</f>
        <v>79.902000000000001</v>
      </c>
      <c r="K54" s="510">
        <f>+'P&amp;L'!K8</f>
        <v>75.173000000000002</v>
      </c>
      <c r="L54" s="510">
        <f>+'P&amp;L'!L8</f>
        <v>74.125</v>
      </c>
      <c r="M54" s="510">
        <f>+'P&amp;L'!M8</f>
        <v>303.976</v>
      </c>
      <c r="N54" s="511"/>
      <c r="O54" s="510">
        <f>+'P&amp;L'!O8</f>
        <v>70.131999999999991</v>
      </c>
      <c r="P54" s="510">
        <f>+'P&amp;L'!P8</f>
        <v>76.316000000000003</v>
      </c>
      <c r="Q54" s="510">
        <f>+'P&amp;L'!Q8</f>
        <v>79.269000000000005</v>
      </c>
      <c r="R54" s="510">
        <f>+'P&amp;L'!R8</f>
        <v>86.615999999999971</v>
      </c>
      <c r="S54" s="510">
        <f>+'P&amp;L'!S8</f>
        <v>312.33299999999997</v>
      </c>
      <c r="T54" s="511"/>
      <c r="U54" s="510">
        <f>+'P&amp;L'!U8</f>
        <v>90.09</v>
      </c>
      <c r="V54" s="510">
        <f>+'P&amp;L'!V8</f>
        <v>93.897999999999996</v>
      </c>
      <c r="W54" s="510">
        <f>+'P&amp;L'!W8</f>
        <v>95.947000000000003</v>
      </c>
      <c r="X54" s="510">
        <f>+'P&amp;L'!X8</f>
        <v>92.892999999999972</v>
      </c>
      <c r="Y54" s="510">
        <f>+'P&amp;L'!Y8</f>
        <v>372.82799999999997</v>
      </c>
      <c r="Z54" s="511"/>
      <c r="AA54" s="510">
        <f>+'P&amp;L'!AA8</f>
        <v>104.85599999999999</v>
      </c>
      <c r="AB54" s="510">
        <f>+'P&amp;L'!AB8</f>
        <v>120.086</v>
      </c>
      <c r="AC54" s="510">
        <f>+'P&amp;L'!AC8</f>
        <v>125.89400000000001</v>
      </c>
      <c r="AD54" s="510">
        <f>+'P&amp;L'!AD8</f>
        <v>128.905</v>
      </c>
      <c r="AE54" s="511">
        <f>+AE6+AE39</f>
        <v>479.75599999999997</v>
      </c>
      <c r="AF54" s="511"/>
      <c r="AG54" s="510">
        <f>+'P&amp;L'!AG8</f>
        <v>135.07900000000001</v>
      </c>
      <c r="AH54" s="510">
        <f>+'P&amp;L'!AH8</f>
        <v>145.626</v>
      </c>
      <c r="AI54" s="510">
        <f>+'P&amp;L'!AI8</f>
        <v>136.49600000000001</v>
      </c>
      <c r="AJ54" s="510">
        <f>+'P&amp;L'!AJ8</f>
        <v>142.84</v>
      </c>
      <c r="AK54" s="511">
        <f>+AK6+AK39</f>
        <v>560.04100000000005</v>
      </c>
      <c r="AL54" s="511"/>
      <c r="AM54" s="510">
        <f>+'P&amp;L'!AM8</f>
        <v>153.58000000000001</v>
      </c>
      <c r="AN54" s="510">
        <f>+'P&amp;L'!AN8</f>
        <v>163.828</v>
      </c>
      <c r="AO54" s="510">
        <f>+'P&amp;L'!AO8</f>
        <v>164.506</v>
      </c>
      <c r="AP54" s="510">
        <f>+'P&amp;L'!AP8</f>
        <v>178.292</v>
      </c>
      <c r="AQ54" s="511">
        <f>+AQ6+AQ39</f>
        <v>660.20600000000002</v>
      </c>
      <c r="AR54" s="511"/>
      <c r="AS54" s="510">
        <f>+'P&amp;L'!AS8</f>
        <v>180.64599999999999</v>
      </c>
      <c r="AT54" s="510">
        <f>+'P&amp;L'!AT8</f>
        <v>192.53100000000001</v>
      </c>
      <c r="AU54" s="510">
        <f>+'P&amp;L'!AU8</f>
        <v>189.876</v>
      </c>
      <c r="AV54" s="510">
        <f>+'P&amp;L'!AV8</f>
        <v>198.6</v>
      </c>
      <c r="AW54" s="511">
        <f>SUM(AS54:AV54)</f>
        <v>761.65300000000002</v>
      </c>
      <c r="AX54" s="511"/>
      <c r="AY54" s="510">
        <f>+'P&amp;L'!AY8</f>
        <v>198.08600000000001</v>
      </c>
      <c r="AZ54" s="510">
        <f>+'P&amp;L'!AZ8</f>
        <v>209.488</v>
      </c>
      <c r="BA54" s="510">
        <f>+'P&amp;L'!BA8</f>
        <v>207.636</v>
      </c>
      <c r="BB54" s="510">
        <f>+'P&amp;L'!BB8</f>
        <v>230.27600000000001</v>
      </c>
      <c r="BC54" s="511">
        <f>+BC6+BC39</f>
        <v>845.4860000000001</v>
      </c>
      <c r="BD54" s="511"/>
      <c r="BE54" s="510">
        <f>+'P&amp;L'!BE8</f>
        <v>238.72</v>
      </c>
      <c r="BF54" s="510">
        <f>+'P&amp;L'!BF8</f>
        <v>269.36200000000002</v>
      </c>
      <c r="BG54" s="510">
        <f>+'P&amp;L'!BG8</f>
        <v>278.589</v>
      </c>
      <c r="BH54" s="510">
        <f>+'P&amp;L'!BH8</f>
        <v>293.20299999999997</v>
      </c>
      <c r="BI54" s="511">
        <f>+BI6+BI39</f>
        <v>1079.5784999999998</v>
      </c>
      <c r="BJ54" s="511"/>
      <c r="BK54" s="510">
        <f>+'P&amp;L'!BK8</f>
        <v>310.34100000000001</v>
      </c>
      <c r="BL54" s="908">
        <f>+'P&amp;L'!BL8</f>
        <v>356.48200000000003</v>
      </c>
      <c r="BM54" s="510">
        <f>+'P&amp;L'!BM8</f>
        <v>385.267</v>
      </c>
      <c r="BN54" s="510">
        <f>+'P&amp;L'!BN8</f>
        <v>421.32299999999998</v>
      </c>
      <c r="BO54" s="511">
        <f>+BO6+BO39</f>
        <v>1473.4130000000002</v>
      </c>
      <c r="BP54" s="511"/>
      <c r="BQ54" s="510">
        <f>+'P&amp;L'!BQ8</f>
        <v>436.92399999999998</v>
      </c>
      <c r="BR54" s="511">
        <f>+BR6+BR39</f>
        <v>481.40285851519718</v>
      </c>
      <c r="BS54" s="511">
        <f>+BS6+BS39</f>
        <v>492.23854597534478</v>
      </c>
      <c r="BT54" s="511">
        <f>+BT6+BT39</f>
        <v>540.14997593269572</v>
      </c>
      <c r="BU54" s="511">
        <f>+BU6+BU39</f>
        <v>1950.715380423238</v>
      </c>
      <c r="BV54" s="511"/>
      <c r="BW54" s="511">
        <f>+BW6+BW39</f>
        <v>529.80121061596071</v>
      </c>
      <c r="BX54" s="511">
        <f>+BX6+BX39</f>
        <v>600.71257337734073</v>
      </c>
      <c r="BY54" s="511">
        <f>+BY6+BY39</f>
        <v>608.49509641474879</v>
      </c>
      <c r="BZ54" s="511">
        <f>+BZ6+BZ39</f>
        <v>667.97328808872703</v>
      </c>
      <c r="CA54" s="511">
        <f>+CA6+CA39</f>
        <v>2406.9821684967774</v>
      </c>
      <c r="CB54" s="511"/>
      <c r="CC54" s="511">
        <f>+CC6+CC39</f>
        <v>623.84848946062255</v>
      </c>
      <c r="CD54" s="511">
        <f>+CD6+CD39</f>
        <v>699.78325955691673</v>
      </c>
      <c r="CE54" s="511">
        <f>+CE6+CE39</f>
        <v>707.09261700923344</v>
      </c>
      <c r="CF54" s="511">
        <f>+CF6+CF39</f>
        <v>771.68037333541122</v>
      </c>
      <c r="CG54" s="511">
        <f>+CG6+CG39</f>
        <v>2802.4047393621836</v>
      </c>
    </row>
    <row r="55" spans="1:92" x14ac:dyDescent="0.2">
      <c r="A55" s="359"/>
      <c r="B55" s="512" t="s">
        <v>299</v>
      </c>
      <c r="C55" s="513">
        <v>0.3</v>
      </c>
      <c r="D55" s="513">
        <v>0.44</v>
      </c>
      <c r="E55" s="513">
        <v>0.46</v>
      </c>
      <c r="F55" s="513">
        <v>0.31</v>
      </c>
      <c r="G55" s="513">
        <f>SUMPRODUCT(C55:F55,C54:F54)/SUM(C54:F54)</f>
        <v>0.3804754653011268</v>
      </c>
      <c r="H55" s="504"/>
      <c r="I55" s="504">
        <f>IF(ISERROR(I54/C54-1),"NM",I54/C54-1)</f>
        <v>0.17275450510500145</v>
      </c>
      <c r="J55" s="504">
        <f>IF(ISERROR(J54/D54-1),"NM",J54/D54-1)</f>
        <v>4.3066198451757742E-2</v>
      </c>
      <c r="K55" s="504">
        <f>IF(ISERROR(K54/E54-1),"NM",K54/E54-1)</f>
        <v>5.2091643224027706E-2</v>
      </c>
      <c r="L55" s="504">
        <f>IF(ISERROR(L54/F54-1),"NM",L54/F54-1)</f>
        <v>2.2174110898134369E-2</v>
      </c>
      <c r="M55" s="504">
        <f>IF(ISERROR(M54/G54-1),"NM",M54/G54-1)</f>
        <v>6.9088248948412367E-2</v>
      </c>
      <c r="N55" s="504"/>
      <c r="O55" s="504">
        <f>IF(ISERROR(O54/I54-1),"NM",O54/I54-1)</f>
        <v>-6.2105488391997477E-2</v>
      </c>
      <c r="P55" s="504">
        <f>IF(ISERROR(P54/J54-1),"NM",P54/J54-1)</f>
        <v>-4.4879977973016905E-2</v>
      </c>
      <c r="Q55" s="504">
        <f>IF(ISERROR(Q54/K54-1),"NM",Q54/K54-1)</f>
        <v>5.4487648490814555E-2</v>
      </c>
      <c r="R55" s="504">
        <f>IF(ISERROR(R54/L54-1),"NM",R54/L54-1)</f>
        <v>0.16851264755480577</v>
      </c>
      <c r="S55" s="504">
        <f>IF(ISERROR(S54/M54-1),"NM",S54/M54-1)</f>
        <v>2.7492302023843784E-2</v>
      </c>
      <c r="T55" s="504"/>
      <c r="U55" s="504">
        <f>IF(ISERROR(U54/O54-1),"NM",U54/O54-1)</f>
        <v>0.2845776535675586</v>
      </c>
      <c r="V55" s="504">
        <f>IF(ISERROR(V54/P54-1),"NM",V54/P54-1)</f>
        <v>0.23038419204360805</v>
      </c>
      <c r="W55" s="504">
        <f>IF(ISERROR(W54/Q54-1),"NM",W54/Q54-1)</f>
        <v>0.21039750722224326</v>
      </c>
      <c r="X55" s="504">
        <f>IF(ISERROR(X54/R54-1),"NM",X54/R54-1)</f>
        <v>7.2469289738616549E-2</v>
      </c>
      <c r="Y55" s="504">
        <f>IF(ISERROR(Y54/S54-1),"NM",Y54/S54-1)</f>
        <v>0.19368750660352907</v>
      </c>
      <c r="Z55" s="504"/>
      <c r="AA55" s="504">
        <f>IF(ISERROR(AA54/U54-1),"NM",AA54/U54-1)</f>
        <v>0.1639027639027637</v>
      </c>
      <c r="AB55" s="504">
        <f>IF(ISERROR(AB54/V54-1),"NM",AB54/V54-1)</f>
        <v>0.27889837909220638</v>
      </c>
      <c r="AC55" s="504">
        <f>IF(ISERROR(AC54/W54-1),"NM",AC54/W54-1)</f>
        <v>0.31212023304532721</v>
      </c>
      <c r="AD55" s="504">
        <f>IF(ISERROR(AD54/X54-1),"NM",AD54/X54-1)</f>
        <v>0.38767183749044642</v>
      </c>
      <c r="AE55" s="504">
        <f>IF(ISERROR(AE54/Y54-1),"NM",AE54/Y54-1)</f>
        <v>0.28680249337496111</v>
      </c>
      <c r="AF55" s="504"/>
      <c r="AG55" s="504">
        <f>IF(ISERROR(AG54/AA54-1),"NM",AG54/AA54-1)</f>
        <v>0.28823338673991006</v>
      </c>
      <c r="AH55" s="504">
        <f>IF(ISERROR(AH54/AB54-1),"NM",AH54/AB54-1)</f>
        <v>0.21268091201305728</v>
      </c>
      <c r="AI55" s="504">
        <f>IF(ISERROR(AI54/AC54-1),"NM",AI54/AC54-1)</f>
        <v>8.4213703591910605E-2</v>
      </c>
      <c r="AJ55" s="504">
        <f>IF(ISERROR(AJ54/AD54-1),"NM",AJ54/AD54-1)</f>
        <v>0.10810286645203826</v>
      </c>
      <c r="AK55" s="504">
        <f>IF(ISERROR(AK54/AE54-1),"NM",AK54/AE54-1)</f>
        <v>0.16734548395434357</v>
      </c>
      <c r="AL55" s="504"/>
      <c r="AM55" s="504">
        <f>IF(ISERROR(AM54/AG54-1),"NM",AM54/AG54-1)</f>
        <v>0.13696429496812978</v>
      </c>
      <c r="AN55" s="504">
        <f>IF(ISERROR(AN54/AH54-1),"NM",AN54/AH54-1)</f>
        <v>0.12499141636795619</v>
      </c>
      <c r="AO55" s="504">
        <f>IF(ISERROR(AO54/AI54-1),"NM",AO54/AI54-1)</f>
        <v>0.2052074786074316</v>
      </c>
      <c r="AP55" s="504">
        <f>IF(ISERROR(AP54/AJ54-1),"NM",AP54/AJ54-1)</f>
        <v>0.24819378325399044</v>
      </c>
      <c r="AQ55" s="504">
        <f>IF(ISERROR(AQ54/AK54-1),"NM",AQ54/AK54-1)</f>
        <v>0.1788529768356244</v>
      </c>
      <c r="AR55" s="504"/>
      <c r="AS55" s="504">
        <f>IF(ISERROR(AS54/AM54-1),"NM",AS54/AM54-1)</f>
        <v>0.17623388462039302</v>
      </c>
      <c r="AT55" s="504">
        <f>IF(ISERROR(AT54/AN54-1),"NM",AT54/AN54-1)</f>
        <v>0.1752020411651245</v>
      </c>
      <c r="AU55" s="504">
        <f>IF(ISERROR(AU54/AO54-1),"NM",AU54/AO54-1)</f>
        <v>0.15421929899213405</v>
      </c>
      <c r="AV55" s="504">
        <f>IF(ISERROR(AV54/AP54-1),"NM",AV54/AP54-1)</f>
        <v>0.11390303546990332</v>
      </c>
      <c r="AW55" s="504">
        <f>IF(ISERROR(AW54/AQ54-1),"NM",AW54/AQ54-1)</f>
        <v>0.15365961533218431</v>
      </c>
      <c r="AX55" s="504"/>
      <c r="AY55" s="504">
        <f>IF(ISERROR(AY54/AS54-1),"NM",AY54/AS54-1)</f>
        <v>9.6542408910244459E-2</v>
      </c>
      <c r="AZ55" s="504">
        <f>IF(ISERROR(AZ54/AT54-1),"NM",AZ54/AT54-1)</f>
        <v>8.8074128322192191E-2</v>
      </c>
      <c r="BA55" s="504">
        <f>IF(ISERROR(BA54/AU54-1),"NM",BA54/AU54-1)</f>
        <v>9.3534727927700123E-2</v>
      </c>
      <c r="BB55" s="504">
        <f>IF(ISERROR(BB54/AV54-1),"NM",BB54/AV54-1)</f>
        <v>0.15949647532729117</v>
      </c>
      <c r="BC55" s="504">
        <f>IF(ISERROR(BC54/AW54-1),"NM",BC54/AW54-1)</f>
        <v>0.11006718282472483</v>
      </c>
      <c r="BD55" s="504"/>
      <c r="BE55" s="504">
        <f>IF(ISERROR(BE54/AY54-1),"NM",BE54/AY54-1)</f>
        <v>0.20513312399664785</v>
      </c>
      <c r="BF55" s="504">
        <f>IF(ISERROR(BF54/AZ54-1),"NM",BF54/AZ54-1)</f>
        <v>0.28581112044604007</v>
      </c>
      <c r="BG55" s="504">
        <f>IF(ISERROR(BG54/BA54-1),"NM",BG54/BA54-1)</f>
        <v>0.34171819915621571</v>
      </c>
      <c r="BH55" s="504">
        <f>IF(ISERROR(BH54/BB54-1),"NM",BH54/BB54-1)</f>
        <v>0.27326773089683676</v>
      </c>
      <c r="BI55" s="504">
        <f>IF(ISERROR(BI54/BC54-1),"NM",BI54/BC54-1)</f>
        <v>0.27687330127287701</v>
      </c>
      <c r="BJ55" s="504"/>
      <c r="BK55" s="504">
        <f>IF(ISERROR(BK54/BE54-1),"NM",BK54/BE54-1)</f>
        <v>0.30002094504021448</v>
      </c>
      <c r="BL55" s="504">
        <f>IF(ISERROR(BL54/BF54-1),"NM",BL54/BF54-1)</f>
        <v>0.3234309219563265</v>
      </c>
      <c r="BM55" s="504">
        <f>IF(ISERROR(BM54/BG54-1),"NM",BM54/BG54-1)</f>
        <v>0.38292251309276382</v>
      </c>
      <c r="BN55" s="504">
        <f>IF(ISERROR(BN54/BH54-1),"NM",BN54/BH54-1)</f>
        <v>0.43696687960218683</v>
      </c>
      <c r="BO55" s="504">
        <f>IF(ISERROR(BO54/BI54-1),"NM",BO54/BI54-1)</f>
        <v>0.3648039489485948</v>
      </c>
      <c r="BP55" s="504"/>
      <c r="BQ55" s="504">
        <f>IF(ISERROR(BQ54/BK54-1),"NM",BQ54/BK54-1)</f>
        <v>0.40788358611978426</v>
      </c>
      <c r="BR55" s="504">
        <f>IF(ISERROR(BR54/BL54-1),"NM",BR54/BL54-1)</f>
        <v>0.35042683365554828</v>
      </c>
      <c r="BS55" s="504">
        <f>IF(ISERROR(BS54/BM54-1),"NM",BS54/BM54-1)</f>
        <v>0.27765561539229888</v>
      </c>
      <c r="BT55" s="504">
        <f>IF(ISERROR(BT54/BN54-1),"NM",BT54/BN54-1)</f>
        <v>0.28203296742094719</v>
      </c>
      <c r="BU55" s="504">
        <f>IF(ISERROR(BU54/BO54-1),"NM",BU54/BO54-1)</f>
        <v>0.32394337529480044</v>
      </c>
      <c r="BV55" s="504"/>
      <c r="BW55" s="504">
        <f>IF(ISERROR(BW54/BQ54-1),"NM",BW54/BQ54-1)</f>
        <v>0.21257063154223776</v>
      </c>
      <c r="BX55" s="504">
        <f>IF(ISERROR(BX54/BR54-1),"NM",BX54/BR54-1)</f>
        <v>0.2478375704501079</v>
      </c>
      <c r="BY55" s="504">
        <f>IF(ISERROR(BY54/BS54-1),"NM",BY54/BS54-1)</f>
        <v>0.23617929028505436</v>
      </c>
      <c r="BZ55" s="504">
        <f>IF(ISERROR(BZ54/BT54-1),"NM",BZ54/BT54-1)</f>
        <v>0.23664411339705116</v>
      </c>
      <c r="CA55" s="504">
        <f>IF(ISERROR(CA54/BU54-1),"NM",CA54/BU54-1)</f>
        <v>0.23389716031999774</v>
      </c>
      <c r="CB55" s="504"/>
      <c r="CC55" s="504">
        <f>IF(ISERROR(CC54/BW54-1),"NM",CC54/BW54-1)</f>
        <v>0.17751427697818967</v>
      </c>
      <c r="CD55" s="504">
        <f>IF(ISERROR(CD54/BX54-1),"NM",CD54/BX54-1)</f>
        <v>0.16492194532000282</v>
      </c>
      <c r="CE55" s="504">
        <f>IF(ISERROR(CE54/BY54-1),"NM",CE54/BY54-1)</f>
        <v>0.16203502900092537</v>
      </c>
      <c r="CF55" s="504">
        <f>IF(ISERROR(CF54/BZ54-1),"NM",CF54/BZ54-1)</f>
        <v>0.15525633598825705</v>
      </c>
      <c r="CG55" s="504">
        <f>IF(ISERROR(CG54/CA54-1),"NM",CG54/CA54-1)</f>
        <v>0.16428147081469979</v>
      </c>
    </row>
    <row r="56" spans="1:92" x14ac:dyDescent="0.2">
      <c r="A56" s="359"/>
      <c r="B56" s="514" t="s">
        <v>111</v>
      </c>
      <c r="C56" s="504">
        <f t="shared" ref="C56:G57" si="13">+C55</f>
        <v>0.3</v>
      </c>
      <c r="D56" s="504">
        <f t="shared" si="13"/>
        <v>0.44</v>
      </c>
      <c r="E56" s="504">
        <f t="shared" si="13"/>
        <v>0.46</v>
      </c>
      <c r="F56" s="504">
        <f t="shared" si="13"/>
        <v>0.31</v>
      </c>
      <c r="G56" s="504">
        <f t="shared" si="13"/>
        <v>0.3804754653011268</v>
      </c>
      <c r="H56" s="504"/>
      <c r="I56" s="504">
        <f>+I55-I59</f>
        <v>0.17275450510500145</v>
      </c>
      <c r="J56" s="504">
        <f>+J55-J59</f>
        <v>4.3066198451757742E-2</v>
      </c>
      <c r="K56" s="504">
        <f>+K55-K59</f>
        <v>5.2091643224027706E-2</v>
      </c>
      <c r="L56" s="504">
        <f>+L55-L59</f>
        <v>2.2174110898134369E-2</v>
      </c>
      <c r="M56" s="504">
        <f>+SUMPRODUCT(I56:L56,C$54:F$54)/G$54</f>
        <v>6.9088248948412465E-2</v>
      </c>
      <c r="N56" s="504"/>
      <c r="O56" s="504">
        <f>+O55-O59</f>
        <v>-3.5371158154950365E-2</v>
      </c>
      <c r="P56" s="504">
        <f>+P55-P59</f>
        <v>-1.6582794755921774E-2</v>
      </c>
      <c r="Q56" s="504">
        <f>+Q55-Q59</f>
        <v>6.3925775154362791E-2</v>
      </c>
      <c r="R56" s="504">
        <f>+R55-R59</f>
        <v>0.14350249349976432</v>
      </c>
      <c r="S56" s="504">
        <f>+SUMPRODUCT(O56:R56,I$54:L$54)/M$54</f>
        <v>3.7742132397185019E-2</v>
      </c>
      <c r="T56" s="504"/>
      <c r="U56" s="504">
        <f>+U55-U59</f>
        <v>0.27310738001852813</v>
      </c>
      <c r="V56" s="504">
        <f>+V55-V59</f>
        <v>0.24287631903974605</v>
      </c>
      <c r="W56" s="504">
        <f>+W55-W59</f>
        <v>0.22847733112329757</v>
      </c>
      <c r="X56" s="504">
        <f>+X55-X59</f>
        <v>9.0636236563781003E-2</v>
      </c>
      <c r="Y56" s="504">
        <f>+SUMPRODUCT(U56:X56,O$54:R$54)/S$54</f>
        <v>0.20379093392730777</v>
      </c>
      <c r="Z56" s="504"/>
      <c r="AA56" s="504">
        <f>+AA55-AA59</f>
        <v>0.16502148945832473</v>
      </c>
      <c r="AB56" s="504">
        <f>+AB55-AB59</f>
        <v>0.24915628772121834</v>
      </c>
      <c r="AC56" s="504">
        <f>+AC55-AC59</f>
        <v>0.29357196914294759</v>
      </c>
      <c r="AD56" s="504">
        <f>+AD55-AD59</f>
        <v>0.38870244079514588</v>
      </c>
      <c r="AE56" s="504">
        <f>+SUMPRODUCT(AA56:AD56,U$54:X$54)/Y$54</f>
        <v>0.27502534317671773</v>
      </c>
      <c r="AF56" s="504"/>
      <c r="AG56" s="504">
        <f>+AG55-AG59</f>
        <v>0.29583620500418162</v>
      </c>
      <c r="AH56" s="504">
        <f>+AH55-AH59</f>
        <v>0.2340249671147418</v>
      </c>
      <c r="AI56" s="504">
        <f>+AI55-AI59</f>
        <v>0.10732967496778907</v>
      </c>
      <c r="AJ56" s="504">
        <f>+AJ55-AJ59</f>
        <v>0.11609278222638131</v>
      </c>
      <c r="AK56" s="504">
        <f>+SUMPRODUCT(AG56:AJ56,AA$54:AD$54)/AE$54</f>
        <v>0.18259370493781396</v>
      </c>
      <c r="AL56" s="504"/>
      <c r="AM56" s="504">
        <f>+AM55-AM59</f>
        <v>0.13700807442218274</v>
      </c>
      <c r="AN56" s="504">
        <f>+AN55-AN59</f>
        <v>0.12655883317243372</v>
      </c>
      <c r="AO56" s="504">
        <f>+AO55-AO59</f>
        <v>0.20468886582725102</v>
      </c>
      <c r="AP56" s="504">
        <f>+AP55-AP59</f>
        <v>0.25225403317580652</v>
      </c>
      <c r="AQ56" s="504">
        <f>+SUMPRODUCT(AM56:AP56,AG$54:AJ$54)/AK$54</f>
        <v>0.18018028653836329</v>
      </c>
      <c r="AR56" s="504"/>
      <c r="AS56" s="504">
        <f>+AS55-AS59</f>
        <v>0.17106050219235058</v>
      </c>
      <c r="AT56" s="504">
        <f>+AT55-AT59</f>
        <v>0.16866593393776555</v>
      </c>
      <c r="AU56" s="504">
        <f>+AU55-AU59</f>
        <v>0.15573963549445011</v>
      </c>
      <c r="AV56" s="504">
        <f>+AV55-AV59</f>
        <v>0.13934699795346317</v>
      </c>
      <c r="AW56" s="504">
        <f>+SUMPRODUCT(AS56:AV56,AM$54:AP$54)/AQ$54</f>
        <v>0.15808434638222968</v>
      </c>
      <c r="AX56" s="504"/>
      <c r="AY56" s="504">
        <f>+AY55-AY59</f>
        <v>0.12316546447636471</v>
      </c>
      <c r="AZ56" s="504">
        <f>+AZ55-AZ59</f>
        <v>0.14174603939667016</v>
      </c>
      <c r="BA56" s="504">
        <f>+BA55-BA59</f>
        <v>0.14132719998521259</v>
      </c>
      <c r="BB56" s="504">
        <f>+BB55-BB59</f>
        <v>0.19290805321478899</v>
      </c>
      <c r="BC56" s="504">
        <f>+SUMPRODUCT(AY56:BB56,AS$54:AV$54)/AW$54</f>
        <v>0.15057518056086827</v>
      </c>
      <c r="BD56" s="504"/>
      <c r="BE56" s="504">
        <f>+BE55-BE59</f>
        <v>0.21876356733943836</v>
      </c>
      <c r="BF56" s="504">
        <f>+BF55-BF59</f>
        <v>0.28581112044604007</v>
      </c>
      <c r="BG56" s="504">
        <f>+BG55-BG59</f>
        <v>0.34171819915621571</v>
      </c>
      <c r="BH56" s="504">
        <f>+BH55-BH59</f>
        <v>0.28629557574388986</v>
      </c>
      <c r="BI56" s="504">
        <f>+SUMPRODUCT(BE56:BH56,AY$54:BB$54)/BC$54</f>
        <v>0.28396448906309507</v>
      </c>
      <c r="BJ56" s="504"/>
      <c r="BK56" s="504">
        <f>+BK55-BK59</f>
        <v>0.3125879691689008</v>
      </c>
      <c r="BL56" s="504">
        <f>+BL55-BL59</f>
        <v>0.33456835039834876</v>
      </c>
      <c r="BM56" s="504">
        <f>+BM55-BM59</f>
        <v>0.37292251309276381</v>
      </c>
      <c r="BN56" s="504">
        <f>+BN55-BN59</f>
        <v>0.39696687960218685</v>
      </c>
      <c r="BO56" s="504">
        <f>+SUMPRODUCT(BK56:BN56,BE$54:BH$54)/BI$54</f>
        <v>0.35664381052420002</v>
      </c>
      <c r="BP56" s="504"/>
      <c r="BQ56" s="504">
        <f>+BQ55-BQ59</f>
        <v>0.35788358611978427</v>
      </c>
      <c r="BR56" s="504">
        <f>+BR55-BR59</f>
        <v>0.29542683365554828</v>
      </c>
      <c r="BS56" s="504">
        <f>+BS55-BS59</f>
        <v>0.25265561539229886</v>
      </c>
      <c r="BT56" s="504">
        <f>+BT55-BT59</f>
        <v>0.26203296742094717</v>
      </c>
      <c r="BU56" s="504">
        <f>+SUMPRODUCT(BQ56:BT56,BK$54:BN$54)/BO$54</f>
        <v>0.2878491539189878</v>
      </c>
      <c r="BV56" s="504"/>
      <c r="BW56" s="504">
        <f>+BW55-BW59</f>
        <v>0.21257063154223776</v>
      </c>
      <c r="BX56" s="504">
        <f>+BX55-BX59</f>
        <v>0.2478375704501079</v>
      </c>
      <c r="BY56" s="504">
        <f>+BY55-BY59</f>
        <v>0.23617929028505436</v>
      </c>
      <c r="BZ56" s="504">
        <f>+BZ55-BZ59</f>
        <v>0.23664411339705116</v>
      </c>
      <c r="CA56" s="504">
        <f>+SUMPRODUCT(BW56:BZ56,BQ$54:BT$54)/BU$54</f>
        <v>0.23389716031999777</v>
      </c>
      <c r="CB56" s="504"/>
      <c r="CC56" s="504">
        <f>+CC55-CC59</f>
        <v>0.17751427697818967</v>
      </c>
      <c r="CD56" s="504">
        <f>+CD55-CD59</f>
        <v>0.16492194532000282</v>
      </c>
      <c r="CE56" s="504">
        <f>+CE55-CE59</f>
        <v>0.16203502900092537</v>
      </c>
      <c r="CF56" s="504">
        <f>+CF55-CF59</f>
        <v>0.15525633598825705</v>
      </c>
      <c r="CG56" s="504">
        <f>+SUMPRODUCT(CC56:CF56,BW$54:BZ$54)/CA$54</f>
        <v>0.16428147081470004</v>
      </c>
    </row>
    <row r="57" spans="1:92" x14ac:dyDescent="0.2">
      <c r="A57" s="359"/>
      <c r="B57" s="514" t="s">
        <v>341</v>
      </c>
      <c r="C57" s="504">
        <f t="shared" si="13"/>
        <v>0.3</v>
      </c>
      <c r="D57" s="504">
        <f t="shared" si="13"/>
        <v>0.44</v>
      </c>
      <c r="E57" s="504">
        <f t="shared" si="13"/>
        <v>0.46</v>
      </c>
      <c r="F57" s="504">
        <f t="shared" si="13"/>
        <v>0.31</v>
      </c>
      <c r="G57" s="504">
        <f t="shared" si="13"/>
        <v>0.3804754653011268</v>
      </c>
      <c r="H57" s="504"/>
      <c r="I57" s="504">
        <f>+I56-I58</f>
        <v>0.17275450510500145</v>
      </c>
      <c r="J57" s="504">
        <f>+J56-J58</f>
        <v>4.3066198451757742E-2</v>
      </c>
      <c r="K57" s="504">
        <f>+K56-K58</f>
        <v>5.2091643224027706E-2</v>
      </c>
      <c r="L57" s="504">
        <f>+L56-L58</f>
        <v>2.2174110898134369E-2</v>
      </c>
      <c r="M57" s="504">
        <f>+SUMPRODUCT(I57:L57,C$54:F$54)/G$54</f>
        <v>6.9088248948412465E-2</v>
      </c>
      <c r="N57" s="504"/>
      <c r="O57" s="504">
        <f>+O56-O58</f>
        <v>-3.5371158154950365E-2</v>
      </c>
      <c r="P57" s="504">
        <f>+P56-P58</f>
        <v>-1.6582794755921774E-2</v>
      </c>
      <c r="Q57" s="504">
        <f>+Q56-Q58</f>
        <v>6.3925775154362791E-2</v>
      </c>
      <c r="R57" s="504">
        <f>+R56-R58</f>
        <v>0.14350249349976432</v>
      </c>
      <c r="S57" s="504">
        <f>+SUMPRODUCT(O57:R57,I$54:L$54)/M$54</f>
        <v>3.7742132397185019E-2</v>
      </c>
      <c r="T57" s="504"/>
      <c r="U57" s="504">
        <f>+U56-U58</f>
        <v>0.2303309013782498</v>
      </c>
      <c r="V57" s="504">
        <f>+V56-V58</f>
        <v>0.20356608265419124</v>
      </c>
      <c r="W57" s="504">
        <f>+W56-W58</f>
        <v>0.19063151497827241</v>
      </c>
      <c r="X57" s="504">
        <f>+X56-X58</f>
        <v>5.6000603424407207E-2</v>
      </c>
      <c r="Y57" s="504">
        <f>+SUMPRODUCT(U57:X57,O$54:R$54)/S$54</f>
        <v>0.16537040199504313</v>
      </c>
      <c r="Z57" s="504"/>
      <c r="AA57" s="504">
        <f>+AA56-AA58</f>
        <v>0.13172145615829145</v>
      </c>
      <c r="AB57" s="504">
        <f>+AB56-AB58</f>
        <v>0.21720672543022174</v>
      </c>
      <c r="AC57" s="504">
        <f>+AC56-AC58</f>
        <v>0.26230470700864428</v>
      </c>
      <c r="AD57" s="504">
        <f>+AD56-AD58</f>
        <v>0.3564072194114033</v>
      </c>
      <c r="AE57" s="504">
        <f>+SUMPRODUCT(AA57:AD57,U$54:X$54)/Y$54</f>
        <v>0.24283891941026245</v>
      </c>
      <c r="AF57" s="504"/>
      <c r="AG57" s="504">
        <f>+AG56-AG58</f>
        <v>0.29583620500418162</v>
      </c>
      <c r="AH57" s="504">
        <f>+AH56-AH58</f>
        <v>0.22153391903253405</v>
      </c>
      <c r="AI57" s="504">
        <f>+AI56-AI58</f>
        <v>0.10732967496778907</v>
      </c>
      <c r="AJ57" s="504">
        <f>+AJ56-AJ58</f>
        <v>9.0686475256131896E-2</v>
      </c>
      <c r="AK57" s="504">
        <f>+SUMPRODUCT(AG57:AJ57,AA$54:AD$54)/AE$54</f>
        <v>0.17264072884163176</v>
      </c>
      <c r="AL57" s="504"/>
      <c r="AM57" s="504">
        <f>+AM56-AM58</f>
        <v>9.007457624704078E-2</v>
      </c>
      <c r="AN57" s="504">
        <f>+AN56-AN58</f>
        <v>9.0330389533706201E-2</v>
      </c>
      <c r="AO57" s="504">
        <f>+AO56-AO58</f>
        <v>0.16168240409943482</v>
      </c>
      <c r="AP57" s="504">
        <f>+AP56-AP58</f>
        <v>0.20360673550008546</v>
      </c>
      <c r="AQ57" s="504">
        <f>+SUMPRODUCT(AM57:AP57,AG$54:AJ$54)/AK$54</f>
        <v>0.13655040348813421</v>
      </c>
      <c r="AR57" s="504"/>
      <c r="AS57" s="504">
        <f>+AS56-AS58</f>
        <v>0.14501544424209664</v>
      </c>
      <c r="AT57" s="504">
        <f>+AT56-AT58</f>
        <v>0.14730206451373548</v>
      </c>
      <c r="AU57" s="504">
        <f>+AU56-AU58</f>
        <v>0.14966082985818152</v>
      </c>
      <c r="AV57" s="504">
        <f>+AV56-AV58</f>
        <v>0.13373822133981814</v>
      </c>
      <c r="AW57" s="504">
        <f>+SUMPRODUCT(AS57:AV57,AM$54:AP$54)/AQ$54</f>
        <v>0.14369489824028608</v>
      </c>
      <c r="AX57" s="504"/>
      <c r="AY57" s="504">
        <f>+AY56-AY58</f>
        <v>0.12039762018421321</v>
      </c>
      <c r="AZ57" s="504">
        <f>+AZ56-AZ58</f>
        <v>0.14174603939667016</v>
      </c>
      <c r="BA57" s="504">
        <f>+BA56-BA58</f>
        <v>0.14132719998521259</v>
      </c>
      <c r="BB57" s="504">
        <f>+BB56-BB58</f>
        <v>0.19290805321478899</v>
      </c>
      <c r="BC57" s="504">
        <f>+SUMPRODUCT(AY57:BB57,AS$54:AV$54)/AW$54</f>
        <v>0.14991871363957998</v>
      </c>
      <c r="BD57" s="504"/>
      <c r="BE57" s="504">
        <f>+BE56-BE58</f>
        <v>0.21876356733943836</v>
      </c>
      <c r="BF57" s="504">
        <f>+BF56-BF58</f>
        <v>0.28581112044604007</v>
      </c>
      <c r="BG57" s="504">
        <f>+BG56-BG58</f>
        <v>0.34171819915621571</v>
      </c>
      <c r="BH57" s="504">
        <f>+BH56-BH58</f>
        <v>0.28629557574388986</v>
      </c>
      <c r="BI57" s="504">
        <f>+SUMPRODUCT(BE57:BH57,AY$54:BB$54)/BC$54</f>
        <v>0.28396448906309507</v>
      </c>
      <c r="BJ57" s="504"/>
      <c r="BK57" s="504">
        <f>+BK56-BK58</f>
        <v>0.3125879691689008</v>
      </c>
      <c r="BL57" s="504">
        <f>+BL56-BL58</f>
        <v>0.33456835039834876</v>
      </c>
      <c r="BM57" s="504">
        <f>+BM56-BM58</f>
        <v>0.37292251309276381</v>
      </c>
      <c r="BN57" s="504">
        <f>+BN56-BN58</f>
        <v>0.39696687960218685</v>
      </c>
      <c r="BO57" s="504">
        <f>+SUMPRODUCT(BK57:BN57,BE$54:BH$54)/BI$54</f>
        <v>0.35664381052420002</v>
      </c>
      <c r="BP57" s="504"/>
      <c r="BQ57" s="504">
        <f>+BQ56-BQ58</f>
        <v>0.35788358611978427</v>
      </c>
      <c r="BR57" s="504">
        <f>+BR56-BR58</f>
        <v>0.29542683365554828</v>
      </c>
      <c r="BS57" s="504">
        <f>+BS56-BS58</f>
        <v>0.25265561539229886</v>
      </c>
      <c r="BT57" s="504">
        <f>+BT56-BT58</f>
        <v>0.26203296742094717</v>
      </c>
      <c r="BU57" s="504">
        <f>+SUMPRODUCT(BQ57:BT57,BK$54:BN$54)/BO$54</f>
        <v>0.2878491539189878</v>
      </c>
      <c r="BV57" s="504"/>
      <c r="BW57" s="504">
        <f>+BW56-BW58</f>
        <v>0.21257063154223776</v>
      </c>
      <c r="BX57" s="504">
        <f>+BX56-BX58</f>
        <v>0.2478375704501079</v>
      </c>
      <c r="BY57" s="504">
        <f>+BY56-BY58</f>
        <v>0.23617929028505436</v>
      </c>
      <c r="BZ57" s="504">
        <f>+BZ56-BZ58</f>
        <v>0.23664411339705116</v>
      </c>
      <c r="CA57" s="504">
        <f>+SUMPRODUCT(BW57:BZ57,BQ$54:BT$54)/BU$54</f>
        <v>0.23389716031999777</v>
      </c>
      <c r="CB57" s="504"/>
      <c r="CC57" s="504">
        <f>+CC56-CC58</f>
        <v>0.17751427697818967</v>
      </c>
      <c r="CD57" s="504">
        <f>+CD56-CD58</f>
        <v>0.16492194532000282</v>
      </c>
      <c r="CE57" s="504">
        <f>+CE56-CE58</f>
        <v>0.16203502900092537</v>
      </c>
      <c r="CF57" s="504">
        <f>+CF56-CF58</f>
        <v>0.15525633598825705</v>
      </c>
      <c r="CG57" s="504">
        <f>+SUMPRODUCT(CC57:CF57,BW$54:BZ$54)/CA$54</f>
        <v>0.16428147081470004</v>
      </c>
    </row>
    <row r="58" spans="1:92" x14ac:dyDescent="0.2">
      <c r="A58" s="359"/>
      <c r="B58" s="514" t="s">
        <v>359</v>
      </c>
      <c r="C58" s="504"/>
      <c r="D58" s="504"/>
      <c r="E58" s="504"/>
      <c r="F58" s="504"/>
      <c r="G58" s="504"/>
      <c r="H58" s="504"/>
      <c r="I58" s="515">
        <f>+'P&amp;L'!I63</f>
        <v>0</v>
      </c>
      <c r="J58" s="515">
        <f>+'P&amp;L'!J63</f>
        <v>0</v>
      </c>
      <c r="K58" s="515">
        <f>+'P&amp;L'!K63</f>
        <v>0</v>
      </c>
      <c r="L58" s="515">
        <f>+'P&amp;L'!L63</f>
        <v>0</v>
      </c>
      <c r="M58" s="504">
        <f>+SUMPRODUCT(I58:L58,C$54:F$54)/G$54</f>
        <v>0</v>
      </c>
      <c r="N58" s="504"/>
      <c r="O58" s="515">
        <f>+'P&amp;L'!O63</f>
        <v>0</v>
      </c>
      <c r="P58" s="515">
        <f>+'P&amp;L'!P63</f>
        <v>0</v>
      </c>
      <c r="Q58" s="515">
        <f>+'P&amp;L'!Q63</f>
        <v>0</v>
      </c>
      <c r="R58" s="515">
        <f>+'P&amp;L'!R63</f>
        <v>0</v>
      </c>
      <c r="S58" s="504">
        <f>+SUMPRODUCT(O58:R58,I$54:L$54)/M$54</f>
        <v>0</v>
      </c>
      <c r="T58" s="504"/>
      <c r="U58" s="504">
        <f>U109/O54</f>
        <v>4.2776478640278337E-2</v>
      </c>
      <c r="V58" s="504">
        <f>V109/P54</f>
        <v>3.9310236385554795E-2</v>
      </c>
      <c r="W58" s="504">
        <f>W109/Q54</f>
        <v>3.7845816145025163E-2</v>
      </c>
      <c r="X58" s="504">
        <f>X109/R54</f>
        <v>3.4635633139373796E-2</v>
      </c>
      <c r="Y58" s="504">
        <f>Y109/S54</f>
        <v>3.8420531932264607E-2</v>
      </c>
      <c r="Z58" s="504"/>
      <c r="AA58" s="504">
        <f>AA109/U54</f>
        <v>3.3300033300033297E-2</v>
      </c>
      <c r="AB58" s="504">
        <f>AB109/V54</f>
        <v>3.1949562290996616E-2</v>
      </c>
      <c r="AC58" s="504">
        <f>AC109/W54</f>
        <v>3.1267262134303316E-2</v>
      </c>
      <c r="AD58" s="504">
        <f>AD109/X54</f>
        <v>3.2295221383742592E-2</v>
      </c>
      <c r="AE58" s="504">
        <f>AE109/Y54</f>
        <v>3.2186423766455315E-2</v>
      </c>
      <c r="AF58" s="504"/>
      <c r="AG58" s="504">
        <f>AG109/AA54</f>
        <v>0</v>
      </c>
      <c r="AH58" s="504">
        <f>AH109/AB54</f>
        <v>1.249104808220775E-2</v>
      </c>
      <c r="AI58" s="504">
        <f>AI109/AC54</f>
        <v>0</v>
      </c>
      <c r="AJ58" s="504">
        <f>AJ109/AD54</f>
        <v>2.5406306970249412E-2</v>
      </c>
      <c r="AK58" s="504">
        <f>AK109/AE54</f>
        <v>9.9529760961822276E-3</v>
      </c>
      <c r="AL58" s="504"/>
      <c r="AM58" s="504">
        <f>AM109/AG54</f>
        <v>4.6933498175141961E-2</v>
      </c>
      <c r="AN58" s="504">
        <f>AN109/AH54</f>
        <v>3.6228443638727514E-2</v>
      </c>
      <c r="AO58" s="504">
        <f>AO109/AI54</f>
        <v>4.3006461727816199E-2</v>
      </c>
      <c r="AP58" s="504">
        <f>AP109/AJ54</f>
        <v>4.8647297675721082E-2</v>
      </c>
      <c r="AQ58" s="504">
        <f>AQ109/AK54</f>
        <v>4.3629883050229058E-2</v>
      </c>
      <c r="AR58" s="504"/>
      <c r="AS58" s="504">
        <f>AS109/AM54</f>
        <v>2.6045057950253934E-2</v>
      </c>
      <c r="AT58" s="504">
        <f>AT109/AN54</f>
        <v>2.1363869424030079E-2</v>
      </c>
      <c r="AU58" s="504">
        <f>AU109/AO54</f>
        <v>6.0788056362685861E-3</v>
      </c>
      <c r="AV58" s="504">
        <f>AV109/AP54</f>
        <v>5.6087766136450317E-3</v>
      </c>
      <c r="AW58" s="504">
        <f>AW109/AQ54</f>
        <v>1.4389448141943574E-2</v>
      </c>
      <c r="AX58" s="504"/>
      <c r="AY58" s="504">
        <f>AY109/AS54</f>
        <v>2.7678442921515011E-3</v>
      </c>
      <c r="AZ58" s="504">
        <f>AZ109/AT54</f>
        <v>0</v>
      </c>
      <c r="BA58" s="504">
        <f>BA109/AU54</f>
        <v>0</v>
      </c>
      <c r="BB58" s="504">
        <f>BB109/AV54</f>
        <v>0</v>
      </c>
      <c r="BC58" s="504">
        <f>BC109/AW54</f>
        <v>6.5646692128830321E-4</v>
      </c>
      <c r="BD58" s="504"/>
      <c r="BE58" s="504">
        <f>BE109/AY54</f>
        <v>0</v>
      </c>
      <c r="BF58" s="504">
        <f>BF109/AZ54</f>
        <v>0</v>
      </c>
      <c r="BG58" s="504">
        <f>BG109/BA54</f>
        <v>0</v>
      </c>
      <c r="BH58" s="504">
        <f>BH109/BB54</f>
        <v>0</v>
      </c>
      <c r="BI58" s="504">
        <f>BI109/BC54</f>
        <v>0</v>
      </c>
      <c r="BJ58" s="504"/>
      <c r="BK58" s="504">
        <f>BK109/BE54</f>
        <v>0</v>
      </c>
      <c r="BL58" s="504">
        <f>BL109/BF54</f>
        <v>0</v>
      </c>
      <c r="BM58" s="504">
        <f>BM109/BG54</f>
        <v>0</v>
      </c>
      <c r="BN58" s="504">
        <f>BN109/BH54</f>
        <v>0</v>
      </c>
      <c r="BO58" s="504">
        <f>BO109/BI54</f>
        <v>0</v>
      </c>
      <c r="BP58" s="504"/>
      <c r="BQ58" s="504">
        <f>BQ109/BK54</f>
        <v>0</v>
      </c>
      <c r="BR58" s="504">
        <f>BR109/BL54</f>
        <v>0</v>
      </c>
      <c r="BS58" s="504">
        <f>BS109/BM54</f>
        <v>0</v>
      </c>
      <c r="BT58" s="504">
        <f>BT109/BN54</f>
        <v>0</v>
      </c>
      <c r="BU58" s="504">
        <f>BU109/BO54</f>
        <v>0</v>
      </c>
      <c r="BV58" s="504"/>
      <c r="BW58" s="504">
        <f>BW109/BQ54</f>
        <v>0</v>
      </c>
      <c r="BX58" s="504">
        <f>BX109/BR54</f>
        <v>0</v>
      </c>
      <c r="BY58" s="504">
        <f>BY109/BS54</f>
        <v>0</v>
      </c>
      <c r="BZ58" s="504">
        <f>BZ109/BT54</f>
        <v>0</v>
      </c>
      <c r="CA58" s="504">
        <f>CA109/BU54</f>
        <v>0</v>
      </c>
      <c r="CB58" s="504"/>
      <c r="CC58" s="504">
        <f>CC109/BW54</f>
        <v>0</v>
      </c>
      <c r="CD58" s="504">
        <f>CD109/BX54</f>
        <v>0</v>
      </c>
      <c r="CE58" s="504">
        <f>CE109/BY54</f>
        <v>0</v>
      </c>
      <c r="CF58" s="504">
        <f>CF109/BZ54</f>
        <v>0</v>
      </c>
      <c r="CG58" s="504">
        <f>CG109/CA54</f>
        <v>0</v>
      </c>
    </row>
    <row r="59" spans="1:92" x14ac:dyDescent="0.2">
      <c r="A59" s="359"/>
      <c r="B59" s="514" t="s">
        <v>110</v>
      </c>
      <c r="C59" s="504"/>
      <c r="D59" s="504"/>
      <c r="E59" s="504"/>
      <c r="F59" s="504"/>
      <c r="G59" s="504"/>
      <c r="H59" s="504"/>
      <c r="I59" s="515">
        <v>0</v>
      </c>
      <c r="J59" s="515">
        <v>0</v>
      </c>
      <c r="K59" s="515">
        <v>0</v>
      </c>
      <c r="L59" s="515">
        <v>0</v>
      </c>
      <c r="M59" s="504">
        <f>+SUMPRODUCT(I59:L59,C$54:F$54)/G$54</f>
        <v>0</v>
      </c>
      <c r="N59" s="504"/>
      <c r="O59" s="515">
        <v>-2.6734330237047112E-2</v>
      </c>
      <c r="P59" s="515">
        <v>-2.829718321709513E-2</v>
      </c>
      <c r="Q59" s="515">
        <v>-9.4381266635482283E-3</v>
      </c>
      <c r="R59" s="515">
        <v>2.5010154055041454E-2</v>
      </c>
      <c r="S59" s="504">
        <f>+SUMPRODUCT(O59:R59,I$54:L$54)/M$54</f>
        <v>-1.0249830373341096E-2</v>
      </c>
      <c r="T59" s="504"/>
      <c r="U59" s="515">
        <v>1.1470273549030463E-2</v>
      </c>
      <c r="V59" s="515">
        <v>-1.2492126996137984E-2</v>
      </c>
      <c r="W59" s="515">
        <v>-1.8079823901054299E-2</v>
      </c>
      <c r="X59" s="515">
        <v>-1.8166946825164447E-2</v>
      </c>
      <c r="Y59" s="504">
        <f>+SUMPRODUCT(U59:X59,O$54:R$54)/S$54</f>
        <v>-1.0103427323778721E-2</v>
      </c>
      <c r="Z59" s="504"/>
      <c r="AA59" s="515">
        <v>-1.1187255555610426E-3</v>
      </c>
      <c r="AB59" s="515">
        <v>2.9742091370988034E-2</v>
      </c>
      <c r="AC59" s="515">
        <v>1.8548263902379618E-2</v>
      </c>
      <c r="AD59" s="515">
        <v>-1.0306033046994286E-3</v>
      </c>
      <c r="AE59" s="504">
        <f>+SUMPRODUCT(AA59:AD59,U$54:X$54)/Y$54</f>
        <v>1.1736917168535393E-2</v>
      </c>
      <c r="AF59" s="504"/>
      <c r="AG59" s="515">
        <v>-7.6028182642715559E-3</v>
      </c>
      <c r="AH59" s="515">
        <v>-2.1344055101684519E-2</v>
      </c>
      <c r="AI59" s="515">
        <v>-2.3115971375878466E-2</v>
      </c>
      <c r="AJ59" s="515">
        <v>-7.9899157743430413E-3</v>
      </c>
      <c r="AK59" s="504">
        <f>+SUMPRODUCT(AG59:AJ59,AA$54:AD$54)/AE$54</f>
        <v>-1.5216955089974652E-2</v>
      </c>
      <c r="AL59" s="504"/>
      <c r="AM59" s="515">
        <v>-4.3779454052956775E-5</v>
      </c>
      <c r="AN59" s="515">
        <v>-1.5674168044775352E-3</v>
      </c>
      <c r="AO59" s="515">
        <v>5.1861278018057629E-4</v>
      </c>
      <c r="AP59" s="515">
        <v>-4.0602499218160906E-3</v>
      </c>
      <c r="AQ59" s="504">
        <f>+SUMPRODUCT(AM59:AP59,AG$54:AJ$54)/AK$54</f>
        <v>-1.3273097027388125E-3</v>
      </c>
      <c r="AR59" s="504"/>
      <c r="AS59" s="515">
        <v>5.173382428042439E-3</v>
      </c>
      <c r="AT59" s="515">
        <v>6.5361072273589583E-3</v>
      </c>
      <c r="AU59" s="515">
        <v>-1.5203365023160557E-3</v>
      </c>
      <c r="AV59" s="515">
        <v>-2.5443962483559856E-2</v>
      </c>
      <c r="AW59" s="504">
        <f>+SUMPRODUCT(AS59:AV59,AM$54:AP$54)/AQ$54</f>
        <v>-4.4247310500454976E-3</v>
      </c>
      <c r="AX59" s="504"/>
      <c r="AY59" s="515">
        <v>-2.6623055566120258E-2</v>
      </c>
      <c r="AZ59" s="515">
        <v>-5.3671911074477975E-2</v>
      </c>
      <c r="BA59" s="515">
        <v>-4.7792472057512483E-2</v>
      </c>
      <c r="BB59" s="515">
        <v>-3.341157788749783E-2</v>
      </c>
      <c r="BC59" s="504">
        <f>+SUMPRODUCT(AY59:BB59,AS$54:AV$54)/AW$54</f>
        <v>-4.0507997736143608E-2</v>
      </c>
      <c r="BD59" s="504"/>
      <c r="BE59" s="752">
        <f>-2.7/AY54</f>
        <v>-1.3630443342790505E-2</v>
      </c>
      <c r="BF59" s="752">
        <v>0</v>
      </c>
      <c r="BG59" s="752">
        <v>0</v>
      </c>
      <c r="BH59" s="752">
        <f>-(3/BB54)</f>
        <v>-1.3027844847053102E-2</v>
      </c>
      <c r="BI59" s="504">
        <f>+SUMPRODUCT(BE59:BH59,AY$54:BB$54)/BC$54</f>
        <v>-6.7416846642049657E-3</v>
      </c>
      <c r="BJ59" s="504"/>
      <c r="BK59" s="752">
        <f>-3/BE54</f>
        <v>-1.2567024128686327E-2</v>
      </c>
      <c r="BL59" s="752">
        <f>-3/BF54</f>
        <v>-1.1137428442022259E-2</v>
      </c>
      <c r="BM59" s="752">
        <v>0.01</v>
      </c>
      <c r="BN59" s="752">
        <v>0.04</v>
      </c>
      <c r="BO59" s="504">
        <f>+SUMPRODUCT(BK59:BN59,BE$54:BH$54)/BI$54</f>
        <v>7.8864204872549793E-3</v>
      </c>
      <c r="BP59" s="504"/>
      <c r="BQ59" s="752">
        <v>0.05</v>
      </c>
      <c r="BR59" s="979">
        <v>5.5E-2</v>
      </c>
      <c r="BS59" s="979">
        <v>2.5000000000000001E-2</v>
      </c>
      <c r="BT59" s="979">
        <v>0.02</v>
      </c>
      <c r="BU59" s="504">
        <f>+SUMPRODUCT(BQ59:BT59,BK$54:BN$54)/BO$54</f>
        <v>3.6094221375812474E-2</v>
      </c>
      <c r="BV59" s="504"/>
      <c r="BW59" s="515">
        <v>0</v>
      </c>
      <c r="BX59" s="515">
        <v>0</v>
      </c>
      <c r="BY59" s="515">
        <v>0</v>
      </c>
      <c r="BZ59" s="515">
        <v>0</v>
      </c>
      <c r="CA59" s="504">
        <f>+SUMPRODUCT(BW59:BZ59,BQ$54:BT$54)/BU$54</f>
        <v>0</v>
      </c>
      <c r="CB59" s="504"/>
      <c r="CC59" s="515">
        <v>0</v>
      </c>
      <c r="CD59" s="515">
        <v>0</v>
      </c>
      <c r="CE59" s="515">
        <v>0</v>
      </c>
      <c r="CF59" s="515">
        <v>0</v>
      </c>
      <c r="CG59" s="504">
        <f>+SUMPRODUCT(CC59:CF59,BW$54:BZ$54)/CA$54</f>
        <v>0</v>
      </c>
    </row>
    <row r="60" spans="1:92" s="42" customFormat="1" ht="12.75" hidden="1" customHeight="1" outlineLevel="1" x14ac:dyDescent="0.2">
      <c r="A60" s="308"/>
      <c r="B60" s="313" t="s">
        <v>229</v>
      </c>
      <c r="C60" s="364"/>
      <c r="D60" s="364"/>
      <c r="E60" s="364"/>
      <c r="F60" s="364"/>
      <c r="G60" s="364">
        <f>+G54-(G6+G39)</f>
        <v>0</v>
      </c>
      <c r="H60" s="116"/>
      <c r="I60" s="364"/>
      <c r="J60" s="364"/>
      <c r="K60" s="364"/>
      <c r="L60" s="364"/>
      <c r="M60" s="364">
        <f>+M54-(M6+M39)</f>
        <v>0</v>
      </c>
      <c r="N60" s="116"/>
      <c r="O60" s="364"/>
      <c r="P60" s="364"/>
      <c r="Q60" s="364"/>
      <c r="R60" s="364"/>
      <c r="S60" s="364">
        <f>+S54-(S6+S39)</f>
        <v>0</v>
      </c>
      <c r="T60" s="116"/>
      <c r="U60" s="364">
        <f>+U54-(U6+U39)</f>
        <v>0</v>
      </c>
      <c r="V60" s="364">
        <f>+V54-(V6+V39)</f>
        <v>0</v>
      </c>
      <c r="W60" s="364">
        <f>+W54-(W6+W39)</f>
        <v>0</v>
      </c>
      <c r="X60" s="364">
        <f>+X54-(X6+X39)</f>
        <v>0</v>
      </c>
      <c r="Y60" s="364">
        <f>+Y54-(Y6+Y39)</f>
        <v>0</v>
      </c>
      <c r="Z60" s="116"/>
      <c r="AA60" s="364">
        <f>+AA54-(AA6+AA39)</f>
        <v>0</v>
      </c>
      <c r="AB60" s="952">
        <f>+AB54-(AB6+AB39)</f>
        <v>-1.3999999999981583E-2</v>
      </c>
      <c r="AC60" s="952">
        <f>+AC54-(AC6+AC39)</f>
        <v>-6.0000000000002274E-3</v>
      </c>
      <c r="AD60" s="952">
        <f>+AD54-(AD6+AD39)</f>
        <v>4.9999999999954525E-3</v>
      </c>
      <c r="AE60" s="364">
        <f>+AE54-(AE6+AE39)</f>
        <v>0</v>
      </c>
      <c r="AF60" s="116"/>
      <c r="AG60" s="364">
        <f>+AG54-(AG6+AG39)</f>
        <v>0</v>
      </c>
      <c r="AH60" s="364">
        <f>+AH54-(AH6+AH39)</f>
        <v>0</v>
      </c>
      <c r="AI60" s="364">
        <f>+AI54-(AI6+AI39)</f>
        <v>0</v>
      </c>
      <c r="AJ60" s="364">
        <f>+AJ54-(AJ6+AJ39)</f>
        <v>0</v>
      </c>
      <c r="AK60" s="364">
        <f>+AK54-(AK6+AK39)</f>
        <v>0</v>
      </c>
      <c r="AL60" s="116"/>
      <c r="AM60" s="364">
        <f>+AM54-(AM6+AM39)</f>
        <v>0</v>
      </c>
      <c r="AN60" s="364">
        <f>+AN54-(AN6+AN39)</f>
        <v>0</v>
      </c>
      <c r="AO60" s="364">
        <f>+AO54-(AO6+AO39)</f>
        <v>0</v>
      </c>
      <c r="AP60" s="364">
        <f>+AP54-(AP6+AP39)</f>
        <v>0</v>
      </c>
      <c r="AQ60" s="364">
        <f>+AQ54-(AQ6+AQ39)</f>
        <v>0</v>
      </c>
      <c r="AR60" s="116"/>
      <c r="AS60" s="364">
        <f>+AS54-(AS6+AS39)</f>
        <v>0</v>
      </c>
      <c r="AT60" s="364">
        <f>+AT54-(AT6+AT39)</f>
        <v>0</v>
      </c>
      <c r="AU60" s="364">
        <f>+AU54-(AU6+AU39)</f>
        <v>0</v>
      </c>
      <c r="AV60" s="364">
        <f>+AV54-(AV6+AV39)</f>
        <v>0</v>
      </c>
      <c r="AW60" s="364">
        <f>+AW54-(AW6+AW39)</f>
        <v>0</v>
      </c>
      <c r="AX60" s="116"/>
      <c r="AY60" s="364">
        <f>+AY54-(AY6+AY39)</f>
        <v>0</v>
      </c>
      <c r="AZ60" s="364">
        <f>+AZ54-(AZ6+AZ39)</f>
        <v>0</v>
      </c>
      <c r="BA60" s="364">
        <f>+BA54-(BA6+BA39)</f>
        <v>0</v>
      </c>
      <c r="BB60" s="364">
        <f>+BB54-(BB6+BB39)</f>
        <v>0</v>
      </c>
      <c r="BC60" s="364">
        <f>+BC54-(BC6+BC39)</f>
        <v>0</v>
      </c>
      <c r="BD60" s="116"/>
      <c r="BE60" s="364">
        <f>+BE54-(BE6+BE39)</f>
        <v>0</v>
      </c>
      <c r="BF60" s="364">
        <f>+BF54-(BF6+BF39)</f>
        <v>0</v>
      </c>
      <c r="BG60" s="807">
        <f>+BG54-(BG6+BG39)</f>
        <v>0</v>
      </c>
      <c r="BH60" s="807">
        <f>+BH54-(BH6+BH39)</f>
        <v>0</v>
      </c>
      <c r="BI60" s="807">
        <f>+BI54-(BI6+BI39)</f>
        <v>0</v>
      </c>
      <c r="BJ60" s="116"/>
      <c r="BK60" s="364">
        <f>+BK54-(BK6+BK39)</f>
        <v>0</v>
      </c>
      <c r="BL60" s="364">
        <f t="shared" ref="BL60:BO60" si="14">+BL54-(BL6+BL39)</f>
        <v>0</v>
      </c>
      <c r="BM60" s="807">
        <f>+BM54-(BM6+BM39)</f>
        <v>0</v>
      </c>
      <c r="BN60" s="364">
        <f t="shared" si="14"/>
        <v>0</v>
      </c>
      <c r="BO60" s="364">
        <f t="shared" si="14"/>
        <v>0</v>
      </c>
      <c r="BP60" s="116"/>
      <c r="BQ60" s="364">
        <f>+BQ54-(BQ6+BQ39)</f>
        <v>0</v>
      </c>
      <c r="BR60" s="364">
        <f t="shared" ref="BR60:BU60" si="15">+BR54-(BR6+BR39)</f>
        <v>0</v>
      </c>
      <c r="BS60" s="364">
        <f t="shared" si="15"/>
        <v>0</v>
      </c>
      <c r="BT60" s="364">
        <f t="shared" si="15"/>
        <v>0</v>
      </c>
      <c r="BU60" s="364">
        <f t="shared" si="15"/>
        <v>0</v>
      </c>
      <c r="BV60" s="116"/>
      <c r="BW60" s="364">
        <f>+BW54-(BW6+BW39)</f>
        <v>0</v>
      </c>
      <c r="BX60" s="364">
        <f t="shared" ref="BX60:CA60" si="16">+BX54-(BX6+BX39)</f>
        <v>0</v>
      </c>
      <c r="BY60" s="364">
        <f t="shared" si="16"/>
        <v>0</v>
      </c>
      <c r="BZ60" s="364">
        <f t="shared" si="16"/>
        <v>0</v>
      </c>
      <c r="CA60" s="364">
        <f t="shared" si="16"/>
        <v>0</v>
      </c>
      <c r="CB60" s="116"/>
      <c r="CC60" s="364">
        <f>+CC54-(CC6+CC39)</f>
        <v>0</v>
      </c>
      <c r="CD60" s="364">
        <f t="shared" ref="CD60:CG60" si="17">+CD54-(CD6+CD39)</f>
        <v>0</v>
      </c>
      <c r="CE60" s="364">
        <f t="shared" si="17"/>
        <v>0</v>
      </c>
      <c r="CF60" s="364">
        <f t="shared" si="17"/>
        <v>0</v>
      </c>
      <c r="CG60" s="364">
        <f t="shared" si="17"/>
        <v>0</v>
      </c>
    </row>
    <row r="61" spans="1:92" s="42" customFormat="1" ht="12.75" customHeight="1" collapsed="1" x14ac:dyDescent="0.2">
      <c r="A61" s="308"/>
      <c r="B61" s="313"/>
      <c r="C61" s="364"/>
      <c r="D61" s="364"/>
      <c r="E61" s="364"/>
      <c r="F61" s="364"/>
      <c r="G61" s="364"/>
      <c r="H61" s="116"/>
      <c r="I61" s="364"/>
      <c r="J61" s="364"/>
      <c r="K61" s="364"/>
      <c r="L61" s="364"/>
      <c r="M61" s="364"/>
      <c r="N61" s="116"/>
      <c r="O61" s="364"/>
      <c r="P61" s="364"/>
      <c r="Q61" s="364"/>
      <c r="R61" s="364"/>
      <c r="S61" s="364"/>
      <c r="T61" s="116"/>
      <c r="U61" s="364"/>
      <c r="V61" s="364"/>
      <c r="W61" s="364"/>
      <c r="X61" s="364"/>
      <c r="Y61" s="364"/>
      <c r="Z61" s="116"/>
      <c r="AA61" s="364"/>
      <c r="AB61" s="364"/>
      <c r="AC61" s="364"/>
      <c r="AD61" s="364"/>
      <c r="AE61" s="364"/>
      <c r="AF61" s="116"/>
      <c r="AG61" s="364"/>
      <c r="AH61" s="364"/>
      <c r="AI61" s="364"/>
      <c r="AJ61" s="364"/>
      <c r="AK61" s="364"/>
      <c r="AL61" s="116"/>
      <c r="AM61" s="364"/>
      <c r="AN61" s="364"/>
      <c r="AO61" s="364"/>
      <c r="AP61" s="364"/>
      <c r="AQ61" s="364"/>
      <c r="AR61" s="116"/>
      <c r="AS61" s="364"/>
      <c r="AT61" s="364"/>
      <c r="AU61" s="364"/>
      <c r="AV61" s="364"/>
      <c r="AW61" s="364"/>
      <c r="AX61" s="116"/>
      <c r="AY61" s="364"/>
      <c r="AZ61" s="364"/>
      <c r="BA61" s="364"/>
      <c r="BB61" s="364"/>
      <c r="BC61" s="364"/>
      <c r="BD61" s="116"/>
      <c r="BE61" s="364"/>
      <c r="BF61" s="364"/>
      <c r="BG61" s="797"/>
      <c r="BH61" s="364"/>
      <c r="BI61" s="364"/>
      <c r="BJ61" s="116"/>
      <c r="BK61" s="797"/>
      <c r="BL61" s="364"/>
      <c r="BM61" s="364"/>
      <c r="BN61" s="364"/>
      <c r="BO61" s="364"/>
      <c r="BP61" s="116"/>
      <c r="BQ61" s="364"/>
      <c r="BR61" s="364"/>
      <c r="BS61" s="364"/>
      <c r="BT61" s="364"/>
      <c r="BU61" s="364"/>
      <c r="BV61" s="116"/>
      <c r="BW61" s="364"/>
      <c r="BX61" s="364"/>
      <c r="BY61" s="364"/>
      <c r="BZ61" s="364"/>
      <c r="CA61" s="364"/>
      <c r="CB61" s="116"/>
      <c r="CC61" s="364"/>
      <c r="CD61" s="364"/>
      <c r="CE61" s="364"/>
      <c r="CF61" s="364"/>
      <c r="CG61" s="364"/>
    </row>
    <row r="62" spans="1:92" ht="12.75" customHeight="1" x14ac:dyDescent="0.2">
      <c r="A62" s="230"/>
      <c r="B62" s="509" t="s">
        <v>310</v>
      </c>
      <c r="C62" s="516"/>
      <c r="D62" s="516"/>
      <c r="E62" s="516"/>
      <c r="F62" s="516"/>
      <c r="G62" s="516"/>
      <c r="H62" s="517"/>
      <c r="I62" s="518">
        <f>+I6-C6-I59*C6</f>
        <v>11.014999999999986</v>
      </c>
      <c r="J62" s="518">
        <f>+J6-D6-J59*D6</f>
        <v>3.2990000000000066</v>
      </c>
      <c r="K62" s="518">
        <f>+K6-E6-K59*E6</f>
        <v>3.7220000000000084</v>
      </c>
      <c r="L62" s="518">
        <f>+L6-F6-L59*F6</f>
        <v>1.6080000000000183</v>
      </c>
      <c r="M62" s="518">
        <f>+M6-G6-M59*G6</f>
        <v>19.644000000000062</v>
      </c>
      <c r="N62" s="517"/>
      <c r="O62" s="518">
        <f>+O6-I6-O59*I6</f>
        <v>-2.6449137221945564</v>
      </c>
      <c r="P62" s="518">
        <f>+P6-J6-P59*J6</f>
        <v>-1.3249984665876493</v>
      </c>
      <c r="Q62" s="518">
        <f>+Q6-K6-Q59*K6</f>
        <v>4.8054922956789285</v>
      </c>
      <c r="R62" s="518">
        <f>+R6-L6-R59*L6</f>
        <v>10.637122330670053</v>
      </c>
      <c r="S62" s="518">
        <f>+S6-M6-S59*M6</f>
        <v>11.47270243756676</v>
      </c>
      <c r="T62" s="517"/>
      <c r="U62" s="518">
        <f>+U6-O6-U59*O6</f>
        <v>19.153566775459407</v>
      </c>
      <c r="V62" s="518">
        <f>+V6-P6-V59*P6</f>
        <v>18.535349163837246</v>
      </c>
      <c r="W62" s="518">
        <f>+W6-Q6-W59*Q6</f>
        <v>18.111169560812655</v>
      </c>
      <c r="X62" s="518">
        <f>+X6-R6-X59*R6</f>
        <v>7.8505482662084445</v>
      </c>
      <c r="Y62" s="518">
        <f>+Y6-S6-Y59*S6</f>
        <v>63.650633766317725</v>
      </c>
      <c r="Z62" s="517"/>
      <c r="AA62" s="518">
        <f>AA7*U6</f>
        <v>14.866785985300471</v>
      </c>
      <c r="AB62" s="518">
        <f>AB7*V6</f>
        <v>16.909277104446964</v>
      </c>
      <c r="AC62" s="518">
        <f>AC7*W6</f>
        <v>16.573349723358383</v>
      </c>
      <c r="AD62" s="518">
        <f>AD7*X6</f>
        <v>26.102735832783445</v>
      </c>
      <c r="AE62" s="518">
        <f>SUM(AA62:AD62)</f>
        <v>74.452148645889253</v>
      </c>
      <c r="AF62" s="517"/>
      <c r="AG62" s="518">
        <f>AG7*AA6</f>
        <v>19.269201111918477</v>
      </c>
      <c r="AH62" s="518">
        <f>AH7*AB6</f>
        <v>22.493684659551381</v>
      </c>
      <c r="AI62" s="518">
        <f>AI7*AC6</f>
        <v>15.067155528262905</v>
      </c>
      <c r="AJ62" s="518">
        <f>AJ7*AD6</f>
        <v>14.909000985569392</v>
      </c>
      <c r="AK62" s="518">
        <f>SUM(AG62:AJ62)</f>
        <v>71.739042285302148</v>
      </c>
      <c r="AL62" s="517"/>
      <c r="AM62" s="518">
        <f>AM7*AG6</f>
        <v>18.249399232509447</v>
      </c>
      <c r="AN62" s="518">
        <f>AN7*AH6</f>
        <v>19.843515036837712</v>
      </c>
      <c r="AO62" s="518">
        <f>AO7*AI6</f>
        <v>26.759278795431626</v>
      </c>
      <c r="AP62" s="518">
        <f>AP7*AJ6</f>
        <v>33.904440744362581</v>
      </c>
      <c r="AQ62" s="518">
        <f>AQ7*AK6</f>
        <v>98.756633809141363</v>
      </c>
      <c r="AR62" s="517"/>
      <c r="AS62" s="518">
        <f>AS7*AM6</f>
        <v>25.934593902897191</v>
      </c>
      <c r="AT62" s="518">
        <f>AT7*AN6</f>
        <v>25.429995153724178</v>
      </c>
      <c r="AU62" s="518">
        <f>AU7*AO6</f>
        <v>24.82144766993061</v>
      </c>
      <c r="AV62" s="518">
        <f>AV7*AP6</f>
        <v>22.443454536415999</v>
      </c>
      <c r="AW62" s="518">
        <f>AW7*AQ6</f>
        <v>98.629491262967974</v>
      </c>
      <c r="AX62" s="517"/>
      <c r="AY62" s="518">
        <f>AY7*AS6</f>
        <v>23.269036245388516</v>
      </c>
      <c r="AZ62" s="518">
        <f>AZ7*AT6</f>
        <v>30.72872093697136</v>
      </c>
      <c r="BA62" s="518">
        <f>BA7*AU6</f>
        <v>27.363002529753409</v>
      </c>
      <c r="BB62" s="518">
        <f>BB7*AV6</f>
        <v>32.961225168844109</v>
      </c>
      <c r="BC62" s="518">
        <f>BC7*AW6</f>
        <v>114.3219848809574</v>
      </c>
      <c r="BD62" s="517"/>
      <c r="BE62" s="518">
        <f>BE7*AY6</f>
        <v>35.218288187958755</v>
      </c>
      <c r="BF62" s="518">
        <f>BF7*AZ6</f>
        <v>42.618999999999964</v>
      </c>
      <c r="BG62" s="798">
        <f>BG7*BA6</f>
        <v>45.375999999999969</v>
      </c>
      <c r="BH62" s="798">
        <f>BH7*BB6</f>
        <v>39.970084133822027</v>
      </c>
      <c r="BI62" s="518">
        <f>BI7*BC6</f>
        <v>163.18337232178072</v>
      </c>
      <c r="BJ62" s="517"/>
      <c r="BK62" s="518">
        <f>BK7*BE6</f>
        <v>65.196700067024153</v>
      </c>
      <c r="BL62" s="518">
        <f>BL7*BF6</f>
        <v>77.841901030212043</v>
      </c>
      <c r="BM62" s="798">
        <f>BM7*BG6</f>
        <v>84.350470000000001</v>
      </c>
      <c r="BN62" s="518">
        <f>BN7*BH6</f>
        <v>93.50347000000005</v>
      </c>
      <c r="BO62" s="518">
        <f>BO7*BI6</f>
        <v>320.89254109723629</v>
      </c>
      <c r="BP62" s="517"/>
      <c r="BQ62" s="518">
        <f>BQ7*BK6</f>
        <v>84.603412499999948</v>
      </c>
      <c r="BR62" s="518">
        <f>BR7*BL6</f>
        <v>93.611128515197279</v>
      </c>
      <c r="BS62" s="518">
        <f>BS7*BM6</f>
        <v>88.856270975344856</v>
      </c>
      <c r="BT62" s="518">
        <f>BT7*BN6</f>
        <v>99.738655932695693</v>
      </c>
      <c r="BU62" s="518">
        <f>BU7*BO6</f>
        <v>366.80946792323783</v>
      </c>
      <c r="BV62" s="517"/>
      <c r="BW62" s="518">
        <f>BW7*BQ6</f>
        <v>86.817210615960789</v>
      </c>
      <c r="BX62" s="518">
        <f>BX7*BR6</f>
        <v>113.39983986214347</v>
      </c>
      <c r="BY62" s="518">
        <f>BY7*BS6</f>
        <v>110.39905043940399</v>
      </c>
      <c r="BZ62" s="518">
        <f>BZ7*BT6</f>
        <v>121.82291215603132</v>
      </c>
      <c r="CA62" s="518">
        <f>CA7*BU6</f>
        <v>432.43901307353946</v>
      </c>
      <c r="CB62" s="517"/>
      <c r="CC62" s="518">
        <f>CC7*BW6</f>
        <v>88.231078844661724</v>
      </c>
      <c r="CD62" s="518">
        <f>CD7*BX6</f>
        <v>93.370082429576001</v>
      </c>
      <c r="CE62" s="518">
        <f>CE7*BY6</f>
        <v>92.937245594484509</v>
      </c>
      <c r="CF62" s="518">
        <f>CF7*BZ6</f>
        <v>97.936777246684187</v>
      </c>
      <c r="CG62" s="518">
        <f>CG7*CA6</f>
        <v>372.47518411540636</v>
      </c>
    </row>
    <row r="63" spans="1:92" ht="12.75" customHeight="1" x14ac:dyDescent="0.2">
      <c r="A63" s="230"/>
      <c r="B63" s="519" t="s">
        <v>341</v>
      </c>
      <c r="C63" s="516"/>
      <c r="D63" s="516"/>
      <c r="E63" s="516"/>
      <c r="F63" s="516"/>
      <c r="G63" s="516"/>
      <c r="H63" s="518"/>
      <c r="I63" s="518">
        <f>I62-I109</f>
        <v>11.014999999999986</v>
      </c>
      <c r="J63" s="518">
        <f>J62-J109</f>
        <v>3.2990000000000066</v>
      </c>
      <c r="K63" s="518">
        <f>K62-K109</f>
        <v>3.7220000000000084</v>
      </c>
      <c r="L63" s="518">
        <f>L62-L109</f>
        <v>1.6080000000000183</v>
      </c>
      <c r="M63" s="511">
        <f>M62-M109</f>
        <v>19.644000000000062</v>
      </c>
      <c r="N63" s="518"/>
      <c r="O63" s="518">
        <f>O62-O109</f>
        <v>-2.6449137221945564</v>
      </c>
      <c r="P63" s="518">
        <f>P62-P109</f>
        <v>-1.3249984665876493</v>
      </c>
      <c r="Q63" s="518">
        <f>Q62-Q109</f>
        <v>4.8054922956789285</v>
      </c>
      <c r="R63" s="518">
        <f>R62-R109</f>
        <v>10.637122330670053</v>
      </c>
      <c r="S63" s="511">
        <f>S62-S109</f>
        <v>11.47270243756676</v>
      </c>
      <c r="T63" s="518"/>
      <c r="U63" s="518">
        <f>U62-U109</f>
        <v>16.153566775459407</v>
      </c>
      <c r="V63" s="518">
        <f>V62-V109</f>
        <v>15.535349163837246</v>
      </c>
      <c r="W63" s="518">
        <f>W62-W109</f>
        <v>15.111169560812655</v>
      </c>
      <c r="X63" s="518">
        <f>X62-X109</f>
        <v>4.8505482662084445</v>
      </c>
      <c r="Y63" s="511">
        <f>Y62-Y109</f>
        <v>51.650633766317725</v>
      </c>
      <c r="Z63" s="518"/>
      <c r="AA63" s="518">
        <f>AA62-AA109</f>
        <v>11.866785985300471</v>
      </c>
      <c r="AB63" s="518">
        <f>AB62-AB109</f>
        <v>13.909277104446964</v>
      </c>
      <c r="AC63" s="518">
        <f>AC62-AC109</f>
        <v>13.573349723358383</v>
      </c>
      <c r="AD63" s="518">
        <f>AD62-AD109</f>
        <v>23.102735832783445</v>
      </c>
      <c r="AE63" s="511">
        <f>AE62-AE109</f>
        <v>62.452148645889253</v>
      </c>
      <c r="AF63" s="518"/>
      <c r="AG63" s="518">
        <f>AG62-AG109</f>
        <v>19.269201111918477</v>
      </c>
      <c r="AH63" s="518">
        <f>AH62-AH109</f>
        <v>20.993684659551381</v>
      </c>
      <c r="AI63" s="518">
        <f>AI62-AI109</f>
        <v>15.067155528262905</v>
      </c>
      <c r="AJ63" s="518">
        <f>AJ62-AJ109</f>
        <v>11.634000985569392</v>
      </c>
      <c r="AK63" s="511">
        <f>AK62-AK109</f>
        <v>66.964042285302142</v>
      </c>
      <c r="AL63" s="518"/>
      <c r="AM63" s="518">
        <f>AM62-AM109</f>
        <v>11.909669232509446</v>
      </c>
      <c r="AN63" s="518">
        <f>AN62-AN109</f>
        <v>14.567711703504379</v>
      </c>
      <c r="AO63" s="518">
        <f>AO62-AO109</f>
        <v>20.889068795431626</v>
      </c>
      <c r="AP63" s="518">
        <f>AP62-AP109</f>
        <v>26.955660744362582</v>
      </c>
      <c r="AQ63" s="511">
        <f>AQ62-AQ109</f>
        <v>74.322110475808032</v>
      </c>
      <c r="AR63" s="518"/>
      <c r="AS63" s="518">
        <f>AS62-AS109</f>
        <v>21.934593902897191</v>
      </c>
      <c r="AT63" s="518">
        <f>AT62-AT109</f>
        <v>21.929995153724178</v>
      </c>
      <c r="AU63" s="518">
        <f>AU62-AU109</f>
        <v>23.82144766993061</v>
      </c>
      <c r="AV63" s="518">
        <f>AV62-AV109</f>
        <v>21.443454536415999</v>
      </c>
      <c r="AW63" s="511">
        <f>AW62-AW109</f>
        <v>89.129491262967974</v>
      </c>
      <c r="AX63" s="518"/>
      <c r="AY63" s="518">
        <f>AY62-AY109</f>
        <v>22.769036245388516</v>
      </c>
      <c r="AZ63" s="518">
        <f>AZ62-AZ109</f>
        <v>30.72872093697136</v>
      </c>
      <c r="BA63" s="518">
        <f>BA62-BA109</f>
        <v>27.363002529753409</v>
      </c>
      <c r="BB63" s="518">
        <f>BB62-BB109</f>
        <v>32.961225168844109</v>
      </c>
      <c r="BC63" s="511">
        <f>BC62-BC109</f>
        <v>113.8219848809574</v>
      </c>
      <c r="BD63" s="518"/>
      <c r="BE63" s="518">
        <f>BE62-BE109</f>
        <v>35.218288187958755</v>
      </c>
      <c r="BF63" s="518">
        <f>BF62-BF109</f>
        <v>42.618999999999964</v>
      </c>
      <c r="BG63" s="798">
        <f>BG62-BG109</f>
        <v>45.375999999999969</v>
      </c>
      <c r="BH63" s="798">
        <f>BH62-BH109</f>
        <v>39.970084133822027</v>
      </c>
      <c r="BI63" s="511">
        <f>BI62-BI109</f>
        <v>163.18337232178072</v>
      </c>
      <c r="BJ63" s="518"/>
      <c r="BK63" s="518">
        <f>BK62-BK109</f>
        <v>65.196700067024153</v>
      </c>
      <c r="BL63" s="518">
        <f>BL62-BL109</f>
        <v>77.841901030212043</v>
      </c>
      <c r="BM63" s="798">
        <f>BM62-BM109</f>
        <v>84.350470000000001</v>
      </c>
      <c r="BN63" s="518">
        <f>BN62-BN109</f>
        <v>93.50347000000005</v>
      </c>
      <c r="BO63" s="511">
        <f>BO62-BO109</f>
        <v>320.89254109723629</v>
      </c>
      <c r="BP63" s="518"/>
      <c r="BQ63" s="518">
        <f>BQ62-BQ109</f>
        <v>84.603412499999948</v>
      </c>
      <c r="BR63" s="518">
        <f>BR62-BR109</f>
        <v>93.611128515197279</v>
      </c>
      <c r="BS63" s="518">
        <f>BS62-BS109</f>
        <v>88.856270975344856</v>
      </c>
      <c r="BT63" s="518">
        <f>BT62-BT109</f>
        <v>99.738655932695693</v>
      </c>
      <c r="BU63" s="511">
        <f>BU62-BU109</f>
        <v>366.80946792323783</v>
      </c>
      <c r="BV63" s="518"/>
      <c r="BW63" s="518">
        <f>BW62-BW109</f>
        <v>86.817210615960789</v>
      </c>
      <c r="BX63" s="518">
        <f>BX62-BX109</f>
        <v>113.39983986214347</v>
      </c>
      <c r="BY63" s="518">
        <f>BY62-BY109</f>
        <v>110.39905043940399</v>
      </c>
      <c r="BZ63" s="518">
        <f>BZ62-BZ109</f>
        <v>121.82291215603132</v>
      </c>
      <c r="CA63" s="511">
        <f>CA62-CA109</f>
        <v>432.43901307353946</v>
      </c>
      <c r="CB63" s="518"/>
      <c r="CC63" s="518">
        <f>CC62-CC109</f>
        <v>88.231078844661724</v>
      </c>
      <c r="CD63" s="518">
        <f>CD62-CD109</f>
        <v>93.370082429576001</v>
      </c>
      <c r="CE63" s="518">
        <f>CE62-CE109</f>
        <v>92.937245594484509</v>
      </c>
      <c r="CF63" s="518">
        <f>CF62-CF109</f>
        <v>97.936777246684187</v>
      </c>
      <c r="CG63" s="511">
        <f>CG62-CG109</f>
        <v>372.47518411540636</v>
      </c>
    </row>
    <row r="64" spans="1:92" ht="12.75" customHeight="1" x14ac:dyDescent="0.2">
      <c r="A64" s="230"/>
      <c r="B64" s="520" t="s">
        <v>98</v>
      </c>
      <c r="C64" s="516"/>
      <c r="D64" s="516"/>
      <c r="E64" s="516"/>
      <c r="F64" s="516"/>
      <c r="G64" s="516"/>
      <c r="H64" s="517"/>
      <c r="I64" s="518"/>
      <c r="J64" s="518"/>
      <c r="K64" s="518"/>
      <c r="L64" s="518"/>
      <c r="M64" s="518"/>
      <c r="N64" s="517"/>
      <c r="O64" s="518">
        <f>+O63+I63</f>
        <v>8.3700862778054308</v>
      </c>
      <c r="P64" s="518">
        <f>+P63+J63</f>
        <v>1.9740015334123573</v>
      </c>
      <c r="Q64" s="518">
        <f>+Q63+K63</f>
        <v>8.5274922956789361</v>
      </c>
      <c r="R64" s="518">
        <f>+R63+L63</f>
        <v>12.245122330670071</v>
      </c>
      <c r="S64" s="518">
        <f>+S63+M63</f>
        <v>31.116702437566822</v>
      </c>
      <c r="T64" s="517"/>
      <c r="U64" s="518">
        <f>+U63+O63</f>
        <v>13.508653053264851</v>
      </c>
      <c r="V64" s="518">
        <f>+V63+P63</f>
        <v>14.210350697249597</v>
      </c>
      <c r="W64" s="518">
        <f>+W63+Q63</f>
        <v>19.916661856491583</v>
      </c>
      <c r="X64" s="518">
        <f>+X63+R63</f>
        <v>15.487670596878498</v>
      </c>
      <c r="Y64" s="518">
        <f>+Y63+S63</f>
        <v>63.123336203884485</v>
      </c>
      <c r="Z64" s="517"/>
      <c r="AA64" s="518">
        <f>+AA63+U63</f>
        <v>28.020352760759877</v>
      </c>
      <c r="AB64" s="518">
        <f>+AB63+V63</f>
        <v>29.44462626828421</v>
      </c>
      <c r="AC64" s="518">
        <f>+AC63+W63</f>
        <v>28.684519284171039</v>
      </c>
      <c r="AD64" s="518">
        <f>+AD63+X63</f>
        <v>27.95328409899189</v>
      </c>
      <c r="AE64" s="518">
        <f>+AE63+Y63</f>
        <v>114.10278241220698</v>
      </c>
      <c r="AF64" s="517"/>
      <c r="AG64" s="518">
        <f>+AG63+AA63</f>
        <v>31.135987097218948</v>
      </c>
      <c r="AH64" s="518">
        <f>+AH63+AB63</f>
        <v>34.902961763998348</v>
      </c>
      <c r="AI64" s="518">
        <f>+AI63+AC63</f>
        <v>28.640505251621288</v>
      </c>
      <c r="AJ64" s="518">
        <f>+AJ63+AD63</f>
        <v>34.736736818352838</v>
      </c>
      <c r="AK64" s="518">
        <f>+AK63+AE63</f>
        <v>129.41619093119141</v>
      </c>
      <c r="AL64" s="517"/>
      <c r="AM64" s="518">
        <f>+AM63+AG63</f>
        <v>31.178870344427921</v>
      </c>
      <c r="AN64" s="518">
        <f>+AN63+AH63</f>
        <v>35.561396363055763</v>
      </c>
      <c r="AO64" s="518">
        <f>+AO63+AI63</f>
        <v>35.956224323694528</v>
      </c>
      <c r="AP64" s="518">
        <f>+AP63+AJ63</f>
        <v>38.589661729931976</v>
      </c>
      <c r="AQ64" s="518">
        <f>+AQ63+AK63</f>
        <v>141.28615276111017</v>
      </c>
      <c r="AR64" s="517"/>
      <c r="AS64" s="518">
        <f>+AS63+AM63</f>
        <v>33.844263135406635</v>
      </c>
      <c r="AT64" s="518">
        <f>+AT63+AN63</f>
        <v>36.497706857228557</v>
      </c>
      <c r="AU64" s="518">
        <f>+AU63+AO63</f>
        <v>44.710516465362232</v>
      </c>
      <c r="AV64" s="518">
        <f>+AV63+AP63</f>
        <v>48.399115280778581</v>
      </c>
      <c r="AW64" s="518">
        <f>+AW63+AQ63</f>
        <v>163.45160173877599</v>
      </c>
      <c r="AX64" s="518"/>
      <c r="AY64" s="518">
        <f>+AY63+AS63</f>
        <v>44.703630148285711</v>
      </c>
      <c r="AZ64" s="518">
        <f>+AZ63+AT63</f>
        <v>52.658716090695535</v>
      </c>
      <c r="BA64" s="518">
        <f>+BA63+AU63</f>
        <v>51.184450199684022</v>
      </c>
      <c r="BB64" s="518">
        <f>+BB63+AV63</f>
        <v>54.404679705260108</v>
      </c>
      <c r="BC64" s="518">
        <f>+BC63+AW63</f>
        <v>202.95147614392539</v>
      </c>
      <c r="BD64" s="517"/>
      <c r="BE64" s="518">
        <f>+BE63+AY63</f>
        <v>57.987324433347268</v>
      </c>
      <c r="BF64" s="518">
        <f>+BF63+AZ63</f>
        <v>73.347720936971328</v>
      </c>
      <c r="BG64" s="798">
        <f>+BG63+BA63</f>
        <v>72.739002529753378</v>
      </c>
      <c r="BH64" s="798">
        <f>+BH63+BB63</f>
        <v>72.931309302666136</v>
      </c>
      <c r="BI64" s="518">
        <f>+BI63+BC63</f>
        <v>277.00535720273814</v>
      </c>
      <c r="BJ64" s="517"/>
      <c r="BK64" s="518">
        <f>+BK63+BE63</f>
        <v>100.41498825498292</v>
      </c>
      <c r="BL64" s="518">
        <f>+BL63+BF63</f>
        <v>120.460901030212</v>
      </c>
      <c r="BM64" s="798">
        <f>+BM63+BG63</f>
        <v>129.72646999999998</v>
      </c>
      <c r="BN64" s="518">
        <f>+BN63+BH63</f>
        <v>133.47355413382206</v>
      </c>
      <c r="BO64" s="518">
        <f>+BO63+BI63</f>
        <v>484.07591341901701</v>
      </c>
      <c r="BP64" s="517"/>
      <c r="BQ64" s="518">
        <f>+BQ63+BK63</f>
        <v>149.80011256702409</v>
      </c>
      <c r="BR64" s="518">
        <f>+BR63+BL63</f>
        <v>171.45302954540932</v>
      </c>
      <c r="BS64" s="518">
        <f>+BS63+BM63</f>
        <v>173.20674097534487</v>
      </c>
      <c r="BT64" s="518">
        <f>+BT63+BN63</f>
        <v>193.24212593269573</v>
      </c>
      <c r="BU64" s="518">
        <f>+BU63+BO63</f>
        <v>687.70200902047418</v>
      </c>
      <c r="BV64" s="517"/>
      <c r="BW64" s="518">
        <f>+BW63+BQ63</f>
        <v>171.42062311596072</v>
      </c>
      <c r="BX64" s="518">
        <f>+BX63+BR63</f>
        <v>207.01096837734076</v>
      </c>
      <c r="BY64" s="518">
        <f>+BY63+BS63</f>
        <v>199.25532141474883</v>
      </c>
      <c r="BZ64" s="518">
        <f>+BZ63+BT63</f>
        <v>221.56156808872703</v>
      </c>
      <c r="CA64" s="518">
        <f>+CA63+BU63</f>
        <v>799.24848099677729</v>
      </c>
      <c r="CB64" s="517"/>
      <c r="CC64" s="518">
        <f>+CC63+BW63</f>
        <v>175.04828946062253</v>
      </c>
      <c r="CD64" s="518">
        <f>+CD63+BX63</f>
        <v>206.76992229171947</v>
      </c>
      <c r="CE64" s="518">
        <f>+CE63+BY63</f>
        <v>203.33629603388852</v>
      </c>
      <c r="CF64" s="518">
        <f>+CF63+BZ63</f>
        <v>219.75968940271551</v>
      </c>
      <c r="CG64" s="518">
        <f>+CG63+CA63</f>
        <v>804.91419718894576</v>
      </c>
    </row>
    <row r="65" spans="1:85" ht="12.75" customHeight="1" x14ac:dyDescent="0.2">
      <c r="A65" s="230"/>
      <c r="B65" s="519" t="s">
        <v>8</v>
      </c>
      <c r="C65" s="516"/>
      <c r="D65" s="516"/>
      <c r="E65" s="516"/>
      <c r="F65" s="516"/>
      <c r="G65" s="516"/>
      <c r="H65" s="518"/>
      <c r="I65" s="518">
        <f>I81-C81-I109+I106</f>
        <v>6.2999999999999972</v>
      </c>
      <c r="J65" s="518">
        <f>J81-D81-J109+J106</f>
        <v>-1.3999999999999915</v>
      </c>
      <c r="K65" s="518">
        <f>K81-E81-K109+K106</f>
        <v>0.20000000000000284</v>
      </c>
      <c r="L65" s="518">
        <f>L81-F81-L109+L106</f>
        <v>-0.10000000000000142</v>
      </c>
      <c r="M65" s="511">
        <f>SUM(I65:L65)</f>
        <v>5.0000000000000071</v>
      </c>
      <c r="N65" s="518"/>
      <c r="O65" s="518">
        <f>O81-I81-O109+O106</f>
        <v>-5.5999999999999943</v>
      </c>
      <c r="P65" s="518">
        <f>P81-J81-P109+P106</f>
        <v>-6.6000000000000085</v>
      </c>
      <c r="Q65" s="518">
        <f>Q81-K81-Q109+Q106</f>
        <v>-0.90000000000000568</v>
      </c>
      <c r="R65" s="518">
        <f>R81-L81-R109+R106</f>
        <v>6.4000000000000057</v>
      </c>
      <c r="S65" s="511">
        <f>SUM(O65:R65)</f>
        <v>-6.7000000000000028</v>
      </c>
      <c r="T65" s="518"/>
      <c r="U65" s="518">
        <f>U81-O81-U109+U106</f>
        <v>10.400000000000006</v>
      </c>
      <c r="V65" s="518">
        <f>V81-P81-V109+V106</f>
        <v>10.200000000000003</v>
      </c>
      <c r="W65" s="518">
        <f>W81-Q81-W109+W106</f>
        <v>8.3000000000000114</v>
      </c>
      <c r="X65" s="518">
        <f>X81-R81-X109+X106</f>
        <v>-1.5000000000000071</v>
      </c>
      <c r="Y65" s="511">
        <f>SUM(U65:X65)</f>
        <v>27.400000000000013</v>
      </c>
      <c r="Z65" s="518"/>
      <c r="AA65" s="518">
        <f>AA81-U81-AA109+AA106</f>
        <v>5.8580000000000041</v>
      </c>
      <c r="AB65" s="518">
        <f>AB81-V81-AB109+AB106</f>
        <v>15.496000000000009</v>
      </c>
      <c r="AC65" s="518">
        <f>AC81-W81-AC109+AC106</f>
        <v>17.876000000000005</v>
      </c>
      <c r="AD65" s="518">
        <f>AD81-X81-AD109+AD106</f>
        <v>25.70000000000001</v>
      </c>
      <c r="AE65" s="511">
        <f>SUM(AA65:AD65)</f>
        <v>64.930000000000035</v>
      </c>
      <c r="AF65" s="518"/>
      <c r="AG65" s="518">
        <f>AG81-AA81-AG109+AG106</f>
        <v>23.73299999999999</v>
      </c>
      <c r="AH65" s="518">
        <f>AH81-AB81-AH109+AH106</f>
        <v>18.252999999999986</v>
      </c>
      <c r="AI65" s="518">
        <f>AI81-AC81-AI109+AI106</f>
        <v>10.230999999999995</v>
      </c>
      <c r="AJ65" s="518">
        <f>AJ81-AD81-AJ109+AJ106</f>
        <v>6.9509999999999987</v>
      </c>
      <c r="AK65" s="511">
        <f>SUM(AG65:AJ65)</f>
        <v>59.167999999999971</v>
      </c>
      <c r="AL65" s="518"/>
      <c r="AM65" s="518">
        <f>AM81-AG81-AM109+AM106</f>
        <v>4.666269999999999</v>
      </c>
      <c r="AN65" s="518">
        <f>AN81-AH81-AN109+AN106</f>
        <v>4.3795299999999973</v>
      </c>
      <c r="AO65" s="518">
        <f>AO81-AI81-AO109+AO106</f>
        <v>12.48579</v>
      </c>
      <c r="AP65" s="518">
        <f>AP81-AJ81-AP109+AP106</f>
        <v>11.064219999999983</v>
      </c>
      <c r="AQ65" s="511">
        <f>SUM(AM65:AP65)</f>
        <v>32.595809999999979</v>
      </c>
      <c r="AR65" s="518"/>
      <c r="AS65" s="518">
        <f>AS81-AM81-AS109+AS106</f>
        <v>11.225999999999999</v>
      </c>
      <c r="AT65" s="518">
        <f>AT81-AN81-AT109+AT106</f>
        <v>9.6750000000000114</v>
      </c>
      <c r="AU65" s="518">
        <f>AU81-AO81-AU109+AU106</f>
        <v>10.164999999999992</v>
      </c>
      <c r="AV65" s="518">
        <f>AV81-AP81-AV109+AV106</f>
        <v>8.7350000000000136</v>
      </c>
      <c r="AW65" s="518">
        <f>AW81-AQ81-AW109+AW106</f>
        <v>32.301000000000101</v>
      </c>
      <c r="AX65" s="518"/>
      <c r="AY65" s="518">
        <f>AY81-AS81-AY109+AY106</f>
        <v>9.5942280970419773</v>
      </c>
      <c r="AZ65" s="518">
        <f>AZ81-AT81-AZ109+AZ106</f>
        <v>10.395591903719918</v>
      </c>
      <c r="BA65" s="518">
        <f>BA81-AU81-BA109+BA106</f>
        <v>8.3744285227466264</v>
      </c>
      <c r="BB65" s="518">
        <f>BB81-AV81-BB109+BB106</f>
        <v>20.038281591712575</v>
      </c>
      <c r="BC65" s="518">
        <f>BC81-AW81-BC109+BC106</f>
        <v>47.902530115221111</v>
      </c>
      <c r="BD65" s="518"/>
      <c r="BE65" s="518">
        <f>BE81-AY81-BE109+BE106</f>
        <v>24.759654227452273</v>
      </c>
      <c r="BF65" s="518">
        <f>BF81-AZ81-BF109+BF106</f>
        <v>33.797108096280056</v>
      </c>
      <c r="BG65" s="798">
        <f>BG81-BA81-BG109+BG106</f>
        <v>43.672521477253383</v>
      </c>
      <c r="BH65" s="798">
        <f>BH81-BB81-BH109+BH106</f>
        <v>39.083718408287439</v>
      </c>
      <c r="BI65" s="518">
        <f>BI81-BC81-BI109+BI106</f>
        <v>141.31300220927301</v>
      </c>
      <c r="BJ65" s="518"/>
      <c r="BK65" s="518">
        <f>BK81-BE81-BK109+BK106</f>
        <v>36.852017675505749</v>
      </c>
      <c r="BL65" s="518">
        <f>BL81-BF81-BL109+BL106</f>
        <v>51.609000000000009</v>
      </c>
      <c r="BM65" s="798">
        <f>BM81-BG81-BM109+BM106</f>
        <v>58.289249999999981</v>
      </c>
      <c r="BN65" s="798">
        <f>BN81-BH81-BN109+BN106</f>
        <v>68.777649999999994</v>
      </c>
      <c r="BO65" s="518">
        <f>BO81-BI81-BO109+BO106</f>
        <v>215.52791767550582</v>
      </c>
      <c r="BP65" s="518"/>
      <c r="BQ65" s="518">
        <f>BQ81-BK81-BQ109+BQ106</f>
        <v>66.995149999999967</v>
      </c>
      <c r="BR65" s="518"/>
      <c r="BS65" s="518"/>
      <c r="BT65" s="518"/>
      <c r="BU65" s="511"/>
      <c r="BV65" s="518"/>
      <c r="BW65" s="518"/>
      <c r="BX65" s="518"/>
      <c r="BY65" s="518"/>
      <c r="BZ65" s="518"/>
      <c r="CA65" s="511"/>
      <c r="CB65" s="518"/>
      <c r="CC65" s="518"/>
      <c r="CD65" s="518"/>
      <c r="CE65" s="518"/>
      <c r="CF65" s="518"/>
      <c r="CG65" s="511"/>
    </row>
    <row r="66" spans="1:85" ht="12.75" customHeight="1" x14ac:dyDescent="0.2">
      <c r="A66" s="230"/>
      <c r="B66" s="520" t="s">
        <v>98</v>
      </c>
      <c r="C66" s="516"/>
      <c r="D66" s="516"/>
      <c r="E66" s="516"/>
      <c r="F66" s="516"/>
      <c r="G66" s="516"/>
      <c r="H66" s="517"/>
      <c r="I66" s="518">
        <f>I65+C65</f>
        <v>6.2999999999999972</v>
      </c>
      <c r="J66" s="518">
        <f>J65+D65</f>
        <v>-1.3999999999999915</v>
      </c>
      <c r="K66" s="518">
        <f>K65+E65</f>
        <v>0.20000000000000284</v>
      </c>
      <c r="L66" s="518">
        <f>L65+F65</f>
        <v>-0.10000000000000142</v>
      </c>
      <c r="M66" s="518">
        <f>M65+G65</f>
        <v>5.0000000000000071</v>
      </c>
      <c r="N66" s="517"/>
      <c r="O66" s="518">
        <f>O65+I65</f>
        <v>0.70000000000000284</v>
      </c>
      <c r="P66" s="518">
        <f>P65+J65</f>
        <v>-8</v>
      </c>
      <c r="Q66" s="518">
        <f>Q65+K65</f>
        <v>-0.70000000000000284</v>
      </c>
      <c r="R66" s="518">
        <f>R65+L65</f>
        <v>6.3000000000000043</v>
      </c>
      <c r="S66" s="518">
        <f>S65+M65</f>
        <v>-1.6999999999999957</v>
      </c>
      <c r="T66" s="517"/>
      <c r="U66" s="518">
        <f>U65+O65</f>
        <v>4.8000000000000114</v>
      </c>
      <c r="V66" s="518">
        <f>V65+P65</f>
        <v>3.5999999999999943</v>
      </c>
      <c r="W66" s="518">
        <f>W65+Q65</f>
        <v>7.4000000000000057</v>
      </c>
      <c r="X66" s="518">
        <f>X65+R65</f>
        <v>4.8999999999999986</v>
      </c>
      <c r="Y66" s="518">
        <f>Y65+S65</f>
        <v>20.70000000000001</v>
      </c>
      <c r="Z66" s="517"/>
      <c r="AA66" s="518">
        <f>AA65+U65</f>
        <v>16.25800000000001</v>
      </c>
      <c r="AB66" s="518">
        <f>AB65+V65</f>
        <v>25.696000000000012</v>
      </c>
      <c r="AC66" s="518">
        <f>AC65+W65</f>
        <v>26.176000000000016</v>
      </c>
      <c r="AD66" s="518">
        <f>AD65+X65</f>
        <v>24.200000000000003</v>
      </c>
      <c r="AE66" s="518">
        <f>AE65+Y65</f>
        <v>92.330000000000041</v>
      </c>
      <c r="AF66" s="517"/>
      <c r="AG66" s="518">
        <f>AG65+AA65</f>
        <v>29.590999999999994</v>
      </c>
      <c r="AH66" s="518">
        <f>AH65+AB65</f>
        <v>33.748999999999995</v>
      </c>
      <c r="AI66" s="518">
        <f>AI65+AC65</f>
        <v>28.106999999999999</v>
      </c>
      <c r="AJ66" s="518">
        <f>AJ65+AD65</f>
        <v>32.65100000000001</v>
      </c>
      <c r="AK66" s="518">
        <f>AK65+AE65</f>
        <v>124.09800000000001</v>
      </c>
      <c r="AL66" s="517"/>
      <c r="AM66" s="518">
        <f>AM65+AG65</f>
        <v>28.399269999999987</v>
      </c>
      <c r="AN66" s="518">
        <f>AN65+AH65</f>
        <v>22.632529999999981</v>
      </c>
      <c r="AO66" s="518">
        <f>AO65+AI65</f>
        <v>22.716789999999996</v>
      </c>
      <c r="AP66" s="518">
        <f>AP65+AJ65</f>
        <v>18.015219999999982</v>
      </c>
      <c r="AQ66" s="518">
        <f>AQ65+AK65</f>
        <v>91.76380999999995</v>
      </c>
      <c r="AR66" s="517"/>
      <c r="AS66" s="518">
        <f>AS65+AM65</f>
        <v>15.892269999999998</v>
      </c>
      <c r="AT66" s="518">
        <f>AT65+AN65</f>
        <v>14.054530000000009</v>
      </c>
      <c r="AU66" s="518">
        <f>AU65+AO65</f>
        <v>22.650789999999994</v>
      </c>
      <c r="AV66" s="518">
        <f>AV65+AP65</f>
        <v>19.799219999999998</v>
      </c>
      <c r="AW66" s="518">
        <f>AW65+AQ65</f>
        <v>64.896810000000073</v>
      </c>
      <c r="AX66" s="517"/>
      <c r="AY66" s="518">
        <f>AY65+AS65</f>
        <v>20.820228097041976</v>
      </c>
      <c r="AZ66" s="518">
        <f>AZ65+AT65</f>
        <v>20.070591903719929</v>
      </c>
      <c r="BA66" s="518">
        <f>BA65+AU65</f>
        <v>18.539428522746618</v>
      </c>
      <c r="BB66" s="518">
        <f>BB65+AV65</f>
        <v>28.773281591712589</v>
      </c>
      <c r="BC66" s="518">
        <f>BC65+AW65</f>
        <v>80.203530115221213</v>
      </c>
      <c r="BD66" s="517"/>
      <c r="BE66" s="518">
        <f>BE65+AY65</f>
        <v>34.353882324494251</v>
      </c>
      <c r="BF66" s="518">
        <f>BF65+AZ65</f>
        <v>44.192699999999974</v>
      </c>
      <c r="BG66" s="798">
        <f>BG65+BA65</f>
        <v>52.04695000000001</v>
      </c>
      <c r="BH66" s="798">
        <f>BH65+BB65</f>
        <v>59.122000000000014</v>
      </c>
      <c r="BI66" s="518">
        <f>BI65+BC65</f>
        <v>189.21553232449412</v>
      </c>
      <c r="BJ66" s="517"/>
      <c r="BK66" s="518">
        <f>BK65+BE65</f>
        <v>61.611671902958022</v>
      </c>
      <c r="BL66" s="518">
        <f>BL65+BF65</f>
        <v>85.406108096280065</v>
      </c>
      <c r="BM66" s="798">
        <f>BM65+BG65</f>
        <v>101.96177147725336</v>
      </c>
      <c r="BN66" s="798">
        <f>BN65+BH65</f>
        <v>107.86136840828743</v>
      </c>
      <c r="BO66" s="518">
        <f>BO65+BI65</f>
        <v>356.84091988477883</v>
      </c>
      <c r="BP66" s="517"/>
      <c r="BQ66" s="518">
        <f>BQ65+BK65</f>
        <v>103.84716767550572</v>
      </c>
      <c r="BR66" s="518"/>
      <c r="BS66" s="518"/>
      <c r="BT66" s="518"/>
      <c r="BU66" s="518"/>
      <c r="BV66" s="517"/>
      <c r="BW66" s="518"/>
      <c r="BX66" s="518"/>
      <c r="BY66" s="518"/>
      <c r="BZ66" s="518"/>
      <c r="CA66" s="518"/>
      <c r="CB66" s="517"/>
      <c r="CC66" s="518"/>
      <c r="CD66" s="518"/>
      <c r="CE66" s="518"/>
      <c r="CF66" s="518"/>
      <c r="CG66" s="518"/>
    </row>
    <row r="67" spans="1:85" ht="12.75" customHeight="1" x14ac:dyDescent="0.2">
      <c r="A67" s="230"/>
      <c r="B67" s="519" t="s">
        <v>9</v>
      </c>
      <c r="C67" s="516"/>
      <c r="D67" s="516"/>
      <c r="E67" s="516"/>
      <c r="F67" s="516"/>
      <c r="G67" s="516"/>
      <c r="H67" s="518"/>
      <c r="I67" s="518">
        <f>I63-I65</f>
        <v>4.7149999999999892</v>
      </c>
      <c r="J67" s="518">
        <f>J63-J65</f>
        <v>4.6989999999999981</v>
      </c>
      <c r="K67" s="518">
        <f>K63-K65</f>
        <v>3.5220000000000056</v>
      </c>
      <c r="L67" s="518">
        <f>L63-L65</f>
        <v>1.7080000000000197</v>
      </c>
      <c r="M67" s="511">
        <f>M63-M65</f>
        <v>14.644000000000055</v>
      </c>
      <c r="N67" s="518"/>
      <c r="O67" s="518">
        <f>O63-O65</f>
        <v>2.9550862778054379</v>
      </c>
      <c r="P67" s="518">
        <f>P63-P65</f>
        <v>5.2750015334123592</v>
      </c>
      <c r="Q67" s="518">
        <f>Q63-Q65</f>
        <v>5.7054922956789342</v>
      </c>
      <c r="R67" s="518">
        <f>R63-R65</f>
        <v>4.2371223306700472</v>
      </c>
      <c r="S67" s="511">
        <f>S63-S65</f>
        <v>18.172702437566763</v>
      </c>
      <c r="T67" s="518"/>
      <c r="U67" s="518">
        <f>U63-U65</f>
        <v>5.7535667754594009</v>
      </c>
      <c r="V67" s="518">
        <f>V63-V65</f>
        <v>5.3353491638372432</v>
      </c>
      <c r="W67" s="518">
        <f>W63-W65</f>
        <v>6.8111695608126439</v>
      </c>
      <c r="X67" s="518">
        <f>X63-X65</f>
        <v>6.3505482662084516</v>
      </c>
      <c r="Y67" s="511">
        <f>Y63-Y65</f>
        <v>24.250633766317712</v>
      </c>
      <c r="Z67" s="518"/>
      <c r="AA67" s="518">
        <f>AA63-AA65</f>
        <v>6.0087859853004666</v>
      </c>
      <c r="AB67" s="518">
        <f>AB63-AB65</f>
        <v>-1.586722895553045</v>
      </c>
      <c r="AC67" s="518">
        <f>AC63-AC65</f>
        <v>-4.3026502766416215</v>
      </c>
      <c r="AD67" s="518">
        <f>AD63-AD65</f>
        <v>-2.5972641672165651</v>
      </c>
      <c r="AE67" s="511">
        <f>AE63-AE65</f>
        <v>-2.4778513541107827</v>
      </c>
      <c r="AF67" s="518"/>
      <c r="AG67" s="518">
        <f>AG63-AG65</f>
        <v>-4.4637988880815129</v>
      </c>
      <c r="AH67" s="518">
        <f>AH63-AH65</f>
        <v>2.7406846595513947</v>
      </c>
      <c r="AI67" s="518">
        <f>AI63-AI65</f>
        <v>4.8361555282629105</v>
      </c>
      <c r="AJ67" s="518">
        <f>AJ63-AJ65</f>
        <v>4.683000985569393</v>
      </c>
      <c r="AK67" s="511">
        <f>AK63-AK65</f>
        <v>7.7960422853021711</v>
      </c>
      <c r="AL67" s="518"/>
      <c r="AM67" s="518">
        <f>AM63-AM65</f>
        <v>7.2433992325094465</v>
      </c>
      <c r="AN67" s="518">
        <f>AN63-AN65</f>
        <v>10.188181703504382</v>
      </c>
      <c r="AO67" s="518">
        <f>AO63-AO65</f>
        <v>8.4032787954316266</v>
      </c>
      <c r="AP67" s="518">
        <f>AP63-AP65</f>
        <v>15.891440744362599</v>
      </c>
      <c r="AQ67" s="511">
        <f>AQ63-AQ65</f>
        <v>41.726300475808053</v>
      </c>
      <c r="AR67" s="518"/>
      <c r="AS67" s="518">
        <f>AS63-AS65</f>
        <v>10.708593902897192</v>
      </c>
      <c r="AT67" s="518">
        <f>AT63-AT65</f>
        <v>12.254995153724167</v>
      </c>
      <c r="AU67" s="518">
        <f>AU63-AU65</f>
        <v>13.656447669930618</v>
      </c>
      <c r="AV67" s="518">
        <f>AV63-AV65</f>
        <v>12.708454536415985</v>
      </c>
      <c r="AW67" s="518">
        <f>AW63-AW65</f>
        <v>56.828491262967873</v>
      </c>
      <c r="AX67" s="518"/>
      <c r="AY67" s="518">
        <f>AY63-AY65</f>
        <v>13.174808148346539</v>
      </c>
      <c r="AZ67" s="518">
        <f>AZ63-AZ65</f>
        <v>20.333129033251442</v>
      </c>
      <c r="BA67" s="518">
        <f>BA63-BA65</f>
        <v>18.988574007006783</v>
      </c>
      <c r="BB67" s="518">
        <f>BB63-BB65</f>
        <v>12.922943577131534</v>
      </c>
      <c r="BC67" s="518">
        <f>BC63-BC65</f>
        <v>65.91945476573629</v>
      </c>
      <c r="BD67" s="518"/>
      <c r="BE67" s="518">
        <f>BE63-BE65</f>
        <v>10.458633960506482</v>
      </c>
      <c r="BF67" s="518">
        <f>BF63-BF65</f>
        <v>8.8218919037199086</v>
      </c>
      <c r="BG67" s="798">
        <f>BG63-BG65</f>
        <v>1.7034785227465861</v>
      </c>
      <c r="BH67" s="798">
        <f>BH63-BH65</f>
        <v>0.88636572553458848</v>
      </c>
      <c r="BI67" s="518">
        <f>BI63-BI65</f>
        <v>21.870370112507715</v>
      </c>
      <c r="BJ67" s="518"/>
      <c r="BK67" s="518">
        <f>BK63-BK65</f>
        <v>28.344682391518404</v>
      </c>
      <c r="BL67" s="518">
        <f>BL63-BL65</f>
        <v>26.232901030212034</v>
      </c>
      <c r="BM67" s="798">
        <f>BM63-BM65</f>
        <v>26.06122000000002</v>
      </c>
      <c r="BN67" s="798">
        <f>BN63-BN65</f>
        <v>24.725820000000056</v>
      </c>
      <c r="BO67" s="518">
        <f>BO63-BO65</f>
        <v>105.36462342173047</v>
      </c>
      <c r="BP67" s="518"/>
      <c r="BQ67" s="518">
        <f>BQ63-BQ65</f>
        <v>17.608262499999981</v>
      </c>
      <c r="BR67" s="518"/>
      <c r="BS67" s="518"/>
      <c r="BT67" s="518"/>
      <c r="BU67" s="511"/>
      <c r="BV67" s="518"/>
      <c r="BW67" s="518"/>
      <c r="BX67" s="518"/>
      <c r="BY67" s="518"/>
      <c r="BZ67" s="518"/>
      <c r="CA67" s="511"/>
      <c r="CB67" s="518"/>
      <c r="CC67" s="518"/>
      <c r="CD67" s="518"/>
      <c r="CE67" s="518"/>
      <c r="CF67" s="518"/>
      <c r="CG67" s="511"/>
    </row>
    <row r="68" spans="1:85" ht="12.75" customHeight="1" x14ac:dyDescent="0.2">
      <c r="A68" s="230"/>
      <c r="B68" s="520" t="s">
        <v>98</v>
      </c>
      <c r="C68" s="516"/>
      <c r="D68" s="516"/>
      <c r="E68" s="516"/>
      <c r="F68" s="516"/>
      <c r="G68" s="516"/>
      <c r="H68" s="517"/>
      <c r="I68" s="518"/>
      <c r="J68" s="518"/>
      <c r="K68" s="518"/>
      <c r="L68" s="518"/>
      <c r="M68" s="518">
        <f>M67+G67</f>
        <v>14.644000000000055</v>
      </c>
      <c r="N68" s="517"/>
      <c r="O68" s="518">
        <f>O67+I67</f>
        <v>7.6700862778054271</v>
      </c>
      <c r="P68" s="518">
        <f>P67+J67</f>
        <v>9.9740015334123573</v>
      </c>
      <c r="Q68" s="518">
        <f>Q67+K67</f>
        <v>9.2274922956789389</v>
      </c>
      <c r="R68" s="518">
        <f>R67+L67</f>
        <v>5.9451223306700669</v>
      </c>
      <c r="S68" s="518">
        <f>S67+M67</f>
        <v>32.816702437566818</v>
      </c>
      <c r="T68" s="517"/>
      <c r="U68" s="518">
        <f>U67+O67</f>
        <v>8.7086530532648396</v>
      </c>
      <c r="V68" s="518">
        <f>V67+P67</f>
        <v>10.610350697249602</v>
      </c>
      <c r="W68" s="518">
        <f>W67+Q67</f>
        <v>12.516661856491577</v>
      </c>
      <c r="X68" s="518">
        <f>X67+R67</f>
        <v>10.5876705968785</v>
      </c>
      <c r="Y68" s="518">
        <f>Y67+S67</f>
        <v>42.423336203884475</v>
      </c>
      <c r="Z68" s="517"/>
      <c r="AA68" s="518">
        <f>AA67+U67</f>
        <v>11.762352760759867</v>
      </c>
      <c r="AB68" s="518">
        <f>AB67+V67</f>
        <v>3.7486262682841982</v>
      </c>
      <c r="AC68" s="518">
        <f>AC67+W67</f>
        <v>2.5085192841710224</v>
      </c>
      <c r="AD68" s="518">
        <f>AD67+X67</f>
        <v>3.7532840989918865</v>
      </c>
      <c r="AE68" s="518">
        <f>AE67+Y67</f>
        <v>21.772782412206929</v>
      </c>
      <c r="AF68" s="517"/>
      <c r="AG68" s="518">
        <f>AG67+AA67</f>
        <v>1.5449870972189537</v>
      </c>
      <c r="AH68" s="518">
        <f>AH67+AB67</f>
        <v>1.1539617639983497</v>
      </c>
      <c r="AI68" s="518">
        <f>AI67+AC67</f>
        <v>0.53350525162128903</v>
      </c>
      <c r="AJ68" s="518">
        <f>AJ67+AD67</f>
        <v>2.085736818352828</v>
      </c>
      <c r="AK68" s="518">
        <f>AK67+AE67</f>
        <v>5.3181909311913884</v>
      </c>
      <c r="AL68" s="517"/>
      <c r="AM68" s="518">
        <f>AM67+AG67</f>
        <v>2.7796003444279336</v>
      </c>
      <c r="AN68" s="518">
        <f>AN67+AH67</f>
        <v>12.928866363055777</v>
      </c>
      <c r="AO68" s="518">
        <f>AO67+AI67</f>
        <v>13.239434323694537</v>
      </c>
      <c r="AP68" s="518">
        <f>AP67+AJ67</f>
        <v>20.574441729931991</v>
      </c>
      <c r="AQ68" s="518">
        <f>AQ67+AK67</f>
        <v>49.522342761110224</v>
      </c>
      <c r="AR68" s="517"/>
      <c r="AS68" s="518">
        <f>AS67+AM67</f>
        <v>17.951993135406639</v>
      </c>
      <c r="AT68" s="518">
        <f>AT67+AN67</f>
        <v>22.443176857228551</v>
      </c>
      <c r="AU68" s="518">
        <f>AU67+AO67</f>
        <v>22.059726465362246</v>
      </c>
      <c r="AV68" s="518">
        <f>AV67+AP67</f>
        <v>28.599895280778583</v>
      </c>
      <c r="AW68" s="518">
        <f>AW67+AQ67</f>
        <v>98.554791738775918</v>
      </c>
      <c r="AX68" s="517"/>
      <c r="AY68" s="518">
        <f>AY67+AS67</f>
        <v>23.883402051243731</v>
      </c>
      <c r="AZ68" s="518">
        <f>AZ67+AT67</f>
        <v>32.588124186975605</v>
      </c>
      <c r="BA68" s="518">
        <f>BA67+AU67</f>
        <v>32.645021676937404</v>
      </c>
      <c r="BB68" s="518">
        <f>BB67+AV67</f>
        <v>25.631398113547519</v>
      </c>
      <c r="BC68" s="518">
        <f>BC67+AW67</f>
        <v>122.74794602870416</v>
      </c>
      <c r="BD68" s="517"/>
      <c r="BE68" s="518">
        <f>BE67+AY67</f>
        <v>23.633442108853021</v>
      </c>
      <c r="BF68" s="518">
        <f>BF67+AZ67</f>
        <v>29.155020936971351</v>
      </c>
      <c r="BG68" s="798">
        <f>BG67+BA67</f>
        <v>20.692052529753369</v>
      </c>
      <c r="BH68" s="798">
        <f>BH67+BB67</f>
        <v>13.809309302666122</v>
      </c>
      <c r="BI68" s="518">
        <f>BI67+BC67</f>
        <v>87.789824878244005</v>
      </c>
      <c r="BJ68" s="517"/>
      <c r="BK68" s="518">
        <f>BK67+BE67</f>
        <v>38.803316352024886</v>
      </c>
      <c r="BL68" s="518">
        <f>BL67+BF67</f>
        <v>35.054792933931942</v>
      </c>
      <c r="BM68" s="798">
        <f>BM67+BG67</f>
        <v>27.764698522746606</v>
      </c>
      <c r="BN68" s="798">
        <f>BN67+BH67</f>
        <v>25.612185725534644</v>
      </c>
      <c r="BO68" s="518">
        <f>BO67+BI67</f>
        <v>127.23499353423819</v>
      </c>
      <c r="BP68" s="517"/>
      <c r="BQ68" s="518">
        <f>BQ67+BK67</f>
        <v>45.952944891518385</v>
      </c>
      <c r="BR68" s="518"/>
      <c r="BS68" s="518"/>
      <c r="BT68" s="518"/>
      <c r="BU68" s="518"/>
      <c r="BV68" s="517"/>
      <c r="BW68" s="518"/>
      <c r="BX68" s="518"/>
      <c r="BY68" s="518"/>
      <c r="BZ68" s="518"/>
      <c r="CA68" s="518"/>
      <c r="CB68" s="517"/>
      <c r="CC68" s="518"/>
      <c r="CD68" s="518"/>
      <c r="CE68" s="518"/>
      <c r="CF68" s="518"/>
      <c r="CG68" s="518"/>
    </row>
    <row r="69" spans="1:85" ht="12.75" hidden="1" customHeight="1" outlineLevel="1" x14ac:dyDescent="0.2">
      <c r="A69" s="308"/>
      <c r="B69" s="503" t="s">
        <v>299</v>
      </c>
      <c r="C69" s="504"/>
      <c r="D69" s="504"/>
      <c r="E69" s="504"/>
      <c r="F69" s="504"/>
      <c r="G69" s="504"/>
      <c r="H69" s="505"/>
      <c r="I69" s="504"/>
      <c r="J69" s="504"/>
      <c r="K69" s="504"/>
      <c r="L69" s="504"/>
      <c r="M69" s="504">
        <f>IF(ISERROR(M6/G6-1),"NM",M6/G6-1)</f>
        <v>6.9088248948412589E-2</v>
      </c>
      <c r="N69" s="505"/>
      <c r="O69" s="504"/>
      <c r="P69" s="504"/>
      <c r="Q69" s="504"/>
      <c r="R69" s="504"/>
      <c r="S69" s="504">
        <f>IF(ISERROR(S6/M6-1),"NM",S6/M6-1)</f>
        <v>2.7492302023844006E-2</v>
      </c>
      <c r="T69" s="505"/>
      <c r="U69" s="504">
        <f>IF(ISERROR(U6/O6-1),"NM",U6/O6-1)</f>
        <v>0.28457765356755838</v>
      </c>
      <c r="V69" s="504">
        <f>IF(ISERROR(V6/P6-1),"NM",V6/P6-1)</f>
        <v>0.23038419204360783</v>
      </c>
      <c r="W69" s="504">
        <f>IF(ISERROR(W6/Q6-1),"NM",W6/Q6-1)</f>
        <v>0.21039750722224304</v>
      </c>
      <c r="X69" s="504">
        <f>IF(ISERROR(X6/R6-1),"NM",X6/R6-1)</f>
        <v>7.2469289738616327E-2</v>
      </c>
      <c r="Y69" s="504">
        <f>IF(ISERROR(Y6/S6-1),"NM",Y6/S6-1)</f>
        <v>0.19368750660352885</v>
      </c>
      <c r="Z69" s="505"/>
      <c r="AA69" s="504">
        <f>IF(ISERROR(AA6/U6-1),"NM",AA6/U6-1)</f>
        <v>0.1639027639027637</v>
      </c>
      <c r="AB69" s="504">
        <f>IF(ISERROR(AB6/V6-1),"NM",AB6/V6-1)</f>
        <v>0.20982342541907162</v>
      </c>
      <c r="AC69" s="504">
        <f>IF(ISERROR(AC6/W6-1),"NM",AC6/W6-1)</f>
        <v>0.19128268731695641</v>
      </c>
      <c r="AD69" s="504">
        <f>IF(ISERROR(AD6/X6-1),"NM",AD6/X6-1)</f>
        <v>0.27996727417566447</v>
      </c>
      <c r="AE69" s="504">
        <f>IF(ISERROR(AE6/Y6-1),"NM",AE6/Y6-1)</f>
        <v>0.21143261772184485</v>
      </c>
      <c r="AF69" s="505"/>
      <c r="AG69" s="504">
        <f>IF(ISERROR(AG6/AA6-1),"NM",AG6/AA6-1)</f>
        <v>0.17616540779736023</v>
      </c>
      <c r="AH69" s="504">
        <f>IF(ISERROR(AH6/AB6-1),"NM",AH6/AB6-1)</f>
        <v>0.1766637323943665</v>
      </c>
      <c r="AI69" s="504">
        <f>IF(ISERROR(AI6/AC6-1),"NM",AI6/AC6-1)</f>
        <v>0.10870516185476808</v>
      </c>
      <c r="AJ69" s="504">
        <f>IF(ISERROR(AJ6/AD6-1),"NM",AJ6/AD6-1)</f>
        <v>0.11740117746005052</v>
      </c>
      <c r="AK69" s="504">
        <f>IF(ISERROR(AK6/AE6-1),"NM",AK6/AE6-1)</f>
        <v>0.14374878225906462</v>
      </c>
      <c r="AL69" s="505"/>
      <c r="AM69" s="504">
        <f>IF(ISERROR(AM6/AG6-1),"NM",AM6/AG6-1)</f>
        <v>0.14793072132848994</v>
      </c>
      <c r="AN69" s="504">
        <f>IF(ISERROR(AN6/AH6-1),"NM",AN6/AH6-1)</f>
        <v>0.14688521646754293</v>
      </c>
      <c r="AO69" s="504">
        <f>IF(ISERROR(AO6/AI6-1),"NM",AO6/AI6-1)</f>
        <v>0.2116788321167884</v>
      </c>
      <c r="AP69" s="504">
        <f>IF(ISERROR(AP6/AJ6-1),"NM",AP6/AJ6-1)</f>
        <v>0.2511308981702407</v>
      </c>
      <c r="AQ69" s="504">
        <f>IF(ISERROR(AQ6/AK6-1),"NM",AQ6/AK6-1)</f>
        <v>0.18984050903924077</v>
      </c>
      <c r="AR69" s="505"/>
      <c r="AS69" s="504">
        <f>IF(ISERROR(AS6/AM6-1),"NM",AS6/AM6-1)</f>
        <v>0.18836351820981556</v>
      </c>
      <c r="AT69" s="504">
        <f>IF(ISERROR(AT6/AN6-1),"NM",AT6/AN6-1)</f>
        <v>0.1724167172201454</v>
      </c>
      <c r="AU69" s="504">
        <f>IF(ISERROR(AU6/AO6-1),"NM",AU6/AO6-1)</f>
        <v>0.16013025073266052</v>
      </c>
      <c r="AV69" s="504">
        <f>IF(ISERROR(AV6/AP6-1),"NM",AV6/AP6-1)</f>
        <v>0.12160097218211563</v>
      </c>
      <c r="AW69" s="504">
        <f>IF(ISERROR(AW6/AQ6-1),"NM",AW6/AQ6-1)</f>
        <v>0.15927789681590632</v>
      </c>
      <c r="AX69" s="505"/>
      <c r="AY69" s="504">
        <f>IF(ISERROR(AY6/AS6-1),"NM",AY6/AS6-1)</f>
        <v>0.11168635096499613</v>
      </c>
      <c r="AZ69" s="504">
        <f>IF(ISERROR(AZ6/AT6-1),"NM",AZ6/AT6-1)</f>
        <v>0.11729490638996354</v>
      </c>
      <c r="BA69" s="504">
        <f>IF(ISERROR(BA6/AU6-1),"NM",BA6/AU6-1)</f>
        <v>0.1131370061413064</v>
      </c>
      <c r="BB69" s="504">
        <f>IF(ISERROR(BB6/AV6-1),"NM",BB6/AV6-1)</f>
        <v>0.14809828521162638</v>
      </c>
      <c r="BC69" s="504">
        <f>IF(ISERROR(BC6/AW6-1),"NM",BC6/AW6-1)</f>
        <v>0.12299083992820159</v>
      </c>
      <c r="BD69" s="505"/>
      <c r="BE69" s="504">
        <v>0.14809828521162638</v>
      </c>
      <c r="BF69" s="504">
        <f>IF(ISERROR(BF6/AZ6-1),"NM",BF6/AZ6-1)</f>
        <v>0.21222804842219523</v>
      </c>
      <c r="BG69" s="504">
        <f>IF(ISERROR(BG6/BA6-1),"NM",BG6/BA6-1)</f>
        <v>0.22883424444758194</v>
      </c>
      <c r="BH69" s="504">
        <f>IF(ISERROR(BH6/BB6-1),"NM",BH6/BB6-1)</f>
        <v>0.17508689639706976</v>
      </c>
      <c r="BI69" s="504">
        <f>IF(ISERROR(BI6/BC6-1),"NM",BI6/BC6-1)</f>
        <v>0.19726101181475286</v>
      </c>
      <c r="BJ69" s="505"/>
      <c r="BK69" s="504">
        <f>IF(ISERROR(BK6/BE6-1),"NM",BK6/BE6-1)-BK70</f>
        <v>0.29796334089078708</v>
      </c>
      <c r="BL69" s="504">
        <f>IF(ISERROR(BL6/BF6-1),"NM",BL6/BF6-1)-BL70</f>
        <v>0.32990704345377075</v>
      </c>
      <c r="BM69" s="504">
        <f>IF(ISERROR(BM6/BG6-1),"NM",BM6/BG6-1)</f>
        <v>0.40195265689380633</v>
      </c>
      <c r="BN69" s="504">
        <f>IF(ISERROR(BN6/BH6-1),"NM",BN6/BH6-1)</f>
        <v>0.44803101083391317</v>
      </c>
      <c r="BO69" s="504">
        <f>IF(ISERROR(BO6/BI6-1),"NM",BO6/BI6-1)</f>
        <v>0.36661685967528235</v>
      </c>
      <c r="BP69" s="505"/>
      <c r="BQ69" s="504">
        <f>IF(ISERROR(BQ6/BK6-1),"NM",BQ6/BK6-1)</f>
        <v>0.36510752516829026</v>
      </c>
      <c r="BR69" s="504">
        <f>IF(ISERROR(BR6/BL6-1),"NM",BR6/BL6-1)</f>
        <v>0.34659075155184205</v>
      </c>
      <c r="BS69" s="504">
        <f>IF(ISERROR(BS6/BM6-1),"NM",BS6/BM6-1)</f>
        <v>0.28510951338026236</v>
      </c>
      <c r="BT69" s="504">
        <f>IF(ISERROR(BT6/BN6-1),"NM",BT6/BN6-1)</f>
        <v>0.29384479521134632</v>
      </c>
      <c r="BU69" s="504">
        <f>IF(ISERROR(BU6/BO6-1),"NM",BU6/BO6-1)</f>
        <v>0.31986999578635733</v>
      </c>
      <c r="BV69" s="505"/>
      <c r="BW69" s="504">
        <f>IF(ISERROR(BW6/BQ6-1),"NM",BW6/BQ6-1)</f>
        <v>0.22520385109391761</v>
      </c>
      <c r="BX69" s="504">
        <f>IF(ISERROR(BX6/BR6-1),"NM",BX6/BR6-1)</f>
        <v>0.26231497140202875</v>
      </c>
      <c r="BY69" s="504">
        <f>IF(ISERROR(BY6/BS6-1),"NM",BY6/BS6-1)</f>
        <v>0.25147415221332947</v>
      </c>
      <c r="BZ69" s="504">
        <f>IF(ISERROR(BZ6/BT6-1),"NM",BZ6/BT6-1)</f>
        <v>0.25851620595455715</v>
      </c>
      <c r="CA69" s="504">
        <f>IF(ISERROR(CA6/BU6-1),"NM",CA6/BU6-1)</f>
        <v>0.25024600218896076</v>
      </c>
      <c r="CB69" s="505"/>
      <c r="CC69" s="504">
        <f>IF(ISERROR(CC6/BW6-1),"NM",CC6/BW6-1)</f>
        <v>0.18680273097807265</v>
      </c>
      <c r="CD69" s="504">
        <f>IF(ISERROR(CD6/BX6-1),"NM",CD6/BX6-1)</f>
        <v>0.17110025079938218</v>
      </c>
      <c r="CE69" s="504">
        <f>IF(ISERROR(CE6/BY6-1),"NM",CE6/BY6-1)</f>
        <v>0.16915931880134538</v>
      </c>
      <c r="CF69" s="504">
        <f>IF(ISERROR(CF6/BZ6-1),"NM",CF6/BZ6-1)</f>
        <v>0.16513753322154479</v>
      </c>
      <c r="CG69" s="504">
        <f>IF(ISERROR(CG6/CA6-1),"NM",CG6/CA6-1)</f>
        <v>0.17240273436297548</v>
      </c>
    </row>
    <row r="70" spans="1:85" ht="12.75" hidden="1" customHeight="1" outlineLevel="1" x14ac:dyDescent="0.2">
      <c r="A70" s="308"/>
      <c r="B70" s="506" t="s">
        <v>110</v>
      </c>
      <c r="C70" s="507"/>
      <c r="D70" s="507"/>
      <c r="E70" s="507"/>
      <c r="F70" s="507"/>
      <c r="G70" s="507"/>
      <c r="H70" s="507"/>
      <c r="I70" s="507"/>
      <c r="J70" s="507"/>
      <c r="K70" s="507"/>
      <c r="L70" s="507"/>
      <c r="M70" s="508">
        <f>+M$59</f>
        <v>0</v>
      </c>
      <c r="N70" s="507"/>
      <c r="O70" s="507"/>
      <c r="P70" s="507"/>
      <c r="Q70" s="507"/>
      <c r="R70" s="507"/>
      <c r="S70" s="508">
        <f>+S$59</f>
        <v>-1.0249830373341096E-2</v>
      </c>
      <c r="T70" s="507"/>
      <c r="U70" s="507"/>
      <c r="V70" s="507"/>
      <c r="W70" s="507"/>
      <c r="X70" s="507"/>
      <c r="Y70" s="507">
        <f>+Y69-Y7</f>
        <v>-1.0103427323778641E-2</v>
      </c>
      <c r="Z70" s="507"/>
      <c r="AA70" s="507">
        <f>+AA69-AA7</f>
        <v>-1.1187255555609454E-3</v>
      </c>
      <c r="AB70" s="507">
        <f>+AB69-AB7</f>
        <v>2.9742091370987905E-2</v>
      </c>
      <c r="AC70" s="507">
        <f>+AC69-AC7</f>
        <v>1.8548263902379764E-2</v>
      </c>
      <c r="AD70" s="507">
        <f>+AD69-AD7</f>
        <v>-1.0306033046994512E-3</v>
      </c>
      <c r="AE70" s="507">
        <f>+AE69-AE7</f>
        <v>1.1736917168535393E-2</v>
      </c>
      <c r="AF70" s="507"/>
      <c r="AG70" s="507">
        <f>+AG69-AG7</f>
        <v>-7.602818264271699E-3</v>
      </c>
      <c r="AH70" s="507">
        <f>+AH69-AH7</f>
        <v>-2.1344055101684412E-2</v>
      </c>
      <c r="AI70" s="507">
        <f>+AI69-AI7</f>
        <v>-2.3115971375878508E-2</v>
      </c>
      <c r="AJ70" s="507">
        <f>+AJ69-AJ7</f>
        <v>-7.9899157743430205E-3</v>
      </c>
      <c r="AK70" s="507">
        <f>+AK69-AK7</f>
        <v>-1.5086796777419254E-2</v>
      </c>
      <c r="AL70" s="507"/>
      <c r="AM70" s="507">
        <f>+AM69-AM7</f>
        <v>-4.3779454052927935E-5</v>
      </c>
      <c r="AN70" s="507">
        <f>+AN69-AN7</f>
        <v>-1.5674168044775838E-3</v>
      </c>
      <c r="AO70" s="507">
        <f>+AO69-AO7</f>
        <v>5.1861278018053292E-4</v>
      </c>
      <c r="AP70" s="507">
        <f>+AP69-AP7</f>
        <v>-4.0602499218161392E-3</v>
      </c>
      <c r="AQ70" s="507">
        <f>+AQ69-AQ7</f>
        <v>-1.3330606606540285E-3</v>
      </c>
      <c r="AR70" s="507"/>
      <c r="AS70" s="507">
        <f>+AS69-AS7</f>
        <v>5.1733824280423835E-3</v>
      </c>
      <c r="AT70" s="507">
        <f>+AT69-AT7</f>
        <v>6.5361072273587006E-3</v>
      </c>
      <c r="AU70" s="507">
        <f>+AU69-AU7</f>
        <v>-1.5203365023157833E-3</v>
      </c>
      <c r="AV70" s="507">
        <f>+AV69-AV7</f>
        <v>-1.341836639965352E-2</v>
      </c>
      <c r="AW70" s="507">
        <f>+AW69-AW7</f>
        <v>-1.1868420236069155E-3</v>
      </c>
      <c r="AX70" s="507"/>
      <c r="AY70" s="507">
        <f>+AY69-AY7</f>
        <v>-2.6623055566120407E-2</v>
      </c>
      <c r="AZ70" s="507">
        <f>+AZ69-AZ7</f>
        <v>-5.3671911074477829E-2</v>
      </c>
      <c r="BA70" s="507">
        <f>+BA69-BA7</f>
        <v>-4.0468639648774368E-2</v>
      </c>
      <c r="BB70" s="507">
        <f>+BB69-BB7</f>
        <v>-2.8697228387305734E-2</v>
      </c>
      <c r="BC70" s="507">
        <f>+BC69-BC7</f>
        <v>-3.7450034848069802E-2</v>
      </c>
      <c r="BD70" s="507"/>
      <c r="BE70" s="507">
        <v>-2.8697228387305734E-2</v>
      </c>
      <c r="BF70" s="507">
        <f>+BF69-BF7</f>
        <v>0</v>
      </c>
      <c r="BG70" s="507">
        <f>+BG69-BG7</f>
        <v>0</v>
      </c>
      <c r="BH70" s="507">
        <f>+BH69-BH7</f>
        <v>-1.1647313377476265E-2</v>
      </c>
      <c r="BI70" s="507">
        <f>+BI69-BI7</f>
        <v>-6.6707894436804083E-3</v>
      </c>
      <c r="BJ70" s="507"/>
      <c r="BK70" s="852">
        <f>+BK59</f>
        <v>-1.2567024128686327E-2</v>
      </c>
      <c r="BL70" s="852">
        <f>+BL59</f>
        <v>-1.1137428442022259E-2</v>
      </c>
      <c r="BM70" s="852">
        <f>+BM59</f>
        <v>0.01</v>
      </c>
      <c r="BN70" s="852">
        <f>+BN59</f>
        <v>0.04</v>
      </c>
      <c r="BO70" s="507">
        <f>+BO69-BO7</f>
        <v>3.1666974314272511E-2</v>
      </c>
      <c r="BP70" s="507"/>
      <c r="BQ70" s="752">
        <v>0.05</v>
      </c>
      <c r="BR70" s="507">
        <f>+BR69-BR7</f>
        <v>5.499999999999966E-2</v>
      </c>
      <c r="BS70" s="507">
        <f>+BS69-BS7</f>
        <v>2.4999999999999856E-2</v>
      </c>
      <c r="BT70" s="507">
        <f>+BT69-BT7</f>
        <v>2.0000000000000073E-2</v>
      </c>
      <c r="BU70" s="507">
        <f>+BU69-BU7</f>
        <v>3.9704934917533685E-2</v>
      </c>
      <c r="BV70" s="507"/>
      <c r="BW70" s="507">
        <f>+BW69-BW7</f>
        <v>-2.2204460492503131E-16</v>
      </c>
      <c r="BX70" s="507">
        <f>+BX69-BX7</f>
        <v>0</v>
      </c>
      <c r="BY70" s="507">
        <f>+BY69-BY7</f>
        <v>0</v>
      </c>
      <c r="BZ70" s="507">
        <f>+BZ69-BZ7</f>
        <v>0</v>
      </c>
      <c r="CA70" s="507">
        <f>+CA69-CA7</f>
        <v>0</v>
      </c>
      <c r="CB70" s="507"/>
      <c r="CC70" s="507">
        <f>+CC69-CC7</f>
        <v>3.0531133177191805E-16</v>
      </c>
      <c r="CD70" s="507">
        <f>+CD69-CD7</f>
        <v>0</v>
      </c>
      <c r="CE70" s="507">
        <f>+CE69-CE7</f>
        <v>0</v>
      </c>
      <c r="CF70" s="507">
        <f>+CF69-CF7</f>
        <v>0</v>
      </c>
      <c r="CG70" s="507">
        <f>+CG69-CG7</f>
        <v>0</v>
      </c>
    </row>
    <row r="71" spans="1:85" collapsed="1" x14ac:dyDescent="0.2">
      <c r="A71" s="308"/>
      <c r="B71" s="51"/>
      <c r="C71" s="31"/>
      <c r="D71" s="31"/>
      <c r="E71" s="31"/>
      <c r="F71" s="31"/>
      <c r="G71" s="31"/>
      <c r="H71" s="111"/>
      <c r="I71" s="31"/>
      <c r="J71" s="31"/>
      <c r="K71" s="31"/>
      <c r="L71" s="31"/>
      <c r="M71" s="365"/>
      <c r="N71" s="111"/>
      <c r="O71" s="31"/>
      <c r="P71" s="31"/>
      <c r="Q71" s="31"/>
      <c r="R71" s="366"/>
      <c r="S71" s="31"/>
      <c r="T71" s="31"/>
      <c r="U71" s="31"/>
      <c r="V71" s="31"/>
      <c r="W71" s="31"/>
      <c r="X71" s="31"/>
      <c r="Y71" s="502"/>
      <c r="Z71" s="502"/>
      <c r="AA71" s="502"/>
      <c r="AB71" s="502"/>
      <c r="AC71" s="502"/>
      <c r="AD71" s="502"/>
      <c r="AE71" s="502"/>
      <c r="AF71" s="502"/>
      <c r="AG71" s="502"/>
      <c r="AH71" s="502"/>
      <c r="AI71" s="502"/>
      <c r="AJ71" s="502"/>
      <c r="AK71" s="502"/>
      <c r="AL71" s="502"/>
      <c r="AM71" s="502"/>
      <c r="AN71" s="502"/>
      <c r="AO71" s="502"/>
      <c r="AP71" s="502"/>
      <c r="AQ71" s="502"/>
      <c r="AR71" s="111"/>
      <c r="AS71" s="474"/>
      <c r="AT71" s="31"/>
      <c r="AU71" s="31"/>
      <c r="AV71" s="31"/>
      <c r="AW71" s="31"/>
      <c r="AX71" s="111"/>
      <c r="AY71" s="31"/>
      <c r="AZ71" s="31"/>
      <c r="BA71" s="31"/>
      <c r="BB71" s="31"/>
      <c r="BC71" s="31"/>
      <c r="BD71" s="111"/>
      <c r="BE71" s="31"/>
      <c r="BF71" s="31"/>
      <c r="BG71" s="31"/>
      <c r="BH71" s="31"/>
      <c r="BI71" s="31"/>
      <c r="BJ71" s="111"/>
      <c r="BK71" s="31"/>
      <c r="BL71" s="31"/>
      <c r="BM71" s="31"/>
      <c r="BN71" s="31"/>
      <c r="BO71" s="31"/>
      <c r="BP71" s="111"/>
      <c r="BQ71" s="31"/>
      <c r="BR71" s="31"/>
      <c r="BS71" s="31"/>
      <c r="BT71" s="31"/>
      <c r="BU71" s="31"/>
      <c r="BV71" s="111"/>
      <c r="BW71" s="31"/>
      <c r="BX71" s="31"/>
      <c r="BY71" s="31"/>
      <c r="BZ71" s="31"/>
      <c r="CA71" s="31"/>
      <c r="CB71" s="111"/>
      <c r="CC71" s="31"/>
      <c r="CD71" s="31"/>
      <c r="CE71" s="31"/>
      <c r="CF71" s="31"/>
      <c r="CG71" s="31"/>
    </row>
    <row r="72" spans="1:85" x14ac:dyDescent="0.2">
      <c r="A72" s="230"/>
      <c r="B72" s="293" t="s">
        <v>151</v>
      </c>
      <c r="C72" s="42"/>
      <c r="D72" s="42"/>
      <c r="E72" s="42"/>
      <c r="F72" s="42"/>
      <c r="G72" s="231"/>
      <c r="H72" s="115"/>
      <c r="I72" s="42"/>
      <c r="J72" s="42"/>
      <c r="K72" s="42"/>
      <c r="L72" s="42"/>
      <c r="M72" s="231"/>
      <c r="N72" s="115"/>
      <c r="O72" s="42"/>
      <c r="P72" s="42"/>
      <c r="Q72" s="42"/>
      <c r="R72" s="42"/>
      <c r="S72" s="231"/>
      <c r="T72" s="115"/>
      <c r="U72" s="42"/>
      <c r="V72" s="42"/>
      <c r="W72" s="42"/>
      <c r="X72" s="42"/>
      <c r="Y72" s="231"/>
      <c r="Z72" s="115"/>
      <c r="AA72" s="231"/>
      <c r="AB72" s="42"/>
      <c r="AC72" s="42"/>
      <c r="AD72" s="42"/>
      <c r="AE72" s="309"/>
      <c r="AF72" s="115"/>
      <c r="AG72" s="42"/>
      <c r="AH72" s="645"/>
      <c r="AI72" s="645"/>
      <c r="AJ72" s="645"/>
      <c r="AK72" s="246"/>
      <c r="AL72" s="51"/>
      <c r="AM72" s="246"/>
      <c r="AN72" s="246"/>
      <c r="AO72" s="246"/>
      <c r="AP72" s="246"/>
      <c r="AQ72" s="42"/>
      <c r="AR72" s="42"/>
      <c r="AS72" s="42"/>
      <c r="AT72" s="42"/>
      <c r="AU72" s="42"/>
      <c r="AV72" s="42"/>
      <c r="AW72" s="309"/>
      <c r="AX72" s="42"/>
      <c r="AY72" s="42"/>
      <c r="AZ72" s="42"/>
      <c r="BA72" s="309"/>
      <c r="BB72" s="309"/>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c r="CD72" s="42"/>
      <c r="CE72" s="42"/>
      <c r="CF72" s="42"/>
      <c r="CG72" s="42"/>
    </row>
    <row r="73" spans="1:85" ht="12.75" hidden="1" customHeight="1" outlineLevel="1" x14ac:dyDescent="0.2">
      <c r="A73" s="230"/>
      <c r="B73" s="293"/>
      <c r="C73" s="42"/>
      <c r="D73" s="42"/>
      <c r="E73" s="42"/>
      <c r="F73" s="42"/>
      <c r="G73" s="42"/>
      <c r="H73" s="115"/>
      <c r="I73" s="42"/>
      <c r="J73" s="42"/>
      <c r="K73" s="42"/>
      <c r="L73" s="42"/>
      <c r="M73" s="42"/>
      <c r="N73" s="115"/>
      <c r="O73" s="42"/>
      <c r="P73" s="42"/>
      <c r="Q73" s="42"/>
      <c r="R73" s="42"/>
      <c r="S73" s="42"/>
      <c r="T73" s="115"/>
      <c r="U73" s="42"/>
      <c r="V73" s="42"/>
      <c r="W73" s="42"/>
      <c r="X73" s="42"/>
      <c r="Y73" s="42"/>
      <c r="Z73" s="115"/>
      <c r="AA73" s="42"/>
      <c r="AB73" s="42"/>
      <c r="AC73" s="42"/>
      <c r="AD73" s="42"/>
      <c r="AE73" s="42"/>
      <c r="AF73" s="115"/>
      <c r="AG73" s="42"/>
      <c r="AH73" s="42"/>
      <c r="AI73" s="42"/>
      <c r="AJ73" s="42"/>
      <c r="AK73" s="42"/>
      <c r="AL73" s="115"/>
      <c r="AM73" s="482"/>
      <c r="AN73" s="482"/>
      <c r="AO73" s="482"/>
      <c r="AP73" s="42"/>
      <c r="AQ73" s="42"/>
      <c r="AR73" s="42"/>
      <c r="AS73" s="49"/>
      <c r="AT73" s="49"/>
      <c r="AU73" s="49"/>
      <c r="AV73" s="42"/>
      <c r="AW73" s="42"/>
      <c r="AX73" s="42"/>
      <c r="AY73" s="42"/>
      <c r="AZ73" s="42"/>
      <c r="BA73" s="42"/>
      <c r="BB73" s="42"/>
      <c r="BC73" s="42"/>
      <c r="BD73" s="42"/>
      <c r="BE73" s="42"/>
      <c r="BF73" s="42"/>
      <c r="BG73" s="42"/>
      <c r="BH73" s="42"/>
      <c r="BI73" s="309"/>
      <c r="BJ73" s="42"/>
      <c r="BK73" s="309"/>
      <c r="BL73" s="309"/>
      <c r="BM73" s="309"/>
      <c r="BN73" s="42"/>
      <c r="BO73" s="42"/>
      <c r="BP73" s="42"/>
      <c r="BQ73" s="42"/>
      <c r="BR73" s="42"/>
      <c r="BS73" s="42"/>
      <c r="BT73" s="42"/>
      <c r="BU73" s="42"/>
      <c r="BV73" s="42"/>
      <c r="BW73" s="42"/>
      <c r="BX73" s="42"/>
      <c r="BY73" s="42"/>
      <c r="BZ73" s="42"/>
      <c r="CA73" s="42"/>
      <c r="CB73" s="42"/>
      <c r="CC73" s="42"/>
      <c r="CD73" s="42"/>
      <c r="CE73" s="42"/>
      <c r="CF73" s="42"/>
      <c r="CG73" s="42"/>
    </row>
    <row r="74" spans="1:85" ht="12.75" hidden="1" customHeight="1" outlineLevel="1" x14ac:dyDescent="0.2">
      <c r="A74" s="230"/>
      <c r="B74" s="620" t="s">
        <v>146</v>
      </c>
      <c r="C74" s="47">
        <v>21.5</v>
      </c>
      <c r="D74" s="47">
        <v>24.9</v>
      </c>
      <c r="E74" s="47">
        <v>22.5</v>
      </c>
      <c r="F74" s="47">
        <v>21.4</v>
      </c>
      <c r="G74" s="49">
        <f>+SUM(C74:F74)</f>
        <v>90.300000000000011</v>
      </c>
      <c r="H74" s="117"/>
      <c r="I74" s="47">
        <v>22.8</v>
      </c>
      <c r="J74" s="47">
        <v>23.3</v>
      </c>
      <c r="K74" s="47">
        <v>22.3</v>
      </c>
      <c r="L74" s="47">
        <v>21.2</v>
      </c>
      <c r="M74" s="49">
        <f>+SUM(I74:L74)</f>
        <v>89.600000000000009</v>
      </c>
      <c r="N74" s="117"/>
      <c r="O74" s="47">
        <v>21.1</v>
      </c>
      <c r="P74" s="47">
        <v>21.6</v>
      </c>
      <c r="Q74" s="47">
        <v>22.7</v>
      </c>
      <c r="R74" s="47">
        <v>25</v>
      </c>
      <c r="S74" s="49">
        <f>+SUM(O74:R74)</f>
        <v>90.4</v>
      </c>
      <c r="T74" s="117"/>
      <c r="U74" s="47">
        <v>28.2</v>
      </c>
      <c r="V74" s="47">
        <v>29.1</v>
      </c>
      <c r="W74" s="47">
        <v>31.1</v>
      </c>
      <c r="X74" s="47">
        <v>28.9</v>
      </c>
      <c r="Y74" s="49">
        <f>+SUM(U74:X74)</f>
        <v>117.30000000000001</v>
      </c>
      <c r="Z74" s="117"/>
      <c r="AA74" s="47">
        <v>35.017000000000003</v>
      </c>
      <c r="AB74" s="47">
        <v>37.112000000000002</v>
      </c>
      <c r="AC74" s="47">
        <v>37.450000000000003</v>
      </c>
      <c r="AD74" s="47">
        <v>37.939</v>
      </c>
      <c r="AE74" s="49">
        <f>+SUM(AA74:AD74)</f>
        <v>147.518</v>
      </c>
      <c r="AF74" s="117"/>
      <c r="AG74" s="47">
        <v>41.688000000000002</v>
      </c>
      <c r="AH74" s="47">
        <v>43.942</v>
      </c>
      <c r="AI74" s="47">
        <v>43.09</v>
      </c>
      <c r="AJ74" s="47">
        <v>43.811999999999998</v>
      </c>
      <c r="AK74" s="49">
        <f>+SUM(AG74:AJ74)</f>
        <v>172.53199999999998</v>
      </c>
      <c r="AL74" s="117"/>
      <c r="AM74" s="128">
        <f>97.045-AM79</f>
        <v>48.859000000000002</v>
      </c>
      <c r="AN74" s="47">
        <f>102.217-AN79</f>
        <v>50.475999999999999</v>
      </c>
      <c r="AO74" s="47">
        <f>103.888-AO79</f>
        <v>52.504000000000005</v>
      </c>
      <c r="AP74" s="47">
        <f>105.059-AP79</f>
        <v>52.064</v>
      </c>
      <c r="AQ74" s="49">
        <f>+SUM(AM74:AP74)</f>
        <v>203.90299999999999</v>
      </c>
      <c r="AR74" s="42"/>
      <c r="AS74" s="352">
        <f>+AM74*(1+UnitBuild!AS11)</f>
        <v>53.989195000000002</v>
      </c>
      <c r="AT74" s="352">
        <f>+AN74*(1+UnitBuild!AT11)</f>
        <v>55.876931999999996</v>
      </c>
      <c r="AU74" s="352">
        <f>+AO74*(1+UnitBuild!AU11)</f>
        <v>58.069424000000012</v>
      </c>
      <c r="AV74" s="352">
        <f>+AP74*(1+UnitBuild!AV11)</f>
        <v>58.493904000000001</v>
      </c>
      <c r="AW74" s="49">
        <f>+SUM(AS74:AV74)</f>
        <v>226.42945500000002</v>
      </c>
      <c r="AX74" s="42"/>
      <c r="AY74" s="352">
        <f>+AS74*(1+UnitBuild!AY11)</f>
        <v>63.154114789473667</v>
      </c>
      <c r="AZ74" s="352">
        <f>+AT74*(1+UnitBuild!AZ11)</f>
        <v>67.650221266911103</v>
      </c>
      <c r="BA74" s="352">
        <f>+AU74*(1+UnitBuild!BA11)</f>
        <v>70.01513625243804</v>
      </c>
      <c r="BB74" s="352">
        <f>+AV74*(1+UnitBuild!BB11)</f>
        <v>72.927146600344031</v>
      </c>
      <c r="BC74" s="49">
        <f>+SUM(AY74:BB74)</f>
        <v>273.74661890916684</v>
      </c>
      <c r="BD74" s="42"/>
      <c r="BE74" s="352">
        <f>+AY74*(1+UnitBuild!BE11)</f>
        <v>77.994680096380023</v>
      </c>
      <c r="BF74" s="352">
        <f>+AZ74*(1+UnitBuild!BF11)</f>
        <v>81.23387512959917</v>
      </c>
      <c r="BG74" s="352">
        <f>+BA74*(1+UnitBuild!BG11)</f>
        <v>82.774871425138201</v>
      </c>
      <c r="BH74" s="352">
        <f>+BB74*(1+UnitBuild!BH11)</f>
        <v>87.674540059347194</v>
      </c>
      <c r="BI74" s="49">
        <f>+SUM(BE74:BH74)</f>
        <v>329.6779667104646</v>
      </c>
      <c r="BJ74" s="42"/>
      <c r="BK74" s="352">
        <f>+BE74*(1+UnitBuild!BK11)</f>
        <v>99.453780263157896</v>
      </c>
      <c r="BL74" s="352">
        <f>+BF74*(1+UnitBuild!BL11)</f>
        <v>109.27425363509923</v>
      </c>
      <c r="BM74" s="352">
        <f>+BG74*(1+UnitBuild!BM11)</f>
        <v>109.20983417447732</v>
      </c>
      <c r="BN74" s="352">
        <f>+BH74*(1+UnitBuild!BN11)</f>
        <v>114.60130959446097</v>
      </c>
      <c r="BO74" s="49">
        <f>+SUM(BK74:BN74)</f>
        <v>432.53917766719542</v>
      </c>
      <c r="BP74" s="42"/>
      <c r="BQ74" s="352">
        <f>+BK74*(1+UnitBuild!BQ11)</f>
        <v>128.91704302631578</v>
      </c>
      <c r="BR74" s="42"/>
      <c r="BS74" s="42"/>
      <c r="BT74" s="42"/>
      <c r="BU74" s="42"/>
      <c r="BV74" s="42"/>
      <c r="BW74" s="42"/>
      <c r="BX74" s="42"/>
      <c r="BY74" s="42"/>
      <c r="BZ74" s="42"/>
      <c r="CA74" s="42"/>
      <c r="CB74" s="42"/>
      <c r="CC74" s="42"/>
      <c r="CD74" s="42"/>
      <c r="CE74" s="42"/>
      <c r="CF74" s="42"/>
      <c r="CG74" s="42"/>
    </row>
    <row r="75" spans="1:85" ht="12.75" hidden="1" customHeight="1" outlineLevel="1" x14ac:dyDescent="0.2">
      <c r="A75" s="230"/>
      <c r="B75" s="620" t="s">
        <v>386</v>
      </c>
      <c r="C75" s="47">
        <v>0</v>
      </c>
      <c r="D75" s="47">
        <v>0</v>
      </c>
      <c r="E75" s="47">
        <v>0</v>
      </c>
      <c r="F75" s="47">
        <v>0</v>
      </c>
      <c r="G75" s="49">
        <f>+SUM(C75:F75)</f>
        <v>0</v>
      </c>
      <c r="H75" s="115"/>
      <c r="I75" s="47">
        <v>0</v>
      </c>
      <c r="J75" s="47">
        <v>0</v>
      </c>
      <c r="K75" s="47">
        <v>0</v>
      </c>
      <c r="L75" s="47">
        <v>0</v>
      </c>
      <c r="M75" s="49">
        <f>+SUM(I75:L75)</f>
        <v>0</v>
      </c>
      <c r="N75" s="115"/>
      <c r="O75" s="47">
        <v>0</v>
      </c>
      <c r="P75" s="47">
        <v>0</v>
      </c>
      <c r="Q75" s="47">
        <v>0</v>
      </c>
      <c r="R75" s="47">
        <v>0</v>
      </c>
      <c r="S75" s="49">
        <f>+SUM(O75:R75)</f>
        <v>0</v>
      </c>
      <c r="T75" s="115"/>
      <c r="U75" s="47">
        <v>0</v>
      </c>
      <c r="V75" s="47">
        <v>0</v>
      </c>
      <c r="W75" s="47">
        <v>0</v>
      </c>
      <c r="X75" s="47">
        <v>0</v>
      </c>
      <c r="Y75" s="49">
        <f>+SUM(U75:X75)</f>
        <v>0</v>
      </c>
      <c r="Z75" s="115"/>
      <c r="AA75" s="47">
        <v>0</v>
      </c>
      <c r="AB75" s="128">
        <v>5.2409999999999997</v>
      </c>
      <c r="AC75" s="128">
        <v>9.0980000000000008</v>
      </c>
      <c r="AD75" s="128">
        <v>9.6110000000000007</v>
      </c>
      <c r="AE75" s="49">
        <f>+SUM(AA75:AD75)</f>
        <v>23.950000000000003</v>
      </c>
      <c r="AF75" s="115"/>
      <c r="AG75" s="128">
        <v>11.12</v>
      </c>
      <c r="AH75" s="128">
        <v>11.752000000000001</v>
      </c>
      <c r="AI75" s="128">
        <v>9.4390000000000001</v>
      </c>
      <c r="AJ75" s="128">
        <v>9.94</v>
      </c>
      <c r="AK75" s="49">
        <f>+SUM(AG75:AJ75)</f>
        <v>42.250999999999998</v>
      </c>
      <c r="AL75" s="115"/>
      <c r="AM75" s="47">
        <v>11.952</v>
      </c>
      <c r="AN75" s="47">
        <v>10.454000000000001</v>
      </c>
      <c r="AO75" s="47">
        <v>10.875</v>
      </c>
      <c r="AP75" s="47">
        <v>11.98</v>
      </c>
      <c r="AQ75" s="49">
        <f>+SUM(AM75:AP75)</f>
        <v>45.260999999999996</v>
      </c>
      <c r="AR75" s="42"/>
      <c r="AS75" s="47">
        <v>12.313000000000001</v>
      </c>
      <c r="AT75" s="47">
        <v>12.698</v>
      </c>
      <c r="AU75" s="47">
        <v>11.579000000000001</v>
      </c>
      <c r="AV75" s="128">
        <v>12.103999999999999</v>
      </c>
      <c r="AW75" s="49">
        <f>+SUM(AS75:AV75)</f>
        <v>48.694000000000003</v>
      </c>
      <c r="AX75" s="42"/>
      <c r="AY75" s="47">
        <f>11.057*(AS75/SUM(AS75,AS86))</f>
        <v>10.973228097041995</v>
      </c>
      <c r="AZ75" s="47">
        <f>8.671*(AT75/SUM(AT75,AT86))</f>
        <v>8.6045919037199106</v>
      </c>
      <c r="BA75" s="47">
        <f>9.344*(AU75/SUM(AU75,AU86))</f>
        <v>9.2174285227466335</v>
      </c>
      <c r="BB75" s="47">
        <f>16.228*(AV75/SUM(AV75,AV86))</f>
        <v>16.149281591712572</v>
      </c>
      <c r="BC75" s="49">
        <f>+SUM(AY75:BB75)</f>
        <v>44.944530115221113</v>
      </c>
      <c r="BD75" s="42"/>
      <c r="BE75" s="47">
        <f>19.022*(AY75/SUM(AY75,AY86))</f>
        <v>18.877882324494241</v>
      </c>
      <c r="BF75" s="47">
        <f>25.926*0.95</f>
        <v>24.629699999999996</v>
      </c>
      <c r="BG75" s="799">
        <f>34.921*0.95</f>
        <v>33.174949999999995</v>
      </c>
      <c r="BH75" s="799">
        <f>41.7*0.95</f>
        <v>39.615000000000002</v>
      </c>
      <c r="BI75" s="49">
        <f>+SUM(BE75:BH75)</f>
        <v>116.29753232449423</v>
      </c>
      <c r="BJ75" s="42"/>
      <c r="BK75" s="799">
        <f>27.942*0.95</f>
        <v>26.544899999999998</v>
      </c>
      <c r="BL75" s="799">
        <f>35.446*0.95</f>
        <v>33.673699999999997</v>
      </c>
      <c r="BM75" s="799">
        <f>43.656*0.95</f>
        <v>41.473199999999999</v>
      </c>
      <c r="BN75" s="799">
        <f>57.107*0.95</f>
        <v>54.251649999999998</v>
      </c>
      <c r="BO75" s="49">
        <f>+SUM(BK75:BN75)</f>
        <v>155.94344999999998</v>
      </c>
      <c r="BP75" s="42"/>
      <c r="BQ75" s="799">
        <f>51.419*0.95</f>
        <v>48.848049999999994</v>
      </c>
      <c r="BR75" s="42"/>
      <c r="BS75" s="42"/>
      <c r="BT75" s="42"/>
      <c r="BU75" s="42"/>
      <c r="BV75" s="42"/>
      <c r="BW75" s="42"/>
      <c r="BX75" s="42"/>
      <c r="BY75" s="42"/>
      <c r="BZ75" s="42"/>
      <c r="CA75" s="42"/>
      <c r="CB75" s="42"/>
      <c r="CC75" s="42"/>
      <c r="CD75" s="42"/>
      <c r="CE75" s="42"/>
      <c r="CF75" s="42"/>
      <c r="CG75" s="42"/>
    </row>
    <row r="76" spans="1:85" ht="12.75" hidden="1" customHeight="1" outlineLevel="1" x14ac:dyDescent="0.2">
      <c r="A76" s="230"/>
      <c r="B76" s="32" t="s">
        <v>77</v>
      </c>
      <c r="C76" s="49">
        <f>+C75+C74</f>
        <v>21.5</v>
      </c>
      <c r="D76" s="49">
        <f>+D75+D74</f>
        <v>24.9</v>
      </c>
      <c r="E76" s="49">
        <f>+E75+E74</f>
        <v>22.5</v>
      </c>
      <c r="F76" s="49">
        <f>+F75+F74</f>
        <v>21.4</v>
      </c>
      <c r="G76" s="49">
        <f>+G75+G74</f>
        <v>90.300000000000011</v>
      </c>
      <c r="H76" s="115"/>
      <c r="I76" s="49">
        <f>+I75+I74</f>
        <v>22.8</v>
      </c>
      <c r="J76" s="49">
        <f>+J75+J74</f>
        <v>23.3</v>
      </c>
      <c r="K76" s="49">
        <f>+K75+K74</f>
        <v>22.3</v>
      </c>
      <c r="L76" s="49">
        <f>+L75+L74</f>
        <v>21.2</v>
      </c>
      <c r="M76" s="49">
        <f>+M75+M74</f>
        <v>89.600000000000009</v>
      </c>
      <c r="N76" s="115"/>
      <c r="O76" s="49">
        <f>+O75+O74</f>
        <v>21.1</v>
      </c>
      <c r="P76" s="49">
        <f>+P75+P74</f>
        <v>21.6</v>
      </c>
      <c r="Q76" s="49">
        <f>+Q75+Q74</f>
        <v>22.7</v>
      </c>
      <c r="R76" s="49">
        <f>+R75+R74</f>
        <v>25</v>
      </c>
      <c r="S76" s="49">
        <f>+S75+S74</f>
        <v>90.4</v>
      </c>
      <c r="T76" s="115"/>
      <c r="U76" s="49">
        <f>+U75+U74</f>
        <v>28.2</v>
      </c>
      <c r="V76" s="49">
        <f>+V75+V74</f>
        <v>29.1</v>
      </c>
      <c r="W76" s="49">
        <f>+W75+W74</f>
        <v>31.1</v>
      </c>
      <c r="X76" s="49">
        <f>+X75+X74</f>
        <v>28.9</v>
      </c>
      <c r="Y76" s="49">
        <f>+Y75+Y74</f>
        <v>117.30000000000001</v>
      </c>
      <c r="Z76" s="115"/>
      <c r="AA76" s="49">
        <f>+AA75+AA74</f>
        <v>35.017000000000003</v>
      </c>
      <c r="AB76" s="49">
        <f>+AB75+AB74</f>
        <v>42.353000000000002</v>
      </c>
      <c r="AC76" s="49">
        <f>+AC75+AC74</f>
        <v>46.548000000000002</v>
      </c>
      <c r="AD76" s="49">
        <f>+AD75+AD74</f>
        <v>47.55</v>
      </c>
      <c r="AE76" s="49">
        <f>+AE75+AE74</f>
        <v>171.46800000000002</v>
      </c>
      <c r="AF76" s="115"/>
      <c r="AG76" s="49">
        <f>+AG75+AG74</f>
        <v>52.808</v>
      </c>
      <c r="AH76" s="49">
        <f>+AH75+AH74</f>
        <v>55.694000000000003</v>
      </c>
      <c r="AI76" s="49">
        <f>+AI75+AI74</f>
        <v>52.529000000000003</v>
      </c>
      <c r="AJ76" s="49">
        <f>+AJ75+AJ74</f>
        <v>53.751999999999995</v>
      </c>
      <c r="AK76" s="49">
        <f>+AK75+AK74</f>
        <v>214.78299999999999</v>
      </c>
      <c r="AL76" s="115"/>
      <c r="AM76" s="49">
        <f>+AM75+AM74</f>
        <v>60.811</v>
      </c>
      <c r="AN76" s="49">
        <f>+AN75+AN74</f>
        <v>60.93</v>
      </c>
      <c r="AO76" s="49">
        <f>+AO75+AO74</f>
        <v>63.379000000000005</v>
      </c>
      <c r="AP76" s="49">
        <f>+AP75+AP74</f>
        <v>64.043999999999997</v>
      </c>
      <c r="AQ76" s="49">
        <f>+AQ75+AQ74</f>
        <v>249.16399999999999</v>
      </c>
      <c r="AR76" s="42"/>
      <c r="AS76" s="49">
        <f>+AS75+AS74</f>
        <v>66.302194999999998</v>
      </c>
      <c r="AT76" s="49">
        <f>+AT75+AT74</f>
        <v>68.57493199999999</v>
      </c>
      <c r="AU76" s="49">
        <f>+AU75+AU74</f>
        <v>69.648424000000006</v>
      </c>
      <c r="AV76" s="49">
        <f>+AV75+AV74</f>
        <v>70.597904</v>
      </c>
      <c r="AW76" s="49">
        <f>+AW75+AW74</f>
        <v>275.12345500000004</v>
      </c>
      <c r="AX76" s="42"/>
      <c r="AY76" s="49">
        <f>+AY75+AY74</f>
        <v>74.127342886515663</v>
      </c>
      <c r="AZ76" s="49">
        <f>+AZ75+AZ74</f>
        <v>76.25481317063101</v>
      </c>
      <c r="BA76" s="49">
        <f>+BA75+BA74</f>
        <v>79.23256477518467</v>
      </c>
      <c r="BB76" s="49">
        <f>+BB75+BB74</f>
        <v>89.076428192056596</v>
      </c>
      <c r="BC76" s="49">
        <f>+BC75+BC74</f>
        <v>318.69114902438798</v>
      </c>
      <c r="BD76" s="42"/>
      <c r="BE76" s="49">
        <f>+BE75+BE74</f>
        <v>96.87256242087426</v>
      </c>
      <c r="BF76" s="49">
        <f>+BF75+BF74</f>
        <v>105.86357512959917</v>
      </c>
      <c r="BG76" s="668">
        <f>+BG75+BG74</f>
        <v>115.9498214251382</v>
      </c>
      <c r="BH76" s="668">
        <f>+BH75+BH74</f>
        <v>127.28954005934719</v>
      </c>
      <c r="BI76" s="49">
        <f>+BI75+BI74</f>
        <v>445.97549903495883</v>
      </c>
      <c r="BJ76" s="42"/>
      <c r="BK76" s="49">
        <f>+BK75+BK74</f>
        <v>125.99868026315789</v>
      </c>
      <c r="BL76" s="49">
        <f>+BL75+BL74</f>
        <v>142.94795363509922</v>
      </c>
      <c r="BM76" s="668">
        <f>+BM75+BM74</f>
        <v>150.68303417447731</v>
      </c>
      <c r="BN76" s="668">
        <f>+BN75+BN74</f>
        <v>168.85295959446097</v>
      </c>
      <c r="BO76" s="49">
        <f>+BO75+BO74</f>
        <v>588.4826276671954</v>
      </c>
      <c r="BP76" s="42"/>
      <c r="BQ76" s="49">
        <f>+BQ75+BQ74</f>
        <v>177.76509302631578</v>
      </c>
      <c r="BR76" s="38"/>
      <c r="BS76" s="38"/>
      <c r="BT76" s="38"/>
      <c r="BU76" s="38"/>
      <c r="BV76" s="42"/>
      <c r="BW76" s="38"/>
      <c r="BX76" s="38"/>
      <c r="BY76" s="38"/>
      <c r="BZ76" s="38"/>
      <c r="CA76" s="38"/>
      <c r="CB76" s="42"/>
      <c r="CC76" s="38"/>
      <c r="CD76" s="38"/>
      <c r="CE76" s="38"/>
      <c r="CF76" s="38"/>
      <c r="CG76" s="38"/>
    </row>
    <row r="77" spans="1:85" ht="12.75" hidden="1" customHeight="1" outlineLevel="1" x14ac:dyDescent="0.2">
      <c r="A77" s="230"/>
      <c r="B77" s="290" t="s">
        <v>299</v>
      </c>
      <c r="C77" s="315"/>
      <c r="D77" s="315"/>
      <c r="E77" s="315"/>
      <c r="F77" s="315"/>
      <c r="G77" s="315"/>
      <c r="H77" s="115"/>
      <c r="I77" s="315">
        <f>IF(ISERROR(I76/C76-1),"NM",I76/C76-1)</f>
        <v>6.0465116279069697E-2</v>
      </c>
      <c r="J77" s="315">
        <f>IF(ISERROR(J76/D76-1),"NM",J76/D76-1)</f>
        <v>-6.425702811244971E-2</v>
      </c>
      <c r="K77" s="315">
        <f>IF(ISERROR(K76/E76-1),"NM",K76/E76-1)</f>
        <v>-8.8888888888888351E-3</v>
      </c>
      <c r="L77" s="315">
        <f>IF(ISERROR(L76/F76-1),"NM",L76/F76-1)</f>
        <v>-9.3457943925233655E-3</v>
      </c>
      <c r="M77" s="315">
        <f>IF(ISERROR(M76/G76-1),"NM",M76/G76-1)</f>
        <v>-7.7519379844961378E-3</v>
      </c>
      <c r="N77" s="115"/>
      <c r="O77" s="315">
        <f>IF(ISERROR(O76/I76-1),"NM",O76/I76-1)</f>
        <v>-7.456140350877194E-2</v>
      </c>
      <c r="P77" s="315">
        <f>IF(ISERROR(P76/J76-1),"NM",P76/J76-1)</f>
        <v>-7.296137339055786E-2</v>
      </c>
      <c r="Q77" s="315">
        <f>IF(ISERROR(Q76/K76-1),"NM",Q76/K76-1)</f>
        <v>1.7937219730941534E-2</v>
      </c>
      <c r="R77" s="315">
        <f>IF(ISERROR(R76/L76-1),"NM",R76/L76-1)</f>
        <v>0.179245283018868</v>
      </c>
      <c r="S77" s="315">
        <f>IF(ISERROR(S76/M76-1),"NM",S76/M76-1)</f>
        <v>8.9285714285713969E-3</v>
      </c>
      <c r="T77" s="115"/>
      <c r="U77" s="315">
        <f>IF(ISERROR(U76/O76-1),"NM",U76/O76-1)</f>
        <v>0.33649289099526047</v>
      </c>
      <c r="V77" s="315">
        <f>IF(ISERROR(V76/P76-1),"NM",V76/P76-1)</f>
        <v>0.3472222222222221</v>
      </c>
      <c r="W77" s="315">
        <f>IF(ISERROR(W76/Q76-1),"NM",W76/Q76-1)</f>
        <v>0.37004405286343633</v>
      </c>
      <c r="X77" s="315">
        <f>IF(ISERROR(X76/R76-1),"NM",X76/R76-1)</f>
        <v>0.15599999999999992</v>
      </c>
      <c r="Y77" s="315">
        <f>IF(ISERROR(Y76/S76-1),"NM",Y76/S76-1)</f>
        <v>0.29756637168141586</v>
      </c>
      <c r="Z77" s="115"/>
      <c r="AA77" s="315">
        <f>IF(ISERROR(AA76/U76-1),"NM",AA76/U76-1)</f>
        <v>0.2417375886524824</v>
      </c>
      <c r="AB77" s="315">
        <f>IF(ISERROR(AB76/V76-1),"NM",AB76/V76-1)</f>
        <v>0.45542955326460488</v>
      </c>
      <c r="AC77" s="315">
        <f>IF(ISERROR(AC76/W76-1),"NM",AC76/W76-1)</f>
        <v>0.49672025723472668</v>
      </c>
      <c r="AD77" s="315">
        <f>IF(ISERROR(AD76/X76-1),"NM",AD76/X76-1)</f>
        <v>0.6453287197231834</v>
      </c>
      <c r="AE77" s="315">
        <f>IF(ISERROR(AE76/Y76-1),"NM",AE76/Y76-1)</f>
        <v>0.46179028132992328</v>
      </c>
      <c r="AF77" s="115"/>
      <c r="AG77" s="315">
        <f>IF(ISERROR(AG76/AA76-1),"NM",AG76/AA76-1)</f>
        <v>0.50806751006653905</v>
      </c>
      <c r="AH77" s="315">
        <f>IF(ISERROR(AH76/AB76-1),"NM",AH76/AB76-1)</f>
        <v>0.31499539583972802</v>
      </c>
      <c r="AI77" s="315">
        <f>IF(ISERROR(AI76/AC76-1),"NM",AI76/AC76-1)</f>
        <v>0.12849102002234258</v>
      </c>
      <c r="AJ77" s="315">
        <f>IF(ISERROR(AJ76/AD76-1),"NM",AJ76/AD76-1)</f>
        <v>0.13043112513144051</v>
      </c>
      <c r="AK77" s="315">
        <f>IF(ISERROR(AK76/AE76-1),"NM",AK76/AE76-1)</f>
        <v>0.25261273240487991</v>
      </c>
      <c r="AL77" s="115"/>
      <c r="AM77" s="315">
        <f>IF(ISERROR(AM76/AG76-1),"NM",AM76/AG76-1)</f>
        <v>0.15154900772610214</v>
      </c>
      <c r="AN77" s="315">
        <f>IF(ISERROR(AN76/AH76-1),"NM",AN76/AH76-1)</f>
        <v>9.4013717815204512E-2</v>
      </c>
      <c r="AO77" s="315">
        <f>IF(ISERROR(AO76/AI76-1),"NM",AO76/AI76-1)</f>
        <v>0.20655257096080271</v>
      </c>
      <c r="AP77" s="315">
        <f>IF(ISERROR(AP76/AJ76-1),"NM",AP76/AJ76-1)</f>
        <v>0.19147194522994493</v>
      </c>
      <c r="AQ77" s="315">
        <f>IF(ISERROR(AQ76/AK76-1),"NM",AQ76/AK76-1)</f>
        <v>0.1600731901500585</v>
      </c>
      <c r="AR77" s="42"/>
      <c r="AS77" s="315">
        <f>IF(ISERROR(AS76/AM76-1),"NM",AS76/AM76-1)</f>
        <v>9.0299370179737215E-2</v>
      </c>
      <c r="AT77" s="315">
        <f>IF(ISERROR(AT76/AN76-1),"NM",AT76/AN76-1)</f>
        <v>0.12547073691120936</v>
      </c>
      <c r="AU77" s="315">
        <f>IF(ISERROR(AU76/AO76-1),"NM",AU76/AO76-1)</f>
        <v>9.8919579040376071E-2</v>
      </c>
      <c r="AV77" s="315">
        <f>IF(ISERROR(AV76/AP76-1),"NM",AV76/AP76-1)</f>
        <v>0.10233439510336639</v>
      </c>
      <c r="AW77" s="315">
        <f>IF(ISERROR(AW76/AQ76-1),"NM",AW76/AQ76-1)</f>
        <v>0.10418621871538436</v>
      </c>
      <c r="AX77" s="42"/>
      <c r="AY77" s="315">
        <f>IF(ISERROR(AY76/AS76-1),"NM",AY76/AS76-1)</f>
        <v>0.11802245591591154</v>
      </c>
      <c r="AZ77" s="315">
        <f>IF(ISERROR(AZ76/AT76-1),"NM",AZ76/AT76-1)</f>
        <v>0.1119925451859145</v>
      </c>
      <c r="BA77" s="315">
        <f>IF(ISERROR(BA76/AU76-1),"NM",BA76/AU76-1)</f>
        <v>0.1376074320818037</v>
      </c>
      <c r="BB77" s="315">
        <f>IF(ISERROR(BB76/AV76-1),"NM",BB76/AV76-1)</f>
        <v>0.26174324087662137</v>
      </c>
      <c r="BC77" s="315">
        <f>IF(ISERROR(BC76/AW76-1),"NM",BC76/AW76-1)</f>
        <v>0.15835688754485844</v>
      </c>
      <c r="BD77" s="42"/>
      <c r="BE77" s="315">
        <f>IF(ISERROR(BE76/AY76-1),"NM",BE76/AY76-1)</f>
        <v>0.30683980632059216</v>
      </c>
      <c r="BF77" s="315">
        <f>IF(ISERROR(BF76/AZ76-1),"NM",BF76/AZ76-1)</f>
        <v>0.38828712218747863</v>
      </c>
      <c r="BG77" s="315">
        <f>IF(ISERROR(BG76/BA76-1),"NM",BG76/BA76-1)</f>
        <v>0.46341118395113767</v>
      </c>
      <c r="BH77" s="315">
        <f>IF(ISERROR(BH76/BB76-1),"NM",BH76/BB76-1)</f>
        <v>0.42899241295238921</v>
      </c>
      <c r="BI77" s="315">
        <f>IF(ISERROR(BI76/BC76-1),"NM",BI76/BC76-1)</f>
        <v>0.39939719192148115</v>
      </c>
      <c r="BJ77" s="42"/>
      <c r="BK77" s="315">
        <f>IF(ISERROR(BK76/BE76-1),"NM",BK76/BE76-1)</f>
        <v>0.30066426565389892</v>
      </c>
      <c r="BL77" s="315">
        <f>IF(ISERROR(BL76/BF76-1),"NM",BL76/BF76-1)</f>
        <v>0.35030347747184076</v>
      </c>
      <c r="BM77" s="315">
        <f>IF(ISERROR(BM76/BG76-1),"NM",BM76/BG76-1)</f>
        <v>0.29955382701269828</v>
      </c>
      <c r="BN77" s="315">
        <f>IF(ISERROR(BN76/BH76-1),"NM",BN76/BH76-1)</f>
        <v>0.32652659060387323</v>
      </c>
      <c r="BO77" s="315">
        <f>IF(ISERROR(BO76/BI76-1),"NM",BO76/BI76-1)</f>
        <v>0.31954026384993361</v>
      </c>
      <c r="BP77" s="42"/>
      <c r="BQ77" s="315">
        <f>IF(ISERROR(BQ76/BK76-1),"NM",BQ76/BK76-1)</f>
        <v>0.4108488490120672</v>
      </c>
      <c r="BR77" s="318"/>
      <c r="BS77" s="318"/>
      <c r="BT77" s="318"/>
      <c r="BU77" s="316"/>
      <c r="BV77" s="42"/>
      <c r="BW77" s="318"/>
      <c r="BX77" s="318"/>
      <c r="BY77" s="318"/>
      <c r="BZ77" s="318"/>
      <c r="CA77" s="316"/>
      <c r="CB77" s="42"/>
      <c r="CC77" s="318"/>
      <c r="CD77" s="318"/>
      <c r="CE77" s="318"/>
      <c r="CF77" s="318"/>
      <c r="CG77" s="316"/>
    </row>
    <row r="78" spans="1:85" ht="5.25" hidden="1" customHeight="1" outlineLevel="1" x14ac:dyDescent="0.2">
      <c r="A78" s="230"/>
      <c r="B78" s="290"/>
      <c r="C78" s="315"/>
      <c r="D78" s="315"/>
      <c r="E78" s="315"/>
      <c r="F78" s="315"/>
      <c r="G78" s="315"/>
      <c r="H78" s="115"/>
      <c r="I78" s="315"/>
      <c r="J78" s="315"/>
      <c r="K78" s="315"/>
      <c r="L78" s="315"/>
      <c r="M78" s="315"/>
      <c r="N78" s="115"/>
      <c r="O78" s="315"/>
      <c r="P78" s="315"/>
      <c r="Q78" s="315"/>
      <c r="R78" s="315"/>
      <c r="S78" s="315"/>
      <c r="T78" s="115"/>
      <c r="U78" s="315"/>
      <c r="V78" s="315"/>
      <c r="W78" s="315"/>
      <c r="X78" s="315"/>
      <c r="Y78" s="315"/>
      <c r="Z78" s="115"/>
      <c r="AA78" s="315"/>
      <c r="AB78" s="315"/>
      <c r="AC78" s="315"/>
      <c r="AD78" s="315"/>
      <c r="AE78" s="315"/>
      <c r="AF78" s="115"/>
      <c r="AG78" s="315"/>
      <c r="AH78" s="315"/>
      <c r="AI78" s="315"/>
      <c r="AJ78" s="315"/>
      <c r="AK78" s="315"/>
      <c r="AL78" s="115"/>
      <c r="AM78" s="316"/>
      <c r="AN78" s="316"/>
      <c r="AO78" s="316"/>
      <c r="AP78" s="315"/>
      <c r="AQ78" s="315"/>
      <c r="AR78" s="42"/>
      <c r="AS78" s="316"/>
      <c r="AT78" s="316"/>
      <c r="AU78" s="316"/>
      <c r="AV78" s="42"/>
      <c r="AW78" s="315"/>
      <c r="AX78" s="42"/>
      <c r="AY78" s="316"/>
      <c r="AZ78" s="316"/>
      <c r="BA78" s="316"/>
      <c r="BB78" s="316"/>
      <c r="BC78" s="315"/>
      <c r="BD78" s="42"/>
      <c r="BE78" s="316"/>
      <c r="BF78" s="316"/>
      <c r="BG78" s="316"/>
      <c r="BH78" s="316"/>
      <c r="BI78" s="315"/>
      <c r="BJ78" s="42"/>
      <c r="BK78" s="316"/>
      <c r="BL78" s="316"/>
      <c r="BM78" s="316"/>
      <c r="BN78" s="316"/>
      <c r="BO78" s="315"/>
      <c r="BP78" s="42"/>
      <c r="BQ78" s="316"/>
      <c r="BR78" s="316"/>
      <c r="BS78" s="316"/>
      <c r="BT78" s="316"/>
      <c r="BU78" s="316"/>
      <c r="BV78" s="42"/>
      <c r="BW78" s="316"/>
      <c r="BX78" s="316"/>
      <c r="BY78" s="316"/>
      <c r="BZ78" s="316"/>
      <c r="CA78" s="316"/>
      <c r="CB78" s="42"/>
      <c r="CC78" s="316"/>
      <c r="CD78" s="316"/>
      <c r="CE78" s="316"/>
      <c r="CF78" s="316"/>
      <c r="CG78" s="316"/>
    </row>
    <row r="79" spans="1:85" ht="12.75" hidden="1" customHeight="1" outlineLevel="1" x14ac:dyDescent="0.2">
      <c r="A79" s="230"/>
      <c r="B79" s="32" t="s">
        <v>78</v>
      </c>
      <c r="C79" s="47">
        <v>29.8</v>
      </c>
      <c r="D79" s="47">
        <v>36.4</v>
      </c>
      <c r="E79" s="47">
        <v>34.799999999999997</v>
      </c>
      <c r="F79" s="47">
        <v>33.5</v>
      </c>
      <c r="G79" s="49">
        <f>+SUM(C79:F79)</f>
        <v>134.5</v>
      </c>
      <c r="H79" s="116"/>
      <c r="I79" s="47">
        <v>34.799999999999997</v>
      </c>
      <c r="J79" s="47">
        <v>36.6</v>
      </c>
      <c r="K79" s="47">
        <v>35.200000000000003</v>
      </c>
      <c r="L79" s="47">
        <v>33.6</v>
      </c>
      <c r="M79" s="49">
        <f>+SUM(I79:L79)</f>
        <v>140.20000000000002</v>
      </c>
      <c r="N79" s="116"/>
      <c r="O79" s="47">
        <v>30.9</v>
      </c>
      <c r="P79" s="47">
        <v>31.7</v>
      </c>
      <c r="Q79" s="47">
        <v>33.9</v>
      </c>
      <c r="R79" s="47">
        <v>36.200000000000003</v>
      </c>
      <c r="S79" s="49">
        <f>+SUM(O79:R79)</f>
        <v>132.69999999999999</v>
      </c>
      <c r="T79" s="116"/>
      <c r="U79" s="47">
        <v>37.200000000000003</v>
      </c>
      <c r="V79" s="47">
        <v>37.4</v>
      </c>
      <c r="W79" s="47">
        <v>36.799999999999997</v>
      </c>
      <c r="X79" s="47">
        <v>33.799999999999997</v>
      </c>
      <c r="Y79" s="49">
        <f>+SUM(U79:X79)</f>
        <v>145.19999999999999</v>
      </c>
      <c r="Z79" s="116"/>
      <c r="AA79" s="47">
        <v>39.241</v>
      </c>
      <c r="AB79" s="47">
        <v>42.643000000000001</v>
      </c>
      <c r="AC79" s="47">
        <v>42.228000000000002</v>
      </c>
      <c r="AD79" s="47">
        <v>43.85</v>
      </c>
      <c r="AE79" s="49">
        <f>+SUM(AA79:AD79)</f>
        <v>167.96199999999999</v>
      </c>
      <c r="AF79" s="116"/>
      <c r="AG79" s="47">
        <v>45.183</v>
      </c>
      <c r="AH79" s="47">
        <v>49.055</v>
      </c>
      <c r="AI79" s="47">
        <v>46.478000000000002</v>
      </c>
      <c r="AJ79" s="47">
        <v>47.874000000000002</v>
      </c>
      <c r="AK79" s="49">
        <f>+SUM(AG79:AJ79)</f>
        <v>188.59</v>
      </c>
      <c r="AL79" s="116"/>
      <c r="AM79" s="47">
        <v>48.186</v>
      </c>
      <c r="AN79" s="47">
        <v>51.741</v>
      </c>
      <c r="AO79" s="47">
        <v>51.384</v>
      </c>
      <c r="AP79" s="47">
        <v>52.994999999999997</v>
      </c>
      <c r="AQ79" s="49">
        <f>+SUM(AM79:AP79)</f>
        <v>204.30599999999998</v>
      </c>
      <c r="AR79" s="42"/>
      <c r="AS79" s="49">
        <f>+AS81-AS76</f>
        <v>53.920805000000001</v>
      </c>
      <c r="AT79" s="49">
        <f>+AT81-AT76</f>
        <v>55.771068000000014</v>
      </c>
      <c r="AU79" s="49">
        <f>+AU81-AU76</f>
        <v>55.279575999999992</v>
      </c>
      <c r="AV79" s="49">
        <f>+AV81-AV76</f>
        <v>55.176096000000001</v>
      </c>
      <c r="AW79" s="49">
        <f>+SUM(AS79:AV79)</f>
        <v>220.14754500000001</v>
      </c>
      <c r="AX79" s="42"/>
      <c r="AY79" s="49">
        <f>+AY81-AY76</f>
        <v>55.689885210526313</v>
      </c>
      <c r="AZ79" s="49">
        <f>+AZ81-AZ76</f>
        <v>58.486778733088912</v>
      </c>
      <c r="BA79" s="49">
        <f>+BA81-BA76</f>
        <v>54.069863747561953</v>
      </c>
      <c r="BB79" s="49">
        <f>+BB81-BB76</f>
        <v>56.73585339965598</v>
      </c>
      <c r="BC79" s="49">
        <f>+SUM(AY79:BB79)</f>
        <v>224.98238109083314</v>
      </c>
      <c r="BD79" s="42"/>
      <c r="BE79" s="49">
        <f>+BE81-BE76</f>
        <v>57.704319903619989</v>
      </c>
      <c r="BF79" s="49">
        <f>+BF81-BF76</f>
        <v>62.675124870400808</v>
      </c>
      <c r="BG79" s="668">
        <f>+BG81-BG76</f>
        <v>61.02512857486181</v>
      </c>
      <c r="BH79" s="668">
        <f>+BH81-BH76</f>
        <v>57.606459940652826</v>
      </c>
      <c r="BI79" s="49">
        <f>+SUM(BE79:BH79)</f>
        <v>239.01103328953542</v>
      </c>
      <c r="BJ79" s="42"/>
      <c r="BK79" s="49">
        <f>+BK81-BK76</f>
        <v>65.430219736842105</v>
      </c>
      <c r="BL79" s="49">
        <f>+BL81-BL76</f>
        <v>77.199746364900761</v>
      </c>
      <c r="BM79" s="668">
        <f>+BM81-BM76</f>
        <v>84.581165825522675</v>
      </c>
      <c r="BN79" s="668">
        <f>+BN81-BN76</f>
        <v>84.82069040553904</v>
      </c>
      <c r="BO79" s="49">
        <f>+SUM(BK79:BN79)</f>
        <v>312.03182233280461</v>
      </c>
      <c r="BP79" s="42"/>
      <c r="BQ79" s="49">
        <f>+BQ81-BQ76</f>
        <v>80.658956973684184</v>
      </c>
      <c r="BR79" s="38"/>
      <c r="BS79" s="38"/>
      <c r="BT79" s="38"/>
      <c r="BU79" s="38"/>
      <c r="BV79" s="42"/>
      <c r="BW79" s="38"/>
      <c r="BX79" s="38"/>
      <c r="BY79" s="38"/>
      <c r="BZ79" s="38"/>
      <c r="CA79" s="38"/>
      <c r="CB79" s="42"/>
      <c r="CC79" s="38"/>
      <c r="CD79" s="38"/>
      <c r="CE79" s="38"/>
      <c r="CF79" s="38"/>
      <c r="CG79" s="38"/>
    </row>
    <row r="80" spans="1:85" ht="12.75" hidden="1" customHeight="1" outlineLevel="1" x14ac:dyDescent="0.2">
      <c r="A80" s="230"/>
      <c r="B80" s="290" t="s">
        <v>299</v>
      </c>
      <c r="C80" s="315"/>
      <c r="D80" s="315"/>
      <c r="E80" s="315"/>
      <c r="F80" s="315"/>
      <c r="G80" s="315"/>
      <c r="H80" s="115"/>
      <c r="I80" s="315">
        <f>IF(ISERROR(I79/C79-1),"NM",I79/C79-1)</f>
        <v>0.16778523489932873</v>
      </c>
      <c r="J80" s="315">
        <f>IF(ISERROR(J79/D79-1),"NM",J79/D79-1)</f>
        <v>5.494505494505475E-3</v>
      </c>
      <c r="K80" s="315">
        <f>IF(ISERROR(K79/E79-1),"NM",K79/E79-1)</f>
        <v>1.1494252873563315E-2</v>
      </c>
      <c r="L80" s="315">
        <f>IF(ISERROR(L79/F79-1),"NM",L79/F79-1)</f>
        <v>2.9850746268658135E-3</v>
      </c>
      <c r="M80" s="315">
        <f>IF(ISERROR(M79/G79-1),"NM",M79/G79-1)</f>
        <v>4.2379182156133899E-2</v>
      </c>
      <c r="N80" s="115"/>
      <c r="O80" s="315">
        <f>IF(ISERROR(O79/I79-1),"NM",O79/I79-1)</f>
        <v>-0.11206896551724133</v>
      </c>
      <c r="P80" s="315">
        <f>IF(ISERROR(P79/J79-1),"NM",P79/J79-1)</f>
        <v>-0.13387978142076506</v>
      </c>
      <c r="Q80" s="315">
        <f>IF(ISERROR(Q79/K79-1),"NM",Q79/K79-1)</f>
        <v>-3.6931818181818343E-2</v>
      </c>
      <c r="R80" s="315">
        <f>IF(ISERROR(R79/L79-1),"NM",R79/L79-1)</f>
        <v>7.7380952380952328E-2</v>
      </c>
      <c r="S80" s="315">
        <f>IF(ISERROR(S79/M79-1),"NM",S79/M79-1)</f>
        <v>-5.349500713266786E-2</v>
      </c>
      <c r="T80" s="115"/>
      <c r="U80" s="315">
        <f>IF(ISERROR(U79/O79-1),"NM",U79/O79-1)</f>
        <v>0.2038834951456312</v>
      </c>
      <c r="V80" s="315">
        <f>IF(ISERROR(V79/P79-1),"NM",V79/P79-1)</f>
        <v>0.17981072555205047</v>
      </c>
      <c r="W80" s="315">
        <f>IF(ISERROR(W79/Q79-1),"NM",W79/Q79-1)</f>
        <v>8.5545722713864292E-2</v>
      </c>
      <c r="X80" s="315">
        <f>IF(ISERROR(X79/R79-1),"NM",X79/R79-1)</f>
        <v>-6.6298342541436628E-2</v>
      </c>
      <c r="Y80" s="315">
        <f>IF(ISERROR(Y79/S79-1),"NM",Y79/S79-1)</f>
        <v>9.4197437829691033E-2</v>
      </c>
      <c r="Z80" s="115"/>
      <c r="AA80" s="315">
        <f>IF(ISERROR(AA79/U79-1),"NM",AA79/U79-1)</f>
        <v>5.48655913978493E-2</v>
      </c>
      <c r="AB80" s="315">
        <f>IF(ISERROR(AB79/V79-1),"NM",AB79/V79-1)</f>
        <v>0.14018716577540102</v>
      </c>
      <c r="AC80" s="315">
        <f>IF(ISERROR(AC79/W79-1),"NM",AC79/W79-1)</f>
        <v>0.14750000000000019</v>
      </c>
      <c r="AD80" s="315">
        <f>IF(ISERROR(AD79/X79-1),"NM",AD79/X79-1)</f>
        <v>0.29733727810650912</v>
      </c>
      <c r="AE80" s="315">
        <f>IF(ISERROR(AE79/Y79-1),"NM",AE79/Y79-1)</f>
        <v>0.15676308539944905</v>
      </c>
      <c r="AF80" s="115"/>
      <c r="AG80" s="315">
        <f>IF(ISERROR(AG79/AA79-1),"NM",AG79/AA79-1)</f>
        <v>0.15142325628806597</v>
      </c>
      <c r="AH80" s="315">
        <f>IF(ISERROR(AH79/AB79-1),"NM",AH79/AB79-1)</f>
        <v>0.15036465539478927</v>
      </c>
      <c r="AI80" s="315">
        <f>IF(ISERROR(AI79/AC79-1),"NM",AI79/AC79-1)</f>
        <v>0.10064412238325282</v>
      </c>
      <c r="AJ80" s="315">
        <f>IF(ISERROR(AJ79/AD79-1),"NM",AJ79/AD79-1)</f>
        <v>9.1767388825541696E-2</v>
      </c>
      <c r="AK80" s="315">
        <f>IF(ISERROR(AK79/AE79-1),"NM",AK79/AE79-1)</f>
        <v>0.12281349352829807</v>
      </c>
      <c r="AL80" s="115"/>
      <c r="AM80" s="315">
        <f>IF(ISERROR(AM79/AG79-1),"NM",AM79/AG79-1)</f>
        <v>6.6463050262266732E-2</v>
      </c>
      <c r="AN80" s="315">
        <f>IF(ISERROR(AN79/AH79-1),"NM",AN79/AH79-1)</f>
        <v>5.4754866986036044E-2</v>
      </c>
      <c r="AO80" s="315">
        <f>IF(ISERROR(AO79/AI79-1),"NM",AO79/AI79-1)</f>
        <v>0.10555531649382499</v>
      </c>
      <c r="AP80" s="315">
        <f>IF(ISERROR(AP79/AJ79-1),"NM",AP79/AJ79-1)</f>
        <v>0.1069682917658854</v>
      </c>
      <c r="AQ80" s="315">
        <f>IF(ISERROR(AQ79/AK79-1),"NM",AQ79/AK79-1)</f>
        <v>8.3334217084680917E-2</v>
      </c>
      <c r="AR80" s="42"/>
      <c r="AS80" s="315">
        <f>IF(ISERROR(AS79/AM79-1),"NM",AS79/AM79-1)</f>
        <v>0.11901392520649146</v>
      </c>
      <c r="AT80" s="315">
        <f>IF(ISERROR(AT79/AN79-1),"NM",AT79/AN79-1)</f>
        <v>7.7889256102510851E-2</v>
      </c>
      <c r="AU80" s="315">
        <f>IF(ISERROR(AU79/AO79-1),"NM",AU79/AO79-1)</f>
        <v>7.5813015724738975E-2</v>
      </c>
      <c r="AV80" s="315">
        <f>IF(ISERROR(AV79/AP79-1),"NM",AV79/AP79-1)</f>
        <v>4.115663741862452E-2</v>
      </c>
      <c r="AW80" s="315">
        <f>IF(ISERROR(AW79/AQ79-1),"NM",AW79/AQ79-1)</f>
        <v>7.7538324865642938E-2</v>
      </c>
      <c r="AX80" s="42"/>
      <c r="AY80" s="315">
        <f>IF(ISERROR(AY79/AS79-1),"NM",AY79/AS79-1)</f>
        <v>3.2808861264706835E-2</v>
      </c>
      <c r="AZ80" s="315">
        <f>IF(ISERROR(AZ79/AT79-1),"NM",AZ79/AT79-1)</f>
        <v>4.8693898655282952E-2</v>
      </c>
      <c r="BA80" s="315">
        <f>IF(ISERROR(BA79/AU79-1),"NM",BA79/AU79-1)</f>
        <v>-2.1883529867125606E-2</v>
      </c>
      <c r="BB80" s="315">
        <f>IF(ISERROR(BB79/AV79-1),"NM",BB79/AV79-1)</f>
        <v>2.826871621464444E-2</v>
      </c>
      <c r="BC80" s="315">
        <f>IF(ISERROR(BC79/AW79-1),"NM",BC79/AW79-1)</f>
        <v>2.1961798805583577E-2</v>
      </c>
      <c r="BD80" s="42"/>
      <c r="BE80" s="315">
        <f>IF(ISERROR(BE79/AY79-1),"NM",BE79/AY79-1)</f>
        <v>3.6172362099121669E-2</v>
      </c>
      <c r="BF80" s="315">
        <f>IF(ISERROR(BF79/AZ79-1),"NM",BF79/AZ79-1)</f>
        <v>7.1611845070590929E-2</v>
      </c>
      <c r="BG80" s="315">
        <f>IF(ISERROR(BG79/BA79-1),"NM",BG79/BA79-1)</f>
        <v>0.12863477629187625</v>
      </c>
      <c r="BH80" s="315">
        <f>IF(ISERROR(BH79/BB79-1),"NM",BH79/BB79-1)</f>
        <v>1.5344909591191946E-2</v>
      </c>
      <c r="BI80" s="315">
        <f>IF(ISERROR(BI79/BC79-1),"NM",BI79/BC79-1)</f>
        <v>6.2354448071373358E-2</v>
      </c>
      <c r="BJ80" s="42"/>
      <c r="BK80" s="315">
        <f>IF(ISERROR(BK79/BE79-1),"NM",BK79/BE79-1)</f>
        <v>0.1338877201243549</v>
      </c>
      <c r="BL80" s="315">
        <f>IF(ISERROR(BL79/BF79-1),"NM",BL79/BF79-1)</f>
        <v>0.2317445960344533</v>
      </c>
      <c r="BM80" s="315">
        <f>IF(ISERROR(BM79/BG79-1),"NM",BM79/BG79-1)</f>
        <v>0.38600553248755221</v>
      </c>
      <c r="BN80" s="315">
        <f>IF(ISERROR(BN79/BH79-1),"NM",BN79/BH79-1)</f>
        <v>0.4724162965910903</v>
      </c>
      <c r="BO80" s="315">
        <f>IF(ISERROR(BO79/BI79-1),"NM",BO79/BI79-1)</f>
        <v>0.30551221020333652</v>
      </c>
      <c r="BP80" s="42"/>
      <c r="BQ80" s="315">
        <f>IF(ISERROR(BQ79/BK79-1),"NM",BQ79/BK79-1)</f>
        <v>0.23274776239620598</v>
      </c>
      <c r="BR80" s="318"/>
      <c r="BS80" s="318"/>
      <c r="BT80" s="318"/>
      <c r="BU80" s="316"/>
      <c r="BV80" s="42"/>
      <c r="BW80" s="318"/>
      <c r="BX80" s="318"/>
      <c r="BY80" s="318"/>
      <c r="BZ80" s="318"/>
      <c r="CA80" s="316"/>
      <c r="CB80" s="42"/>
      <c r="CC80" s="318"/>
      <c r="CD80" s="318"/>
      <c r="CE80" s="318"/>
      <c r="CF80" s="318"/>
      <c r="CG80" s="316"/>
    </row>
    <row r="81" spans="1:85" ht="12.75" hidden="1" customHeight="1" outlineLevel="1" x14ac:dyDescent="0.2">
      <c r="A81" s="229"/>
      <c r="B81" s="471" t="s">
        <v>356</v>
      </c>
      <c r="C81" s="35">
        <f>+C79+C76</f>
        <v>51.3</v>
      </c>
      <c r="D81" s="35">
        <f>+D79+D76</f>
        <v>61.3</v>
      </c>
      <c r="E81" s="35">
        <f>+E79+E76</f>
        <v>57.3</v>
      </c>
      <c r="F81" s="35">
        <f>+F79+F76</f>
        <v>54.9</v>
      </c>
      <c r="G81" s="35">
        <f>+G79+G76</f>
        <v>224.8</v>
      </c>
      <c r="H81" s="472"/>
      <c r="I81" s="35">
        <f>+I79+I76</f>
        <v>57.599999999999994</v>
      </c>
      <c r="J81" s="35">
        <f>+J79+J76</f>
        <v>59.900000000000006</v>
      </c>
      <c r="K81" s="35">
        <f>+K79+K76</f>
        <v>57.5</v>
      </c>
      <c r="L81" s="35">
        <f>+L79+L76</f>
        <v>54.8</v>
      </c>
      <c r="M81" s="49">
        <f>+SUM(I81:L81)</f>
        <v>229.8</v>
      </c>
      <c r="N81" s="472"/>
      <c r="O81" s="35">
        <f>+O79+O76</f>
        <v>52</v>
      </c>
      <c r="P81" s="35">
        <f>+P79+P76</f>
        <v>53.3</v>
      </c>
      <c r="Q81" s="35">
        <f>+Q79+Q76</f>
        <v>56.599999999999994</v>
      </c>
      <c r="R81" s="35">
        <f>+R79+R76</f>
        <v>61.2</v>
      </c>
      <c r="S81" s="49">
        <f>+SUM(O81:R81)</f>
        <v>223.09999999999997</v>
      </c>
      <c r="T81" s="472"/>
      <c r="U81" s="35">
        <f>+U79+U76</f>
        <v>65.400000000000006</v>
      </c>
      <c r="V81" s="35">
        <f>+V79+V76</f>
        <v>66.5</v>
      </c>
      <c r="W81" s="35">
        <f>+W79+W76</f>
        <v>67.900000000000006</v>
      </c>
      <c r="X81" s="35">
        <f>+X79+X76</f>
        <v>62.699999999999996</v>
      </c>
      <c r="Y81" s="49">
        <f>+SUM(U81:X81)</f>
        <v>262.5</v>
      </c>
      <c r="Z81" s="472"/>
      <c r="AA81" s="35">
        <f>+AA79+AA76</f>
        <v>74.25800000000001</v>
      </c>
      <c r="AB81" s="35">
        <f>+AB79+AB76</f>
        <v>84.996000000000009</v>
      </c>
      <c r="AC81" s="35">
        <f>+AC79+AC76</f>
        <v>88.77600000000001</v>
      </c>
      <c r="AD81" s="35">
        <f>+AD79+AD76</f>
        <v>91.4</v>
      </c>
      <c r="AE81" s="49">
        <f>+SUM(AA81:AD81)</f>
        <v>339.43000000000006</v>
      </c>
      <c r="AF81" s="472"/>
      <c r="AG81" s="35">
        <f>+AG79+AG76</f>
        <v>97.991</v>
      </c>
      <c r="AH81" s="35">
        <f>+AH79+AH76</f>
        <v>104.749</v>
      </c>
      <c r="AI81" s="35">
        <f>+AI79+AI76</f>
        <v>99.007000000000005</v>
      </c>
      <c r="AJ81" s="35">
        <f>+AJ79+AJ76</f>
        <v>101.626</v>
      </c>
      <c r="AK81" s="35">
        <f>+AK79+AK76</f>
        <v>403.37299999999999</v>
      </c>
      <c r="AL81" s="472"/>
      <c r="AM81" s="35">
        <f>+AM79+AM76</f>
        <v>108.997</v>
      </c>
      <c r="AN81" s="35">
        <f>+AN79+AN76</f>
        <v>112.67099999999999</v>
      </c>
      <c r="AO81" s="35">
        <f>+AO79+AO76</f>
        <v>114.76300000000001</v>
      </c>
      <c r="AP81" s="35">
        <f>+AP79+AP76</f>
        <v>117.03899999999999</v>
      </c>
      <c r="AQ81" s="35">
        <f>+AQ79+AQ76</f>
        <v>453.46999999999997</v>
      </c>
      <c r="AR81" s="42"/>
      <c r="AS81" s="47">
        <v>120.223</v>
      </c>
      <c r="AT81" s="47">
        <v>124.346</v>
      </c>
      <c r="AU81" s="47">
        <v>124.928</v>
      </c>
      <c r="AV81" s="128">
        <v>125.774</v>
      </c>
      <c r="AW81" s="35">
        <f>+AW79+AW76</f>
        <v>495.27100000000007</v>
      </c>
      <c r="AX81" s="42"/>
      <c r="AY81" s="47">
        <f>118.844+AY75</f>
        <v>129.81722809704198</v>
      </c>
      <c r="AZ81" s="47">
        <f>126.137+AZ75</f>
        <v>134.74159190371992</v>
      </c>
      <c r="BA81" s="47">
        <f>124.085+BA75</f>
        <v>133.30242852274662</v>
      </c>
      <c r="BB81" s="47">
        <f>129.663+BB75</f>
        <v>145.81228159171258</v>
      </c>
      <c r="BC81" s="35">
        <f>+BC79+BC76</f>
        <v>543.67353011522118</v>
      </c>
      <c r="BD81" s="42"/>
      <c r="BE81" s="47">
        <f>135.699+BE75</f>
        <v>154.57688232449425</v>
      </c>
      <c r="BF81" s="47">
        <f>143.909+BF75</f>
        <v>168.53869999999998</v>
      </c>
      <c r="BG81" s="799">
        <f>143.8+BG75</f>
        <v>176.97495000000001</v>
      </c>
      <c r="BH81" s="799">
        <f>145.281+BH75</f>
        <v>184.89600000000002</v>
      </c>
      <c r="BI81" s="35">
        <f>+BI79+BI76</f>
        <v>684.98653232449419</v>
      </c>
      <c r="BJ81" s="42"/>
      <c r="BK81" s="47">
        <f>164.884+BK75</f>
        <v>191.4289</v>
      </c>
      <c r="BL81" s="47">
        <f>186.474+BL75</f>
        <v>220.14769999999999</v>
      </c>
      <c r="BM81" s="799">
        <f>193.791+BM75</f>
        <v>235.26419999999999</v>
      </c>
      <c r="BN81" s="799">
        <f>199.422+BN75</f>
        <v>253.67365000000001</v>
      </c>
      <c r="BO81" s="35">
        <f>+BO79+BO76</f>
        <v>900.51445000000001</v>
      </c>
      <c r="BP81" s="42"/>
      <c r="BQ81" s="47">
        <f>209.576+BQ75</f>
        <v>258.42404999999997</v>
      </c>
      <c r="BR81" s="38"/>
      <c r="BS81" s="38"/>
      <c r="BT81" s="38"/>
      <c r="BU81" s="38"/>
      <c r="BV81" s="42"/>
      <c r="BW81" s="38"/>
      <c r="BX81" s="38"/>
      <c r="BY81" s="38"/>
      <c r="BZ81" s="38"/>
      <c r="CA81" s="38"/>
      <c r="CB81" s="42"/>
      <c r="CC81" s="38"/>
      <c r="CD81" s="38"/>
      <c r="CE81" s="38"/>
      <c r="CF81" s="38"/>
      <c r="CG81" s="38"/>
    </row>
    <row r="82" spans="1:85" ht="12.75" hidden="1" customHeight="1" outlineLevel="1" x14ac:dyDescent="0.2">
      <c r="A82" s="230"/>
      <c r="B82" s="290" t="s">
        <v>341</v>
      </c>
      <c r="C82" s="315"/>
      <c r="D82" s="315"/>
      <c r="E82" s="315"/>
      <c r="F82" s="315"/>
      <c r="G82" s="315"/>
      <c r="H82" s="115"/>
      <c r="I82" s="315">
        <f>I65/C81</f>
        <v>0.1228070175438596</v>
      </c>
      <c r="J82" s="315">
        <f>J65/D81</f>
        <v>-2.2838499184339178E-2</v>
      </c>
      <c r="K82" s="315">
        <f>K65/E81</f>
        <v>3.4904013961606084E-3</v>
      </c>
      <c r="L82" s="315">
        <f>L65/F81</f>
        <v>-1.8214936247723393E-3</v>
      </c>
      <c r="M82" s="315">
        <f>M65/G81</f>
        <v>2.2241992882562307E-2</v>
      </c>
      <c r="N82" s="115"/>
      <c r="O82" s="315">
        <f>O65/I81</f>
        <v>-9.7222222222222127E-2</v>
      </c>
      <c r="P82" s="315">
        <f>P65/J81</f>
        <v>-0.11018363939899846</v>
      </c>
      <c r="Q82" s="315">
        <f>Q65/K81</f>
        <v>-1.5652173913043577E-2</v>
      </c>
      <c r="R82" s="315">
        <f>R65/L81</f>
        <v>0.11678832116788332</v>
      </c>
      <c r="S82" s="315">
        <f>S65/M81</f>
        <v>-2.9155787641427337E-2</v>
      </c>
      <c r="T82" s="115"/>
      <c r="U82" s="315">
        <f>U65/O81</f>
        <v>0.20000000000000012</v>
      </c>
      <c r="V82" s="315">
        <f>V65/P81</f>
        <v>0.19136960600375241</v>
      </c>
      <c r="W82" s="315">
        <f>W65/Q81</f>
        <v>0.14664310954063625</v>
      </c>
      <c r="X82" s="315">
        <f>X65/R81</f>
        <v>-2.4509803921568742E-2</v>
      </c>
      <c r="Y82" s="315">
        <f>Y65/S81</f>
        <v>0.1228148812191843</v>
      </c>
      <c r="Z82" s="115"/>
      <c r="AA82" s="315">
        <f>AA65/U81</f>
        <v>8.957186544342513E-2</v>
      </c>
      <c r="AB82" s="315">
        <f>AB65/V81</f>
        <v>0.23302255639097758</v>
      </c>
      <c r="AC82" s="315">
        <f>AC65/W81</f>
        <v>0.26326951399116355</v>
      </c>
      <c r="AD82" s="315">
        <f>AD65/X81</f>
        <v>0.40988835725677847</v>
      </c>
      <c r="AE82" s="315">
        <f>AE65/Y81</f>
        <v>0.24735238095238107</v>
      </c>
      <c r="AF82" s="115"/>
      <c r="AG82" s="315">
        <f>AG65/AA81</f>
        <v>0.31960192841175344</v>
      </c>
      <c r="AH82" s="315">
        <f>AH65/AB81</f>
        <v>0.21475128241328983</v>
      </c>
      <c r="AI82" s="315">
        <f>AI65/AC81</f>
        <v>0.11524511129133992</v>
      </c>
      <c r="AJ82" s="315">
        <f>AJ65/AD81</f>
        <v>7.6050328227571101E-2</v>
      </c>
      <c r="AK82" s="315">
        <f>AK65/AE81</f>
        <v>0.17431576466429002</v>
      </c>
      <c r="AL82" s="115"/>
      <c r="AM82" s="315">
        <f>AM65/AG81</f>
        <v>4.7619373207743558E-2</v>
      </c>
      <c r="AN82" s="315">
        <f>AN65/AH81</f>
        <v>4.1809754747062E-2</v>
      </c>
      <c r="AO82" s="315">
        <f>AO65/AI81</f>
        <v>0.12611017402809901</v>
      </c>
      <c r="AP82" s="315">
        <f>AP65/AJ81</f>
        <v>0.10887194221951058</v>
      </c>
      <c r="AQ82" s="315">
        <f>AQ65/AK81</f>
        <v>8.0808110607303862E-2</v>
      </c>
      <c r="AR82" s="42"/>
      <c r="AS82" s="315">
        <f>AS65/AM81</f>
        <v>0.10299366037597364</v>
      </c>
      <c r="AT82" s="315">
        <f>AT65/AN81</f>
        <v>8.5869478392842979E-2</v>
      </c>
      <c r="AU82" s="315">
        <f>AU65/AO81</f>
        <v>8.8573843486140932E-2</v>
      </c>
      <c r="AV82" s="315">
        <f>AV65/AP81</f>
        <v>7.4633241910816175E-2</v>
      </c>
      <c r="AW82" s="315">
        <f>AW65/AQ81</f>
        <v>7.1230731911703316E-2</v>
      </c>
      <c r="AX82" s="42"/>
      <c r="AY82" s="315">
        <f>AY65/AS81</f>
        <v>7.9803599120317883E-2</v>
      </c>
      <c r="AZ82" s="315">
        <f>AZ65/AT81</f>
        <v>8.3602141634792571E-2</v>
      </c>
      <c r="BA82" s="315">
        <f>BA65/AU81</f>
        <v>6.7034039788891414E-2</v>
      </c>
      <c r="BB82" s="315">
        <f>BB65/AV81</f>
        <v>0.15931974487344425</v>
      </c>
      <c r="BC82" s="315">
        <f>BC65/AW81</f>
        <v>9.6719836443525067E-2</v>
      </c>
      <c r="BD82" s="42"/>
      <c r="BE82" s="315">
        <f>BE65/AY81</f>
        <v>0.19072702899605704</v>
      </c>
      <c r="BF82" s="315">
        <f>BF65/AZ81</f>
        <v>0.25082906932278121</v>
      </c>
      <c r="BG82" s="315">
        <f>BG65/BA81</f>
        <v>0.32761984879968736</v>
      </c>
      <c r="BH82" s="315">
        <f>BH65/BB81</f>
        <v>0.2680413335669854</v>
      </c>
      <c r="BI82" s="315">
        <f>BI65/BC81</f>
        <v>0.25992253509072699</v>
      </c>
      <c r="BJ82" s="42"/>
      <c r="BK82" s="315">
        <f>BK65/BE81</f>
        <v>0.23840575072632436</v>
      </c>
      <c r="BL82" s="315">
        <f>BL65/BF81</f>
        <v>0.30621453707664775</v>
      </c>
      <c r="BM82" s="315">
        <f>BM65/BG81</f>
        <v>0.3293644100478626</v>
      </c>
      <c r="BN82" s="315">
        <f>BN65/BH81</f>
        <v>0.37198019427137413</v>
      </c>
      <c r="BO82" s="315">
        <f>BO65/BI81</f>
        <v>0.31464548207117915</v>
      </c>
      <c r="BP82" s="42"/>
      <c r="BQ82" s="315">
        <f>BQ65/BK81</f>
        <v>0.34997406347735355</v>
      </c>
      <c r="BR82" s="318"/>
      <c r="BS82" s="318"/>
      <c r="BT82" s="318"/>
      <c r="BU82" s="316"/>
      <c r="BV82" s="42"/>
      <c r="BW82" s="318"/>
      <c r="BX82" s="318"/>
      <c r="BY82" s="318"/>
      <c r="BZ82" s="318"/>
      <c r="CA82" s="316"/>
      <c r="CB82" s="42"/>
      <c r="CC82" s="318"/>
      <c r="CD82" s="318"/>
      <c r="CE82" s="318"/>
      <c r="CF82" s="318"/>
      <c r="CG82" s="316"/>
    </row>
    <row r="83" spans="1:85" ht="12.75" hidden="1" customHeight="1" outlineLevel="1" x14ac:dyDescent="0.2">
      <c r="A83" s="230"/>
      <c r="B83" s="290" t="s">
        <v>26</v>
      </c>
      <c r="C83" s="315"/>
      <c r="D83" s="315"/>
      <c r="E83" s="315"/>
      <c r="F83" s="315"/>
      <c r="G83" s="315"/>
      <c r="H83" s="115"/>
      <c r="I83" s="315"/>
      <c r="J83" s="315"/>
      <c r="K83" s="315"/>
      <c r="L83" s="315"/>
      <c r="M83" s="315"/>
      <c r="N83" s="115"/>
      <c r="O83" s="315">
        <f>+O82+I82</f>
        <v>2.5584795321637474E-2</v>
      </c>
      <c r="P83" s="315">
        <f>+P82+J82</f>
        <v>-0.13302213858333764</v>
      </c>
      <c r="Q83" s="315">
        <f>+Q82+K82</f>
        <v>-1.2161772516882968E-2</v>
      </c>
      <c r="R83" s="315">
        <f>+R82+L82</f>
        <v>0.11496682754311098</v>
      </c>
      <c r="S83" s="315">
        <f>+S82+M82</f>
        <v>-6.9137947588650307E-3</v>
      </c>
      <c r="T83" s="115"/>
      <c r="U83" s="315">
        <f>+U82+O82</f>
        <v>0.102777777777778</v>
      </c>
      <c r="V83" s="315">
        <f>+V82+P82</f>
        <v>8.1185966604753954E-2</v>
      </c>
      <c r="W83" s="315">
        <f>+W82+Q82</f>
        <v>0.13099093562759268</v>
      </c>
      <c r="X83" s="315">
        <f>+X82+R82</f>
        <v>9.2278517246314584E-2</v>
      </c>
      <c r="Y83" s="315">
        <f>+Y82+S82</f>
        <v>9.3659093577756952E-2</v>
      </c>
      <c r="Z83" s="115"/>
      <c r="AA83" s="315">
        <f>+AA82+U82</f>
        <v>0.28957186544342528</v>
      </c>
      <c r="AB83" s="315">
        <f>+AB82+V82</f>
        <v>0.42439216239472999</v>
      </c>
      <c r="AC83" s="315">
        <f>+AC82+W82</f>
        <v>0.4099126235317998</v>
      </c>
      <c r="AD83" s="315">
        <f>+AD82+X82</f>
        <v>0.38537855333520971</v>
      </c>
      <c r="AE83" s="315">
        <f>+AE82+Y82</f>
        <v>0.37016726217156537</v>
      </c>
      <c r="AF83" s="115"/>
      <c r="AG83" s="315">
        <f>+AG82+AA82</f>
        <v>0.4091737938551786</v>
      </c>
      <c r="AH83" s="315">
        <f>+AH82+AB82</f>
        <v>0.44777383880426741</v>
      </c>
      <c r="AI83" s="315">
        <f>+AI82+AC82</f>
        <v>0.37851462528250346</v>
      </c>
      <c r="AJ83" s="315">
        <f>+AJ82+AD82</f>
        <v>0.4859386854843496</v>
      </c>
      <c r="AK83" s="315">
        <f>+AK82+AE82</f>
        <v>0.4216681456166711</v>
      </c>
      <c r="AL83" s="115"/>
      <c r="AM83" s="315">
        <f>+AM82+AG82</f>
        <v>0.36722130161949701</v>
      </c>
      <c r="AN83" s="315">
        <f>+AN82+AH82</f>
        <v>0.25656103716035183</v>
      </c>
      <c r="AO83" s="315">
        <f>+AO82+AI82</f>
        <v>0.24135528531943895</v>
      </c>
      <c r="AP83" s="315">
        <f>+AP82+AJ82</f>
        <v>0.18492227044708168</v>
      </c>
      <c r="AQ83" s="315">
        <f>+AQ82+AK82</f>
        <v>0.25512387527159386</v>
      </c>
      <c r="AR83" s="42"/>
      <c r="AS83" s="315">
        <f>+AS82+AM82</f>
        <v>0.15061303358371719</v>
      </c>
      <c r="AT83" s="315">
        <f>+AT82+AN82</f>
        <v>0.12767923313990498</v>
      </c>
      <c r="AU83" s="315">
        <f>+AU82+AO82</f>
        <v>0.21468401751423993</v>
      </c>
      <c r="AV83" s="315">
        <f>+AV82+AP82</f>
        <v>0.18350518413032674</v>
      </c>
      <c r="AW83" s="315">
        <f>+AW82+AQ82</f>
        <v>0.15203884251900718</v>
      </c>
      <c r="AX83" s="42"/>
      <c r="AY83" s="315">
        <f>+AY82+AS82</f>
        <v>0.18279725949629153</v>
      </c>
      <c r="AZ83" s="315">
        <f>+AZ82+AT82</f>
        <v>0.16947162002763555</v>
      </c>
      <c r="BA83" s="315">
        <f>+BA82+AU82</f>
        <v>0.15560788327503233</v>
      </c>
      <c r="BB83" s="315">
        <f>+BB82+AV82</f>
        <v>0.23395298678426041</v>
      </c>
      <c r="BC83" s="315">
        <f>+BC82+AW82</f>
        <v>0.16795056835522837</v>
      </c>
      <c r="BD83" s="42"/>
      <c r="BE83" s="315">
        <f>+BE82+AY82</f>
        <v>0.2705306281163749</v>
      </c>
      <c r="BF83" s="315">
        <f>+BF82+AZ82</f>
        <v>0.33443121095757378</v>
      </c>
      <c r="BG83" s="315">
        <f>+BG82+BA82</f>
        <v>0.39465388858857875</v>
      </c>
      <c r="BH83" s="315">
        <f>+BH82+BB82</f>
        <v>0.42736107844042964</v>
      </c>
      <c r="BI83" s="315">
        <f>+BI82+BC82</f>
        <v>0.35664237153425205</v>
      </c>
      <c r="BJ83" s="42"/>
      <c r="BK83" s="315">
        <f>+BK82+BE82</f>
        <v>0.4291327797223814</v>
      </c>
      <c r="BL83" s="315">
        <f>+BL82+BF82</f>
        <v>0.55704360639942896</v>
      </c>
      <c r="BM83" s="315">
        <f>+BM82+BG82</f>
        <v>0.65698425884754996</v>
      </c>
      <c r="BN83" s="315">
        <f>+BN82+BH82</f>
        <v>0.64002152783835953</v>
      </c>
      <c r="BO83" s="315">
        <f>+BO82+BI82</f>
        <v>0.57456801716190609</v>
      </c>
      <c r="BP83" s="42"/>
      <c r="BQ83" s="315">
        <f>+BQ82+BK82</f>
        <v>0.58837981420367791</v>
      </c>
      <c r="BR83" s="318"/>
      <c r="BS83" s="318"/>
      <c r="BT83" s="318"/>
      <c r="BU83" s="316"/>
      <c r="BV83" s="42"/>
      <c r="BW83" s="318"/>
      <c r="BX83" s="318"/>
      <c r="BY83" s="318"/>
      <c r="BZ83" s="318"/>
      <c r="CA83" s="316"/>
      <c r="CB83" s="42"/>
      <c r="CC83" s="318"/>
      <c r="CD83" s="318"/>
      <c r="CE83" s="318"/>
      <c r="CF83" s="318"/>
      <c r="CG83" s="316"/>
    </row>
    <row r="84" spans="1:85" ht="5.25" hidden="1" customHeight="1" outlineLevel="1" x14ac:dyDescent="0.2">
      <c r="A84" s="230"/>
      <c r="B84" s="290"/>
      <c r="C84" s="315"/>
      <c r="D84" s="315"/>
      <c r="E84" s="315"/>
      <c r="F84" s="315"/>
      <c r="G84" s="315"/>
      <c r="H84" s="115"/>
      <c r="I84" s="315"/>
      <c r="J84" s="315"/>
      <c r="K84" s="315"/>
      <c r="L84" s="315"/>
      <c r="M84" s="315"/>
      <c r="N84" s="115"/>
      <c r="O84" s="315"/>
      <c r="P84" s="315"/>
      <c r="Q84" s="315"/>
      <c r="R84" s="315"/>
      <c r="S84" s="315"/>
      <c r="T84" s="115"/>
      <c r="U84" s="315"/>
      <c r="V84" s="315"/>
      <c r="W84" s="315"/>
      <c r="X84" s="315"/>
      <c r="Y84" s="315"/>
      <c r="Z84" s="115"/>
      <c r="AA84" s="315"/>
      <c r="AB84" s="315"/>
      <c r="AC84" s="315"/>
      <c r="AD84" s="315"/>
      <c r="AE84" s="315"/>
      <c r="AF84" s="115"/>
      <c r="AG84" s="315"/>
      <c r="AH84" s="315"/>
      <c r="AI84" s="315"/>
      <c r="AJ84" s="315"/>
      <c r="AK84" s="315"/>
      <c r="AL84" s="115"/>
      <c r="AM84" s="316"/>
      <c r="AN84" s="316"/>
      <c r="AO84" s="316"/>
      <c r="AP84" s="315"/>
      <c r="AQ84" s="315"/>
      <c r="AR84" s="42"/>
      <c r="AS84" s="316"/>
      <c r="AT84" s="316"/>
      <c r="AU84" s="316"/>
      <c r="AV84" s="42"/>
      <c r="AW84" s="315"/>
      <c r="AX84" s="42"/>
      <c r="AY84" s="316"/>
      <c r="AZ84" s="316"/>
      <c r="BA84" s="316"/>
      <c r="BB84" s="316"/>
      <c r="BC84" s="315"/>
      <c r="BD84" s="42"/>
      <c r="BE84" s="316"/>
      <c r="BF84" s="316"/>
      <c r="BG84" s="316"/>
      <c r="BH84" s="316"/>
      <c r="BI84" s="315"/>
      <c r="BJ84" s="42"/>
      <c r="BK84" s="316"/>
      <c r="BL84" s="316"/>
      <c r="BM84" s="316"/>
      <c r="BN84" s="316"/>
      <c r="BO84" s="315"/>
      <c r="BP84" s="42"/>
      <c r="BQ84" s="316"/>
      <c r="BR84" s="316"/>
      <c r="BS84" s="316"/>
      <c r="BT84" s="316"/>
      <c r="BU84" s="316"/>
      <c r="BV84" s="42"/>
      <c r="BW84" s="316"/>
      <c r="BX84" s="316"/>
      <c r="BY84" s="316"/>
      <c r="BZ84" s="316"/>
      <c r="CA84" s="316"/>
      <c r="CB84" s="42"/>
      <c r="CC84" s="316"/>
      <c r="CD84" s="316"/>
      <c r="CE84" s="316"/>
      <c r="CF84" s="316"/>
      <c r="CG84" s="316"/>
    </row>
    <row r="85" spans="1:85" ht="12.75" hidden="1" customHeight="1" outlineLevel="1" x14ac:dyDescent="0.2">
      <c r="A85" s="230"/>
      <c r="B85" s="620" t="s">
        <v>146</v>
      </c>
      <c r="C85" s="47">
        <v>9.1999999999999993</v>
      </c>
      <c r="D85" s="47">
        <v>11.6</v>
      </c>
      <c r="E85" s="47">
        <v>11.6</v>
      </c>
      <c r="F85" s="47">
        <v>14.2</v>
      </c>
      <c r="G85" s="49">
        <f>+SUM(C85:F85)</f>
        <v>46.599999999999994</v>
      </c>
      <c r="H85" s="115"/>
      <c r="I85" s="47">
        <v>14.2</v>
      </c>
      <c r="J85" s="47">
        <v>16.399999999999999</v>
      </c>
      <c r="K85" s="47">
        <v>15.1</v>
      </c>
      <c r="L85" s="47">
        <v>16.2</v>
      </c>
      <c r="M85" s="49">
        <f>+SUM(I85:L85)</f>
        <v>61.899999999999991</v>
      </c>
      <c r="N85" s="115"/>
      <c r="O85" s="47">
        <v>14.3</v>
      </c>
      <c r="P85" s="47">
        <v>18.100000000000001</v>
      </c>
      <c r="Q85" s="47">
        <v>18.5</v>
      </c>
      <c r="R85" s="47">
        <v>21.3</v>
      </c>
      <c r="S85" s="49">
        <f>+SUM(O85:R85)</f>
        <v>72.2</v>
      </c>
      <c r="T85" s="115"/>
      <c r="U85" s="47">
        <v>20</v>
      </c>
      <c r="V85" s="47">
        <v>22</v>
      </c>
      <c r="W85" s="47">
        <v>23.2</v>
      </c>
      <c r="X85" s="47">
        <v>24.8</v>
      </c>
      <c r="Y85" s="49">
        <f>+SUM(U85:X85)</f>
        <v>90</v>
      </c>
      <c r="Z85" s="115"/>
      <c r="AA85" s="47">
        <v>25.178999999999998</v>
      </c>
      <c r="AB85" s="128">
        <v>27.898</v>
      </c>
      <c r="AC85" s="128">
        <v>28.346</v>
      </c>
      <c r="AD85" s="128">
        <v>30.053999999999998</v>
      </c>
      <c r="AE85" s="49">
        <f>+SUM(AA85:AD85)</f>
        <v>111.477</v>
      </c>
      <c r="AF85" s="115"/>
      <c r="AG85" s="128">
        <v>29.7</v>
      </c>
      <c r="AH85" s="128">
        <v>32.883000000000003</v>
      </c>
      <c r="AI85" s="128">
        <v>29.7</v>
      </c>
      <c r="AJ85" s="128">
        <v>32.512999999999998</v>
      </c>
      <c r="AK85" s="49">
        <f>+SUM(AG85:AJ85)</f>
        <v>124.79599999999999</v>
      </c>
      <c r="AL85" s="115"/>
      <c r="AM85" s="47">
        <v>31.818000000000001</v>
      </c>
      <c r="AN85" s="47">
        <v>40.32</v>
      </c>
      <c r="AO85" s="47">
        <v>38.982999999999997</v>
      </c>
      <c r="AP85" s="47">
        <v>50.594999999999999</v>
      </c>
      <c r="AQ85" s="49">
        <f>+SUM(AM85:AP85)</f>
        <v>161.71600000000001</v>
      </c>
      <c r="AR85" s="42"/>
      <c r="AS85" s="47">
        <v>49.847999999999999</v>
      </c>
      <c r="AT85" s="47">
        <v>55.988</v>
      </c>
      <c r="AU85" s="47">
        <v>53.439</v>
      </c>
      <c r="AV85" s="128">
        <v>60.466999999999999</v>
      </c>
      <c r="AW85" s="49">
        <f>+SUM(AS85:AV85)</f>
        <v>219.74200000000002</v>
      </c>
      <c r="AX85" s="42"/>
      <c r="AY85" s="47">
        <v>55.92</v>
      </c>
      <c r="AZ85" s="128">
        <v>61.896000000000001</v>
      </c>
      <c r="BA85" s="128">
        <v>61.265000000000001</v>
      </c>
      <c r="BB85" s="128">
        <v>70.98</v>
      </c>
      <c r="BC85" s="49">
        <f>+SUM(AY85:BB85)</f>
        <v>250.06100000000004</v>
      </c>
      <c r="BD85" s="42"/>
      <c r="BE85" s="47">
        <v>69.849999999999994</v>
      </c>
      <c r="BF85" s="47">
        <v>83.703000000000003</v>
      </c>
      <c r="BG85" s="799">
        <v>84.304000000000002</v>
      </c>
      <c r="BH85" s="799">
        <v>88.775999999999996</v>
      </c>
      <c r="BI85" s="49">
        <f>+SUM(BE85:BH85)</f>
        <v>326.63299999999998</v>
      </c>
      <c r="BJ85" s="42"/>
      <c r="BK85" s="47">
        <v>99.594999999999999</v>
      </c>
      <c r="BL85" s="47">
        <v>113.974</v>
      </c>
      <c r="BM85" s="799">
        <v>126.61</v>
      </c>
      <c r="BN85" s="799">
        <v>142.82599999999999</v>
      </c>
      <c r="BO85" s="49">
        <f>+SUM(BK85:BN85)</f>
        <v>483.005</v>
      </c>
      <c r="BP85" s="42"/>
      <c r="BQ85" s="47">
        <v>151.71299999999999</v>
      </c>
      <c r="BR85" s="42"/>
      <c r="BS85" s="42"/>
      <c r="BT85" s="42"/>
      <c r="BU85" s="42"/>
      <c r="BV85" s="42"/>
      <c r="BW85" s="42"/>
      <c r="BX85" s="42"/>
      <c r="BY85" s="42"/>
      <c r="BZ85" s="42"/>
      <c r="CA85" s="42"/>
      <c r="CB85" s="42"/>
      <c r="CC85" s="42"/>
      <c r="CD85" s="42"/>
      <c r="CE85" s="42"/>
      <c r="CF85" s="42"/>
      <c r="CG85" s="42"/>
    </row>
    <row r="86" spans="1:85" ht="12.75" hidden="1" customHeight="1" outlineLevel="1" x14ac:dyDescent="0.2">
      <c r="A86" s="230"/>
      <c r="B86" s="620" t="s">
        <v>386</v>
      </c>
      <c r="C86" s="47">
        <v>0</v>
      </c>
      <c r="D86" s="47">
        <v>0</v>
      </c>
      <c r="E86" s="47">
        <v>0</v>
      </c>
      <c r="F86" s="47">
        <v>0</v>
      </c>
      <c r="G86" s="49">
        <f>+SUM(C86:F86)</f>
        <v>0</v>
      </c>
      <c r="H86" s="115"/>
      <c r="I86" s="47">
        <v>0</v>
      </c>
      <c r="J86" s="47">
        <v>0</v>
      </c>
      <c r="K86" s="47">
        <v>0</v>
      </c>
      <c r="L86" s="47">
        <v>0</v>
      </c>
      <c r="M86" s="49">
        <f>+SUM(I86:L86)</f>
        <v>0</v>
      </c>
      <c r="N86" s="115"/>
      <c r="O86" s="47">
        <v>0</v>
      </c>
      <c r="P86" s="47">
        <v>0</v>
      </c>
      <c r="Q86" s="47">
        <v>0</v>
      </c>
      <c r="R86" s="47">
        <v>0</v>
      </c>
      <c r="S86" s="49">
        <f>+SUM(O86:R86)</f>
        <v>0</v>
      </c>
      <c r="T86" s="115"/>
      <c r="U86" s="47">
        <v>0</v>
      </c>
      <c r="V86" s="47">
        <v>0</v>
      </c>
      <c r="W86" s="47">
        <v>0</v>
      </c>
      <c r="X86" s="47">
        <v>0</v>
      </c>
      <c r="Y86" s="49">
        <f>+SUM(U86:X86)</f>
        <v>0</v>
      </c>
      <c r="Z86" s="115"/>
      <c r="AA86" s="47">
        <v>0</v>
      </c>
      <c r="AB86" s="128">
        <v>1.198</v>
      </c>
      <c r="AC86" s="128">
        <v>2.5179999999999998</v>
      </c>
      <c r="AD86" s="128">
        <v>0.36199999999999999</v>
      </c>
      <c r="AE86" s="49">
        <f>+SUM(AA86:AD86)</f>
        <v>4.0779999999999994</v>
      </c>
      <c r="AF86" s="115"/>
      <c r="AG86" s="128">
        <v>0.63100000000000001</v>
      </c>
      <c r="AH86" s="128">
        <v>0.20499999999999999</v>
      </c>
      <c r="AI86" s="128">
        <v>0.33200000000000002</v>
      </c>
      <c r="AJ86" s="128">
        <v>4.1000000000000002E-2</v>
      </c>
      <c r="AK86" s="49">
        <f>+SUM(AG86:AJ86)</f>
        <v>1.2089999999999999</v>
      </c>
      <c r="AL86" s="115"/>
      <c r="AM86" s="128">
        <v>5.6000000000000001E-2</v>
      </c>
      <c r="AN86" s="128">
        <v>7.0999999999999994E-2</v>
      </c>
      <c r="AO86" s="128">
        <v>8.1000000000000003E-2</v>
      </c>
      <c r="AP86" s="128">
        <v>8.7999999999999995E-2</v>
      </c>
      <c r="AQ86" s="49">
        <f>+SUM(AM86:AP86)</f>
        <v>0.29600000000000004</v>
      </c>
      <c r="AR86" s="42"/>
      <c r="AS86" s="128">
        <v>9.4E-2</v>
      </c>
      <c r="AT86" s="128">
        <v>9.8000000000000004E-2</v>
      </c>
      <c r="AU86" s="128">
        <v>0.159</v>
      </c>
      <c r="AV86" s="128">
        <v>5.8999999999999997E-2</v>
      </c>
      <c r="AW86" s="49">
        <f>+SUM(AS86:AV86)</f>
        <v>0.41</v>
      </c>
      <c r="AX86" s="42"/>
      <c r="AY86" s="128">
        <f>11.057-AY75</f>
        <v>8.3771902958005739E-2</v>
      </c>
      <c r="AZ86" s="128">
        <f>8.671-AZ75</f>
        <v>6.6408096280088813E-2</v>
      </c>
      <c r="BA86" s="128">
        <f>9.344-BA75</f>
        <v>0.12657147725336593</v>
      </c>
      <c r="BB86" s="128">
        <f>16.228-BB75</f>
        <v>7.8718408287429043E-2</v>
      </c>
      <c r="BC86" s="49">
        <f>+SUM(AY86:BB86)</f>
        <v>0.35546988477888952</v>
      </c>
      <c r="BD86" s="42"/>
      <c r="BE86" s="128">
        <f>19.022-BE75</f>
        <v>0.1441176755057576</v>
      </c>
      <c r="BF86" s="128">
        <f>25.926-BF75</f>
        <v>1.2963000000000022</v>
      </c>
      <c r="BG86" s="799">
        <f>34.921-BG75</f>
        <v>1.7460500000000039</v>
      </c>
      <c r="BH86" s="799">
        <f>41.7-BH75</f>
        <v>2.0850000000000009</v>
      </c>
      <c r="BI86" s="49">
        <f>+SUM(BE86:BH86)</f>
        <v>5.2714676755057646</v>
      </c>
      <c r="BJ86" s="42"/>
      <c r="BK86" s="128">
        <f>27.942-BK75</f>
        <v>1.3971000000000018</v>
      </c>
      <c r="BL86" s="128">
        <f>35.446-BL75</f>
        <v>1.7723000000000013</v>
      </c>
      <c r="BM86" s="799">
        <f>43.656-BM75</f>
        <v>2.1828000000000003</v>
      </c>
      <c r="BN86" s="799">
        <f>57.107-BN75</f>
        <v>2.8553500000000014</v>
      </c>
      <c r="BO86" s="49">
        <f>+SUM(BK86:BN86)</f>
        <v>8.2075500000000048</v>
      </c>
      <c r="BP86" s="42"/>
      <c r="BQ86" s="128">
        <f>51.419-BQ75</f>
        <v>2.5709500000000034</v>
      </c>
      <c r="BR86" s="42"/>
      <c r="BS86" s="42"/>
      <c r="BT86" s="42"/>
      <c r="BU86" s="42"/>
      <c r="BV86" s="42"/>
      <c r="BW86" s="42"/>
      <c r="BX86" s="42"/>
      <c r="BY86" s="42"/>
      <c r="BZ86" s="42"/>
      <c r="CA86" s="42"/>
      <c r="CB86" s="42"/>
      <c r="CC86" s="42"/>
      <c r="CD86" s="42"/>
      <c r="CE86" s="42"/>
      <c r="CF86" s="42"/>
      <c r="CG86" s="42"/>
    </row>
    <row r="87" spans="1:85" ht="12.75" hidden="1" customHeight="1" outlineLevel="1" x14ac:dyDescent="0.2">
      <c r="A87" s="230"/>
      <c r="B87" s="32" t="s">
        <v>152</v>
      </c>
      <c r="C87" s="49">
        <f>+C86+C85</f>
        <v>9.1999999999999993</v>
      </c>
      <c r="D87" s="49">
        <f>+D86+D85</f>
        <v>11.6</v>
      </c>
      <c r="E87" s="49">
        <f>+E86+E85</f>
        <v>11.6</v>
      </c>
      <c r="F87" s="49">
        <f>+F86+F85</f>
        <v>14.2</v>
      </c>
      <c r="G87" s="49">
        <f>+G86+G85</f>
        <v>46.599999999999994</v>
      </c>
      <c r="H87" s="115"/>
      <c r="I87" s="49">
        <f>+I86+I85</f>
        <v>14.2</v>
      </c>
      <c r="J87" s="49">
        <f>+J86+J85</f>
        <v>16.399999999999999</v>
      </c>
      <c r="K87" s="49">
        <f>+K86+K85</f>
        <v>15.1</v>
      </c>
      <c r="L87" s="49">
        <f>+L86+L85</f>
        <v>16.2</v>
      </c>
      <c r="M87" s="49">
        <f>+M86+M85</f>
        <v>61.899999999999991</v>
      </c>
      <c r="N87" s="115"/>
      <c r="O87" s="49">
        <f>+O86+O85</f>
        <v>14.3</v>
      </c>
      <c r="P87" s="49">
        <f>+P86+P85</f>
        <v>18.100000000000001</v>
      </c>
      <c r="Q87" s="49">
        <f>+Q86+Q85</f>
        <v>18.5</v>
      </c>
      <c r="R87" s="49">
        <f>+R86+R85</f>
        <v>21.3</v>
      </c>
      <c r="S87" s="49">
        <f>+S86+S85</f>
        <v>72.2</v>
      </c>
      <c r="T87" s="115"/>
      <c r="U87" s="49">
        <f>+U86+U85</f>
        <v>20</v>
      </c>
      <c r="V87" s="49">
        <f>+V86+V85</f>
        <v>22</v>
      </c>
      <c r="W87" s="49">
        <f>+W86+W85</f>
        <v>23.2</v>
      </c>
      <c r="X87" s="49">
        <f>+X86+X85</f>
        <v>24.8</v>
      </c>
      <c r="Y87" s="49">
        <f>+Y86+Y85</f>
        <v>90</v>
      </c>
      <c r="Z87" s="115"/>
      <c r="AA87" s="49">
        <f>+AA86+AA85</f>
        <v>25.178999999999998</v>
      </c>
      <c r="AB87" s="49">
        <f>+AB86+AB85</f>
        <v>29.096</v>
      </c>
      <c r="AC87" s="49">
        <f>+AC86+AC85</f>
        <v>30.864000000000001</v>
      </c>
      <c r="AD87" s="49">
        <f>+AD86+AD85</f>
        <v>30.415999999999997</v>
      </c>
      <c r="AE87" s="49">
        <f>+AE86+AE85</f>
        <v>115.55500000000001</v>
      </c>
      <c r="AF87" s="115"/>
      <c r="AG87" s="49">
        <f>+AG86+AG85</f>
        <v>30.331</v>
      </c>
      <c r="AH87" s="49">
        <f>+AH86+AH85</f>
        <v>33.088000000000001</v>
      </c>
      <c r="AI87" s="49">
        <f>+AI86+AI85</f>
        <v>30.032</v>
      </c>
      <c r="AJ87" s="49">
        <f>+AJ86+AJ85</f>
        <v>32.553999999999995</v>
      </c>
      <c r="AK87" s="49">
        <f>+AK86+AK85</f>
        <v>126.005</v>
      </c>
      <c r="AL87" s="115"/>
      <c r="AM87" s="49">
        <f>+AM86+AM85</f>
        <v>31.874000000000002</v>
      </c>
      <c r="AN87" s="49">
        <f>+AN86+AN85</f>
        <v>40.390999999999998</v>
      </c>
      <c r="AO87" s="49">
        <f>+AO86+AO85</f>
        <v>39.064</v>
      </c>
      <c r="AP87" s="49">
        <f>+AP86+AP85</f>
        <v>50.683</v>
      </c>
      <c r="AQ87" s="49">
        <f>+AQ86+AQ85</f>
        <v>162.012</v>
      </c>
      <c r="AR87" s="42"/>
      <c r="AS87" s="49">
        <f>+AS86+AS85</f>
        <v>49.942</v>
      </c>
      <c r="AT87" s="49">
        <f>+AT86+AT85</f>
        <v>56.085999999999999</v>
      </c>
      <c r="AU87" s="49">
        <f>+AU86+AU85</f>
        <v>53.597999999999999</v>
      </c>
      <c r="AV87" s="49">
        <f>+AV86+AV85</f>
        <v>60.525999999999996</v>
      </c>
      <c r="AW87" s="49">
        <f>+AW86+AW85</f>
        <v>220.15200000000002</v>
      </c>
      <c r="AX87" s="42"/>
      <c r="AY87" s="49">
        <f>+AY86+AY85</f>
        <v>56.003771902958007</v>
      </c>
      <c r="AZ87" s="49">
        <f>+AZ86+AZ85</f>
        <v>61.962408096280086</v>
      </c>
      <c r="BA87" s="49">
        <f>+BA86+BA85</f>
        <v>61.391571477253365</v>
      </c>
      <c r="BB87" s="49">
        <f>+BB86+BB85</f>
        <v>71.058718408287433</v>
      </c>
      <c r="BC87" s="49">
        <f>+BC86+BC85</f>
        <v>250.41646988477893</v>
      </c>
      <c r="BD87" s="42"/>
      <c r="BE87" s="49">
        <f>+BE86+BE85</f>
        <v>69.994117675505748</v>
      </c>
      <c r="BF87" s="49">
        <f>+BF86+BF85</f>
        <v>84.999300000000005</v>
      </c>
      <c r="BG87" s="668">
        <f>+BG86+BG85</f>
        <v>86.050049999999999</v>
      </c>
      <c r="BH87" s="668">
        <f>+BH86+BH85</f>
        <v>90.86099999999999</v>
      </c>
      <c r="BI87" s="49">
        <f>+BI86+BI85</f>
        <v>331.90446767550577</v>
      </c>
      <c r="BJ87" s="42"/>
      <c r="BK87" s="49">
        <f>+BK86+BK85</f>
        <v>100.99209999999999</v>
      </c>
      <c r="BL87" s="49">
        <f>+BL86+BL85</f>
        <v>115.74630000000001</v>
      </c>
      <c r="BM87" s="668">
        <f>+BM86+BM85</f>
        <v>128.7928</v>
      </c>
      <c r="BN87" s="668">
        <f>+BN86+BN85</f>
        <v>145.68135000000001</v>
      </c>
      <c r="BO87" s="49">
        <f>+BO86+BO85</f>
        <v>491.21255000000002</v>
      </c>
      <c r="BP87" s="42"/>
      <c r="BQ87" s="49">
        <f>+BQ86+BQ85</f>
        <v>154.28395</v>
      </c>
      <c r="BR87" s="38"/>
      <c r="BS87" s="38"/>
      <c r="BT87" s="38"/>
      <c r="BU87" s="38"/>
      <c r="BV87" s="42"/>
      <c r="BW87" s="38"/>
      <c r="BX87" s="38"/>
      <c r="BY87" s="38"/>
      <c r="BZ87" s="38"/>
      <c r="CA87" s="38"/>
      <c r="CB87" s="42"/>
      <c r="CC87" s="38"/>
      <c r="CD87" s="38"/>
      <c r="CE87" s="38"/>
      <c r="CF87" s="38"/>
      <c r="CG87" s="38"/>
    </row>
    <row r="88" spans="1:85" ht="12.75" hidden="1" customHeight="1" outlineLevel="1" x14ac:dyDescent="0.2">
      <c r="A88" s="230"/>
      <c r="B88" s="290" t="s">
        <v>299</v>
      </c>
      <c r="C88" s="315"/>
      <c r="D88" s="315"/>
      <c r="E88" s="315"/>
      <c r="F88" s="315"/>
      <c r="G88" s="315"/>
      <c r="H88" s="115"/>
      <c r="I88" s="315">
        <f>IF(ISERROR(I87/C87-1),"NM",I87/C87-1)</f>
        <v>0.54347826086956519</v>
      </c>
      <c r="J88" s="315">
        <f>IF(ISERROR(J87/D87-1),"NM",J87/D87-1)</f>
        <v>0.4137931034482758</v>
      </c>
      <c r="K88" s="315">
        <f>IF(ISERROR(K87/E87-1),"NM",K87/E87-1)</f>
        <v>0.30172413793103448</v>
      </c>
      <c r="L88" s="315">
        <f>IF(ISERROR(L87/F87-1),"NM",L87/F87-1)</f>
        <v>0.14084507042253525</v>
      </c>
      <c r="M88" s="315">
        <f>IF(ISERROR(M87/G87-1),"NM",M87/G87-1)</f>
        <v>0.32832618025751081</v>
      </c>
      <c r="N88" s="115"/>
      <c r="O88" s="315">
        <f>IF(ISERROR(O87/I87-1),"NM",O87/I87-1)</f>
        <v>7.0422535211267512E-3</v>
      </c>
      <c r="P88" s="315">
        <f>IF(ISERROR(P87/J87-1),"NM",P87/J87-1)</f>
        <v>0.10365853658536595</v>
      </c>
      <c r="Q88" s="315">
        <f>IF(ISERROR(Q87/K87-1),"NM",Q87/K87-1)</f>
        <v>0.22516556291390732</v>
      </c>
      <c r="R88" s="315">
        <f>IF(ISERROR(R87/L87-1),"NM",R87/L87-1)</f>
        <v>0.31481481481481488</v>
      </c>
      <c r="S88" s="315">
        <f>IF(ISERROR(S87/M87-1),"NM",S87/M87-1)</f>
        <v>0.16639741518578366</v>
      </c>
      <c r="T88" s="115"/>
      <c r="U88" s="315">
        <f>IF(ISERROR(U87/O87-1),"NM",U87/O87-1)</f>
        <v>0.39860139860139854</v>
      </c>
      <c r="V88" s="315">
        <f>IF(ISERROR(V87/P87-1),"NM",V87/P87-1)</f>
        <v>0.21546961325966851</v>
      </c>
      <c r="W88" s="315">
        <f>IF(ISERROR(W87/Q87-1),"NM",W87/Q87-1)</f>
        <v>0.25405405405405412</v>
      </c>
      <c r="X88" s="315">
        <f>IF(ISERROR(X87/R87-1),"NM",X87/R87-1)</f>
        <v>0.16431924882629101</v>
      </c>
      <c r="Y88" s="315">
        <f>IF(ISERROR(Y87/S87-1),"NM",Y87/S87-1)</f>
        <v>0.24653739612188352</v>
      </c>
      <c r="Z88" s="115"/>
      <c r="AA88" s="315">
        <f>IF(ISERROR(AA87/U87-1),"NM",AA87/U87-1)</f>
        <v>0.25895000000000001</v>
      </c>
      <c r="AB88" s="315">
        <f>IF(ISERROR(AB87/V87-1),"NM",AB87/V87-1)</f>
        <v>0.32254545454545447</v>
      </c>
      <c r="AC88" s="315">
        <f>IF(ISERROR(AC87/W87-1),"NM",AC87/W87-1)</f>
        <v>0.33034482758620687</v>
      </c>
      <c r="AD88" s="315">
        <f>IF(ISERROR(AD87/X87-1),"NM",AD87/X87-1)</f>
        <v>0.22645161290322569</v>
      </c>
      <c r="AE88" s="315">
        <f>IF(ISERROR(AE87/Y87-1),"NM",AE87/Y87-1)</f>
        <v>0.28394444444444455</v>
      </c>
      <c r="AF88" s="115"/>
      <c r="AG88" s="315">
        <f>IF(ISERROR(AG87/AA87-1),"NM",AG87/AA87-1)</f>
        <v>0.20461495690853493</v>
      </c>
      <c r="AH88" s="315">
        <f>IF(ISERROR(AH87/AB87-1),"NM",AH87/AB87-1)</f>
        <v>0.13720098982678031</v>
      </c>
      <c r="AI88" s="315">
        <f>IF(ISERROR(AI87/AC87-1),"NM",AI87/AC87-1)</f>
        <v>-2.6956972524624145E-2</v>
      </c>
      <c r="AJ88" s="315">
        <f>IF(ISERROR(AJ87/AD87-1),"NM",AJ87/AD87-1)</f>
        <v>7.0291951604418701E-2</v>
      </c>
      <c r="AK88" s="315">
        <f>IF(ISERROR(AK87/AE87-1),"NM",AK87/AE87-1)</f>
        <v>9.0433127082341747E-2</v>
      </c>
      <c r="AL88" s="115"/>
      <c r="AM88" s="315">
        <f>IF(ISERROR(AM87/AG87-1),"NM",AM87/AG87-1)</f>
        <v>5.0872045102370533E-2</v>
      </c>
      <c r="AN88" s="315">
        <f>IF(ISERROR(AN87/AH87-1),"NM",AN87/AH87-1)</f>
        <v>0.22071445841392645</v>
      </c>
      <c r="AO88" s="315">
        <f>IF(ISERROR(AO87/AI87-1),"NM",AO87/AI87-1)</f>
        <v>0.30074587107085771</v>
      </c>
      <c r="AP88" s="315">
        <f>IF(ISERROR(AP87/AJ87-1),"NM",AP87/AJ87-1)</f>
        <v>0.55689009031148262</v>
      </c>
      <c r="AQ88" s="315">
        <f>IF(ISERROR(AQ87/AK87-1),"NM",AQ87/AK87-1)</f>
        <v>0.28575850164676009</v>
      </c>
      <c r="AR88" s="42"/>
      <c r="AS88" s="315">
        <f>IF(ISERROR(AS87/AM87-1),"NM",AS87/AM87-1)</f>
        <v>0.56685699943527634</v>
      </c>
      <c r="AT88" s="315">
        <f>IF(ISERROR(AT87/AN87-1),"NM",AT87/AN87-1)</f>
        <v>0.38857666311802141</v>
      </c>
      <c r="AU88" s="315">
        <f>IF(ISERROR(AU87/AO87-1),"NM",AU87/AO87-1)</f>
        <v>0.3720561130452591</v>
      </c>
      <c r="AV88" s="315">
        <f>IF(ISERROR(AV87/AP87-1),"NM",AV87/AP87-1)</f>
        <v>0.19420713059605776</v>
      </c>
      <c r="AW88" s="315">
        <f>IF(ISERROR(AW87/AQ87-1),"NM",AW87/AQ87-1)</f>
        <v>0.35886230649581519</v>
      </c>
      <c r="AX88" s="42"/>
      <c r="AY88" s="315">
        <f>IF(ISERROR(AY87/AS87-1),"NM",AY87/AS87-1)</f>
        <v>0.12137623449116997</v>
      </c>
      <c r="AZ88" s="315">
        <f>IF(ISERROR(AZ87/AT87-1),"NM",AZ87/AT87-1)</f>
        <v>0.10477495446778318</v>
      </c>
      <c r="BA88" s="315">
        <f>IF(ISERROR(BA87/AU87-1),"NM",BA87/AU87-1)</f>
        <v>0.1454078786009434</v>
      </c>
      <c r="BB88" s="315">
        <f>IF(ISERROR(BB87/AV87-1),"NM",BB87/AV87-1)</f>
        <v>0.17401973380509927</v>
      </c>
      <c r="BC88" s="315">
        <f>IF(ISERROR(BC87/AW87-1),"NM",BC87/AW87-1)</f>
        <v>0.13747079238334847</v>
      </c>
      <c r="BD88" s="42"/>
      <c r="BE88" s="315">
        <f>IF(ISERROR(BE87/AY87-1),"NM",BE87/AY87-1)</f>
        <v>0.24981077697391307</v>
      </c>
      <c r="BF88" s="315">
        <f>IF(ISERROR(BF87/AZ87-1),"NM",BF87/AZ87-1)</f>
        <v>0.37178819564152699</v>
      </c>
      <c r="BG88" s="315">
        <f>IF(ISERROR(BG87/BA87-1),"NM",BG87/BA87-1)</f>
        <v>0.40165902141604293</v>
      </c>
      <c r="BH88" s="315">
        <f>IF(ISERROR(BH87/BB87-1),"NM",BH87/BB87-1)</f>
        <v>0.27867490485731938</v>
      </c>
      <c r="BI88" s="315">
        <f>IF(ISERROR(BI87/BC87-1),"NM",BI87/BC87-1)</f>
        <v>0.32540989747288163</v>
      </c>
      <c r="BJ88" s="42"/>
      <c r="BK88" s="315">
        <f>IF(ISERROR(BK87/BE87-1),"NM",BK87/BE87-1)</f>
        <v>0.44286553433249298</v>
      </c>
      <c r="BL88" s="315">
        <f>IF(ISERROR(BL87/BF87-1),"NM",BL87/BF87-1)</f>
        <v>0.36173239073733554</v>
      </c>
      <c r="BM88" s="315">
        <f>IF(ISERROR(BM87/BG87-1),"NM",BM87/BG87-1)</f>
        <v>0.4967196416504116</v>
      </c>
      <c r="BN88" s="315">
        <f>IF(ISERROR(BN87/BH87-1),"NM",BN87/BH87-1)</f>
        <v>0.60334301845676386</v>
      </c>
      <c r="BO88" s="315">
        <f>IF(ISERROR(BO87/BI87-1),"NM",BO87/BI87-1)</f>
        <v>0.47998173522703391</v>
      </c>
      <c r="BP88" s="42"/>
      <c r="BQ88" s="315">
        <f>IF(ISERROR(BQ87/BK87-1),"NM",BQ87/BK87-1)</f>
        <v>0.52768335345041861</v>
      </c>
      <c r="BR88" s="318"/>
      <c r="BS88" s="318"/>
      <c r="BT88" s="318"/>
      <c r="BU88" s="316"/>
      <c r="BV88" s="42"/>
      <c r="BW88" s="318"/>
      <c r="BX88" s="318"/>
      <c r="BY88" s="318"/>
      <c r="BZ88" s="318"/>
      <c r="CA88" s="316"/>
      <c r="CB88" s="42"/>
      <c r="CC88" s="318"/>
      <c r="CD88" s="318"/>
      <c r="CE88" s="318"/>
      <c r="CF88" s="318"/>
      <c r="CG88" s="316"/>
    </row>
    <row r="89" spans="1:85" ht="12.75" hidden="1" customHeight="1" outlineLevel="1" x14ac:dyDescent="0.2">
      <c r="A89" s="230"/>
      <c r="B89" s="290" t="s">
        <v>341</v>
      </c>
      <c r="C89" s="315"/>
      <c r="D89" s="315"/>
      <c r="E89" s="315"/>
      <c r="F89" s="315"/>
      <c r="G89" s="315"/>
      <c r="H89" s="115"/>
      <c r="I89" s="315"/>
      <c r="J89" s="315"/>
      <c r="K89" s="315"/>
      <c r="L89" s="315"/>
      <c r="M89" s="315"/>
      <c r="N89" s="115"/>
      <c r="O89" s="315">
        <f>O67/I87</f>
        <v>0.20810466745108719</v>
      </c>
      <c r="P89" s="315">
        <f>P67/J87</f>
        <v>0.32164643496416828</v>
      </c>
      <c r="Q89" s="315">
        <f>Q67/K87</f>
        <v>0.3778471718992672</v>
      </c>
      <c r="R89" s="315">
        <f>R67/L87</f>
        <v>0.26155076115247206</v>
      </c>
      <c r="S89" s="315">
        <f>S67/M87</f>
        <v>0.29358162257781528</v>
      </c>
      <c r="T89" s="115"/>
      <c r="U89" s="315">
        <f>U67/O87</f>
        <v>0.40234732695520281</v>
      </c>
      <c r="V89" s="315">
        <f>V67/P87</f>
        <v>0.29477067203520679</v>
      </c>
      <c r="W89" s="315">
        <f>W67/Q87</f>
        <v>0.36817132761149429</v>
      </c>
      <c r="X89" s="315">
        <f>X67/R87</f>
        <v>0.2981478059252794</v>
      </c>
      <c r="Y89" s="315">
        <f>Y67/S87</f>
        <v>0.3358813541041234</v>
      </c>
      <c r="Z89" s="115"/>
      <c r="AA89" s="315">
        <f>AA67/U87</f>
        <v>0.30043929926502333</v>
      </c>
      <c r="AB89" s="315">
        <f>AB67/V87</f>
        <v>-7.2123767979683867E-2</v>
      </c>
      <c r="AC89" s="315">
        <f>AC67/W87</f>
        <v>-0.18545906364834575</v>
      </c>
      <c r="AD89" s="315">
        <f>AD67/X87</f>
        <v>-0.10472839383937763</v>
      </c>
      <c r="AE89" s="315">
        <f>AE67/Y87</f>
        <v>-2.7531681712342031E-2</v>
      </c>
      <c r="AF89" s="115"/>
      <c r="AG89" s="315">
        <f>AG67/AA87</f>
        <v>-0.17728261202118881</v>
      </c>
      <c r="AH89" s="315">
        <f>AH67/AB87</f>
        <v>9.4194551125632214E-2</v>
      </c>
      <c r="AI89" s="315">
        <f>AI67/AC87</f>
        <v>0.15669244194734677</v>
      </c>
      <c r="AJ89" s="315">
        <f>AJ67/AD87</f>
        <v>0.15396505081435408</v>
      </c>
      <c r="AK89" s="315">
        <f>AK67/AE87</f>
        <v>6.7466074902013506E-2</v>
      </c>
      <c r="AL89" s="115"/>
      <c r="AM89" s="315">
        <f>AM67/AG87</f>
        <v>0.23881175142624531</v>
      </c>
      <c r="AN89" s="315">
        <f>AN67/AH87</f>
        <v>0.30791168107786454</v>
      </c>
      <c r="AO89" s="315">
        <f>AO67/AI87</f>
        <v>0.27981082829753684</v>
      </c>
      <c r="AP89" s="315">
        <f>AP67/AJ87</f>
        <v>0.48815631702287282</v>
      </c>
      <c r="AQ89" s="315">
        <f>AQ67/AK87</f>
        <v>0.33114797409474273</v>
      </c>
      <c r="AR89" s="42"/>
      <c r="AS89" s="315">
        <f>AS67/AM87</f>
        <v>0.33596642727292436</v>
      </c>
      <c r="AT89" s="315">
        <f>AT67/AN87</f>
        <v>0.30340905532728002</v>
      </c>
      <c r="AU89" s="315">
        <f>AU67/AO87</f>
        <v>0.3495916360314002</v>
      </c>
      <c r="AV89" s="315">
        <f>AV67/AP87</f>
        <v>0.25074392866278605</v>
      </c>
      <c r="AW89" s="315">
        <f>AW67/AQ87</f>
        <v>0.35076717319067646</v>
      </c>
      <c r="AX89" s="42"/>
      <c r="AY89" s="315">
        <f>AY67/AS87</f>
        <v>0.26380217348817708</v>
      </c>
      <c r="AZ89" s="315">
        <f>AZ67/AT87</f>
        <v>0.36253483994671476</v>
      </c>
      <c r="BA89" s="315">
        <f>BA67/AU87</f>
        <v>0.35427765974489317</v>
      </c>
      <c r="BB89" s="315">
        <f>BB67/AV87</f>
        <v>0.21351061654712908</v>
      </c>
      <c r="BC89" s="315">
        <f>BC67/AW87</f>
        <v>0.29942700845659492</v>
      </c>
      <c r="BD89" s="42"/>
      <c r="BE89" s="315">
        <f>BE67/AY87</f>
        <v>0.18674874218523982</v>
      </c>
      <c r="BF89" s="315">
        <f>BF67/AZ87</f>
        <v>0.14237490399036848</v>
      </c>
      <c r="BG89" s="315">
        <f>BG67/BA87</f>
        <v>2.7747758882141569E-2</v>
      </c>
      <c r="BH89" s="315">
        <f>BH67/BB87</f>
        <v>1.2473708299124255E-2</v>
      </c>
      <c r="BI89" s="315">
        <f>BI67/BC87</f>
        <v>8.7335989212573198E-2</v>
      </c>
      <c r="BJ89" s="42"/>
      <c r="BK89" s="315">
        <f>BK67/BE87</f>
        <v>0.40495806408939916</v>
      </c>
      <c r="BL89" s="315">
        <f>BL67/BF87</f>
        <v>0.30862490667819653</v>
      </c>
      <c r="BM89" s="315">
        <f>BM67/BG87</f>
        <v>0.30286118369483828</v>
      </c>
      <c r="BN89" s="315">
        <f>BN67/BH87</f>
        <v>0.27212797569914549</v>
      </c>
      <c r="BO89" s="315">
        <f>BO67/BI87</f>
        <v>0.31745467049495302</v>
      </c>
      <c r="BP89" s="42"/>
      <c r="BQ89" s="315">
        <f>BQ67/BK87</f>
        <v>0.17435287017499371</v>
      </c>
      <c r="BR89" s="318"/>
      <c r="BS89" s="318"/>
      <c r="BT89" s="318"/>
      <c r="BU89" s="316"/>
      <c r="BV89" s="42"/>
      <c r="BW89" s="318"/>
      <c r="BX89" s="318"/>
      <c r="BY89" s="318"/>
      <c r="BZ89" s="318"/>
      <c r="CA89" s="316"/>
      <c r="CB89" s="42"/>
      <c r="CC89" s="318"/>
      <c r="CD89" s="318"/>
      <c r="CE89" s="318"/>
      <c r="CF89" s="318"/>
      <c r="CG89" s="316"/>
    </row>
    <row r="90" spans="1:85" ht="12.75" hidden="1" customHeight="1" outlineLevel="1" x14ac:dyDescent="0.2">
      <c r="A90" s="230"/>
      <c r="B90" s="290" t="s">
        <v>26</v>
      </c>
      <c r="C90" s="315"/>
      <c r="D90" s="315"/>
      <c r="E90" s="315"/>
      <c r="F90" s="315"/>
      <c r="G90" s="315"/>
      <c r="H90" s="115"/>
      <c r="I90" s="315"/>
      <c r="J90" s="315"/>
      <c r="K90" s="315"/>
      <c r="L90" s="315"/>
      <c r="M90" s="315"/>
      <c r="N90" s="115"/>
      <c r="O90" s="315">
        <f>+O89+I89</f>
        <v>0.20810466745108719</v>
      </c>
      <c r="P90" s="315">
        <f>+P89+J89</f>
        <v>0.32164643496416828</v>
      </c>
      <c r="Q90" s="315">
        <f>+Q89+K89</f>
        <v>0.3778471718992672</v>
      </c>
      <c r="R90" s="315">
        <f>+R89+L89</f>
        <v>0.26155076115247206</v>
      </c>
      <c r="S90" s="315">
        <f>+S89+M89</f>
        <v>0.29358162257781528</v>
      </c>
      <c r="T90" s="115"/>
      <c r="U90" s="315">
        <f>+U89+O89</f>
        <v>0.61045199440629005</v>
      </c>
      <c r="V90" s="315">
        <f>+V89+P89</f>
        <v>0.61641710699937513</v>
      </c>
      <c r="W90" s="315">
        <f>+W89+Q89</f>
        <v>0.74601849951076149</v>
      </c>
      <c r="X90" s="315">
        <f>+X89+R89</f>
        <v>0.55969856707775145</v>
      </c>
      <c r="Y90" s="315">
        <f>+Y89+S89</f>
        <v>0.62946297668193862</v>
      </c>
      <c r="Z90" s="115"/>
      <c r="AA90" s="315">
        <f>+AA89+U89</f>
        <v>0.70278662622022614</v>
      </c>
      <c r="AB90" s="315">
        <f>+AB89+V89</f>
        <v>0.22264690405552293</v>
      </c>
      <c r="AC90" s="315">
        <f>+AC89+W89</f>
        <v>0.18271226396314855</v>
      </c>
      <c r="AD90" s="315">
        <f>+AD89+X89</f>
        <v>0.19341941208590177</v>
      </c>
      <c r="AE90" s="315">
        <f>+AE89+Y89</f>
        <v>0.30834967239178135</v>
      </c>
      <c r="AF90" s="115"/>
      <c r="AG90" s="315">
        <f>+AG89+AA89</f>
        <v>0.12315668724383452</v>
      </c>
      <c r="AH90" s="315">
        <f>+AH89+AB89</f>
        <v>2.2070783145948347E-2</v>
      </c>
      <c r="AI90" s="315">
        <f>+AI89+AC89</f>
        <v>-2.8766621700998973E-2</v>
      </c>
      <c r="AJ90" s="315">
        <f>+AJ89+AD89</f>
        <v>4.923665697497645E-2</v>
      </c>
      <c r="AK90" s="315">
        <f>+AK89+AE89</f>
        <v>3.9934393189671472E-2</v>
      </c>
      <c r="AL90" s="115"/>
      <c r="AM90" s="315">
        <f>+AM89+AG89</f>
        <v>6.1529139405056499E-2</v>
      </c>
      <c r="AN90" s="315">
        <f>+AN89+AH89</f>
        <v>0.40210623220349673</v>
      </c>
      <c r="AO90" s="315">
        <f>+AO89+AI89</f>
        <v>0.43650327024488361</v>
      </c>
      <c r="AP90" s="315">
        <f>+AP89+AJ89</f>
        <v>0.64212136783722684</v>
      </c>
      <c r="AQ90" s="315">
        <f>+AQ89+AK89</f>
        <v>0.39861404899675623</v>
      </c>
      <c r="AR90" s="42"/>
      <c r="AS90" s="315">
        <f>+AS89+AM89</f>
        <v>0.5747781786991697</v>
      </c>
      <c r="AT90" s="315">
        <f>+AT89+AN89</f>
        <v>0.6113207364051445</v>
      </c>
      <c r="AU90" s="315">
        <f>+AU89+AO89</f>
        <v>0.62940246432893709</v>
      </c>
      <c r="AV90" s="315">
        <f>+AV89+AP89</f>
        <v>0.73890024568565882</v>
      </c>
      <c r="AW90" s="315">
        <f>+AW89+AQ89</f>
        <v>0.68191514728541924</v>
      </c>
      <c r="AX90" s="42"/>
      <c r="AY90" s="315">
        <f>+AY89+AS89</f>
        <v>0.59976860076110139</v>
      </c>
      <c r="AZ90" s="315">
        <f>+AZ89+AT89</f>
        <v>0.66594389527399478</v>
      </c>
      <c r="BA90" s="315">
        <f>+BA89+AU89</f>
        <v>0.70386929577629331</v>
      </c>
      <c r="BB90" s="315">
        <f>+BB89+AV89</f>
        <v>0.46425454520991516</v>
      </c>
      <c r="BC90" s="315">
        <f>+BC89+AW89</f>
        <v>0.65019418164727139</v>
      </c>
      <c r="BD90" s="42"/>
      <c r="BE90" s="315">
        <f>+BE89+AY89</f>
        <v>0.45055091567341687</v>
      </c>
      <c r="BF90" s="315">
        <f>+BF89+AZ89</f>
        <v>0.50490974393708321</v>
      </c>
      <c r="BG90" s="315">
        <f>+BG89+BA89</f>
        <v>0.38202541862703476</v>
      </c>
      <c r="BH90" s="315">
        <f>+BH89+BB89</f>
        <v>0.22598432484625333</v>
      </c>
      <c r="BI90" s="315">
        <f>+BI89+BC89</f>
        <v>0.38676299766916811</v>
      </c>
      <c r="BJ90" s="42"/>
      <c r="BK90" s="315">
        <f>+BK89+BE89</f>
        <v>0.59170680627463901</v>
      </c>
      <c r="BL90" s="315">
        <f>+BL89+BF89</f>
        <v>0.45099981066856498</v>
      </c>
      <c r="BM90" s="315">
        <f>+BM89+BG89</f>
        <v>0.33060894257697987</v>
      </c>
      <c r="BN90" s="315">
        <f>+BN89+BH89</f>
        <v>0.28460168399826974</v>
      </c>
      <c r="BO90" s="315">
        <f>+BO89+BI89</f>
        <v>0.4047906597075262</v>
      </c>
      <c r="BP90" s="42"/>
      <c r="BQ90" s="315">
        <f>+BQ89+BK89</f>
        <v>0.57931093426439284</v>
      </c>
      <c r="BR90" s="318"/>
      <c r="BS90" s="318"/>
      <c r="BT90" s="318"/>
      <c r="BU90" s="316"/>
      <c r="BV90" s="42"/>
      <c r="BW90" s="318"/>
      <c r="BX90" s="318"/>
      <c r="BY90" s="318"/>
      <c r="BZ90" s="318"/>
      <c r="CA90" s="316"/>
      <c r="CB90" s="42"/>
      <c r="CC90" s="318"/>
      <c r="CD90" s="318"/>
      <c r="CE90" s="318"/>
      <c r="CF90" s="318"/>
      <c r="CG90" s="316"/>
    </row>
    <row r="91" spans="1:85" ht="5.25" hidden="1" customHeight="1" outlineLevel="1" x14ac:dyDescent="0.2">
      <c r="A91" s="230"/>
      <c r="B91" s="290"/>
      <c r="C91" s="315"/>
      <c r="D91" s="315"/>
      <c r="E91" s="315"/>
      <c r="F91" s="315"/>
      <c r="G91" s="315"/>
      <c r="H91" s="115"/>
      <c r="I91" s="315"/>
      <c r="J91" s="315"/>
      <c r="K91" s="315"/>
      <c r="L91" s="315"/>
      <c r="M91" s="315"/>
      <c r="N91" s="115"/>
      <c r="O91" s="315"/>
      <c r="P91" s="315"/>
      <c r="Q91" s="315"/>
      <c r="R91" s="315"/>
      <c r="S91" s="315"/>
      <c r="T91" s="115"/>
      <c r="U91" s="315"/>
      <c r="V91" s="315"/>
      <c r="W91" s="315"/>
      <c r="X91" s="315"/>
      <c r="Y91" s="315"/>
      <c r="Z91" s="115"/>
      <c r="AA91" s="315"/>
      <c r="AB91" s="315"/>
      <c r="AC91" s="315"/>
      <c r="AD91" s="315"/>
      <c r="AE91" s="315"/>
      <c r="AF91" s="115"/>
      <c r="AG91" s="315"/>
      <c r="AH91" s="315"/>
      <c r="AI91" s="315"/>
      <c r="AJ91" s="315"/>
      <c r="AK91" s="315"/>
      <c r="AL91" s="115"/>
      <c r="AM91" s="316"/>
      <c r="AN91" s="316"/>
      <c r="AO91" s="316"/>
      <c r="AP91" s="315"/>
      <c r="AQ91" s="315"/>
      <c r="AR91" s="42"/>
      <c r="AS91" s="316"/>
      <c r="AT91" s="316"/>
      <c r="AU91" s="316"/>
      <c r="AV91" s="42"/>
      <c r="AW91" s="315"/>
      <c r="AX91" s="42"/>
      <c r="AY91" s="316"/>
      <c r="AZ91" s="316"/>
      <c r="BA91" s="316"/>
      <c r="BB91" s="316"/>
      <c r="BC91" s="315"/>
      <c r="BD91" s="42"/>
      <c r="BE91" s="316"/>
      <c r="BF91" s="316"/>
      <c r="BG91" s="316"/>
      <c r="BH91" s="316"/>
      <c r="BI91" s="315"/>
      <c r="BJ91" s="42"/>
      <c r="BK91" s="316"/>
      <c r="BL91" s="316"/>
      <c r="BM91" s="316"/>
      <c r="BN91" s="316"/>
      <c r="BO91" s="315"/>
      <c r="BP91" s="42"/>
      <c r="BQ91" s="316"/>
      <c r="BR91" s="316"/>
      <c r="BS91" s="316"/>
      <c r="BT91" s="316"/>
      <c r="BU91" s="316"/>
      <c r="BV91" s="42"/>
      <c r="BW91" s="316"/>
      <c r="BX91" s="316"/>
      <c r="BY91" s="316"/>
      <c r="BZ91" s="316"/>
      <c r="CA91" s="316"/>
      <c r="CB91" s="42"/>
      <c r="CC91" s="316"/>
      <c r="CD91" s="316"/>
      <c r="CE91" s="316"/>
      <c r="CF91" s="316"/>
      <c r="CG91" s="316"/>
    </row>
    <row r="92" spans="1:85" ht="12.75" hidden="1" customHeight="1" outlineLevel="1" x14ac:dyDescent="0.2">
      <c r="A92" s="230"/>
      <c r="B92" s="32" t="s">
        <v>150</v>
      </c>
      <c r="C92" s="47">
        <f>3.3+63.761-63.8</f>
        <v>3.2610000000000099</v>
      </c>
      <c r="D92" s="47">
        <f>3.7+(76.603-76.6)</f>
        <v>3.7030000000000003</v>
      </c>
      <c r="E92" s="47">
        <f>2.6+(71.451-71.5)</f>
        <v>2.5509999999999935</v>
      </c>
      <c r="F92" s="47">
        <f>3.1+(72.517-72.2)</f>
        <v>3.4169999999999932</v>
      </c>
      <c r="G92" s="49">
        <f>+SUM(C92:F92)</f>
        <v>12.931999999999997</v>
      </c>
      <c r="H92" s="115"/>
      <c r="I92" s="47">
        <f>3+(74.776-74.8)</f>
        <v>2.9759999999999991</v>
      </c>
      <c r="J92" s="47">
        <f>3.6+(79.902-79.9)</f>
        <v>3.6019999999999954</v>
      </c>
      <c r="K92" s="47">
        <f>2.6+(75.173-75.2)</f>
        <v>2.5729999999999991</v>
      </c>
      <c r="L92" s="47">
        <f>3.1+(74.125-74.1)</f>
        <v>3.1250000000000058</v>
      </c>
      <c r="M92" s="49">
        <f>+SUM(I92:L92)</f>
        <v>12.275999999999998</v>
      </c>
      <c r="N92" s="115"/>
      <c r="O92" s="47">
        <f>3.8+(70.132-70.1)</f>
        <v>3.8320000000000105</v>
      </c>
      <c r="P92" s="47">
        <f>4.9+(76.316-76.3)</f>
        <v>4.9160000000000057</v>
      </c>
      <c r="Q92" s="47">
        <f>4.2+(79.269-79.3)</f>
        <v>4.1690000000000085</v>
      </c>
      <c r="R92" s="47">
        <f>4.1+(86.616-86.6)</f>
        <v>4.116000000000005</v>
      </c>
      <c r="S92" s="49">
        <f>+SUM(O92:R92)</f>
        <v>17.03300000000003</v>
      </c>
      <c r="T92" s="115"/>
      <c r="U92" s="47">
        <f>4.7+(90.09-90.1)</f>
        <v>4.6900000000000093</v>
      </c>
      <c r="V92" s="47">
        <f>5.4+(93.898-93.9)</f>
        <v>5.3979999999999908</v>
      </c>
      <c r="W92" s="47">
        <f>4.8+(95.947-95.9)</f>
        <v>4.8469999999999969</v>
      </c>
      <c r="X92" s="47">
        <f>5.4+(92.893-92.9)</f>
        <v>5.3929999999999954</v>
      </c>
      <c r="Y92" s="49">
        <f>+SUM(U92:X92)</f>
        <v>20.327999999999996</v>
      </c>
      <c r="Z92" s="115"/>
      <c r="AA92" s="47">
        <v>5.4189999999999996</v>
      </c>
      <c r="AB92" s="47">
        <v>5.9939999999999998</v>
      </c>
      <c r="AC92" s="47">
        <v>6.2539999999999996</v>
      </c>
      <c r="AD92" s="47">
        <v>7.0890000000000004</v>
      </c>
      <c r="AE92" s="49">
        <f>+SUM(AA92:AD92)</f>
        <v>24.756</v>
      </c>
      <c r="AF92" s="115"/>
      <c r="AG92" s="47">
        <v>6.7569999999999997</v>
      </c>
      <c r="AH92" s="47">
        <v>7.7889999999999997</v>
      </c>
      <c r="AI92" s="47">
        <v>7.4569999999999999</v>
      </c>
      <c r="AJ92" s="47">
        <v>8.66</v>
      </c>
      <c r="AK92" s="49">
        <f>+SUM(AG92:AJ92)</f>
        <v>30.663</v>
      </c>
      <c r="AL92" s="115"/>
      <c r="AM92" s="47">
        <v>12.709</v>
      </c>
      <c r="AN92" s="47">
        <v>10.766</v>
      </c>
      <c r="AO92" s="47">
        <v>10.679</v>
      </c>
      <c r="AP92" s="47">
        <v>10.57</v>
      </c>
      <c r="AQ92" s="49">
        <f>+SUM(AM92:AP92)</f>
        <v>44.724000000000004</v>
      </c>
      <c r="AR92" s="42"/>
      <c r="AS92" s="47">
        <v>10.481</v>
      </c>
      <c r="AT92" s="47">
        <v>12.099</v>
      </c>
      <c r="AU92" s="47">
        <v>11.35</v>
      </c>
      <c r="AV92" s="128">
        <v>12.3</v>
      </c>
      <c r="AW92" s="49">
        <f>+SUM(AS92:AV92)</f>
        <v>46.230000000000004</v>
      </c>
      <c r="AX92" s="42"/>
      <c r="AY92" s="47">
        <v>12.265000000000001</v>
      </c>
      <c r="AZ92" s="47">
        <v>12.784000000000001</v>
      </c>
      <c r="BA92" s="47">
        <v>12.942</v>
      </c>
      <c r="BB92" s="47">
        <v>13.404999999999999</v>
      </c>
      <c r="BC92" s="49">
        <f>+SUM(AY92:BB92)</f>
        <v>51.396000000000001</v>
      </c>
      <c r="BD92" s="42"/>
      <c r="BE92" s="762">
        <f>+BE29</f>
        <v>14.148999999999999</v>
      </c>
      <c r="BF92" s="762">
        <f>+BF29</f>
        <v>15.824</v>
      </c>
      <c r="BG92" s="800">
        <f>+BG29</f>
        <v>15.564</v>
      </c>
      <c r="BH92" s="800">
        <f>+BH29</f>
        <v>17.468</v>
      </c>
      <c r="BI92" s="49">
        <f>+SUM(BE92:BH92)</f>
        <v>63.004999999999995</v>
      </c>
      <c r="BJ92" s="42"/>
      <c r="BK92" s="762">
        <f>+BK29</f>
        <v>17.942</v>
      </c>
      <c r="BL92" s="762">
        <f>+BL29</f>
        <v>20.588000000000001</v>
      </c>
      <c r="BM92" s="800">
        <f>+BM29</f>
        <v>21.21</v>
      </c>
      <c r="BN92" s="800">
        <f>+BN29</f>
        <v>21.968</v>
      </c>
      <c r="BO92" s="49">
        <f>+SUM(BK92:BN92)</f>
        <v>81.707999999999998</v>
      </c>
      <c r="BP92" s="42"/>
      <c r="BQ92" s="762">
        <f>+BQ29</f>
        <v>24.216000000000001</v>
      </c>
      <c r="BR92" s="38"/>
      <c r="BS92" s="38"/>
      <c r="BT92" s="38"/>
      <c r="BU92" s="38"/>
      <c r="BV92" s="42"/>
      <c r="BW92" s="38"/>
      <c r="BX92" s="38"/>
      <c r="BY92" s="38"/>
      <c r="BZ92" s="38"/>
      <c r="CA92" s="38"/>
      <c r="CB92" s="42"/>
      <c r="CC92" s="38"/>
      <c r="CD92" s="38"/>
      <c r="CE92" s="38"/>
      <c r="CF92" s="38"/>
      <c r="CG92" s="38"/>
    </row>
    <row r="93" spans="1:85" ht="12.75" hidden="1" customHeight="1" outlineLevel="1" x14ac:dyDescent="0.2">
      <c r="A93" s="230"/>
      <c r="B93" s="290" t="s">
        <v>299</v>
      </c>
      <c r="C93" s="315"/>
      <c r="D93" s="315"/>
      <c r="E93" s="315"/>
      <c r="F93" s="315"/>
      <c r="G93" s="315"/>
      <c r="H93" s="115"/>
      <c r="I93" s="315">
        <f>IF(ISERROR(I92/C92-1),"NM",I92/C92-1)</f>
        <v>-8.7396504139837461E-2</v>
      </c>
      <c r="J93" s="315">
        <f>IF(ISERROR(J92/D92-1),"NM",J92/D92-1)</f>
        <v>-2.7275182284635435E-2</v>
      </c>
      <c r="K93" s="315">
        <f>IF(ISERROR(K92/E92-1),"NM",K92/E92-1)</f>
        <v>8.6240689925540792E-3</v>
      </c>
      <c r="L93" s="315">
        <f>IF(ISERROR(L92/F92-1),"NM",L92/F92-1)</f>
        <v>-8.5455077553405867E-2</v>
      </c>
      <c r="M93" s="315">
        <f>IF(ISERROR(M92/G92-1),"NM",M92/G92-1)</f>
        <v>-5.072687905969675E-2</v>
      </c>
      <c r="N93" s="115"/>
      <c r="O93" s="315">
        <f>IF(ISERROR(O92/I92-1),"NM",O92/I92-1)</f>
        <v>0.2876344086021545</v>
      </c>
      <c r="P93" s="315">
        <f>IF(ISERROR(P92/J92-1),"NM",P92/J92-1)</f>
        <v>0.36479733481399546</v>
      </c>
      <c r="Q93" s="315">
        <f>IF(ISERROR(Q92/K92-1),"NM",Q92/K92-1)</f>
        <v>0.62028760202099109</v>
      </c>
      <c r="R93" s="315">
        <f>IF(ISERROR(R92/L92-1),"NM",R92/L92-1)</f>
        <v>0.31711999999999918</v>
      </c>
      <c r="S93" s="315">
        <f>IF(ISERROR(S92/M92-1),"NM",S92/M92-1)</f>
        <v>0.38750407298794665</v>
      </c>
      <c r="T93" s="115"/>
      <c r="U93" s="315">
        <f>IF(ISERROR(U92/O92-1),"NM",U92/O92-1)</f>
        <v>0.22390396659707634</v>
      </c>
      <c r="V93" s="315">
        <f>IF(ISERROR(V92/P92-1),"NM",V92/P92-1)</f>
        <v>9.8047192839703978E-2</v>
      </c>
      <c r="W93" s="315">
        <f>IF(ISERROR(W92/Q92-1),"NM",W92/Q92-1)</f>
        <v>0.1626289278004287</v>
      </c>
      <c r="X93" s="315">
        <f>IF(ISERROR(X92/R92-1),"NM",X92/R92-1)</f>
        <v>0.31025267249756783</v>
      </c>
      <c r="Y93" s="315">
        <f>IF(ISERROR(Y92/S92-1),"NM",Y92/S92-1)</f>
        <v>0.19344801268126344</v>
      </c>
      <c r="Z93" s="115"/>
      <c r="AA93" s="315">
        <f>IF(ISERROR(AA92/U92-1),"NM",AA92/U92-1)</f>
        <v>0.15543710021321733</v>
      </c>
      <c r="AB93" s="315">
        <f>IF(ISERROR(AB92/V92-1),"NM",AB92/V92-1)</f>
        <v>0.11041126343090224</v>
      </c>
      <c r="AC93" s="315">
        <f>IF(ISERROR(AC92/W92-1),"NM",AC92/W92-1)</f>
        <v>0.29028264906127577</v>
      </c>
      <c r="AD93" s="315">
        <f>IF(ISERROR(AD92/X92-1),"NM",AD92/X92-1)</f>
        <v>0.31448173558316461</v>
      </c>
      <c r="AE93" s="315">
        <f>IF(ISERROR(AE92/Y92-1),"NM",AE92/Y92-1)</f>
        <v>0.21782762691853619</v>
      </c>
      <c r="AF93" s="115"/>
      <c r="AG93" s="315">
        <f>IF(ISERROR(AG92/AA92-1),"NM",AG92/AA92-1)</f>
        <v>0.24690902380513013</v>
      </c>
      <c r="AH93" s="315">
        <f>IF(ISERROR(AH92/AB92-1),"NM",AH92/AB92-1)</f>
        <v>0.2994661327994661</v>
      </c>
      <c r="AI93" s="315">
        <f>IF(ISERROR(AI92/AC92-1),"NM",AI92/AC92-1)</f>
        <v>0.19235689158938296</v>
      </c>
      <c r="AJ93" s="315">
        <f>IF(ISERROR(AJ92/AD92-1),"NM",AJ92/AD92-1)</f>
        <v>0.22161094653688806</v>
      </c>
      <c r="AK93" s="315">
        <f>IF(ISERROR(AK92/AE92-1),"NM",AK92/AE92-1)</f>
        <v>0.23860882210373235</v>
      </c>
      <c r="AL93" s="115"/>
      <c r="AM93" s="315">
        <f>IF(ISERROR(AM92/AG92-1),"NM",AM92/AG92-1)</f>
        <v>0.8808642888856002</v>
      </c>
      <c r="AN93" s="315">
        <f>IF(ISERROR(AN92/AH92-1),"NM",AN92/AH92-1)</f>
        <v>0.38220567466940558</v>
      </c>
      <c r="AO93" s="315">
        <f>IF(ISERROR(AO92/AI92-1),"NM",AO92/AI92-1)</f>
        <v>0.43207724285905869</v>
      </c>
      <c r="AP93" s="315">
        <f>IF(ISERROR(AP92/AJ92-1),"NM",AP92/AJ92-1)</f>
        <v>0.22055427251732107</v>
      </c>
      <c r="AQ93" s="315">
        <f>IF(ISERROR(AQ92/AK92-1),"NM",AQ92/AK92-1)</f>
        <v>0.45856569807259584</v>
      </c>
      <c r="AR93" s="42"/>
      <c r="AS93" s="315">
        <f>IF(ISERROR(AS92/AM92-1),"NM",AS92/AM92-1)</f>
        <v>-0.17530883625777005</v>
      </c>
      <c r="AT93" s="315">
        <f>IF(ISERROR(AT92/AN92-1),"NM",AT92/AN92-1)</f>
        <v>0.12381571614341458</v>
      </c>
      <c r="AU93" s="315">
        <f>IF(ISERROR(AU92/AO92-1),"NM",AU92/AO92-1)</f>
        <v>6.283359865155913E-2</v>
      </c>
      <c r="AV93" s="315">
        <f>IF(ISERROR(AV92/AP92-1),"NM",AV92/AP92-1)</f>
        <v>0.16367076631977295</v>
      </c>
      <c r="AW93" s="315">
        <f>IF(ISERROR(AW92/AQ92-1),"NM",AW92/AQ92-1)</f>
        <v>3.3673195599678074E-2</v>
      </c>
      <c r="AX93" s="42"/>
      <c r="AY93" s="315">
        <f>IF(ISERROR(AY92/AS92-1),"NM",AY92/AS92-1)</f>
        <v>0.17021276595744683</v>
      </c>
      <c r="AZ93" s="315">
        <f>IF(ISERROR(AZ92/AT92-1),"NM",AZ92/AT92-1)</f>
        <v>5.6616249276799868E-2</v>
      </c>
      <c r="BA93" s="315">
        <f>IF(ISERROR(BA92/AU92-1),"NM",BA92/AU92-1)</f>
        <v>0.14026431718061683</v>
      </c>
      <c r="BB93" s="315">
        <f>IF(ISERROR(BB92/AV92-1),"NM",BB92/AV92-1)</f>
        <v>8.9837398373983524E-2</v>
      </c>
      <c r="BC93" s="315">
        <f>IF(ISERROR(BC92/AW92-1),"NM",BC92/AW92-1)</f>
        <v>0.11174561972744956</v>
      </c>
      <c r="BD93" s="42"/>
      <c r="BE93" s="315">
        <f>IF(ISERROR(BE92/AY92-1),"NM",BE92/AY92-1)</f>
        <v>0.15360782715042798</v>
      </c>
      <c r="BF93" s="315">
        <f>IF(ISERROR(BF92/AZ92-1),"NM",BF92/AZ92-1)</f>
        <v>0.23779724655819767</v>
      </c>
      <c r="BG93" s="315">
        <f>IF(ISERROR(BG92/BA92-1),"NM",BG92/BA92-1)</f>
        <v>0.20259619842373655</v>
      </c>
      <c r="BH93" s="315">
        <f>IF(ISERROR(BH92/BB92-1),"NM",BH92/BB92-1)</f>
        <v>0.30309585975382336</v>
      </c>
      <c r="BI93" s="315">
        <f>IF(ISERROR(BI92/BC92-1),"NM",BI92/BC92-1)</f>
        <v>0.22587360884115482</v>
      </c>
      <c r="BJ93" s="42"/>
      <c r="BK93" s="315">
        <f>IF(ISERROR(BK92/BE92-1),"NM",BK92/BE92-1)</f>
        <v>0.26807548236624501</v>
      </c>
      <c r="BL93" s="315">
        <f>IF(ISERROR(BL92/BF92-1),"NM",BL92/BF92-1)</f>
        <v>0.30106167846309417</v>
      </c>
      <c r="BM93" s="315">
        <f>IF(ISERROR(BM92/BG92-1),"NM",BM92/BG92-1)</f>
        <v>0.36276021588280649</v>
      </c>
      <c r="BN93" s="315">
        <f>IF(ISERROR(BN92/BH92-1),"NM",BN92/BH92-1)</f>
        <v>0.25761392260132809</v>
      </c>
      <c r="BO93" s="315">
        <f>IF(ISERROR(BO92/BI92-1),"NM",BO92/BI92-1)</f>
        <v>0.29684945639234983</v>
      </c>
      <c r="BP93" s="42"/>
      <c r="BQ93" s="315">
        <f>IF(ISERROR(BQ92/BK92-1),"NM",BQ92/BK92-1)</f>
        <v>0.34968230966447456</v>
      </c>
      <c r="BR93" s="318"/>
      <c r="BS93" s="318"/>
      <c r="BT93" s="318"/>
      <c r="BU93" s="316"/>
      <c r="BV93" s="42"/>
      <c r="BW93" s="318"/>
      <c r="BX93" s="318"/>
      <c r="BY93" s="318"/>
      <c r="BZ93" s="318"/>
      <c r="CA93" s="316"/>
      <c r="CB93" s="42"/>
      <c r="CC93" s="318"/>
      <c r="CD93" s="318"/>
      <c r="CE93" s="318"/>
      <c r="CF93" s="318"/>
      <c r="CG93" s="316"/>
    </row>
    <row r="94" spans="1:85" ht="5.25" hidden="1" customHeight="1" outlineLevel="1" x14ac:dyDescent="0.2">
      <c r="A94" s="230"/>
      <c r="B94" s="290"/>
      <c r="C94" s="315"/>
      <c r="D94" s="315"/>
      <c r="E94" s="315"/>
      <c r="F94" s="315"/>
      <c r="G94" s="315"/>
      <c r="H94" s="115"/>
      <c r="I94" s="315"/>
      <c r="J94" s="315"/>
      <c r="K94" s="315"/>
      <c r="L94" s="315"/>
      <c r="M94" s="315"/>
      <c r="N94" s="115"/>
      <c r="O94" s="315"/>
      <c r="P94" s="315"/>
      <c r="Q94" s="315"/>
      <c r="R94" s="315"/>
      <c r="S94" s="315"/>
      <c r="T94" s="115"/>
      <c r="U94" s="315"/>
      <c r="V94" s="315"/>
      <c r="W94" s="315"/>
      <c r="X94" s="315"/>
      <c r="Y94" s="315"/>
      <c r="Z94" s="115"/>
      <c r="AA94" s="315"/>
      <c r="AB94" s="315"/>
      <c r="AC94" s="315"/>
      <c r="AD94" s="315"/>
      <c r="AE94" s="315"/>
      <c r="AF94" s="115"/>
      <c r="AG94" s="315"/>
      <c r="AH94" s="315"/>
      <c r="AI94" s="315"/>
      <c r="AJ94" s="315"/>
      <c r="AK94" s="315"/>
      <c r="AL94" s="115"/>
      <c r="AM94" s="316"/>
      <c r="AN94" s="316"/>
      <c r="AO94" s="316"/>
      <c r="AP94" s="315"/>
      <c r="AQ94" s="315"/>
      <c r="AR94" s="42"/>
      <c r="AS94" s="316"/>
      <c r="AT94" s="316"/>
      <c r="AU94" s="316"/>
      <c r="AV94" s="42"/>
      <c r="AW94" s="315"/>
      <c r="AX94" s="42"/>
      <c r="AY94" s="316"/>
      <c r="AZ94" s="316"/>
      <c r="BA94" s="316"/>
      <c r="BB94" s="316"/>
      <c r="BC94" s="315"/>
      <c r="BD94" s="42"/>
      <c r="BE94" s="316"/>
      <c r="BF94" s="316"/>
      <c r="BG94" s="316"/>
      <c r="BH94" s="316"/>
      <c r="BI94" s="316"/>
      <c r="BJ94" s="42"/>
      <c r="BK94" s="316"/>
      <c r="BL94" s="316"/>
      <c r="BM94" s="316"/>
      <c r="BN94" s="316"/>
      <c r="BO94" s="316"/>
      <c r="BP94" s="42"/>
      <c r="BQ94" s="316"/>
      <c r="BR94" s="316"/>
      <c r="BS94" s="316"/>
      <c r="BT94" s="316"/>
      <c r="BU94" s="316"/>
      <c r="BV94" s="42"/>
      <c r="BW94" s="316"/>
      <c r="BX94" s="316"/>
      <c r="BY94" s="316"/>
      <c r="BZ94" s="316"/>
      <c r="CA94" s="316"/>
      <c r="CB94" s="42"/>
      <c r="CC94" s="316"/>
      <c r="CD94" s="316"/>
      <c r="CE94" s="316"/>
      <c r="CF94" s="316"/>
      <c r="CG94" s="316"/>
    </row>
    <row r="95" spans="1:85" ht="12.75" hidden="1" customHeight="1" outlineLevel="1" x14ac:dyDescent="0.2">
      <c r="A95" s="359"/>
      <c r="B95" s="360" t="s">
        <v>362</v>
      </c>
      <c r="C95" s="261">
        <f>+C76+C79+C87+C92</f>
        <v>63.76100000000001</v>
      </c>
      <c r="D95" s="261">
        <f>+D76+D79+D87+D92</f>
        <v>76.602999999999994</v>
      </c>
      <c r="E95" s="261">
        <f>+E76+E79+E87+E92</f>
        <v>71.450999999999979</v>
      </c>
      <c r="F95" s="261">
        <f>+F76+F79+F87+F92</f>
        <v>72.516999999999982</v>
      </c>
      <c r="G95" s="261">
        <f>+G76+G79+G87+G92</f>
        <v>284.33199999999999</v>
      </c>
      <c r="H95" s="332"/>
      <c r="I95" s="261">
        <f>+I76+I79+I87+I92</f>
        <v>74.775999999999996</v>
      </c>
      <c r="J95" s="261">
        <f>+J76+J79+J87+J92</f>
        <v>79.902000000000001</v>
      </c>
      <c r="K95" s="261">
        <f>+K76+K79+K87+K92</f>
        <v>75.172999999999988</v>
      </c>
      <c r="L95" s="261">
        <f>+L76+L79+L87+L92</f>
        <v>74.125</v>
      </c>
      <c r="M95" s="261">
        <f>+M76+M79+M87+M92</f>
        <v>303.976</v>
      </c>
      <c r="N95" s="332"/>
      <c r="O95" s="261">
        <f>+O76+O79+O87+O92</f>
        <v>70.132000000000005</v>
      </c>
      <c r="P95" s="261">
        <f>+P76+P79+P87+P92</f>
        <v>76.316000000000017</v>
      </c>
      <c r="Q95" s="261">
        <f>+Q76+Q79+Q87+Q92</f>
        <v>79.269000000000005</v>
      </c>
      <c r="R95" s="261">
        <f>+R76+R79+R87+R92</f>
        <v>86.616</v>
      </c>
      <c r="S95" s="261">
        <f>+S76+S79+S87+S92</f>
        <v>312.33300000000003</v>
      </c>
      <c r="T95" s="332"/>
      <c r="U95" s="261">
        <f>+U76+U79+U87+U92</f>
        <v>90.090000000000018</v>
      </c>
      <c r="V95" s="261">
        <f>+V76+V79+V87+V92</f>
        <v>93.897999999999996</v>
      </c>
      <c r="W95" s="261">
        <f>+W76+W79+W87+W92</f>
        <v>95.947000000000003</v>
      </c>
      <c r="X95" s="261">
        <f>+X76+X79+X87+X92</f>
        <v>92.893000000000001</v>
      </c>
      <c r="Y95" s="261">
        <f>+Y76+Y79+Y87+Y92</f>
        <v>372.82799999999997</v>
      </c>
      <c r="Z95" s="332"/>
      <c r="AA95" s="261">
        <f>+AA76+AA79+AA87+AA92</f>
        <v>104.85600000000001</v>
      </c>
      <c r="AB95" s="261">
        <f>+AB76+AB79+AB87+AB92</f>
        <v>120.08600000000001</v>
      </c>
      <c r="AC95" s="261">
        <f>+AC76+AC79+AC87+AC92</f>
        <v>125.89400000000002</v>
      </c>
      <c r="AD95" s="261">
        <f>+AD76+AD79+AD87+AD92</f>
        <v>128.905</v>
      </c>
      <c r="AE95" s="261">
        <f>+AE76+AE79+AE87+AE92</f>
        <v>479.74099999999999</v>
      </c>
      <c r="AF95" s="332"/>
      <c r="AG95" s="261">
        <f>+AG76+AG79+AG87+AG92</f>
        <v>135.07900000000001</v>
      </c>
      <c r="AH95" s="261">
        <f>+AH76+AH79+AH87+AH92</f>
        <v>145.62599999999998</v>
      </c>
      <c r="AI95" s="261">
        <f>+AI76+AI79+AI87+AI92</f>
        <v>136.49600000000001</v>
      </c>
      <c r="AJ95" s="261">
        <f>+AJ76+AJ79+AJ87+AJ92</f>
        <v>142.84</v>
      </c>
      <c r="AK95" s="261">
        <f>+AK76+AK79+AK87+AK92</f>
        <v>560.04099999999994</v>
      </c>
      <c r="AL95" s="332"/>
      <c r="AM95" s="261">
        <f>+AM76+AM79+AM87+AM92</f>
        <v>153.58000000000001</v>
      </c>
      <c r="AN95" s="261">
        <f>+AN76+AN79+AN87+AN92</f>
        <v>163.82799999999997</v>
      </c>
      <c r="AO95" s="261">
        <f>+AO76+AO79+AO87+AO92</f>
        <v>164.506</v>
      </c>
      <c r="AP95" s="261">
        <f>+AP76+AP79+AP87+AP92</f>
        <v>178.29199999999997</v>
      </c>
      <c r="AQ95" s="261">
        <f>+AQ76+AQ79+AQ87+AQ92</f>
        <v>660.20600000000002</v>
      </c>
      <c r="AR95" s="42"/>
      <c r="AS95" s="621">
        <f>+'P&amp;L'!AS8</f>
        <v>180.64599999999999</v>
      </c>
      <c r="AT95" s="621">
        <f>+'P&amp;L'!AT8</f>
        <v>192.53100000000001</v>
      </c>
      <c r="AU95" s="621">
        <f>+'P&amp;L'!AU8</f>
        <v>189.876</v>
      </c>
      <c r="AV95" s="621">
        <f>+'P&amp;L'!AV8</f>
        <v>198.6</v>
      </c>
      <c r="AW95" s="261">
        <f>+AW76+AW79+AW87+AW92</f>
        <v>761.65300000000013</v>
      </c>
      <c r="AX95" s="42"/>
      <c r="AY95" s="621">
        <f>+'P&amp;L'!AY8</f>
        <v>198.08600000000001</v>
      </c>
      <c r="AZ95" s="621">
        <f>+'P&amp;L'!AZ8</f>
        <v>209.488</v>
      </c>
      <c r="BA95" s="621">
        <f>+'P&amp;L'!BA8</f>
        <v>207.636</v>
      </c>
      <c r="BB95" s="621">
        <f>+'P&amp;L'!BB8</f>
        <v>230.27600000000001</v>
      </c>
      <c r="BC95" s="261">
        <f>+BC76+BC79+BC87+BC92</f>
        <v>845.4860000000001</v>
      </c>
      <c r="BD95" s="42"/>
      <c r="BE95" s="621">
        <f>+'P&amp;L'!BE8</f>
        <v>238.72</v>
      </c>
      <c r="BF95" s="621">
        <f>+'P&amp;L'!BF8</f>
        <v>269.36200000000002</v>
      </c>
      <c r="BG95" s="621">
        <f>+'P&amp;L'!BG8</f>
        <v>278.589</v>
      </c>
      <c r="BH95" s="621">
        <f>+'P&amp;L'!BH8</f>
        <v>293.20299999999997</v>
      </c>
      <c r="BI95" s="261">
        <f>+BI76+BI79+BI87+BI92</f>
        <v>1079.896</v>
      </c>
      <c r="BJ95" s="42"/>
      <c r="BK95" s="621">
        <f>+'P&amp;L'!BK8</f>
        <v>310.34100000000001</v>
      </c>
      <c r="BL95" s="621">
        <f>+'P&amp;L'!BL8</f>
        <v>356.48200000000003</v>
      </c>
      <c r="BM95" s="621">
        <f>+'P&amp;L'!BM8</f>
        <v>385.267</v>
      </c>
      <c r="BN95" s="621">
        <f>+'P&amp;L'!BN8</f>
        <v>421.32299999999998</v>
      </c>
      <c r="BO95" s="261">
        <f>+BO76+BO79+BO87+BO92</f>
        <v>1473.4350000000002</v>
      </c>
      <c r="BP95" s="42"/>
      <c r="BQ95" s="621">
        <f>+'P&amp;L'!BQ8</f>
        <v>436.92399999999998</v>
      </c>
      <c r="BR95" s="317"/>
      <c r="BS95" s="317"/>
      <c r="BT95" s="317"/>
      <c r="BU95" s="317"/>
      <c r="BV95" s="42"/>
      <c r="BW95" s="317"/>
      <c r="BX95" s="317"/>
      <c r="BY95" s="317"/>
      <c r="BZ95" s="317"/>
      <c r="CA95" s="317"/>
      <c r="CB95" s="42"/>
      <c r="CC95" s="317"/>
      <c r="CD95" s="317"/>
      <c r="CE95" s="317"/>
      <c r="CF95" s="317"/>
      <c r="CG95" s="317"/>
    </row>
    <row r="96" spans="1:85" ht="12.75" hidden="1" customHeight="1" outlineLevel="1" x14ac:dyDescent="0.2">
      <c r="A96" s="359"/>
      <c r="B96" s="331" t="s">
        <v>299</v>
      </c>
      <c r="C96" s="291">
        <f>C55</f>
        <v>0.3</v>
      </c>
      <c r="D96" s="291">
        <f>D55</f>
        <v>0.44</v>
      </c>
      <c r="E96" s="291">
        <f>E55</f>
        <v>0.46</v>
      </c>
      <c r="F96" s="291">
        <f>F55</f>
        <v>0.31</v>
      </c>
      <c r="G96" s="291"/>
      <c r="H96" s="332"/>
      <c r="I96" s="291">
        <f>IF(ISERROR(I95/C95-1),"NM",I95/C95-1)</f>
        <v>0.17275450510500123</v>
      </c>
      <c r="J96" s="291">
        <f>IF(ISERROR(J95/D95-1),"NM",J95/D95-1)</f>
        <v>4.3066198451757742E-2</v>
      </c>
      <c r="K96" s="291">
        <f>IF(ISERROR(K95/E95-1),"NM",K95/E95-1)</f>
        <v>5.2091643224027706E-2</v>
      </c>
      <c r="L96" s="291">
        <f>IF(ISERROR(L95/F95-1),"NM",L95/F95-1)</f>
        <v>2.2174110898134591E-2</v>
      </c>
      <c r="M96" s="291">
        <f>IF(ISERROR(M95/G95-1),"NM",M95/G95-1)</f>
        <v>6.9088248948412367E-2</v>
      </c>
      <c r="N96" s="332"/>
      <c r="O96" s="291">
        <f>IF(ISERROR(O95/I95-1),"NM",O95/I95-1)</f>
        <v>-6.2105488391997365E-2</v>
      </c>
      <c r="P96" s="291">
        <f>IF(ISERROR(P95/J95-1),"NM",P95/J95-1)</f>
        <v>-4.4879977973016794E-2</v>
      </c>
      <c r="Q96" s="291">
        <f>IF(ISERROR(Q95/K95-1),"NM",Q95/K95-1)</f>
        <v>5.4487648490814777E-2</v>
      </c>
      <c r="R96" s="291">
        <f>IF(ISERROR(R95/L95-1),"NM",R95/L95-1)</f>
        <v>0.16851264755480599</v>
      </c>
      <c r="S96" s="291">
        <f>IF(ISERROR(S95/M95-1),"NM",S95/M95-1)</f>
        <v>2.7492302023844006E-2</v>
      </c>
      <c r="T96" s="332"/>
      <c r="U96" s="291">
        <f>IF(ISERROR(U95/O95-1),"NM",U95/O95-1)</f>
        <v>0.28457765356755838</v>
      </c>
      <c r="V96" s="291">
        <f>IF(ISERROR(V95/P95-1),"NM",V95/P95-1)</f>
        <v>0.23038419204360783</v>
      </c>
      <c r="W96" s="291">
        <f>IF(ISERROR(W95/Q95-1),"NM",W95/Q95-1)</f>
        <v>0.21039750722224326</v>
      </c>
      <c r="X96" s="291">
        <f>IF(ISERROR(X95/R95-1),"NM",X95/R95-1)</f>
        <v>7.2469289738616327E-2</v>
      </c>
      <c r="Y96" s="291">
        <f>IF(ISERROR(Y95/S95-1),"NM",Y95/S95-1)</f>
        <v>0.19368750660352885</v>
      </c>
      <c r="Z96" s="332"/>
      <c r="AA96" s="291">
        <f>IF(ISERROR(AA95/U95-1),"NM",AA95/U95-1)</f>
        <v>0.1639027639027637</v>
      </c>
      <c r="AB96" s="291">
        <f>IF(ISERROR(AB95/V95-1),"NM",AB95/V95-1)</f>
        <v>0.27889837909220661</v>
      </c>
      <c r="AC96" s="291">
        <f>IF(ISERROR(AC95/W95-1),"NM",AC95/W95-1)</f>
        <v>0.31212023304532721</v>
      </c>
      <c r="AD96" s="291">
        <f>IF(ISERROR(AD95/X95-1),"NM",AD95/X95-1)</f>
        <v>0.38767183749044598</v>
      </c>
      <c r="AE96" s="291">
        <f>IF(ISERROR(AE95/Y95-1),"NM",AE95/Y95-1)</f>
        <v>0.28676226034525309</v>
      </c>
      <c r="AF96" s="332"/>
      <c r="AG96" s="291">
        <f>IF(ISERROR(AG95/AA95-1),"NM",AG95/AA95-1)</f>
        <v>0.28823338673990984</v>
      </c>
      <c r="AH96" s="291">
        <f>IF(ISERROR(AH95/AB95-1),"NM",AH95/AB95-1)</f>
        <v>0.21268091201305706</v>
      </c>
      <c r="AI96" s="291">
        <f>IF(ISERROR(AI95/AC95-1),"NM",AI95/AC95-1)</f>
        <v>8.4213703591910605E-2</v>
      </c>
      <c r="AJ96" s="291">
        <f>IF(ISERROR(AJ95/AD95-1),"NM",AJ95/AD95-1)</f>
        <v>0.10810286645203826</v>
      </c>
      <c r="AK96" s="291">
        <f>IF(ISERROR(AK95/AE95-1),"NM",AK95/AE95-1)</f>
        <v>0.16738198319509889</v>
      </c>
      <c r="AL96" s="332"/>
      <c r="AM96" s="291">
        <f>IF(ISERROR(AM95/AG95-1),"NM",AM95/AG95-1)</f>
        <v>0.13696429496812978</v>
      </c>
      <c r="AN96" s="291">
        <f>IF(ISERROR(AN95/AH95-1),"NM",AN95/AH95-1)</f>
        <v>0.12499141636795619</v>
      </c>
      <c r="AO96" s="291">
        <f>IF(ISERROR(AO95/AI95-1),"NM",AO95/AI95-1)</f>
        <v>0.2052074786074316</v>
      </c>
      <c r="AP96" s="291">
        <f>IF(ISERROR(AP95/AJ95-1),"NM",AP95/AJ95-1)</f>
        <v>0.24819378325399022</v>
      </c>
      <c r="AQ96" s="291">
        <f>IF(ISERROR(AQ95/AK95-1),"NM",AQ95/AK95-1)</f>
        <v>0.17885297683562462</v>
      </c>
      <c r="AR96" s="42"/>
      <c r="AS96" s="291">
        <f>IF(ISERROR(AS95/AM95-1),"NM",AS95/AM95-1)</f>
        <v>0.17623388462039302</v>
      </c>
      <c r="AT96" s="291">
        <f>IF(ISERROR(AT95/AN95-1),"NM",AT95/AN95-1)</f>
        <v>0.17520204116512472</v>
      </c>
      <c r="AU96" s="291">
        <f>IF(ISERROR(AU95/AO95-1),"NM",AU95/AO95-1)</f>
        <v>0.15421929899213405</v>
      </c>
      <c r="AV96" s="291">
        <f>IF(ISERROR(AV95/AP95-1),"NM",AV95/AP95-1)</f>
        <v>0.11390303546990355</v>
      </c>
      <c r="AW96" s="291">
        <f>IF(ISERROR(AW95/AQ95-1),"NM",AW95/AQ95-1)</f>
        <v>0.15365961533218431</v>
      </c>
      <c r="AX96" s="42"/>
      <c r="AY96" s="291">
        <f>IF(ISERROR(AY95/AS95-1),"NM",AY95/AS95-1)</f>
        <v>9.6542408910244459E-2</v>
      </c>
      <c r="AZ96" s="291">
        <f>IF(ISERROR(AZ95/AT95-1),"NM",AZ95/AT95-1)</f>
        <v>8.8074128322192191E-2</v>
      </c>
      <c r="BA96" s="291">
        <f>IF(ISERROR(BA95/AU95-1),"NM",BA95/AU95-1)</f>
        <v>9.3534727927700123E-2</v>
      </c>
      <c r="BB96" s="291">
        <f>IF(ISERROR(BB95/AV95-1),"NM",BB95/AV95-1)</f>
        <v>0.15949647532729117</v>
      </c>
      <c r="BC96" s="291">
        <f>IF(ISERROR(BC95/AW95-1),"NM",BC95/AW95-1)</f>
        <v>0.11006718282472461</v>
      </c>
      <c r="BD96" s="42"/>
      <c r="BE96" s="291">
        <f>IF(ISERROR(BE95/AY95-1),"NM",BE95/AY95-1)</f>
        <v>0.20513312399664785</v>
      </c>
      <c r="BF96" s="291">
        <f>IF(ISERROR(BF95/AZ95-1),"NM",BF95/AZ95-1)</f>
        <v>0.28581112044604007</v>
      </c>
      <c r="BG96" s="291">
        <f>IF(ISERROR(BG95/BA95-1),"NM",BG95/BA95-1)</f>
        <v>0.34171819915621571</v>
      </c>
      <c r="BH96" s="291">
        <f>IF(ISERROR(BH95/BB95-1),"NM",BH95/BB95-1)</f>
        <v>0.27326773089683676</v>
      </c>
      <c r="BI96" s="291">
        <f>IF(ISERROR(BI95/BC95-1),"NM",BI95/BC95-1)</f>
        <v>0.27724882493619041</v>
      </c>
      <c r="BJ96" s="42"/>
      <c r="BK96" s="291">
        <f>IF(ISERROR(BK95/BE95-1),"NM",BK95/BE95-1)</f>
        <v>0.30002094504021448</v>
      </c>
      <c r="BL96" s="291">
        <f>IF(ISERROR(BL95/BF95-1),"NM",BL95/BF95-1)</f>
        <v>0.3234309219563265</v>
      </c>
      <c r="BM96" s="291">
        <f>IF(ISERROR(BM95/BG95-1),"NM",BM95/BG95-1)</f>
        <v>0.38292251309276382</v>
      </c>
      <c r="BN96" s="291">
        <f>IF(ISERROR(BN95/BH95-1),"NM",BN95/BH95-1)</f>
        <v>0.43696687960218683</v>
      </c>
      <c r="BO96" s="291">
        <f>IF(ISERROR(BO95/BI95-1),"NM",BO95/BI95-1)</f>
        <v>0.36442305555349797</v>
      </c>
      <c r="BP96" s="42"/>
      <c r="BQ96" s="291">
        <f>IF(ISERROR(BQ95/BK95-1),"NM",BQ95/BK95-1)</f>
        <v>0.40788358611978426</v>
      </c>
      <c r="BR96" s="316"/>
      <c r="BS96" s="316"/>
      <c r="BT96" s="316"/>
      <c r="BU96" s="316"/>
      <c r="BV96" s="42"/>
      <c r="BW96" s="316"/>
      <c r="BX96" s="316"/>
      <c r="BY96" s="316"/>
      <c r="BZ96" s="316"/>
      <c r="CA96" s="316"/>
      <c r="CB96" s="42"/>
      <c r="CC96" s="316"/>
      <c r="CD96" s="316"/>
      <c r="CE96" s="316"/>
      <c r="CF96" s="316"/>
      <c r="CG96" s="316"/>
    </row>
    <row r="97" spans="1:90" ht="12.75" hidden="1" customHeight="1" outlineLevel="1" x14ac:dyDescent="0.2">
      <c r="A97" s="359"/>
      <c r="B97" s="331" t="s">
        <v>16</v>
      </c>
      <c r="C97" s="291"/>
      <c r="D97" s="291"/>
      <c r="E97" s="291"/>
      <c r="F97" s="291"/>
      <c r="G97" s="291"/>
      <c r="H97" s="332"/>
      <c r="I97" s="291"/>
      <c r="J97" s="291"/>
      <c r="K97" s="291"/>
      <c r="L97" s="291"/>
      <c r="M97" s="291">
        <f>M96-M59</f>
        <v>6.9088248948412367E-2</v>
      </c>
      <c r="N97" s="291"/>
      <c r="O97" s="291">
        <f>O96-O59</f>
        <v>-3.5371158154950254E-2</v>
      </c>
      <c r="P97" s="291">
        <f>P96-P59</f>
        <v>-1.6582794755921663E-2</v>
      </c>
      <c r="Q97" s="291">
        <f>Q96-Q59</f>
        <v>6.3925775154363013E-2</v>
      </c>
      <c r="R97" s="291">
        <f>R96-R59</f>
        <v>0.14350249349976454</v>
      </c>
      <c r="S97" s="291">
        <f>S96-S59</f>
        <v>3.7742132397185102E-2</v>
      </c>
      <c r="T97" s="332"/>
      <c r="U97" s="291">
        <f>U96-U59</f>
        <v>0.27310738001852791</v>
      </c>
      <c r="V97" s="291">
        <f>V96-V59</f>
        <v>0.24287631903974582</v>
      </c>
      <c r="W97" s="291">
        <f>W96-W59</f>
        <v>0.22847733112329757</v>
      </c>
      <c r="X97" s="291">
        <f>X96-X59</f>
        <v>9.0636236563780781E-2</v>
      </c>
      <c r="Y97" s="291">
        <f>Y96-Y59</f>
        <v>0.20379093392730757</v>
      </c>
      <c r="Z97" s="332"/>
      <c r="AA97" s="291">
        <f>AA96-AA59</f>
        <v>0.16502148945832473</v>
      </c>
      <c r="AB97" s="291">
        <f>AB96-AB59</f>
        <v>0.24915628772121856</v>
      </c>
      <c r="AC97" s="291">
        <f>AC96-AC59</f>
        <v>0.29357196914294759</v>
      </c>
      <c r="AD97" s="291">
        <f>AD96-AD59</f>
        <v>0.38870244079514543</v>
      </c>
      <c r="AE97" s="291">
        <f>AE96-AE59</f>
        <v>0.27502534317671767</v>
      </c>
      <c r="AF97" s="332"/>
      <c r="AG97" s="291">
        <f>AG96-AG59</f>
        <v>0.2958362050041814</v>
      </c>
      <c r="AH97" s="291">
        <f>AH96-AH59</f>
        <v>0.23402496711474158</v>
      </c>
      <c r="AI97" s="291">
        <f>AI96-AI59</f>
        <v>0.10732967496778907</v>
      </c>
      <c r="AJ97" s="291">
        <f>AJ96-AJ59</f>
        <v>0.11609278222638131</v>
      </c>
      <c r="AK97" s="291">
        <f>AK96-AK59</f>
        <v>0.18259893828507354</v>
      </c>
      <c r="AL97" s="332"/>
      <c r="AM97" s="291">
        <f>AM96-AM59</f>
        <v>0.13700807442218274</v>
      </c>
      <c r="AN97" s="291">
        <f>AN96-AN59</f>
        <v>0.12655883317243372</v>
      </c>
      <c r="AO97" s="291">
        <f>AO96-AO59</f>
        <v>0.20468886582725102</v>
      </c>
      <c r="AP97" s="291">
        <f>AP96-AP59</f>
        <v>0.2522540331758063</v>
      </c>
      <c r="AQ97" s="291">
        <f>AQ96-AQ59</f>
        <v>0.18018028653836343</v>
      </c>
      <c r="AR97" s="42"/>
      <c r="AS97" s="291">
        <f>AS96-AS59</f>
        <v>0.17106050219235058</v>
      </c>
      <c r="AT97" s="291">
        <f>AT96-AT59</f>
        <v>0.16866593393776577</v>
      </c>
      <c r="AU97" s="291">
        <f>AU96-AU59</f>
        <v>0.15573963549445011</v>
      </c>
      <c r="AV97" s="291">
        <f>AV96-AV59</f>
        <v>0.13934699795346339</v>
      </c>
      <c r="AW97" s="291">
        <f>AW96-AW59</f>
        <v>0.15808434638222982</v>
      </c>
      <c r="AX97" s="42"/>
      <c r="AY97" s="291">
        <f>AY96-AY59</f>
        <v>0.12316546447636471</v>
      </c>
      <c r="AZ97" s="291">
        <f>AZ96-AZ59</f>
        <v>0.14174603939667016</v>
      </c>
      <c r="BA97" s="291">
        <f>BA96-BA59</f>
        <v>0.14132719998521259</v>
      </c>
      <c r="BB97" s="291">
        <f>BB96-BB59</f>
        <v>0.19290805321478899</v>
      </c>
      <c r="BC97" s="291">
        <f>BC96-BC59</f>
        <v>0.15057518056086822</v>
      </c>
      <c r="BD97" s="42"/>
      <c r="BE97" s="291">
        <f>BE96-BE59</f>
        <v>0.21876356733943836</v>
      </c>
      <c r="BF97" s="291">
        <f>BF96-BF59</f>
        <v>0.28581112044604007</v>
      </c>
      <c r="BG97" s="291">
        <f>BG96-BG59</f>
        <v>0.34171819915621571</v>
      </c>
      <c r="BH97" s="291">
        <f>BH96-BH59</f>
        <v>0.28629557574388986</v>
      </c>
      <c r="BI97" s="291">
        <f>BI96-BI59</f>
        <v>0.28399050960039535</v>
      </c>
      <c r="BJ97" s="42"/>
      <c r="BK97" s="291">
        <f>BK96-BK59</f>
        <v>0.3125879691689008</v>
      </c>
      <c r="BL97" s="291">
        <f>BL96-BL59</f>
        <v>0.33456835039834876</v>
      </c>
      <c r="BM97" s="291">
        <f>BM96-BM59</f>
        <v>0.37292251309276381</v>
      </c>
      <c r="BN97" s="291">
        <f>BN96-BN59</f>
        <v>0.39696687960218685</v>
      </c>
      <c r="BO97" s="291">
        <f>BO96-BO59</f>
        <v>0.356536635066243</v>
      </c>
      <c r="BP97" s="42"/>
      <c r="BQ97" s="291">
        <f>BQ96-BQ59</f>
        <v>0.35788358611978427</v>
      </c>
      <c r="BR97" s="316"/>
      <c r="BS97" s="316"/>
      <c r="BT97" s="316"/>
      <c r="BU97" s="316"/>
      <c r="BV97" s="42"/>
      <c r="BW97" s="316"/>
      <c r="BX97" s="316"/>
      <c r="BY97" s="316"/>
      <c r="BZ97" s="316"/>
      <c r="CA97" s="316"/>
      <c r="CB97" s="42"/>
      <c r="CC97" s="316"/>
      <c r="CD97" s="316"/>
      <c r="CE97" s="316"/>
      <c r="CF97" s="316"/>
      <c r="CG97" s="316"/>
    </row>
    <row r="98" spans="1:90" collapsed="1" x14ac:dyDescent="0.2">
      <c r="A98" s="230"/>
      <c r="B98" s="246"/>
      <c r="C98" s="42"/>
      <c r="D98" s="42"/>
      <c r="E98" s="42"/>
      <c r="F98" s="42"/>
      <c r="G98" s="42"/>
      <c r="H98" s="31"/>
      <c r="I98" s="42"/>
      <c r="J98" s="42"/>
      <c r="K98" s="42"/>
      <c r="L98" s="42"/>
      <c r="M98" s="42"/>
      <c r="N98" s="31"/>
      <c r="O98" s="42"/>
      <c r="P98" s="42"/>
      <c r="Q98" s="42"/>
      <c r="R98" s="42"/>
      <c r="S98" s="42"/>
      <c r="T98" s="31"/>
      <c r="U98" s="42"/>
      <c r="V98" s="42"/>
      <c r="W98" s="42"/>
      <c r="X98" s="42"/>
      <c r="Y98" s="42"/>
      <c r="Z98" s="31"/>
      <c r="AA98" s="42"/>
      <c r="AB98" s="42"/>
      <c r="AC98" s="42"/>
      <c r="AD98" s="42"/>
      <c r="AE98" s="42"/>
      <c r="AF98" s="31"/>
      <c r="AG98" s="42"/>
      <c r="AH98" s="42"/>
      <c r="AI98" s="42"/>
      <c r="AJ98" s="42"/>
      <c r="AK98" s="42"/>
      <c r="AL98" s="31"/>
      <c r="AM98" s="42"/>
      <c r="AN98" s="42"/>
      <c r="AO98" s="42"/>
      <c r="AP98" s="42"/>
      <c r="AQ98" s="42"/>
      <c r="AR98" s="42"/>
      <c r="AS98" s="42"/>
      <c r="AT98" s="42"/>
      <c r="AU98" s="42"/>
      <c r="AV98" s="42"/>
      <c r="AW98" s="42"/>
      <c r="AX98" s="42"/>
      <c r="AY98" s="42"/>
      <c r="AZ98" s="42"/>
      <c r="BA98" s="42"/>
      <c r="BB98" s="42"/>
      <c r="BC98" s="42"/>
      <c r="BD98" s="42"/>
      <c r="BE98" s="42"/>
      <c r="BF98" s="42"/>
      <c r="BG98" s="42"/>
      <c r="BH98" s="42"/>
      <c r="BI98" s="42"/>
      <c r="BJ98" s="42"/>
      <c r="BK98" s="42"/>
      <c r="BL98" s="42"/>
      <c r="BM98" s="42"/>
      <c r="BN98" s="42"/>
      <c r="BO98" s="42"/>
      <c r="BP98" s="42"/>
      <c r="BQ98" s="42"/>
      <c r="BR98" s="42"/>
      <c r="BS98" s="42"/>
      <c r="BT98" s="42"/>
      <c r="BU98" s="42"/>
      <c r="BV98" s="42"/>
      <c r="BW98" s="42"/>
      <c r="BX98" s="42"/>
      <c r="BY98" s="42"/>
      <c r="BZ98" s="42"/>
      <c r="CA98" s="42"/>
      <c r="CB98" s="42"/>
      <c r="CC98" s="42"/>
      <c r="CD98" s="42"/>
      <c r="CE98" s="42"/>
      <c r="CF98" s="42"/>
      <c r="CG98" s="42"/>
    </row>
    <row r="99" spans="1:90" x14ac:dyDescent="0.2">
      <c r="A99" s="42"/>
      <c r="B99" s="293" t="s">
        <v>3</v>
      </c>
      <c r="C99" s="42"/>
      <c r="D99" s="42"/>
      <c r="E99" s="42"/>
      <c r="F99" s="42"/>
      <c r="G99" s="42"/>
      <c r="H99" s="42"/>
      <c r="I99" s="42"/>
      <c r="J99" s="42"/>
      <c r="K99" s="42"/>
      <c r="L99" s="42"/>
      <c r="M99" s="42"/>
      <c r="N99" s="42"/>
      <c r="O99" s="597"/>
      <c r="P99" s="597"/>
      <c r="Q99" s="597"/>
      <c r="R99" s="597"/>
      <c r="S99" s="597"/>
      <c r="T99" s="42"/>
      <c r="U99" s="597"/>
      <c r="V99" s="597"/>
      <c r="W99" s="597"/>
      <c r="X99" s="597"/>
      <c r="Y99" s="597"/>
      <c r="Z99" s="42"/>
      <c r="AA99" s="597"/>
      <c r="AB99" s="597"/>
      <c r="AC99" s="597"/>
      <c r="AD99" s="597"/>
      <c r="AE99" s="597"/>
      <c r="AF99" s="42"/>
      <c r="AG99" s="597"/>
      <c r="AH99" s="597"/>
      <c r="AI99" s="597"/>
      <c r="AJ99" s="597"/>
      <c r="AK99" s="597"/>
      <c r="AL99" s="42"/>
      <c r="AM99" s="597"/>
      <c r="AN99" s="597"/>
      <c r="AO99" s="597"/>
      <c r="AP99" s="597"/>
      <c r="AQ99" s="42"/>
      <c r="AR99" s="42"/>
      <c r="AS99" s="42"/>
      <c r="AT99" s="42"/>
      <c r="AU99" s="42"/>
      <c r="AV99" s="42"/>
      <c r="AW99" s="42"/>
      <c r="AX99" s="42"/>
      <c r="AY99" s="42"/>
      <c r="AZ99" s="42"/>
      <c r="BA99" s="42"/>
      <c r="BB99" s="42"/>
      <c r="BC99" s="42"/>
      <c r="BD99" s="42"/>
      <c r="BE99" s="42"/>
      <c r="BF99" s="42"/>
      <c r="BG99" s="42"/>
      <c r="BH99" s="42"/>
      <c r="BI99" s="42"/>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row>
    <row r="100" spans="1:90" ht="12.75" hidden="1" customHeight="1" outlineLevel="1" x14ac:dyDescent="0.2">
      <c r="A100" s="42"/>
      <c r="B100" s="455" t="s">
        <v>2</v>
      </c>
      <c r="C100" s="455"/>
      <c r="D100" s="455"/>
      <c r="E100" s="455"/>
      <c r="F100" s="455"/>
      <c r="G100" s="455"/>
      <c r="H100" s="455"/>
      <c r="I100" s="455"/>
      <c r="J100" s="455"/>
      <c r="K100" s="455"/>
      <c r="L100" s="455"/>
      <c r="M100" s="455"/>
      <c r="N100" s="455"/>
      <c r="O100" s="455"/>
      <c r="P100" s="455"/>
      <c r="Q100" s="455"/>
      <c r="R100" s="455"/>
      <c r="S100" s="455"/>
      <c r="T100" s="455"/>
      <c r="U100" s="455"/>
      <c r="V100" s="455"/>
      <c r="W100" s="455"/>
      <c r="X100" s="455"/>
      <c r="Y100" s="455"/>
      <c r="Z100" s="455"/>
      <c r="AA100" s="455"/>
      <c r="AB100" s="455"/>
      <c r="AC100" s="455"/>
      <c r="AD100" s="455"/>
      <c r="AE100" s="455"/>
      <c r="AF100" s="455"/>
      <c r="AG100" s="455"/>
      <c r="AH100" s="455"/>
      <c r="AI100" s="455"/>
      <c r="AJ100" s="500">
        <f>-1250*1300/1000000</f>
        <v>-1.625</v>
      </c>
      <c r="AK100" s="455"/>
      <c r="AL100" s="455"/>
      <c r="AM100" s="455"/>
      <c r="AN100" s="455"/>
      <c r="AO100" s="455"/>
      <c r="AP100" s="500"/>
      <c r="AQ100" s="42"/>
      <c r="AR100" s="42"/>
      <c r="AS100" s="42"/>
      <c r="AT100" s="42"/>
      <c r="AU100" s="42"/>
      <c r="AV100" s="42"/>
      <c r="AW100" s="42"/>
      <c r="AX100" s="42"/>
      <c r="AY100" s="455"/>
      <c r="AZ100" s="455"/>
      <c r="BA100" s="455"/>
      <c r="BB100" s="455"/>
      <c r="BC100" s="455"/>
      <c r="BD100" s="42"/>
      <c r="BE100" s="455"/>
      <c r="BF100" s="455"/>
      <c r="BG100" s="455"/>
      <c r="BH100" s="455"/>
      <c r="BI100" s="455"/>
      <c r="BJ100" s="42"/>
      <c r="BK100" s="455"/>
      <c r="BL100" s="455"/>
      <c r="BM100" s="455"/>
      <c r="BN100" s="455"/>
      <c r="BO100" s="996">
        <f>+BO87/BO95</f>
        <v>0.33337917858609301</v>
      </c>
      <c r="BP100" s="42"/>
      <c r="BQ100" s="455"/>
      <c r="BR100" s="455"/>
      <c r="BS100" s="455"/>
      <c r="BT100" s="455"/>
      <c r="BU100" s="455"/>
      <c r="BV100" s="42"/>
      <c r="BW100" s="455"/>
      <c r="BX100" s="455"/>
      <c r="BY100" s="455"/>
      <c r="BZ100" s="455"/>
      <c r="CA100" s="455"/>
      <c r="CB100" s="42"/>
      <c r="CC100" s="455"/>
      <c r="CD100" s="455"/>
      <c r="CE100" s="455"/>
      <c r="CF100" s="455"/>
      <c r="CG100" s="455"/>
    </row>
    <row r="101" spans="1:90" ht="12.75" hidden="1" customHeight="1" outlineLevel="1" x14ac:dyDescent="0.2">
      <c r="A101" s="230"/>
      <c r="B101" s="455" t="s">
        <v>4</v>
      </c>
      <c r="C101" s="455"/>
      <c r="D101" s="455"/>
      <c r="E101" s="455"/>
      <c r="F101" s="455"/>
      <c r="G101" s="455"/>
      <c r="H101" s="598"/>
      <c r="I101" s="455"/>
      <c r="J101" s="455"/>
      <c r="K101" s="455"/>
      <c r="L101" s="455"/>
      <c r="M101" s="455"/>
      <c r="N101" s="598"/>
      <c r="O101" s="455"/>
      <c r="P101" s="455"/>
      <c r="Q101" s="455"/>
      <c r="R101" s="455"/>
      <c r="S101" s="455"/>
      <c r="T101" s="598"/>
      <c r="U101" s="455"/>
      <c r="V101" s="455"/>
      <c r="W101" s="455"/>
      <c r="X101" s="455"/>
      <c r="Y101" s="455"/>
      <c r="Z101" s="598"/>
      <c r="AA101" s="455"/>
      <c r="AB101" s="455"/>
      <c r="AC101" s="455"/>
      <c r="AD101" s="455"/>
      <c r="AE101" s="455"/>
      <c r="AF101" s="598"/>
      <c r="AG101" s="455"/>
      <c r="AH101" s="457">
        <v>1.5</v>
      </c>
      <c r="AI101" s="455"/>
      <c r="AJ101" s="455"/>
      <c r="AK101" s="455"/>
      <c r="AL101" s="598"/>
      <c r="AM101" s="455"/>
      <c r="AN101" s="455"/>
      <c r="AO101" s="456"/>
      <c r="AP101" s="455"/>
      <c r="AQ101" s="42"/>
      <c r="AR101" s="42"/>
      <c r="AS101" s="42"/>
      <c r="AT101" s="42"/>
      <c r="AU101" s="42"/>
      <c r="AV101" s="42"/>
      <c r="AW101" s="42"/>
      <c r="AX101" s="42"/>
      <c r="AY101" s="455"/>
      <c r="AZ101" s="455"/>
      <c r="BA101" s="455"/>
      <c r="BB101" s="455"/>
      <c r="BC101" s="455"/>
      <c r="BD101" s="42"/>
      <c r="BE101" s="455"/>
      <c r="BF101" s="455"/>
      <c r="BG101" s="455"/>
      <c r="BH101" s="455"/>
      <c r="BI101" s="455"/>
      <c r="BJ101" s="42"/>
      <c r="BK101" s="455"/>
      <c r="BL101" s="455"/>
      <c r="BM101" s="455"/>
      <c r="BN101" s="455"/>
      <c r="BO101" s="455"/>
      <c r="BP101" s="42"/>
      <c r="BQ101" s="455"/>
      <c r="BR101" s="455"/>
      <c r="BS101" s="455"/>
      <c r="BT101" s="455"/>
      <c r="BU101" s="455"/>
      <c r="BV101" s="42"/>
      <c r="BW101" s="455"/>
      <c r="BX101" s="455"/>
      <c r="BY101" s="455"/>
      <c r="BZ101" s="455"/>
      <c r="CA101" s="455"/>
      <c r="CB101" s="42"/>
      <c r="CC101" s="455"/>
      <c r="CD101" s="455"/>
      <c r="CE101" s="455"/>
      <c r="CF101" s="455"/>
      <c r="CG101" s="455"/>
    </row>
    <row r="102" spans="1:90" ht="12.75" hidden="1" customHeight="1" outlineLevel="1" x14ac:dyDescent="0.2">
      <c r="A102" s="230"/>
      <c r="B102" s="455" t="s">
        <v>5</v>
      </c>
      <c r="C102" s="455"/>
      <c r="D102" s="455"/>
      <c r="E102" s="455"/>
      <c r="F102" s="455"/>
      <c r="G102" s="455"/>
      <c r="H102" s="598"/>
      <c r="I102" s="455"/>
      <c r="J102" s="455"/>
      <c r="K102" s="455"/>
      <c r="L102" s="455"/>
      <c r="M102" s="455"/>
      <c r="N102" s="598"/>
      <c r="O102" s="455"/>
      <c r="P102" s="455"/>
      <c r="Q102" s="455"/>
      <c r="R102" s="455"/>
      <c r="S102" s="455"/>
      <c r="T102" s="598"/>
      <c r="U102" s="455"/>
      <c r="V102" s="455"/>
      <c r="W102" s="455"/>
      <c r="X102" s="455"/>
      <c r="Y102" s="455"/>
      <c r="Z102" s="598"/>
      <c r="AA102" s="455"/>
      <c r="AB102" s="455"/>
      <c r="AC102" s="455"/>
      <c r="AD102" s="455"/>
      <c r="AE102" s="455"/>
      <c r="AF102" s="598"/>
      <c r="AG102" s="455"/>
      <c r="AH102" s="455"/>
      <c r="AI102" s="455"/>
      <c r="AJ102" s="455"/>
      <c r="AK102" s="455"/>
      <c r="AL102" s="598"/>
      <c r="AM102" s="457">
        <v>4.4000000000000004</v>
      </c>
      <c r="AN102" s="457"/>
      <c r="AO102" s="457"/>
      <c r="AP102" s="455"/>
      <c r="AQ102" s="455"/>
      <c r="AR102" s="598"/>
      <c r="AS102" s="457">
        <f>-AM102</f>
        <v>-4.4000000000000004</v>
      </c>
      <c r="AT102" s="457"/>
      <c r="AU102" s="457"/>
      <c r="AV102" s="457"/>
      <c r="AW102" s="455"/>
      <c r="AX102" s="598"/>
      <c r="AY102" s="455"/>
      <c r="AZ102" s="455"/>
      <c r="BA102" s="455"/>
      <c r="BB102" s="455"/>
      <c r="BC102" s="455"/>
      <c r="BD102" s="598"/>
      <c r="BE102" s="455"/>
      <c r="BF102" s="455"/>
      <c r="BG102" s="455"/>
      <c r="BH102" s="455"/>
      <c r="BI102" s="455"/>
      <c r="BJ102" s="598"/>
      <c r="BK102" s="455"/>
      <c r="BL102" s="455"/>
      <c r="BM102" s="455"/>
      <c r="BN102" s="455"/>
      <c r="BO102" s="455"/>
      <c r="BP102" s="598"/>
      <c r="BQ102" s="455"/>
      <c r="BR102" s="455"/>
      <c r="BS102" s="455"/>
      <c r="BT102" s="455"/>
      <c r="BU102" s="455"/>
      <c r="BV102" s="598"/>
      <c r="BW102" s="455"/>
      <c r="BX102" s="455"/>
      <c r="BY102" s="455"/>
      <c r="BZ102" s="455"/>
      <c r="CA102" s="455"/>
      <c r="CB102" s="598"/>
      <c r="CC102" s="455"/>
      <c r="CD102" s="455"/>
      <c r="CE102" s="455"/>
      <c r="CF102" s="455"/>
      <c r="CG102" s="455"/>
    </row>
    <row r="103" spans="1:90" ht="12.75" hidden="1" customHeight="1" outlineLevel="1" x14ac:dyDescent="0.2">
      <c r="A103" s="230"/>
      <c r="B103" s="455" t="s">
        <v>156</v>
      </c>
      <c r="C103" s="455"/>
      <c r="D103" s="455"/>
      <c r="E103" s="455"/>
      <c r="F103" s="455"/>
      <c r="G103" s="455"/>
      <c r="H103" s="598"/>
      <c r="I103" s="455"/>
      <c r="J103" s="455"/>
      <c r="K103" s="455"/>
      <c r="L103" s="455"/>
      <c r="M103" s="455"/>
      <c r="N103" s="598"/>
      <c r="O103" s="455"/>
      <c r="P103" s="455"/>
      <c r="Q103" s="455"/>
      <c r="R103" s="455"/>
      <c r="S103" s="455"/>
      <c r="T103" s="598"/>
      <c r="U103" s="455"/>
      <c r="V103" s="455"/>
      <c r="W103" s="455"/>
      <c r="X103" s="455"/>
      <c r="Y103" s="455"/>
      <c r="Z103" s="598"/>
      <c r="AA103" s="455"/>
      <c r="AB103" s="455"/>
      <c r="AC103" s="455"/>
      <c r="AD103" s="455"/>
      <c r="AE103" s="455"/>
      <c r="AF103" s="598"/>
      <c r="AG103" s="455"/>
      <c r="AH103" s="455"/>
      <c r="AI103" s="455"/>
      <c r="AJ103" s="457">
        <v>4.9000000000000004</v>
      </c>
      <c r="AK103" s="455"/>
      <c r="AL103" s="455"/>
      <c r="AM103" s="457">
        <v>-2.4</v>
      </c>
      <c r="AN103" s="457">
        <v>-1</v>
      </c>
      <c r="AO103" s="457">
        <v>-0.7</v>
      </c>
      <c r="AP103" s="457">
        <v>-0.7</v>
      </c>
      <c r="AQ103" s="455"/>
      <c r="AR103" s="598"/>
      <c r="AS103" s="457">
        <f>-AM103</f>
        <v>2.4</v>
      </c>
      <c r="AT103" s="455"/>
      <c r="AU103" s="455"/>
      <c r="AV103" s="455"/>
      <c r="AW103" s="455"/>
      <c r="AX103" s="598"/>
      <c r="AY103" s="455"/>
      <c r="AZ103" s="455"/>
      <c r="BA103" s="455"/>
      <c r="BB103" s="455"/>
      <c r="BC103" s="455"/>
      <c r="BD103" s="598"/>
      <c r="BE103" s="455"/>
      <c r="BF103" s="455"/>
      <c r="BG103" s="455"/>
      <c r="BH103" s="455"/>
      <c r="BI103" s="455"/>
      <c r="BJ103" s="598"/>
      <c r="BK103" s="455"/>
      <c r="BL103" s="455"/>
      <c r="BM103" s="455"/>
      <c r="BN103" s="455"/>
      <c r="BO103" s="455"/>
      <c r="BP103" s="598"/>
      <c r="BQ103" s="455"/>
      <c r="BR103" s="455"/>
      <c r="BS103" s="455"/>
      <c r="BT103" s="455"/>
      <c r="BU103" s="455"/>
      <c r="BV103" s="598"/>
      <c r="BW103" s="455"/>
      <c r="BX103" s="455"/>
      <c r="BY103" s="455"/>
      <c r="BZ103" s="455"/>
      <c r="CA103" s="455"/>
      <c r="CB103" s="598"/>
      <c r="CC103" s="455"/>
      <c r="CD103" s="455"/>
      <c r="CE103" s="455"/>
      <c r="CF103" s="455"/>
      <c r="CG103" s="455"/>
    </row>
    <row r="104" spans="1:90" ht="12.75" hidden="1" customHeight="1" outlineLevel="1" x14ac:dyDescent="0.2">
      <c r="A104" s="230"/>
      <c r="B104" s="455" t="s">
        <v>164</v>
      </c>
      <c r="C104" s="455"/>
      <c r="D104" s="455"/>
      <c r="E104" s="455"/>
      <c r="F104" s="455"/>
      <c r="G104" s="455"/>
      <c r="H104" s="598"/>
      <c r="I104" s="455"/>
      <c r="J104" s="455"/>
      <c r="K104" s="455"/>
      <c r="L104" s="455"/>
      <c r="M104" s="455"/>
      <c r="N104" s="598"/>
      <c r="O104" s="455"/>
      <c r="P104" s="455"/>
      <c r="Q104" s="455"/>
      <c r="R104" s="455"/>
      <c r="S104" s="455"/>
      <c r="T104" s="598"/>
      <c r="U104" s="457">
        <v>3</v>
      </c>
      <c r="V104" s="457">
        <v>3</v>
      </c>
      <c r="W104" s="457">
        <v>3</v>
      </c>
      <c r="X104" s="457">
        <v>3</v>
      </c>
      <c r="Y104" s="455"/>
      <c r="Z104" s="598"/>
      <c r="AA104" s="457">
        <v>3</v>
      </c>
      <c r="AB104" s="457">
        <v>3</v>
      </c>
      <c r="AC104" s="457">
        <v>3</v>
      </c>
      <c r="AD104" s="457">
        <v>3</v>
      </c>
      <c r="AE104" s="455"/>
      <c r="AF104" s="598"/>
      <c r="AG104" s="455"/>
      <c r="AH104" s="455"/>
      <c r="AI104" s="455"/>
      <c r="AJ104" s="457"/>
      <c r="AK104" s="455"/>
      <c r="AL104" s="455"/>
      <c r="AM104" s="457"/>
      <c r="AN104" s="457"/>
      <c r="AO104" s="457"/>
      <c r="AP104" s="457"/>
      <c r="AQ104" s="455"/>
      <c r="AR104" s="598"/>
      <c r="AS104" s="457"/>
      <c r="AT104" s="455"/>
      <c r="AU104" s="455"/>
      <c r="AV104" s="455"/>
      <c r="AW104" s="455"/>
      <c r="AX104" s="598"/>
      <c r="AY104" s="455"/>
      <c r="AZ104" s="455"/>
      <c r="BA104" s="455"/>
      <c r="BB104" s="455"/>
      <c r="BC104" s="455"/>
      <c r="BD104" s="598"/>
      <c r="BE104" s="455"/>
      <c r="BF104" s="455"/>
      <c r="BG104" s="455"/>
      <c r="BH104" s="455"/>
      <c r="BI104" s="455"/>
      <c r="BJ104" s="598"/>
      <c r="BK104" s="455"/>
      <c r="BL104" s="455"/>
      <c r="BM104" s="455"/>
      <c r="BN104" s="455"/>
      <c r="BO104" s="455"/>
      <c r="BP104" s="598"/>
      <c r="BQ104" s="455"/>
      <c r="BR104" s="455"/>
      <c r="BS104" s="455"/>
      <c r="BT104" s="455"/>
      <c r="BU104" s="455"/>
      <c r="BV104" s="598"/>
      <c r="BW104" s="455"/>
      <c r="BX104" s="455"/>
      <c r="BY104" s="455"/>
      <c r="BZ104" s="455"/>
      <c r="CA104" s="455"/>
      <c r="CB104" s="598"/>
      <c r="CC104" s="455"/>
      <c r="CD104" s="455"/>
      <c r="CE104" s="455"/>
      <c r="CF104" s="455"/>
      <c r="CG104" s="455"/>
    </row>
    <row r="105" spans="1:90" ht="12.75" hidden="1" customHeight="1" outlineLevel="1" x14ac:dyDescent="0.2">
      <c r="A105" s="230"/>
      <c r="B105" s="455" t="s">
        <v>81</v>
      </c>
      <c r="C105" s="455"/>
      <c r="D105" s="455"/>
      <c r="E105" s="455"/>
      <c r="F105" s="455"/>
      <c r="G105" s="455"/>
      <c r="H105" s="598"/>
      <c r="I105" s="455"/>
      <c r="J105" s="455"/>
      <c r="K105" s="455"/>
      <c r="L105" s="455"/>
      <c r="M105" s="455"/>
      <c r="N105" s="598"/>
      <c r="O105" s="455"/>
      <c r="P105" s="455"/>
      <c r="Q105" s="455"/>
      <c r="R105" s="455"/>
      <c r="S105" s="455"/>
      <c r="T105" s="598"/>
      <c r="U105" s="457"/>
      <c r="V105" s="457"/>
      <c r="W105" s="457"/>
      <c r="X105" s="457"/>
      <c r="Y105" s="455"/>
      <c r="Z105" s="598"/>
      <c r="AA105" s="457"/>
      <c r="AB105" s="457"/>
      <c r="AC105" s="457"/>
      <c r="AD105" s="457"/>
      <c r="AE105" s="455"/>
      <c r="AF105" s="598"/>
      <c r="AG105" s="455"/>
      <c r="AH105" s="455"/>
      <c r="AI105" s="455"/>
      <c r="AJ105" s="457"/>
      <c r="AK105" s="455"/>
      <c r="AL105" s="455"/>
      <c r="AM105" s="500">
        <f>0.03*AG81</f>
        <v>2.93973</v>
      </c>
      <c r="AN105" s="500">
        <f>0.03*AH81</f>
        <v>3.1424699999999999</v>
      </c>
      <c r="AO105" s="500">
        <f>0.03*AI81</f>
        <v>2.9702100000000002</v>
      </c>
      <c r="AP105" s="500">
        <f>0.03*AJ81</f>
        <v>3.0487799999999998</v>
      </c>
      <c r="AQ105" s="455"/>
      <c r="AR105" s="598"/>
      <c r="AS105" s="500"/>
      <c r="AT105" s="455"/>
      <c r="AU105" s="455"/>
      <c r="AV105" s="455"/>
      <c r="AW105" s="455"/>
      <c r="AX105" s="598"/>
      <c r="AY105" s="455"/>
      <c r="AZ105" s="455"/>
      <c r="BA105" s="455"/>
      <c r="BB105" s="455"/>
      <c r="BC105" s="455"/>
      <c r="BD105" s="598"/>
      <c r="BE105" s="455"/>
      <c r="BF105" s="455"/>
      <c r="BG105" s="455"/>
      <c r="BH105" s="455"/>
      <c r="BI105" s="455"/>
      <c r="BJ105" s="598"/>
      <c r="BK105" s="455"/>
      <c r="BL105" s="455"/>
      <c r="BM105" s="455"/>
      <c r="BN105" s="455"/>
      <c r="BO105" s="455"/>
      <c r="BP105" s="598"/>
      <c r="BQ105" s="455"/>
      <c r="BR105" s="455"/>
      <c r="BS105" s="455"/>
      <c r="BT105" s="455"/>
      <c r="BU105" s="455"/>
      <c r="BV105" s="598"/>
      <c r="BW105" s="455"/>
      <c r="BX105" s="455"/>
      <c r="BY105" s="455"/>
      <c r="BZ105" s="455"/>
      <c r="CA105" s="455"/>
      <c r="CB105" s="598"/>
      <c r="CC105" s="455"/>
      <c r="CD105" s="455"/>
      <c r="CE105" s="455"/>
      <c r="CF105" s="455"/>
      <c r="CG105" s="455"/>
    </row>
    <row r="106" spans="1:90" ht="12.75" hidden="1" customHeight="1" outlineLevel="1" x14ac:dyDescent="0.2">
      <c r="A106" s="230"/>
      <c r="B106" s="455" t="s">
        <v>357</v>
      </c>
      <c r="C106" s="455"/>
      <c r="D106" s="455"/>
      <c r="E106" s="455"/>
      <c r="F106" s="455"/>
      <c r="G106" s="455"/>
      <c r="H106" s="598"/>
      <c r="I106" s="455"/>
      <c r="J106" s="455"/>
      <c r="K106" s="455"/>
      <c r="L106" s="455"/>
      <c r="M106" s="455"/>
      <c r="N106" s="598"/>
      <c r="O106" s="455"/>
      <c r="P106" s="455"/>
      <c r="Q106" s="455"/>
      <c r="R106" s="455"/>
      <c r="S106" s="455"/>
      <c r="T106" s="598"/>
      <c r="U106" s="455"/>
      <c r="V106" s="455"/>
      <c r="W106" s="455"/>
      <c r="X106" s="455"/>
      <c r="Y106" s="455"/>
      <c r="Z106" s="598"/>
      <c r="AA106" s="455"/>
      <c r="AB106" s="455"/>
      <c r="AC106" s="455"/>
      <c r="AD106" s="455"/>
      <c r="AE106" s="455"/>
      <c r="AF106" s="598"/>
      <c r="AG106" s="455"/>
      <c r="AH106" s="455"/>
      <c r="AI106" s="455"/>
      <c r="AJ106" s="457"/>
      <c r="AK106" s="455"/>
      <c r="AL106" s="455"/>
      <c r="AM106" s="457"/>
      <c r="AN106" s="500">
        <f>+AO106*2/3</f>
        <v>1.7333333333333334</v>
      </c>
      <c r="AO106" s="500">
        <v>2.6</v>
      </c>
      <c r="AP106" s="457">
        <v>2.6</v>
      </c>
      <c r="AQ106" s="455"/>
      <c r="AR106" s="598"/>
      <c r="AS106" s="457">
        <v>4</v>
      </c>
      <c r="AT106" s="501">
        <v>1.5</v>
      </c>
      <c r="AU106" s="501">
        <v>1</v>
      </c>
      <c r="AV106" s="501">
        <v>1</v>
      </c>
      <c r="AW106" s="455"/>
      <c r="AX106" s="598"/>
      <c r="AY106" s="501">
        <v>0.5</v>
      </c>
      <c r="AZ106" s="715"/>
      <c r="BA106" s="455"/>
      <c r="BB106" s="455"/>
      <c r="BC106" s="455"/>
      <c r="BD106" s="598"/>
      <c r="BE106" s="455"/>
      <c r="BF106" s="455"/>
      <c r="BG106" s="455"/>
      <c r="BH106" s="455"/>
      <c r="BI106" s="455"/>
      <c r="BJ106" s="598"/>
      <c r="BK106" s="455"/>
      <c r="BL106" s="455"/>
      <c r="BM106" s="455"/>
      <c r="BN106" s="455"/>
      <c r="BO106" s="455"/>
      <c r="BP106" s="598"/>
      <c r="BQ106" s="455"/>
      <c r="BR106" s="455"/>
      <c r="BS106" s="455"/>
      <c r="BT106" s="455"/>
      <c r="BU106" s="455"/>
      <c r="BV106" s="598"/>
      <c r="BW106" s="455"/>
      <c r="BX106" s="455"/>
      <c r="BY106" s="455"/>
      <c r="BZ106" s="455"/>
      <c r="CA106" s="455"/>
      <c r="CB106" s="598"/>
      <c r="CC106" s="455"/>
      <c r="CD106" s="455"/>
      <c r="CE106" s="455"/>
      <c r="CF106" s="455"/>
      <c r="CG106" s="455"/>
    </row>
    <row r="107" spans="1:90" ht="12.75" hidden="1" customHeight="1" outlineLevel="1" x14ac:dyDescent="0.2">
      <c r="A107" s="230"/>
      <c r="B107" s="455" t="s">
        <v>163</v>
      </c>
      <c r="C107" s="455"/>
      <c r="D107" s="455"/>
      <c r="E107" s="455"/>
      <c r="F107" s="455"/>
      <c r="G107" s="455"/>
      <c r="H107" s="598"/>
      <c r="I107" s="455"/>
      <c r="J107" s="455"/>
      <c r="K107" s="455"/>
      <c r="L107" s="455"/>
      <c r="M107" s="455"/>
      <c r="N107" s="598"/>
      <c r="O107" s="455"/>
      <c r="P107" s="455"/>
      <c r="Q107" s="455"/>
      <c r="R107" s="455"/>
      <c r="S107" s="455"/>
      <c r="T107" s="598"/>
      <c r="U107" s="455"/>
      <c r="V107" s="455"/>
      <c r="W107" s="455"/>
      <c r="X107" s="455"/>
      <c r="Y107" s="455"/>
      <c r="Z107" s="598"/>
      <c r="AA107" s="455"/>
      <c r="AB107" s="455"/>
      <c r="AC107" s="455"/>
      <c r="AD107" s="455"/>
      <c r="AE107" s="455"/>
      <c r="AF107" s="598"/>
      <c r="AG107" s="455"/>
      <c r="AH107" s="455"/>
      <c r="AI107" s="455"/>
      <c r="AJ107" s="457"/>
      <c r="AK107" s="455"/>
      <c r="AL107" s="455"/>
      <c r="AM107" s="457"/>
      <c r="AN107" s="457"/>
      <c r="AO107" s="457">
        <v>1</v>
      </c>
      <c r="AP107" s="457">
        <v>2</v>
      </c>
      <c r="AQ107" s="455"/>
      <c r="AR107" s="598"/>
      <c r="AS107" s="457">
        <v>2</v>
      </c>
      <c r="AT107" s="457">
        <v>2</v>
      </c>
      <c r="AU107" s="457"/>
      <c r="AV107" s="457"/>
      <c r="AW107" s="455"/>
      <c r="AX107" s="598"/>
      <c r="AY107" s="457"/>
      <c r="AZ107" s="457"/>
      <c r="BA107" s="457"/>
      <c r="BB107" s="457"/>
      <c r="BC107" s="455"/>
      <c r="BD107" s="598"/>
      <c r="BE107" s="496"/>
      <c r="BF107" s="496"/>
      <c r="BG107" s="496"/>
      <c r="BH107" s="496"/>
      <c r="BI107" s="455"/>
      <c r="BJ107" s="598"/>
      <c r="BK107" s="496"/>
      <c r="BL107" s="496"/>
      <c r="BM107" s="496"/>
      <c r="BN107" s="496"/>
      <c r="BO107" s="455"/>
      <c r="BP107" s="598"/>
      <c r="BQ107" s="496"/>
      <c r="BR107" s="496"/>
      <c r="BS107" s="496"/>
      <c r="BT107" s="496"/>
      <c r="BU107" s="455"/>
      <c r="BV107" s="598"/>
      <c r="BW107" s="496"/>
      <c r="BX107" s="496"/>
      <c r="BY107" s="496"/>
      <c r="BZ107" s="496"/>
      <c r="CA107" s="455"/>
      <c r="CB107" s="598"/>
      <c r="CC107" s="496"/>
      <c r="CD107" s="496"/>
      <c r="CE107" s="496"/>
      <c r="CF107" s="496"/>
      <c r="CG107" s="455"/>
    </row>
    <row r="108" spans="1:90" ht="12.75" hidden="1" customHeight="1" outlineLevel="1" x14ac:dyDescent="0.2">
      <c r="A108" s="230"/>
      <c r="B108" s="455" t="s">
        <v>73</v>
      </c>
      <c r="C108" s="455"/>
      <c r="D108" s="455"/>
      <c r="E108" s="455"/>
      <c r="F108" s="455"/>
      <c r="G108" s="455"/>
      <c r="H108" s="598"/>
      <c r="I108" s="455"/>
      <c r="J108" s="455"/>
      <c r="K108" s="455"/>
      <c r="L108" s="455"/>
      <c r="M108" s="455"/>
      <c r="N108" s="598"/>
      <c r="O108" s="455"/>
      <c r="P108" s="455"/>
      <c r="Q108" s="455"/>
      <c r="R108" s="455"/>
      <c r="S108" s="455"/>
      <c r="T108" s="598"/>
      <c r="U108" s="455"/>
      <c r="V108" s="455"/>
      <c r="W108" s="455"/>
      <c r="X108" s="455"/>
      <c r="Y108" s="455"/>
      <c r="Z108" s="598"/>
      <c r="AA108" s="455"/>
      <c r="AB108" s="455"/>
      <c r="AC108" s="455"/>
      <c r="AD108" s="455"/>
      <c r="AE108" s="455"/>
      <c r="AF108" s="598"/>
      <c r="AG108" s="455"/>
      <c r="AH108" s="455"/>
      <c r="AI108" s="455"/>
      <c r="AJ108" s="455"/>
      <c r="AK108" s="455"/>
      <c r="AL108" s="598"/>
      <c r="AM108" s="457">
        <v>1.4</v>
      </c>
      <c r="AN108" s="457">
        <v>1.4</v>
      </c>
      <c r="AO108" s="457"/>
      <c r="AP108" s="455"/>
      <c r="AQ108" s="455"/>
      <c r="AR108" s="598"/>
      <c r="AS108" s="457"/>
      <c r="AT108" s="457"/>
      <c r="AU108" s="457"/>
      <c r="AV108" s="457"/>
      <c r="AW108" s="598"/>
      <c r="AX108" s="457"/>
      <c r="AY108" s="42"/>
      <c r="AZ108" s="455"/>
      <c r="BA108" s="455"/>
      <c r="BB108" s="455"/>
      <c r="BC108" s="455"/>
      <c r="BD108" s="457"/>
      <c r="BE108" s="42"/>
      <c r="BF108" s="455"/>
      <c r="BG108" s="455"/>
      <c r="BH108" s="455"/>
      <c r="BI108" s="455"/>
      <c r="BJ108" s="457"/>
      <c r="BK108" s="42"/>
      <c r="BL108" s="42"/>
      <c r="BM108" s="455"/>
      <c r="BN108" s="455"/>
      <c r="BO108" s="455"/>
      <c r="BP108" s="457"/>
      <c r="BQ108" s="42"/>
      <c r="BR108" s="455"/>
      <c r="BS108" s="455"/>
      <c r="BT108" s="455"/>
      <c r="BU108" s="455"/>
      <c r="BV108" s="457"/>
      <c r="BW108" s="42"/>
      <c r="BX108" s="455"/>
      <c r="BY108" s="455"/>
      <c r="BZ108" s="455"/>
      <c r="CA108" s="455"/>
      <c r="CB108" s="457"/>
      <c r="CC108" s="42"/>
      <c r="CD108" s="455"/>
      <c r="CE108" s="455"/>
      <c r="CF108" s="455"/>
      <c r="CG108" s="455"/>
    </row>
    <row r="109" spans="1:90" collapsed="1" x14ac:dyDescent="0.2">
      <c r="A109" s="230"/>
      <c r="B109" s="521" t="s">
        <v>157</v>
      </c>
      <c r="C109" s="521"/>
      <c r="D109" s="521"/>
      <c r="E109" s="521"/>
      <c r="F109" s="521"/>
      <c r="G109" s="521"/>
      <c r="H109" s="522"/>
      <c r="I109" s="523">
        <f>SUM(I100:I108)</f>
        <v>0</v>
      </c>
      <c r="J109" s="523">
        <f>SUM(J100:J108)</f>
        <v>0</v>
      </c>
      <c r="K109" s="523">
        <f>SUM(K100:K108)</f>
        <v>0</v>
      </c>
      <c r="L109" s="523">
        <f>SUM(L100:L108)</f>
        <v>0</v>
      </c>
      <c r="M109" s="523">
        <f>SUM(I109:L109)</f>
        <v>0</v>
      </c>
      <c r="N109" s="522"/>
      <c r="O109" s="523">
        <f>SUM(O100:O108)</f>
        <v>0</v>
      </c>
      <c r="P109" s="523">
        <f>SUM(P100:P108)</f>
        <v>0</v>
      </c>
      <c r="Q109" s="523">
        <f>SUM(Q100:Q108)</f>
        <v>0</v>
      </c>
      <c r="R109" s="523">
        <f>SUM(R100:R108)</f>
        <v>0</v>
      </c>
      <c r="S109" s="523">
        <f>SUM(O109:R109)</f>
        <v>0</v>
      </c>
      <c r="T109" s="522"/>
      <c r="U109" s="523">
        <f>SUM(U100:U108)</f>
        <v>3</v>
      </c>
      <c r="V109" s="523">
        <f>SUM(V100:V108)</f>
        <v>3</v>
      </c>
      <c r="W109" s="523">
        <f>SUM(W100:W108)</f>
        <v>3</v>
      </c>
      <c r="X109" s="523">
        <f>SUM(X100:X108)</f>
        <v>3</v>
      </c>
      <c r="Y109" s="523">
        <f>SUM(U109:X109)</f>
        <v>12</v>
      </c>
      <c r="Z109" s="522"/>
      <c r="AA109" s="523">
        <f>SUM(AA100:AA108)</f>
        <v>3</v>
      </c>
      <c r="AB109" s="523">
        <f>SUM(AB100:AB108)</f>
        <v>3</v>
      </c>
      <c r="AC109" s="523">
        <f>SUM(AC100:AC108)</f>
        <v>3</v>
      </c>
      <c r="AD109" s="523">
        <f>SUM(AD100:AD108)</f>
        <v>3</v>
      </c>
      <c r="AE109" s="523">
        <f>SUM(AA109:AD109)</f>
        <v>12</v>
      </c>
      <c r="AF109" s="522"/>
      <c r="AG109" s="523">
        <f>SUM(AG100:AG108)</f>
        <v>0</v>
      </c>
      <c r="AH109" s="523">
        <f>SUM(AH100:AH108)</f>
        <v>1.5</v>
      </c>
      <c r="AI109" s="523">
        <f>SUM(AI100:AI108)</f>
        <v>0</v>
      </c>
      <c r="AJ109" s="523">
        <f>SUM(AJ100:AJ108)</f>
        <v>3.2750000000000004</v>
      </c>
      <c r="AK109" s="523">
        <f>SUM(AG109:AJ109)</f>
        <v>4.7750000000000004</v>
      </c>
      <c r="AL109" s="522"/>
      <c r="AM109" s="523">
        <f>SUM(AM100:AM108)</f>
        <v>6.3397300000000012</v>
      </c>
      <c r="AN109" s="523">
        <f>SUM(AN100:AN108)</f>
        <v>5.2758033333333332</v>
      </c>
      <c r="AO109" s="523">
        <f>SUM(AO100:AO108)</f>
        <v>5.8702100000000002</v>
      </c>
      <c r="AP109" s="523">
        <f>SUM(AP100:AP108)</f>
        <v>6.9487799999999993</v>
      </c>
      <c r="AQ109" s="523">
        <f>SUM(AM109:AP109)</f>
        <v>24.434523333333335</v>
      </c>
      <c r="AR109" s="522"/>
      <c r="AS109" s="523">
        <f t="shared" ref="AS109:BB109" si="18">SUM(AS100:AS108)</f>
        <v>3.9999999999999996</v>
      </c>
      <c r="AT109" s="523">
        <f t="shared" si="18"/>
        <v>3.5</v>
      </c>
      <c r="AU109" s="523">
        <f t="shared" si="18"/>
        <v>1</v>
      </c>
      <c r="AV109" s="523">
        <f t="shared" si="18"/>
        <v>1</v>
      </c>
      <c r="AW109" s="523">
        <f>SUM(AS109:AV109)</f>
        <v>9.5</v>
      </c>
      <c r="AX109" s="522"/>
      <c r="AY109" s="523">
        <f>SUM(AY100:AY108)</f>
        <v>0.5</v>
      </c>
      <c r="AZ109" s="523">
        <f t="shared" si="18"/>
        <v>0</v>
      </c>
      <c r="BA109" s="523">
        <f t="shared" si="18"/>
        <v>0</v>
      </c>
      <c r="BB109" s="523">
        <f t="shared" si="18"/>
        <v>0</v>
      </c>
      <c r="BC109" s="523">
        <f>SUM(AY109:BB109)</f>
        <v>0.5</v>
      </c>
      <c r="BD109" s="522"/>
      <c r="BE109" s="523">
        <f>SUM(BE100:BE108)</f>
        <v>0</v>
      </c>
      <c r="BF109" s="523">
        <f>SUM(BF100:BF108)</f>
        <v>0</v>
      </c>
      <c r="BG109" s="523">
        <f>SUM(BG100:BG108)</f>
        <v>0</v>
      </c>
      <c r="BH109" s="523">
        <f>SUM(BH100:BH108)</f>
        <v>0</v>
      </c>
      <c r="BI109" s="523">
        <f>SUM(BE109:BH109)</f>
        <v>0</v>
      </c>
      <c r="BJ109" s="522"/>
      <c r="BK109" s="523">
        <f>SUM(BK100:BK108)</f>
        <v>0</v>
      </c>
      <c r="BL109" s="523">
        <f>SUM(BL100:BL108)</f>
        <v>0</v>
      </c>
      <c r="BM109" s="523">
        <f>SUM(BM100:BM108)</f>
        <v>0</v>
      </c>
      <c r="BN109" s="523">
        <f>SUM(BN100:BN108)</f>
        <v>0</v>
      </c>
      <c r="BO109" s="523">
        <f>SUM(BK109:BN109)</f>
        <v>0</v>
      </c>
      <c r="BP109" s="522"/>
      <c r="BQ109" s="523">
        <f>SUM(BQ100:BQ108)</f>
        <v>0</v>
      </c>
      <c r="BR109" s="523">
        <f>SUM(BR100:BR108)</f>
        <v>0</v>
      </c>
      <c r="BS109" s="523">
        <f>SUM(BS100:BS108)</f>
        <v>0</v>
      </c>
      <c r="BT109" s="523">
        <f>SUM(BT100:BT108)</f>
        <v>0</v>
      </c>
      <c r="BU109" s="523">
        <f>SUM(BQ109:BT109)</f>
        <v>0</v>
      </c>
      <c r="BV109" s="522"/>
      <c r="BW109" s="523">
        <f>SUM(BW100:BW108)</f>
        <v>0</v>
      </c>
      <c r="BX109" s="523">
        <f>SUM(BX100:BX108)</f>
        <v>0</v>
      </c>
      <c r="BY109" s="523">
        <f>SUM(BY100:BY108)</f>
        <v>0</v>
      </c>
      <c r="BZ109" s="523">
        <f>SUM(BZ100:BZ108)</f>
        <v>0</v>
      </c>
      <c r="CA109" s="523">
        <f>SUM(BW109:BZ109)</f>
        <v>0</v>
      </c>
      <c r="CB109" s="522"/>
      <c r="CC109" s="523">
        <f>SUM(CC100:CC108)</f>
        <v>0</v>
      </c>
      <c r="CD109" s="523">
        <f>SUM(CD100:CD108)</f>
        <v>0</v>
      </c>
      <c r="CE109" s="523">
        <f>SUM(CE100:CE108)</f>
        <v>0</v>
      </c>
      <c r="CF109" s="523">
        <f>SUM(CF100:CF108)</f>
        <v>0</v>
      </c>
      <c r="CG109" s="523">
        <f>SUM(CC109:CF109)</f>
        <v>0</v>
      </c>
    </row>
    <row r="111" spans="1:90" x14ac:dyDescent="0.2">
      <c r="AK111" s="158"/>
      <c r="AL111" s="158"/>
      <c r="AM111" s="995">
        <v>41363.5</v>
      </c>
      <c r="AN111" s="995">
        <v>41454.5</v>
      </c>
      <c r="AO111" s="995">
        <v>41546.5</v>
      </c>
      <c r="AP111" s="995">
        <v>41638.5</v>
      </c>
      <c r="AQ111" s="158" t="s">
        <v>367</v>
      </c>
      <c r="AR111" s="158"/>
      <c r="AS111" s="995">
        <v>41728.75</v>
      </c>
      <c r="AT111" s="995">
        <v>41819.75</v>
      </c>
      <c r="AU111" s="995">
        <v>41911.75</v>
      </c>
      <c r="AV111" s="607">
        <v>42003.75</v>
      </c>
      <c r="AW111" s="992" t="s">
        <v>399</v>
      </c>
      <c r="AX111" s="992"/>
      <c r="AY111" s="607">
        <v>42094</v>
      </c>
      <c r="AZ111" s="607">
        <v>42185</v>
      </c>
      <c r="BA111" s="993">
        <v>42277</v>
      </c>
      <c r="BB111" s="607">
        <v>42369</v>
      </c>
      <c r="BC111" s="992" t="s">
        <v>476</v>
      </c>
      <c r="BD111" s="992"/>
      <c r="BE111" s="607">
        <v>42459.25</v>
      </c>
      <c r="BF111" s="607">
        <v>42550.25</v>
      </c>
      <c r="BG111" s="993">
        <v>42642.25</v>
      </c>
      <c r="BH111" s="607">
        <v>42734.25</v>
      </c>
      <c r="BI111" s="992" t="s">
        <v>505</v>
      </c>
      <c r="BJ111" s="992"/>
      <c r="BK111" s="607">
        <v>42824.5</v>
      </c>
      <c r="BL111" s="607">
        <v>42915.5</v>
      </c>
      <c r="BM111" s="993">
        <v>43007.5</v>
      </c>
      <c r="BN111" s="607">
        <v>43099.5</v>
      </c>
      <c r="BO111" s="992" t="s">
        <v>576</v>
      </c>
      <c r="BP111" s="992"/>
      <c r="BQ111" s="607"/>
      <c r="BR111" s="607"/>
      <c r="BS111" s="994"/>
      <c r="BT111" s="607"/>
      <c r="BU111" s="992" t="s">
        <v>366</v>
      </c>
      <c r="BV111" s="992"/>
      <c r="BW111" s="607">
        <v>43555</v>
      </c>
      <c r="BX111" s="607">
        <v>43646</v>
      </c>
      <c r="BY111" s="994">
        <v>43738</v>
      </c>
      <c r="BZ111" s="607">
        <v>43830</v>
      </c>
      <c r="CA111" s="992" t="s">
        <v>402</v>
      </c>
      <c r="CB111" s="992"/>
      <c r="CC111" s="607">
        <v>43920.25</v>
      </c>
      <c r="CD111" s="607">
        <v>44011.25</v>
      </c>
      <c r="CE111" s="994">
        <v>44195.25</v>
      </c>
      <c r="CF111" s="607" t="s">
        <v>403</v>
      </c>
      <c r="CG111" s="992" t="s">
        <v>403</v>
      </c>
      <c r="CH111" s="992"/>
      <c r="CI111" s="992"/>
      <c r="CJ111" s="992"/>
      <c r="CK111" s="94"/>
      <c r="CL111" s="992"/>
    </row>
    <row r="112" spans="1:90" x14ac:dyDescent="0.2">
      <c r="B112" s="293" t="s">
        <v>578</v>
      </c>
      <c r="C112" s="158"/>
      <c r="D112" s="158"/>
      <c r="E112" s="158"/>
      <c r="F112" s="158"/>
      <c r="G112" s="158"/>
      <c r="H112" s="158"/>
      <c r="I112" s="158"/>
      <c r="J112" s="158"/>
      <c r="K112" s="158"/>
      <c r="L112" s="158"/>
      <c r="M112" s="158"/>
      <c r="N112" s="158"/>
      <c r="O112" s="158"/>
      <c r="P112" s="158"/>
      <c r="Q112" s="158"/>
      <c r="R112" s="158"/>
      <c r="S112" s="158"/>
      <c r="T112" s="158"/>
      <c r="U112" s="158"/>
      <c r="V112" s="158"/>
      <c r="W112" s="158"/>
      <c r="X112" s="158"/>
      <c r="Y112" s="158"/>
      <c r="Z112" s="158"/>
      <c r="AA112" s="158"/>
      <c r="AB112" s="158"/>
      <c r="AC112" s="158"/>
      <c r="AD112" s="158"/>
      <c r="AE112" s="158"/>
      <c r="AF112" s="158"/>
      <c r="AG112" s="158"/>
      <c r="AH112" s="158"/>
      <c r="AI112" s="158"/>
      <c r="AJ112" s="158"/>
      <c r="AK112" s="158"/>
      <c r="AL112" s="158"/>
      <c r="AM112" s="158"/>
      <c r="AN112" s="158"/>
      <c r="AO112" s="158"/>
      <c r="AP112" s="158"/>
      <c r="AQ112" s="158"/>
      <c r="AR112" s="158"/>
      <c r="AS112" s="158"/>
      <c r="AT112" s="158"/>
      <c r="AU112" s="158"/>
      <c r="AV112" s="158"/>
      <c r="AW112" s="158"/>
      <c r="AX112" s="158"/>
      <c r="AY112" s="158"/>
      <c r="AZ112" s="158"/>
      <c r="BA112" s="158"/>
      <c r="BB112" s="158"/>
      <c r="BC112" s="158"/>
      <c r="BD112" s="158"/>
      <c r="BE112" s="158"/>
      <c r="BF112" s="158"/>
      <c r="BG112" s="158"/>
      <c r="BH112" s="158"/>
      <c r="BI112" s="158"/>
      <c r="BJ112" s="158"/>
      <c r="BK112" s="158"/>
      <c r="BL112" s="158"/>
      <c r="BM112" s="158"/>
      <c r="BN112" s="158"/>
      <c r="BO112" s="158"/>
    </row>
    <row r="113" spans="2:85" x14ac:dyDescent="0.2">
      <c r="B113" s="158"/>
      <c r="C113" s="158"/>
      <c r="D113" s="158"/>
      <c r="E113" s="158"/>
      <c r="F113" s="158"/>
      <c r="G113" s="158"/>
      <c r="H113" s="158"/>
      <c r="I113" s="158"/>
      <c r="J113" s="158"/>
      <c r="K113" s="158"/>
      <c r="L113" s="158"/>
      <c r="M113" s="158"/>
      <c r="N113" s="158"/>
      <c r="O113" s="158"/>
      <c r="P113" s="158"/>
      <c r="Q113" s="158"/>
      <c r="R113" s="158"/>
      <c r="S113" s="158"/>
      <c r="T113" s="158"/>
      <c r="U113" s="158"/>
      <c r="V113" s="158"/>
      <c r="W113" s="158"/>
      <c r="X113" s="158"/>
      <c r="Y113" s="158"/>
      <c r="Z113" s="158"/>
      <c r="AA113" s="158"/>
      <c r="AB113" s="158"/>
      <c r="AC113" s="158"/>
      <c r="AD113" s="158"/>
      <c r="AE113" s="158"/>
      <c r="AF113" s="158"/>
      <c r="AG113" s="158"/>
      <c r="AH113" s="158"/>
      <c r="AI113" s="158"/>
      <c r="AJ113" s="158"/>
      <c r="AK113" s="158"/>
      <c r="AL113" s="158"/>
      <c r="AM113" s="158"/>
      <c r="AN113" s="158"/>
      <c r="AO113" s="158"/>
      <c r="AP113" s="158"/>
      <c r="AQ113" s="158"/>
      <c r="AR113" s="158"/>
      <c r="AS113" s="158"/>
      <c r="AT113" s="158"/>
      <c r="AU113" s="158"/>
      <c r="AV113" s="158"/>
      <c r="AW113" s="158"/>
      <c r="AX113" s="158"/>
      <c r="AY113" s="158"/>
      <c r="AZ113" s="158"/>
      <c r="BA113" s="158"/>
      <c r="BB113" s="158"/>
      <c r="BC113" s="158"/>
      <c r="BD113" s="158"/>
      <c r="BE113" s="158"/>
      <c r="BF113" s="158"/>
      <c r="BG113" s="158"/>
      <c r="BH113" s="158"/>
      <c r="BI113" s="989"/>
      <c r="BJ113" s="158"/>
      <c r="BK113" s="158"/>
      <c r="BL113" s="158"/>
      <c r="BM113" s="158"/>
      <c r="BN113" s="158"/>
      <c r="BO113" s="989"/>
    </row>
    <row r="114" spans="2:85" x14ac:dyDescent="0.2">
      <c r="B114" s="158" t="s">
        <v>579</v>
      </c>
      <c r="C114" s="158"/>
      <c r="D114" s="158"/>
      <c r="E114" s="158"/>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8"/>
      <c r="AH114" s="158"/>
      <c r="AI114" s="158"/>
      <c r="AJ114" s="158"/>
      <c r="AK114" s="158"/>
      <c r="AL114" s="158"/>
      <c r="AM114" s="158"/>
      <c r="AN114" s="158"/>
      <c r="AO114" s="158"/>
      <c r="AP114" s="158"/>
      <c r="AQ114" s="990">
        <v>0.75</v>
      </c>
      <c r="AR114" s="158"/>
      <c r="AS114" s="158"/>
      <c r="AT114" s="158"/>
      <c r="AU114" s="158"/>
      <c r="AV114" s="158"/>
      <c r="AW114" s="990">
        <v>0.77</v>
      </c>
      <c r="AX114" s="158"/>
      <c r="AY114" s="158"/>
      <c r="AZ114" s="158"/>
      <c r="BA114" s="158"/>
      <c r="BB114" s="158"/>
      <c r="BC114" s="990">
        <v>0.78</v>
      </c>
      <c r="BD114" s="158"/>
      <c r="BE114" s="158"/>
      <c r="BF114" s="158"/>
      <c r="BG114" s="158"/>
      <c r="BH114" s="158"/>
      <c r="BI114" s="990">
        <v>0.72</v>
      </c>
      <c r="BJ114" s="158"/>
      <c r="BK114" s="158"/>
      <c r="BL114" s="158"/>
      <c r="BM114" s="158"/>
      <c r="BN114" s="158"/>
      <c r="BO114" s="990">
        <v>0.69</v>
      </c>
      <c r="BU114" s="991">
        <f>+(BU9+BU19+BU24)/BU$54</f>
        <v>0.68746489807178701</v>
      </c>
      <c r="CA114" s="991">
        <f>+(CA9+CA19+CA24)/CA$54</f>
        <v>0.67815955825451768</v>
      </c>
      <c r="CG114" s="991">
        <f>+(CG9+CG19+CG24)/CG$54</f>
        <v>0.6646234598841293</v>
      </c>
    </row>
    <row r="115" spans="2:85" x14ac:dyDescent="0.2">
      <c r="B115" s="658" t="s">
        <v>581</v>
      </c>
      <c r="C115" s="158"/>
      <c r="D115" s="158"/>
      <c r="E115" s="158"/>
      <c r="F115" s="158"/>
      <c r="G115" s="158"/>
      <c r="H115" s="158"/>
      <c r="I115" s="158"/>
      <c r="J115" s="158"/>
      <c r="K115" s="158"/>
      <c r="L115" s="158"/>
      <c r="M115" s="158"/>
      <c r="N115" s="158"/>
      <c r="O115" s="158"/>
      <c r="P115" s="158"/>
      <c r="Q115" s="158"/>
      <c r="R115" s="158"/>
      <c r="S115" s="158"/>
      <c r="T115" s="158"/>
      <c r="U115" s="158"/>
      <c r="V115" s="158"/>
      <c r="W115" s="158"/>
      <c r="X115" s="158"/>
      <c r="Y115" s="158"/>
      <c r="Z115" s="158"/>
      <c r="AA115" s="158"/>
      <c r="AB115" s="158"/>
      <c r="AC115" s="158"/>
      <c r="AD115" s="158"/>
      <c r="AE115" s="158"/>
      <c r="AF115" s="158"/>
      <c r="AG115" s="158"/>
      <c r="AH115" s="158"/>
      <c r="AI115" s="158"/>
      <c r="AJ115" s="158"/>
      <c r="AK115" s="158"/>
      <c r="AL115" s="158"/>
      <c r="AM115" s="158"/>
      <c r="AN115" s="158"/>
      <c r="AO115" s="158"/>
      <c r="AP115" s="158"/>
      <c r="AQ115" s="991">
        <f>+(AQ9+AQ19+AQ24)/AQ$54-AQ114</f>
        <v>3.5632817635707914E-3</v>
      </c>
      <c r="AR115" s="889"/>
      <c r="AS115" s="889"/>
      <c r="AT115" s="889"/>
      <c r="AU115" s="889"/>
      <c r="AV115" s="889"/>
      <c r="AW115" s="991">
        <f>+(AW9+AW19+AW24)/AW$54-AW114</f>
        <v>-9.8707679218756894E-4</v>
      </c>
      <c r="AX115" s="889"/>
      <c r="AY115" s="889"/>
      <c r="AZ115" s="889"/>
      <c r="BA115" s="889"/>
      <c r="BB115" s="889"/>
      <c r="BC115" s="991">
        <f>+(BC9+BC19+BC24)/BC$54-BC114</f>
        <v>2.3796017911592582E-3</v>
      </c>
      <c r="BD115" s="889"/>
      <c r="BE115" s="889"/>
      <c r="BF115" s="889"/>
      <c r="BG115" s="889"/>
      <c r="BH115" s="889"/>
      <c r="BI115" s="991">
        <f>+(BI9+BI19+BI24)/BI$54-BI114</f>
        <v>3.4926717879613101E-3</v>
      </c>
      <c r="BJ115" s="889"/>
      <c r="BK115" s="889"/>
      <c r="BL115" s="889"/>
      <c r="BM115" s="889"/>
      <c r="BN115" s="889"/>
      <c r="BO115" s="991">
        <f>+(BO9+BO19+BO24)/BO$54-BO114</f>
        <v>5.282462453825354E-3</v>
      </c>
    </row>
    <row r="116" spans="2:85" x14ac:dyDescent="0.2">
      <c r="B116" s="158" t="s">
        <v>580</v>
      </c>
      <c r="C116" s="158"/>
      <c r="D116" s="158"/>
      <c r="E116" s="158"/>
      <c r="F116" s="158"/>
      <c r="G116" s="158"/>
      <c r="H116" s="158"/>
      <c r="I116" s="158"/>
      <c r="J116" s="158"/>
      <c r="K116" s="158"/>
      <c r="L116" s="158"/>
      <c r="M116" s="158"/>
      <c r="N116" s="158"/>
      <c r="O116" s="158"/>
      <c r="P116" s="158"/>
      <c r="Q116" s="158"/>
      <c r="R116" s="158"/>
      <c r="S116" s="158"/>
      <c r="T116" s="158"/>
      <c r="U116" s="158"/>
      <c r="V116" s="158"/>
      <c r="W116" s="158"/>
      <c r="X116" s="158"/>
      <c r="Y116" s="158"/>
      <c r="Z116" s="158"/>
      <c r="AA116" s="158"/>
      <c r="AB116" s="158"/>
      <c r="AC116" s="158"/>
      <c r="AD116" s="158"/>
      <c r="AE116" s="158"/>
      <c r="AF116" s="158"/>
      <c r="AG116" s="158"/>
      <c r="AH116" s="158"/>
      <c r="AI116" s="158"/>
      <c r="AJ116" s="158"/>
      <c r="AK116" s="158"/>
      <c r="AL116" s="158"/>
      <c r="AM116" s="158"/>
      <c r="AN116" s="158"/>
      <c r="AO116" s="158"/>
      <c r="AP116" s="158"/>
      <c r="AQ116" s="990">
        <v>0.11</v>
      </c>
      <c r="AR116" s="158"/>
      <c r="AS116" s="158"/>
      <c r="AT116" s="158"/>
      <c r="AU116" s="158"/>
      <c r="AV116" s="158"/>
      <c r="AW116" s="990">
        <v>0.11</v>
      </c>
      <c r="AX116" s="158"/>
      <c r="AY116" s="158"/>
      <c r="AZ116" s="158"/>
      <c r="BA116" s="158"/>
      <c r="BB116" s="158"/>
      <c r="BC116" s="990">
        <v>0.11</v>
      </c>
      <c r="BD116" s="158"/>
      <c r="BE116" s="158"/>
      <c r="BF116" s="158"/>
      <c r="BG116" s="158"/>
      <c r="BH116" s="158"/>
      <c r="BI116" s="990">
        <v>0.11</v>
      </c>
      <c r="BJ116" s="158"/>
      <c r="BK116" s="158"/>
      <c r="BL116" s="158"/>
      <c r="BM116" s="158"/>
      <c r="BN116" s="158"/>
      <c r="BO116" s="990">
        <v>0.14000000000000001</v>
      </c>
      <c r="BU116" s="991">
        <f>+(BU14+BU34)/BU$54-BU115</f>
        <v>0.1473092554338514</v>
      </c>
      <c r="CA116" s="991">
        <f>+(CA14+CA34)/CA$54-CA115</f>
        <v>0.17182532853610355</v>
      </c>
      <c r="CG116" s="991">
        <f>+(CG14+CG34)/CG$54-CG115</f>
        <v>0.19220645827882821</v>
      </c>
    </row>
    <row r="117" spans="2:85" x14ac:dyDescent="0.2">
      <c r="B117" s="658" t="s">
        <v>581</v>
      </c>
      <c r="C117" s="158"/>
      <c r="D117" s="158"/>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158"/>
      <c r="AB117" s="158"/>
      <c r="AC117" s="158"/>
      <c r="AD117" s="158"/>
      <c r="AE117" s="158"/>
      <c r="AF117" s="158"/>
      <c r="AG117" s="158"/>
      <c r="AH117" s="158"/>
      <c r="AI117" s="158"/>
      <c r="AJ117" s="158"/>
      <c r="AK117" s="158"/>
      <c r="AL117" s="158"/>
      <c r="AM117" s="158"/>
      <c r="AN117" s="158"/>
      <c r="AO117" s="158"/>
      <c r="AP117" s="158"/>
      <c r="AQ117" s="991">
        <f>+(AQ14+AQ34)/AQ$54-AQ116</f>
        <v>-3.0999415334001523E-4</v>
      </c>
      <c r="AR117" s="889"/>
      <c r="AS117" s="889"/>
      <c r="AT117" s="889"/>
      <c r="AU117" s="889"/>
      <c r="AV117" s="889"/>
      <c r="AW117" s="991">
        <f>+(AW14+AW34)/AW$54-AW116</f>
        <v>-4.1801581560106799E-3</v>
      </c>
      <c r="AX117" s="889"/>
      <c r="AY117" s="889"/>
      <c r="AZ117" s="889"/>
      <c r="BA117" s="889"/>
      <c r="BB117" s="889"/>
      <c r="BC117" s="991">
        <f>+(BC14+BC34)/BC$54-BC116</f>
        <v>-6.7469597367667833E-3</v>
      </c>
      <c r="BD117" s="889"/>
      <c r="BE117" s="889"/>
      <c r="BF117" s="889"/>
      <c r="BG117" s="889"/>
      <c r="BH117" s="889"/>
      <c r="BI117" s="991">
        <f>+(BI14+BI34)/BI$54-BI116</f>
        <v>-4.1671526154323374E-3</v>
      </c>
      <c r="BJ117" s="889"/>
      <c r="BK117" s="889"/>
      <c r="BL117" s="889"/>
      <c r="BM117" s="889"/>
      <c r="BN117" s="889"/>
      <c r="BO117" s="991">
        <f>+(BO14+BO34)/BO$54-BO116</f>
        <v>-2.1460641730989272E-3</v>
      </c>
    </row>
    <row r="118" spans="2:85" x14ac:dyDescent="0.2">
      <c r="B118" s="158" t="s">
        <v>126</v>
      </c>
      <c r="C118" s="158"/>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158"/>
      <c r="AB118" s="158"/>
      <c r="AC118" s="158"/>
      <c r="AD118" s="158"/>
      <c r="AE118" s="158"/>
      <c r="AF118" s="158"/>
      <c r="AG118" s="158"/>
      <c r="AH118" s="158"/>
      <c r="AI118" s="158"/>
      <c r="AJ118" s="158"/>
      <c r="AK118" s="158"/>
      <c r="AL118" s="158"/>
      <c r="AM118" s="158"/>
      <c r="AN118" s="158"/>
      <c r="AO118" s="158"/>
      <c r="AP118" s="158"/>
      <c r="AQ118" s="990">
        <v>7.0000000000000007E-2</v>
      </c>
      <c r="AR118" s="158"/>
      <c r="AS118" s="158"/>
      <c r="AT118" s="158"/>
      <c r="AU118" s="158"/>
      <c r="AV118" s="158"/>
      <c r="AW118" s="990">
        <v>0.06</v>
      </c>
      <c r="AX118" s="158"/>
      <c r="AY118" s="158"/>
      <c r="AZ118" s="158"/>
      <c r="BA118" s="158"/>
      <c r="BB118" s="158"/>
      <c r="BC118" s="990">
        <v>0.06</v>
      </c>
      <c r="BD118" s="158"/>
      <c r="BE118" s="158"/>
      <c r="BF118" s="158"/>
      <c r="BG118" s="158"/>
      <c r="BH118" s="158"/>
      <c r="BI118" s="990">
        <v>0.06</v>
      </c>
      <c r="BJ118" s="158"/>
      <c r="BK118" s="158"/>
      <c r="BL118" s="158"/>
      <c r="BM118" s="158"/>
      <c r="BN118" s="158"/>
      <c r="BO118" s="990">
        <v>0.06</v>
      </c>
      <c r="BU118" s="991">
        <f>+(BU29)/BU$54-BU117</f>
        <v>5.1083233874118346E-2</v>
      </c>
      <c r="CA118" s="991">
        <f>+(CA29)/CA$54-CA117</f>
        <v>4.7609898818472871E-2</v>
      </c>
      <c r="CG118" s="991">
        <f>+(CG29)/CG$54-CG117</f>
        <v>4.702589967607386E-2</v>
      </c>
    </row>
    <row r="119" spans="2:85" x14ac:dyDescent="0.2">
      <c r="B119" s="658" t="s">
        <v>581</v>
      </c>
      <c r="C119" s="158"/>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158"/>
      <c r="AB119" s="158"/>
      <c r="AC119" s="158"/>
      <c r="AD119" s="158"/>
      <c r="AE119" s="158"/>
      <c r="AF119" s="158"/>
      <c r="AG119" s="158"/>
      <c r="AH119" s="158"/>
      <c r="AI119" s="158"/>
      <c r="AJ119" s="158"/>
      <c r="AK119" s="158"/>
      <c r="AL119" s="158"/>
      <c r="AM119" s="158"/>
      <c r="AN119" s="158"/>
      <c r="AO119" s="158"/>
      <c r="AP119" s="158"/>
      <c r="AQ119" s="991">
        <f>+(AQ29)/AQ$54-AQ118</f>
        <v>-2.2575075052332222E-3</v>
      </c>
      <c r="AR119" s="889"/>
      <c r="AS119" s="889"/>
      <c r="AT119" s="889"/>
      <c r="AU119" s="889"/>
      <c r="AV119" s="889"/>
      <c r="AW119" s="991">
        <f>+(AW29)/AW$54-AW118</f>
        <v>6.9693154231652288E-4</v>
      </c>
      <c r="AX119" s="889"/>
      <c r="AY119" s="889"/>
      <c r="AZ119" s="889"/>
      <c r="BA119" s="889"/>
      <c r="BB119" s="889"/>
      <c r="BC119" s="991">
        <f>+(BC29)/BC$54-BC118</f>
        <v>7.887061406102458E-4</v>
      </c>
      <c r="BD119" s="889"/>
      <c r="BE119" s="889"/>
      <c r="BF119" s="889"/>
      <c r="BG119" s="889"/>
      <c r="BH119" s="889"/>
      <c r="BI119" s="991">
        <f>+(BI29)/BI$54-BI118</f>
        <v>-1.6392601371739007E-3</v>
      </c>
      <c r="BJ119" s="889"/>
      <c r="BK119" s="889"/>
      <c r="BL119" s="889"/>
      <c r="BM119" s="889"/>
      <c r="BN119" s="889"/>
      <c r="BO119" s="991">
        <f>+(BO29)/BO$54-BO118</f>
        <v>-4.5450800284781087E-3</v>
      </c>
    </row>
    <row r="120" spans="2:85" x14ac:dyDescent="0.2">
      <c r="B120" s="158" t="s">
        <v>199</v>
      </c>
      <c r="C120" s="158"/>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158"/>
      <c r="AB120" s="158"/>
      <c r="AC120" s="158"/>
      <c r="AD120" s="158"/>
      <c r="AE120" s="158"/>
      <c r="AF120" s="158"/>
      <c r="AG120" s="158"/>
      <c r="AH120" s="158"/>
      <c r="AI120" s="158"/>
      <c r="AJ120" s="158"/>
      <c r="AK120" s="158"/>
      <c r="AL120" s="158"/>
      <c r="AM120" s="158"/>
      <c r="AN120" s="158"/>
      <c r="AO120" s="158"/>
      <c r="AP120" s="158"/>
      <c r="AQ120" s="990">
        <v>7.0000000000000007E-2</v>
      </c>
      <c r="AR120" s="158"/>
      <c r="AS120" s="158"/>
      <c r="AT120" s="158"/>
      <c r="AU120" s="158"/>
      <c r="AV120" s="158"/>
      <c r="AW120" s="990">
        <v>0.06</v>
      </c>
      <c r="AX120" s="158"/>
      <c r="AY120" s="158"/>
      <c r="AZ120" s="158"/>
      <c r="BA120" s="158"/>
      <c r="BB120" s="158"/>
      <c r="BC120" s="990">
        <v>0.05</v>
      </c>
      <c r="BD120" s="158"/>
      <c r="BE120" s="158"/>
      <c r="BF120" s="158"/>
      <c r="BG120" s="158"/>
      <c r="BH120" s="158"/>
      <c r="BI120" s="990">
        <v>0.11</v>
      </c>
      <c r="BJ120" s="158"/>
      <c r="BK120" s="158"/>
      <c r="BL120" s="158"/>
      <c r="BM120" s="158"/>
      <c r="BN120" s="158"/>
      <c r="BO120" s="990">
        <v>0.11</v>
      </c>
      <c r="BU120" s="991">
        <f>+(BU39)/BU$54-BU119</f>
        <v>0.11414261262024319</v>
      </c>
      <c r="CA120" s="991">
        <f>+(CA39)/CA$54-CA119</f>
        <v>0.10240521439090587</v>
      </c>
      <c r="CG120" s="991">
        <f>+(CG39)/CG$54-CG119</f>
        <v>9.6144182160968761E-2</v>
      </c>
    </row>
    <row r="121" spans="2:85" x14ac:dyDescent="0.2">
      <c r="B121" s="658" t="s">
        <v>581</v>
      </c>
      <c r="AQ121" s="991">
        <f>+(AQ39)/AQ$54-AQ120</f>
        <v>-9.9578010499754011E-4</v>
      </c>
      <c r="AR121" s="395"/>
      <c r="AS121" s="395"/>
      <c r="AT121" s="395"/>
      <c r="AU121" s="395"/>
      <c r="AV121" s="395"/>
      <c r="AW121" s="991">
        <f>+(AW39)/AW$54-AW120</f>
        <v>4.4703034058816843E-3</v>
      </c>
      <c r="AX121" s="395"/>
      <c r="AY121" s="395"/>
      <c r="AZ121" s="395"/>
      <c r="BA121" s="395"/>
      <c r="BB121" s="395"/>
      <c r="BC121" s="991">
        <f>+(BC39)/BC$54-BC120</f>
        <v>3.5786518049973556E-3</v>
      </c>
      <c r="BD121" s="395"/>
      <c r="BE121" s="395"/>
      <c r="BF121" s="395"/>
      <c r="BG121" s="395"/>
      <c r="BH121" s="395"/>
      <c r="BI121" s="991">
        <f>+(BI39)/BI$54-BI120</f>
        <v>2.5874589017843702E-3</v>
      </c>
      <c r="BJ121" s="395"/>
      <c r="BK121" s="395"/>
      <c r="BL121" s="395"/>
      <c r="BM121" s="395"/>
      <c r="BN121" s="395"/>
      <c r="BO121" s="991">
        <f>+(BO39)/BO$54-BO120</f>
        <v>1.4086817477516334E-3</v>
      </c>
    </row>
    <row r="122" spans="2:85" x14ac:dyDescent="0.2">
      <c r="AQ122" s="660">
        <f>+AQ120+AQ118+AQ116+AQ114</f>
        <v>1</v>
      </c>
      <c r="AW122" s="660">
        <f>+AW120+AW118+AW116+AW114</f>
        <v>1</v>
      </c>
      <c r="BC122" s="660">
        <f>+BC120+BC118+BC116+BC114</f>
        <v>1</v>
      </c>
      <c r="BI122" s="660">
        <f>+BI120+BI118+BI116+BI114</f>
        <v>1</v>
      </c>
      <c r="BO122" s="660">
        <f>+BO120+BO118+BO116+BO114</f>
        <v>1</v>
      </c>
      <c r="BU122" s="660">
        <f>+BU120+BU118+BU116+BU114</f>
        <v>1</v>
      </c>
      <c r="CA122" s="660">
        <f>+CA120+CA118+CA116+CA114</f>
        <v>1</v>
      </c>
      <c r="CG122" s="660">
        <f>+CG120+CG118+CG116+CG114</f>
        <v>1</v>
      </c>
    </row>
  </sheetData>
  <mergeCells count="14">
    <mergeCell ref="BW4:CA4"/>
    <mergeCell ref="CC4:CG4"/>
    <mergeCell ref="BK4:BO4"/>
    <mergeCell ref="BQ4:BU4"/>
    <mergeCell ref="AG4:AK4"/>
    <mergeCell ref="AS4:AW4"/>
    <mergeCell ref="AY4:BC4"/>
    <mergeCell ref="AM4:AQ4"/>
    <mergeCell ref="BE4:BI4"/>
    <mergeCell ref="C4:G4"/>
    <mergeCell ref="I4:M4"/>
    <mergeCell ref="O4:S4"/>
    <mergeCell ref="U4:Y4"/>
    <mergeCell ref="AA4:AE4"/>
  </mergeCells>
  <phoneticPr fontId="13" type="noConversion"/>
  <printOptions horizontalCentered="1" verticalCentered="1"/>
  <pageMargins left="0" right="0" top="0" bottom="0" header="0" footer="0"/>
  <pageSetup paperSize="5" scale="75" orientation="landscape" r:id="rId1"/>
  <headerFooter alignWithMargins="0"/>
  <rowBreaks count="1" manualBreakCount="1">
    <brk id="100" max="56" man="1"/>
  </rowBreaks>
  <ignoredErrors>
    <ignoredError sqref="BB13:BF13 BC58:BF58 AY67:BA67 BB39:BF43 BC32:BF32 BC46:BE47 BC44:BD44 BB28:BF28 BC27:BD27 BB23:BF23 BC20:BF22 BB18:BF18 BC14:BF17 BC11:BF12 BI44 BC45 BE45:BF45 BC29:BD31 BJ29 BB66:BC67 BH46:BI47 BC24:BD26 BJ26 BB33:BF33 BH13:BJ13 BH58:BJ58 BH40:BJ43 BH32:BJ32 BH28:BJ28 BJ27 BH23:BJ23 BH20:BJ22 BH18:BJ18 BH15:BJ17 BH11:BJ12 BH45:BI45 BH33:BK33 BI31:BJ31 BI30 BJ24 BO29:BP29 BO31:BP31 BI39:BJ39 BI19:BJ19 BI14:BJ14 BJ25 BC19:BD19 BF19 BO26:BP26 BM13 BM28 BM27 BM23 BM20:BM22 BM18 BM15:BM17 BM11:BM12 BM19 BM14 BO25:BP25 BO58:BP58 BL42:BL43 BO39:BP39 BO32:BP32 BO33:BP33 BO40:BP40 BO41:BP41 BO42:BP43 BO13:BP13 BO28:BP28 BO27:BP27 BO23:BP23 BO20:BP22 BO18:BP18 BO15:BP17 BO11:BP12 BO19:BP19 BO14:BP14 BR29:CG29 BR31:CG31 BR26:CG26 BR25:CG25 BR58:CG58 BR39:CG39 BR32:CG32 BR33:CG33 BR40:CG40 BR41:CG41 BR42:CG43 BR13:CG13 BR28:CG28 BR27:CG27 BR23:CG23 BR20:CG22 BR18:CG18 BR15:CG17 BR11:CG12 BR19:CG19 BR14:CG14"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66CCFF"/>
    <pageSetUpPr fitToPage="1"/>
  </sheetPr>
  <dimension ref="A1:ED313"/>
  <sheetViews>
    <sheetView showGridLines="0" zoomScaleNormal="100" zoomScaleSheetLayoutView="85" workbookViewId="0">
      <pane xSplit="2" ySplit="2" topLeftCell="AR3" activePane="bottomRight" state="frozen"/>
      <selection pane="topRight" activeCell="C1" sqref="C1"/>
      <selection pane="bottomLeft" activeCell="A3" sqref="A3"/>
      <selection pane="bottomRight" sqref="A1:XFD1048576"/>
    </sheetView>
  </sheetViews>
  <sheetFormatPr defaultRowHeight="12.75" outlineLevelRow="2" outlineLevelCol="1" x14ac:dyDescent="0.2"/>
  <cols>
    <col min="1" max="1" width="1" customWidth="1"/>
    <col min="2" max="2" width="25.5703125" customWidth="1"/>
    <col min="3" max="6" width="7.28515625" hidden="1" customWidth="1" outlineLevel="1"/>
    <col min="7" max="7" width="6.85546875" hidden="1" customWidth="1" outlineLevel="1" collapsed="1"/>
    <col min="8" max="8" width="1" hidden="1" customWidth="1" outlineLevel="1"/>
    <col min="9" max="10" width="7.140625" hidden="1" customWidth="1" outlineLevel="1"/>
    <col min="11" max="12" width="6.5703125" hidden="1" customWidth="1" outlineLevel="1"/>
    <col min="13" max="13" width="6.5703125" hidden="1" customWidth="1" outlineLevel="1" collapsed="1"/>
    <col min="14" max="14" width="1" hidden="1" customWidth="1" outlineLevel="1"/>
    <col min="15" max="18" width="7.140625" hidden="1" customWidth="1" outlineLevel="1"/>
    <col min="19" max="19" width="7.5703125" hidden="1" customWidth="1" outlineLevel="1"/>
    <col min="20" max="20" width="1" hidden="1" customWidth="1" outlineLevel="1"/>
    <col min="21" max="25" width="7.140625" hidden="1" customWidth="1" outlineLevel="1"/>
    <col min="26" max="26" width="1" hidden="1" customWidth="1" outlineLevel="1"/>
    <col min="27" max="31" width="7.140625" hidden="1" customWidth="1" outlineLevel="1"/>
    <col min="32" max="32" width="1" hidden="1" customWidth="1" outlineLevel="1"/>
    <col min="33" max="36" width="7.140625" hidden="1" customWidth="1" outlineLevel="1"/>
    <col min="37" max="37" width="7.140625" customWidth="1" collapsed="1"/>
    <col min="38" max="38" width="1" customWidth="1"/>
    <col min="39" max="42" width="7.140625" hidden="1" customWidth="1" outlineLevel="1"/>
    <col min="43" max="43" width="7.140625" customWidth="1" collapsed="1"/>
    <col min="44" max="44" width="1" customWidth="1"/>
    <col min="45" max="48" width="7.140625" hidden="1" customWidth="1" outlineLevel="1"/>
    <col min="49" max="49" width="7.140625" customWidth="1" collapsed="1"/>
    <col min="50" max="50" width="1" customWidth="1"/>
    <col min="51" max="54" width="7.140625" hidden="1" customWidth="1" outlineLevel="1"/>
    <col min="55" max="55" width="7.140625" customWidth="1" collapsed="1"/>
    <col min="56" max="56" width="1" customWidth="1"/>
    <col min="57" max="60" width="7.7109375" customWidth="1" outlineLevel="1"/>
    <col min="61" max="61" width="7.140625" customWidth="1"/>
    <col min="62" max="62" width="1" customWidth="1"/>
    <col min="63" max="66" width="7.140625" customWidth="1" outlineLevel="1"/>
    <col min="67" max="67" width="7.140625" customWidth="1"/>
    <col min="68" max="68" width="1" customWidth="1"/>
    <col min="69" max="72" width="7.140625" customWidth="1" outlineLevel="1"/>
    <col min="73" max="73" width="7.140625" customWidth="1"/>
    <col min="74" max="74" width="1" customWidth="1"/>
    <col min="75" max="78" width="7.140625" customWidth="1" outlineLevel="1"/>
    <col min="79" max="79" width="7.140625" customWidth="1"/>
    <col min="80" max="80" width="1" customWidth="1"/>
    <col min="81" max="84" width="7.140625" hidden="1" customWidth="1" outlineLevel="1"/>
    <col min="85" max="85" width="7.140625" customWidth="1" collapsed="1"/>
    <col min="87" max="87" width="10.28515625" bestFit="1" customWidth="1"/>
  </cols>
  <sheetData>
    <row r="1" spans="1:87" x14ac:dyDescent="0.2">
      <c r="A1" s="230"/>
      <c r="B1" s="246"/>
      <c r="C1" s="1004" t="s">
        <v>208</v>
      </c>
      <c r="D1" s="1004"/>
      <c r="E1" s="1004"/>
      <c r="F1" s="1004"/>
      <c r="G1" s="1004"/>
      <c r="H1" s="79"/>
      <c r="I1" s="1004" t="s">
        <v>209</v>
      </c>
      <c r="J1" s="1004"/>
      <c r="K1" s="1004"/>
      <c r="L1" s="1004"/>
      <c r="M1" s="1004"/>
      <c r="N1" s="79"/>
      <c r="O1" s="1004" t="s">
        <v>210</v>
      </c>
      <c r="P1" s="1004"/>
      <c r="Q1" s="1004"/>
      <c r="R1" s="1004"/>
      <c r="S1" s="1004"/>
      <c r="T1" s="79"/>
      <c r="U1" s="1004" t="s">
        <v>301</v>
      </c>
      <c r="V1" s="1004"/>
      <c r="W1" s="1004"/>
      <c r="X1" s="1004"/>
      <c r="Y1" s="1004"/>
      <c r="Z1" s="79"/>
      <c r="AA1" s="1004" t="str">
        <f>+'P&amp;L'!AA5</f>
        <v>2011A</v>
      </c>
      <c r="AB1" s="1004"/>
      <c r="AC1" s="1004"/>
      <c r="AD1" s="1004"/>
      <c r="AE1" s="1004"/>
      <c r="AF1" s="79"/>
      <c r="AG1" s="1004" t="str">
        <f>+'P&amp;L'!AG5</f>
        <v>2012A</v>
      </c>
      <c r="AH1" s="1004"/>
      <c r="AI1" s="1004"/>
      <c r="AJ1" s="1004"/>
      <c r="AK1" s="1004"/>
      <c r="AL1" s="79"/>
      <c r="AM1" s="1004" t="str">
        <f>+'P&amp;L'!AM5</f>
        <v>2013A</v>
      </c>
      <c r="AN1" s="1004"/>
      <c r="AO1" s="1004"/>
      <c r="AP1" s="1004"/>
      <c r="AQ1" s="1004"/>
      <c r="AR1" s="79"/>
      <c r="AS1" s="1004" t="str">
        <f>+'P&amp;L'!AS5</f>
        <v>2014A</v>
      </c>
      <c r="AT1" s="1004"/>
      <c r="AU1" s="1004"/>
      <c r="AV1" s="1004"/>
      <c r="AW1" s="1004"/>
      <c r="AX1" s="79"/>
      <c r="AY1" s="1004" t="str">
        <f>+'P&amp;L'!AY5</f>
        <v>2015A</v>
      </c>
      <c r="AZ1" s="1004"/>
      <c r="BA1" s="1004"/>
      <c r="BB1" s="1004"/>
      <c r="BC1" s="1004"/>
      <c r="BD1" s="79"/>
      <c r="BE1" s="1004" t="str">
        <f>+'P&amp;L'!BE5</f>
        <v>2016A</v>
      </c>
      <c r="BF1" s="1004"/>
      <c r="BG1" s="1004"/>
      <c r="BH1" s="1004"/>
      <c r="BI1" s="1004"/>
      <c r="BJ1" s="79"/>
      <c r="BK1" s="1004" t="str">
        <f>+'P&amp;L'!BK5</f>
        <v>2017A</v>
      </c>
      <c r="BL1" s="1004"/>
      <c r="BM1" s="1004"/>
      <c r="BN1" s="1004"/>
      <c r="BO1" s="1004"/>
      <c r="BP1" s="79"/>
      <c r="BQ1" s="1004" t="str">
        <f>+'P&amp;L'!BQ5</f>
        <v>2018E</v>
      </c>
      <c r="BR1" s="1004"/>
      <c r="BS1" s="1004"/>
      <c r="BT1" s="1004"/>
      <c r="BU1" s="1004"/>
      <c r="BV1" s="79"/>
      <c r="BW1" s="1004" t="str">
        <f>+'P&amp;L'!BW5</f>
        <v>2019E</v>
      </c>
      <c r="BX1" s="1004"/>
      <c r="BY1" s="1004"/>
      <c r="BZ1" s="1004"/>
      <c r="CA1" s="1004"/>
      <c r="CB1" s="79"/>
      <c r="CC1" s="1004" t="str">
        <f>+'P&amp;L'!CC5</f>
        <v>2020E</v>
      </c>
      <c r="CD1" s="1004"/>
      <c r="CE1" s="1004"/>
      <c r="CF1" s="1004"/>
      <c r="CG1" s="1004"/>
    </row>
    <row r="2" spans="1:87" x14ac:dyDescent="0.2">
      <c r="A2" s="230"/>
      <c r="B2" s="54"/>
      <c r="C2" s="399">
        <f>+'Cash Flow'!B6</f>
        <v>39172</v>
      </c>
      <c r="D2" s="399">
        <f>+'Cash Flow'!C6</f>
        <v>39263</v>
      </c>
      <c r="E2" s="399">
        <f>+'Cash Flow'!D6</f>
        <v>39355</v>
      </c>
      <c r="F2" s="399">
        <f>+'Cash Flow'!E6</f>
        <v>39447</v>
      </c>
      <c r="G2" s="400" t="str">
        <f>+'Cash Flow'!F6</f>
        <v>2007A</v>
      </c>
      <c r="H2" s="2"/>
      <c r="I2" s="399">
        <f>+'Cash Flow'!H6</f>
        <v>39538</v>
      </c>
      <c r="J2" s="399">
        <f>+'Cash Flow'!I6</f>
        <v>39629</v>
      </c>
      <c r="K2" s="399">
        <f>+'Cash Flow'!J6</f>
        <v>39721</v>
      </c>
      <c r="L2" s="399">
        <f>+'Cash Flow'!K6</f>
        <v>39813</v>
      </c>
      <c r="M2" s="400" t="str">
        <f>+'Cash Flow'!L6</f>
        <v>2008A</v>
      </c>
      <c r="N2" s="2"/>
      <c r="O2" s="399">
        <f>+'Cash Flow'!N6</f>
        <v>39903</v>
      </c>
      <c r="P2" s="399">
        <f>+'Cash Flow'!O6</f>
        <v>39994</v>
      </c>
      <c r="Q2" s="399">
        <f>+'Cash Flow'!P6</f>
        <v>40086</v>
      </c>
      <c r="R2" s="399">
        <f>+'Cash Flow'!Q6</f>
        <v>40178</v>
      </c>
      <c r="S2" s="400" t="str">
        <f>+'Cash Flow'!R6</f>
        <v>2009A</v>
      </c>
      <c r="T2" s="2"/>
      <c r="U2" s="399">
        <f>+'Cash Flow'!T6</f>
        <v>40268</v>
      </c>
      <c r="V2" s="399">
        <f>+'Cash Flow'!U6</f>
        <v>40359</v>
      </c>
      <c r="W2" s="399">
        <f>+'Cash Flow'!V6</f>
        <v>40451</v>
      </c>
      <c r="X2" s="399">
        <f>+'Cash Flow'!W6</f>
        <v>40543</v>
      </c>
      <c r="Y2" s="400" t="str">
        <f>+'Cash Flow'!X6</f>
        <v>2010A</v>
      </c>
      <c r="Z2" s="2"/>
      <c r="AA2" s="399">
        <f>+'Cash Flow'!Z6</f>
        <v>40633</v>
      </c>
      <c r="AB2" s="399">
        <f>+'Cash Flow'!AA6</f>
        <v>40724</v>
      </c>
      <c r="AC2" s="399">
        <f>+'Cash Flow'!AB6</f>
        <v>40816</v>
      </c>
      <c r="AD2" s="399">
        <f>+'Cash Flow'!AC6</f>
        <v>40908</v>
      </c>
      <c r="AE2" s="162" t="str">
        <f>+'Cash Flow'!AD6</f>
        <v>2011A</v>
      </c>
      <c r="AF2" s="2"/>
      <c r="AG2" s="399">
        <f>+'Cash Flow'!AF6</f>
        <v>40998.25</v>
      </c>
      <c r="AH2" s="399">
        <f>+'Cash Flow'!AG6</f>
        <v>41089.25</v>
      </c>
      <c r="AI2" s="399">
        <f>+'Cash Flow'!AH6</f>
        <v>41181.25</v>
      </c>
      <c r="AJ2" s="399">
        <f>+'Cash Flow'!AI6</f>
        <v>41273.25</v>
      </c>
      <c r="AK2" s="162" t="str">
        <f>+'Cash Flow'!AJ6</f>
        <v>2012A</v>
      </c>
      <c r="AL2" s="2"/>
      <c r="AM2" s="399">
        <f>+'Cash Flow'!AL6</f>
        <v>41363.5</v>
      </c>
      <c r="AN2" s="399">
        <f>+'Cash Flow'!AM6</f>
        <v>41454.5</v>
      </c>
      <c r="AO2" s="399">
        <f>+'Cash Flow'!AN6</f>
        <v>41546.5</v>
      </c>
      <c r="AP2" s="399">
        <f>+'Cash Flow'!AO6</f>
        <v>41638.5</v>
      </c>
      <c r="AQ2" s="162" t="str">
        <f>+'Cash Flow'!AP6</f>
        <v>2013A</v>
      </c>
      <c r="AR2" s="2"/>
      <c r="AS2" s="399">
        <f>+'Cash Flow'!AR6</f>
        <v>41728.75</v>
      </c>
      <c r="AT2" s="399">
        <f>+'Cash Flow'!AS6</f>
        <v>41819.75</v>
      </c>
      <c r="AU2" s="399">
        <f>+'Cash Flow'!AT6</f>
        <v>41911.75</v>
      </c>
      <c r="AV2" s="399">
        <f>+'Cash Flow'!AU6</f>
        <v>42003.75</v>
      </c>
      <c r="AW2" s="162" t="str">
        <f>+'Cash Flow'!AV6</f>
        <v>2014A</v>
      </c>
      <c r="AX2" s="2"/>
      <c r="AY2" s="399">
        <f>+'Cash Flow'!AX6</f>
        <v>42094</v>
      </c>
      <c r="AZ2" s="399">
        <f>+'Cash Flow'!AY6</f>
        <v>42185</v>
      </c>
      <c r="BA2" s="399">
        <f>+'Cash Flow'!AZ6</f>
        <v>42277</v>
      </c>
      <c r="BB2" s="399">
        <f>+'Cash Flow'!BA6</f>
        <v>42369</v>
      </c>
      <c r="BC2" s="162" t="str">
        <f>+'Cash Flow'!BB6</f>
        <v>2015A</v>
      </c>
      <c r="BD2" s="2"/>
      <c r="BE2" s="399">
        <f>+'Cash Flow'!BD6</f>
        <v>42459.25</v>
      </c>
      <c r="BF2" s="399">
        <f>+'Cash Flow'!BE6</f>
        <v>42550.25</v>
      </c>
      <c r="BG2" s="399">
        <f>+'Cash Flow'!BF6</f>
        <v>42642.25</v>
      </c>
      <c r="BH2" s="399">
        <f>+'Cash Flow'!BG6</f>
        <v>42734.25</v>
      </c>
      <c r="BI2" s="162" t="str">
        <f>+'Cash Flow'!BH6</f>
        <v>2016A</v>
      </c>
      <c r="BJ2" s="2"/>
      <c r="BK2" s="399">
        <f>+'Cash Flow'!BJ6</f>
        <v>42824.5</v>
      </c>
      <c r="BL2" s="399">
        <f>+'Cash Flow'!BK6</f>
        <v>42915.5</v>
      </c>
      <c r="BM2" s="399">
        <f>+'Cash Flow'!BL6</f>
        <v>43007.5</v>
      </c>
      <c r="BN2" s="399">
        <f>+'Cash Flow'!BM6</f>
        <v>43099.5</v>
      </c>
      <c r="BO2" s="162" t="str">
        <f>+'Cash Flow'!BN6</f>
        <v>2017A</v>
      </c>
      <c r="BP2" s="2"/>
      <c r="BQ2" s="399">
        <f>+'Cash Flow'!BP6</f>
        <v>43189.75</v>
      </c>
      <c r="BR2" s="401">
        <f>+'Cash Flow'!BQ6</f>
        <v>43280.75</v>
      </c>
      <c r="BS2" s="401">
        <f>+'Cash Flow'!BR6</f>
        <v>43372.75</v>
      </c>
      <c r="BT2" s="401">
        <f>+'Cash Flow'!BS6</f>
        <v>43464.75</v>
      </c>
      <c r="BU2" s="162" t="str">
        <f>+'Cash Flow'!BT6</f>
        <v>2018E</v>
      </c>
      <c r="BV2" s="2"/>
      <c r="BW2" s="401">
        <f>+'Cash Flow'!BV6</f>
        <v>43555</v>
      </c>
      <c r="BX2" s="401">
        <f>+'Cash Flow'!BW6</f>
        <v>43646</v>
      </c>
      <c r="BY2" s="401">
        <f>+'Cash Flow'!BX6</f>
        <v>43738</v>
      </c>
      <c r="BZ2" s="401">
        <f>+'Cash Flow'!BY6</f>
        <v>43830</v>
      </c>
      <c r="CA2" s="162" t="str">
        <f>+'Cash Flow'!BZ6</f>
        <v>2019E</v>
      </c>
      <c r="CB2" s="2"/>
      <c r="CC2" s="401">
        <f>+'Cash Flow'!CB6</f>
        <v>43920.25</v>
      </c>
      <c r="CD2" s="401">
        <f>+'Cash Flow'!CC6</f>
        <v>44011.25</v>
      </c>
      <c r="CE2" s="401">
        <f>+'Cash Flow'!CE6</f>
        <v>44195.25</v>
      </c>
      <c r="CF2" s="401" t="str">
        <f>+'Cash Flow'!CF6</f>
        <v>2020E</v>
      </c>
      <c r="CG2" s="162">
        <f>+'Cash Flow'!CH6</f>
        <v>0</v>
      </c>
    </row>
    <row r="3" spans="1:87" ht="3" customHeight="1" x14ac:dyDescent="0.2"/>
    <row r="4" spans="1:87" x14ac:dyDescent="0.2">
      <c r="A4" s="230"/>
      <c r="B4" s="293" t="s">
        <v>535</v>
      </c>
      <c r="C4" s="358">
        <f>+C22*C30/1000</f>
        <v>60.3</v>
      </c>
      <c r="D4" s="358">
        <f>+D22*D30/1000</f>
        <v>73.150000000000006</v>
      </c>
      <c r="E4" s="358">
        <f>+E22*E30/1000</f>
        <v>68.706000000000003</v>
      </c>
      <c r="F4" s="358">
        <f>+F22*F30/1000</f>
        <v>69.128799999999998</v>
      </c>
      <c r="G4" s="358">
        <f>+G22*G30/1000</f>
        <v>275.91679999999997</v>
      </c>
      <c r="H4" s="358"/>
      <c r="I4" s="358">
        <f>+I22*I30/1000</f>
        <v>71.442599999999985</v>
      </c>
      <c r="J4" s="358">
        <f>+J22*J30/1000</f>
        <v>76.269300000000001</v>
      </c>
      <c r="K4" s="358">
        <f>+K22*K30/1000</f>
        <v>73.391999999999996</v>
      </c>
      <c r="L4" s="358">
        <f>+L22*L30/1000</f>
        <v>72.116799999999984</v>
      </c>
      <c r="M4" s="358">
        <f>+M22*M30/1000</f>
        <v>290.54960000000005</v>
      </c>
      <c r="N4" s="358"/>
      <c r="O4" s="358">
        <f>+O22*O30/1000</f>
        <v>68.331900000000005</v>
      </c>
      <c r="P4" s="358">
        <f>+P22*P30/1000</f>
        <v>74.206999999999994</v>
      </c>
      <c r="Q4" s="358">
        <f>+Q22*Q30/1000</f>
        <v>78.555850000000007</v>
      </c>
      <c r="R4" s="358">
        <f>+R22*R30/1000</f>
        <v>85.483999999999995</v>
      </c>
      <c r="S4" s="358">
        <f>+S22*S30/1000</f>
        <v>308.89600000000002</v>
      </c>
      <c r="T4" s="358"/>
      <c r="U4" s="358">
        <f>+U22*U30/1000</f>
        <v>88.735950000000003</v>
      </c>
      <c r="V4" s="358">
        <f>+V22*V30/1000</f>
        <v>91.442175000000006</v>
      </c>
      <c r="W4" s="358">
        <f>+W22*W30/1000</f>
        <v>92.073599999999999</v>
      </c>
      <c r="X4" s="358">
        <f>+X22*X30/1000</f>
        <v>88.885999999999996</v>
      </c>
      <c r="Y4" s="358">
        <f>+Y22*Y30/1000</f>
        <v>365.15499999999997</v>
      </c>
      <c r="Z4" s="358"/>
      <c r="AA4" s="358">
        <f>+AA22*AA30/1000</f>
        <v>99.561150000000012</v>
      </c>
      <c r="AB4" s="358">
        <f>+AB22*AB30/1000</f>
        <v>107.18819999999999</v>
      </c>
      <c r="AC4" s="358">
        <f>+AC22*AC30/1000</f>
        <v>109.91360000000002</v>
      </c>
      <c r="AD4" s="358">
        <f>+AD22*AD30/1000</f>
        <v>112.3224</v>
      </c>
      <c r="AE4" s="358">
        <f>+AE22*AE30/1000</f>
        <v>429.20924999999994</v>
      </c>
      <c r="AF4" s="358"/>
      <c r="AG4" s="358">
        <f>+AG22*AG30/1000</f>
        <v>116.81305</v>
      </c>
      <c r="AH4" s="358">
        <f>+AH22*AH30/1000</f>
        <v>127.19880000000001</v>
      </c>
      <c r="AI4" s="358">
        <f>+AI22*AI30/1000</f>
        <v>122.1198</v>
      </c>
      <c r="AJ4" s="358">
        <f>+AJ22*AJ30/1000</f>
        <v>124.40999999999998</v>
      </c>
      <c r="AK4" s="358">
        <f>+AK22*AK30/1000</f>
        <v>490.77899999999994</v>
      </c>
      <c r="AL4" s="358"/>
      <c r="AM4" s="358">
        <f>+AM22*AM30/1000</f>
        <v>128.11837499999999</v>
      </c>
      <c r="AN4" s="358">
        <f>+AN22*AN30/1000</f>
        <v>142.751575</v>
      </c>
      <c r="AO4" s="358">
        <f>+AO22*AO30/1000</f>
        <v>142.7115</v>
      </c>
      <c r="AP4" s="358">
        <f>+AP22*AP30/1000</f>
        <v>155.61000000000001</v>
      </c>
      <c r="AQ4" s="358">
        <f>+AQ22*AQ30/1000</f>
        <v>568.60215000000005</v>
      </c>
      <c r="AR4" s="358"/>
      <c r="AS4" s="358">
        <f>+AS22*AS30/1000</f>
        <v>157.63821810000002</v>
      </c>
      <c r="AT4" s="358">
        <f>+AT22*AT30/1000</f>
        <v>167.91480257500001</v>
      </c>
      <c r="AU4" s="358">
        <f>+AU22*AU30/1000</f>
        <v>166.86292499999999</v>
      </c>
      <c r="AV4" s="358">
        <f>+AV22*AV30/1000</f>
        <v>173.6096058</v>
      </c>
      <c r="AW4" s="613">
        <f>+ALGN!AW6-ALGN!AW29</f>
        <v>666.31899999999996</v>
      </c>
      <c r="AX4" s="358"/>
      <c r="AY4" s="613">
        <f>+ALGN!AY6-ALGN!AY29-ALGN!AY34</f>
        <v>174.76400000000001</v>
      </c>
      <c r="AZ4" s="613">
        <f>+ALGN!AZ6-ALGN!AZ29-ALGN!AZ34</f>
        <v>188.03300000000004</v>
      </c>
      <c r="BA4" s="613">
        <f>+ALGN!BA6-ALGN!BA29-ALGN!BA34</f>
        <v>185.35000000000005</v>
      </c>
      <c r="BB4" s="613">
        <f>+ALGN!BB6-ALGN!BB29-ALGN!BB34</f>
        <v>200.643</v>
      </c>
      <c r="BC4" s="613">
        <f>+ALGN!BC6-ALGN!BC29-ALGN!BC34</f>
        <v>748.79000000000019</v>
      </c>
      <c r="BD4" s="358"/>
      <c r="BE4" s="613">
        <f>+ALGN!BE6-ALGN!BE29-ALGN!BE34</f>
        <v>205.54900000000001</v>
      </c>
      <c r="BF4" s="613">
        <f>+ALGN!BF6-ALGN!BF29-ALGN!BF34</f>
        <v>227.61199999999999</v>
      </c>
      <c r="BG4" s="613">
        <f>+ALGN!BG6-ALGN!BG29-ALGN!BG34</f>
        <v>228.10400000000001</v>
      </c>
      <c r="BH4" s="613">
        <f>+ALGN!BH6-ALGN!BH29-ALGN!BH34</f>
        <v>233.76150000000001</v>
      </c>
      <c r="BI4" s="613">
        <f>+ALGN!BI6-ALGN!BI29-ALGN!BI34</f>
        <v>894.73099999999999</v>
      </c>
      <c r="BJ4" s="358"/>
      <c r="BK4" s="613">
        <f>+ALGN!BK6-ALGN!BK29-ALGN!BK34</f>
        <v>264.19175000000001</v>
      </c>
      <c r="BL4" s="613">
        <f>+ALGN!BL6-ALGN!BL29-ALGN!BL34</f>
        <v>297.97864999999996</v>
      </c>
      <c r="BM4" s="613">
        <f>+ALGN!BM6-ALGN!BM29-ALGN!BM34</f>
        <v>309.24515000000002</v>
      </c>
      <c r="BN4" s="613">
        <f>+ALGN!BN6-ALGN!BN29-ALGN!BN34</f>
        <v>332.81415000000004</v>
      </c>
      <c r="BO4" s="613">
        <f>+ALGN!BO6-ALGN!BO29-ALGN!BO34</f>
        <v>1204.2297000000001</v>
      </c>
      <c r="BP4" s="358"/>
      <c r="BQ4" s="613">
        <f>+ALGN!BQ6-ALGN!BQ29-ALGN!BQ34</f>
        <v>356.62785000000002</v>
      </c>
      <c r="BR4" s="613">
        <f>+ALGN!BR6-ALGN!BR29-ALGN!BR34</f>
        <v>403.83752544472816</v>
      </c>
      <c r="BS4" s="613">
        <f>+ALGN!BS6-ALGN!BS29-ALGN!BS34</f>
        <v>409.20284374125708</v>
      </c>
      <c r="BT4" s="613">
        <f>+ALGN!BT6-ALGN!BT29-ALGN!BT34</f>
        <v>438.84141983453412</v>
      </c>
      <c r="BU4" s="613">
        <f>+ALGN!BU6-ALGN!BU29-ALGN!BU34</f>
        <v>1608.5096390205194</v>
      </c>
      <c r="BV4" s="358"/>
      <c r="BW4" s="613">
        <f>+ALGN!BW6-ALGN!BW29-ALGN!BW34</f>
        <v>441.49688825393753</v>
      </c>
      <c r="BX4" s="613">
        <f>+ALGN!BX6-ALGN!BX29-ALGN!BX34</f>
        <v>513.28034214632714</v>
      </c>
      <c r="BY4" s="613">
        <f>+ALGN!BY6-ALGN!BY29-ALGN!BY34</f>
        <v>515.54895039142423</v>
      </c>
      <c r="BZ4" s="613">
        <f>+ALGN!BZ6-ALGN!BZ29-ALGN!BZ34</f>
        <v>555.15987793324939</v>
      </c>
      <c r="CA4" s="613">
        <f>+ALGN!CA6-ALGN!CA29-ALGN!CA34</f>
        <v>2025.4860587249384</v>
      </c>
      <c r="CB4" s="358"/>
      <c r="CC4" s="613">
        <f>+ALGN!CC6-ALGN!CC29-ALGN!CC34</f>
        <v>528.52762946062251</v>
      </c>
      <c r="CD4" s="613">
        <f>+ALGN!CD6-ALGN!CD29-ALGN!CD34</f>
        <v>606.26473665691674</v>
      </c>
      <c r="CE4" s="613">
        <f>+ALGN!CE6-ALGN!CE29-ALGN!CE34</f>
        <v>609.38482763423337</v>
      </c>
      <c r="CF4" s="613">
        <f>+ALGN!CF6-ALGN!CF29-ALGN!CF34</f>
        <v>657.00702973541127</v>
      </c>
      <c r="CG4" s="613">
        <f>+ALGN!CG6-ALGN!CG29-ALGN!CG34</f>
        <v>2401.1842234871838</v>
      </c>
    </row>
    <row r="5" spans="1:87" x14ac:dyDescent="0.2">
      <c r="A5" s="230"/>
      <c r="B5" s="290" t="s">
        <v>299</v>
      </c>
      <c r="C5" s="315"/>
      <c r="D5" s="315"/>
      <c r="E5" s="315"/>
      <c r="F5" s="315"/>
      <c r="G5" s="315"/>
      <c r="H5" s="282"/>
      <c r="I5" s="315"/>
      <c r="J5" s="315"/>
      <c r="K5" s="315"/>
      <c r="L5" s="315"/>
      <c r="M5" s="315">
        <f>IF(ISERROR(M4/G4-1),"NM",M4/G4-1)</f>
        <v>5.3033378177769874E-2</v>
      </c>
      <c r="N5" s="282"/>
      <c r="O5" s="315"/>
      <c r="P5" s="315"/>
      <c r="Q5" s="315"/>
      <c r="R5" s="315"/>
      <c r="S5" s="315">
        <f>IF(ISERROR(S4/M4-1),"NM",S4/M4-1)</f>
        <v>6.3143779926043475E-2</v>
      </c>
      <c r="T5" s="282"/>
      <c r="U5" s="315">
        <f>IF(ISERROR(U4/O4-1),"NM",U4/O4-1)</f>
        <v>0.29860211702001549</v>
      </c>
      <c r="V5" s="315">
        <f>IF(ISERROR(V4/P4-1),"NM",V4/P4-1)</f>
        <v>0.23225807538372401</v>
      </c>
      <c r="W5" s="315">
        <f>IF(ISERROR(W4/Q4-1),"NM",W4/Q4-1)</f>
        <v>0.17207820932495776</v>
      </c>
      <c r="X5" s="315">
        <f>IF(ISERROR(X4/R4-1),"NM",X4/R4-1)</f>
        <v>3.9796921061251211E-2</v>
      </c>
      <c r="Y5" s="315">
        <f>IF(ISERROR(Y4/S4-1),"NM",Y4/S4-1)</f>
        <v>0.1821292603335749</v>
      </c>
      <c r="Z5" s="282"/>
      <c r="AA5" s="315">
        <f>IF(ISERROR(AA4/U4-1),"NM",AA4/U4-1)</f>
        <v>0.12199339726458125</v>
      </c>
      <c r="AB5" s="315">
        <f>IF(ISERROR(AB4/V4-1),"NM",AB4/V4-1)</f>
        <v>0.17219652747761072</v>
      </c>
      <c r="AC5" s="315">
        <f>IF(ISERROR(AC4/W4-1),"NM",AC4/W4-1)</f>
        <v>0.19375803704862227</v>
      </c>
      <c r="AD5" s="315">
        <f>IF(ISERROR(AD4/X4-1),"NM",AD4/X4-1)</f>
        <v>0.2636680692122495</v>
      </c>
      <c r="AE5" s="315">
        <f>IF(ISERROR(AE4/Y4-1),"NM",AE4/Y4-1)</f>
        <v>0.17541660390792946</v>
      </c>
      <c r="AF5" s="282"/>
      <c r="AG5" s="315">
        <f>IF(ISERROR(AG4/AA4-1),"NM",AG4/AA4-1)</f>
        <v>0.17327943680843361</v>
      </c>
      <c r="AH5" s="315">
        <f>IF(ISERROR(AH4/AB4-1),"NM",AH4/AB4-1)</f>
        <v>0.18668659423332068</v>
      </c>
      <c r="AI5" s="315">
        <f>IF(ISERROR(AI4/AC4-1),"NM",AI4/AC4-1)</f>
        <v>0.11105268137882818</v>
      </c>
      <c r="AJ5" s="315">
        <f>IF(ISERROR(AJ4/AD4-1),"NM",AJ4/AD4-1)</f>
        <v>0.10761522189696793</v>
      </c>
      <c r="AK5" s="315">
        <f>IF(ISERROR(AK4/AE4-1),"NM",AK4/AE4-1)</f>
        <v>0.14344926163636962</v>
      </c>
      <c r="AL5" s="282"/>
      <c r="AM5" s="315">
        <f>IF(ISERROR(AM4/AG4-1),"NM",AM4/AG4-1)</f>
        <v>9.6781352768376294E-2</v>
      </c>
      <c r="AN5" s="315">
        <f>IF(ISERROR(AN4/AH4-1),"NM",AN4/AH4-1)</f>
        <v>0.12227139721443914</v>
      </c>
      <c r="AO5" s="315">
        <f>IF(ISERROR(AO4/AI4-1),"NM",AO4/AI4-1)</f>
        <v>0.16861884804921079</v>
      </c>
      <c r="AP5" s="315">
        <f>IF(ISERROR(AP4/AJ4-1),"NM",AP4/AJ4-1)</f>
        <v>0.25078369905956133</v>
      </c>
      <c r="AQ5" s="315">
        <f>IF(ISERROR(AQ4/AK4-1),"NM",AQ4/AK4-1)</f>
        <v>0.15857066011381926</v>
      </c>
      <c r="AR5" s="282"/>
      <c r="AS5" s="315">
        <f>IF(ISERROR(AS4/AM4-1),"NM",AS4/AM4-1)</f>
        <v>0.23041068933320474</v>
      </c>
      <c r="AT5" s="315">
        <f>IF(ISERROR(AT4/AN4-1),"NM",AT4/AN4-1)</f>
        <v>0.17627285425747496</v>
      </c>
      <c r="AU5" s="315">
        <f>IF(ISERROR(AU4/AO4-1),"NM",AU4/AO4-1)</f>
        <v>0.16923250754143848</v>
      </c>
      <c r="AV5" s="315">
        <f>IF(ISERROR(AV4/AP4-1),"NM",AV4/AP4-1)</f>
        <v>0.11567126662810856</v>
      </c>
      <c r="AW5" s="315">
        <f>IF(ISERROR(AW4/AQ4-1),"NM",AW4/AQ4-1)</f>
        <v>0.17185452077520269</v>
      </c>
      <c r="AX5" s="282"/>
      <c r="AY5" s="315">
        <f>IF(ISERROR(AY4/AS4-1),"NM",AY4/AS4-1)</f>
        <v>0.10863978359065185</v>
      </c>
      <c r="AZ5" s="315">
        <f>IF(ISERROR(AZ4/AT4-1),"NM",AZ4/AT4-1)</f>
        <v>0.11981193507948262</v>
      </c>
      <c r="BA5" s="315">
        <f>IF(ISERROR(BA4/AU4-1),"NM",BA4/AU4-1)</f>
        <v>0.11079198689583114</v>
      </c>
      <c r="BB5" s="315">
        <f>IF(ISERROR(BB4/AV4-1),"NM",BB4/AV4-1)</f>
        <v>0.15571370072196777</v>
      </c>
      <c r="BC5" s="315">
        <f>IF(ISERROR(BC4/AW4-1),"NM",BC4/AW4-1)</f>
        <v>0.12377104660080263</v>
      </c>
      <c r="BD5" s="282"/>
      <c r="BE5" s="315">
        <f>IF(ISERROR(BE4/AY4-1),"NM",BE4/AY4-1)</f>
        <v>0.17615183905152088</v>
      </c>
      <c r="BF5" s="315">
        <f>IF(ISERROR(BF4/AZ4-1),"NM",BF4/AZ4-1)</f>
        <v>0.21048964809368531</v>
      </c>
      <c r="BG5" s="315">
        <f>IF(ISERROR(BG4/BA4-1),"NM",BG4/BA4-1)</f>
        <v>0.23066630698678159</v>
      </c>
      <c r="BH5" s="315">
        <f>IF(ISERROR(BH4/BB4-1),"NM",BH4/BB4-1)</f>
        <v>0.16506182622867493</v>
      </c>
      <c r="BI5" s="315">
        <f>IF(ISERROR(BI4/BC4-1),"NM",BI4/BC4-1)</f>
        <v>0.19490244260740641</v>
      </c>
      <c r="BJ5" s="282"/>
      <c r="BK5" s="315">
        <f>IF(ISERROR(BK4/BE4-1),"NM",BK4/BE4-1)</f>
        <v>0.28529815275189851</v>
      </c>
      <c r="BL5" s="315">
        <f>IF(ISERROR(BL4/BF4-1),"NM",BL4/BF4-1)</f>
        <v>0.3091517582552763</v>
      </c>
      <c r="BM5" s="315">
        <f>IF(ISERROR(BM4/BG4-1),"NM",BM4/BG4-1)</f>
        <v>0.35571997860624971</v>
      </c>
      <c r="BN5" s="315">
        <f>IF(ISERROR(BN4/BH4-1),"NM",BN4/BH4-1)</f>
        <v>0.42373380560956364</v>
      </c>
      <c r="BO5" s="315">
        <f>IF(ISERROR(BO4/BI4-1),"NM",BO4/BI4-1)</f>
        <v>0.34591257037031253</v>
      </c>
      <c r="BP5" s="282"/>
      <c r="BQ5" s="315">
        <f>IF(ISERROR(BQ4/BK4-1),"NM",BQ4/BK4-1)</f>
        <v>0.34988261366980611</v>
      </c>
      <c r="BR5" s="315">
        <f>IF(ISERROR(BR4/BL4-1),"NM",BR4/BL4-1)</f>
        <v>0.35525657776061537</v>
      </c>
      <c r="BS5" s="315">
        <f>IF(ISERROR(BS4/BM4-1),"NM",BS4/BM4-1)</f>
        <v>0.32323124143178017</v>
      </c>
      <c r="BT5" s="315">
        <f>IF(ISERROR(BT4/BN4-1),"NM",BT4/BN4-1)</f>
        <v>0.31857801068414338</v>
      </c>
      <c r="BU5" s="315">
        <f>IF(ISERROR(BU4/BO4-1),"NM",BU4/BO4-1)</f>
        <v>0.33571663198517632</v>
      </c>
      <c r="BV5" s="282"/>
      <c r="BW5" s="315">
        <f>IF(ISERROR(BW4/BQ4-1),"NM",BW4/BQ4-1)</f>
        <v>0.23797647394598465</v>
      </c>
      <c r="BX5" s="315">
        <f>IF(ISERROR(BX4/BR4-1),"NM",BX4/BR4-1)</f>
        <v>0.27100705062283281</v>
      </c>
      <c r="BY5" s="315">
        <f>IF(ISERROR(BY4/BS4-1),"NM",BY4/BS4-1)</f>
        <v>0.25988604008189831</v>
      </c>
      <c r="BZ5" s="315">
        <f>IF(ISERROR(BZ4/BT4-1),"NM",BZ4/BT4-1)</f>
        <v>0.26505806617473193</v>
      </c>
      <c r="CA5" s="315">
        <f>IF(ISERROR(CA4/BU4-1),"NM",CA4/BU4-1)</f>
        <v>0.25923153308445901</v>
      </c>
      <c r="CB5" s="282"/>
      <c r="CC5" s="315">
        <f>IF(ISERROR(CC4/BW4-1),"NM",CC4/BW4-1)</f>
        <v>0.19712651101773382</v>
      </c>
      <c r="CD5" s="315">
        <f>IF(ISERROR(CD4/BX4-1),"NM",CD4/BX4-1)</f>
        <v>0.18115713164031799</v>
      </c>
      <c r="CE5" s="315">
        <f>IF(ISERROR(CE4/BY4-1),"NM",CE4/BY4-1)</f>
        <v>0.18201157653713662</v>
      </c>
      <c r="CF5" s="315">
        <f>IF(ISERROR(CF4/BZ4-1),"NM",CF4/BZ4-1)</f>
        <v>0.1834555338929007</v>
      </c>
      <c r="CG5" s="315">
        <f>IF(ISERROR(CG4/CA4-1),"NM",CG4/CA4-1)</f>
        <v>0.18548543602356404</v>
      </c>
      <c r="CH5" s="42"/>
    </row>
    <row r="6" spans="1:87" x14ac:dyDescent="0.2">
      <c r="A6" s="230"/>
      <c r="B6" s="290" t="s">
        <v>237</v>
      </c>
      <c r="C6" s="315"/>
      <c r="D6" s="315"/>
      <c r="E6" s="315"/>
      <c r="F6" s="315"/>
      <c r="G6" s="315"/>
      <c r="H6" s="282"/>
      <c r="I6" s="315">
        <f>I5-ALGN!I96</f>
        <v>-0.17275450510500123</v>
      </c>
      <c r="J6" s="315">
        <f>J5-ALGN!J96</f>
        <v>-4.3066198451757742E-2</v>
      </c>
      <c r="K6" s="315">
        <f>K5-ALGN!K96</f>
        <v>-5.2091643224027706E-2</v>
      </c>
      <c r="L6" s="315">
        <f>L5-ALGN!L96</f>
        <v>-2.2174110898134591E-2</v>
      </c>
      <c r="M6" s="315">
        <f>M5-ALGN!M96</f>
        <v>-1.6054870770642493E-2</v>
      </c>
      <c r="N6" s="282"/>
      <c r="O6" s="315">
        <f>O5-ALGN!O96</f>
        <v>6.2105488391997365E-2</v>
      </c>
      <c r="P6" s="315">
        <f>P5-ALGN!P96</f>
        <v>4.4879977973016794E-2</v>
      </c>
      <c r="Q6" s="315">
        <f>Q5-ALGN!Q96</f>
        <v>-5.4487648490814777E-2</v>
      </c>
      <c r="R6" s="315">
        <f>R5-ALGN!R96</f>
        <v>-0.16851264755480599</v>
      </c>
      <c r="S6" s="315">
        <f>S5-ALGN!S96</f>
        <v>3.5651477902199469E-2</v>
      </c>
      <c r="T6" s="282"/>
      <c r="U6" s="315">
        <f>U5-ALGN!U96</f>
        <v>1.4024463452457114E-2</v>
      </c>
      <c r="V6" s="315">
        <f>V5-ALGN!V96</f>
        <v>1.8738833401161781E-3</v>
      </c>
      <c r="W6" s="315">
        <f>W5-ALGN!W96</f>
        <v>-3.8319297897285498E-2</v>
      </c>
      <c r="X6" s="315">
        <f>X5-ALGN!X96</f>
        <v>-3.2672368677365116E-2</v>
      </c>
      <c r="Y6" s="315">
        <f>Y5-ALGN!Y96</f>
        <v>-1.1558246269953942E-2</v>
      </c>
      <c r="Z6" s="282"/>
      <c r="AA6" s="315">
        <f>AA5-ALGN!AA7</f>
        <v>-4.30280921937434E-2</v>
      </c>
      <c r="AB6" s="315">
        <f>AB5-ALGN!AB7</f>
        <v>-7.8848065704729964E-3</v>
      </c>
      <c r="AC6" s="315">
        <f>AC5-ALGN!AC7</f>
        <v>2.1023613634045618E-2</v>
      </c>
      <c r="AD6" s="315">
        <f>AD5-ALGN!AD7</f>
        <v>-1.7329808268114422E-2</v>
      </c>
      <c r="AE6" s="315">
        <f>AE5-ALGN!AE7</f>
        <v>-2.4279096645379999E-2</v>
      </c>
      <c r="AF6" s="282"/>
      <c r="AG6" s="315">
        <f>AG5-ALGN!AG7</f>
        <v>-1.0488789253198322E-2</v>
      </c>
      <c r="AH6" s="315">
        <f>AH5-ALGN!AH7</f>
        <v>-1.1321193262730234E-2</v>
      </c>
      <c r="AI6" s="315">
        <f>AI5-ALGN!AI7</f>
        <v>-2.0768451851818415E-2</v>
      </c>
      <c r="AJ6" s="315">
        <f>AJ5-ALGN!AJ7</f>
        <v>-1.7775871337425614E-2</v>
      </c>
      <c r="AK6" s="315">
        <f>AK5-ALGN!AK7</f>
        <v>-1.5386317400114258E-2</v>
      </c>
      <c r="AL6" s="282"/>
      <c r="AM6" s="315">
        <f>AM5-ALGN!AM7</f>
        <v>-5.1193148014166578E-2</v>
      </c>
      <c r="AN6" s="315">
        <f>AN5-ALGN!AN7</f>
        <v>-2.6181236057581381E-2</v>
      </c>
      <c r="AO6" s="315">
        <f>AO5-ALGN!AO7</f>
        <v>-4.2541371287397073E-2</v>
      </c>
      <c r="AP6" s="315">
        <f>AP5-ALGN!AP7</f>
        <v>-4.407449032495514E-3</v>
      </c>
      <c r="AQ6" s="315">
        <f>AQ5-ALGN!AQ7</f>
        <v>-3.2602909586075535E-2</v>
      </c>
      <c r="AR6" s="282"/>
      <c r="AS6" s="315">
        <f>AS5-ALGN!AS7</f>
        <v>4.7220553551431566E-2</v>
      </c>
      <c r="AT6" s="315">
        <f>AT5-ALGN!AT7</f>
        <v>1.0392244264688266E-2</v>
      </c>
      <c r="AU6" s="315">
        <f>AU5-ALGN!AU7</f>
        <v>7.581920306462181E-3</v>
      </c>
      <c r="AV6" s="315">
        <f>AV5-ALGN!AV7</f>
        <v>-1.9348071953660589E-2</v>
      </c>
      <c r="AW6" s="315">
        <f>AW5-ALGN!AW7</f>
        <v>1.1389781935689458E-2</v>
      </c>
      <c r="AX6" s="282"/>
      <c r="AY6" s="315">
        <f>AY5-ALGN!AY7</f>
        <v>-2.9669622940464685E-2</v>
      </c>
      <c r="AZ6" s="315">
        <f>AZ5-ALGN!AZ7</f>
        <v>-5.1154882384958744E-2</v>
      </c>
      <c r="BA6" s="315">
        <f>BA5-ALGN!BA7</f>
        <v>-4.2813658894249623E-2</v>
      </c>
      <c r="BB6" s="315">
        <f>BB5-ALGN!BB7</f>
        <v>-2.108181287696434E-2</v>
      </c>
      <c r="BC6" s="315">
        <f>BC5-ALGN!BC7</f>
        <v>-3.6669828175468766E-2</v>
      </c>
      <c r="BD6" s="282"/>
      <c r="BE6" s="315">
        <f>BE5-ALGN!BE7</f>
        <v>-1.2152050655202445E-2</v>
      </c>
      <c r="BF6" s="315">
        <f>BF5-ALGN!BF7</f>
        <v>-1.7384003285098037E-3</v>
      </c>
      <c r="BG6" s="315">
        <f>BG5-ALGN!BG7</f>
        <v>1.8320625391994583E-3</v>
      </c>
      <c r="BH6" s="315">
        <f>BH5-ALGN!BH7</f>
        <v>-2.1672383545871088E-2</v>
      </c>
      <c r="BI6" s="315">
        <f>BI5-ALGN!BI7</f>
        <v>-9.0293586510268586E-3</v>
      </c>
      <c r="BJ6" s="282"/>
      <c r="BK6" s="315">
        <f>BK5-ALGN!BK7</f>
        <v>-1.1457848973306761E-2</v>
      </c>
      <c r="BL6" s="315">
        <f>BL5-ALGN!BL7</f>
        <v>-1.0611551321828339E-2</v>
      </c>
      <c r="BM6" s="801">
        <f>BM5-ALGN!BM7</f>
        <v>9.550313323980375E-3</v>
      </c>
      <c r="BN6" s="315">
        <f>BN5-ALGN!BN7</f>
        <v>5.1987577600419221E-2</v>
      </c>
      <c r="BO6" s="315">
        <f>BO5-ALGN!BO7</f>
        <v>1.0962685009302697E-2</v>
      </c>
      <c r="BP6" s="282"/>
      <c r="BQ6" s="315">
        <f>BQ5-ALGN!BQ7</f>
        <v>5.0294398059977652E-2</v>
      </c>
      <c r="BR6" s="315">
        <f>BR5-ALGN!BR7</f>
        <v>6.366582620877298E-2</v>
      </c>
      <c r="BS6" s="315">
        <f>BS5-ALGN!BS7</f>
        <v>6.3121728051517667E-2</v>
      </c>
      <c r="BT6" s="315">
        <f>BT5-ALGN!BT7</f>
        <v>4.4733215472797128E-2</v>
      </c>
      <c r="BU6" s="315">
        <f>BU5-ALGN!BU7</f>
        <v>5.5551571116352672E-2</v>
      </c>
      <c r="BV6" s="282"/>
      <c r="BW6" s="315">
        <f>BW5-ALGN!BW7</f>
        <v>1.2772622852066817E-2</v>
      </c>
      <c r="BX6" s="315">
        <f>BX5-ALGN!BX7</f>
        <v>8.6920792208041164E-3</v>
      </c>
      <c r="BY6" s="315">
        <f>BY5-ALGN!BY7</f>
        <v>8.4118878685690568E-3</v>
      </c>
      <c r="BZ6" s="315">
        <f>BZ5-ALGN!BZ7</f>
        <v>6.5418602201748888E-3</v>
      </c>
      <c r="CA6" s="315">
        <f>CA5-ALGN!CA7</f>
        <v>8.985530895498306E-3</v>
      </c>
      <c r="CB6" s="282"/>
      <c r="CC6" s="315">
        <f>CC5-ALGN!CC7</f>
        <v>1.0323780039661473E-2</v>
      </c>
      <c r="CD6" s="315">
        <f>CD5-ALGN!CD7</f>
        <v>1.0056880840935978E-2</v>
      </c>
      <c r="CE6" s="315">
        <f>CE5-ALGN!CE7</f>
        <v>1.2852257735791406E-2</v>
      </c>
      <c r="CF6" s="315">
        <f>CF5-ALGN!CF7</f>
        <v>1.8318000671356E-2</v>
      </c>
      <c r="CG6" s="315">
        <f>CG5-ALGN!CG7</f>
        <v>1.308270166058853E-2</v>
      </c>
      <c r="CH6" s="42"/>
      <c r="CI6" s="665">
        <f>+BU16/BU22</f>
        <v>0.3983882679174085</v>
      </c>
    </row>
    <row r="7" spans="1:87" x14ac:dyDescent="0.2">
      <c r="A7" s="230"/>
      <c r="B7" s="290" t="s">
        <v>172</v>
      </c>
      <c r="C7" s="315"/>
      <c r="D7" s="315"/>
      <c r="E7" s="315"/>
      <c r="F7" s="315"/>
      <c r="G7" s="315"/>
      <c r="H7" s="282"/>
      <c r="I7" s="315">
        <f>+I5+C5</f>
        <v>0</v>
      </c>
      <c r="J7" s="315">
        <f>+J5+D5</f>
        <v>0</v>
      </c>
      <c r="K7" s="315">
        <f>+K5+E5</f>
        <v>0</v>
      </c>
      <c r="L7" s="315">
        <f>+L5+F5</f>
        <v>0</v>
      </c>
      <c r="M7" s="315"/>
      <c r="N7" s="282"/>
      <c r="O7" s="315">
        <f>+O5+I5</f>
        <v>0</v>
      </c>
      <c r="P7" s="315">
        <f>+P5+J5</f>
        <v>0</v>
      </c>
      <c r="Q7" s="315">
        <f>+Q5+K5</f>
        <v>0</v>
      </c>
      <c r="R7" s="315">
        <f>+R5+L5</f>
        <v>0</v>
      </c>
      <c r="S7" s="315">
        <f>+S5+M5</f>
        <v>0.11617715810381335</v>
      </c>
      <c r="T7" s="282"/>
      <c r="U7" s="315">
        <f>+U5+O5</f>
        <v>0.29860211702001549</v>
      </c>
      <c r="V7" s="315">
        <f>+V5+P5</f>
        <v>0.23225807538372401</v>
      </c>
      <c r="W7" s="315">
        <f>+W5+Q5</f>
        <v>0.17207820932495776</v>
      </c>
      <c r="X7" s="315">
        <f>+X5+R5</f>
        <v>3.9796921061251211E-2</v>
      </c>
      <c r="Y7" s="315">
        <f>+Y5+S5</f>
        <v>0.24527304025961838</v>
      </c>
      <c r="Z7" s="282"/>
      <c r="AA7" s="315">
        <f>+AA5+U5</f>
        <v>0.42059551428459674</v>
      </c>
      <c r="AB7" s="315">
        <f>+AB5+V5</f>
        <v>0.40445460286133472</v>
      </c>
      <c r="AC7" s="315">
        <f>+AC5+W5</f>
        <v>0.36583624637358003</v>
      </c>
      <c r="AD7" s="315">
        <f>+AD5+X5</f>
        <v>0.30346499027350071</v>
      </c>
      <c r="AE7" s="315">
        <f>+AE5+Y5</f>
        <v>0.35754586424150436</v>
      </c>
      <c r="AF7" s="282"/>
      <c r="AG7" s="315">
        <f>+AG5+AA5</f>
        <v>0.29527283407301486</v>
      </c>
      <c r="AH7" s="315">
        <f>+AH5+AB5</f>
        <v>0.3588831217109314</v>
      </c>
      <c r="AI7" s="315">
        <f>+AI5+AC5</f>
        <v>0.30481071842745044</v>
      </c>
      <c r="AJ7" s="315">
        <f>+AJ5+AD5</f>
        <v>0.37128329110921743</v>
      </c>
      <c r="AK7" s="315">
        <f>+AK5+AE5</f>
        <v>0.31886586554429908</v>
      </c>
      <c r="AL7" s="282"/>
      <c r="AM7" s="315">
        <f>+AM5+AG5</f>
        <v>0.2700607895768099</v>
      </c>
      <c r="AN7" s="315">
        <f>+AN5+AH5</f>
        <v>0.30895799144775982</v>
      </c>
      <c r="AO7" s="315">
        <f>+AO5+AI5</f>
        <v>0.27967152942803897</v>
      </c>
      <c r="AP7" s="315">
        <f>+AP5+AJ5</f>
        <v>0.35839892095652925</v>
      </c>
      <c r="AQ7" s="315">
        <f>+AQ5+AK5</f>
        <v>0.30201992175018888</v>
      </c>
      <c r="AR7" s="282"/>
      <c r="AS7" s="315">
        <f>+AS5+AM5</f>
        <v>0.32719204210158104</v>
      </c>
      <c r="AT7" s="315">
        <f>+AT5+AN5</f>
        <v>0.2985442514719141</v>
      </c>
      <c r="AU7" s="315">
        <f>+AU5+AO5</f>
        <v>0.33785135559064927</v>
      </c>
      <c r="AV7" s="315">
        <f>+AV5+AP5</f>
        <v>0.36645496568766989</v>
      </c>
      <c r="AW7" s="315">
        <f>+AW5+AQ5</f>
        <v>0.33042518088902195</v>
      </c>
      <c r="AX7" s="282"/>
      <c r="AY7" s="315">
        <f>+AY5+AS5</f>
        <v>0.33905047292385659</v>
      </c>
      <c r="AZ7" s="315">
        <f>+AZ5+AT5</f>
        <v>0.29608478933695759</v>
      </c>
      <c r="BA7" s="315">
        <f>+BA5+AU5</f>
        <v>0.28002449443726962</v>
      </c>
      <c r="BB7" s="315">
        <f>+BB5+AV5</f>
        <v>0.27138496735007633</v>
      </c>
      <c r="BC7" s="315">
        <f>+BC5+AW5</f>
        <v>0.29562556737600532</v>
      </c>
      <c r="BD7" s="282"/>
      <c r="BE7" s="315">
        <f>+BE5+AY5</f>
        <v>0.28479162264217273</v>
      </c>
      <c r="BF7" s="315">
        <f>+BF5+AZ5</f>
        <v>0.33030158317316793</v>
      </c>
      <c r="BG7" s="315">
        <f>+BG5+BA5</f>
        <v>0.34145829388261273</v>
      </c>
      <c r="BH7" s="315">
        <f>+BH5+BB5</f>
        <v>0.32077552695064271</v>
      </c>
      <c r="BI7" s="315">
        <f>+BI5+BC5</f>
        <v>0.31867348920820904</v>
      </c>
      <c r="BJ7" s="282"/>
      <c r="BK7" s="315">
        <f>+BK5+BE5</f>
        <v>0.46144999180341939</v>
      </c>
      <c r="BL7" s="315">
        <f>+BL5+BF5</f>
        <v>0.51964140634896161</v>
      </c>
      <c r="BM7" s="315">
        <f>+BM5+BG5</f>
        <v>0.5863862855930313</v>
      </c>
      <c r="BN7" s="315">
        <f>+BN5+BH5</f>
        <v>0.58879563183823858</v>
      </c>
      <c r="BO7" s="315">
        <f>+BO5+BI5</f>
        <v>0.54081501297771895</v>
      </c>
      <c r="BP7" s="282"/>
      <c r="BQ7" s="315">
        <f>+BQ5+BK5</f>
        <v>0.63518076642170462</v>
      </c>
      <c r="BR7" s="315">
        <f>+BR5+BL5</f>
        <v>0.66440833601589167</v>
      </c>
      <c r="BS7" s="315">
        <f>+BS5+BM5</f>
        <v>0.67895122003802988</v>
      </c>
      <c r="BT7" s="315">
        <f>+BT5+BN5</f>
        <v>0.74231181629370702</v>
      </c>
      <c r="BU7" s="315">
        <f>+BU5+BO5</f>
        <v>0.68162920235548885</v>
      </c>
      <c r="BV7" s="282"/>
      <c r="BW7" s="315">
        <f>+BW5+BQ5</f>
        <v>0.58785908761579075</v>
      </c>
      <c r="BX7" s="315">
        <f>+BX5+BR5</f>
        <v>0.62626362838344818</v>
      </c>
      <c r="BY7" s="315">
        <f>+BY5+BS5</f>
        <v>0.58311728151367848</v>
      </c>
      <c r="BZ7" s="315">
        <f>+BZ5+BT5</f>
        <v>0.58363607685887531</v>
      </c>
      <c r="CA7" s="315">
        <f>+CA5+BU5</f>
        <v>0.59494816506963533</v>
      </c>
      <c r="CB7" s="282"/>
      <c r="CC7" s="315">
        <f>+CC5+BW5</f>
        <v>0.43510298496371846</v>
      </c>
      <c r="CD7" s="315">
        <f>+CD5+BX5</f>
        <v>0.4521641822631508</v>
      </c>
      <c r="CE7" s="315">
        <f>+CE5+BY5</f>
        <v>0.44189761661903493</v>
      </c>
      <c r="CF7" s="315">
        <f>+CF5+BZ5</f>
        <v>0.44851360006763263</v>
      </c>
      <c r="CG7" s="315">
        <f>+CG5+CA5</f>
        <v>0.44471696910802305</v>
      </c>
      <c r="CH7" s="42"/>
      <c r="CI7" s="665">
        <f>+BU10/BU22</f>
        <v>0.3640273512651212</v>
      </c>
    </row>
    <row r="8" spans="1:87" ht="2.25" customHeight="1" outlineLevel="1" x14ac:dyDescent="0.2">
      <c r="A8" s="230"/>
      <c r="B8" s="313"/>
      <c r="C8" s="287"/>
      <c r="D8" s="287"/>
      <c r="E8" s="287"/>
      <c r="F8" s="287"/>
      <c r="G8" s="287"/>
      <c r="H8" s="115"/>
      <c r="I8" s="287"/>
      <c r="J8" s="287"/>
      <c r="K8" s="287"/>
      <c r="L8" s="287"/>
      <c r="M8" s="287"/>
      <c r="N8" s="115"/>
      <c r="O8" s="287"/>
      <c r="P8" s="287"/>
      <c r="Q8" s="287"/>
      <c r="R8" s="287"/>
      <c r="S8" s="287"/>
      <c r="T8" s="287"/>
      <c r="U8" s="287"/>
      <c r="V8" s="287"/>
      <c r="W8" s="287"/>
      <c r="X8" s="287"/>
      <c r="Y8" s="287"/>
      <c r="Z8" s="287"/>
      <c r="AA8" s="287"/>
      <c r="AB8" s="287"/>
      <c r="AC8" s="287"/>
      <c r="AD8" s="287"/>
      <c r="AE8" s="287"/>
      <c r="AF8" s="115"/>
      <c r="AG8" s="287"/>
      <c r="AH8" s="287"/>
      <c r="AI8" s="287"/>
      <c r="AJ8" s="287"/>
      <c r="AK8" s="287"/>
      <c r="AL8" s="115"/>
      <c r="AM8" s="287"/>
      <c r="AN8" s="287"/>
      <c r="AO8" s="287"/>
      <c r="AP8" s="287"/>
      <c r="AQ8" s="287"/>
      <c r="AR8" s="115"/>
      <c r="AS8" s="287"/>
      <c r="AT8" s="287"/>
      <c r="AU8" s="287"/>
      <c r="AV8" s="287"/>
      <c r="AW8" s="287"/>
      <c r="AX8" s="115"/>
      <c r="AY8" s="287"/>
      <c r="AZ8" s="287"/>
      <c r="BA8" s="287"/>
      <c r="BB8" s="287"/>
      <c r="BC8" s="287"/>
      <c r="BD8" s="115"/>
      <c r="BE8" s="287"/>
      <c r="BF8" s="287"/>
      <c r="BG8" s="287"/>
      <c r="BH8" s="287"/>
      <c r="BI8" s="287"/>
      <c r="BJ8" s="115"/>
      <c r="BK8" s="287"/>
      <c r="BL8" s="287"/>
      <c r="BM8" s="287"/>
      <c r="BN8" s="287"/>
      <c r="BO8" s="287"/>
      <c r="BP8" s="115"/>
      <c r="BQ8" s="287"/>
      <c r="BR8" s="287"/>
      <c r="BS8" s="287"/>
      <c r="BT8" s="287"/>
      <c r="BU8" s="287"/>
      <c r="BV8" s="115"/>
      <c r="BW8" s="287"/>
      <c r="BX8" s="287"/>
      <c r="BY8" s="287"/>
      <c r="BZ8" s="287"/>
      <c r="CA8" s="287"/>
      <c r="CB8" s="115"/>
      <c r="CC8" s="287"/>
      <c r="CD8" s="287"/>
      <c r="CE8" s="287"/>
      <c r="CF8" s="287"/>
      <c r="CG8" s="287"/>
      <c r="CH8" s="42"/>
    </row>
    <row r="9" spans="1:87" ht="12.75" customHeight="1" outlineLevel="1" x14ac:dyDescent="0.2">
      <c r="A9" s="230"/>
      <c r="B9" s="40" t="s">
        <v>515</v>
      </c>
      <c r="C9" s="42"/>
      <c r="D9" s="42"/>
      <c r="E9" s="42"/>
      <c r="F9" s="42"/>
      <c r="G9" s="42"/>
      <c r="H9" s="115"/>
      <c r="I9" s="42"/>
      <c r="J9" s="42"/>
      <c r="K9" s="42"/>
      <c r="L9" s="42"/>
      <c r="M9" s="42"/>
      <c r="N9" s="115"/>
      <c r="O9" s="42"/>
      <c r="P9" s="42"/>
      <c r="Q9" s="42"/>
      <c r="R9" s="42"/>
      <c r="S9" s="42"/>
      <c r="T9" s="115"/>
      <c r="U9" s="42"/>
      <c r="V9" s="42"/>
      <c r="W9" s="42"/>
      <c r="X9" s="42"/>
      <c r="Y9" s="42"/>
      <c r="Z9" s="115"/>
      <c r="AA9" s="42"/>
      <c r="AB9" s="42"/>
      <c r="AC9" s="42"/>
      <c r="AD9" s="42"/>
      <c r="AE9" s="618">
        <f>+AE16/AE22</f>
        <v>0.22871274325984356</v>
      </c>
      <c r="AF9" s="42"/>
      <c r="AG9" s="42"/>
      <c r="AH9" s="42"/>
      <c r="AI9" s="42"/>
      <c r="AJ9" s="42"/>
      <c r="AK9" s="309"/>
      <c r="AL9" s="42"/>
      <c r="AM9" s="42"/>
      <c r="AN9" s="42"/>
      <c r="AO9" s="42"/>
      <c r="AP9" s="42"/>
      <c r="AQ9" s="309"/>
      <c r="AR9" s="115"/>
      <c r="AS9" s="42"/>
      <c r="AT9" s="42"/>
      <c r="AU9" s="42"/>
      <c r="AV9" s="309"/>
      <c r="AW9" s="309"/>
      <c r="AX9" s="115"/>
      <c r="AY9" s="42"/>
      <c r="AZ9" s="309"/>
      <c r="BA9" s="231"/>
      <c r="BB9" s="42"/>
      <c r="BC9" s="309"/>
      <c r="BD9" s="42"/>
      <c r="BE9" s="851"/>
      <c r="BF9" s="851"/>
      <c r="BG9" s="851"/>
      <c r="BH9" s="851"/>
      <c r="BI9" s="42"/>
      <c r="BJ9" s="42"/>
      <c r="BK9" s="851"/>
      <c r="BL9" s="180"/>
      <c r="BM9" s="42"/>
      <c r="BN9" s="309"/>
      <c r="BO9" s="219"/>
      <c r="BP9" s="42"/>
      <c r="BQ9" s="42"/>
      <c r="BR9" s="42"/>
      <c r="BS9" s="42"/>
      <c r="BT9" s="42"/>
      <c r="BU9" s="42"/>
      <c r="BV9" s="42"/>
      <c r="BW9" s="42"/>
      <c r="BX9" s="42"/>
      <c r="BY9" s="42"/>
      <c r="BZ9" s="42"/>
      <c r="CA9" s="42"/>
      <c r="CB9" s="42"/>
      <c r="CC9" s="42"/>
      <c r="CD9" s="42"/>
      <c r="CE9" s="42"/>
      <c r="CF9" s="42"/>
      <c r="CG9" s="42"/>
      <c r="CH9" s="42"/>
    </row>
    <row r="10" spans="1:87" ht="12.75" customHeight="1" outlineLevel="1" x14ac:dyDescent="0.2">
      <c r="A10" s="230"/>
      <c r="B10" s="32" t="s">
        <v>77</v>
      </c>
      <c r="C10" s="47">
        <f>14.2+2.8</f>
        <v>17</v>
      </c>
      <c r="D10" s="47">
        <f>16.8+3.4</f>
        <v>20.2</v>
      </c>
      <c r="E10" s="47">
        <f>15.15+3.1</f>
        <v>18.25</v>
      </c>
      <c r="F10" s="47">
        <f>14.27+3.06</f>
        <v>17.329999999999998</v>
      </c>
      <c r="G10" s="49">
        <f>+SUM(C10:F10)</f>
        <v>72.78</v>
      </c>
      <c r="H10" s="79"/>
      <c r="I10" s="47">
        <f>14.5+3.09</f>
        <v>17.59</v>
      </c>
      <c r="J10" s="47">
        <f>14.83+3.25</f>
        <v>18.079999999999998</v>
      </c>
      <c r="K10" s="47">
        <f>15+2.97</f>
        <v>17.97</v>
      </c>
      <c r="L10" s="47">
        <f>14.01+3</f>
        <v>17.009999999999998</v>
      </c>
      <c r="M10" s="49">
        <f>+SUM(I10:L10)</f>
        <v>70.650000000000006</v>
      </c>
      <c r="N10" s="79"/>
      <c r="O10" s="47">
        <v>16.89</v>
      </c>
      <c r="P10" s="47">
        <v>17.47</v>
      </c>
      <c r="Q10" s="47">
        <v>18.829999999999998</v>
      </c>
      <c r="R10" s="47">
        <v>19.78</v>
      </c>
      <c r="S10" s="49">
        <f>+SUM(O10:R10)</f>
        <v>72.97</v>
      </c>
      <c r="T10" s="79"/>
      <c r="U10" s="47">
        <v>22.15</v>
      </c>
      <c r="V10" s="47">
        <v>23.085000000000001</v>
      </c>
      <c r="W10" s="47">
        <v>23.155000000000001</v>
      </c>
      <c r="X10" s="47">
        <v>21.92</v>
      </c>
      <c r="Y10" s="49">
        <f>+SUM(U10:X10)</f>
        <v>90.31</v>
      </c>
      <c r="Z10" s="79"/>
      <c r="AA10" s="414">
        <v>26.89</v>
      </c>
      <c r="AB10" s="414">
        <v>28.52</v>
      </c>
      <c r="AC10" s="414">
        <v>30.07</v>
      </c>
      <c r="AD10" s="414">
        <v>29.89</v>
      </c>
      <c r="AE10" s="49">
        <f>+SUM(AA10:AD10)</f>
        <v>115.36999999999999</v>
      </c>
      <c r="AF10" s="79"/>
      <c r="AG10" s="414">
        <v>32.234999999999999</v>
      </c>
      <c r="AH10" s="414">
        <v>35.42</v>
      </c>
      <c r="AI10" s="414">
        <v>35.884999999999998</v>
      </c>
      <c r="AJ10" s="414">
        <v>33.505000000000003</v>
      </c>
      <c r="AK10" s="49">
        <f>+SUM(AG10:AJ10)</f>
        <v>137.04499999999999</v>
      </c>
      <c r="AL10" s="79"/>
      <c r="AM10" s="414">
        <v>38</v>
      </c>
      <c r="AN10" s="414">
        <v>39.545000000000002</v>
      </c>
      <c r="AO10" s="414">
        <v>41.61</v>
      </c>
      <c r="AP10" s="414">
        <v>40.44</v>
      </c>
      <c r="AQ10" s="49">
        <f>+SUM(AM10:AP10)</f>
        <v>159.595</v>
      </c>
      <c r="AR10" s="79"/>
      <c r="AS10" s="414">
        <f>+AM10*1.105</f>
        <v>41.99</v>
      </c>
      <c r="AT10" s="414">
        <f>+AN10*1.107</f>
        <v>43.776315000000004</v>
      </c>
      <c r="AU10" s="414">
        <f>+AO10*1.106</f>
        <v>46.020660000000007</v>
      </c>
      <c r="AV10" s="414">
        <f>+AP10*1.1235</f>
        <v>45.434339999999992</v>
      </c>
      <c r="AW10" s="49">
        <f>+SUM(AS10:AV10)</f>
        <v>177.221315</v>
      </c>
      <c r="AX10" s="79"/>
      <c r="AY10" s="538">
        <v>49.117999999999981</v>
      </c>
      <c r="AZ10" s="538">
        <v>53</v>
      </c>
      <c r="BA10" s="538">
        <v>55.487768921681138</v>
      </c>
      <c r="BB10" s="538">
        <v>56.645163808349565</v>
      </c>
      <c r="BC10" s="49">
        <f>+SUM(AY10:BB10)</f>
        <v>214.25093273003068</v>
      </c>
      <c r="BD10" s="664"/>
      <c r="BE10" s="538">
        <v>60.660223165894529</v>
      </c>
      <c r="BF10" s="538">
        <v>63.641999999999996</v>
      </c>
      <c r="BG10" s="538">
        <v>65.599999999999994</v>
      </c>
      <c r="BH10" s="538">
        <v>68.099999999999994</v>
      </c>
      <c r="BI10" s="49">
        <f>+SUM(BE10:BH10)</f>
        <v>258.00222316589452</v>
      </c>
      <c r="BJ10" s="664"/>
      <c r="BK10" s="538">
        <v>77.349999999999994</v>
      </c>
      <c r="BL10" s="548">
        <f>146.51-BL13</f>
        <v>85.609999999999985</v>
      </c>
      <c r="BM10" s="548">
        <f>144.87-BM13</f>
        <v>86.550000000000011</v>
      </c>
      <c r="BN10" s="548">
        <f>152.245-BN13</f>
        <v>89.015000000000015</v>
      </c>
      <c r="BO10" s="49">
        <f>+SUM(BK10:BN10)</f>
        <v>338.52499999999998</v>
      </c>
      <c r="BP10" s="79"/>
      <c r="BQ10" s="548">
        <f>166.665-BQ13</f>
        <v>100.26499999999999</v>
      </c>
      <c r="BR10" s="49">
        <f>+BL10*(1+BR11)</f>
        <v>108.72469999999998</v>
      </c>
      <c r="BS10" s="49">
        <f>+BM10*(1+BS11)</f>
        <v>114.24600000000002</v>
      </c>
      <c r="BT10" s="49">
        <f>+BN10*(1+BT11)</f>
        <v>118.38995000000003</v>
      </c>
      <c r="BU10" s="49">
        <f>+SUM(BQ10:BT10)</f>
        <v>441.62565000000006</v>
      </c>
      <c r="BV10" s="79"/>
      <c r="BW10" s="49">
        <f>+BQ10*(1+BW11)</f>
        <v>120.31799999999998</v>
      </c>
      <c r="BX10" s="49">
        <f>+BR10*(1+BX11)</f>
        <v>130.46963999999997</v>
      </c>
      <c r="BY10" s="49">
        <f>+BS10*(1+BY11)</f>
        <v>137.09520000000003</v>
      </c>
      <c r="BZ10" s="49">
        <f>+BT10*(1+BZ11)</f>
        <v>142.06794000000002</v>
      </c>
      <c r="CA10" s="49">
        <f>+SUM(BW10:BZ10)</f>
        <v>529.95078000000001</v>
      </c>
      <c r="CB10" s="79"/>
      <c r="CC10" s="49">
        <f>+BW10*(1+CC11)</f>
        <v>137.16252</v>
      </c>
      <c r="CD10" s="49">
        <f>+BX10*(1+CD11)</f>
        <v>148.73538959999999</v>
      </c>
      <c r="CE10" s="49">
        <f>+BY10*(1+CE11)</f>
        <v>156.28852800000004</v>
      </c>
      <c r="CF10" s="49">
        <f>+BZ10*(1+CF11)</f>
        <v>161.95745160000004</v>
      </c>
      <c r="CG10" s="49">
        <f>+SUM(CC10:CF10)</f>
        <v>604.1438892000001</v>
      </c>
      <c r="CH10" s="42"/>
      <c r="CI10" s="652">
        <f>+(BU10*BU37)/1000</f>
        <v>578.59787948793428</v>
      </c>
    </row>
    <row r="11" spans="1:87" ht="12.75" customHeight="1" outlineLevel="1" x14ac:dyDescent="0.2">
      <c r="A11" s="230"/>
      <c r="B11" s="290" t="s">
        <v>299</v>
      </c>
      <c r="C11" s="315"/>
      <c r="D11" s="315"/>
      <c r="E11" s="315"/>
      <c r="F11" s="315"/>
      <c r="G11" s="315"/>
      <c r="H11" s="115"/>
      <c r="I11" s="315">
        <f>IF(ISERROR(I10/C10-1),"NM",I10/C10-1)</f>
        <v>3.4705882352941142E-2</v>
      </c>
      <c r="J11" s="315">
        <f>IF(ISERROR(J10/D10-1),"NM",J10/D10-1)</f>
        <v>-0.10495049504950504</v>
      </c>
      <c r="K11" s="315">
        <f>IF(ISERROR(K10/E10-1),"NM",K10/E10-1)</f>
        <v>-1.5342465753424683E-2</v>
      </c>
      <c r="L11" s="315">
        <f>IF(ISERROR(L10/F10-1),"NM",L10/F10-1)</f>
        <v>-1.8465089440277027E-2</v>
      </c>
      <c r="M11" s="315">
        <f>IF(ISERROR(M10/G10-1),"NM",M10/G10-1)</f>
        <v>-2.9266281945589334E-2</v>
      </c>
      <c r="N11" s="115"/>
      <c r="O11" s="315">
        <f>IF(ISERROR(O10/I10-1),"NM",O10/I10-1)</f>
        <v>-3.9795338260375179E-2</v>
      </c>
      <c r="P11" s="315">
        <f>IF(ISERROR(P10/J10-1),"NM",P10/J10-1)</f>
        <v>-3.3738938053097356E-2</v>
      </c>
      <c r="Q11" s="315">
        <f>IF(ISERROR(Q10/K10-1),"NM",Q10/K10-1)</f>
        <v>4.7857540345019434E-2</v>
      </c>
      <c r="R11" s="315">
        <f>IF(ISERROR(R10/L10-1),"NM",R10/L10-1)</f>
        <v>0.16284538506760748</v>
      </c>
      <c r="S11" s="315">
        <f>IF(ISERROR(S10/M10-1),"NM",S10/M10-1)</f>
        <v>3.2837933474876069E-2</v>
      </c>
      <c r="T11" s="115"/>
      <c r="U11" s="315">
        <f>IF(ISERROR(U10/O10-1),"NM",U10/O10-1)</f>
        <v>0.31142687981053863</v>
      </c>
      <c r="V11" s="315">
        <f>IF(ISERROR(V10/P10-1),"NM",V10/P10-1)</f>
        <v>0.32140812821980558</v>
      </c>
      <c r="W11" s="315">
        <f>IF(ISERROR(W10/Q10-1),"NM",W10/Q10-1)</f>
        <v>0.22968667020711653</v>
      </c>
      <c r="X11" s="315">
        <f>IF(ISERROR(X10/R10-1),"NM",X10/R10-1)</f>
        <v>0.10819009100101118</v>
      </c>
      <c r="Y11" s="315">
        <f>IF(ISERROR(Y10/S10-1),"NM",Y10/S10-1)</f>
        <v>0.23763190352199537</v>
      </c>
      <c r="Z11" s="115"/>
      <c r="AA11" s="315">
        <f>IF(ISERROR(AA10/U10-1),"NM",AA10/U10-1)</f>
        <v>0.21399548532731383</v>
      </c>
      <c r="AB11" s="315">
        <f>IF(ISERROR(AB10/V10-1),"NM",AB10/V10-1)</f>
        <v>0.23543426467403061</v>
      </c>
      <c r="AC11" s="315">
        <f>IF(ISERROR(AC10/W10-1),"NM",AC10/W10-1)</f>
        <v>0.29863960267760747</v>
      </c>
      <c r="AD11" s="315">
        <f>IF(ISERROR(AD10/X10-1),"NM",AD10/X10-1)</f>
        <v>0.36359489051094873</v>
      </c>
      <c r="AE11" s="315">
        <f>IF(ISERROR(AE10/Y10-1),"NM",AE10/Y10-1)</f>
        <v>0.27748865020484992</v>
      </c>
      <c r="AF11" s="115"/>
      <c r="AG11" s="315">
        <f>IF(ISERROR(AG10/AA10-1),"NM",AG10/AA10-1)</f>
        <v>0.19877277798438087</v>
      </c>
      <c r="AH11" s="315">
        <f>IF(ISERROR(AH10/AB10-1),"NM",AH10/AB10-1)</f>
        <v>0.24193548387096775</v>
      </c>
      <c r="AI11" s="315">
        <f>IF(ISERROR(AI10/AC10-1),"NM",AI10/AC10-1)</f>
        <v>0.19338210841370129</v>
      </c>
      <c r="AJ11" s="315">
        <f>IF(ISERROR(AJ10/AD10-1),"NM",AJ10/AD10-1)</f>
        <v>0.12094345935095352</v>
      </c>
      <c r="AK11" s="315">
        <f>IF(ISERROR(AK10/AE10-1),"NM",AK10/AE10-1)</f>
        <v>0.18787379734766407</v>
      </c>
      <c r="AL11" s="115"/>
      <c r="AM11" s="315">
        <f>IF(ISERROR(AM10/AG10-1),"NM",AM10/AG10-1)</f>
        <v>0.17884287265394749</v>
      </c>
      <c r="AN11" s="315">
        <f>IF(ISERROR(AN10/AH10-1),"NM",AN10/AH10-1)</f>
        <v>0.11645962732919246</v>
      </c>
      <c r="AO11" s="315">
        <f>IF(ISERROR(AO10/AI10-1),"NM",AO10/AI10-1)</f>
        <v>0.15953741117458553</v>
      </c>
      <c r="AP11" s="315">
        <f>IF(ISERROR(AP10/AJ10-1),"NM",AP10/AJ10-1)</f>
        <v>0.20698403223399486</v>
      </c>
      <c r="AQ11" s="315">
        <f>IF(ISERROR(AQ10/AK10-1),"NM",AQ10/AK10-1)</f>
        <v>0.16454449268488469</v>
      </c>
      <c r="AR11" s="115"/>
      <c r="AS11" s="315">
        <f>IF(ISERROR(AS10/AM10-1),"NM",AS10/AM10-1)</f>
        <v>0.10499999999999998</v>
      </c>
      <c r="AT11" s="315">
        <f>IF(ISERROR(AT10/AN10-1),"NM",AT10/AN10-1)</f>
        <v>0.10699999999999998</v>
      </c>
      <c r="AU11" s="315">
        <f>IF(ISERROR(AU10/AO10-1),"NM",AU10/AO10-1)</f>
        <v>0.10600000000000009</v>
      </c>
      <c r="AV11" s="315">
        <f>IF(ISERROR(AV10/AP10-1),"NM",AV10/AP10-1)</f>
        <v>0.12349999999999994</v>
      </c>
      <c r="AW11" s="315">
        <f>IF(ISERROR(AW10/AQ10-1),"NM",AW10/AQ10-1)</f>
        <v>0.11044403020144755</v>
      </c>
      <c r="AX11" s="115"/>
      <c r="AY11" s="315">
        <f>IF(ISERROR(AY10/AS10-1),"NM",AY10/AS10-1)</f>
        <v>0.1697547035008331</v>
      </c>
      <c r="AZ11" s="315">
        <f>IF(ISERROR(AZ10/AT10-1),"NM",AZ10/AT10-1)</f>
        <v>0.21070035246228458</v>
      </c>
      <c r="BA11" s="315">
        <f>IF(ISERROR(BA10/AU10-1),"NM",BA10/AU10-1)</f>
        <v>0.205714323125334</v>
      </c>
      <c r="BB11" s="315">
        <f>IF(ISERROR(BB10/AV10-1),"NM",BB10/AV10-1)</f>
        <v>0.24674780811935593</v>
      </c>
      <c r="BC11" s="315">
        <f>IF(ISERROR(BC10/AW10-1),"NM",BC10/AW10-1)</f>
        <v>0.20894562107289794</v>
      </c>
      <c r="BD11" s="115"/>
      <c r="BE11" s="315">
        <f>IF(ISERROR(BE10/AY10-1),"NM",BE10/AY10-1)</f>
        <v>0.23498968129595155</v>
      </c>
      <c r="BF11" s="315">
        <f>IF(ISERROR(BF10/AZ10-1),"NM",BF10/AZ10-1)</f>
        <v>0.20079245283018854</v>
      </c>
      <c r="BG11" s="315">
        <f>IF(ISERROR(BG10/BA10-1),"NM",BG10/BA10-1)</f>
        <v>0.18224252434066845</v>
      </c>
      <c r="BH11" s="315">
        <f>IF(ISERROR(BH10/BB10-1),"NM",BH10/BB10-1)</f>
        <v>0.20222090327792408</v>
      </c>
      <c r="BI11" s="315">
        <f>IF(ISERROR(BI10/BC10-1),"NM",BI10/BC10-1)</f>
        <v>0.2042058341514581</v>
      </c>
      <c r="BJ11" s="115"/>
      <c r="BK11" s="315">
        <f>IF(ISERROR(BK10/BE10-1),"NM",BK10/BE10-1)</f>
        <v>0.27513543411243324</v>
      </c>
      <c r="BL11" s="315">
        <f>IF(ISERROR(BL10/BF10-1),"NM",BL10/BF10-1)</f>
        <v>0.34518085540994936</v>
      </c>
      <c r="BM11" s="315">
        <f>IF(ISERROR(BM10/BG10-1),"NM",BM10/BG10-1)</f>
        <v>0.31935975609756118</v>
      </c>
      <c r="BN11" s="315">
        <f>IF(ISERROR(BN10/BH10-1),"NM",BN10/BH10-1)</f>
        <v>0.30712187958884019</v>
      </c>
      <c r="BO11" s="315">
        <f>IF(ISERROR(BO10/BI10-1),"NM",BO10/BI10-1)</f>
        <v>0.31210109682787346</v>
      </c>
      <c r="BP11" s="115"/>
      <c r="BQ11" s="315">
        <f>IF(ISERROR(BQ10/BK10-1),"NM",BQ10/BK10-1)</f>
        <v>0.29625080801551373</v>
      </c>
      <c r="BR11" s="818">
        <v>0.27</v>
      </c>
      <c r="BS11" s="818">
        <v>0.32</v>
      </c>
      <c r="BT11" s="818">
        <v>0.33</v>
      </c>
      <c r="BU11" s="315">
        <f>IF(ISERROR(BU10/BO10-1),"NM",BU10/BO10-1)</f>
        <v>0.3045584521084117</v>
      </c>
      <c r="BV11" s="115"/>
      <c r="BW11" s="901">
        <v>0.2</v>
      </c>
      <c r="BX11" s="901">
        <f>+BW11</f>
        <v>0.2</v>
      </c>
      <c r="BY11" s="901">
        <f>+BX11</f>
        <v>0.2</v>
      </c>
      <c r="BZ11" s="901">
        <f>+BY11</f>
        <v>0.2</v>
      </c>
      <c r="CA11" s="315">
        <f>IF(ISERROR(CA10/BU10-1),"NM",CA10/BU10-1)</f>
        <v>0.19999999999999996</v>
      </c>
      <c r="CB11" s="115"/>
      <c r="CC11" s="901">
        <v>0.14000000000000001</v>
      </c>
      <c r="CD11" s="901">
        <f>+CC11</f>
        <v>0.14000000000000001</v>
      </c>
      <c r="CE11" s="901">
        <f>+CD11</f>
        <v>0.14000000000000001</v>
      </c>
      <c r="CF11" s="901">
        <f>+CE11</f>
        <v>0.14000000000000001</v>
      </c>
      <c r="CG11" s="315">
        <f>IF(ISERROR(CG10/CA10-1),"NM",CG10/CA10-1)</f>
        <v>0.14000000000000012</v>
      </c>
      <c r="CH11" s="42"/>
      <c r="CI11" s="665">
        <f>+CI10/'P&amp;L'!$BU$8</f>
        <v>0.2966080471269974</v>
      </c>
    </row>
    <row r="12" spans="1:87" ht="12.75" customHeight="1" outlineLevel="1" x14ac:dyDescent="0.2">
      <c r="A12" s="230"/>
      <c r="B12" s="290" t="s">
        <v>71</v>
      </c>
      <c r="C12" s="315"/>
      <c r="D12" s="315"/>
      <c r="E12" s="315"/>
      <c r="F12" s="315"/>
      <c r="G12" s="315"/>
      <c r="H12" s="115"/>
      <c r="I12" s="315">
        <f>+I11+C11</f>
        <v>3.4705882352941142E-2</v>
      </c>
      <c r="J12" s="315">
        <f>+J11+D11</f>
        <v>-0.10495049504950504</v>
      </c>
      <c r="K12" s="315">
        <f>+K11+E11</f>
        <v>-1.5342465753424683E-2</v>
      </c>
      <c r="L12" s="315">
        <f>+L11+F11</f>
        <v>-1.8465089440277027E-2</v>
      </c>
      <c r="M12" s="315">
        <f>+M11+G11</f>
        <v>-2.9266281945589334E-2</v>
      </c>
      <c r="N12" s="115"/>
      <c r="O12" s="315">
        <f>+O11+I11</f>
        <v>-5.0894559074340373E-3</v>
      </c>
      <c r="P12" s="315">
        <f>+P11+J11</f>
        <v>-0.1386894331026024</v>
      </c>
      <c r="Q12" s="315">
        <f>+Q11+K11</f>
        <v>3.251507459159475E-2</v>
      </c>
      <c r="R12" s="315">
        <f>+R11+L11</f>
        <v>0.14438029562733046</v>
      </c>
      <c r="S12" s="315">
        <f>+S11+M11</f>
        <v>3.5716515292867346E-3</v>
      </c>
      <c r="T12" s="115"/>
      <c r="U12" s="315">
        <f>+U11+O11</f>
        <v>0.27163154155016345</v>
      </c>
      <c r="V12" s="315">
        <f>+V11+P11</f>
        <v>0.28766919016670822</v>
      </c>
      <c r="W12" s="315">
        <f>+W11+Q11</f>
        <v>0.27754421055213596</v>
      </c>
      <c r="X12" s="315">
        <f>+X11+R11</f>
        <v>0.27103547606861866</v>
      </c>
      <c r="Y12" s="315">
        <f>+Y11+S11</f>
        <v>0.27046983699687144</v>
      </c>
      <c r="Z12" s="115"/>
      <c r="AA12" s="315">
        <f>+AA11+U11</f>
        <v>0.52542236513785245</v>
      </c>
      <c r="AB12" s="315">
        <f>+AB11+V11</f>
        <v>0.55684239289383619</v>
      </c>
      <c r="AC12" s="315">
        <f>+AC11+W11</f>
        <v>0.528326272884724</v>
      </c>
      <c r="AD12" s="315">
        <f>+AD11+X11</f>
        <v>0.47178498151195991</v>
      </c>
      <c r="AE12" s="315">
        <f>+AE11+Y11</f>
        <v>0.51512055372684529</v>
      </c>
      <c r="AF12" s="115"/>
      <c r="AG12" s="315">
        <f>+AG11+AA11</f>
        <v>0.41276826331169469</v>
      </c>
      <c r="AH12" s="315">
        <f>+AH11+AB11</f>
        <v>0.47736974854499836</v>
      </c>
      <c r="AI12" s="315">
        <f>+AI11+AC11</f>
        <v>0.49202171109130877</v>
      </c>
      <c r="AJ12" s="315">
        <f>+AJ11+AD11</f>
        <v>0.48453834986190225</v>
      </c>
      <c r="AK12" s="315">
        <f>+AK11+AE11</f>
        <v>0.46536244755251399</v>
      </c>
      <c r="AL12" s="115"/>
      <c r="AM12" s="315">
        <f>+AM11+AG11</f>
        <v>0.37761565063832836</v>
      </c>
      <c r="AN12" s="315">
        <f>+AN11+AH11</f>
        <v>0.35839511120016021</v>
      </c>
      <c r="AO12" s="315">
        <f>+AO11+AI11</f>
        <v>0.35291951958828682</v>
      </c>
      <c r="AP12" s="315">
        <f>+AP11+AJ11</f>
        <v>0.32792749158494838</v>
      </c>
      <c r="AQ12" s="315">
        <f>+AQ11+AK11</f>
        <v>0.35241829003254876</v>
      </c>
      <c r="AR12" s="115"/>
      <c r="AS12" s="315">
        <f>+AS11+AM11</f>
        <v>0.28384287265394748</v>
      </c>
      <c r="AT12" s="315">
        <f>+AT11+AN11</f>
        <v>0.22345962732919245</v>
      </c>
      <c r="AU12" s="315">
        <f>+AU11+AO11</f>
        <v>0.26553741117458562</v>
      </c>
      <c r="AV12" s="315">
        <f>+AV11+AP11</f>
        <v>0.33048403223399481</v>
      </c>
      <c r="AW12" s="315">
        <f>+AW11+AQ11</f>
        <v>0.27498852288633224</v>
      </c>
      <c r="AX12" s="115"/>
      <c r="AY12" s="315">
        <f>+AY11+AS11</f>
        <v>0.27475470350083309</v>
      </c>
      <c r="AZ12" s="315">
        <f>+AZ11+AT11</f>
        <v>0.31770035246228456</v>
      </c>
      <c r="BA12" s="315">
        <f>+BA11+AU11</f>
        <v>0.31171432312533409</v>
      </c>
      <c r="BB12" s="315">
        <f>+BB11+AV11</f>
        <v>0.37024780811935587</v>
      </c>
      <c r="BC12" s="315">
        <f>+BC11+AW11</f>
        <v>0.31938965127434549</v>
      </c>
      <c r="BD12" s="115"/>
      <c r="BE12" s="315">
        <f>+BE11+AY11</f>
        <v>0.40474438479678465</v>
      </c>
      <c r="BF12" s="315">
        <f>+BF11+AZ11</f>
        <v>0.41149280529247312</v>
      </c>
      <c r="BG12" s="315">
        <f>+BG11+BA11</f>
        <v>0.38795684746600245</v>
      </c>
      <c r="BH12" s="315">
        <f>+BH11+BB11</f>
        <v>0.44896871139728001</v>
      </c>
      <c r="BI12" s="315">
        <f>+BI11+BC11</f>
        <v>0.41315145522435603</v>
      </c>
      <c r="BJ12" s="115"/>
      <c r="BK12" s="315">
        <f>+BK11+BE11</f>
        <v>0.51012511540838479</v>
      </c>
      <c r="BL12" s="315">
        <f>+BL11+BF11</f>
        <v>0.5459733082401379</v>
      </c>
      <c r="BM12" s="315">
        <f>+BM11+BG11</f>
        <v>0.50160228043822963</v>
      </c>
      <c r="BN12" s="315">
        <f>+BN11+BH11</f>
        <v>0.50934278286676427</v>
      </c>
      <c r="BO12" s="315">
        <f>+BO11+BI11</f>
        <v>0.51630693097933156</v>
      </c>
      <c r="BP12" s="115"/>
      <c r="BQ12" s="315">
        <f>+BQ11+BK11</f>
        <v>0.57138624212794697</v>
      </c>
      <c r="BR12" s="315">
        <f>+BR11+BL11</f>
        <v>0.61518085540994938</v>
      </c>
      <c r="BS12" s="315">
        <f>+BS11+BM11</f>
        <v>0.63935975609756124</v>
      </c>
      <c r="BT12" s="315">
        <f>+BT11+BN11</f>
        <v>0.63712187958884026</v>
      </c>
      <c r="BU12" s="315">
        <f>+BU11+BO11</f>
        <v>0.61665954893628516</v>
      </c>
      <c r="BV12" s="115"/>
      <c r="BW12" s="315">
        <f>+BW11+BQ11</f>
        <v>0.49625080801551374</v>
      </c>
      <c r="BX12" s="315">
        <f>+BX11+BR11</f>
        <v>0.47000000000000003</v>
      </c>
      <c r="BY12" s="315">
        <f>+BY11+BS11</f>
        <v>0.52</v>
      </c>
      <c r="BZ12" s="315">
        <f>+BZ11+BT11</f>
        <v>0.53</v>
      </c>
      <c r="CA12" s="315">
        <f>+CA11+BU11</f>
        <v>0.50455845210841166</v>
      </c>
      <c r="CB12" s="115"/>
      <c r="CC12" s="315">
        <f>+CC11+BW11</f>
        <v>0.34</v>
      </c>
      <c r="CD12" s="315">
        <f>+CD11+BX11</f>
        <v>0.34</v>
      </c>
      <c r="CE12" s="315">
        <f>+CE11+BY11</f>
        <v>0.34</v>
      </c>
      <c r="CF12" s="315">
        <f>+CF11+BZ11</f>
        <v>0.34</v>
      </c>
      <c r="CG12" s="315">
        <f>+CG11+CA11</f>
        <v>0.34000000000000008</v>
      </c>
      <c r="CH12" s="42"/>
      <c r="CI12" s="665">
        <f>+BC16/BC22</f>
        <v>0.31690006308775726</v>
      </c>
    </row>
    <row r="13" spans="1:87" ht="12.75" customHeight="1" outlineLevel="1" x14ac:dyDescent="0.2">
      <c r="A13" s="230"/>
      <c r="B13" s="32" t="s">
        <v>78</v>
      </c>
      <c r="C13" s="47">
        <f>18.6+3.8</f>
        <v>22.400000000000002</v>
      </c>
      <c r="D13" s="47">
        <f>22.8+4.9</f>
        <v>27.700000000000003</v>
      </c>
      <c r="E13" s="47">
        <f>21.9+4.6</f>
        <v>26.5</v>
      </c>
      <c r="F13" s="47">
        <f>20.8+4.63</f>
        <v>25.43</v>
      </c>
      <c r="G13" s="49">
        <f>+SUM(C13:F13)</f>
        <v>102.03</v>
      </c>
      <c r="H13" s="79"/>
      <c r="I13" s="47">
        <f>20.9+4.95</f>
        <v>25.849999999999998</v>
      </c>
      <c r="J13" s="47">
        <f>22.14+4.97</f>
        <v>27.11</v>
      </c>
      <c r="K13" s="47">
        <f>21.07+4.62</f>
        <v>25.69</v>
      </c>
      <c r="L13" s="47">
        <f>20.46+4.4</f>
        <v>24.86</v>
      </c>
      <c r="M13" s="49">
        <f>+SUM(I13:L13)</f>
        <v>103.50999999999999</v>
      </c>
      <c r="N13" s="79"/>
      <c r="O13" s="47">
        <v>23.335000000000001</v>
      </c>
      <c r="P13" s="47">
        <v>23.524999999999999</v>
      </c>
      <c r="Q13" s="47">
        <v>25.565000000000001</v>
      </c>
      <c r="R13" s="47">
        <v>27.72</v>
      </c>
      <c r="S13" s="49">
        <f>+SUM(O13:R13)</f>
        <v>100.145</v>
      </c>
      <c r="T13" s="79"/>
      <c r="U13" s="47">
        <v>28.49</v>
      </c>
      <c r="V13" s="47">
        <v>28.46</v>
      </c>
      <c r="W13" s="47">
        <v>26.84</v>
      </c>
      <c r="X13" s="47">
        <v>25.274999999999999</v>
      </c>
      <c r="Y13" s="49">
        <f>+SUM(U13:X13)</f>
        <v>109.065</v>
      </c>
      <c r="Z13" s="79"/>
      <c r="AA13" s="414">
        <v>28.29</v>
      </c>
      <c r="AB13" s="414">
        <v>30.71</v>
      </c>
      <c r="AC13" s="414">
        <v>31.12</v>
      </c>
      <c r="AD13" s="414">
        <v>33.1</v>
      </c>
      <c r="AE13" s="49">
        <f>+SUM(AA13:AD13)</f>
        <v>123.22</v>
      </c>
      <c r="AF13" s="79"/>
      <c r="AG13" s="414">
        <v>33.045000000000002</v>
      </c>
      <c r="AH13" s="414">
        <v>37.265000000000001</v>
      </c>
      <c r="AI13" s="414">
        <v>34.725000000000001</v>
      </c>
      <c r="AJ13" s="414">
        <v>34.634999999999998</v>
      </c>
      <c r="AK13" s="49">
        <f>+SUM(AG13:AJ13)</f>
        <v>139.66999999999999</v>
      </c>
      <c r="AL13" s="79"/>
      <c r="AM13" s="414">
        <v>36.729999999999997</v>
      </c>
      <c r="AN13" s="414">
        <v>39.32</v>
      </c>
      <c r="AO13" s="414">
        <v>38.520000000000003</v>
      </c>
      <c r="AP13" s="414">
        <v>39.700000000000003</v>
      </c>
      <c r="AQ13" s="49">
        <f>+SUM(AM13:AP13)</f>
        <v>154.26999999999998</v>
      </c>
      <c r="AR13" s="79"/>
      <c r="AS13" s="414">
        <f>+AM13*1.074</f>
        <v>39.44802</v>
      </c>
      <c r="AT13" s="414">
        <f>+AN13*1.05</f>
        <v>41.286000000000001</v>
      </c>
      <c r="AU13" s="414">
        <f>85.405-AU10</f>
        <v>39.384339999999995</v>
      </c>
      <c r="AV13" s="414">
        <f>+AP13*1.04</f>
        <v>41.288000000000004</v>
      </c>
      <c r="AW13" s="49">
        <f>+SUM(AS13:AV13)</f>
        <v>161.40636000000001</v>
      </c>
      <c r="AX13" s="79"/>
      <c r="AY13" s="538">
        <v>41.991999999999997</v>
      </c>
      <c r="AZ13" s="538">
        <v>46.600000000000009</v>
      </c>
      <c r="BA13" s="538">
        <v>45.81223107831886</v>
      </c>
      <c r="BB13" s="538">
        <v>49.715638997202717</v>
      </c>
      <c r="BC13" s="49">
        <f>+SUM(AY13:BB13)</f>
        <v>184.11987007552159</v>
      </c>
      <c r="BD13" s="664"/>
      <c r="BE13" s="538">
        <v>49.783424207025625</v>
      </c>
      <c r="BF13" s="538">
        <v>51.213000000000008</v>
      </c>
      <c r="BG13" s="538">
        <v>50.3</v>
      </c>
      <c r="BH13" s="538">
        <v>54.45</v>
      </c>
      <c r="BI13" s="49">
        <f>+SUM(BE13:BH13)</f>
        <v>205.7464242070256</v>
      </c>
      <c r="BJ13" s="664"/>
      <c r="BK13" s="538">
        <v>55.5</v>
      </c>
      <c r="BL13" s="548">
        <v>60.9</v>
      </c>
      <c r="BM13" s="548">
        <v>58.32</v>
      </c>
      <c r="BN13" s="548">
        <v>63.23</v>
      </c>
      <c r="BO13" s="49">
        <f>+SUM(BK13:BN13)</f>
        <v>237.95</v>
      </c>
      <c r="BP13" s="79"/>
      <c r="BQ13" s="548">
        <v>66.400000000000006</v>
      </c>
      <c r="BR13" s="49">
        <f>+BL13*(1+BR14)</f>
        <v>69.426000000000002</v>
      </c>
      <c r="BS13" s="49">
        <f>+BM13*(1+BS14)</f>
        <v>68.817599999999999</v>
      </c>
      <c r="BT13" s="49">
        <f>+BN13*(1+BT14)</f>
        <v>73.979099999999988</v>
      </c>
      <c r="BU13" s="49">
        <f>+SUM(BQ13:BT13)</f>
        <v>278.62270000000001</v>
      </c>
      <c r="BV13" s="79"/>
      <c r="BW13" s="49">
        <f>+BQ13*(1+BW14)</f>
        <v>74.368000000000009</v>
      </c>
      <c r="BX13" s="49">
        <f>+BR13*(1+BX14)</f>
        <v>77.757120000000015</v>
      </c>
      <c r="BY13" s="49">
        <f>+BS13*(1+BY14)</f>
        <v>77.07571200000001</v>
      </c>
      <c r="BZ13" s="49">
        <f>+BT13*(1+BZ14)</f>
        <v>82.856591999999992</v>
      </c>
      <c r="CA13" s="49">
        <f>+SUM(BW13:BZ13)</f>
        <v>312.05742400000003</v>
      </c>
      <c r="CB13" s="79"/>
      <c r="CC13" s="49">
        <f>+BW13*(1+CC14)</f>
        <v>80.317440000000019</v>
      </c>
      <c r="CD13" s="49">
        <f>+BX13*(1+CD14)</f>
        <v>83.977689600000019</v>
      </c>
      <c r="CE13" s="49">
        <f>+BY13*(1+CE14)</f>
        <v>83.241768960000016</v>
      </c>
      <c r="CF13" s="49">
        <f>+BZ13*(1+CF14)</f>
        <v>89.485119359999999</v>
      </c>
      <c r="CG13" s="49">
        <f>+SUM(CC13:CF13)</f>
        <v>337.02201792000005</v>
      </c>
      <c r="CH13" s="42"/>
    </row>
    <row r="14" spans="1:87" ht="12.75" customHeight="1" outlineLevel="1" x14ac:dyDescent="0.2">
      <c r="A14" s="230"/>
      <c r="B14" s="290" t="s">
        <v>299</v>
      </c>
      <c r="C14" s="315"/>
      <c r="D14" s="315"/>
      <c r="E14" s="315"/>
      <c r="F14" s="315"/>
      <c r="G14" s="315"/>
      <c r="H14" s="115"/>
      <c r="I14" s="315">
        <f>IF(ISERROR(I13/C13-1),"NM",I13/C13-1)</f>
        <v>0.15401785714285698</v>
      </c>
      <c r="J14" s="315">
        <f>IF(ISERROR(J13/D13-1),"NM",J13/D13-1)</f>
        <v>-2.1299638989169756E-2</v>
      </c>
      <c r="K14" s="315">
        <f>IF(ISERROR(K13/E13-1),"NM",K13/E13-1)</f>
        <v>-3.0566037735848983E-2</v>
      </c>
      <c r="L14" s="315">
        <f>IF(ISERROR(L13/F13-1),"NM",L13/F13-1)</f>
        <v>-2.2414471097129351E-2</v>
      </c>
      <c r="M14" s="315">
        <f>IF(ISERROR(M13/G13-1),"NM",M13/G13-1)</f>
        <v>1.450553758698403E-2</v>
      </c>
      <c r="N14" s="115"/>
      <c r="O14" s="315">
        <f>IF(ISERROR(O13/I13-1),"NM",O13/I13-1)</f>
        <v>-9.7292069632495037E-2</v>
      </c>
      <c r="P14" s="315">
        <f>IF(ISERROR(P13/J13-1),"NM",P13/J13-1)</f>
        <v>-0.13223902618959793</v>
      </c>
      <c r="Q14" s="315">
        <f>IF(ISERROR(Q13/K13-1),"NM",Q13/K13-1)</f>
        <v>-4.8657065005839328E-3</v>
      </c>
      <c r="R14" s="315">
        <f>IF(ISERROR(R13/L13-1),"NM",R13/L13-1)</f>
        <v>0.11504424778761058</v>
      </c>
      <c r="S14" s="315">
        <f>IF(ISERROR(S13/M13-1),"NM",S13/M13-1)</f>
        <v>-3.2508936334653571E-2</v>
      </c>
      <c r="T14" s="115"/>
      <c r="U14" s="315">
        <f>IF(ISERROR(U13/O13-1),"NM",U13/O13-1)</f>
        <v>0.22091279194343261</v>
      </c>
      <c r="V14" s="315">
        <f>IF(ISERROR(V13/P13-1),"NM",V13/P13-1)</f>
        <v>0.20977683315621687</v>
      </c>
      <c r="W14" s="315">
        <f>IF(ISERROR(W13/Q13-1),"NM",W13/Q13-1)</f>
        <v>4.9872873068648405E-2</v>
      </c>
      <c r="X14" s="315">
        <f>IF(ISERROR(X13/R13-1),"NM",X13/R13-1)</f>
        <v>-8.8203463203463173E-2</v>
      </c>
      <c r="Y14" s="315">
        <f>IF(ISERROR(Y13/S13-1),"NM",Y13/S13-1)</f>
        <v>8.907084727145631E-2</v>
      </c>
      <c r="Z14" s="115"/>
      <c r="AA14" s="315">
        <f>IF(ISERROR(AA13/U13-1),"NM",AA13/U13-1)</f>
        <v>-7.0200070200070463E-3</v>
      </c>
      <c r="AB14" s="315">
        <f>IF(ISERROR(AB13/V13-1),"NM",AB13/V13-1)</f>
        <v>7.9058327477161017E-2</v>
      </c>
      <c r="AC14" s="315">
        <f>IF(ISERROR(AC13/W13-1),"NM",AC13/W13-1)</f>
        <v>0.15946348733233973</v>
      </c>
      <c r="AD14" s="315">
        <f>IF(ISERROR(AD13/X13-1),"NM",AD13/X13-1)</f>
        <v>0.30959446092977272</v>
      </c>
      <c r="AE14" s="315">
        <f>IF(ISERROR(AE13/Y13-1),"NM",AE13/Y13-1)</f>
        <v>0.1297849906019346</v>
      </c>
      <c r="AF14" s="115"/>
      <c r="AG14" s="315">
        <f>IF(ISERROR(AG13/AA13-1),"NM",AG13/AA13-1)</f>
        <v>0.16808059384941676</v>
      </c>
      <c r="AH14" s="315">
        <f>IF(ISERROR(AH13/AB13-1),"NM",AH13/AB13-1)</f>
        <v>0.21344838814718337</v>
      </c>
      <c r="AI14" s="315">
        <f>IF(ISERROR(AI13/AC13-1),"NM",AI13/AC13-1)</f>
        <v>0.11584190231362479</v>
      </c>
      <c r="AJ14" s="315">
        <f>IF(ISERROR(AJ13/AD13-1),"NM",AJ13/AD13-1)</f>
        <v>4.6374622356495365E-2</v>
      </c>
      <c r="AK14" s="315">
        <f>IF(ISERROR(AK13/AE13-1),"NM",AK13/AE13-1)</f>
        <v>0.13350105502353515</v>
      </c>
      <c r="AL14" s="115"/>
      <c r="AM14" s="315">
        <f>IF(ISERROR(AM13/AG13-1),"NM",AM13/AG13-1)</f>
        <v>0.11151460130125579</v>
      </c>
      <c r="AN14" s="315">
        <f>IF(ISERROR(AN13/AH13-1),"NM",AN13/AH13-1)</f>
        <v>5.5145578961492081E-2</v>
      </c>
      <c r="AO14" s="315">
        <f>IF(ISERROR(AO13/AI13-1),"NM",AO13/AI13-1)</f>
        <v>0.10928725701943853</v>
      </c>
      <c r="AP14" s="315">
        <f>IF(ISERROR(AP13/AJ13-1),"NM",AP13/AJ13-1)</f>
        <v>0.14623935325537762</v>
      </c>
      <c r="AQ14" s="315">
        <f>IF(ISERROR(AQ13/AK13-1),"NM",AQ13/AK13-1)</f>
        <v>0.1045321114054556</v>
      </c>
      <c r="AR14" s="115"/>
      <c r="AS14" s="315">
        <f>IF(ISERROR(AS13/AM13-1),"NM",AS13/AM13-1)</f>
        <v>7.4000000000000066E-2</v>
      </c>
      <c r="AT14" s="315">
        <f>IF(ISERROR(AT13/AN13-1),"NM",AT13/AN13-1)</f>
        <v>5.0000000000000044E-2</v>
      </c>
      <c r="AU14" s="315">
        <f>IF(ISERROR(AU13/AO13-1),"NM",AU13/AO13-1)</f>
        <v>2.2438733125648813E-2</v>
      </c>
      <c r="AV14" s="315">
        <f>IF(ISERROR(AV13/AP13-1),"NM",AV13/AP13-1)</f>
        <v>4.0000000000000036E-2</v>
      </c>
      <c r="AW14" s="315">
        <f>IF(ISERROR(AW13/AQ13-1),"NM",AW13/AQ13-1)</f>
        <v>4.6258896739482802E-2</v>
      </c>
      <c r="AX14" s="115"/>
      <c r="AY14" s="315">
        <f>IF(ISERROR(AY13/AS13-1),"NM",AY13/AS13-1)</f>
        <v>6.4489421775794975E-2</v>
      </c>
      <c r="AZ14" s="315">
        <f>IF(ISERROR(AZ13/AT13-1),"NM",AZ13/AT13-1)</f>
        <v>0.12871191202829069</v>
      </c>
      <c r="BA14" s="315">
        <f>IF(ISERROR(BA13/AU13-1),"NM",BA13/AU13-1)</f>
        <v>0.16320931310055897</v>
      </c>
      <c r="BB14" s="315">
        <f>IF(ISERROR(BB13/AV13-1),"NM",BB13/AV13-1)</f>
        <v>0.20411836362145697</v>
      </c>
      <c r="BC14" s="315">
        <f>IF(ISERROR(BC13/AW13-1),"NM",BC13/AW13-1)</f>
        <v>0.14072252218265491</v>
      </c>
      <c r="BD14" s="115"/>
      <c r="BE14" s="315">
        <f>IF(ISERROR(BE13/AY13-1),"NM",BE13/AY13-1)</f>
        <v>0.18554544215625901</v>
      </c>
      <c r="BF14" s="315">
        <f>IF(ISERROR(BF13/AZ13-1),"NM",BF13/AZ13-1)</f>
        <v>9.899141630901287E-2</v>
      </c>
      <c r="BG14" s="315">
        <f>IF(ISERROR(BG13/BA13-1),"NM",BG13/BA13-1)</f>
        <v>9.7960060360496648E-2</v>
      </c>
      <c r="BH14" s="315">
        <f>IF(ISERROR(BH13/BB13-1),"NM",BH13/BB13-1)</f>
        <v>9.5228807238375568E-2</v>
      </c>
      <c r="BI14" s="315">
        <f>IF(ISERROR(BI13/BC13-1),"NM",BI13/BC13-1)</f>
        <v>0.11745909945859356</v>
      </c>
      <c r="BJ14" s="115"/>
      <c r="BK14" s="315">
        <f>IF(ISERROR(BK13/BE13-1),"NM",BK13/BE13-1)</f>
        <v>0.11482889905687976</v>
      </c>
      <c r="BL14" s="315">
        <f>IF(ISERROR(BL13/BF13-1),"NM",BL13/BF13-1)</f>
        <v>0.18915119208013564</v>
      </c>
      <c r="BM14" s="315">
        <f>IF(ISERROR(BM13/BG13-1),"NM",BM13/BG13-1)</f>
        <v>0.15944333996023863</v>
      </c>
      <c r="BN14" s="315">
        <f>IF(ISERROR(BN13/BH13-1),"NM",BN13/BH13-1)</f>
        <v>0.16124885215794293</v>
      </c>
      <c r="BO14" s="315">
        <f>IF(ISERROR(BO13/BI13-1),"NM",BO13/BI13-1)</f>
        <v>0.15652070706497723</v>
      </c>
      <c r="BP14" s="115"/>
      <c r="BQ14" s="315">
        <f>IF(ISERROR(BQ13/BK13-1),"NM",BQ13/BK13-1)</f>
        <v>0.19639639639639639</v>
      </c>
      <c r="BR14" s="818">
        <v>0.14000000000000001</v>
      </c>
      <c r="BS14" s="818">
        <v>0.18</v>
      </c>
      <c r="BT14" s="818">
        <v>0.17</v>
      </c>
      <c r="BU14" s="315">
        <f>IF(ISERROR(BU13/BO13-1),"NM",BU13/BO13-1)</f>
        <v>0.1709296070603068</v>
      </c>
      <c r="BV14" s="115"/>
      <c r="BW14" s="901">
        <v>0.12</v>
      </c>
      <c r="BX14" s="901">
        <f>+BW14</f>
        <v>0.12</v>
      </c>
      <c r="BY14" s="901">
        <f>+BX14</f>
        <v>0.12</v>
      </c>
      <c r="BZ14" s="901">
        <f>+BY14</f>
        <v>0.12</v>
      </c>
      <c r="CA14" s="315">
        <f>IF(ISERROR(CA13/BU13-1),"NM",CA13/BU13-1)</f>
        <v>0.12000000000000011</v>
      </c>
      <c r="CB14" s="115"/>
      <c r="CC14" s="901">
        <v>0.08</v>
      </c>
      <c r="CD14" s="901">
        <f>+CC14</f>
        <v>0.08</v>
      </c>
      <c r="CE14" s="901">
        <f>+CD14</f>
        <v>0.08</v>
      </c>
      <c r="CF14" s="901">
        <f>+CE14</f>
        <v>0.08</v>
      </c>
      <c r="CG14" s="315">
        <f>IF(ISERROR(CG13/CA13-1),"NM",CG13/CA13-1)</f>
        <v>8.0000000000000071E-2</v>
      </c>
      <c r="CH14" s="42"/>
      <c r="CI14" s="611"/>
    </row>
    <row r="15" spans="1:87" ht="12.75" customHeight="1" outlineLevel="1" x14ac:dyDescent="0.2">
      <c r="A15" s="230"/>
      <c r="B15" s="290" t="s">
        <v>71</v>
      </c>
      <c r="C15" s="315"/>
      <c r="D15" s="315"/>
      <c r="E15" s="315"/>
      <c r="F15" s="315"/>
      <c r="G15" s="315"/>
      <c r="H15" s="115"/>
      <c r="I15" s="315">
        <f>+I14+C14</f>
        <v>0.15401785714285698</v>
      </c>
      <c r="J15" s="315">
        <f>+J14+D14</f>
        <v>-2.1299638989169756E-2</v>
      </c>
      <c r="K15" s="315">
        <f>+K14+E14</f>
        <v>-3.0566037735848983E-2</v>
      </c>
      <c r="L15" s="315">
        <f>+L14+F14</f>
        <v>-2.2414471097129351E-2</v>
      </c>
      <c r="M15" s="315">
        <f>+M14+G14</f>
        <v>1.450553758698403E-2</v>
      </c>
      <c r="N15" s="115"/>
      <c r="O15" s="315">
        <f>+O14+I14</f>
        <v>5.6725787510361947E-2</v>
      </c>
      <c r="P15" s="315">
        <f>+P14+J14</f>
        <v>-0.15353866517876769</v>
      </c>
      <c r="Q15" s="315">
        <f>+Q14+K14</f>
        <v>-3.5431744236432916E-2</v>
      </c>
      <c r="R15" s="315">
        <f>+R14+L14</f>
        <v>9.2629776690481225E-2</v>
      </c>
      <c r="S15" s="315">
        <f>+S14+M14</f>
        <v>-1.8003398747669541E-2</v>
      </c>
      <c r="T15" s="115"/>
      <c r="U15" s="315">
        <f>+U14+O14</f>
        <v>0.12362072231093757</v>
      </c>
      <c r="V15" s="315">
        <f>+V14+P14</f>
        <v>7.7537806966618938E-2</v>
      </c>
      <c r="W15" s="315">
        <f>+W14+Q14</f>
        <v>4.5007166568064472E-2</v>
      </c>
      <c r="X15" s="315">
        <f>+X14+R14</f>
        <v>2.6840784584147404E-2</v>
      </c>
      <c r="Y15" s="315">
        <f>+Y14+S14</f>
        <v>5.656191093680274E-2</v>
      </c>
      <c r="Z15" s="115"/>
      <c r="AA15" s="315">
        <f>+AA14+U14</f>
        <v>0.21389278492342556</v>
      </c>
      <c r="AB15" s="315">
        <f>+AB14+V14</f>
        <v>0.28883516063337789</v>
      </c>
      <c r="AC15" s="315">
        <f>+AC14+W14</f>
        <v>0.20933636040098813</v>
      </c>
      <c r="AD15" s="315">
        <f>+AD14+X14</f>
        <v>0.22139099772630955</v>
      </c>
      <c r="AE15" s="315">
        <f>+AE14+Y14</f>
        <v>0.21885583787339091</v>
      </c>
      <c r="AF15" s="115"/>
      <c r="AG15" s="315">
        <f>+AG14+AA14</f>
        <v>0.16106058682940971</v>
      </c>
      <c r="AH15" s="315">
        <f>+AH14+AB14</f>
        <v>0.29250671562434438</v>
      </c>
      <c r="AI15" s="315">
        <f>+AI14+AC14</f>
        <v>0.27530538964596452</v>
      </c>
      <c r="AJ15" s="315">
        <f>+AJ14+AD14</f>
        <v>0.35596908328626808</v>
      </c>
      <c r="AK15" s="315">
        <f>+AK14+AE14</f>
        <v>0.26328604562546976</v>
      </c>
      <c r="AL15" s="115"/>
      <c r="AM15" s="315">
        <f>+AM14+AG14</f>
        <v>0.27959519515067255</v>
      </c>
      <c r="AN15" s="315">
        <f>+AN14+AH14</f>
        <v>0.26859396710867545</v>
      </c>
      <c r="AO15" s="315">
        <f>+AO14+AI14</f>
        <v>0.22512915933306332</v>
      </c>
      <c r="AP15" s="315">
        <f>+AP14+AJ14</f>
        <v>0.19261397561187299</v>
      </c>
      <c r="AQ15" s="315">
        <f>+AQ14+AK14</f>
        <v>0.23803316642899075</v>
      </c>
      <c r="AR15" s="115"/>
      <c r="AS15" s="315">
        <f>+AS14+AM14</f>
        <v>0.18551460130125585</v>
      </c>
      <c r="AT15" s="315">
        <f>+AT14+AN14</f>
        <v>0.10514557896149213</v>
      </c>
      <c r="AU15" s="315">
        <f>+AU14+AO14</f>
        <v>0.13172599014508735</v>
      </c>
      <c r="AV15" s="315">
        <f>+AV14+AP14</f>
        <v>0.18623935325537766</v>
      </c>
      <c r="AW15" s="315">
        <f>+AW14+AQ14</f>
        <v>0.1507910081449384</v>
      </c>
      <c r="AX15" s="115"/>
      <c r="AY15" s="315">
        <f>+AY14+AS14</f>
        <v>0.13848942177579504</v>
      </c>
      <c r="AZ15" s="315">
        <f>+AZ14+AT14</f>
        <v>0.17871191202829073</v>
      </c>
      <c r="BA15" s="315">
        <f>+BA14+AU14</f>
        <v>0.18564804622620779</v>
      </c>
      <c r="BB15" s="315">
        <f>+BB14+AV14</f>
        <v>0.244118363621457</v>
      </c>
      <c r="BC15" s="315">
        <f>+BC14+AW14</f>
        <v>0.18698141892213771</v>
      </c>
      <c r="BD15" s="115"/>
      <c r="BE15" s="315">
        <f>+BE14+AY14</f>
        <v>0.25003486393205399</v>
      </c>
      <c r="BF15" s="315">
        <f>+BF14+AZ14</f>
        <v>0.22770332833730356</v>
      </c>
      <c r="BG15" s="315">
        <f>+BG14+BA14</f>
        <v>0.26116937346105562</v>
      </c>
      <c r="BH15" s="315">
        <f>+BH14+BB14</f>
        <v>0.29934717085983253</v>
      </c>
      <c r="BI15" s="315">
        <f>+BI14+BC14</f>
        <v>0.25818162164124847</v>
      </c>
      <c r="BJ15" s="115"/>
      <c r="BK15" s="315">
        <f>+BK14+BE14</f>
        <v>0.30037434121313877</v>
      </c>
      <c r="BL15" s="315">
        <f>+BL14+BF14</f>
        <v>0.28814260838914851</v>
      </c>
      <c r="BM15" s="315">
        <f>+BM14+BG14</f>
        <v>0.25740340032073528</v>
      </c>
      <c r="BN15" s="315">
        <f>+BN14+BH14</f>
        <v>0.2564776593963185</v>
      </c>
      <c r="BO15" s="315">
        <f>+BO14+BI14</f>
        <v>0.27397980652357079</v>
      </c>
      <c r="BP15" s="115"/>
      <c r="BQ15" s="315">
        <f>+BQ14+BK14</f>
        <v>0.31122529545327615</v>
      </c>
      <c r="BR15" s="315">
        <f>+BR14+BL14</f>
        <v>0.32915119208013566</v>
      </c>
      <c r="BS15" s="315">
        <f>+BS14+BM14</f>
        <v>0.33944333996023862</v>
      </c>
      <c r="BT15" s="315">
        <f>+BT14+BN14</f>
        <v>0.33124885215794297</v>
      </c>
      <c r="BU15" s="315">
        <f>+BU14+BO14</f>
        <v>0.32745031412528403</v>
      </c>
      <c r="BV15" s="115"/>
      <c r="BW15" s="315">
        <f>+BW14+BQ14</f>
        <v>0.31639639639639638</v>
      </c>
      <c r="BX15" s="315">
        <f>+BX14+BR14</f>
        <v>0.26</v>
      </c>
      <c r="BY15" s="315">
        <f>+BY14+BS14</f>
        <v>0.3</v>
      </c>
      <c r="BZ15" s="315">
        <f>+BZ14+BT14</f>
        <v>0.29000000000000004</v>
      </c>
      <c r="CA15" s="315">
        <f>+CA14+BU14</f>
        <v>0.29092960706030691</v>
      </c>
      <c r="CB15" s="115"/>
      <c r="CC15" s="315">
        <f>+CC14+BW14</f>
        <v>0.2</v>
      </c>
      <c r="CD15" s="315">
        <f>+CD14+BX14</f>
        <v>0.2</v>
      </c>
      <c r="CE15" s="315">
        <f>+CE14+BY14</f>
        <v>0.2</v>
      </c>
      <c r="CF15" s="315">
        <f>+CF14+BZ14</f>
        <v>0.2</v>
      </c>
      <c r="CG15" s="315">
        <f>+CG14+CA14</f>
        <v>0.20000000000000018</v>
      </c>
      <c r="CH15" s="42"/>
    </row>
    <row r="16" spans="1:87" ht="12.75" customHeight="1" outlineLevel="1" x14ac:dyDescent="0.2">
      <c r="A16" s="230"/>
      <c r="B16" s="32" t="s">
        <v>152</v>
      </c>
      <c r="C16" s="47">
        <f>5.5+0.1</f>
        <v>5.6</v>
      </c>
      <c r="D16" s="47">
        <f>7+0.1</f>
        <v>7.1</v>
      </c>
      <c r="E16" s="47">
        <f>7.2+0.1</f>
        <v>7.3</v>
      </c>
      <c r="F16" s="47">
        <f>7.95+0.12</f>
        <v>8.07</v>
      </c>
      <c r="G16" s="49">
        <f>+SUM(C16:F16)</f>
        <v>28.07</v>
      </c>
      <c r="H16" s="79"/>
      <c r="I16" s="47">
        <f>8.2+0.13</f>
        <v>8.33</v>
      </c>
      <c r="J16" s="47">
        <f>9.52+0.16</f>
        <v>9.68</v>
      </c>
      <c r="K16" s="47">
        <f>8.95+0.19</f>
        <v>9.1399999999999988</v>
      </c>
      <c r="L16" s="47">
        <f>10.48+0.29</f>
        <v>10.77</v>
      </c>
      <c r="M16" s="49">
        <f>+SUM(I16:L16)</f>
        <v>37.92</v>
      </c>
      <c r="N16" s="79"/>
      <c r="O16" s="47">
        <v>9.8350000000000009</v>
      </c>
      <c r="P16" s="47">
        <v>12.01</v>
      </c>
      <c r="Q16" s="47">
        <v>12.12</v>
      </c>
      <c r="R16" s="47">
        <v>13.56</v>
      </c>
      <c r="S16" s="49">
        <f>+SUM(O16:R16)</f>
        <v>47.524999999999999</v>
      </c>
      <c r="T16" s="79"/>
      <c r="U16" s="47">
        <v>12.97</v>
      </c>
      <c r="V16" s="47">
        <v>15.94</v>
      </c>
      <c r="W16" s="47">
        <v>16.245000000000001</v>
      </c>
      <c r="X16" s="47">
        <v>16.295000000000002</v>
      </c>
      <c r="Y16" s="49">
        <f>+SUM(U16:X16)</f>
        <v>61.45</v>
      </c>
      <c r="Z16" s="79">
        <f>+Y16/S16-1</f>
        <v>0.29300368227248819</v>
      </c>
      <c r="AA16" s="414">
        <v>16.190000000000001</v>
      </c>
      <c r="AB16" s="414">
        <v>16.79</v>
      </c>
      <c r="AC16" s="414">
        <v>18.170000000000002</v>
      </c>
      <c r="AD16" s="414">
        <v>19.600000000000001</v>
      </c>
      <c r="AE16" s="49">
        <f>+SUM(AA16:AD16)</f>
        <v>70.75</v>
      </c>
      <c r="AF16" s="79"/>
      <c r="AG16" s="414">
        <v>19.984999999999999</v>
      </c>
      <c r="AH16" s="414">
        <v>22.594999999999999</v>
      </c>
      <c r="AI16" s="414">
        <v>21.905000000000001</v>
      </c>
      <c r="AJ16" s="414">
        <v>22.34</v>
      </c>
      <c r="AK16" s="49">
        <f>+SUM(AG16:AJ16)</f>
        <v>86.825000000000003</v>
      </c>
      <c r="AL16" s="79"/>
      <c r="AM16" s="414">
        <v>23.445</v>
      </c>
      <c r="AN16" s="414">
        <v>27.27</v>
      </c>
      <c r="AO16" s="414">
        <v>26.77</v>
      </c>
      <c r="AP16" s="414">
        <v>31.01</v>
      </c>
      <c r="AQ16" s="49">
        <f>+SUM(AM16:AP16)</f>
        <v>108.495</v>
      </c>
      <c r="AR16" s="79"/>
      <c r="AS16" s="414">
        <v>30.76</v>
      </c>
      <c r="AT16" s="538">
        <v>34.450000000000003</v>
      </c>
      <c r="AU16" s="538">
        <v>34.21</v>
      </c>
      <c r="AV16" s="538">
        <v>40</v>
      </c>
      <c r="AW16" s="49">
        <f>+SUM(AS16:AV16)</f>
        <v>139.42000000000002</v>
      </c>
      <c r="AX16" s="79"/>
      <c r="AY16" s="538">
        <v>39.670000000000016</v>
      </c>
      <c r="AZ16" s="538">
        <v>44.900000000000006</v>
      </c>
      <c r="BA16" s="538">
        <v>46.2</v>
      </c>
      <c r="BB16" s="538">
        <v>54.040048602915377</v>
      </c>
      <c r="BC16" s="49">
        <f>+SUM(AY16:BB16)</f>
        <v>184.8100486029154</v>
      </c>
      <c r="BD16" s="664"/>
      <c r="BE16" s="538">
        <v>53.20000000000001</v>
      </c>
      <c r="BF16" s="538">
        <v>62.140000000000057</v>
      </c>
      <c r="BG16" s="538">
        <v>61.9</v>
      </c>
      <c r="BH16" s="538">
        <v>67.5</v>
      </c>
      <c r="BI16" s="49">
        <f>+SUM(BE16:BH16)</f>
        <v>244.74000000000007</v>
      </c>
      <c r="BJ16" s="664"/>
      <c r="BK16" s="538">
        <v>75.174999999999997</v>
      </c>
      <c r="BL16" s="548">
        <v>85.38</v>
      </c>
      <c r="BM16" s="548">
        <v>91.194999999999993</v>
      </c>
      <c r="BN16" s="548">
        <v>102.785</v>
      </c>
      <c r="BO16" s="49">
        <f>+SUM(BK16:BN16)</f>
        <v>354.53499999999997</v>
      </c>
      <c r="BP16" s="79"/>
      <c r="BQ16" s="548">
        <v>105.57</v>
      </c>
      <c r="BR16" s="49">
        <f>+BL16*(1+BR17)</f>
        <v>122.9472</v>
      </c>
      <c r="BS16" s="49">
        <f>+BM16*(1+BS17)</f>
        <v>122.2013</v>
      </c>
      <c r="BT16" s="49">
        <f>+BN16*(1+BT17)</f>
        <v>132.59264999999999</v>
      </c>
      <c r="BU16" s="49">
        <f>+SUM(BQ16:BT16)</f>
        <v>483.31115</v>
      </c>
      <c r="BV16" s="79"/>
      <c r="BW16" s="49">
        <f>+BQ16*(1+BW17)</f>
        <v>137.24099999999999</v>
      </c>
      <c r="BX16" s="49">
        <f>+BR16*(1+BX17)</f>
        <v>159.83135999999999</v>
      </c>
      <c r="BY16" s="49">
        <f>+BS16*(1+BY17)</f>
        <v>158.86169000000001</v>
      </c>
      <c r="BZ16" s="49">
        <f>+BT16*(1+BZ17)</f>
        <v>172.37044499999999</v>
      </c>
      <c r="CA16" s="49">
        <f>+SUM(BW16:BZ16)</f>
        <v>628.30449499999997</v>
      </c>
      <c r="CB16" s="79"/>
      <c r="CC16" s="49">
        <f>+BW16*(1+CC17)</f>
        <v>168.80642999999998</v>
      </c>
      <c r="CD16" s="49">
        <f>+BX16*(1+CD17)</f>
        <v>196.59257279999997</v>
      </c>
      <c r="CE16" s="49">
        <f>+BY16*(1+CE17)</f>
        <v>195.39987870000002</v>
      </c>
      <c r="CF16" s="49">
        <f>+BZ16*(1+CF17)</f>
        <v>212.01564734999999</v>
      </c>
      <c r="CG16" s="49">
        <f>+SUM(CC16:CF16)</f>
        <v>772.81452884999999</v>
      </c>
      <c r="CH16" s="42"/>
      <c r="CI16" s="652">
        <f>+(BO16*BO33)/1000</f>
        <v>472.51111072062423</v>
      </c>
    </row>
    <row r="17" spans="1:89" ht="12.75" customHeight="1" outlineLevel="1" x14ac:dyDescent="0.2">
      <c r="A17" s="230"/>
      <c r="B17" s="290" t="s">
        <v>299</v>
      </c>
      <c r="C17" s="315"/>
      <c r="D17" s="315"/>
      <c r="E17" s="315"/>
      <c r="F17" s="315"/>
      <c r="G17" s="315"/>
      <c r="H17" s="115"/>
      <c r="I17" s="315">
        <f>IF(ISERROR(I16/C16-1),"NM",I16/C16-1)</f>
        <v>0.48750000000000004</v>
      </c>
      <c r="J17" s="315">
        <f>IF(ISERROR(J16/D16-1),"NM",J16/D16-1)</f>
        <v>0.36338028169014081</v>
      </c>
      <c r="K17" s="315">
        <f>IF(ISERROR(K16/E16-1),"NM",K16/E16-1)</f>
        <v>0.2520547945205478</v>
      </c>
      <c r="L17" s="315">
        <f>IF(ISERROR(L16/F16-1),"NM",L16/F16-1)</f>
        <v>0.33457249070631967</v>
      </c>
      <c r="M17" s="315">
        <f>IF(ISERROR(M16/G16-1),"NM",M16/G16-1)</f>
        <v>0.35090844317776981</v>
      </c>
      <c r="N17" s="115"/>
      <c r="O17" s="315">
        <f>IF(ISERROR(O16/I16-1),"NM",O16/I16-1)</f>
        <v>0.18067226890756305</v>
      </c>
      <c r="P17" s="315">
        <f>IF(ISERROR(P16/J16-1),"NM",P16/J16-1)</f>
        <v>0.24070247933884303</v>
      </c>
      <c r="Q17" s="315">
        <f>IF(ISERROR(Q16/K16-1),"NM",Q16/K16-1)</f>
        <v>0.3260393873085341</v>
      </c>
      <c r="R17" s="315">
        <f>IF(ISERROR(R16/L16-1),"NM",R16/L16-1)</f>
        <v>0.25905292479108644</v>
      </c>
      <c r="S17" s="315">
        <f>IF(ISERROR(S16/M16-1),"NM",S16/M16-1)</f>
        <v>0.25329641350210963</v>
      </c>
      <c r="T17" s="115"/>
      <c r="U17" s="315">
        <f>IF(ISERROR(U16/O16-1),"NM",U16/O16-1)</f>
        <v>0.31875953228266396</v>
      </c>
      <c r="V17" s="315">
        <f>IF(ISERROR(V16/P16-1),"NM",V16/P16-1)</f>
        <v>0.32722731057452115</v>
      </c>
      <c r="W17" s="315">
        <f>IF(ISERROR(W16/Q16-1),"NM",W16/Q16-1)</f>
        <v>0.34034653465346554</v>
      </c>
      <c r="X17" s="315">
        <f>IF(ISERROR(X16/R16-1),"NM",X16/R16-1)</f>
        <v>0.20169616519174038</v>
      </c>
      <c r="Y17" s="315">
        <f>IF(ISERROR(Y16/S16-1),"NM",Y16/S16-1)</f>
        <v>0.29300368227248819</v>
      </c>
      <c r="Z17" s="115"/>
      <c r="AA17" s="315">
        <f>IF(ISERROR(AA16/U16-1),"NM",AA16/U16-1)</f>
        <v>0.24826522744795687</v>
      </c>
      <c r="AB17" s="315">
        <f>IF(ISERROR(AB16/V16-1),"NM",AB16/V16-1)</f>
        <v>5.332496863237135E-2</v>
      </c>
      <c r="AC17" s="315">
        <f>IF(ISERROR(AC16/W16-1),"NM",AC16/W16-1)</f>
        <v>0.11849799938442596</v>
      </c>
      <c r="AD17" s="315">
        <f>IF(ISERROR(AD16/X16-1),"NM",AD16/X16-1)</f>
        <v>0.20282295182571342</v>
      </c>
      <c r="AE17" s="315">
        <f>IF(ISERROR(AE16/Y16-1),"NM",AE16/Y16-1)</f>
        <v>0.15134255492270143</v>
      </c>
      <c r="AF17" s="115"/>
      <c r="AG17" s="315">
        <f>IF(ISERROR(AG16/AA16-1),"NM",AG16/AA16-1)</f>
        <v>0.23440395305744266</v>
      </c>
      <c r="AH17" s="315">
        <f>IF(ISERROR(AH16/AB16-1),"NM",AH16/AB16-1)</f>
        <v>0.34574151280524124</v>
      </c>
      <c r="AI17" s="315">
        <f>IF(ISERROR(AI16/AC16-1),"NM",AI16/AC16-1)</f>
        <v>0.20555861309851409</v>
      </c>
      <c r="AJ17" s="315">
        <f>IF(ISERROR(AJ16/AD16-1),"NM",AJ16/AD16-1)</f>
        <v>0.13979591836734695</v>
      </c>
      <c r="AK17" s="315">
        <f>IF(ISERROR(AK16/AE16-1),"NM",AK16/AE16-1)</f>
        <v>0.22720848056537113</v>
      </c>
      <c r="AL17" s="115"/>
      <c r="AM17" s="315">
        <f>IF(ISERROR(AM16/AG16-1),"NM",AM16/AG16-1)</f>
        <v>0.17312984738553916</v>
      </c>
      <c r="AN17" s="315">
        <f>IF(ISERROR(AN16/AH16-1),"NM",AN16/AH16-1)</f>
        <v>0.20690418234122587</v>
      </c>
      <c r="AO17" s="315">
        <f>IF(ISERROR(AO16/AI16-1),"NM",AO16/AI16-1)</f>
        <v>0.22209541200639116</v>
      </c>
      <c r="AP17" s="315">
        <f>IF(ISERROR(AP16/AJ16-1),"NM",AP16/AJ16-1)</f>
        <v>0.38809310653536255</v>
      </c>
      <c r="AQ17" s="315">
        <f>IF(ISERROR(AQ16/AK16-1),"NM",AQ16/AK16-1)</f>
        <v>0.24958249352145123</v>
      </c>
      <c r="AR17" s="115"/>
      <c r="AS17" s="315">
        <f>IF(ISERROR(AS16/AM16-1),"NM",AS16/AM16-1)</f>
        <v>0.31200682448283223</v>
      </c>
      <c r="AT17" s="315">
        <f>IF(ISERROR(AT16/AN16-1),"NM",AT16/AN16-1)</f>
        <v>0.26329299596626332</v>
      </c>
      <c r="AU17" s="315">
        <f>IF(ISERROR(AU16/AO16-1),"NM",AU16/AO16-1)</f>
        <v>0.27792304818827041</v>
      </c>
      <c r="AV17" s="315">
        <f>IF(ISERROR(AV16/AP16-1),"NM",AV16/AP16-1)</f>
        <v>0.28990648178007095</v>
      </c>
      <c r="AW17" s="315">
        <f>IF(ISERROR(AW16/AQ16-1),"NM",AW16/AQ16-1)</f>
        <v>0.28503617678234039</v>
      </c>
      <c r="AX17" s="115"/>
      <c r="AY17" s="315">
        <f>IF(ISERROR(AY16/AS16-1),"NM",AY16/AS16-1)</f>
        <v>0.28966189856957136</v>
      </c>
      <c r="AZ17" s="315">
        <f>IF(ISERROR(AZ16/AT16-1),"NM",AZ16/AT16-1)</f>
        <v>0.30333817126269969</v>
      </c>
      <c r="BA17" s="315">
        <f>IF(ISERROR(BA16/AU16-1),"NM",BA16/AU16-1)</f>
        <v>0.35048231511254024</v>
      </c>
      <c r="BB17" s="315">
        <f>IF(ISERROR(BB16/AV16-1),"NM",BB16/AV16-1)</f>
        <v>0.35100121507288451</v>
      </c>
      <c r="BC17" s="315">
        <f>IF(ISERROR(BC16/AW16-1),"NM",BC16/AW16-1)</f>
        <v>0.32556339551653557</v>
      </c>
      <c r="BD17" s="115"/>
      <c r="BE17" s="315">
        <f>IF(ISERROR(BE16/AY16-1),"NM",BE16/AY16-1)</f>
        <v>0.34106377615326422</v>
      </c>
      <c r="BF17" s="315">
        <f>IF(ISERROR(BF16/AZ16-1),"NM",BF16/AZ16-1)</f>
        <v>0.38396436525612576</v>
      </c>
      <c r="BG17" s="315">
        <f>IF(ISERROR(BG16/BA16-1),"NM",BG16/BA16-1)</f>
        <v>0.33982683982683981</v>
      </c>
      <c r="BH17" s="315">
        <f>IF(ISERROR(BH16/BB16-1),"NM",BH16/BB16-1)</f>
        <v>0.24907363603589494</v>
      </c>
      <c r="BI17" s="315">
        <f>IF(ISERROR(BI16/BC16-1),"NM",BI16/BC16-1)</f>
        <v>0.32427864096205461</v>
      </c>
      <c r="BJ17" s="115"/>
      <c r="BK17" s="315">
        <f>IF(ISERROR(BK16/BE16-1),"NM",BK16/BE16-1)</f>
        <v>0.41306390977443574</v>
      </c>
      <c r="BL17" s="315">
        <f>IF(ISERROR(BL16/BF16-1),"NM",BL16/BF16-1)</f>
        <v>0.37399420663018845</v>
      </c>
      <c r="BM17" s="315">
        <f>IF(ISERROR(BM16/BG16-1),"NM",BM16/BG16-1)</f>
        <v>0.47326332794830361</v>
      </c>
      <c r="BN17" s="315">
        <f>IF(ISERROR(BN16/BH16-1),"NM",BN16/BH16-1)</f>
        <v>0.52274074074074073</v>
      </c>
      <c r="BO17" s="315">
        <f>IF(ISERROR(BO16/BI16-1),"NM",BO16/BI16-1)</f>
        <v>0.44861894255127832</v>
      </c>
      <c r="BP17" s="115"/>
      <c r="BQ17" s="315">
        <f>IF(ISERROR(BQ16/BK16-1),"NM",BQ16/BK16-1)</f>
        <v>0.40432324575989353</v>
      </c>
      <c r="BR17" s="818">
        <v>0.44</v>
      </c>
      <c r="BS17" s="818">
        <v>0.34</v>
      </c>
      <c r="BT17" s="818">
        <v>0.28999999999999998</v>
      </c>
      <c r="BU17" s="315">
        <f>IF(ISERROR(BU16/BO16-1),"NM",BU16/BO16-1)</f>
        <v>0.36322549254657521</v>
      </c>
      <c r="BV17" s="115"/>
      <c r="BW17" s="901">
        <v>0.3</v>
      </c>
      <c r="BX17" s="901">
        <f>+BW17</f>
        <v>0.3</v>
      </c>
      <c r="BY17" s="901">
        <f>+BX17</f>
        <v>0.3</v>
      </c>
      <c r="BZ17" s="901">
        <f>+BY17</f>
        <v>0.3</v>
      </c>
      <c r="CA17" s="315">
        <f>IF(ISERROR(CA16/BU16-1),"NM",CA16/BU16-1)</f>
        <v>0.30000000000000004</v>
      </c>
      <c r="CB17" s="115"/>
      <c r="CC17" s="901">
        <v>0.23</v>
      </c>
      <c r="CD17" s="901">
        <f>+CC17</f>
        <v>0.23</v>
      </c>
      <c r="CE17" s="901">
        <f>+CD17</f>
        <v>0.23</v>
      </c>
      <c r="CF17" s="901">
        <f>+CE17</f>
        <v>0.23</v>
      </c>
      <c r="CG17" s="315">
        <f>IF(ISERROR(CG16/CA16-1),"NM",CG16/CA16-1)</f>
        <v>0.22999999999999998</v>
      </c>
      <c r="CH17" s="42"/>
      <c r="CI17" s="665">
        <f>+CI16/'P&amp;L'!$BU$8</f>
        <v>0.24222452719786611</v>
      </c>
    </row>
    <row r="18" spans="1:89" ht="12.75" customHeight="1" outlineLevel="1" x14ac:dyDescent="0.2">
      <c r="A18" s="230"/>
      <c r="B18" s="290" t="s">
        <v>71</v>
      </c>
      <c r="C18" s="315"/>
      <c r="D18" s="315"/>
      <c r="E18" s="315"/>
      <c r="F18" s="315"/>
      <c r="G18" s="315"/>
      <c r="H18" s="115"/>
      <c r="I18" s="315">
        <f>+I17+C17</f>
        <v>0.48750000000000004</v>
      </c>
      <c r="J18" s="315">
        <f>+J17+D17</f>
        <v>0.36338028169014081</v>
      </c>
      <c r="K18" s="315">
        <f>+K17+E17</f>
        <v>0.2520547945205478</v>
      </c>
      <c r="L18" s="315">
        <f>+L17+F17</f>
        <v>0.33457249070631967</v>
      </c>
      <c r="M18" s="315">
        <f>+M17+G17</f>
        <v>0.35090844317776981</v>
      </c>
      <c r="N18" s="115"/>
      <c r="O18" s="315">
        <f>+O17+I17</f>
        <v>0.66817226890756309</v>
      </c>
      <c r="P18" s="315">
        <f>+P17+J17</f>
        <v>0.60408276102898384</v>
      </c>
      <c r="Q18" s="315">
        <f>+Q17+K17</f>
        <v>0.5780941818290819</v>
      </c>
      <c r="R18" s="315">
        <f>+R17+L17</f>
        <v>0.59362541549740611</v>
      </c>
      <c r="S18" s="315">
        <f>+S17+M17</f>
        <v>0.60420485667987944</v>
      </c>
      <c r="T18" s="115"/>
      <c r="U18" s="315">
        <f>+U17+O17</f>
        <v>0.49943180119022701</v>
      </c>
      <c r="V18" s="315">
        <f>+V17+P17</f>
        <v>0.56792978991336418</v>
      </c>
      <c r="W18" s="315">
        <f>+W17+Q17</f>
        <v>0.66638592196199964</v>
      </c>
      <c r="X18" s="315">
        <f>+X17+R17</f>
        <v>0.46074908998282682</v>
      </c>
      <c r="Y18" s="315">
        <f>+Y17+S17</f>
        <v>0.54630009577459782</v>
      </c>
      <c r="Z18" s="115"/>
      <c r="AA18" s="315">
        <f>+AA17+U17</f>
        <v>0.56702475973062083</v>
      </c>
      <c r="AB18" s="315">
        <f>+AB17+V17</f>
        <v>0.3805522792068925</v>
      </c>
      <c r="AC18" s="315">
        <f>+AC17+W17</f>
        <v>0.45884453403789149</v>
      </c>
      <c r="AD18" s="315">
        <f>+AD17+X17</f>
        <v>0.4045191170174538</v>
      </c>
      <c r="AE18" s="315">
        <f>+AE17+Y17</f>
        <v>0.44434623719518962</v>
      </c>
      <c r="AF18" s="115"/>
      <c r="AG18" s="315">
        <f>+AG17+AA17</f>
        <v>0.48266918050539953</v>
      </c>
      <c r="AH18" s="315">
        <f>+AH17+AB17</f>
        <v>0.39906648143761259</v>
      </c>
      <c r="AI18" s="315">
        <f>+AI17+AC17</f>
        <v>0.32405661248294004</v>
      </c>
      <c r="AJ18" s="315">
        <f>+AJ17+AD17</f>
        <v>0.34261887019306037</v>
      </c>
      <c r="AK18" s="315">
        <f>+AK17+AE17</f>
        <v>0.37855103548807256</v>
      </c>
      <c r="AL18" s="115"/>
      <c r="AM18" s="315">
        <f>+AM17+AG17</f>
        <v>0.40753380044298182</v>
      </c>
      <c r="AN18" s="315">
        <f>+AN17+AH17</f>
        <v>0.55264569514646711</v>
      </c>
      <c r="AO18" s="315">
        <f>+AO17+AI17</f>
        <v>0.42765402510490524</v>
      </c>
      <c r="AP18" s="315">
        <f>+AP17+AJ17</f>
        <v>0.5278890249027095</v>
      </c>
      <c r="AQ18" s="315">
        <f>+AQ17+AK17</f>
        <v>0.47679097408682236</v>
      </c>
      <c r="AR18" s="115"/>
      <c r="AS18" s="315">
        <f>+AS17+AM17</f>
        <v>0.48513667186837139</v>
      </c>
      <c r="AT18" s="315">
        <f>+AT17+AN17</f>
        <v>0.47019717830748919</v>
      </c>
      <c r="AU18" s="315">
        <f>+AU17+AO17</f>
        <v>0.50001846019466156</v>
      </c>
      <c r="AV18" s="315">
        <f>+AV17+AP17</f>
        <v>0.6779995883154335</v>
      </c>
      <c r="AW18" s="315">
        <f>+AW17+AQ17</f>
        <v>0.53461867030379162</v>
      </c>
      <c r="AX18" s="115"/>
      <c r="AY18" s="315">
        <f>+AY17+AS17</f>
        <v>0.6016687230524036</v>
      </c>
      <c r="AZ18" s="315">
        <f>+AZ17+AT17</f>
        <v>0.56663116722896301</v>
      </c>
      <c r="BA18" s="315">
        <f>+BA17+AU17</f>
        <v>0.62840536330081065</v>
      </c>
      <c r="BB18" s="315">
        <f>+BB17+AV17</f>
        <v>0.64090769685295546</v>
      </c>
      <c r="BC18" s="315">
        <f>+BC17+AW17</f>
        <v>0.61059957229887596</v>
      </c>
      <c r="BD18" s="115"/>
      <c r="BE18" s="315">
        <f>+BE17+AY17</f>
        <v>0.63072567472283558</v>
      </c>
      <c r="BF18" s="315">
        <f>+BF17+AZ17</f>
        <v>0.68730253651882545</v>
      </c>
      <c r="BG18" s="315">
        <f>+BG17+BA17</f>
        <v>0.69030915493938005</v>
      </c>
      <c r="BH18" s="315">
        <f>+BH17+BB17</f>
        <v>0.60007485110877945</v>
      </c>
      <c r="BI18" s="315">
        <f>+BI17+BC17</f>
        <v>0.64984203647859018</v>
      </c>
      <c r="BJ18" s="115"/>
      <c r="BK18" s="315">
        <f>+BK17+BE17</f>
        <v>0.75412768592769996</v>
      </c>
      <c r="BL18" s="315">
        <f>+BL17+BF17</f>
        <v>0.75795857188631421</v>
      </c>
      <c r="BM18" s="315">
        <f>+BM17+BG17</f>
        <v>0.81309016777514342</v>
      </c>
      <c r="BN18" s="315">
        <f>+BN17+BH17</f>
        <v>0.77181437677663567</v>
      </c>
      <c r="BO18" s="315">
        <f>+BO17+BI17</f>
        <v>0.77289758351333293</v>
      </c>
      <c r="BP18" s="115"/>
      <c r="BQ18" s="315">
        <f>+BQ17+BK17</f>
        <v>0.81738715553432928</v>
      </c>
      <c r="BR18" s="315">
        <f>+BR17+BL17</f>
        <v>0.8139942066301884</v>
      </c>
      <c r="BS18" s="315">
        <f>+BS17+BM17</f>
        <v>0.81326332794830369</v>
      </c>
      <c r="BT18" s="315">
        <f>+BT17+BN17</f>
        <v>0.81274074074074076</v>
      </c>
      <c r="BU18" s="315">
        <f>+BU17+BO17</f>
        <v>0.81184443509785353</v>
      </c>
      <c r="BV18" s="115"/>
      <c r="BW18" s="315">
        <f>+BW17+BQ17</f>
        <v>0.70432324575989358</v>
      </c>
      <c r="BX18" s="315">
        <f>+BX17+BR17</f>
        <v>0.74</v>
      </c>
      <c r="BY18" s="315">
        <f>+BY17+BS17</f>
        <v>0.64</v>
      </c>
      <c r="BZ18" s="315">
        <f>+BZ17+BT17</f>
        <v>0.59</v>
      </c>
      <c r="CA18" s="315">
        <f>+CA17+BU17</f>
        <v>0.66322549254657526</v>
      </c>
      <c r="CB18" s="115"/>
      <c r="CC18" s="315">
        <f>+CC17+BW17</f>
        <v>0.53</v>
      </c>
      <c r="CD18" s="315">
        <f>+CD17+BX17</f>
        <v>0.53</v>
      </c>
      <c r="CE18" s="315">
        <f>+CE17+BY17</f>
        <v>0.53</v>
      </c>
      <c r="CF18" s="315">
        <f>+CF17+BZ17</f>
        <v>0.53</v>
      </c>
      <c r="CG18" s="315">
        <f>+CG17+CA17</f>
        <v>0.53</v>
      </c>
      <c r="CH18" s="42"/>
    </row>
    <row r="19" spans="1:89" ht="12.75" customHeight="1" outlineLevel="1" x14ac:dyDescent="0.2">
      <c r="A19" s="230"/>
      <c r="B19" s="32" t="s">
        <v>565</v>
      </c>
      <c r="C19" s="315"/>
      <c r="D19" s="315"/>
      <c r="E19" s="315"/>
      <c r="F19" s="315"/>
      <c r="G19" s="315"/>
      <c r="H19" s="115"/>
      <c r="I19" s="315"/>
      <c r="J19" s="315"/>
      <c r="K19" s="315"/>
      <c r="L19" s="315"/>
      <c r="M19" s="315"/>
      <c r="N19" s="115"/>
      <c r="O19" s="315"/>
      <c r="P19" s="315"/>
      <c r="Q19" s="315"/>
      <c r="R19" s="315"/>
      <c r="S19" s="315"/>
      <c r="T19" s="115"/>
      <c r="U19" s="315"/>
      <c r="V19" s="315"/>
      <c r="W19" s="315"/>
      <c r="X19" s="315"/>
      <c r="Y19" s="315"/>
      <c r="Z19" s="115"/>
      <c r="AA19" s="315"/>
      <c r="AB19" s="315"/>
      <c r="AC19" s="315"/>
      <c r="AD19" s="315"/>
      <c r="AE19" s="315"/>
      <c r="AF19" s="115"/>
      <c r="AG19" s="315"/>
      <c r="AH19" s="315"/>
      <c r="AI19" s="315"/>
      <c r="AJ19" s="315"/>
      <c r="AK19" s="315"/>
      <c r="AL19" s="115"/>
      <c r="AM19" s="315"/>
      <c r="AN19" s="315"/>
      <c r="AO19" s="315"/>
      <c r="AP19" s="315"/>
      <c r="AQ19" s="315"/>
      <c r="AR19" s="115"/>
      <c r="AS19" s="315"/>
      <c r="AT19" s="315"/>
      <c r="AU19" s="315"/>
      <c r="AV19" s="315"/>
      <c r="AW19" s="315"/>
      <c r="AX19" s="115"/>
      <c r="AY19" s="315"/>
      <c r="AZ19" s="315"/>
      <c r="BA19" s="315"/>
      <c r="BB19" s="315"/>
      <c r="BC19" s="315"/>
      <c r="BD19" s="115"/>
      <c r="BE19" s="315"/>
      <c r="BF19" s="315"/>
      <c r="BG19" s="315"/>
      <c r="BH19" s="315"/>
      <c r="BI19" s="315"/>
      <c r="BJ19" s="115"/>
      <c r="BK19" s="315"/>
      <c r="BL19" s="315"/>
      <c r="BM19" s="315"/>
      <c r="BN19" s="315"/>
      <c r="BO19" s="950"/>
      <c r="BP19" s="115"/>
      <c r="BQ19" s="548"/>
      <c r="BR19" s="548"/>
      <c r="BS19" s="548">
        <v>3</v>
      </c>
      <c r="BT19" s="49">
        <f>+BU19-BQ19-BR19-BS19</f>
        <v>6.6066219004500777</v>
      </c>
      <c r="BU19" s="663">
        <v>9.6066219004500777</v>
      </c>
      <c r="BV19" s="115"/>
      <c r="BW19" s="548">
        <v>10</v>
      </c>
      <c r="BX19" s="548">
        <v>20</v>
      </c>
      <c r="BY19" s="548">
        <v>20</v>
      </c>
      <c r="BZ19" s="49">
        <f>+CA19-BW19-BX19-BY19</f>
        <v>33.261449382959952</v>
      </c>
      <c r="CA19" s="663">
        <v>83.261449382959952</v>
      </c>
      <c r="CB19" s="115"/>
      <c r="CC19" s="49">
        <f>+BW19*(1+CC20)</f>
        <v>30</v>
      </c>
      <c r="CD19" s="49">
        <f>+BX19*(1+CD20)</f>
        <v>36</v>
      </c>
      <c r="CE19" s="49">
        <f>+BY19*(1+CE20)</f>
        <v>36</v>
      </c>
      <c r="CF19" s="49">
        <f>+CG19-CC19-CD19-CE19</f>
        <v>51.041898593608352</v>
      </c>
      <c r="CG19" s="663">
        <v>153.04189859360835</v>
      </c>
      <c r="CH19" s="42"/>
    </row>
    <row r="20" spans="1:89" ht="12.75" customHeight="1" outlineLevel="1" x14ac:dyDescent="0.2">
      <c r="A20" s="230"/>
      <c r="B20" s="290" t="s">
        <v>299</v>
      </c>
      <c r="C20" s="315"/>
      <c r="D20" s="315"/>
      <c r="E20" s="315"/>
      <c r="F20" s="315"/>
      <c r="G20" s="315"/>
      <c r="H20" s="115"/>
      <c r="I20" s="315"/>
      <c r="J20" s="315"/>
      <c r="K20" s="315"/>
      <c r="L20" s="315"/>
      <c r="M20" s="315"/>
      <c r="N20" s="115"/>
      <c r="O20" s="315"/>
      <c r="P20" s="315"/>
      <c r="Q20" s="315"/>
      <c r="R20" s="315"/>
      <c r="S20" s="315"/>
      <c r="T20" s="115"/>
      <c r="U20" s="315"/>
      <c r="V20" s="315"/>
      <c r="W20" s="315"/>
      <c r="X20" s="315"/>
      <c r="Y20" s="315"/>
      <c r="Z20" s="115"/>
      <c r="AA20" s="315"/>
      <c r="AB20" s="315"/>
      <c r="AC20" s="315"/>
      <c r="AD20" s="315"/>
      <c r="AE20" s="315"/>
      <c r="AF20" s="115"/>
      <c r="AG20" s="315"/>
      <c r="AH20" s="315"/>
      <c r="AI20" s="315"/>
      <c r="AJ20" s="315"/>
      <c r="AK20" s="315"/>
      <c r="AL20" s="115"/>
      <c r="AM20" s="315"/>
      <c r="AN20" s="315"/>
      <c r="AO20" s="315"/>
      <c r="AP20" s="315"/>
      <c r="AQ20" s="315"/>
      <c r="AR20" s="115"/>
      <c r="AS20" s="315"/>
      <c r="AT20" s="315"/>
      <c r="AU20" s="315"/>
      <c r="AV20" s="315"/>
      <c r="AW20" s="315"/>
      <c r="AX20" s="115"/>
      <c r="AY20" s="315"/>
      <c r="AZ20" s="315"/>
      <c r="BA20" s="315"/>
      <c r="BB20" s="315"/>
      <c r="BC20" s="315"/>
      <c r="BD20" s="115"/>
      <c r="BE20" s="315"/>
      <c r="BF20" s="315"/>
      <c r="BG20" s="315"/>
      <c r="BH20" s="315"/>
      <c r="BI20" s="315"/>
      <c r="BJ20" s="115"/>
      <c r="BK20" s="315"/>
      <c r="BL20" s="315"/>
      <c r="BM20" s="315"/>
      <c r="BN20" s="315"/>
      <c r="BO20" s="315"/>
      <c r="BP20" s="115"/>
      <c r="BQ20" s="818"/>
      <c r="BR20" s="818"/>
      <c r="BS20" s="818"/>
      <c r="BT20" s="818"/>
      <c r="BU20" s="315" t="str">
        <f>IF(ISERROR(BU19/BO19-1),"NM",BU19/BO19-1)</f>
        <v>NM</v>
      </c>
      <c r="BV20" s="115"/>
      <c r="BW20" s="818"/>
      <c r="BX20" s="818"/>
      <c r="BY20" s="315">
        <f>+BY19/BS19-1</f>
        <v>5.666666666666667</v>
      </c>
      <c r="BZ20" s="315">
        <f>+BZ19/BT19-1</f>
        <v>4.0345622746617309</v>
      </c>
      <c r="CA20" s="315">
        <f>IF(ISERROR(CA19/BU19-1),"NM",CA19/BU19-1)</f>
        <v>7.6670892479966444</v>
      </c>
      <c r="CB20" s="115"/>
      <c r="CC20" s="818">
        <v>2</v>
      </c>
      <c r="CD20" s="818">
        <v>0.8</v>
      </c>
      <c r="CE20" s="818">
        <v>0.8</v>
      </c>
      <c r="CF20" s="315">
        <f>+CF19/BZ19-1</f>
        <v>0.53456627839427329</v>
      </c>
      <c r="CG20" s="315">
        <f>IF(ISERROR(CG19/CA19-1),"NM",CG19/CA19-1)</f>
        <v>0.83808833172833852</v>
      </c>
      <c r="CH20" s="42"/>
    </row>
    <row r="21" spans="1:89" ht="12.75" customHeight="1" outlineLevel="1" x14ac:dyDescent="0.2">
      <c r="A21" s="230"/>
      <c r="B21" s="290" t="s">
        <v>71</v>
      </c>
      <c r="C21" s="315"/>
      <c r="D21" s="315"/>
      <c r="E21" s="315"/>
      <c r="F21" s="315"/>
      <c r="G21" s="315"/>
      <c r="H21" s="115"/>
      <c r="I21" s="315"/>
      <c r="J21" s="315"/>
      <c r="K21" s="315"/>
      <c r="L21" s="315"/>
      <c r="M21" s="315"/>
      <c r="N21" s="115"/>
      <c r="O21" s="315"/>
      <c r="P21" s="315"/>
      <c r="Q21" s="315"/>
      <c r="R21" s="315"/>
      <c r="S21" s="315"/>
      <c r="T21" s="115"/>
      <c r="U21" s="315"/>
      <c r="V21" s="315"/>
      <c r="W21" s="315"/>
      <c r="X21" s="315"/>
      <c r="Y21" s="315"/>
      <c r="Z21" s="115"/>
      <c r="AA21" s="315"/>
      <c r="AB21" s="315"/>
      <c r="AC21" s="315"/>
      <c r="AD21" s="315"/>
      <c r="AE21" s="315"/>
      <c r="AF21" s="115"/>
      <c r="AG21" s="315"/>
      <c r="AH21" s="315"/>
      <c r="AI21" s="315"/>
      <c r="AJ21" s="315"/>
      <c r="AK21" s="315"/>
      <c r="AL21" s="115"/>
      <c r="AM21" s="315"/>
      <c r="AN21" s="315"/>
      <c r="AO21" s="315"/>
      <c r="AP21" s="315"/>
      <c r="AQ21" s="315"/>
      <c r="AR21" s="115"/>
      <c r="AS21" s="315"/>
      <c r="AT21" s="315"/>
      <c r="AU21" s="315"/>
      <c r="AV21" s="315"/>
      <c r="AW21" s="315"/>
      <c r="AX21" s="115"/>
      <c r="AY21" s="315"/>
      <c r="AZ21" s="315"/>
      <c r="BA21" s="315"/>
      <c r="BB21" s="315"/>
      <c r="BC21" s="315"/>
      <c r="BD21" s="115"/>
      <c r="BE21" s="315"/>
      <c r="BF21" s="315"/>
      <c r="BG21" s="315"/>
      <c r="BH21" s="315"/>
      <c r="BI21" s="315"/>
      <c r="BJ21" s="115"/>
      <c r="BK21" s="315"/>
      <c r="BL21" s="315"/>
      <c r="BM21" s="315"/>
      <c r="BN21" s="315"/>
      <c r="BO21" s="315"/>
      <c r="BP21" s="115"/>
      <c r="BQ21" s="315"/>
      <c r="BR21" s="315"/>
      <c r="BS21" s="315"/>
      <c r="BT21" s="315"/>
      <c r="BU21" s="315"/>
      <c r="BV21" s="115"/>
      <c r="BW21" s="315"/>
      <c r="BX21" s="315"/>
      <c r="BY21" s="315"/>
      <c r="BZ21" s="315"/>
      <c r="CA21" s="315"/>
      <c r="CB21" s="115"/>
      <c r="CC21" s="315">
        <f>+CC20+BW20</f>
        <v>2</v>
      </c>
      <c r="CD21" s="315">
        <f>+CD20+BX20</f>
        <v>0.8</v>
      </c>
      <c r="CE21" s="315">
        <f>+CE20+BY20</f>
        <v>6.4666666666666668</v>
      </c>
      <c r="CF21" s="315">
        <f>+CF20+BZ20</f>
        <v>4.5691285530560037</v>
      </c>
      <c r="CG21" s="315"/>
      <c r="CH21" s="42"/>
    </row>
    <row r="22" spans="1:89" ht="12.75" customHeight="1" outlineLevel="1" x14ac:dyDescent="0.2">
      <c r="A22" s="230"/>
      <c r="B22" s="40" t="s">
        <v>362</v>
      </c>
      <c r="C22" s="48">
        <f>+C16+C13+C10</f>
        <v>45</v>
      </c>
      <c r="D22" s="48">
        <f>+D16+D13+D10</f>
        <v>55</v>
      </c>
      <c r="E22" s="48">
        <f>+E16+E13+E10</f>
        <v>52.05</v>
      </c>
      <c r="F22" s="48">
        <f>+F16+F13+F10</f>
        <v>50.83</v>
      </c>
      <c r="G22" s="48">
        <f>+G16+G13+G10</f>
        <v>202.88</v>
      </c>
      <c r="H22" s="79"/>
      <c r="I22" s="48">
        <f>+I16+I13+I10</f>
        <v>51.769999999999996</v>
      </c>
      <c r="J22" s="48">
        <f>+J16+J13+J10</f>
        <v>54.87</v>
      </c>
      <c r="K22" s="48">
        <f>+K16+K13+K10</f>
        <v>52.8</v>
      </c>
      <c r="L22" s="48">
        <f>+L16+L13+L10</f>
        <v>52.639999999999993</v>
      </c>
      <c r="M22" s="48">
        <f>+M16+M13+M10</f>
        <v>212.08</v>
      </c>
      <c r="N22" s="79"/>
      <c r="O22" s="48">
        <f>+O16+O13+O10</f>
        <v>50.06</v>
      </c>
      <c r="P22" s="48">
        <f>+P16+P13+P10</f>
        <v>53.004999999999995</v>
      </c>
      <c r="Q22" s="48">
        <f>+Q16+Q13+Q10</f>
        <v>56.515000000000001</v>
      </c>
      <c r="R22" s="48">
        <f>+R16+R13+R10</f>
        <v>61.06</v>
      </c>
      <c r="S22" s="48">
        <f>+S16+S13+S10</f>
        <v>220.64</v>
      </c>
      <c r="T22" s="79"/>
      <c r="U22" s="48">
        <f>+U16+U13+U10</f>
        <v>63.61</v>
      </c>
      <c r="V22" s="48">
        <f>+V16+V13+V10</f>
        <v>67.484999999999999</v>
      </c>
      <c r="W22" s="48">
        <f>+W16+W13+W10</f>
        <v>66.240000000000009</v>
      </c>
      <c r="X22" s="48">
        <f>+X16+X13+X10</f>
        <v>63.49</v>
      </c>
      <c r="Y22" s="48">
        <f>+Y16+Y13+Y10</f>
        <v>260.82499999999999</v>
      </c>
      <c r="Z22" s="79"/>
      <c r="AA22" s="48">
        <f>+AA16+AA13+AA10</f>
        <v>71.37</v>
      </c>
      <c r="AB22" s="48">
        <f>+AB16+AB13+AB10</f>
        <v>76.02</v>
      </c>
      <c r="AC22" s="48">
        <f>+AC16+AC13+AC10</f>
        <v>79.360000000000014</v>
      </c>
      <c r="AD22" s="48">
        <f>+AD16+AD13+AD10</f>
        <v>82.59</v>
      </c>
      <c r="AE22" s="48">
        <f>+AE16+AE13+AE10</f>
        <v>309.33999999999997</v>
      </c>
      <c r="AF22" s="79"/>
      <c r="AG22" s="48">
        <f>+AG16+AG13+AG10</f>
        <v>85.265000000000001</v>
      </c>
      <c r="AH22" s="48">
        <f>+AH16+AH13+AH10</f>
        <v>95.28</v>
      </c>
      <c r="AI22" s="48">
        <f>+AI16+AI13+AI10</f>
        <v>92.515000000000001</v>
      </c>
      <c r="AJ22" s="48">
        <f>+AJ16+AJ13+AJ10</f>
        <v>90.47999999999999</v>
      </c>
      <c r="AK22" s="48">
        <f>+AK16+AK13+AK10</f>
        <v>363.53999999999996</v>
      </c>
      <c r="AL22" s="79"/>
      <c r="AM22" s="48">
        <f>+AM16+AM13+AM10</f>
        <v>98.174999999999997</v>
      </c>
      <c r="AN22" s="48">
        <f>+AN16+AN13+AN10</f>
        <v>106.13500000000001</v>
      </c>
      <c r="AO22" s="48">
        <f>+AO16+AO13+AO10</f>
        <v>106.9</v>
      </c>
      <c r="AP22" s="48">
        <f>+AP16+AP13+AP10</f>
        <v>111.15</v>
      </c>
      <c r="AQ22" s="48">
        <f>+AQ16+AQ13+AQ10</f>
        <v>422.36</v>
      </c>
      <c r="AR22" s="79"/>
      <c r="AS22" s="48">
        <f>+AS16+AS13+AS10</f>
        <v>112.19802000000001</v>
      </c>
      <c r="AT22" s="48">
        <f>+AT16+AT13+AT10</f>
        <v>119.512315</v>
      </c>
      <c r="AU22" s="48">
        <f>+AU16+AU13+AU10</f>
        <v>119.61499999999999</v>
      </c>
      <c r="AV22" s="48">
        <f>+AV16+AV13+AV10</f>
        <v>126.72234</v>
      </c>
      <c r="AW22" s="48">
        <f>+AW16+AW13+AW10</f>
        <v>478.04767500000003</v>
      </c>
      <c r="AX22" s="79"/>
      <c r="AY22" s="48">
        <f>+AY16+AY13+AY10</f>
        <v>130.77999999999997</v>
      </c>
      <c r="AZ22" s="48">
        <f>+AZ16+AZ13+AZ10</f>
        <v>144.5</v>
      </c>
      <c r="BA22" s="48">
        <f>+BA16+BA13+BA10</f>
        <v>147.5</v>
      </c>
      <c r="BB22" s="48">
        <f>+BB16+BB13+BB10</f>
        <v>160.40085140846764</v>
      </c>
      <c r="BC22" s="48">
        <f>+BC16+BC13+BC10</f>
        <v>583.18085140846767</v>
      </c>
      <c r="BD22" s="79"/>
      <c r="BE22" s="48">
        <f>+BE16+BE13+BE10</f>
        <v>163.64364737292016</v>
      </c>
      <c r="BF22" s="48">
        <f>+BF16+BF13+BF10</f>
        <v>176.99500000000006</v>
      </c>
      <c r="BG22" s="48">
        <f>+BG16+BG13+BG10</f>
        <v>177.79999999999998</v>
      </c>
      <c r="BH22" s="48">
        <f>+BH16+BH13+BH10</f>
        <v>190.05</v>
      </c>
      <c r="BI22" s="48">
        <f>+BI16+BI13+BI10</f>
        <v>708.48864737292024</v>
      </c>
      <c r="BJ22" s="79"/>
      <c r="BK22" s="48">
        <f>+BK16+BK13+BK10</f>
        <v>208.02500000000001</v>
      </c>
      <c r="BL22" s="48">
        <f>+BL16+BL13+BL10</f>
        <v>231.89</v>
      </c>
      <c r="BM22" s="48">
        <f>+BM16+BM13+BM10</f>
        <v>236.065</v>
      </c>
      <c r="BN22" s="48">
        <f>+BN16+BN13+BN10</f>
        <v>255.03</v>
      </c>
      <c r="BO22" s="48">
        <f>+BO16+BO13+BO10</f>
        <v>931.00999999999988</v>
      </c>
      <c r="BP22" s="79"/>
      <c r="BQ22" s="48">
        <f>+BQ16+BQ13+BQ10+BQ19</f>
        <v>272.23500000000001</v>
      </c>
      <c r="BR22" s="48">
        <f>+BR16+BR13+BR10+BR19</f>
        <v>301.09789999999998</v>
      </c>
      <c r="BS22" s="48">
        <f>+BS16+BS13+BS10+BS19</f>
        <v>308.26490000000001</v>
      </c>
      <c r="BT22" s="48">
        <f>+BT16+BT13+BT10+BT19</f>
        <v>331.56832190045009</v>
      </c>
      <c r="BU22" s="48">
        <f>+BU16+BU13+BU10+BU19</f>
        <v>1213.1661219004502</v>
      </c>
      <c r="BV22" s="79"/>
      <c r="BW22" s="48">
        <f t="shared" ref="BW22:CA22" si="0">+BW16+BW13+BW10+BW19</f>
        <v>341.92699999999996</v>
      </c>
      <c r="BX22" s="48">
        <f t="shared" si="0"/>
        <v>388.05811999999997</v>
      </c>
      <c r="BY22" s="48">
        <f t="shared" si="0"/>
        <v>393.03260200000005</v>
      </c>
      <c r="BZ22" s="48">
        <f t="shared" si="0"/>
        <v>430.55642638295996</v>
      </c>
      <c r="CA22" s="48">
        <f t="shared" si="0"/>
        <v>1553.5741483829599</v>
      </c>
      <c r="CB22" s="79"/>
      <c r="CC22" s="48">
        <f t="shared" ref="CC22:CG22" si="1">+CC16+CC13+CC10+CC19</f>
        <v>416.28638999999998</v>
      </c>
      <c r="CD22" s="48">
        <f t="shared" si="1"/>
        <v>465.30565200000001</v>
      </c>
      <c r="CE22" s="48">
        <f t="shared" si="1"/>
        <v>470.93017566000009</v>
      </c>
      <c r="CF22" s="48">
        <f t="shared" si="1"/>
        <v>514.50011690360839</v>
      </c>
      <c r="CG22" s="48">
        <f t="shared" si="1"/>
        <v>1867.0223345636084</v>
      </c>
      <c r="CH22" s="45"/>
      <c r="CI22" s="665">
        <f>+BO22/AW22-1</f>
        <v>0.94752542201988499</v>
      </c>
      <c r="CJ22">
        <f>+(CG22/BC22)^(1/4)-1</f>
        <v>0.33763173707394967</v>
      </c>
      <c r="CK22" s="495"/>
    </row>
    <row r="23" spans="1:89" ht="12.75" customHeight="1" outlineLevel="1" x14ac:dyDescent="0.2">
      <c r="A23" s="230"/>
      <c r="B23" s="290" t="s">
        <v>299</v>
      </c>
      <c r="C23" s="315"/>
      <c r="D23" s="315"/>
      <c r="E23" s="315"/>
      <c r="F23" s="315"/>
      <c r="G23" s="315"/>
      <c r="H23" s="115"/>
      <c r="I23" s="315">
        <f>IF(ISERROR(I22/C22-1),"NM",I22/C22-1)</f>
        <v>0.15044444444444438</v>
      </c>
      <c r="J23" s="315">
        <f>IF(ISERROR(J22/D22-1),"NM",J22/D22-1)</f>
        <v>-2.3636363636364566E-3</v>
      </c>
      <c r="K23" s="315">
        <f>IF(ISERROR(K22/E22-1),"NM",K22/E22-1)</f>
        <v>1.4409221902017322E-2</v>
      </c>
      <c r="L23" s="315">
        <f>IF(ISERROR(L22/F22-1),"NM",L22/F22-1)</f>
        <v>3.5608892386385982E-2</v>
      </c>
      <c r="M23" s="315">
        <f>IF(ISERROR(M22/G22-1),"NM",M22/G22-1)</f>
        <v>4.5347003154574184E-2</v>
      </c>
      <c r="N23" s="115"/>
      <c r="O23" s="315">
        <f>IF(ISERROR(O22/I22-1),"NM",O22/I22-1)</f>
        <v>-3.3030712768012283E-2</v>
      </c>
      <c r="P23" s="315">
        <f>IF(ISERROR(P22/J22-1),"NM",P22/J22-1)</f>
        <v>-3.3989429560780104E-2</v>
      </c>
      <c r="Q23" s="315">
        <f>IF(ISERROR(Q22/K22-1),"NM",Q22/K22-1)</f>
        <v>7.0359848484848664E-2</v>
      </c>
      <c r="R23" s="315">
        <f>IF(ISERROR(R22/L22-1),"NM",R22/L22-1)</f>
        <v>0.15995440729483312</v>
      </c>
      <c r="S23" s="315">
        <f>IF(ISERROR(S22/M22-1),"NM",S22/M22-1)</f>
        <v>4.0362127499056877E-2</v>
      </c>
      <c r="T23" s="115"/>
      <c r="U23" s="315">
        <f>IF(ISERROR(U22/O22-1),"NM",U22/O22-1)</f>
        <v>0.27067518977227323</v>
      </c>
      <c r="V23" s="315">
        <f>IF(ISERROR(V22/P22-1),"NM",V22/P22-1)</f>
        <v>0.27318177530421672</v>
      </c>
      <c r="W23" s="315">
        <f>IF(ISERROR(W22/Q22-1),"NM",W22/Q22-1)</f>
        <v>0.17207820932495821</v>
      </c>
      <c r="X23" s="315">
        <f>IF(ISERROR(X22/R22-1),"NM",X22/R22-1)</f>
        <v>3.9796921061251211E-2</v>
      </c>
      <c r="Y23" s="315">
        <f>IF(ISERROR(Y22/S22-1),"NM",Y22/S22-1)</f>
        <v>0.18212926033357513</v>
      </c>
      <c r="Z23" s="115"/>
      <c r="AA23" s="315">
        <f>IF(ISERROR(AA22/U22-1),"NM",AA22/U22-1)</f>
        <v>0.12199339726458103</v>
      </c>
      <c r="AB23" s="315">
        <f>IF(ISERROR(AB22/V22-1),"NM",AB22/V22-1)</f>
        <v>0.1264725494554344</v>
      </c>
      <c r="AC23" s="315">
        <f>IF(ISERROR(AC22/W22-1),"NM",AC22/W22-1)</f>
        <v>0.19806763285024154</v>
      </c>
      <c r="AD23" s="315">
        <f>IF(ISERROR(AD22/X22-1),"NM",AD22/X22-1)</f>
        <v>0.30083477713025664</v>
      </c>
      <c r="AE23" s="315">
        <f>IF(ISERROR(AE22/Y22-1),"NM",AE22/Y22-1)</f>
        <v>0.18600594268187476</v>
      </c>
      <c r="AF23" s="115"/>
      <c r="AG23" s="315">
        <f>IF(ISERROR(AG22/AA22-1),"NM",AG22/AA22-1)</f>
        <v>0.19468964550931767</v>
      </c>
      <c r="AH23" s="315">
        <f>IF(ISERROR(AH22/AB22-1),"NM",AH22/AB22-1)</f>
        <v>0.25335438042620373</v>
      </c>
      <c r="AI23" s="315">
        <f>IF(ISERROR(AI22/AC22-1),"NM",AI22/AC22-1)</f>
        <v>0.16576360887096753</v>
      </c>
      <c r="AJ23" s="315">
        <f>IF(ISERROR(AJ22/AD22-1),"NM",AJ22/AD22-1)</f>
        <v>9.5532146749000901E-2</v>
      </c>
      <c r="AK23" s="315">
        <f>IF(ISERROR(AK22/AE22-1),"NM",AK22/AE22-1)</f>
        <v>0.17521174112626881</v>
      </c>
      <c r="AL23" s="115"/>
      <c r="AM23" s="315">
        <f>IF(ISERROR(AM22/AG22-1),"NM",AM22/AG22-1)</f>
        <v>0.15141030903653308</v>
      </c>
      <c r="AN23" s="315">
        <f>IF(ISERROR(AN22/AH22-1),"NM",AN22/AH22-1)</f>
        <v>0.11392737195633917</v>
      </c>
      <c r="AO23" s="315">
        <f>IF(ISERROR(AO22/AI22-1),"NM",AO22/AI22-1)</f>
        <v>0.15548829919472529</v>
      </c>
      <c r="AP23" s="315">
        <f>IF(ISERROR(AP22/AJ22-1),"NM",AP22/AJ22-1)</f>
        <v>0.22844827586206917</v>
      </c>
      <c r="AQ23" s="315">
        <f>IF(ISERROR(AQ22/AK22-1),"NM",AQ22/AK22-1)</f>
        <v>0.16179787643725607</v>
      </c>
      <c r="AR23" s="115"/>
      <c r="AS23" s="315">
        <f>IF(ISERROR(AS22/AM22-1),"NM",AS22/AM22-1)</f>
        <v>0.14283697478991608</v>
      </c>
      <c r="AT23" s="315">
        <f>IF(ISERROR(AT22/AN22-1),"NM",AT22/AN22-1)</f>
        <v>0.12604056154897059</v>
      </c>
      <c r="AU23" s="315">
        <f>IF(ISERROR(AU22/AO22-1),"NM",AU22/AO22-1)</f>
        <v>0.11894293732460226</v>
      </c>
      <c r="AV23" s="315">
        <f>IF(ISERROR(AV22/AP22-1),"NM",AV22/AP22-1)</f>
        <v>0.14010202429149787</v>
      </c>
      <c r="AW23" s="315">
        <f>IF(ISERROR(AW22/AQ22-1),"NM",AW22/AQ22-1)</f>
        <v>0.13184883748461029</v>
      </c>
      <c r="AX23" s="115"/>
      <c r="AY23" s="315">
        <f>IF(ISERROR(AY22/AS22-1),"NM",AY22/AS22-1)</f>
        <v>0.16561771767451838</v>
      </c>
      <c r="AZ23" s="315">
        <f>IF(ISERROR(AZ22/AT22-1),"NM",AZ22/AT22-1)</f>
        <v>0.20908041987137471</v>
      </c>
      <c r="BA23" s="315">
        <f>IF(ISERROR(BA22/AU22-1),"NM",BA22/AU22-1)</f>
        <v>0.23312293608661117</v>
      </c>
      <c r="BB23" s="315">
        <f>IF(ISERROR(BB22/AV22-1),"NM",BB22/AV22-1)</f>
        <v>0.26576617357655841</v>
      </c>
      <c r="BC23" s="315">
        <f>IF(ISERROR(BC22/AW22-1),"NM",BC22/AW22-1)</f>
        <v>0.21992194901579154</v>
      </c>
      <c r="BD23" s="115"/>
      <c r="BE23" s="315">
        <f>IF(ISERROR(BE22/AY22-1),"NM",BE22/AY22-1)</f>
        <v>0.251289550182904</v>
      </c>
      <c r="BF23" s="315">
        <f>IF(ISERROR(BF22/AZ22-1),"NM",BF22/AZ22-1)</f>
        <v>0.22487889273356454</v>
      </c>
      <c r="BG23" s="315">
        <f>IF(ISERROR(BG22/BA22-1),"NM",BG22/BA22-1)</f>
        <v>0.20542372881355919</v>
      </c>
      <c r="BH23" s="315">
        <f>IF(ISERROR(BH22/BB22-1),"NM",BH22/BB22-1)</f>
        <v>0.18484408487352444</v>
      </c>
      <c r="BI23" s="315">
        <f>IF(ISERROR(BI22/BC22-1),"NM",BI22/BC22-1)</f>
        <v>0.21486953088705807</v>
      </c>
      <c r="BJ23" s="115"/>
      <c r="BK23" s="315">
        <f>IF(ISERROR(BK22/BE22-1),"NM",BK22/BE22-1)</f>
        <v>0.27120730526093184</v>
      </c>
      <c r="BL23" s="315">
        <f>IF(ISERROR(BL22/BF22-1),"NM",BL22/BF22-1)</f>
        <v>0.31015000423740724</v>
      </c>
      <c r="BM23" s="315">
        <f>IF(ISERROR(BM22/BG22-1),"NM",BM22/BG22-1)</f>
        <v>0.32769966254218241</v>
      </c>
      <c r="BN23" s="315">
        <f>IF(ISERROR(BN22/BH22-1),"NM",BN22/BH22-1)</f>
        <v>0.34191002367797951</v>
      </c>
      <c r="BO23" s="315">
        <f>IF(ISERROR(BO22/BI22-1),"NM",BO22/BI22-1)</f>
        <v>0.31407892483837263</v>
      </c>
      <c r="BP23" s="115"/>
      <c r="BQ23" s="315">
        <f>IF(ISERROR(BQ22/BK22-1),"NM",BQ22/BK22-1)</f>
        <v>0.30866482393943029</v>
      </c>
      <c r="BR23" s="315">
        <f>IF(ISERROR(BR22/BL22-1),"NM",BR22/BL22-1)</f>
        <v>0.29845142093233856</v>
      </c>
      <c r="BS23" s="315">
        <f>IF(ISERROR(BS22/BM22-1),"NM",BS22/BM22-1)</f>
        <v>0.30584754199055353</v>
      </c>
      <c r="BT23" s="315">
        <f>IF(ISERROR(BT22/BN22-1),"NM",BT22/BN22-1)</f>
        <v>0.30011497431851186</v>
      </c>
      <c r="BU23" s="315">
        <f>IF(ISERROR(BU22/BO22-1),"NM",BU22/BO22-1)</f>
        <v>0.30306454484962608</v>
      </c>
      <c r="BV23" s="115"/>
      <c r="BW23" s="315">
        <f>IF(ISERROR(BW22/BQ22-1),"NM",BW22/BQ22-1)</f>
        <v>0.25599941227248491</v>
      </c>
      <c r="BX23" s="315">
        <f>IF(ISERROR(BX22/BR22-1),"NM",BX22/BR22-1)</f>
        <v>0.28881045002306549</v>
      </c>
      <c r="BY23" s="315">
        <f>IF(ISERROR(BY22/BS22-1),"NM",BY22/BS22-1)</f>
        <v>0.27498330818721195</v>
      </c>
      <c r="BZ23" s="315">
        <f>IF(ISERROR(BZ22/BT22-1),"NM",BZ22/BT22-1)</f>
        <v>0.29854512009814371</v>
      </c>
      <c r="CA23" s="315">
        <f>IF(ISERROR(CA22/BU22-1),"NM",CA22/BU22-1)</f>
        <v>0.28059473499742427</v>
      </c>
      <c r="CB23" s="115"/>
      <c r="CC23" s="315">
        <f>IF(ISERROR(CC22/BW22-1),"NM",CC22/BW22-1)</f>
        <v>0.21747153632208049</v>
      </c>
      <c r="CD23" s="315">
        <f>IF(ISERROR(CD22/BX22-1),"NM",CD22/BX22-1)</f>
        <v>0.19906175909938439</v>
      </c>
      <c r="CE23" s="315">
        <f>IF(ISERROR(CE22/BY22-1),"NM",CE22/BY22-1)</f>
        <v>0.19819621391102826</v>
      </c>
      <c r="CF23" s="315">
        <f>IF(ISERROR(CF22/BZ22-1),"NM",CF22/BZ22-1)</f>
        <v>0.19496559655571</v>
      </c>
      <c r="CG23" s="315">
        <f>IF(ISERROR(CG22/CA22-1),"NM",CG22/CA22-1)</f>
        <v>0.20175939880751836</v>
      </c>
      <c r="CH23" s="42"/>
    </row>
    <row r="24" spans="1:89" ht="12.75" customHeight="1" outlineLevel="1" x14ac:dyDescent="0.2">
      <c r="A24" s="230"/>
      <c r="B24" s="290" t="s">
        <v>71</v>
      </c>
      <c r="C24" s="315"/>
      <c r="D24" s="315"/>
      <c r="E24" s="315"/>
      <c r="F24" s="315"/>
      <c r="G24" s="315"/>
      <c r="H24" s="115"/>
      <c r="I24" s="315">
        <f>+I23+C23</f>
        <v>0.15044444444444438</v>
      </c>
      <c r="J24" s="315">
        <f>+J23+D23</f>
        <v>-2.3636363636364566E-3</v>
      </c>
      <c r="K24" s="315">
        <f>+K23+E23</f>
        <v>1.4409221902017322E-2</v>
      </c>
      <c r="L24" s="315">
        <f>+L23+F23</f>
        <v>3.5608892386385982E-2</v>
      </c>
      <c r="M24" s="315">
        <f>+M23+G23</f>
        <v>4.5347003154574184E-2</v>
      </c>
      <c r="N24" s="115"/>
      <c r="O24" s="315">
        <f>+O23+I23</f>
        <v>0.1174137316764321</v>
      </c>
      <c r="P24" s="315">
        <f>+P23+J23</f>
        <v>-3.6353065924416561E-2</v>
      </c>
      <c r="Q24" s="315">
        <f>+Q23+K23</f>
        <v>8.4769070386865986E-2</v>
      </c>
      <c r="R24" s="315">
        <f>+R23+L23</f>
        <v>0.1955632996812191</v>
      </c>
      <c r="S24" s="315">
        <f>+S23+M23</f>
        <v>8.570913065363106E-2</v>
      </c>
      <c r="T24" s="115"/>
      <c r="U24" s="315">
        <f>+U23+O23</f>
        <v>0.23764447700426095</v>
      </c>
      <c r="V24" s="315">
        <f>+V23+P23</f>
        <v>0.23919234574343662</v>
      </c>
      <c r="W24" s="315">
        <f>+W23+Q23</f>
        <v>0.24243805780980687</v>
      </c>
      <c r="X24" s="315">
        <f>+X23+R23</f>
        <v>0.19975132835608433</v>
      </c>
      <c r="Y24" s="315">
        <f>+Y23+S23</f>
        <v>0.222491387832632</v>
      </c>
      <c r="Z24" s="115"/>
      <c r="AA24" s="315">
        <f>+AA23+U23</f>
        <v>0.39266858703685426</v>
      </c>
      <c r="AB24" s="315">
        <f>+AB23+V23</f>
        <v>0.39965432475965113</v>
      </c>
      <c r="AC24" s="315">
        <f>+AC23+W23</f>
        <v>0.37014584217519975</v>
      </c>
      <c r="AD24" s="315">
        <f>+AD23+X23</f>
        <v>0.34063169819150785</v>
      </c>
      <c r="AE24" s="315">
        <f>+AE23+Y23</f>
        <v>0.36813520301544989</v>
      </c>
      <c r="AF24" s="115"/>
      <c r="AG24" s="315">
        <f>+AG23+AA23</f>
        <v>0.31668304277389869</v>
      </c>
      <c r="AH24" s="315">
        <f>+AH23+AB23</f>
        <v>0.37982692988163813</v>
      </c>
      <c r="AI24" s="315">
        <f>+AI23+AC23</f>
        <v>0.36383124172120906</v>
      </c>
      <c r="AJ24" s="315">
        <f>+AJ23+AD23</f>
        <v>0.39636692387925754</v>
      </c>
      <c r="AK24" s="315">
        <f>+AK23+AE23</f>
        <v>0.36121768380814356</v>
      </c>
      <c r="AL24" s="115"/>
      <c r="AM24" s="315">
        <f>+AM23+AG23</f>
        <v>0.34609995454585074</v>
      </c>
      <c r="AN24" s="315">
        <f>+AN23+AH23</f>
        <v>0.3672817523825429</v>
      </c>
      <c r="AO24" s="315">
        <f>+AO23+AI23</f>
        <v>0.32125190806569281</v>
      </c>
      <c r="AP24" s="315">
        <f>+AP23+AJ23</f>
        <v>0.32398042261107007</v>
      </c>
      <c r="AQ24" s="315">
        <f>+AQ23+AK23</f>
        <v>0.33700961756352488</v>
      </c>
      <c r="AR24" s="115"/>
      <c r="AS24" s="315">
        <f>+AS23+AM23</f>
        <v>0.29424728382644916</v>
      </c>
      <c r="AT24" s="315">
        <f>+AT23+AN23</f>
        <v>0.23996793350530976</v>
      </c>
      <c r="AU24" s="315">
        <f>+AU23+AO23</f>
        <v>0.27443123651932755</v>
      </c>
      <c r="AV24" s="315">
        <f>+AV23+AP23</f>
        <v>0.36855030015356705</v>
      </c>
      <c r="AW24" s="315">
        <f>+AW23+AQ23</f>
        <v>0.29364671392186636</v>
      </c>
      <c r="AX24" s="115"/>
      <c r="AY24" s="315">
        <f>+AY23+AS23</f>
        <v>0.30845469246443447</v>
      </c>
      <c r="AZ24" s="315">
        <f>+AZ23+AT23</f>
        <v>0.3351209814203453</v>
      </c>
      <c r="BA24" s="315">
        <f>+BA23+AU23</f>
        <v>0.35206587341121343</v>
      </c>
      <c r="BB24" s="315">
        <f>+BB23+AV23</f>
        <v>0.40586819786805628</v>
      </c>
      <c r="BC24" s="315">
        <f>+BC23+AW23</f>
        <v>0.35177078650040183</v>
      </c>
      <c r="BD24" s="115"/>
      <c r="BE24" s="315">
        <f>+BE23+AY23</f>
        <v>0.41690726785742238</v>
      </c>
      <c r="BF24" s="315">
        <f>+BF23+AZ23</f>
        <v>0.43395931260493925</v>
      </c>
      <c r="BG24" s="315">
        <f>+BG23+BA23</f>
        <v>0.43854666490017036</v>
      </c>
      <c r="BH24" s="315">
        <f>+BH23+BB23</f>
        <v>0.45061025845008285</v>
      </c>
      <c r="BI24" s="315">
        <f>+BI23+BC23</f>
        <v>0.43479147990284961</v>
      </c>
      <c r="BJ24" s="115"/>
      <c r="BK24" s="315">
        <f>+BK23+BE23</f>
        <v>0.52249685544383584</v>
      </c>
      <c r="BL24" s="315">
        <f>+BL23+BF23</f>
        <v>0.53502889697097178</v>
      </c>
      <c r="BM24" s="315">
        <f>+BM23+BG23</f>
        <v>0.5331233913557416</v>
      </c>
      <c r="BN24" s="315">
        <f>+BN23+BH23</f>
        <v>0.52675410855150395</v>
      </c>
      <c r="BO24" s="315">
        <f>+BO23+BI23</f>
        <v>0.5289484557254307</v>
      </c>
      <c r="BP24" s="115"/>
      <c r="BQ24" s="315">
        <f>+BQ23+BK23</f>
        <v>0.57987212920036213</v>
      </c>
      <c r="BR24" s="315">
        <f>+BR23+BL23</f>
        <v>0.6086014251697458</v>
      </c>
      <c r="BS24" s="315">
        <f>+BS23+BM23</f>
        <v>0.63354720453273594</v>
      </c>
      <c r="BT24" s="315">
        <f>+BT23+BN23</f>
        <v>0.64202499799649138</v>
      </c>
      <c r="BU24" s="315">
        <f>+BU23+BO23</f>
        <v>0.61714346968799871</v>
      </c>
      <c r="BV24" s="115"/>
      <c r="BW24" s="315">
        <f>+BW23+BQ23</f>
        <v>0.56466423621191519</v>
      </c>
      <c r="BX24" s="315">
        <f>+BX23+BR23</f>
        <v>0.58726187095540405</v>
      </c>
      <c r="BY24" s="315">
        <f>+BY23+BS23</f>
        <v>0.58083085017776548</v>
      </c>
      <c r="BZ24" s="315">
        <f>+BZ23+BT23</f>
        <v>0.59866009441665557</v>
      </c>
      <c r="CA24" s="315">
        <f>+CA23+BU23</f>
        <v>0.58365927984705035</v>
      </c>
      <c r="CB24" s="115"/>
      <c r="CC24" s="315">
        <f>+CC23+BW23</f>
        <v>0.4734709485945654</v>
      </c>
      <c r="CD24" s="315">
        <f>+CD23+BX23</f>
        <v>0.48787220912244988</v>
      </c>
      <c r="CE24" s="315">
        <f>+CE23+BY23</f>
        <v>0.47317952209824021</v>
      </c>
      <c r="CF24" s="315">
        <f>+CF23+BZ23</f>
        <v>0.49351071665385371</v>
      </c>
      <c r="CG24" s="315">
        <f>+CG23+CA23</f>
        <v>0.48235413380494263</v>
      </c>
      <c r="CH24" s="42"/>
    </row>
    <row r="25" spans="1:89" ht="12.75" customHeight="1" outlineLevel="1" x14ac:dyDescent="0.2">
      <c r="A25" s="230"/>
      <c r="B25" s="290" t="s">
        <v>371</v>
      </c>
      <c r="C25" s="315"/>
      <c r="D25" s="315"/>
      <c r="E25" s="315"/>
      <c r="F25" s="315"/>
      <c r="G25" s="315"/>
      <c r="H25" s="115"/>
      <c r="I25" s="315"/>
      <c r="J25" s="315"/>
      <c r="K25" s="315"/>
      <c r="L25" s="315"/>
      <c r="M25" s="315"/>
      <c r="N25" s="115"/>
      <c r="O25" s="49">
        <f>+O22-L22</f>
        <v>-2.5799999999999912</v>
      </c>
      <c r="P25" s="49">
        <f>+P22-M22</f>
        <v>-159.07500000000002</v>
      </c>
      <c r="Q25" s="49">
        <f>+Q22-N22</f>
        <v>56.515000000000001</v>
      </c>
      <c r="R25" s="49">
        <f>+R22-O22</f>
        <v>11</v>
      </c>
      <c r="S25" s="315"/>
      <c r="T25" s="115"/>
      <c r="U25" s="49">
        <f>+U22-R22</f>
        <v>2.5499999999999972</v>
      </c>
      <c r="V25" s="49">
        <f>+V22-U22</f>
        <v>3.875</v>
      </c>
      <c r="W25" s="49">
        <f>+W22-V22</f>
        <v>-1.2449999999999903</v>
      </c>
      <c r="X25" s="49">
        <f>+X22-W22</f>
        <v>-2.7500000000000071</v>
      </c>
      <c r="Y25" s="315"/>
      <c r="Z25" s="115"/>
      <c r="AA25" s="49">
        <f>+AA22-X22</f>
        <v>7.8800000000000026</v>
      </c>
      <c r="AB25" s="49">
        <f>+AB22-AA22</f>
        <v>4.6499999999999915</v>
      </c>
      <c r="AC25" s="49">
        <f>+AC22-AB22</f>
        <v>3.3400000000000176</v>
      </c>
      <c r="AD25" s="49">
        <f>+AD22-AC22</f>
        <v>3.2299999999999898</v>
      </c>
      <c r="AE25" s="315"/>
      <c r="AF25" s="115"/>
      <c r="AG25" s="49">
        <f>+AG22-AD22</f>
        <v>2.6749999999999972</v>
      </c>
      <c r="AH25" s="49">
        <f>+AH22-AG22</f>
        <v>10.015000000000001</v>
      </c>
      <c r="AI25" s="49">
        <f>+AI22-AH22</f>
        <v>-2.7650000000000006</v>
      </c>
      <c r="AJ25" s="49">
        <f>+AJ22-AI22</f>
        <v>-2.0350000000000108</v>
      </c>
      <c r="AK25" s="315"/>
      <c r="AL25" s="115"/>
      <c r="AM25" s="49">
        <f>+AM22-AJ22</f>
        <v>7.6950000000000074</v>
      </c>
      <c r="AN25" s="49">
        <f>+AN22-AM22</f>
        <v>7.960000000000008</v>
      </c>
      <c r="AO25" s="49">
        <f>+AO22-AN22</f>
        <v>0.76500000000000057</v>
      </c>
      <c r="AP25" s="49">
        <f>+AP22-AO22</f>
        <v>4.25</v>
      </c>
      <c r="AQ25" s="315"/>
      <c r="AR25" s="115"/>
      <c r="AS25" s="49">
        <f>+AS22-AP22</f>
        <v>1.0480200000000082</v>
      </c>
      <c r="AT25" s="49">
        <f>+AT22-AS22</f>
        <v>7.3142949999999871</v>
      </c>
      <c r="AU25" s="49">
        <f>+AU22-AT22</f>
        <v>0.10268499999999392</v>
      </c>
      <c r="AV25" s="49">
        <f>+AV22-AU22</f>
        <v>7.1073400000000078</v>
      </c>
      <c r="AW25" s="315"/>
      <c r="AX25" s="115"/>
      <c r="AY25" s="49">
        <f>+AY22-AV22</f>
        <v>4.0576599999999701</v>
      </c>
      <c r="AZ25" s="49">
        <f>+AZ22-AY22</f>
        <v>13.720000000000027</v>
      </c>
      <c r="BA25" s="49">
        <f>+BA22-AZ22</f>
        <v>3</v>
      </c>
      <c r="BB25" s="49">
        <f>+BB22-BA22</f>
        <v>12.900851408467645</v>
      </c>
      <c r="BC25" s="315"/>
      <c r="BD25" s="115"/>
      <c r="BE25" s="49">
        <f>+BE22-BB22</f>
        <v>3.2427959644525117</v>
      </c>
      <c r="BF25" s="49">
        <f>+BF22-BE22</f>
        <v>13.351352627079905</v>
      </c>
      <c r="BG25" s="49">
        <f>+BG22-BF22</f>
        <v>0.80499999999992156</v>
      </c>
      <c r="BH25" s="49">
        <f>+BH22-BG22</f>
        <v>12.250000000000028</v>
      </c>
      <c r="BI25" s="724"/>
      <c r="BJ25" s="115"/>
      <c r="BK25" s="49">
        <f>+BK22-BH22</f>
        <v>17.974999999999994</v>
      </c>
      <c r="BL25" s="49">
        <f>+BL22-BK22</f>
        <v>23.864999999999981</v>
      </c>
      <c r="BM25" s="49">
        <f>+BM22-BL22</f>
        <v>4.1750000000000114</v>
      </c>
      <c r="BN25" s="49">
        <f>+BN22-BM22</f>
        <v>18.965000000000003</v>
      </c>
      <c r="BO25" s="49"/>
      <c r="BP25" s="115"/>
      <c r="BQ25" s="49">
        <f>+BQ22-BN22</f>
        <v>17.205000000000013</v>
      </c>
      <c r="BR25" s="49">
        <f>+BR22-BQ22</f>
        <v>28.862899999999968</v>
      </c>
      <c r="BS25" s="49">
        <f>+BS22-BR22</f>
        <v>7.16700000000003</v>
      </c>
      <c r="BT25" s="49">
        <f>+BT22-BS22</f>
        <v>23.303421900450076</v>
      </c>
      <c r="BU25" s="315"/>
      <c r="BV25" s="115"/>
      <c r="BW25" s="49">
        <f t="shared" ref="BW25" si="2">+BW22-BT22</f>
        <v>10.358678099549877</v>
      </c>
      <c r="BX25" s="49">
        <f t="shared" ref="BX25:BZ25" si="3">+BX22-BW22</f>
        <v>46.13112000000001</v>
      </c>
      <c r="BY25" s="49">
        <f t="shared" si="3"/>
        <v>4.97448200000008</v>
      </c>
      <c r="BZ25" s="49">
        <f t="shared" si="3"/>
        <v>37.523824382959901</v>
      </c>
      <c r="CA25" s="315"/>
      <c r="CB25" s="115"/>
      <c r="CC25" s="49">
        <f t="shared" ref="CC25" si="4">+CC22-BZ22</f>
        <v>-14.270036382959972</v>
      </c>
      <c r="CD25" s="49">
        <f t="shared" ref="CD25:CF25" si="5">+CD22-CC22</f>
        <v>49.019262000000026</v>
      </c>
      <c r="CE25" s="49">
        <f t="shared" si="5"/>
        <v>5.6245236600000794</v>
      </c>
      <c r="CF25" s="49">
        <f t="shared" si="5"/>
        <v>43.569941243608298</v>
      </c>
      <c r="CG25" s="315"/>
      <c r="CH25" s="42"/>
    </row>
    <row r="26" spans="1:89" ht="12.75" customHeight="1" outlineLevel="1" x14ac:dyDescent="0.2">
      <c r="A26" s="230"/>
      <c r="B26" s="290" t="s">
        <v>372</v>
      </c>
      <c r="C26" s="315"/>
      <c r="D26" s="315"/>
      <c r="E26" s="315"/>
      <c r="F26" s="315"/>
      <c r="G26" s="315"/>
      <c r="H26" s="115"/>
      <c r="I26" s="367"/>
      <c r="J26" s="315"/>
      <c r="K26" s="315"/>
      <c r="L26" s="315"/>
      <c r="M26" s="315"/>
      <c r="N26" s="115"/>
      <c r="O26" s="315"/>
      <c r="P26" s="315"/>
      <c r="Q26" s="315"/>
      <c r="R26" s="315"/>
      <c r="S26" s="315"/>
      <c r="T26" s="115"/>
      <c r="U26" s="49">
        <f>AVERAGE(U25,O25,I25,C25)</f>
        <v>-1.4999999999997016E-2</v>
      </c>
      <c r="V26" s="49">
        <f>AVERAGE(V25,P25,J25,D25)</f>
        <v>-77.600000000000009</v>
      </c>
      <c r="W26" s="49">
        <f>AVERAGE(W25,Q25,K25,E25)</f>
        <v>27.635000000000005</v>
      </c>
      <c r="X26" s="49">
        <f>AVERAGE(X25,R25,L25,F25)</f>
        <v>4.1249999999999964</v>
      </c>
      <c r="Y26" s="315"/>
      <c r="Z26" s="115"/>
      <c r="AA26" s="49">
        <f>AVERAGE(U25,O25,I25)</f>
        <v>-1.4999999999997016E-2</v>
      </c>
      <c r="AB26" s="49">
        <f>AVERAGE(V25,P25,J25)</f>
        <v>-77.600000000000009</v>
      </c>
      <c r="AC26" s="49">
        <f>AVERAGE(W25,Q25,K25)</f>
        <v>27.635000000000005</v>
      </c>
      <c r="AD26" s="49">
        <f>AVERAGE(X25,R25,L25)</f>
        <v>4.1249999999999964</v>
      </c>
      <c r="AE26" s="315"/>
      <c r="AF26" s="115"/>
      <c r="AG26" s="49">
        <f>AVERAGE(AA25,U25,O25)</f>
        <v>2.6166666666666694</v>
      </c>
      <c r="AH26" s="49">
        <f>AVERAGE(AB25,V25,P25)</f>
        <v>-50.183333333333337</v>
      </c>
      <c r="AI26" s="49">
        <f>AVERAGE(AC25,W25,Q25)</f>
        <v>19.536666666666676</v>
      </c>
      <c r="AJ26" s="49">
        <f>AVERAGE(AD25,X25,R25)</f>
        <v>3.8266666666666609</v>
      </c>
      <c r="AK26" s="315"/>
      <c r="AL26" s="115"/>
      <c r="AM26" s="49">
        <f>AVERAGE(AG25,AA25,U25)</f>
        <v>4.3683333333333323</v>
      </c>
      <c r="AN26" s="49">
        <f>AVERAGE(AH25,AB25,V25)</f>
        <v>6.1799999999999971</v>
      </c>
      <c r="AO26" s="49">
        <f>AVERAGE(AI25,AC25,W25)</f>
        <v>-0.22333333333332442</v>
      </c>
      <c r="AP26" s="49">
        <f>AVERAGE(AJ25,AD25,X25)</f>
        <v>-0.51833333333334275</v>
      </c>
      <c r="AQ26" s="315"/>
      <c r="AR26" s="115"/>
      <c r="AS26" s="49">
        <f>AVERAGE(AM25,AG25,AA25)</f>
        <v>6.0833333333333357</v>
      </c>
      <c r="AT26" s="49">
        <f>AVERAGE(AN25,AH25,AB25)</f>
        <v>7.541666666666667</v>
      </c>
      <c r="AU26" s="49">
        <f>AVERAGE(AO25,AI25,AC25)</f>
        <v>0.44666666666667254</v>
      </c>
      <c r="AV26" s="49">
        <f>AVERAGE(AP25,AJ25,AD25)</f>
        <v>1.8149999999999931</v>
      </c>
      <c r="AW26" s="315"/>
      <c r="AX26" s="115"/>
      <c r="AY26" s="49">
        <f>AVERAGE(AS25,AM25,AG25)</f>
        <v>3.8060066666666708</v>
      </c>
      <c r="AZ26" s="49">
        <f>AVERAGE(AT25,AN25,AH25)</f>
        <v>8.429764999999998</v>
      </c>
      <c r="BA26" s="49">
        <f>AVERAGE(AU25,AO25,AI25)</f>
        <v>-0.63243833333333532</v>
      </c>
      <c r="BB26" s="49">
        <f>AVERAGE(AV25,AP25,AJ25)</f>
        <v>3.1074466666666658</v>
      </c>
      <c r="BC26" s="315"/>
      <c r="BD26" s="115"/>
      <c r="BE26" s="49">
        <f>AVERAGE(AY25,AS25,AM25)</f>
        <v>4.2668933333333285</v>
      </c>
      <c r="BF26" s="49">
        <f>AVERAGE(AZ25,AT25,AN25)</f>
        <v>9.664765000000008</v>
      </c>
      <c r="BG26" s="49">
        <f>AVERAGE(BA25,AU25,AO25)</f>
        <v>1.2892283333333314</v>
      </c>
      <c r="BH26" s="49">
        <f>AVERAGE(BB25,AV25,AP25)</f>
        <v>8.0860638028225509</v>
      </c>
      <c r="BI26" s="315"/>
      <c r="BJ26" s="115"/>
      <c r="BK26" s="49">
        <f>AVERAGE(BE25,AY25,AS25)</f>
        <v>2.7828253214841632</v>
      </c>
      <c r="BL26" s="49">
        <f>AVERAGE(BF25,AZ25,AT25)</f>
        <v>11.461882542359973</v>
      </c>
      <c r="BM26" s="49">
        <f>AVERAGE(BG25,BA25,AU25)</f>
        <v>1.3025616666666384</v>
      </c>
      <c r="BN26" s="49">
        <f>AVERAGE(BH25,BB25,AV25)</f>
        <v>10.752730469489228</v>
      </c>
      <c r="BO26" s="315"/>
      <c r="BP26" s="115"/>
      <c r="BQ26" s="49">
        <f>AVERAGE(BK25,BE25,AY25)</f>
        <v>8.4251519881508248</v>
      </c>
      <c r="BR26" s="49">
        <f>AVERAGE(BL25,BF25,AZ25)</f>
        <v>16.978784209026639</v>
      </c>
      <c r="BS26" s="49">
        <f>AVERAGE(BM25,BG25,BA25)</f>
        <v>2.6599999999999775</v>
      </c>
      <c r="BT26" s="49">
        <f>AVERAGE(BN25,BH25,BB25)</f>
        <v>14.705283802822558</v>
      </c>
      <c r="BU26" s="315"/>
      <c r="BV26" s="115"/>
      <c r="BW26" s="49">
        <f t="shared" ref="BW26:BZ26" si="6">AVERAGE(BQ25,BK25,BE25)</f>
        <v>12.807598654817506</v>
      </c>
      <c r="BX26" s="49">
        <f t="shared" si="6"/>
        <v>22.026417542359951</v>
      </c>
      <c r="BY26" s="49">
        <f t="shared" si="6"/>
        <v>4.0489999999999879</v>
      </c>
      <c r="BZ26" s="49">
        <f t="shared" si="6"/>
        <v>18.172807300150037</v>
      </c>
      <c r="CA26" s="315"/>
      <c r="CB26" s="115"/>
      <c r="CC26" s="49">
        <f t="shared" ref="CC26:CF26" si="7">AVERAGE(BW25,BQ25,BK25)</f>
        <v>15.179559366516628</v>
      </c>
      <c r="CD26" s="49">
        <f t="shared" si="7"/>
        <v>32.953006666666653</v>
      </c>
      <c r="CE26" s="49">
        <f t="shared" si="7"/>
        <v>5.4388273333333741</v>
      </c>
      <c r="CF26" s="49">
        <f t="shared" si="7"/>
        <v>26.597415427803327</v>
      </c>
      <c r="CG26" s="315"/>
      <c r="CH26" s="42"/>
    </row>
    <row r="27" spans="1:89" outlineLevel="1" x14ac:dyDescent="0.2">
      <c r="A27" s="230"/>
      <c r="B27" s="290" t="s">
        <v>540</v>
      </c>
      <c r="C27" s="311"/>
      <c r="D27" s="311"/>
      <c r="E27" s="311"/>
      <c r="F27" s="311"/>
      <c r="G27" s="311"/>
      <c r="H27" s="31"/>
      <c r="I27" s="311"/>
      <c r="J27" s="311"/>
      <c r="K27" s="311"/>
      <c r="L27" s="311"/>
      <c r="M27" s="311"/>
      <c r="N27" s="31"/>
      <c r="O27" s="311"/>
      <c r="P27" s="311"/>
      <c r="Q27" s="311"/>
      <c r="R27" s="311"/>
      <c r="S27" s="311"/>
      <c r="T27" s="31"/>
      <c r="U27" s="311"/>
      <c r="V27" s="311"/>
      <c r="W27" s="311"/>
      <c r="X27" s="311"/>
      <c r="Y27" s="311"/>
      <c r="Z27" s="31"/>
      <c r="AA27" s="42"/>
      <c r="AB27" s="42"/>
      <c r="AC27" s="42"/>
      <c r="AD27" s="42"/>
      <c r="AE27" s="42"/>
      <c r="AF27" s="31"/>
      <c r="AG27" s="42"/>
      <c r="AH27" s="42"/>
      <c r="AI27" s="42"/>
      <c r="AJ27" s="42"/>
      <c r="AK27" s="42"/>
      <c r="AL27" s="42"/>
      <c r="AM27" s="42"/>
      <c r="AN27" s="42"/>
      <c r="AO27" s="42"/>
      <c r="AP27" s="42"/>
      <c r="AQ27" s="42"/>
      <c r="AR27" s="31"/>
      <c r="AS27" s="42"/>
      <c r="AT27" s="42"/>
      <c r="AU27" s="42"/>
      <c r="AV27" s="42"/>
      <c r="AW27" s="42"/>
      <c r="AX27" s="31"/>
      <c r="AY27" s="369">
        <f>+AY25-AY26</f>
        <v>0.25165333333329931</v>
      </c>
      <c r="AZ27" s="369">
        <f>+AZ25-AZ26</f>
        <v>5.2902350000000293</v>
      </c>
      <c r="BA27" s="369">
        <f>+BA25-BA26</f>
        <v>3.6324383333333352</v>
      </c>
      <c r="BB27" s="369">
        <f>+BB25-BB26</f>
        <v>9.7934047418009786</v>
      </c>
      <c r="BC27" s="771">
        <f>SUM(AY27:BB27)</f>
        <v>18.967731408467642</v>
      </c>
      <c r="BD27" s="31"/>
      <c r="BE27" s="369">
        <f>+BE25-BE26</f>
        <v>-1.0240973688808168</v>
      </c>
      <c r="BF27" s="369">
        <f>+BF25-BF26</f>
        <v>3.6865876270798967</v>
      </c>
      <c r="BG27" s="369">
        <f>+BG25-BG26</f>
        <v>-0.48422833333340987</v>
      </c>
      <c r="BH27" s="369">
        <f>+BH25-BH26</f>
        <v>4.1639361971774775</v>
      </c>
      <c r="BI27" s="771">
        <f>SUM(BE27:BH27)</f>
        <v>6.3421981220431478</v>
      </c>
      <c r="BJ27" s="31"/>
      <c r="BK27" s="369">
        <f>+BK25-BK26</f>
        <v>15.192174678515832</v>
      </c>
      <c r="BL27" s="369">
        <f>+BL25-BL26</f>
        <v>12.403117457640008</v>
      </c>
      <c r="BM27" s="369">
        <f>+BM25-BM26</f>
        <v>2.8724383333333732</v>
      </c>
      <c r="BN27" s="369">
        <f>+BN25-BN26</f>
        <v>8.2122695305107758</v>
      </c>
      <c r="BO27" s="771">
        <f>SUM(BK27:BN27)</f>
        <v>38.679999999999993</v>
      </c>
      <c r="BP27" s="31"/>
      <c r="BQ27" s="369">
        <f>+BQ25-BQ26</f>
        <v>8.7798480118491877</v>
      </c>
      <c r="BR27" s="369">
        <f>+BR25-BR26</f>
        <v>11.884115790973329</v>
      </c>
      <c r="BS27" s="369">
        <f>+BS25-BS26</f>
        <v>4.507000000000053</v>
      </c>
      <c r="BT27" s="369">
        <f>+BT25-BT26</f>
        <v>8.5981380976275172</v>
      </c>
      <c r="BU27" s="771">
        <f>SUM(BQ27:BT27)</f>
        <v>33.769101900450089</v>
      </c>
      <c r="BV27" s="31"/>
      <c r="BW27" s="369">
        <f t="shared" ref="BW27:BZ27" si="8">+BW25-BW26</f>
        <v>-2.4489205552676285</v>
      </c>
      <c r="BX27" s="369">
        <f t="shared" si="8"/>
        <v>24.104702457640059</v>
      </c>
      <c r="BY27" s="369">
        <f t="shared" si="8"/>
        <v>0.92548200000009206</v>
      </c>
      <c r="BZ27" s="369">
        <f t="shared" si="8"/>
        <v>19.351017082809864</v>
      </c>
      <c r="CA27" s="771">
        <f t="shared" ref="CA27" si="9">SUM(BW27:BZ27)</f>
        <v>41.932280985182388</v>
      </c>
      <c r="CB27" s="31"/>
      <c r="CC27" s="369">
        <f t="shared" ref="CC27:CF27" si="10">+CC25-CC26</f>
        <v>-29.4495957494766</v>
      </c>
      <c r="CD27" s="369">
        <f t="shared" si="10"/>
        <v>16.066255333333373</v>
      </c>
      <c r="CE27" s="369">
        <f t="shared" si="10"/>
        <v>0.18569632666670532</v>
      </c>
      <c r="CF27" s="369">
        <f t="shared" si="10"/>
        <v>16.972525815804971</v>
      </c>
      <c r="CG27" s="771">
        <f t="shared" ref="CG27" si="11">SUM(CC27:CF27)</f>
        <v>3.7748817263284487</v>
      </c>
      <c r="CH27" s="42"/>
    </row>
    <row r="28" spans="1:89" outlineLevel="1" x14ac:dyDescent="0.2">
      <c r="A28" s="230"/>
      <c r="B28" s="290"/>
      <c r="C28" s="311"/>
      <c r="D28" s="311"/>
      <c r="E28" s="311"/>
      <c r="F28" s="311"/>
      <c r="G28" s="311"/>
      <c r="H28" s="31"/>
      <c r="I28" s="311"/>
      <c r="J28" s="311"/>
      <c r="K28" s="311"/>
      <c r="L28" s="311"/>
      <c r="M28" s="311"/>
      <c r="N28" s="31"/>
      <c r="O28" s="311"/>
      <c r="P28" s="311"/>
      <c r="Q28" s="311"/>
      <c r="R28" s="311"/>
      <c r="S28" s="311"/>
      <c r="T28" s="31"/>
      <c r="U28" s="311"/>
      <c r="V28" s="311"/>
      <c r="W28" s="311"/>
      <c r="X28" s="311"/>
      <c r="Y28" s="311"/>
      <c r="Z28" s="31"/>
      <c r="AA28" s="42"/>
      <c r="AB28" s="42"/>
      <c r="AC28" s="42"/>
      <c r="AD28" s="42"/>
      <c r="AE28" s="42"/>
      <c r="AF28" s="31"/>
      <c r="AG28" s="42"/>
      <c r="AH28" s="42"/>
      <c r="AI28" s="42"/>
      <c r="AJ28" s="42"/>
      <c r="AK28" s="42"/>
      <c r="AL28" s="42"/>
      <c r="AM28" s="42"/>
      <c r="AN28" s="42"/>
      <c r="AO28" s="42"/>
      <c r="AP28" s="42"/>
      <c r="AQ28" s="42"/>
      <c r="AR28" s="31"/>
      <c r="AS28" s="42"/>
      <c r="AT28" s="42"/>
      <c r="AU28" s="42"/>
      <c r="AV28" s="42"/>
      <c r="AW28" s="42"/>
      <c r="AX28" s="31"/>
      <c r="AY28" s="369"/>
      <c r="AZ28" s="369"/>
      <c r="BA28" s="369"/>
      <c r="BB28" s="369"/>
      <c r="BC28" s="309"/>
      <c r="BD28" s="31"/>
      <c r="BE28" s="369"/>
      <c r="BF28" s="369"/>
      <c r="BG28" s="369"/>
      <c r="BH28" s="369"/>
      <c r="BI28" s="309"/>
      <c r="BJ28" s="31"/>
      <c r="BK28" s="369"/>
      <c r="BL28" s="369"/>
      <c r="BM28" s="369"/>
      <c r="BN28" s="369"/>
      <c r="BO28" s="219"/>
      <c r="BP28" s="31"/>
      <c r="BQ28" s="219"/>
      <c r="BR28" s="369"/>
      <c r="BS28" s="369"/>
      <c r="BT28" s="369"/>
      <c r="BU28" s="42"/>
      <c r="BV28" s="31"/>
      <c r="BW28" s="42"/>
      <c r="BX28" s="42"/>
      <c r="BY28" s="42"/>
      <c r="BZ28" s="42"/>
      <c r="CA28" s="42"/>
      <c r="CB28" s="31"/>
      <c r="CC28" s="42"/>
      <c r="CD28" s="42"/>
      <c r="CE28" s="42"/>
      <c r="CF28" s="42"/>
      <c r="CG28" s="42"/>
      <c r="CH28" s="42"/>
    </row>
    <row r="29" spans="1:89" ht="12.75" customHeight="1" outlineLevel="1" x14ac:dyDescent="0.2">
      <c r="A29" s="230"/>
      <c r="B29" s="40" t="s">
        <v>155</v>
      </c>
      <c r="C29" s="42"/>
      <c r="D29" s="42"/>
      <c r="E29" s="42"/>
      <c r="F29" s="42"/>
      <c r="G29" s="42"/>
      <c r="H29" s="31"/>
      <c r="I29" s="42"/>
      <c r="J29" s="42"/>
      <c r="K29" s="42"/>
      <c r="L29" s="42"/>
      <c r="M29" s="42"/>
      <c r="N29" s="42"/>
      <c r="O29" s="42"/>
      <c r="P29" s="42"/>
      <c r="Q29" s="42"/>
      <c r="R29" s="42"/>
      <c r="S29" s="42"/>
      <c r="T29" s="42"/>
      <c r="U29" s="42"/>
      <c r="V29" s="42"/>
      <c r="W29" s="42"/>
      <c r="X29" s="42"/>
      <c r="Y29" s="42"/>
      <c r="Z29" s="31"/>
      <c r="AA29" s="42"/>
      <c r="AB29" s="42"/>
      <c r="AC29" s="42"/>
      <c r="AD29" s="42"/>
      <c r="AE29" s="704"/>
      <c r="AF29" s="230"/>
      <c r="AG29" s="230"/>
      <c r="AH29" s="230"/>
      <c r="AI29" s="230"/>
      <c r="AJ29" s="230"/>
      <c r="AK29" s="704"/>
      <c r="AL29" s="704"/>
      <c r="AM29" s="166"/>
      <c r="AN29" s="42"/>
      <c r="AO29" s="42"/>
      <c r="AP29" s="369">
        <f>+AP30-AO30</f>
        <v>65</v>
      </c>
      <c r="AQ29" s="704"/>
      <c r="AR29" s="52"/>
      <c r="AS29" s="704"/>
      <c r="AT29" s="704"/>
      <c r="AU29" s="704"/>
      <c r="AV29" s="369">
        <f>+AV30-AU30</f>
        <v>-25</v>
      </c>
      <c r="AW29" s="42"/>
      <c r="AX29" s="42"/>
      <c r="BU29" s="618"/>
      <c r="BV29" s="31"/>
      <c r="BW29" s="229"/>
      <c r="BX29" s="42"/>
      <c r="BY29" s="42"/>
      <c r="BZ29" s="42"/>
      <c r="CA29" s="42"/>
      <c r="CB29" s="31"/>
      <c r="CC29" s="42"/>
      <c r="CD29" s="42"/>
      <c r="CE29" s="42"/>
      <c r="CF29" s="42"/>
      <c r="CG29" s="42"/>
      <c r="CH29" s="42"/>
      <c r="CI29" s="395"/>
    </row>
    <row r="30" spans="1:89" ht="12.75" customHeight="1" outlineLevel="1" x14ac:dyDescent="0.2">
      <c r="A30" s="230"/>
      <c r="B30" s="49" t="s">
        <v>14</v>
      </c>
      <c r="C30" s="368">
        <v>1340</v>
      </c>
      <c r="D30" s="368">
        <v>1330</v>
      </c>
      <c r="E30" s="368">
        <v>1320</v>
      </c>
      <c r="F30" s="368">
        <v>1360</v>
      </c>
      <c r="G30" s="369">
        <f>+F30</f>
        <v>1360</v>
      </c>
      <c r="H30" s="410"/>
      <c r="I30" s="368">
        <v>1380</v>
      </c>
      <c r="J30" s="368">
        <v>1390</v>
      </c>
      <c r="K30" s="368">
        <v>1390</v>
      </c>
      <c r="L30" s="368">
        <v>1370</v>
      </c>
      <c r="M30" s="369">
        <f>+L30</f>
        <v>1370</v>
      </c>
      <c r="N30" s="410"/>
      <c r="O30" s="368">
        <v>1365</v>
      </c>
      <c r="P30" s="368">
        <v>1400</v>
      </c>
      <c r="Q30" s="368">
        <v>1390</v>
      </c>
      <c r="R30" s="368">
        <v>1400</v>
      </c>
      <c r="S30" s="369">
        <f>+R30</f>
        <v>1400</v>
      </c>
      <c r="T30" s="410"/>
      <c r="U30" s="368">
        <v>1395</v>
      </c>
      <c r="V30" s="368">
        <v>1355</v>
      </c>
      <c r="W30" s="368">
        <v>1390</v>
      </c>
      <c r="X30" s="368">
        <v>1400</v>
      </c>
      <c r="Y30" s="369">
        <f>+X30</f>
        <v>1400</v>
      </c>
      <c r="Z30" s="410"/>
      <c r="AA30" s="415">
        <v>1395</v>
      </c>
      <c r="AB30" s="415">
        <v>1410</v>
      </c>
      <c r="AC30" s="415">
        <v>1385</v>
      </c>
      <c r="AD30" s="415">
        <v>1360</v>
      </c>
      <c r="AE30" s="369">
        <f>AVERAGE(AA30:AD30)</f>
        <v>1387.5</v>
      </c>
      <c r="AF30" s="410"/>
      <c r="AG30" s="415">
        <v>1370</v>
      </c>
      <c r="AH30" s="415">
        <v>1335</v>
      </c>
      <c r="AI30" s="415">
        <v>1320</v>
      </c>
      <c r="AJ30" s="415">
        <v>1375</v>
      </c>
      <c r="AK30" s="369">
        <f>AVERAGE(AG30:AJ30)</f>
        <v>1350</v>
      </c>
      <c r="AL30" s="410"/>
      <c r="AM30" s="415">
        <v>1305</v>
      </c>
      <c r="AN30" s="415">
        <v>1345</v>
      </c>
      <c r="AO30" s="415">
        <v>1335</v>
      </c>
      <c r="AP30" s="415">
        <v>1400</v>
      </c>
      <c r="AQ30" s="369">
        <f>AVERAGE(AM30:AP30)</f>
        <v>1346.25</v>
      </c>
      <c r="AR30" s="410"/>
      <c r="AS30" s="415">
        <v>1405</v>
      </c>
      <c r="AT30" s="415">
        <v>1405</v>
      </c>
      <c r="AU30" s="415">
        <v>1395</v>
      </c>
      <c r="AV30" s="415">
        <v>1370</v>
      </c>
      <c r="AW30" s="369">
        <f>+(AW4/AW22)*1000</f>
        <v>1393.8337844651162</v>
      </c>
      <c r="AX30" s="410"/>
      <c r="AY30" s="415">
        <v>1335</v>
      </c>
      <c r="AZ30" s="415">
        <v>1300</v>
      </c>
      <c r="BA30" s="415">
        <v>1255</v>
      </c>
      <c r="BB30" s="415">
        <v>1250</v>
      </c>
      <c r="BC30" s="356">
        <f>+(BC4/BC22)*1000</f>
        <v>1283.9756281290136</v>
      </c>
      <c r="BD30" s="410"/>
      <c r="BE30" s="415">
        <v>1255</v>
      </c>
      <c r="BF30" s="415">
        <v>1285</v>
      </c>
      <c r="BG30" s="415">
        <v>1285</v>
      </c>
      <c r="BH30" s="415">
        <v>1230</v>
      </c>
      <c r="BI30" s="356">
        <f>+(BI4/BI22)*1000</f>
        <v>1262.8727408938271</v>
      </c>
      <c r="BJ30" s="410"/>
      <c r="BK30" s="415">
        <v>1270</v>
      </c>
      <c r="BL30" s="415">
        <v>1285</v>
      </c>
      <c r="BM30" s="415">
        <v>1310</v>
      </c>
      <c r="BN30" s="415">
        <v>1305</v>
      </c>
      <c r="BO30" s="356">
        <f t="shared" ref="BO30" si="12">+BO111*1000</f>
        <v>1293.4659133629073</v>
      </c>
      <c r="BP30" s="410"/>
      <c r="BQ30" s="415">
        <v>1310</v>
      </c>
      <c r="BR30" s="356">
        <f t="shared" ref="BR30:CG30" si="13">+BR111*1000</f>
        <v>1341.2166788434199</v>
      </c>
      <c r="BS30" s="356">
        <f t="shared" si="13"/>
        <v>1327.4389777793613</v>
      </c>
      <c r="BT30" s="356">
        <f t="shared" si="13"/>
        <v>1323.5324090046565</v>
      </c>
      <c r="BU30" s="356">
        <f t="shared" si="13"/>
        <v>1325.8774787584368</v>
      </c>
      <c r="BV30" s="410"/>
      <c r="BW30" s="356">
        <f t="shared" si="13"/>
        <v>1291.2021813250713</v>
      </c>
      <c r="BX30" s="356">
        <f t="shared" si="13"/>
        <v>1322.6893490756672</v>
      </c>
      <c r="BY30" s="356">
        <f t="shared" si="13"/>
        <v>1311.7205742423987</v>
      </c>
      <c r="BZ30" s="356">
        <f t="shared" si="13"/>
        <v>1289.4009795581601</v>
      </c>
      <c r="CA30" s="356">
        <f t="shared" si="13"/>
        <v>1303.758858779395</v>
      </c>
      <c r="CB30" s="410"/>
      <c r="CC30" s="356">
        <f t="shared" si="13"/>
        <v>1269.6250517837552</v>
      </c>
      <c r="CD30" s="356">
        <f t="shared" si="13"/>
        <v>1302.9386899794561</v>
      </c>
      <c r="CE30" s="356">
        <f t="shared" si="13"/>
        <v>1294.0025063804662</v>
      </c>
      <c r="CF30" s="356">
        <f t="shared" si="13"/>
        <v>1276.9813031130984</v>
      </c>
      <c r="CG30" s="356">
        <f t="shared" si="13"/>
        <v>1286.1036416302049</v>
      </c>
      <c r="CH30" s="42"/>
      <c r="CI30" s="665">
        <f>+CG30/BC30-1</f>
        <v>1.6573628459695122E-3</v>
      </c>
    </row>
    <row r="31" spans="1:89" ht="12.75" customHeight="1" outlineLevel="1" x14ac:dyDescent="0.2">
      <c r="A31" s="230"/>
      <c r="B31" s="49" t="s">
        <v>15</v>
      </c>
      <c r="C31" s="369"/>
      <c r="D31" s="369"/>
      <c r="E31" s="369"/>
      <c r="F31" s="369"/>
      <c r="G31" s="369">
        <f>(ALGN!G6-ALGN!G29)/UnitBuild!G22*1000</f>
        <v>1320.4850157728704</v>
      </c>
      <c r="H31" s="369"/>
      <c r="I31" s="369">
        <f>(ALGN!I6-ALGN!I29)/UnitBuild!I22*1000</f>
        <v>1383.724319103728</v>
      </c>
      <c r="J31" s="369">
        <f>(ALGN!J6-ALGN!J29)/UnitBuild!J22*1000</f>
        <v>1393.5887370147623</v>
      </c>
      <c r="K31" s="369">
        <f>(ALGN!K6-ALGN!K29)/UnitBuild!K22*1000</f>
        <v>1374.4886363636365</v>
      </c>
      <c r="L31" s="369">
        <f>(ALGN!L6-ALGN!L29)/UnitBuild!L22*1000</f>
        <v>1346.9106762917934</v>
      </c>
      <c r="M31" s="369">
        <f>(ALGN!M6-ALGN!M29)/UnitBuild!M22*1000</f>
        <v>1347.6046774801962</v>
      </c>
      <c r="N31" s="369"/>
      <c r="O31" s="369">
        <f>(ALGN!O6-ALGN!O29)/UnitBuild!O22*1000</f>
        <v>1323.9061126648023</v>
      </c>
      <c r="P31" s="369">
        <f>(ALGN!P6-ALGN!P29)/UnitBuild!P22*1000</f>
        <v>1346.2024337326673</v>
      </c>
      <c r="Q31" s="369">
        <f>(ALGN!Q6-ALGN!Q29)/UnitBuild!Q22*1000</f>
        <v>1328.2799787666993</v>
      </c>
      <c r="R31" s="369">
        <f>(ALGN!R6-ALGN!R29)/UnitBuild!R22*1000</f>
        <v>1350.4492630199802</v>
      </c>
      <c r="S31" s="369">
        <f>(ALGN!S6-ALGN!S29)/UnitBuild!S22*1000</f>
        <v>1337.9260333575053</v>
      </c>
      <c r="T31" s="369"/>
      <c r="U31" s="369">
        <f>(ALGN!U6-ALGN!U29)/UnitBuild!U22*1000</f>
        <v>1342.5562018550543</v>
      </c>
      <c r="V31" s="369">
        <f>(ALGN!V6-ALGN!V29)/UnitBuild!V22*1000</f>
        <v>1311.4025338964216</v>
      </c>
      <c r="W31" s="369">
        <f>(ALGN!W6-ALGN!W29)/UnitBuild!W22*1000</f>
        <v>1375.3019323671497</v>
      </c>
      <c r="X31" s="369">
        <f>(ALGN!X6-ALGN!X29)/UnitBuild!X22*1000</f>
        <v>1378.1697905181918</v>
      </c>
      <c r="Y31" s="369">
        <f>(ALGN!Y6-ALGN!Y29)/UnitBuild!Y22*1000</f>
        <v>1351.4808779833222</v>
      </c>
      <c r="Z31" s="396"/>
      <c r="AA31" s="369">
        <f>(ALGN!AA6-ALGN!AA29)/UnitBuild!AA22*1000</f>
        <v>1394.1431974218858</v>
      </c>
      <c r="AB31" s="369">
        <f>(ALGN!AB6-ALGN!AB29)/UnitBuild!AB22*1000</f>
        <v>1415.4169955274926</v>
      </c>
      <c r="AC31" s="369">
        <f>(ALGN!AC6-ALGN!AC29)/UnitBuild!AC22*1000</f>
        <v>1360.8870967741932</v>
      </c>
      <c r="AD31" s="369">
        <f>(ALGN!AD6-ALGN!AD29)/UnitBuild!AD22*1000</f>
        <v>1353.6747790289382</v>
      </c>
      <c r="AE31" s="369">
        <f>(ALGN!AE6-ALGN!AE29)/UnitBuild!AE22*1000</f>
        <v>1380.0349130406673</v>
      </c>
      <c r="AF31" s="396"/>
      <c r="AG31" s="369">
        <f>(ALGN!AG6-ALGN!AG29)/UnitBuild!AG22*1000</f>
        <v>1367.1612033073359</v>
      </c>
      <c r="AH31" s="369">
        <f>(ALGN!AH6-ALGN!AH29)/UnitBuild!AH22*1000</f>
        <v>1321.1586901763226</v>
      </c>
      <c r="AI31" s="369">
        <f>(ALGN!AI6-ALGN!AI29)/UnitBuild!AI22*1000</f>
        <v>1289.1747284224177</v>
      </c>
      <c r="AJ31" s="369">
        <f>(ALGN!AJ6-ALGN!AJ29)/UnitBuild!AJ22*1000</f>
        <v>1372.6679929266138</v>
      </c>
      <c r="AK31" s="369">
        <f>(ALGN!AK6-ALGN!AK29)/UnitBuild!AK22*1000</f>
        <v>1336.6287066072512</v>
      </c>
      <c r="AL31" s="410"/>
      <c r="AM31" s="369">
        <f>(ALGN!AM6-ALGN!AM29)/UnitBuild!AM22*1000</f>
        <v>1312.584670231729</v>
      </c>
      <c r="AN31" s="369">
        <f>(ALGN!AN6-ALGN!AN29)/UnitBuild!AN22*1000</f>
        <v>1342.9782823762189</v>
      </c>
      <c r="AO31" s="369">
        <f>(ALGN!AO6-ALGN!AO29)/UnitBuild!AO22*1000</f>
        <v>1336.4920486435919</v>
      </c>
      <c r="AP31" s="369">
        <f>(ALGN!AP6-ALGN!AP29)/UnitBuild!AP22*1000</f>
        <v>1400.3958614484932</v>
      </c>
      <c r="AQ31" s="369">
        <f>+AQ30</f>
        <v>1346.25</v>
      </c>
      <c r="AR31" s="410"/>
      <c r="AS31" s="369">
        <f>(ALGN!AS6-ALGN!AS29)/UnitBuild!AS22*1000</f>
        <v>1406.067593706199</v>
      </c>
      <c r="AT31" s="369">
        <f>(ALGN!AT6-ALGN!AT29)/UnitBuild!AT22*1000</f>
        <v>1402.6671644675278</v>
      </c>
      <c r="AU31" s="369">
        <f>(ALGN!AU6-ALGN!AU29)/UnitBuild!AU22*1000</f>
        <v>1394.3736153492457</v>
      </c>
      <c r="AV31" s="369">
        <f>(ALGN!AV6-ALGN!AV29)/UnitBuild!AV22*1000</f>
        <v>1374.1618091963894</v>
      </c>
      <c r="AW31" s="369">
        <f>+AW30</f>
        <v>1393.8337844651162</v>
      </c>
      <c r="AX31" s="410"/>
      <c r="AY31" s="369">
        <f>(ALGN!AY6-ALGN!AY29)/UnitBuild!AY22*1000</f>
        <v>1336.3205383086104</v>
      </c>
      <c r="AZ31" s="369">
        <f>(ALGN!AZ6-ALGN!AZ29)/UnitBuild!AZ22*1000</f>
        <v>1301.2664359861594</v>
      </c>
      <c r="BA31" s="369">
        <f>(ALGN!BA6-ALGN!BA29)/UnitBuild!BA22*1000</f>
        <v>1256.6101694915258</v>
      </c>
      <c r="BB31" s="369">
        <f>(ALGN!BB6-ALGN!BB29)/UnitBuild!BB22*1000</f>
        <v>1250.8848814589769</v>
      </c>
      <c r="BC31" s="369">
        <f>(ALGN!BC6-ALGN!BC29)/UnitBuild!BC22*1000</f>
        <v>1283.9756281290136</v>
      </c>
      <c r="BD31" s="410"/>
      <c r="BE31" s="356">
        <f>+BE30</f>
        <v>1255</v>
      </c>
      <c r="BF31" s="356">
        <f>+BF30</f>
        <v>1285</v>
      </c>
      <c r="BG31" s="356">
        <f>+BG30</f>
        <v>1285</v>
      </c>
      <c r="BH31" s="356">
        <f>+BH30</f>
        <v>1230</v>
      </c>
      <c r="BI31" s="369">
        <f>(ALGN!BI6-ALGN!BI29)/UnitBuild!BI22*1000</f>
        <v>1263.2898259114852</v>
      </c>
      <c r="BJ31" s="410"/>
      <c r="BK31" s="356">
        <f>+BK30</f>
        <v>1270</v>
      </c>
      <c r="BL31" s="356">
        <f>+BL30</f>
        <v>1285</v>
      </c>
      <c r="BM31" s="356">
        <f>+BM30</f>
        <v>1310</v>
      </c>
      <c r="BN31" s="356">
        <f>+BN30</f>
        <v>1305</v>
      </c>
      <c r="BO31" s="356">
        <f>+BO30</f>
        <v>1293.4659133629073</v>
      </c>
      <c r="BP31" s="410"/>
      <c r="BQ31" s="356">
        <f>+BQ30</f>
        <v>1310</v>
      </c>
      <c r="BR31" s="356">
        <f>+BR30</f>
        <v>1341.2166788434199</v>
      </c>
      <c r="BS31" s="356">
        <f>+BS30</f>
        <v>1327.4389777793613</v>
      </c>
      <c r="BT31" s="356">
        <f>+BT30</f>
        <v>1323.5324090046565</v>
      </c>
      <c r="BU31" s="356">
        <f>+BU30</f>
        <v>1325.8774787584368</v>
      </c>
      <c r="BV31" s="410"/>
      <c r="BW31" s="356">
        <f>+BW30</f>
        <v>1291.2021813250713</v>
      </c>
      <c r="BX31" s="356">
        <f>+BX30</f>
        <v>1322.6893490756672</v>
      </c>
      <c r="BY31" s="356">
        <f>+BY30</f>
        <v>1311.7205742423987</v>
      </c>
      <c r="BZ31" s="356">
        <f>+BZ30</f>
        <v>1289.4009795581601</v>
      </c>
      <c r="CA31" s="356">
        <f>+CA30</f>
        <v>1303.758858779395</v>
      </c>
      <c r="CB31" s="410"/>
      <c r="CC31" s="356">
        <f>+CC30</f>
        <v>1269.6250517837552</v>
      </c>
      <c r="CD31" s="356">
        <f>+CD30</f>
        <v>1302.9386899794561</v>
      </c>
      <c r="CE31" s="356">
        <f>+CE30</f>
        <v>1294.0025063804662</v>
      </c>
      <c r="CF31" s="356">
        <f>+CF30</f>
        <v>1276.9813031130984</v>
      </c>
      <c r="CG31" s="356">
        <f>+CG30</f>
        <v>1286.1036416302049</v>
      </c>
      <c r="CH31" s="42"/>
      <c r="CI31" s="665">
        <f>+CG31/AW31-1</f>
        <v>-7.7290523472461792E-2</v>
      </c>
      <c r="CJ31" s="665">
        <f>+CG31/BI31-1</f>
        <v>1.8059051257109049E-2</v>
      </c>
    </row>
    <row r="32" spans="1:89" ht="12.75" customHeight="1" outlineLevel="1" x14ac:dyDescent="0.2">
      <c r="A32" s="230"/>
      <c r="B32" s="418" t="s">
        <v>95</v>
      </c>
      <c r="C32" s="369"/>
      <c r="D32" s="369"/>
      <c r="E32" s="369"/>
      <c r="F32" s="369"/>
      <c r="G32" s="369"/>
      <c r="H32" s="396"/>
      <c r="I32" s="219"/>
      <c r="J32" s="219"/>
      <c r="K32" s="219"/>
      <c r="L32" s="219"/>
      <c r="M32" s="219">
        <f>M31/G31-1</f>
        <v>2.0537651986495931E-2</v>
      </c>
      <c r="N32" s="396"/>
      <c r="O32" s="219">
        <f>O31/I31-1</f>
        <v>-4.3229858442953017E-2</v>
      </c>
      <c r="P32" s="219">
        <f>P31/J31-1</f>
        <v>-3.400307567324512E-2</v>
      </c>
      <c r="Q32" s="219">
        <f>Q31/K31-1</f>
        <v>-3.3618799293377521E-2</v>
      </c>
      <c r="R32" s="219">
        <f>R31/L31-1</f>
        <v>2.6271873781036348E-3</v>
      </c>
      <c r="S32" s="219">
        <f>S31/M31-1</f>
        <v>-7.1821093265930225E-3</v>
      </c>
      <c r="T32" s="396"/>
      <c r="U32" s="219">
        <f>U31/O31-1</f>
        <v>1.4087169030976288E-2</v>
      </c>
      <c r="V32" s="219">
        <f>V31/P31-1</f>
        <v>-2.5850421128533196E-2</v>
      </c>
      <c r="W32" s="219">
        <f>W31/Q31-1</f>
        <v>3.5400634167587208E-2</v>
      </c>
      <c r="X32" s="219">
        <f>X31/R31-1</f>
        <v>2.0526892980948341E-2</v>
      </c>
      <c r="Y32" s="219">
        <f>Y31/S31-1</f>
        <v>1.0131236172900682E-2</v>
      </c>
      <c r="Z32" s="396"/>
      <c r="AA32" s="219">
        <f>AA31/U31-1</f>
        <v>3.8424458875950362E-2</v>
      </c>
      <c r="AB32" s="219">
        <f>AB31/V31-1</f>
        <v>7.9315434386133754E-2</v>
      </c>
      <c r="AC32" s="219">
        <f>AC31/W31-1</f>
        <v>-1.0481215254417586E-2</v>
      </c>
      <c r="AD32" s="219">
        <f>AD31/X31-1</f>
        <v>-1.7773580336602368E-2</v>
      </c>
      <c r="AE32" s="219">
        <f>AE31/Y31-1</f>
        <v>2.1127960833566162E-2</v>
      </c>
      <c r="AF32" s="396"/>
      <c r="AG32" s="219">
        <f>AG31/AA31-1</f>
        <v>-1.935381829100935E-2</v>
      </c>
      <c r="AH32" s="219">
        <f>AH31/AB31-1</f>
        <v>-6.6594018334534821E-2</v>
      </c>
      <c r="AI32" s="219">
        <f>AI31/AC31-1</f>
        <v>-5.2695310670341722E-2</v>
      </c>
      <c r="AJ32" s="219">
        <f>AJ31/AD31-1</f>
        <v>1.4030854524230918E-2</v>
      </c>
      <c r="AK32" s="219">
        <f>AK30/AE31-1</f>
        <v>-2.1763879128601671E-2</v>
      </c>
      <c r="AL32" s="410"/>
      <c r="AM32" s="219">
        <f>AM31/AG31-1</f>
        <v>-3.9919603440749629E-2</v>
      </c>
      <c r="AN32" s="219">
        <f>AN30/AH31-1</f>
        <v>1.8045757864632916E-2</v>
      </c>
      <c r="AO32" s="219">
        <f>AO30/AI31-1</f>
        <v>3.5546206861857499E-2</v>
      </c>
      <c r="AP32" s="219">
        <f>AP30/AJ31-1</f>
        <v>1.9911593491090729E-2</v>
      </c>
      <c r="AQ32" s="219">
        <f>AQ30/AK31-1</f>
        <v>7.1981795282329841E-3</v>
      </c>
      <c r="AR32" s="410"/>
      <c r="AS32" s="219">
        <f>AS30/AM30-1</f>
        <v>7.6628352490421436E-2</v>
      </c>
      <c r="AT32" s="219">
        <f>AT30/AN30-1</f>
        <v>4.4609665427509215E-2</v>
      </c>
      <c r="AU32" s="219">
        <f>AU30/AO30-1</f>
        <v>4.4943820224719211E-2</v>
      </c>
      <c r="AV32" s="219">
        <f>AV30/AP30-1</f>
        <v>-2.1428571428571463E-2</v>
      </c>
      <c r="AW32" s="219">
        <f>AW30/AQ30-1</f>
        <v>3.534542950055064E-2</v>
      </c>
      <c r="AX32" s="410"/>
      <c r="AY32" s="219">
        <f>AY30/AS30-1</f>
        <v>-4.9822064056939452E-2</v>
      </c>
      <c r="AZ32" s="219">
        <f>AZ30/AT30-1</f>
        <v>-7.4733096085409234E-2</v>
      </c>
      <c r="BA32" s="219">
        <f>BA30/AU30-1</f>
        <v>-0.10035842293906805</v>
      </c>
      <c r="BB32" s="219">
        <f>BB30/AV30-1</f>
        <v>-8.7591240875912413E-2</v>
      </c>
      <c r="BC32" s="219">
        <f>BC30/AW30-1</f>
        <v>-7.8817257524189444E-2</v>
      </c>
      <c r="BD32" s="761"/>
      <c r="BE32" s="219">
        <f>BE30/AY30-1</f>
        <v>-5.9925093632958837E-2</v>
      </c>
      <c r="BF32" s="219">
        <f>BF30/AZ30-1</f>
        <v>-1.1538461538461497E-2</v>
      </c>
      <c r="BG32" s="219">
        <f>BG30/BA30-1</f>
        <v>2.3904382470119501E-2</v>
      </c>
      <c r="BH32" s="219">
        <f>BH30/BB30-1</f>
        <v>-1.6000000000000014E-2</v>
      </c>
      <c r="BI32" s="219">
        <f>BI30/BC30-1</f>
        <v>-1.6435582399595305E-2</v>
      </c>
      <c r="BJ32" s="761"/>
      <c r="BK32" s="219">
        <f>BK30/BE30-1</f>
        <v>1.195219123505975E-2</v>
      </c>
      <c r="BL32" s="219">
        <f>BL30/BF30-1</f>
        <v>0</v>
      </c>
      <c r="BM32" s="219">
        <f>BM30/BG30-1</f>
        <v>1.9455252918287869E-2</v>
      </c>
      <c r="BN32" s="219">
        <f>BN30/BH30-1</f>
        <v>6.0975609756097615E-2</v>
      </c>
      <c r="BO32" s="219">
        <f>BO30/BI30-1</f>
        <v>2.422506360175869E-2</v>
      </c>
      <c r="BP32" s="761"/>
      <c r="BQ32" s="219">
        <f>BQ30/BK30-1</f>
        <v>3.1496062992125928E-2</v>
      </c>
      <c r="BR32" s="219">
        <f>BR30/BL30-1</f>
        <v>4.3748388204996047E-2</v>
      </c>
      <c r="BS32" s="219">
        <f>BS30/BM30-1</f>
        <v>1.3312196778138441E-2</v>
      </c>
      <c r="BT32" s="219">
        <f>BT30/BN30-1</f>
        <v>1.4201079697054864E-2</v>
      </c>
      <c r="BU32" s="219">
        <f>BU30/BO30-1</f>
        <v>2.5057920012180324E-2</v>
      </c>
      <c r="BV32" s="761"/>
      <c r="BW32" s="219">
        <f>BW30/BQ30-1</f>
        <v>-1.434947990452573E-2</v>
      </c>
      <c r="BX32" s="219">
        <f>BX30/BR30-1</f>
        <v>-1.3813822971340817E-2</v>
      </c>
      <c r="BY32" s="219">
        <f>BY30/BS30-1</f>
        <v>-1.1841149612208501E-2</v>
      </c>
      <c r="BZ32" s="219">
        <f>BZ30/BT30-1</f>
        <v>-2.5788132738029823E-2</v>
      </c>
      <c r="CA32" s="219">
        <f>CA30/BU30-1</f>
        <v>-1.6682250308492907E-2</v>
      </c>
      <c r="CB32" s="761"/>
      <c r="CC32" s="219">
        <f>CC30/BW30-1</f>
        <v>-1.6710883743375482E-2</v>
      </c>
      <c r="CD32" s="219">
        <f>CD30/BX30-1</f>
        <v>-1.4932197881545983E-2</v>
      </c>
      <c r="CE32" s="219">
        <f>CE30/BY30-1</f>
        <v>-1.3507501681267575E-2</v>
      </c>
      <c r="CF32" s="219">
        <f>CF30/BZ30-1</f>
        <v>-9.6321289047861525E-3</v>
      </c>
      <c r="CG32" s="219">
        <f>CG30/CA30-1</f>
        <v>-1.3541781158610267E-2</v>
      </c>
      <c r="CH32" s="42"/>
      <c r="CI32" s="665">
        <f>+(BO30/AW30)-1</f>
        <v>-7.2008493567061183E-2</v>
      </c>
      <c r="CJ32" s="665">
        <f>+CG30/BC30-1</f>
        <v>1.6573628459695122E-3</v>
      </c>
    </row>
    <row r="33" spans="1:88" ht="12.75" customHeight="1" outlineLevel="1" x14ac:dyDescent="0.2">
      <c r="A33" s="308"/>
      <c r="B33" s="38" t="s">
        <v>158</v>
      </c>
      <c r="C33" s="368">
        <v>1450</v>
      </c>
      <c r="D33" s="368">
        <v>1630</v>
      </c>
      <c r="E33" s="368">
        <v>1580</v>
      </c>
      <c r="F33" s="368">
        <v>1760</v>
      </c>
      <c r="G33" s="369">
        <f>+F33</f>
        <v>1760</v>
      </c>
      <c r="H33" s="374"/>
      <c r="I33" s="368">
        <v>1700</v>
      </c>
      <c r="J33" s="368">
        <v>1700</v>
      </c>
      <c r="K33" s="368">
        <v>1660</v>
      </c>
      <c r="L33" s="368">
        <v>1510</v>
      </c>
      <c r="M33" s="369">
        <f>+L33</f>
        <v>1510</v>
      </c>
      <c r="N33" s="374"/>
      <c r="O33" s="368">
        <v>1450</v>
      </c>
      <c r="P33" s="368">
        <v>1530</v>
      </c>
      <c r="Q33" s="368">
        <v>1560</v>
      </c>
      <c r="R33" s="368">
        <v>1610</v>
      </c>
      <c r="S33" s="369">
        <f>+R33</f>
        <v>1610</v>
      </c>
      <c r="T33" s="374"/>
      <c r="U33" s="368">
        <v>1590</v>
      </c>
      <c r="V33" s="368">
        <v>1415</v>
      </c>
      <c r="W33" s="368">
        <v>1430</v>
      </c>
      <c r="X33" s="368">
        <v>1525</v>
      </c>
      <c r="Y33" s="369">
        <f>+X33</f>
        <v>1525</v>
      </c>
      <c r="Z33" s="374"/>
      <c r="AA33" s="416">
        <v>1555</v>
      </c>
      <c r="AB33" s="416">
        <v>1660</v>
      </c>
      <c r="AC33" s="416">
        <v>1560</v>
      </c>
      <c r="AD33" s="416">
        <v>1530</v>
      </c>
      <c r="AE33" s="369">
        <f>AVERAGE(AA33:AD33)</f>
        <v>1576.25</v>
      </c>
      <c r="AF33" s="374"/>
      <c r="AG33" s="416">
        <v>1485</v>
      </c>
      <c r="AH33" s="416">
        <v>1455</v>
      </c>
      <c r="AI33" s="416">
        <v>1355</v>
      </c>
      <c r="AJ33" s="416">
        <v>1455</v>
      </c>
      <c r="AK33" s="369">
        <f>AVERAGE(AG33:AJ33)</f>
        <v>1437.5</v>
      </c>
      <c r="AL33" s="374"/>
      <c r="AM33" s="416">
        <v>1360</v>
      </c>
      <c r="AN33" s="416">
        <v>1480</v>
      </c>
      <c r="AO33" s="416">
        <v>1455</v>
      </c>
      <c r="AP33" s="416">
        <v>1630</v>
      </c>
      <c r="AQ33" s="369">
        <f>AVERAGE(AM33:AP33)</f>
        <v>1481.25</v>
      </c>
      <c r="AR33" s="374"/>
      <c r="AS33" s="416">
        <v>1620</v>
      </c>
      <c r="AT33" s="416">
        <v>1625</v>
      </c>
      <c r="AU33" s="416">
        <v>1560</v>
      </c>
      <c r="AV33" s="416">
        <v>1510</v>
      </c>
      <c r="AW33" s="369">
        <f>+(SUM(ALGN!AS85:AU85,(UnitBuild!AV33*UnitBuild!AV16)/1000)/AW16)*1000</f>
        <v>1575.6347726294648</v>
      </c>
      <c r="AX33" s="374"/>
      <c r="AY33" s="416">
        <v>1410</v>
      </c>
      <c r="AZ33" s="416">
        <v>1380</v>
      </c>
      <c r="BA33" s="415">
        <v>1325</v>
      </c>
      <c r="BB33" s="415">
        <v>1315</v>
      </c>
      <c r="BC33" s="356">
        <f>+((BC4-((BC13+BC10)*BC37)/1000)/BC16)*1000</f>
        <v>1327.1457804577778</v>
      </c>
      <c r="BD33" s="662"/>
      <c r="BE33" s="415">
        <v>1315</v>
      </c>
      <c r="BF33" s="415">
        <v>1345</v>
      </c>
      <c r="BG33" s="415">
        <v>1365</v>
      </c>
      <c r="BH33" s="415">
        <v>1315</v>
      </c>
      <c r="BI33" s="356">
        <f>+((BI4-((BI13+BI10)*BI37)/1000)/BI16)*1000</f>
        <v>1303.5023152352144</v>
      </c>
      <c r="BJ33" s="662"/>
      <c r="BK33" s="415">
        <v>1325</v>
      </c>
      <c r="BL33" s="415">
        <v>1335</v>
      </c>
      <c r="BM33" s="415">
        <v>1390</v>
      </c>
      <c r="BN33" s="415">
        <v>1390</v>
      </c>
      <c r="BO33" s="356">
        <f>+((BO4-((BO13+BO10)*BO37)/1000)/BO16)*1000</f>
        <v>1332.7629450424479</v>
      </c>
      <c r="BP33" s="662"/>
      <c r="BQ33" s="415">
        <v>1435</v>
      </c>
      <c r="BR33" s="356">
        <f>+((BR4-((BR13+BR10)*BR37)/1000)/BR16)*1000</f>
        <v>1380.100710803365</v>
      </c>
      <c r="BS33" s="356">
        <f>+((BS4-((BS13+BS10)*BS37)/1000)/BS16)*1000</f>
        <v>1379.8893110379631</v>
      </c>
      <c r="BT33" s="356">
        <f>+((BT4-((BT13+BT10)*BT37)/1000)/BT16)*1000</f>
        <v>1389.6125913552362</v>
      </c>
      <c r="BU33" s="356">
        <f>+((BU4-((BU13+BU10)*BU37)/1000)/BU16)*1000</f>
        <v>1375.6623363301728</v>
      </c>
      <c r="BV33" s="662"/>
      <c r="BW33" s="356">
        <f>+((BW4-((BW13+BW10)*BW37)/1000)/BW16)*1000</f>
        <v>1368.3197041540579</v>
      </c>
      <c r="BX33" s="356">
        <f>+((BX4-((BX13+BX10)*BX37)/1000)/BX16)*1000</f>
        <v>1433.1732652671244</v>
      </c>
      <c r="BY33" s="356">
        <f>+((BY4-((BY13+BY10)*BY37)/1000)/BY16)*1000</f>
        <v>1420.8948683421966</v>
      </c>
      <c r="BZ33" s="356">
        <f>+((BZ4-((BZ13+BZ10)*BZ37)/1000)/BZ16)*1000</f>
        <v>1436.0642671578055</v>
      </c>
      <c r="CA33" s="356">
        <f>+((CA4-((CA13+CA10)*CA37)/1000)/CA16)*1000</f>
        <v>1416.2088405138009</v>
      </c>
      <c r="CB33" s="662"/>
      <c r="CC33" s="356">
        <f>+((CC4-((CC13+CC10)*CC37)/1000)/CC16)*1000</f>
        <v>1405.9195761664423</v>
      </c>
      <c r="CD33" s="356">
        <f>+((CD4-((CD13+CD10)*CD37)/1000)/CD16)*1000</f>
        <v>1449.6170122382512</v>
      </c>
      <c r="CE33" s="356">
        <f>+((CE4-((CE13+CE10)*CE37)/1000)/CE16)*1000</f>
        <v>1438.8437710709138</v>
      </c>
      <c r="CF33" s="356">
        <f>+((CF4-((CF13+CF10)*CF37)/1000)/CF16)*1000</f>
        <v>1455.2141826993568</v>
      </c>
      <c r="CG33" s="356">
        <f>+((CG4-((CG13+CG10)*CG37)/1000)/CG16)*1000</f>
        <v>1438.555854929326</v>
      </c>
      <c r="CH33" s="42"/>
    </row>
    <row r="34" spans="1:88" ht="12.75" customHeight="1" outlineLevel="1" x14ac:dyDescent="0.2">
      <c r="A34" s="308"/>
      <c r="B34" s="418" t="s">
        <v>95</v>
      </c>
      <c r="C34" s="369"/>
      <c r="D34" s="369"/>
      <c r="E34" s="369"/>
      <c r="F34" s="369"/>
      <c r="G34" s="219"/>
      <c r="H34" s="374"/>
      <c r="I34" s="369"/>
      <c r="J34" s="369"/>
      <c r="K34" s="369"/>
      <c r="L34" s="369"/>
      <c r="M34" s="219">
        <f>M33/G33-1</f>
        <v>-0.14204545454545459</v>
      </c>
      <c r="N34" s="374"/>
      <c r="O34" s="369"/>
      <c r="P34" s="369"/>
      <c r="Q34" s="369"/>
      <c r="R34" s="369"/>
      <c r="S34" s="219">
        <f>S33/M33-1</f>
        <v>6.6225165562913801E-2</v>
      </c>
      <c r="T34" s="374"/>
      <c r="U34" s="219">
        <f>U33/O33-1</f>
        <v>9.6551724137931005E-2</v>
      </c>
      <c r="V34" s="219">
        <f>V33/P33-1</f>
        <v>-7.5163398692810413E-2</v>
      </c>
      <c r="W34" s="219">
        <f>W33/Q33-1</f>
        <v>-8.333333333333337E-2</v>
      </c>
      <c r="X34" s="219">
        <f>X33/R33-1</f>
        <v>-5.2795031055900665E-2</v>
      </c>
      <c r="Y34" s="219">
        <f>Y33/S33-1</f>
        <v>-5.2795031055900665E-2</v>
      </c>
      <c r="Z34" s="374"/>
      <c r="AA34" s="219">
        <f>AA33/U33-1</f>
        <v>-2.2012578616352196E-2</v>
      </c>
      <c r="AB34" s="219">
        <f>AB33/V33-1</f>
        <v>0.17314487632508824</v>
      </c>
      <c r="AC34" s="219">
        <f>AC33/W33-1</f>
        <v>9.0909090909090828E-2</v>
      </c>
      <c r="AD34" s="219">
        <f>AD33/X33-1</f>
        <v>3.2786885245901232E-3</v>
      </c>
      <c r="AE34" s="219">
        <f>AE33/Y33-1</f>
        <v>3.3606557377049207E-2</v>
      </c>
      <c r="AF34" s="374"/>
      <c r="AG34" s="219">
        <f>AG33/AA33-1</f>
        <v>-4.5016077170418001E-2</v>
      </c>
      <c r="AH34" s="219">
        <f>AH33/AB33-1</f>
        <v>-0.12349397590361444</v>
      </c>
      <c r="AI34" s="219">
        <f>AI33/AC33-1</f>
        <v>-0.13141025641025639</v>
      </c>
      <c r="AJ34" s="219">
        <f>AJ33/AD33-1</f>
        <v>-4.9019607843137303E-2</v>
      </c>
      <c r="AK34" s="219">
        <f>AK33/AE33-1</f>
        <v>-8.802537668517052E-2</v>
      </c>
      <c r="AL34" s="374"/>
      <c r="AM34" s="219">
        <f>AM33/AG33-1</f>
        <v>-8.4175084175084125E-2</v>
      </c>
      <c r="AN34" s="219">
        <f>AN33/AH33-1</f>
        <v>1.7182130584192379E-2</v>
      </c>
      <c r="AO34" s="219">
        <f>AO33/AI33-1</f>
        <v>7.3800738007380184E-2</v>
      </c>
      <c r="AP34" s="219">
        <f>AP33/AJ33-1</f>
        <v>0.1202749140893471</v>
      </c>
      <c r="AQ34" s="219">
        <f>AQ33/AK33-1</f>
        <v>3.0434782608695699E-2</v>
      </c>
      <c r="AR34" s="374"/>
      <c r="AS34" s="219">
        <f>AS33/AM33-1</f>
        <v>0.19117647058823528</v>
      </c>
      <c r="AT34" s="219">
        <f>AT33/AN33-1</f>
        <v>9.7972972972973027E-2</v>
      </c>
      <c r="AU34" s="219">
        <f>AU33/AO33-1</f>
        <v>7.2164948453608213E-2</v>
      </c>
      <c r="AV34" s="219">
        <f>AV33/AP33-1</f>
        <v>-7.361963190184051E-2</v>
      </c>
      <c r="AW34" s="219">
        <f>AW33/AQ33-1</f>
        <v>6.3719677724533241E-2</v>
      </c>
      <c r="AX34" s="374"/>
      <c r="AY34" s="219">
        <f>AY33/AS33-1</f>
        <v>-0.12962962962962965</v>
      </c>
      <c r="AZ34" s="219">
        <f>AZ33/AT33-1</f>
        <v>-0.15076923076923077</v>
      </c>
      <c r="BA34" s="219">
        <f>BA33/AU33-1</f>
        <v>-0.15064102564102566</v>
      </c>
      <c r="BB34" s="219">
        <f>BB33/AV33-1</f>
        <v>-0.12913907284768211</v>
      </c>
      <c r="BC34" s="219">
        <f>BC33/AW33-1</f>
        <v>-0.15770722789837988</v>
      </c>
      <c r="BD34" s="374"/>
      <c r="BE34" s="219">
        <f>BE33/AY33-1</f>
        <v>-6.7375886524822737E-2</v>
      </c>
      <c r="BF34" s="219">
        <f>BF33/AZ33-1</f>
        <v>-2.5362318840579712E-2</v>
      </c>
      <c r="BG34" s="219">
        <f>BG33/BA33-1</f>
        <v>3.0188679245283012E-2</v>
      </c>
      <c r="BH34" s="219">
        <f>BH33/BB33-1</f>
        <v>0</v>
      </c>
      <c r="BI34" s="219">
        <f>BI33/BC33-1</f>
        <v>-1.7815273627595052E-2</v>
      </c>
      <c r="BJ34" s="374"/>
      <c r="BK34" s="219">
        <f>BK33/BE33-1</f>
        <v>7.6045627376426506E-3</v>
      </c>
      <c r="BL34" s="219">
        <f>BL33/BF33-1</f>
        <v>-7.4349442379182396E-3</v>
      </c>
      <c r="BM34" s="219">
        <f>BM33/BG33-1</f>
        <v>1.831501831501825E-2</v>
      </c>
      <c r="BN34" s="219">
        <f>BN33/BH33-1</f>
        <v>5.7034220532319324E-2</v>
      </c>
      <c r="BO34" s="219">
        <f>BO33/BI33-1</f>
        <v>2.2447700679345095E-2</v>
      </c>
      <c r="BP34" s="374"/>
      <c r="BQ34" s="219">
        <f>BQ33/BK33-1</f>
        <v>8.3018867924528283E-2</v>
      </c>
      <c r="BR34" s="219">
        <f>BR33/BL33-1</f>
        <v>3.3783303972558132E-2</v>
      </c>
      <c r="BS34" s="219">
        <f>BS33/BM33-1</f>
        <v>-7.2738769511057066E-3</v>
      </c>
      <c r="BT34" s="219">
        <f>BT33/BN33-1</f>
        <v>-2.7871125522571649E-4</v>
      </c>
      <c r="BU34" s="219">
        <f>BU33/BO33-1</f>
        <v>3.2188313343569641E-2</v>
      </c>
      <c r="BV34" s="374"/>
      <c r="BW34" s="219">
        <f>BW33/BQ33-1</f>
        <v>-4.6467105119123331E-2</v>
      </c>
      <c r="BX34" s="219">
        <f>BX33/BR33-1</f>
        <v>3.8455566357085358E-2</v>
      </c>
      <c r="BY34" s="219">
        <f>BY33/BS33-1</f>
        <v>2.9716555506462239E-2</v>
      </c>
      <c r="BZ34" s="219">
        <f>BZ33/BT33-1</f>
        <v>3.3427788501302125E-2</v>
      </c>
      <c r="CA34" s="219">
        <f>CA33/BU33-1</f>
        <v>2.9474168996872496E-2</v>
      </c>
      <c r="CB34" s="374"/>
      <c r="CC34" s="219">
        <f>CC33/BW33-1</f>
        <v>2.7478864696777849E-2</v>
      </c>
      <c r="CD34" s="219">
        <f>CD33/BX33-1</f>
        <v>1.1473662933603412E-2</v>
      </c>
      <c r="CE34" s="219">
        <f>CE33/BY33-1</f>
        <v>1.2632111726646578E-2</v>
      </c>
      <c r="CF34" s="219">
        <f>CF33/BZ33-1</f>
        <v>1.3334998982637458E-2</v>
      </c>
      <c r="CG34" s="219">
        <f>CG33/CA33-1</f>
        <v>1.5779462587888871E-2</v>
      </c>
      <c r="CH34" s="42"/>
    </row>
    <row r="35" spans="1:88" ht="12.75" customHeight="1" outlineLevel="1" x14ac:dyDescent="0.2">
      <c r="A35" s="308"/>
      <c r="B35" s="418" t="s">
        <v>16</v>
      </c>
      <c r="C35" s="368"/>
      <c r="D35" s="368"/>
      <c r="E35" s="368"/>
      <c r="F35" s="368"/>
      <c r="G35" s="369"/>
      <c r="H35" s="374"/>
      <c r="I35" s="219"/>
      <c r="J35" s="219"/>
      <c r="K35" s="219"/>
      <c r="L35" s="219"/>
      <c r="M35" s="219"/>
      <c r="N35" s="374"/>
      <c r="O35" s="219"/>
      <c r="P35" s="219"/>
      <c r="Q35" s="219"/>
      <c r="R35" s="219"/>
      <c r="S35" s="219"/>
      <c r="T35" s="634"/>
      <c r="U35" s="219">
        <v>3.0903172197395357E-2</v>
      </c>
      <c r="V35" s="219">
        <v>-1.5612749912729817E-2</v>
      </c>
      <c r="W35" s="219">
        <v>3.1957723439372809E-3</v>
      </c>
      <c r="X35" s="219">
        <v>2.1195106661227786E-2</v>
      </c>
      <c r="Y35" s="219">
        <v>-1.0457170778092675E-2</v>
      </c>
      <c r="Z35" s="374"/>
      <c r="AA35" s="219">
        <v>-1.6696419641576744E-2</v>
      </c>
      <c r="AB35" s="219">
        <v>4.1141868469585341E-2</v>
      </c>
      <c r="AC35" s="219">
        <v>-2.9914950967059872E-3</v>
      </c>
      <c r="AD35" s="219">
        <v>8.3392711391137488E-3</v>
      </c>
      <c r="AE35" s="219">
        <v>-1.8749485401448496E-2</v>
      </c>
      <c r="AF35" s="374"/>
      <c r="AG35" s="219">
        <v>-6.4510098666099927E-3</v>
      </c>
      <c r="AH35" s="219">
        <v>-2.2343379734969554E-2</v>
      </c>
      <c r="AI35" s="219">
        <v>-3.1312872523460308E-2</v>
      </c>
      <c r="AJ35" s="219">
        <v>-1.3507567850747693E-2</v>
      </c>
      <c r="AK35" s="219">
        <v>-1.7873873047549199E-2</v>
      </c>
      <c r="AL35" s="374"/>
      <c r="AM35" s="219">
        <f>AM34-(ALGN!AM59/(ALGN!AM87/ALGN!AM95))</f>
        <v>-8.3964139563380127E-2</v>
      </c>
      <c r="AN35" s="219">
        <f>AN34-(ALGN!AN59/(ALGN!AN87/ALGN!AN95))</f>
        <v>2.3539654791167833E-2</v>
      </c>
      <c r="AO35" s="219">
        <f>AO34-(ALGN!AO59/(ALGN!AO87/ALGN!AO95))</f>
        <v>7.1616760073313371E-2</v>
      </c>
      <c r="AP35" s="219">
        <f>AP34-(ALGN!AP59/(ALGN!AP87/ALGN!AP95))</f>
        <v>0.13455800859954645</v>
      </c>
      <c r="AQ35" s="219">
        <f>AQ34-(ALGN!AQ59/(ALGN!AQ87/ALGN!AQ95))</f>
        <v>3.5843627815262992E-2</v>
      </c>
      <c r="AR35" s="374"/>
      <c r="AS35" s="219">
        <f>AS34-(ALGN!AS59/(ALGN!AS87/ALGN!AS95))</f>
        <v>0.17246374698693467</v>
      </c>
      <c r="AT35" s="219">
        <f>AT34-(ALGN!AT59/(ALGN!AT87/ALGN!AT95))</f>
        <v>7.553594304410223E-2</v>
      </c>
      <c r="AU35" s="219">
        <f>AU34-(ALGN!AU59/(ALGN!AU87/ALGN!AU95))</f>
        <v>7.7550884751861199E-2</v>
      </c>
      <c r="AV35" s="219">
        <f>AV34-(ALGN!AV59/(ALGN!AV87/ALGN!AV95))</f>
        <v>9.8679758904303833E-3</v>
      </c>
      <c r="AW35" s="219">
        <f>AW34-(ALGN!AW59/(ALGN!AW87/ALGN!AW95))</f>
        <v>7.9027781573057454E-2</v>
      </c>
      <c r="AX35" s="374"/>
      <c r="AY35" s="219">
        <f>AY34-(ALGN!AY59/(ALGN!AY87/ALGN!AY95))</f>
        <v>-3.5463568921994468E-2</v>
      </c>
      <c r="AZ35" s="219">
        <f>AZ34-(ALGN!AZ59/(ALGN!AZ87/ALGN!AZ95))</f>
        <v>3.0689522249202239E-2</v>
      </c>
      <c r="BA35" s="219">
        <f>BA34-(ALGN!BA59/(ALGN!BA87/ALGN!BA95))</f>
        <v>1.1000670268492885E-2</v>
      </c>
      <c r="BB35" s="219">
        <f>BB34-(ALGN!BB59/(ALGN!BB87/ALGN!BB95))</f>
        <v>-2.0864047882918194E-2</v>
      </c>
      <c r="BC35" s="219">
        <f>BC34-(ALGN!BC59/(ALGN!BC87/ALGN!BC95))</f>
        <v>-2.0939286917103089E-2</v>
      </c>
      <c r="BD35" s="374"/>
      <c r="BE35" s="219">
        <f>BE34-(ALGN!BE59/(ALGN!BE87/ALGN!BE95))</f>
        <v>-2.0888273810338462E-2</v>
      </c>
      <c r="BF35" s="219">
        <f>BF34-(ALGN!BF59/(ALGN!BF87/ALGN!BF95))</f>
        <v>-2.5362318840579712E-2</v>
      </c>
      <c r="BG35" s="219">
        <f>BG34-(ALGN!BG59/(ALGN!BG87/ALGN!BG95))</f>
        <v>3.0188679245283012E-2</v>
      </c>
      <c r="BH35" s="219">
        <f>BH34-(ALGN!BH59/(ALGN!BH87/ALGN!BH95))</f>
        <v>4.2040074318910325E-2</v>
      </c>
      <c r="BI35" s="219">
        <f>BI34-(ALGN!BI59/(ALGN!BI87/ALGN!BI95))</f>
        <v>4.119707703400647E-3</v>
      </c>
      <c r="BJ35" s="374"/>
      <c r="BK35" s="219">
        <f>BK34-(ALGN!BK59/(ALGN!BK87/ALGN!BK95))</f>
        <v>4.6222066830741454E-2</v>
      </c>
      <c r="BL35" s="219">
        <f>BL34-(ALGN!BL59/(ALGN!BL87/ALGN!BL95))</f>
        <v>2.6866737680803818E-2</v>
      </c>
      <c r="BM35" s="219">
        <f>BM34-(ALGN!BM59/(ALGN!BM87/ALGN!BM95))</f>
        <v>-1.159868804123769E-2</v>
      </c>
      <c r="BN35" s="219">
        <f>BN34-(ALGN!BN59/(ALGN!BN87/ALGN!BN95))</f>
        <v>-5.864922144566892E-2</v>
      </c>
      <c r="BO35" s="219">
        <f>BO34-(ALGN!BO59/(ALGN!$BK87/ALGN!$BK95))</f>
        <v>-1.78666636951514E-3</v>
      </c>
      <c r="BP35" s="374"/>
      <c r="BQ35" s="219">
        <f>BQ34-(ALGN!BQ59)</f>
        <v>3.3018867924528281E-2</v>
      </c>
      <c r="BR35" s="219">
        <f>BR34-(ALGN!BR59)</f>
        <v>-2.1216696027441868E-2</v>
      </c>
      <c r="BS35" s="219">
        <f>BS34-(ALGN!BS59)</f>
        <v>-3.2273876951105708E-2</v>
      </c>
      <c r="BT35" s="219">
        <f>BT34-(ALGN!BT59)</f>
        <v>-2.0278711255225717E-2</v>
      </c>
      <c r="BU35" s="219">
        <f>BU34-(ALGN!BU59)</f>
        <v>-3.905908032242833E-3</v>
      </c>
      <c r="BV35" s="374"/>
      <c r="BW35" s="219">
        <f>BW34-(ALGN!BW59/(ALGN!$BK87/ALGN!$BK95))</f>
        <v>-4.6467105119123331E-2</v>
      </c>
      <c r="BX35" s="219">
        <f>BX34-(ALGN!BX59/(ALGN!$BK87/ALGN!$BK95))</f>
        <v>3.8455566357085358E-2</v>
      </c>
      <c r="BY35" s="219">
        <f>BY34-(ALGN!BY59/(ALGN!$BK87/ALGN!$BK95))</f>
        <v>2.9716555506462239E-2</v>
      </c>
      <c r="BZ35" s="219">
        <f>BZ34-(ALGN!BZ59/(ALGN!$BK87/ALGN!$BK95))</f>
        <v>3.3427788501302125E-2</v>
      </c>
      <c r="CA35" s="219">
        <f>CA34-(ALGN!CA59/(ALGN!$BK87/ALGN!$BK95))</f>
        <v>2.9474168996872496E-2</v>
      </c>
      <c r="CB35" s="374"/>
      <c r="CC35" s="219">
        <f>CC34-(ALGN!CC59/(ALGN!$BK87/ALGN!$BK95))</f>
        <v>2.7478864696777849E-2</v>
      </c>
      <c r="CD35" s="219">
        <f>CD34-(ALGN!CD59/(ALGN!$BK87/ALGN!$BK95))</f>
        <v>1.1473662933603412E-2</v>
      </c>
      <c r="CE35" s="219">
        <f>CE34-(ALGN!CE59/(ALGN!$BK87/ALGN!$BK95))</f>
        <v>1.2632111726646578E-2</v>
      </c>
      <c r="CF35" s="219">
        <f>CF34-(ALGN!CF59/(ALGN!$BK87/ALGN!$BK95))</f>
        <v>1.3334998982637458E-2</v>
      </c>
      <c r="CG35" s="219">
        <f>CG34-(ALGN!CG59/(ALGN!$BK87/ALGN!$BK95))</f>
        <v>1.5779462587888871E-2</v>
      </c>
      <c r="CH35" s="42"/>
    </row>
    <row r="36" spans="1:88" ht="12.75" customHeight="1" outlineLevel="1" x14ac:dyDescent="0.2">
      <c r="A36" s="308"/>
      <c r="B36" s="418" t="s">
        <v>71</v>
      </c>
      <c r="C36" s="368"/>
      <c r="D36" s="368"/>
      <c r="E36" s="368"/>
      <c r="F36" s="368"/>
      <c r="G36" s="369"/>
      <c r="H36" s="374"/>
      <c r="I36" s="219"/>
      <c r="J36" s="219"/>
      <c r="K36" s="219"/>
      <c r="L36" s="219"/>
      <c r="M36" s="219"/>
      <c r="N36" s="374"/>
      <c r="O36" s="219"/>
      <c r="P36" s="219"/>
      <c r="Q36" s="219"/>
      <c r="R36" s="219"/>
      <c r="S36" s="219"/>
      <c r="T36" s="374"/>
      <c r="U36" s="219"/>
      <c r="V36" s="219"/>
      <c r="W36" s="219"/>
      <c r="X36" s="219"/>
      <c r="Y36" s="219"/>
      <c r="Z36" s="374"/>
      <c r="AA36" s="219"/>
      <c r="AB36" s="219"/>
      <c r="AC36" s="219"/>
      <c r="AD36" s="219"/>
      <c r="AE36" s="219"/>
      <c r="AF36" s="374"/>
      <c r="AG36" s="219">
        <f>+AG35+AA35</f>
        <v>-2.3147429508186736E-2</v>
      </c>
      <c r="AH36" s="219">
        <f>+AH35+AB35</f>
        <v>1.8798488734615787E-2</v>
      </c>
      <c r="AI36" s="219">
        <f>+AI35+AC35</f>
        <v>-3.4304367620166296E-2</v>
      </c>
      <c r="AJ36" s="219">
        <f>+AJ35+AD35</f>
        <v>-5.1682967116339438E-3</v>
      </c>
      <c r="AK36" s="219"/>
      <c r="AL36" s="374"/>
      <c r="AM36" s="219">
        <f>+AM35+AG35</f>
        <v>-9.0415149429990127E-2</v>
      </c>
      <c r="AN36" s="219">
        <f>+AN35+AH35</f>
        <v>1.1962750561982788E-3</v>
      </c>
      <c r="AO36" s="219">
        <f>+AO35+AI35</f>
        <v>4.0303887549853062E-2</v>
      </c>
      <c r="AP36" s="219">
        <f>+AP35+AJ35</f>
        <v>0.12105044074879875</v>
      </c>
      <c r="AQ36" s="219"/>
      <c r="AR36" s="374"/>
      <c r="AS36" s="219">
        <f>+AS35+AM35</f>
        <v>8.8499607423554547E-2</v>
      </c>
      <c r="AT36" s="219">
        <f>+AT35+AN35</f>
        <v>9.9075597835270063E-2</v>
      </c>
      <c r="AU36" s="219">
        <f>+AU35+AO35</f>
        <v>0.14916764482517458</v>
      </c>
      <c r="AV36" s="219">
        <f>+AV35+AP35</f>
        <v>0.14442598448997684</v>
      </c>
      <c r="AW36" s="219"/>
      <c r="AX36" s="374"/>
      <c r="AY36" s="219">
        <f>+AY35+AS35</f>
        <v>0.13700017806494019</v>
      </c>
      <c r="AZ36" s="219">
        <f>+AZ35+AT35</f>
        <v>0.10622546529330447</v>
      </c>
      <c r="BA36" s="219">
        <f>+BA35+AU35</f>
        <v>8.8551555020354084E-2</v>
      </c>
      <c r="BB36" s="219">
        <f>+BB35+AV35</f>
        <v>-1.099607199248781E-2</v>
      </c>
      <c r="BC36" s="219"/>
      <c r="BD36" s="374"/>
      <c r="BE36" s="219"/>
      <c r="BF36" s="771"/>
      <c r="BG36" s="219"/>
      <c r="BH36" s="219"/>
      <c r="BI36" s="219"/>
      <c r="BJ36" s="374"/>
      <c r="BK36" s="219"/>
      <c r="BL36" s="219"/>
      <c r="BM36" s="219"/>
      <c r="BN36" s="219"/>
      <c r="BO36" s="219"/>
      <c r="BP36" s="374"/>
      <c r="BQ36" s="219"/>
      <c r="BR36" s="219"/>
      <c r="BS36" s="219"/>
      <c r="BT36" s="219"/>
      <c r="BU36" s="219"/>
      <c r="BV36" s="374"/>
      <c r="BW36" s="219"/>
      <c r="BX36" s="219"/>
      <c r="BY36" s="219"/>
      <c r="BZ36" s="219"/>
      <c r="CA36" s="219"/>
      <c r="CB36" s="374"/>
      <c r="CC36" s="219"/>
      <c r="CD36" s="219"/>
      <c r="CE36" s="219"/>
      <c r="CF36" s="219"/>
      <c r="CG36" s="219"/>
      <c r="CH36" s="42"/>
    </row>
    <row r="37" spans="1:88" ht="12.75" customHeight="1" outlineLevel="1" x14ac:dyDescent="0.2">
      <c r="A37" s="308"/>
      <c r="B37" s="38" t="s">
        <v>406</v>
      </c>
      <c r="C37" s="369">
        <f>(ALGN!C79+ALGN!C74)/(C10+C13)*1000</f>
        <v>1302.0304568527915</v>
      </c>
      <c r="D37" s="369">
        <f>(ALGN!D79+ALGN!D74)/(D10+D13)*1000</f>
        <v>1279.7494780793318</v>
      </c>
      <c r="E37" s="369">
        <f>(ALGN!E79+ALGN!E74)/(E10+E13)*1000</f>
        <v>1280.4469273743016</v>
      </c>
      <c r="F37" s="369">
        <f>(ALGN!F79+ALGN!F74)/(F10+F13)*1000</f>
        <v>1283.9101964452759</v>
      </c>
      <c r="G37" s="369">
        <f>(ALGN!G79+ALGN!G74)/(G10+G13)*1000</f>
        <v>1285.9676219895889</v>
      </c>
      <c r="H37" s="622"/>
      <c r="I37" s="369">
        <f>(ALGN!I79+ALGN!I74)/(I10+I13)*1000</f>
        <v>1325.9668508287293</v>
      </c>
      <c r="J37" s="369">
        <f>(ALGN!J79+ALGN!J74)/(J10+J13)*1000</f>
        <v>1325.5144943571588</v>
      </c>
      <c r="K37" s="369">
        <f>(ALGN!K79+ALGN!K74)/(K10+K13)*1000</f>
        <v>1316.9949610627577</v>
      </c>
      <c r="L37" s="369">
        <f>(ALGN!L79+ALGN!L74)/(L10+L13)*1000</f>
        <v>1308.8129925961309</v>
      </c>
      <c r="M37" s="369">
        <f>(ALGN!M79+ALGN!M74)/(M10+M13)*1000</f>
        <v>1319.4763435920993</v>
      </c>
      <c r="N37" s="622"/>
      <c r="O37" s="369">
        <f>(ALGN!O79+ALGN!O74)/(O10+O13)*1000</f>
        <v>1292.7284027346177</v>
      </c>
      <c r="P37" s="369">
        <f>(ALGN!P79+ALGN!P74)/(P10+P13)*1000</f>
        <v>1300.1585559214539</v>
      </c>
      <c r="Q37" s="369">
        <f>(ALGN!Q79+ALGN!Q74)/(Q10+Q13)*1000</f>
        <v>1274.9183466606601</v>
      </c>
      <c r="R37" s="369">
        <f>(ALGN!R79+ALGN!R74)/(R10+R13)*1000</f>
        <v>1288.421052631579</v>
      </c>
      <c r="S37" s="369">
        <f>(ALGN!S79+ALGN!S74)/(S10+S13)*1000</f>
        <v>1288.7386997082863</v>
      </c>
      <c r="T37" s="622"/>
      <c r="U37" s="369">
        <f>(ALGN!U79+ALGN!U74)/(U10+U13)*1000</f>
        <v>1291.4691943127964</v>
      </c>
      <c r="V37" s="369">
        <f>(ALGN!V79+ALGN!V74)/(V10+V13)*1000</f>
        <v>1290.1348336405083</v>
      </c>
      <c r="W37" s="369">
        <f>(ALGN!W79+ALGN!W74)/(W10+W13)*1000</f>
        <v>1358.1358135813582</v>
      </c>
      <c r="X37" s="369">
        <f>(ALGN!X79+ALGN!X74)/(X10+X13)*1000</f>
        <v>1328.5305646784616</v>
      </c>
      <c r="Y37" s="369">
        <f>(ALGN!Y79+ALGN!Y74)/(Y10+Y13)*1000</f>
        <v>1316.6144200626959</v>
      </c>
      <c r="Z37" s="369"/>
      <c r="AA37" s="369">
        <f>(ALGN!AA79+ALGN!AA74)/(AA10+AA13)*1000</f>
        <v>1345.7412105835449</v>
      </c>
      <c r="AB37" s="369">
        <f>(ALGN!AB79+ALGN!AB74)/(AB10+AB13)*1000</f>
        <v>1346.5304744217456</v>
      </c>
      <c r="AC37" s="369">
        <f>(ALGN!AC79+ALGN!AC74)/(AC10+AC13)*1000</f>
        <v>1302.1408726916163</v>
      </c>
      <c r="AD37" s="369">
        <f>(ALGN!AD79+ALGN!AD74)/(AD10+AD13)*1000</f>
        <v>1298.4441974916654</v>
      </c>
      <c r="AE37" s="369">
        <f>(ALGN!AE79+ALGN!AE74)/(AE10+AE13)*1000</f>
        <v>1322.2683264177042</v>
      </c>
      <c r="AF37" s="369"/>
      <c r="AG37" s="369">
        <f>(ALGN!AG79+ALGN!AG74)/(AG10+AG13)*1000</f>
        <v>1330.7444852941178</v>
      </c>
      <c r="AH37" s="369">
        <f>(ALGN!AH79+ALGN!AH74)/(AH10+AH13)*1000</f>
        <v>1279.4524317259406</v>
      </c>
      <c r="AI37" s="369">
        <f>(ALGN!AI79+ALGN!AI74)/(AI10+AI13)*1000</f>
        <v>1268.4888825945336</v>
      </c>
      <c r="AJ37" s="369">
        <f>(ALGN!AJ79+ALGN!AJ74)/(AJ10+AJ13)*1000</f>
        <v>1345.5532726739068</v>
      </c>
      <c r="AK37" s="369">
        <f>(ALGN!AK79+ALGN!AK74)/(AK10+AK13)*1000</f>
        <v>1305.0322534015143</v>
      </c>
      <c r="AL37" s="622"/>
      <c r="AM37" s="369">
        <f>(ALGN!AM79+ALGN!AM74)/(AM10+AM13)*1000</f>
        <v>1298.6083232972035</v>
      </c>
      <c r="AN37" s="369">
        <f>(ALGN!AN79+ALGN!AN74)/(AN10+AN13)*1000</f>
        <v>1296.1009319723578</v>
      </c>
      <c r="AO37" s="369">
        <f>(ALGN!AO79+ALGN!AO74)/(AO10+AO13)*1000</f>
        <v>1296.4931985523526</v>
      </c>
      <c r="AP37" s="369">
        <f>(ALGN!AP79+ALGN!AP74)/(AP10+AP13)*1000</f>
        <v>1310.9433491390068</v>
      </c>
      <c r="AQ37" s="369">
        <f>(ALGN!AQ79+ALGN!AQ74)/(AQ10+AQ13)*1000</f>
        <v>1300.5878323483025</v>
      </c>
      <c r="AR37" s="622"/>
      <c r="AS37" s="369">
        <f>(ALGN!AS79+ALGN!AS74)/(AS10+AS13)*1000</f>
        <v>1325.0567732368738</v>
      </c>
      <c r="AT37" s="369">
        <f>(ALGN!AT79+ALGN!AT74)/(AT10+AT13)*1000</f>
        <v>1312.5436334527224</v>
      </c>
      <c r="AU37" s="369">
        <f>(ALGN!AU79+ALGN!AU74)/(AU10+AU13)*1000</f>
        <v>1327.1939581991687</v>
      </c>
      <c r="AV37" s="369">
        <f>(AV30*AV22-AV33*AV16)/(AV10+AV13)</f>
        <v>1305.4260966666718</v>
      </c>
      <c r="AW37" s="369">
        <f>(AW30*AW22-AW33*AW16)/(AW10+AW13)</f>
        <v>1318.9825669151228</v>
      </c>
      <c r="AX37" s="622"/>
      <c r="AY37" s="369">
        <f>(ALGN!AY79+ALGN!AY74)/(AY10+AY13)*1000</f>
        <v>1304.4012731862583</v>
      </c>
      <c r="AZ37" s="369">
        <f>(ALGN!AZ79+ALGN!AZ74)/(AZ10+AZ13)*1000</f>
        <v>1266.4357429718875</v>
      </c>
      <c r="BA37" s="369">
        <f>(ALGN!BA79+ALGN!BA74)/(BA10+BA13)*1000</f>
        <v>1224.9259624876602</v>
      </c>
      <c r="BB37" s="369">
        <f>(ALGN!BB79+ALGN!BB74)/(BB10+BB13)*1000</f>
        <v>1219.0863229666343</v>
      </c>
      <c r="BC37" s="614">
        <f>(BC30*BC22)/(BC16*(1+UnitBuild!$CI$38)+(BC10+BC13))</f>
        <v>1263.9483623407414</v>
      </c>
      <c r="BD37" s="662"/>
      <c r="BE37" s="369">
        <f>(ALGN!BE79+ALGN!BE74)/(BE10+BE13)*1000</f>
        <v>1228.671845124813</v>
      </c>
      <c r="BF37" s="369">
        <f>(ALGN!BF79+ALGN!BF74)/(BF10+BF13)*1000</f>
        <v>1252.9624308911236</v>
      </c>
      <c r="BG37" s="369">
        <f>(ALGN!BG79+ALGN!BG74)/(BG10+BG13)*1000</f>
        <v>1240.7247627264885</v>
      </c>
      <c r="BH37" s="369">
        <f>(ALGN!BH79+ALGN!BH74)/(BH10+BH13)*1000</f>
        <v>1185.4834761321911</v>
      </c>
      <c r="BI37" s="614">
        <f>(BI30*BI22)/(BI16*(1+UnitBuild!$CI$38)+(BI10+BI13))</f>
        <v>1241.4307764144894</v>
      </c>
      <c r="BJ37" s="662"/>
      <c r="BK37" s="369">
        <f>(ALGN!BK79+ALGN!BK74)/(BK10+BK13)*1000</f>
        <v>1241.1290929619875</v>
      </c>
      <c r="BL37" s="369">
        <f>(ALGN!BL79+ALGN!BL74)/(BL10+BL13)*1000</f>
        <v>1272.7731895433758</v>
      </c>
      <c r="BM37" s="369">
        <f>(ALGN!BM79+ALGN!BM74)/(BM10+BM13)*1000</f>
        <v>1337.6889625181198</v>
      </c>
      <c r="BN37" s="369">
        <f>(ALGN!BN79+ALGN!BN74)/(BN10+BN13)*1000</f>
        <v>1309.875529574042</v>
      </c>
      <c r="BO37" s="614">
        <f>(BO30*BO22)/(BO16*(1+UnitBuild!$CI$38)+(BO10+BO13))</f>
        <v>1269.2980428975691</v>
      </c>
      <c r="BP37" s="662"/>
      <c r="BQ37" s="369">
        <f>(ALGN!BQ79+ALGN!BQ74)/(BQ10+BQ13)*1000</f>
        <v>1257.4685746857467</v>
      </c>
      <c r="BR37" s="774">
        <f>(BR30*BR22)/(BR16*(1+UnitBuild!$CI$38)+(BR10+BR13))</f>
        <v>1314.3816293365378</v>
      </c>
      <c r="BS37" s="774">
        <f>(BS30*BS22)/(BS16*(1+UnitBuild!$CI$38)+(BS10+BS13))</f>
        <v>1314.1802962266318</v>
      </c>
      <c r="BT37" s="774">
        <f>(BT30*BT22)/(BT16*(1+UnitBuild!$CI$38)+(BT10+BT13))</f>
        <v>1323.4405631954633</v>
      </c>
      <c r="BU37" s="774">
        <f>(BU30*BU22)/(BU16*(1+UnitBuild!$CI$38)+(BU10+BU13))</f>
        <v>1310.1546060287355</v>
      </c>
      <c r="BV37" s="662"/>
      <c r="BW37" s="774">
        <f>(BW30*BW22)/(BW16*(1+UnitBuild!$CI$38)+(BW10+BW13))</f>
        <v>1303.1616230038651</v>
      </c>
      <c r="BX37" s="774">
        <f>(BX30*BX22)/(BX16*(1+UnitBuild!$CI$38)+(BX10+BX13))</f>
        <v>1364.9269193020239</v>
      </c>
      <c r="BY37" s="774">
        <f>(BY30*BY22)/(BY16*(1+UnitBuild!$CI$38)+(BY10+BY13))</f>
        <v>1353.2332079449488</v>
      </c>
      <c r="BZ37" s="774">
        <f>(BZ30*BZ22)/(BZ16*(1+UnitBuild!$CI$38)+(BZ10+BZ13))</f>
        <v>1367.680254436006</v>
      </c>
      <c r="CA37" s="774">
        <f>(CA30*CA22)/(CA16*(1+UnitBuild!$CI$38)+(CA10+CA13))</f>
        <v>1348.7703242988582</v>
      </c>
      <c r="CB37" s="662"/>
      <c r="CC37" s="774">
        <f>(CC30*CC22)/(CC16*(1+UnitBuild!$CI$38)+(CC10+CC13))</f>
        <v>1338.9710249204218</v>
      </c>
      <c r="CD37" s="774">
        <f>(CD30*CD22)/(CD16*(1+UnitBuild!$CI$38)+(CD10+CD13))</f>
        <v>1380.5876307030958</v>
      </c>
      <c r="CE37" s="774">
        <f>(CE30*CE22)/(CE16*(1+UnitBuild!$CI$38)+(CE10+CE13))</f>
        <v>1370.3274010199186</v>
      </c>
      <c r="CF37" s="774">
        <f>(CF30*CF22)/(CF16*(1+UnitBuild!$CI$38)+(CF10+CF13))</f>
        <v>1385.918269237482</v>
      </c>
      <c r="CG37" s="774">
        <f>(CG30*CG22)/(CG16*(1+UnitBuild!$CI$38)+(CG10+CG13))</f>
        <v>1370.0531951707862</v>
      </c>
      <c r="CH37" s="42"/>
      <c r="CI37" s="665">
        <f>+CG37/AW37-1</f>
        <v>3.8719714374321867E-2</v>
      </c>
    </row>
    <row r="38" spans="1:88" ht="12.75" customHeight="1" outlineLevel="1" x14ac:dyDescent="0.2">
      <c r="A38" s="308"/>
      <c r="B38" s="38" t="s">
        <v>407</v>
      </c>
      <c r="C38" s="369">
        <f>(C30*C22-C33*C16)/(C10+C13)</f>
        <v>1324.3654822335022</v>
      </c>
      <c r="D38" s="369">
        <f>(D30*D22-D33*D16)/(D10+D13)</f>
        <v>1285.5323590814194</v>
      </c>
      <c r="E38" s="369">
        <f>(E30*E22-E33*E16)/(E10+E13)</f>
        <v>1277.5865921787708</v>
      </c>
      <c r="F38" s="369">
        <f>(F30*F22-F33*F16)/(F10+F13)</f>
        <v>1284.5088868101031</v>
      </c>
      <c r="G38" s="369">
        <f>(G30*G22-G33*G16)/(G10+G13)</f>
        <v>1295.7702648589895</v>
      </c>
      <c r="H38" s="622"/>
      <c r="I38" s="369">
        <f>(I30*I22-I33*I16)/(I10+I13)</f>
        <v>1318.6372007366481</v>
      </c>
      <c r="J38" s="369">
        <f>(J30*J22-J33*J16)/(J10+J13)</f>
        <v>1323.5959283027219</v>
      </c>
      <c r="K38" s="369">
        <f>(K30*K22-K33*K16)/(K10+K13)</f>
        <v>1333.4768666972059</v>
      </c>
      <c r="L38" s="369">
        <f>(L30*L22-L33*L16)/(L10+L13)</f>
        <v>1333.9885359445902</v>
      </c>
      <c r="M38" s="369">
        <f>(M30*M22-M33*M16)/(M10+M13)</f>
        <v>1339.5176848874601</v>
      </c>
      <c r="N38" s="622"/>
      <c r="O38" s="369">
        <f>(O30*O22-O33*O16)/(O10+O13)</f>
        <v>1344.2175264139219</v>
      </c>
      <c r="P38" s="369">
        <f>(P30*P22-P33*P16)/(P10+P13)</f>
        <v>1361.9148676667887</v>
      </c>
      <c r="Q38" s="369">
        <f>(Q30*Q22-Q33*Q16)/(Q10+Q13)</f>
        <v>1343.5893681720918</v>
      </c>
      <c r="R38" s="369">
        <f>(R30*R22-R33*R16)/(R10+R13)</f>
        <v>1340.0505263157893</v>
      </c>
      <c r="S38" s="369">
        <f>(S30*S22-S33*S16)/(S10+S13)</f>
        <v>1342.3490165496924</v>
      </c>
      <c r="T38" s="622"/>
      <c r="U38" s="369">
        <f>(U30*U22-U33*U16)/(U10+U13)</f>
        <v>1345.056279620853</v>
      </c>
      <c r="V38" s="369">
        <f>(V30*V22-V33*V16)/(V10+V13)</f>
        <v>1336.4453390241538</v>
      </c>
      <c r="W38" s="369">
        <f>(W30*W22-W33*W16)/(W10+W13)</f>
        <v>1377.0027002700269</v>
      </c>
      <c r="X38" s="369">
        <f>(X30*X22-X33*X16)/(X10+X13)</f>
        <v>1356.8412967475367</v>
      </c>
      <c r="Y38" s="369">
        <f>(Y30*Y22-Y33*Y16)/(Y10+Y13)</f>
        <v>1361.473354231975</v>
      </c>
      <c r="Z38" s="622"/>
      <c r="AA38" s="369">
        <f>(AA30*AA22-AA33*AA16)/(AA10+AA13)</f>
        <v>1348.0554548749549</v>
      </c>
      <c r="AB38" s="369">
        <f>(AB30*AB22-AB33*AB16)/(AB10+AB13)</f>
        <v>1339.1321965220327</v>
      </c>
      <c r="AC38" s="369">
        <f>(AC30*AC22-AC33*AC16)/(AC10+AC13)</f>
        <v>1333.0348096094137</v>
      </c>
      <c r="AD38" s="369">
        <f>(AD30*AD22-AD33*AD16)/(AD10+AD13)</f>
        <v>1307.1027147166217</v>
      </c>
      <c r="AE38" s="369">
        <f>(AE30*AE22-AE33*AE16)/(AE10+AE13)</f>
        <v>1331.5292447294521</v>
      </c>
      <c r="AF38" s="369"/>
      <c r="AG38" s="369">
        <f>(AG30*AG22-AG33*AG16)/(AG10+AG13)</f>
        <v>1334.7935814950981</v>
      </c>
      <c r="AH38" s="369">
        <f>(AH30*AH22-AH33*AH16)/(AH10+AH13)</f>
        <v>1297.6965673797897</v>
      </c>
      <c r="AI38" s="369">
        <f>(AI30*AI22-AI33*AI16)/(AI10+AI13)</f>
        <v>1309.1421186800735</v>
      </c>
      <c r="AJ38" s="369">
        <f>(AJ30*AJ22-AJ33*AJ16)/(AJ10+AJ13)</f>
        <v>1348.7716466099205</v>
      </c>
      <c r="AK38" s="369">
        <f>(AK30*AK22-AK33*AK16)/(AK10+AK13)</f>
        <v>1322.5450824855898</v>
      </c>
      <c r="AL38" s="622"/>
      <c r="AM38" s="369">
        <f>(AM30*AM22-AM33*AM16)/(AM10+AM13)</f>
        <v>1287.7448815736655</v>
      </c>
      <c r="AN38" s="369">
        <f>(AN30*AN22-AN33*AN16)/(AN10+AN13)</f>
        <v>1298.3195967793063</v>
      </c>
      <c r="AO38" s="369">
        <f>(AO30*AO22-AO33*AO16)/(AO10+AO13)</f>
        <v>1294.9101460127292</v>
      </c>
      <c r="AP38" s="369">
        <f>(AP30*AP22-AP33*AP16)/(AP10+AP13)</f>
        <v>1311.0019965061142</v>
      </c>
      <c r="AQ38" s="369">
        <f>(AQ30*AQ22-AQ33*AQ16)/(AQ10+AQ13)</f>
        <v>1299.5839971006644</v>
      </c>
      <c r="AR38" s="622"/>
      <c r="AS38" s="369">
        <f>(AS30*AS22-AS33*AS16)/(AS10+AS13)</f>
        <v>1323.7922299682632</v>
      </c>
      <c r="AT38" s="369">
        <f>(AT30*AT22-AT33*AT16)/(AT10+AT13)</f>
        <v>1315.9006144495361</v>
      </c>
      <c r="AU38" s="369">
        <f>(AU30*AU22-AU33*AU16)/(AU10+AU13)</f>
        <v>1328.9072653825885</v>
      </c>
      <c r="AV38" s="369">
        <f>(AV30*AV22-AV33*AV16)/(AV10+AV13)</f>
        <v>1305.4260966666718</v>
      </c>
      <c r="AW38" s="369">
        <f>(AW30*AW22-AW33*AW16)/(AW10+AW13)</f>
        <v>1318.9825669151228</v>
      </c>
      <c r="AX38" s="622"/>
      <c r="AY38" s="369">
        <f>+AY37</f>
        <v>1304.4012731862583</v>
      </c>
      <c r="AZ38" s="369">
        <f>+AZ37</f>
        <v>1266.4357429718875</v>
      </c>
      <c r="BA38" s="369">
        <f>+BA37</f>
        <v>1224.9259624876602</v>
      </c>
      <c r="BB38" s="369">
        <f>+BB37</f>
        <v>1219.0863229666343</v>
      </c>
      <c r="BC38" s="369">
        <f>+BC37</f>
        <v>1263.9483623407414</v>
      </c>
      <c r="BD38" s="622"/>
      <c r="BE38" s="369">
        <f>+BE37</f>
        <v>1228.671845124813</v>
      </c>
      <c r="BF38" s="369">
        <f>+BF37</f>
        <v>1252.9624308911236</v>
      </c>
      <c r="BG38" s="369">
        <f>+BG37</f>
        <v>1240.7247627264885</v>
      </c>
      <c r="BH38" s="369">
        <f>+BH37</f>
        <v>1185.4834761321911</v>
      </c>
      <c r="BI38" s="369">
        <f>+BI37</f>
        <v>1241.4307764144894</v>
      </c>
      <c r="BJ38" s="622"/>
      <c r="BK38" s="369">
        <f>+BK37</f>
        <v>1241.1290929619875</v>
      </c>
      <c r="BL38" s="369">
        <f>+BL37</f>
        <v>1272.7731895433758</v>
      </c>
      <c r="BM38" s="369">
        <f>+BM37</f>
        <v>1337.6889625181198</v>
      </c>
      <c r="BN38" s="369">
        <f>+BN37</f>
        <v>1309.875529574042</v>
      </c>
      <c r="BO38" s="369">
        <f>+BO37</f>
        <v>1269.2980428975691</v>
      </c>
      <c r="BP38" s="622"/>
      <c r="BQ38" s="369">
        <f>+BQ37</f>
        <v>1257.4685746857467</v>
      </c>
      <c r="BR38" s="369">
        <f>+BR37</f>
        <v>1314.3816293365378</v>
      </c>
      <c r="BS38" s="369">
        <f>+BS37</f>
        <v>1314.1802962266318</v>
      </c>
      <c r="BT38" s="369">
        <f>+BT37</f>
        <v>1323.4405631954633</v>
      </c>
      <c r="BU38" s="369">
        <f>+BU37</f>
        <v>1310.1546060287355</v>
      </c>
      <c r="BV38" s="622"/>
      <c r="BW38" s="369">
        <f>+BW37</f>
        <v>1303.1616230038651</v>
      </c>
      <c r="BX38" s="369">
        <f>+BX37</f>
        <v>1364.9269193020239</v>
      </c>
      <c r="BY38" s="369">
        <f>+BY37</f>
        <v>1353.2332079449488</v>
      </c>
      <c r="BZ38" s="369">
        <f>+BZ37</f>
        <v>1367.680254436006</v>
      </c>
      <c r="CA38" s="369">
        <f>+CA37</f>
        <v>1348.7703242988582</v>
      </c>
      <c r="CB38" s="622"/>
      <c r="CC38" s="369">
        <f>+CC37</f>
        <v>1338.9710249204218</v>
      </c>
      <c r="CD38" s="369">
        <f>+CD37</f>
        <v>1380.5876307030958</v>
      </c>
      <c r="CE38" s="369">
        <f>+CE37</f>
        <v>1370.3274010199186</v>
      </c>
      <c r="CF38" s="369">
        <f>+CF37</f>
        <v>1385.918269237482</v>
      </c>
      <c r="CG38" s="369">
        <f>+CG37</f>
        <v>1370.0531951707862</v>
      </c>
      <c r="CH38" s="42"/>
      <c r="CI38" s="705">
        <v>0.05</v>
      </c>
      <c r="CJ38" s="610" t="s">
        <v>405</v>
      </c>
    </row>
    <row r="39" spans="1:88" ht="12.75" customHeight="1" outlineLevel="1" x14ac:dyDescent="0.2">
      <c r="A39" s="308"/>
      <c r="B39" s="418" t="s">
        <v>235</v>
      </c>
      <c r="C39" s="369"/>
      <c r="D39" s="369"/>
      <c r="E39" s="369"/>
      <c r="F39" s="369"/>
      <c r="G39" s="219"/>
      <c r="H39" s="374"/>
      <c r="I39" s="369"/>
      <c r="J39" s="369"/>
      <c r="K39" s="369"/>
      <c r="L39" s="369"/>
      <c r="M39" s="219">
        <f>M37/G37-1</f>
        <v>2.6057204730137284E-2</v>
      </c>
      <c r="N39" s="374"/>
      <c r="O39" s="369"/>
      <c r="P39" s="369"/>
      <c r="Q39" s="369"/>
      <c r="R39" s="369"/>
      <c r="S39" s="219">
        <f t="shared" ref="S39:Y39" si="14">S37/M37-1</f>
        <v>-2.3295335329873268E-2</v>
      </c>
      <c r="T39" s="374"/>
      <c r="U39" s="219">
        <f t="shared" si="14"/>
        <v>-9.7407036091845534E-4</v>
      </c>
      <c r="V39" s="219">
        <f t="shared" si="14"/>
        <v>-7.7096152890687719E-3</v>
      </c>
      <c r="W39" s="219">
        <f t="shared" si="14"/>
        <v>6.5272781695130622E-2</v>
      </c>
      <c r="X39" s="219">
        <f t="shared" si="14"/>
        <v>3.1130748729198077E-2</v>
      </c>
      <c r="Y39" s="219">
        <f t="shared" si="14"/>
        <v>2.1630234554700145E-2</v>
      </c>
      <c r="Z39" s="374"/>
      <c r="AA39" s="219">
        <f>AA37/U37-1</f>
        <v>4.2023469479368636E-2</v>
      </c>
      <c r="AB39" s="219">
        <f>AB37/V37-1</f>
        <v>4.3712982016073321E-2</v>
      </c>
      <c r="AC39" s="219">
        <f>AC37/W37-1</f>
        <v>-4.1229264650701647E-2</v>
      </c>
      <c r="AD39" s="219">
        <f>AD37/X37-1</f>
        <v>-2.2646349272421817E-2</v>
      </c>
      <c r="AE39" s="219">
        <f>AE37/Y37-1</f>
        <v>4.2942764934468247E-3</v>
      </c>
      <c r="AF39" s="374"/>
      <c r="AG39" s="219">
        <f>AG37/AA37-1</f>
        <v>-1.1143840414104655E-2</v>
      </c>
      <c r="AH39" s="219">
        <f>AH37/AB37-1</f>
        <v>-4.9815465724688424E-2</v>
      </c>
      <c r="AI39" s="219">
        <f>AI37/AC37-1</f>
        <v>-2.5843586360607573E-2</v>
      </c>
      <c r="AJ39" s="219">
        <f>AJ37/AD37-1</f>
        <v>3.6281170398579032E-2</v>
      </c>
      <c r="AK39" s="219">
        <f>AK37/AE37-1</f>
        <v>-1.3035230952620602E-2</v>
      </c>
      <c r="AL39" s="374"/>
      <c r="AM39" s="219">
        <f>AM37/AG37-1</f>
        <v>-2.4149010085742884E-2</v>
      </c>
      <c r="AN39" s="219">
        <f>AN37/AH37-1</f>
        <v>1.3012207279921251E-2</v>
      </c>
      <c r="AO39" s="219">
        <f>AO37/AI37-1</f>
        <v>2.207691083625396E-2</v>
      </c>
      <c r="AP39" s="219">
        <f>AP37/AJ37-1</f>
        <v>-2.5721704400541889E-2</v>
      </c>
      <c r="AQ39" s="219">
        <f>AQ37/AK37-1</f>
        <v>-3.4056024604967039E-3</v>
      </c>
      <c r="AR39" s="374"/>
      <c r="AS39" s="219">
        <f>AS37/AM37-1</f>
        <v>2.0366764531831283E-2</v>
      </c>
      <c r="AT39" s="219">
        <f>AT37/AN37-1</f>
        <v>1.2686281658128795E-2</v>
      </c>
      <c r="AU39" s="219">
        <f>AU37/AO37-1</f>
        <v>2.3679846281566386E-2</v>
      </c>
      <c r="AV39" s="219">
        <f>AV37/AP37-1</f>
        <v>-4.2086124285680704E-3</v>
      </c>
      <c r="AW39" s="219">
        <f>AW37/AQ37-1</f>
        <v>1.4143400475773449E-2</v>
      </c>
      <c r="AX39" s="374"/>
      <c r="AY39" s="219">
        <f>AY37/AS37-1</f>
        <v>-1.5588388714966372E-2</v>
      </c>
      <c r="AZ39" s="219">
        <f>AZ37/AT37-1</f>
        <v>-3.5128653482966787E-2</v>
      </c>
      <c r="BA39" s="219">
        <f>BA37/AU37-1</f>
        <v>-7.7055802642646887E-2</v>
      </c>
      <c r="BB39" s="219">
        <f>BB37/AV37-1</f>
        <v>-6.613915097951617E-2</v>
      </c>
      <c r="BC39" s="219">
        <f>BC37/AW37-1</f>
        <v>-4.1724739928213794E-2</v>
      </c>
      <c r="BD39" s="374"/>
      <c r="BE39" s="219">
        <f>BE37/AY37-1</f>
        <v>-5.8056849236631902E-2</v>
      </c>
      <c r="BF39" s="219">
        <f>BF37/AZ37-1</f>
        <v>-1.0638764860778971E-2</v>
      </c>
      <c r="BG39" s="219">
        <f>BG37/BA37-1</f>
        <v>1.2897759311708112E-2</v>
      </c>
      <c r="BH39" s="219">
        <f>BH37/BB37-1</f>
        <v>-2.756396015720286E-2</v>
      </c>
      <c r="BI39" s="219">
        <f>BI37/BC37-1</f>
        <v>-1.7815273627595829E-2</v>
      </c>
      <c r="BJ39" s="374"/>
      <c r="BK39" s="219">
        <f>BK37/BE37-1</f>
        <v>1.0138791644492384E-2</v>
      </c>
      <c r="BL39" s="219">
        <f>BL37/BF37-1</f>
        <v>1.5811135405043641E-2</v>
      </c>
      <c r="BM39" s="219">
        <f>BM37/BG37-1</f>
        <v>7.8151256994784868E-2</v>
      </c>
      <c r="BN39" s="219">
        <f>BN37/BH37-1</f>
        <v>0.10492938615028002</v>
      </c>
      <c r="BO39" s="219">
        <f>BO37/BI37-1</f>
        <v>2.2447700679345317E-2</v>
      </c>
      <c r="BP39" s="374"/>
      <c r="BQ39" s="219">
        <f>BQ37/BK37-1</f>
        <v>1.3165013870365838E-2</v>
      </c>
      <c r="BR39" s="219">
        <f>BR37/BL37-1</f>
        <v>3.2691166136277205E-2</v>
      </c>
      <c r="BS39" s="219">
        <f>BS37/BM37-1</f>
        <v>-1.7574090053964708E-2</v>
      </c>
      <c r="BT39" s="219">
        <f>BT37/BN37-1</f>
        <v>1.0355971476032177E-2</v>
      </c>
      <c r="BU39" s="219">
        <f>BU37/BO37-1</f>
        <v>3.2188313343569419E-2</v>
      </c>
      <c r="BV39" s="374"/>
      <c r="BW39" s="219">
        <f>BW37/BQ37-1</f>
        <v>3.6337328214772757E-2</v>
      </c>
      <c r="BX39" s="219">
        <f>BX37/BR37-1</f>
        <v>3.8455566357086024E-2</v>
      </c>
      <c r="BY39" s="219">
        <f>BY37/BS37-1</f>
        <v>2.9716555506461795E-2</v>
      </c>
      <c r="BZ39" s="219">
        <f>BZ37/BT37-1</f>
        <v>3.3427788501302569E-2</v>
      </c>
      <c r="CA39" s="219">
        <f>CA37/BU37-1</f>
        <v>2.9474168996873162E-2</v>
      </c>
      <c r="CB39" s="374"/>
      <c r="CC39" s="219">
        <f>CC37/BW37-1</f>
        <v>2.7478864696777849E-2</v>
      </c>
      <c r="CD39" s="219">
        <f>CD37/BX37-1</f>
        <v>1.1473662933602524E-2</v>
      </c>
      <c r="CE39" s="219">
        <f>CE37/BY37-1</f>
        <v>1.2632111726647244E-2</v>
      </c>
      <c r="CF39" s="219">
        <f>CF37/BZ37-1</f>
        <v>1.3334998982636348E-2</v>
      </c>
      <c r="CG39" s="219">
        <f>CG37/CA37-1</f>
        <v>1.5779462587888426E-2</v>
      </c>
      <c r="CH39" s="42"/>
    </row>
    <row r="40" spans="1:88" ht="12.75" customHeight="1" outlineLevel="1" x14ac:dyDescent="0.2">
      <c r="A40" s="308"/>
      <c r="B40" s="418" t="s">
        <v>71</v>
      </c>
      <c r="C40" s="368"/>
      <c r="D40" s="368"/>
      <c r="E40" s="368"/>
      <c r="F40" s="368"/>
      <c r="G40" s="369"/>
      <c r="H40" s="374"/>
      <c r="I40" s="219"/>
      <c r="J40" s="219"/>
      <c r="K40" s="219"/>
      <c r="L40" s="219"/>
      <c r="M40" s="219"/>
      <c r="N40" s="374"/>
      <c r="O40" s="219"/>
      <c r="P40" s="219"/>
      <c r="Q40" s="219"/>
      <c r="R40" s="219"/>
      <c r="S40" s="219"/>
      <c r="T40" s="374"/>
      <c r="U40" s="219"/>
      <c r="V40" s="219"/>
      <c r="W40" s="219"/>
      <c r="X40" s="219"/>
      <c r="Y40" s="219"/>
      <c r="Z40" s="374"/>
      <c r="AA40" s="219"/>
      <c r="AB40" s="219"/>
      <c r="AC40" s="219"/>
      <c r="AD40" s="219"/>
      <c r="AE40" s="219"/>
      <c r="AF40" s="374"/>
      <c r="AG40" s="219">
        <f>+AG39+AA39</f>
        <v>3.087962906526398E-2</v>
      </c>
      <c r="AH40" s="219">
        <f>+AH39+AB39</f>
        <v>-6.1024837086151029E-3</v>
      </c>
      <c r="AI40" s="219">
        <f>+AI39+AC39</f>
        <v>-6.707285101130922E-2</v>
      </c>
      <c r="AJ40" s="219">
        <f>+AJ39+AD39</f>
        <v>1.3634821126157215E-2</v>
      </c>
      <c r="AK40" s="219"/>
      <c r="AL40" s="374"/>
      <c r="AM40" s="219">
        <f>+AM39+AG39</f>
        <v>-3.5292850499847539E-2</v>
      </c>
      <c r="AN40" s="219">
        <f>+AN39+AH39</f>
        <v>-3.6803258444767173E-2</v>
      </c>
      <c r="AO40" s="219">
        <f>+AO39+AI39</f>
        <v>-3.7666755243536132E-3</v>
      </c>
      <c r="AP40" s="219">
        <f>+AP39+AJ39</f>
        <v>1.0559465998037143E-2</v>
      </c>
      <c r="AQ40" s="219"/>
      <c r="AR40" s="374"/>
      <c r="AS40" s="219">
        <f>+AS39+AM39</f>
        <v>-3.7822455539116007E-3</v>
      </c>
      <c r="AT40" s="219">
        <f>+AT39+AN39</f>
        <v>2.5698488938050046E-2</v>
      </c>
      <c r="AU40" s="219">
        <f>+AU39+AO39</f>
        <v>4.5756757117820346E-2</v>
      </c>
      <c r="AV40" s="219">
        <f>+AV39+AP39</f>
        <v>-2.993031682910996E-2</v>
      </c>
      <c r="AW40" s="219"/>
      <c r="AX40" s="374"/>
      <c r="AY40" s="219">
        <f>+AY39+AS39</f>
        <v>4.7783758168649104E-3</v>
      </c>
      <c r="AZ40" s="219">
        <f>+AZ39+AT39</f>
        <v>-2.2442371824837992E-2</v>
      </c>
      <c r="BA40" s="219">
        <f>+BA39+AU39</f>
        <v>-5.3375956361080501E-2</v>
      </c>
      <c r="BB40" s="219">
        <f>+BB39+AV39</f>
        <v>-7.0347763408084241E-2</v>
      </c>
      <c r="BC40" s="219"/>
      <c r="BD40" s="374"/>
      <c r="BE40" s="219">
        <f>+BE39+AY39</f>
        <v>-7.3645237951598275E-2</v>
      </c>
      <c r="BF40" s="219">
        <f t="shared" ref="BF40:BH40" si="15">+BF39+AZ39</f>
        <v>-4.5767418343745758E-2</v>
      </c>
      <c r="BG40" s="219">
        <f t="shared" si="15"/>
        <v>-6.4158043330938774E-2</v>
      </c>
      <c r="BH40" s="219">
        <f t="shared" si="15"/>
        <v>-9.3703111136719031E-2</v>
      </c>
      <c r="BI40" s="219"/>
      <c r="BJ40" s="374"/>
      <c r="BK40" s="219">
        <f>+BK39+BE39</f>
        <v>-4.7918057592139518E-2</v>
      </c>
      <c r="BL40" s="219">
        <f>+BL39+BF39</f>
        <v>5.1723705442646706E-3</v>
      </c>
      <c r="BM40" s="219">
        <f>+BM39+BG39</f>
        <v>9.104901630649298E-2</v>
      </c>
      <c r="BN40" s="219">
        <f>+BN39+BH39</f>
        <v>7.7365425993077164E-2</v>
      </c>
      <c r="BO40" s="219"/>
      <c r="BP40" s="374"/>
      <c r="BQ40" s="219">
        <f>+BQ39+BK39</f>
        <v>2.3303805514858222E-2</v>
      </c>
      <c r="BR40" s="219">
        <f t="shared" ref="BR40" si="16">+BR39+BL39</f>
        <v>4.8502301541320847E-2</v>
      </c>
      <c r="BS40" s="219">
        <f t="shared" ref="BS40" si="17">+BS39+BM39</f>
        <v>6.057716694082016E-2</v>
      </c>
      <c r="BT40" s="219">
        <f t="shared" ref="BT40" si="18">+BT39+BN39</f>
        <v>0.1152853576263122</v>
      </c>
      <c r="BU40" s="219"/>
      <c r="BV40" s="374"/>
      <c r="BW40" s="219"/>
      <c r="BX40" s="219"/>
      <c r="BY40" s="219"/>
      <c r="BZ40" s="219"/>
      <c r="CA40" s="219"/>
      <c r="CB40" s="374"/>
      <c r="CC40" s="219"/>
      <c r="CD40" s="219"/>
      <c r="CE40" s="219"/>
      <c r="CF40" s="219"/>
      <c r="CG40" s="219"/>
      <c r="CH40" s="42"/>
    </row>
    <row r="41" spans="1:88" ht="12.75" customHeight="1" outlineLevel="1" x14ac:dyDescent="0.2">
      <c r="A41" s="308"/>
      <c r="B41" s="418" t="s">
        <v>236</v>
      </c>
      <c r="C41" s="369"/>
      <c r="D41" s="369"/>
      <c r="E41" s="369"/>
      <c r="F41" s="369"/>
      <c r="G41" s="219"/>
      <c r="H41" s="219"/>
      <c r="I41" s="219">
        <f>I38/C38-1</f>
        <v>-4.3253026250681392E-3</v>
      </c>
      <c r="J41" s="219">
        <f>J38/D38-1</f>
        <v>2.9609187938684833E-2</v>
      </c>
      <c r="K41" s="219">
        <f>K38/E38-1</f>
        <v>4.3746760384453465E-2</v>
      </c>
      <c r="L41" s="219">
        <f>L38/F38-1</f>
        <v>3.8520285567944068E-2</v>
      </c>
      <c r="M41" s="219">
        <f>M38/G38-1</f>
        <v>3.3761710092360619E-2</v>
      </c>
      <c r="N41" s="219"/>
      <c r="O41" s="219">
        <f>O38/I38-1</f>
        <v>1.9399062655735433E-2</v>
      </c>
      <c r="P41" s="219">
        <f>P38/J38-1</f>
        <v>2.8950632549318955E-2</v>
      </c>
      <c r="Q41" s="219">
        <f>Q38/K38-1</f>
        <v>7.5835597357851725E-3</v>
      </c>
      <c r="R41" s="219">
        <f>R38/L38-1</f>
        <v>4.5442597202731694E-3</v>
      </c>
      <c r="S41" s="219">
        <f>S38/M38-1</f>
        <v>2.1136948725466453E-3</v>
      </c>
      <c r="T41" s="219"/>
      <c r="U41" s="219">
        <f>U38/O38-1</f>
        <v>6.2397133681835193E-4</v>
      </c>
      <c r="V41" s="219">
        <f>V38/P38-1</f>
        <v>-1.8701263380925481E-2</v>
      </c>
      <c r="W41" s="219">
        <f>W38/Q38-1</f>
        <v>2.4868708319263355E-2</v>
      </c>
      <c r="X41" s="219">
        <f>X38/R38-1</f>
        <v>1.2529953238338276E-2</v>
      </c>
      <c r="Y41" s="219">
        <f>Y38/S38-1</f>
        <v>1.4246918980459267E-2</v>
      </c>
      <c r="Z41" s="374"/>
      <c r="AA41" s="219">
        <f>AA38/U38-1</f>
        <v>2.2297767755468101E-3</v>
      </c>
      <c r="AB41" s="219">
        <f>AB38/V38-1</f>
        <v>2.0104507228413393E-3</v>
      </c>
      <c r="AC41" s="219">
        <f>AC38/W38-1</f>
        <v>-3.1930141205962159E-2</v>
      </c>
      <c r="AD41" s="219">
        <f>AD38/X38-1</f>
        <v>-3.6657626909014751E-2</v>
      </c>
      <c r="AE41" s="219">
        <f>AE38/Y38-1</f>
        <v>-2.1993900511857456E-2</v>
      </c>
      <c r="AF41" s="422"/>
      <c r="AG41" s="219">
        <f>AG38/AA38-1</f>
        <v>-9.8377802870779352E-3</v>
      </c>
      <c r="AH41" s="219">
        <f>AH38/AB38-1</f>
        <v>-3.0942149886216463E-2</v>
      </c>
      <c r="AI41" s="219">
        <f>AI38/AC38-1</f>
        <v>-1.7923531146452842E-2</v>
      </c>
      <c r="AJ41" s="219">
        <f>AJ38/AD38-1</f>
        <v>3.1878850394961189E-2</v>
      </c>
      <c r="AK41" s="219"/>
      <c r="AL41" s="374"/>
      <c r="AM41" s="219">
        <f>AM38/AG38-1</f>
        <v>-3.5247921906197299E-2</v>
      </c>
      <c r="AN41" s="219">
        <f>AN38/AH38-1</f>
        <v>4.8010406683474116E-4</v>
      </c>
      <c r="AO41" s="219">
        <f>AO38/AI38-1</f>
        <v>-1.0871220522408631E-2</v>
      </c>
      <c r="AP41" s="219">
        <f>AP38/AJ38-1</f>
        <v>-2.8002998282725344E-2</v>
      </c>
      <c r="AQ41" s="219"/>
      <c r="AR41" s="374"/>
      <c r="AS41" s="219"/>
      <c r="AT41" s="219"/>
      <c r="AU41" s="219"/>
      <c r="AV41" s="219"/>
      <c r="AW41" s="219"/>
      <c r="AX41" s="374"/>
      <c r="AY41" s="219"/>
      <c r="AZ41" s="219"/>
      <c r="BA41" s="219"/>
      <c r="BB41" s="219"/>
      <c r="BC41" s="219"/>
      <c r="BD41" s="374"/>
      <c r="BE41" s="219"/>
      <c r="BF41" s="219"/>
      <c r="BG41" s="219"/>
      <c r="BH41" s="219"/>
      <c r="BI41" s="219"/>
      <c r="BJ41" s="374"/>
      <c r="BK41" s="219"/>
      <c r="BL41" s="219"/>
      <c r="BM41" s="219"/>
      <c r="BN41" s="219"/>
      <c r="BO41" s="219"/>
      <c r="BP41" s="374"/>
      <c r="BQ41" s="219"/>
      <c r="BR41" s="219"/>
      <c r="BS41" s="219"/>
      <c r="BT41" s="219"/>
      <c r="BU41" s="219"/>
      <c r="BV41" s="374"/>
      <c r="BW41" s="219"/>
      <c r="BX41" s="219"/>
      <c r="BY41" s="219"/>
      <c r="BZ41" s="219"/>
      <c r="CA41" s="219"/>
      <c r="CB41" s="374"/>
      <c r="CC41" s="219"/>
      <c r="CD41" s="219"/>
      <c r="CE41" s="219"/>
      <c r="CF41" s="219"/>
      <c r="CG41" s="219"/>
      <c r="CH41" s="42"/>
    </row>
    <row r="42" spans="1:88" ht="12.75" customHeight="1" outlineLevel="1" x14ac:dyDescent="0.2">
      <c r="A42" s="230"/>
      <c r="B42" s="38" t="s">
        <v>75</v>
      </c>
      <c r="C42" s="42"/>
      <c r="D42" s="42"/>
      <c r="E42" s="42"/>
      <c r="F42" s="42"/>
      <c r="G42" s="369">
        <f>ALGN!G85/G16*1000</f>
        <v>1660.1353758460989</v>
      </c>
      <c r="H42" s="31"/>
      <c r="I42" s="369">
        <f>ALGN!I85/I16*1000</f>
        <v>1704.6818727490995</v>
      </c>
      <c r="J42" s="369">
        <f>ALGN!J85/J16*1000</f>
        <v>1694.2148760330579</v>
      </c>
      <c r="K42" s="369">
        <f>ALGN!K85/K16*1000</f>
        <v>1652.0787746170679</v>
      </c>
      <c r="L42" s="369">
        <f>ALGN!L85/L16*1000</f>
        <v>1504.1782729805013</v>
      </c>
      <c r="M42" s="369">
        <f>ALGN!M85/M16*1000</f>
        <v>1632.3839662447256</v>
      </c>
      <c r="N42" s="31"/>
      <c r="O42" s="369">
        <f>ALGN!O85/O16*1000</f>
        <v>1453.9908490086427</v>
      </c>
      <c r="P42" s="369">
        <f>ALGN!P85/P16*1000</f>
        <v>1507.0774354704415</v>
      </c>
      <c r="Q42" s="369">
        <f>ALGN!Q85/Q16*1000</f>
        <v>1526.4026402640266</v>
      </c>
      <c r="R42" s="369">
        <f>ALGN!R85/R16*1000</f>
        <v>1570.7964601769911</v>
      </c>
      <c r="S42" s="369">
        <f>ALGN!S85/S16*1000</f>
        <v>1519.2004208311416</v>
      </c>
      <c r="T42" s="31"/>
      <c r="U42" s="369">
        <f>ALGN!U85/U16*1000</f>
        <v>1542.0200462606012</v>
      </c>
      <c r="V42" s="369">
        <f>ALGN!V85/V16*1000</f>
        <v>1380.1756587202008</v>
      </c>
      <c r="W42" s="369">
        <f>ALGN!W85/W16*1000</f>
        <v>1428.1317328408741</v>
      </c>
      <c r="X42" s="369">
        <f>ALGN!X85/X16*1000</f>
        <v>1521.939245167229</v>
      </c>
      <c r="Y42" s="369">
        <f>ALGN!Y85/Y16*1000</f>
        <v>1464.6053702196909</v>
      </c>
      <c r="Z42" s="31"/>
      <c r="AA42" s="369">
        <f>ALGN!AA85/AA16*1000</f>
        <v>1555.2192711550338</v>
      </c>
      <c r="AB42" s="369">
        <f>ALGN!AB85/AB16*1000</f>
        <v>1661.5842763549733</v>
      </c>
      <c r="AC42" s="369">
        <f>ALGN!AC85/AC16*1000</f>
        <v>1560.0440286186019</v>
      </c>
      <c r="AD42" s="369">
        <f>ALGN!AD85/AD16*1000</f>
        <v>1533.3673469387754</v>
      </c>
      <c r="AE42" s="369">
        <f>ALGN!AE85/AE16*1000</f>
        <v>1575.6466431095407</v>
      </c>
      <c r="AF42" s="31"/>
      <c r="AG42" s="369">
        <f>ALGN!AG85/AG16*1000</f>
        <v>1486.1145859394546</v>
      </c>
      <c r="AH42" s="369">
        <f>ALGN!AH85/AH16*1000</f>
        <v>1455.3219738880284</v>
      </c>
      <c r="AI42" s="369">
        <f>ALGN!AI85/AI16*1000</f>
        <v>1355.8548276649165</v>
      </c>
      <c r="AJ42" s="369">
        <f>ALGN!AJ85/AJ16*1000</f>
        <v>1455.3715308863025</v>
      </c>
      <c r="AK42" s="369">
        <f>ALGN!AK85/AK16*1000</f>
        <v>1437.3279585372875</v>
      </c>
      <c r="AL42" s="31"/>
      <c r="AM42" s="369">
        <f>ALGN!AM85/AM16*1000</f>
        <v>1357.1337172104927</v>
      </c>
      <c r="AN42" s="369">
        <f>ALGN!AN85/AN16*1000</f>
        <v>1478.5478547854786</v>
      </c>
      <c r="AO42" s="369">
        <f>ALGN!AO85/AO16*1000</f>
        <v>1456.2196488606648</v>
      </c>
      <c r="AP42" s="369">
        <f>ALGN!AP85/AP16*1000</f>
        <v>1631.5704611415672</v>
      </c>
      <c r="AQ42" s="369">
        <f>ALGN!AQ85/AQ16*1000</f>
        <v>1490.5387345038944</v>
      </c>
      <c r="AR42" s="31"/>
      <c r="AS42" s="369">
        <f>ALGN!AS85/AS16*1000</f>
        <v>1620.5461638491547</v>
      </c>
      <c r="AT42" s="369">
        <f>ALGN!AT85/AT16*1000</f>
        <v>1625.1959361393322</v>
      </c>
      <c r="AU42" s="369">
        <f>ALGN!AU85/AU16*1000</f>
        <v>1562.0871090324467</v>
      </c>
      <c r="AV42" s="369">
        <f>ALGN!AV85/AV16*1000</f>
        <v>1511.675</v>
      </c>
      <c r="AW42" s="369">
        <f>+(SUM(ALGN!AS85:AU85,(UnitBuild!AV33*UnitBuild!AV16)/1000)/AW16)*1000</f>
        <v>1575.6347726294648</v>
      </c>
      <c r="AX42" s="31"/>
      <c r="AY42" s="369">
        <f>ALGN!AY85/AY16*1000</f>
        <v>1409.6294429039572</v>
      </c>
      <c r="AZ42" s="723">
        <f>ALGN!AZ85/AZ16*1000</f>
        <v>1378.5300668151447</v>
      </c>
      <c r="BA42" s="723">
        <f>ALGN!BA85/BA16*1000</f>
        <v>1326.0822510822509</v>
      </c>
      <c r="BB42" s="369">
        <f>+BB33</f>
        <v>1315</v>
      </c>
      <c r="BC42" s="369">
        <f>+SUMPRODUCT(AY42:BB42,AY16:BB16)/BC16</f>
        <v>1353.5176566632194</v>
      </c>
      <c r="BD42" s="31"/>
      <c r="BE42" s="369">
        <f>+BE33</f>
        <v>1315</v>
      </c>
      <c r="BF42" s="369">
        <f>+BF33</f>
        <v>1345</v>
      </c>
      <c r="BG42" s="369">
        <f>+BG33</f>
        <v>1365</v>
      </c>
      <c r="BH42" s="369">
        <f>+BH33</f>
        <v>1315</v>
      </c>
      <c r="BI42" s="369">
        <f>+SUMPRODUCT(BE42:BH42,BE16:BH16)/BI16</f>
        <v>1335.263136389638</v>
      </c>
      <c r="BJ42" s="31"/>
      <c r="BK42" s="369">
        <f>+BK33</f>
        <v>1325</v>
      </c>
      <c r="BL42" s="369">
        <f>+BL33</f>
        <v>1335</v>
      </c>
      <c r="BM42" s="369">
        <f>+BM33</f>
        <v>1390</v>
      </c>
      <c r="BN42" s="369">
        <f>+BN33</f>
        <v>1390</v>
      </c>
      <c r="BO42" s="369">
        <f>+SUMPRODUCT(BK42:BN42,BK16:BN16)/BO16</f>
        <v>1362.9722735413993</v>
      </c>
      <c r="BP42" s="31"/>
      <c r="BQ42" s="369">
        <f>+BQ33</f>
        <v>1435</v>
      </c>
      <c r="BR42" s="369">
        <f>+BR33</f>
        <v>1380.100710803365</v>
      </c>
      <c r="BS42" s="369">
        <f>+BS33</f>
        <v>1379.8893110379631</v>
      </c>
      <c r="BT42" s="369">
        <f>+BT33</f>
        <v>1389.6125913552362</v>
      </c>
      <c r="BU42" s="369">
        <f>+SUMPRODUCT(BQ42:BT42,BQ16:BT16)/BU16</f>
        <v>1394.6484614256983</v>
      </c>
      <c r="BV42" s="31"/>
      <c r="BW42" s="369">
        <f>+BW33</f>
        <v>1368.3197041540579</v>
      </c>
      <c r="BX42" s="369">
        <f>+BX33</f>
        <v>1433.1732652671244</v>
      </c>
      <c r="BY42" s="369">
        <f>+BY33</f>
        <v>1420.8948683421966</v>
      </c>
      <c r="BZ42" s="369">
        <f>+BZ33</f>
        <v>1436.0642671578055</v>
      </c>
      <c r="CA42" s="369">
        <f>+SUMPRODUCT(BW42:BZ42,BW16:BZ16)/CA16</f>
        <v>1416.695886437755</v>
      </c>
      <c r="CB42" s="31"/>
      <c r="CC42" s="369">
        <f>+CC33</f>
        <v>1405.9195761664423</v>
      </c>
      <c r="CD42" s="369">
        <f>+CD33</f>
        <v>1449.6170122382512</v>
      </c>
      <c r="CE42" s="369">
        <f>+CE33</f>
        <v>1438.8437710709138</v>
      </c>
      <c r="CF42" s="369">
        <f>+CF33</f>
        <v>1455.2141826993568</v>
      </c>
      <c r="CG42" s="369">
        <f>+SUMPRODUCT(CC42:CF42,CC16:CF16)/CG16</f>
        <v>1438.8837636094468</v>
      </c>
      <c r="CH42" s="42"/>
    </row>
    <row r="43" spans="1:88" ht="3.75" customHeight="1" outlineLevel="1" x14ac:dyDescent="0.2">
      <c r="A43" s="230"/>
      <c r="B43" s="246"/>
      <c r="C43" s="42"/>
      <c r="D43" s="42"/>
      <c r="E43" s="42"/>
      <c r="F43" s="42"/>
      <c r="G43" s="42"/>
      <c r="H43" s="31"/>
      <c r="I43" s="42"/>
      <c r="J43" s="42"/>
      <c r="K43" s="42"/>
      <c r="L43" s="42"/>
      <c r="M43" s="42"/>
      <c r="N43" s="31"/>
      <c r="O43" s="42"/>
      <c r="P43" s="42"/>
      <c r="Q43" s="42"/>
      <c r="R43" s="42"/>
      <c r="S43" s="42"/>
      <c r="T43" s="31"/>
      <c r="U43" s="42"/>
      <c r="V43" s="42"/>
      <c r="W43" s="42"/>
      <c r="X43" s="42"/>
      <c r="Y43" s="42"/>
      <c r="Z43" s="31"/>
      <c r="AA43" s="42"/>
      <c r="AB43" s="42"/>
      <c r="AC43" s="42"/>
      <c r="AD43" s="42"/>
      <c r="AE43" s="42"/>
      <c r="AF43" s="31"/>
      <c r="AG43" s="42"/>
      <c r="AH43" s="42"/>
      <c r="AI43" s="42"/>
      <c r="AJ43" s="42"/>
      <c r="AK43" s="42"/>
      <c r="AL43" s="31"/>
      <c r="AM43" s="42"/>
      <c r="AN43" s="42"/>
      <c r="AO43" s="42"/>
      <c r="AP43" s="42"/>
      <c r="AQ43" s="42"/>
      <c r="AR43" s="31"/>
      <c r="AS43" s="42"/>
      <c r="AT43" s="42"/>
      <c r="AU43" s="42"/>
      <c r="AV43" s="42"/>
      <c r="AW43" s="42"/>
      <c r="AX43" s="31"/>
      <c r="AY43" s="42"/>
      <c r="AZ43" s="42"/>
      <c r="BA43" s="42"/>
      <c r="BB43" s="42"/>
      <c r="BC43" s="42"/>
      <c r="BD43" s="31"/>
      <c r="BE43" s="42"/>
      <c r="BF43" s="42"/>
      <c r="BG43" s="42"/>
      <c r="BH43" s="42"/>
      <c r="BI43" s="42"/>
      <c r="BJ43" s="31"/>
      <c r="BK43" s="42"/>
      <c r="BL43" s="42"/>
      <c r="BM43" s="42"/>
      <c r="BN43" s="42"/>
      <c r="BO43" s="42"/>
      <c r="BP43" s="31"/>
      <c r="BQ43" s="42"/>
      <c r="BR43" s="42"/>
      <c r="BS43" s="42"/>
      <c r="BT43" s="42"/>
      <c r="BU43" s="42"/>
      <c r="BV43" s="31"/>
      <c r="BW43" s="42"/>
      <c r="BX43" s="42"/>
      <c r="BY43" s="42"/>
      <c r="BZ43" s="42"/>
      <c r="CA43" s="42"/>
      <c r="CB43" s="31"/>
      <c r="CC43" s="42"/>
      <c r="CD43" s="42"/>
      <c r="CE43" s="42"/>
      <c r="CF43" s="42"/>
      <c r="CG43" s="42"/>
      <c r="CH43" s="42"/>
    </row>
    <row r="44" spans="1:88" ht="12.75" customHeight="1" outlineLevel="1" x14ac:dyDescent="0.2">
      <c r="A44" s="230"/>
      <c r="B44" s="40" t="s">
        <v>96</v>
      </c>
      <c r="C44" s="42"/>
      <c r="D44" s="42"/>
      <c r="E44" s="42"/>
      <c r="F44" s="42"/>
      <c r="G44" s="42"/>
      <c r="H44" s="31"/>
      <c r="I44" s="42"/>
      <c r="J44" s="42"/>
      <c r="K44" s="42"/>
      <c r="L44" s="42"/>
      <c r="M44" s="42"/>
      <c r="N44" s="31"/>
      <c r="O44" s="42"/>
      <c r="P44" s="42"/>
      <c r="Q44" s="42"/>
      <c r="R44" s="42"/>
      <c r="S44" s="42"/>
      <c r="T44" s="31"/>
      <c r="U44" s="42"/>
      <c r="V44" s="42"/>
      <c r="W44" s="42"/>
      <c r="X44" s="42"/>
      <c r="Y44" s="42"/>
      <c r="Z44" s="31"/>
      <c r="AA44" s="42"/>
      <c r="AB44" s="42"/>
      <c r="AC44" s="42"/>
      <c r="AD44" s="42"/>
      <c r="AE44" s="42"/>
      <c r="AF44" s="31"/>
      <c r="AG44" s="42"/>
      <c r="AH44" s="42"/>
      <c r="AI44" s="42"/>
      <c r="AJ44" s="42"/>
      <c r="AK44" s="42"/>
      <c r="AL44" s="31"/>
      <c r="AM44" s="423"/>
      <c r="AN44" s="423"/>
      <c r="AO44" s="230"/>
      <c r="AP44" s="230"/>
      <c r="AQ44" s="42"/>
      <c r="AR44" s="31"/>
      <c r="AS44" s="42"/>
      <c r="AT44" s="539"/>
      <c r="AU44" s="539"/>
      <c r="AV44" s="539"/>
      <c r="AW44" s="42"/>
      <c r="AX44" s="31"/>
      <c r="AY44" s="309"/>
      <c r="AZ44" s="309"/>
      <c r="BA44" s="309"/>
      <c r="BB44" s="309"/>
      <c r="BC44" s="42"/>
      <c r="BD44" s="31"/>
      <c r="BE44" s="309"/>
      <c r="BF44" s="309"/>
      <c r="BG44" s="309"/>
      <c r="BH44" s="309"/>
      <c r="BI44" s="42"/>
      <c r="BJ44" s="31"/>
      <c r="BK44" s="309"/>
      <c r="BL44" s="42"/>
      <c r="BM44" s="42"/>
      <c r="BN44" s="42"/>
      <c r="BO44" s="42"/>
      <c r="BP44" s="31"/>
      <c r="BQ44" s="42"/>
      <c r="BR44" s="42"/>
      <c r="BS44" s="42"/>
      <c r="BT44" s="42"/>
      <c r="BU44" s="42"/>
      <c r="BV44" s="31"/>
      <c r="BW44" s="42"/>
      <c r="BX44" s="42"/>
      <c r="BY44" s="42"/>
      <c r="BZ44" s="42"/>
      <c r="CA44" s="42"/>
      <c r="CB44" s="31"/>
      <c r="CC44" s="42"/>
      <c r="CD44" s="42"/>
      <c r="CE44" s="42"/>
      <c r="CF44" s="42"/>
      <c r="CG44" s="42"/>
      <c r="CH44" s="42"/>
    </row>
    <row r="45" spans="1:88" ht="12.75" customHeight="1" outlineLevel="1" x14ac:dyDescent="0.2">
      <c r="A45" s="230"/>
      <c r="B45" s="32" t="s">
        <v>77</v>
      </c>
      <c r="C45" s="47">
        <v>3.6</v>
      </c>
      <c r="D45" s="47">
        <v>3.8</v>
      </c>
      <c r="E45" s="47">
        <v>3.71</v>
      </c>
      <c r="F45" s="47">
        <v>3.64</v>
      </c>
      <c r="G45" s="49">
        <f>+SUM(C45:F45)</f>
        <v>14.75</v>
      </c>
      <c r="H45" s="31"/>
      <c r="I45" s="47">
        <v>3.68</v>
      </c>
      <c r="J45" s="47">
        <v>3.73</v>
      </c>
      <c r="K45" s="47">
        <v>3.73</v>
      </c>
      <c r="L45" s="47">
        <v>3.67</v>
      </c>
      <c r="M45" s="49">
        <f>+SUM(I45:L45)</f>
        <v>14.81</v>
      </c>
      <c r="N45" s="31"/>
      <c r="O45" s="47">
        <v>3.67</v>
      </c>
      <c r="P45" s="47">
        <v>3.75</v>
      </c>
      <c r="Q45" s="47">
        <v>3.835</v>
      </c>
      <c r="R45" s="47">
        <v>3.9950000000000001</v>
      </c>
      <c r="S45" s="49">
        <f>+SUM(O45:R45)</f>
        <v>15.25</v>
      </c>
      <c r="T45" s="31"/>
      <c r="U45" s="47">
        <v>4.0149999999999997</v>
      </c>
      <c r="V45" s="47">
        <v>3.99</v>
      </c>
      <c r="W45" s="47">
        <v>3.9849999999999999</v>
      </c>
      <c r="X45" s="47">
        <v>3.94</v>
      </c>
      <c r="Y45" s="49">
        <f>+SUM(U45:X45)</f>
        <v>15.929999999999998</v>
      </c>
      <c r="Z45" s="31"/>
      <c r="AA45" s="414">
        <v>4.1500000000000004</v>
      </c>
      <c r="AB45" s="414">
        <v>4.16</v>
      </c>
      <c r="AC45" s="414">
        <v>4.26</v>
      </c>
      <c r="AD45" s="414">
        <v>4.28</v>
      </c>
      <c r="AE45" s="49">
        <f>+SUM(AA45:AD45)</f>
        <v>16.850000000000001</v>
      </c>
      <c r="AF45" s="31"/>
      <c r="AG45" s="414">
        <v>4.46</v>
      </c>
      <c r="AH45" s="414">
        <v>4.5750000000000002</v>
      </c>
      <c r="AI45" s="414">
        <v>4.66</v>
      </c>
      <c r="AJ45" s="414">
        <v>4.6150000000000002</v>
      </c>
      <c r="AK45" s="49">
        <f>+SUM(AG45:AJ45)</f>
        <v>18.310000000000002</v>
      </c>
      <c r="AL45" s="31"/>
      <c r="AM45" s="414">
        <v>4.76</v>
      </c>
      <c r="AN45" s="414">
        <v>4.9400000000000004</v>
      </c>
      <c r="AO45" s="414">
        <v>4.97</v>
      </c>
      <c r="AP45" s="414">
        <v>5.0599999999999996</v>
      </c>
      <c r="AQ45" s="49">
        <f>+SUM(AM45:AP45)</f>
        <v>19.729999999999997</v>
      </c>
      <c r="AR45" s="31"/>
      <c r="AS45" s="414">
        <v>5.2</v>
      </c>
      <c r="AT45" s="414">
        <v>5.2</v>
      </c>
      <c r="AU45" s="414">
        <v>5.23</v>
      </c>
      <c r="AV45" s="49">
        <f>+AV10/AV54</f>
        <v>5.2830627906976737</v>
      </c>
      <c r="AW45" s="49">
        <f>+SUM(AS45:AV45)</f>
        <v>20.913062790697673</v>
      </c>
      <c r="AX45" s="31"/>
      <c r="AY45" s="414">
        <v>5.4485051271005869</v>
      </c>
      <c r="AZ45" s="414">
        <v>5.5739999999999998</v>
      </c>
      <c r="BA45" s="414">
        <v>5.6590917232571245</v>
      </c>
      <c r="BB45" s="414">
        <v>5.7489422170288735</v>
      </c>
      <c r="BC45" s="49">
        <f>+SUM(AY45:BB45)</f>
        <v>22.430539067386583</v>
      </c>
      <c r="BD45" s="31"/>
      <c r="BE45" s="414">
        <v>5.837906766993</v>
      </c>
      <c r="BF45" s="414">
        <v>5.9582935883033032</v>
      </c>
      <c r="BG45" s="414">
        <v>5.9</v>
      </c>
      <c r="BH45" s="414">
        <v>6.3</v>
      </c>
      <c r="BI45" s="49">
        <f>+SUM(BE45:BH45)</f>
        <v>23.996200355296306</v>
      </c>
      <c r="BJ45" s="31"/>
      <c r="BK45" s="414">
        <v>6.4</v>
      </c>
      <c r="BL45" s="414">
        <v>6.5</v>
      </c>
      <c r="BM45" s="414">
        <v>6.4</v>
      </c>
      <c r="BN45" s="414">
        <v>6.35</v>
      </c>
      <c r="BO45" s="49">
        <f>+SUM(BK45:BN45)</f>
        <v>25.65</v>
      </c>
      <c r="BP45" s="31"/>
      <c r="BQ45" s="414">
        <v>6.55</v>
      </c>
      <c r="BR45" s="762">
        <f>+BL45+0.2</f>
        <v>6.7</v>
      </c>
      <c r="BS45" s="762">
        <f>+BM45+0.5</f>
        <v>6.9</v>
      </c>
      <c r="BT45" s="762">
        <f>+BN45+0.5</f>
        <v>6.85</v>
      </c>
      <c r="BU45" s="49">
        <f>+SUM(BQ45:BT45)</f>
        <v>27</v>
      </c>
      <c r="BV45" s="31"/>
      <c r="BW45" s="762">
        <f t="shared" ref="BW45:BZ45" si="19">+BQ45+0.2</f>
        <v>6.75</v>
      </c>
      <c r="BX45" s="762">
        <f t="shared" si="19"/>
        <v>6.9</v>
      </c>
      <c r="BY45" s="762">
        <f t="shared" si="19"/>
        <v>7.1000000000000005</v>
      </c>
      <c r="BZ45" s="762">
        <f t="shared" si="19"/>
        <v>7.05</v>
      </c>
      <c r="CA45" s="49">
        <f>+SUM(BW45:BZ45)</f>
        <v>27.8</v>
      </c>
      <c r="CB45" s="31"/>
      <c r="CC45" s="762">
        <f t="shared" ref="CC45" si="20">+BW45+0.2</f>
        <v>6.95</v>
      </c>
      <c r="CD45" s="762">
        <f t="shared" ref="CD45" si="21">+BX45+0.2</f>
        <v>7.1000000000000005</v>
      </c>
      <c r="CE45" s="762">
        <f t="shared" ref="CE45" si="22">+BY45+0.2</f>
        <v>7.3000000000000007</v>
      </c>
      <c r="CF45" s="762">
        <f t="shared" ref="CF45" si="23">+BZ45+0.2</f>
        <v>7.25</v>
      </c>
      <c r="CG45" s="49">
        <f t="shared" ref="CG45:CG46" si="24">+SUM(CC45:CF45)</f>
        <v>28.6</v>
      </c>
      <c r="CH45" s="42"/>
    </row>
    <row r="46" spans="1:88" ht="12.75" customHeight="1" outlineLevel="1" x14ac:dyDescent="0.2">
      <c r="A46" s="230"/>
      <c r="B46" s="32" t="s">
        <v>78</v>
      </c>
      <c r="C46" s="47">
        <v>8.6999999999999993</v>
      </c>
      <c r="D46" s="47">
        <v>10.1</v>
      </c>
      <c r="E46" s="47">
        <v>10.199999999999999</v>
      </c>
      <c r="F46" s="47">
        <v>10.039999999999999</v>
      </c>
      <c r="G46" s="49">
        <f>+SUM(C46:F46)</f>
        <v>39.039999999999992</v>
      </c>
      <c r="H46" s="31"/>
      <c r="I46" s="47">
        <v>10.64</v>
      </c>
      <c r="J46" s="47">
        <v>11.03</v>
      </c>
      <c r="K46" s="47">
        <v>10.92</v>
      </c>
      <c r="L46" s="47">
        <v>10.76</v>
      </c>
      <c r="M46" s="49">
        <f>+SUM(I46:L46)</f>
        <v>43.35</v>
      </c>
      <c r="N46" s="31"/>
      <c r="O46" s="47">
        <v>10.625</v>
      </c>
      <c r="P46" s="47">
        <v>10.63</v>
      </c>
      <c r="Q46" s="47">
        <v>11.06</v>
      </c>
      <c r="R46" s="47">
        <v>11.035</v>
      </c>
      <c r="S46" s="49">
        <f>+SUM(O46:R46)</f>
        <v>43.350000000000009</v>
      </c>
      <c r="T46" s="31"/>
      <c r="U46" s="47">
        <v>10.85</v>
      </c>
      <c r="V46" s="47">
        <v>10.234999999999999</v>
      </c>
      <c r="W46" s="47">
        <v>10.035</v>
      </c>
      <c r="X46" s="47">
        <v>9.6</v>
      </c>
      <c r="Y46" s="49">
        <f>+SUM(U46:X46)</f>
        <v>40.72</v>
      </c>
      <c r="Z46" s="31"/>
      <c r="AA46" s="414">
        <v>10.25</v>
      </c>
      <c r="AB46" s="414">
        <v>10.664999999999999</v>
      </c>
      <c r="AC46" s="414">
        <v>11.04</v>
      </c>
      <c r="AD46" s="414">
        <v>10.875</v>
      </c>
      <c r="AE46" s="49">
        <f>+SUM(AA46:AD46)</f>
        <v>42.83</v>
      </c>
      <c r="AF46" s="31"/>
      <c r="AG46" s="414">
        <v>11.365</v>
      </c>
      <c r="AH46" s="414">
        <v>12.12</v>
      </c>
      <c r="AI46" s="414">
        <v>11.925000000000001</v>
      </c>
      <c r="AJ46" s="414">
        <v>11.685</v>
      </c>
      <c r="AK46" s="49">
        <f>+SUM(AG46:AJ46)</f>
        <v>47.094999999999999</v>
      </c>
      <c r="AL46" s="31"/>
      <c r="AM46" s="414">
        <v>12.52</v>
      </c>
      <c r="AN46" s="414">
        <v>13.13</v>
      </c>
      <c r="AO46" s="414">
        <v>13.17</v>
      </c>
      <c r="AP46" s="414">
        <v>13.435</v>
      </c>
      <c r="AQ46" s="49">
        <f>+SUM(AM46:AP46)</f>
        <v>52.255000000000003</v>
      </c>
      <c r="AR46" s="31"/>
      <c r="AS46" s="414">
        <f>19.015-AS45</f>
        <v>13.815000000000001</v>
      </c>
      <c r="AT46" s="414">
        <f>19.505-AT45</f>
        <v>14.305</v>
      </c>
      <c r="AU46" s="414">
        <f>19.55-AU45</f>
        <v>14.32</v>
      </c>
      <c r="AV46" s="49">
        <f>+AV13/AV57</f>
        <v>14.237241379310346</v>
      </c>
      <c r="AW46" s="49">
        <f>+SUM(AS46:AV46)</f>
        <v>56.677241379310345</v>
      </c>
      <c r="AX46" s="31"/>
      <c r="AY46" s="414">
        <v>14.716494872899414</v>
      </c>
      <c r="AZ46" s="414">
        <v>15.761000000000003</v>
      </c>
      <c r="BA46" s="414">
        <v>15.604635097879159</v>
      </c>
      <c r="BB46" s="414">
        <v>16.080240184292638</v>
      </c>
      <c r="BC46" s="49">
        <f>+SUM(AY46:BB46)</f>
        <v>62.162370155071216</v>
      </c>
      <c r="BD46" s="31"/>
      <c r="BE46" s="414">
        <v>16.516999999999999</v>
      </c>
      <c r="BF46" s="414">
        <v>16.617000000000001</v>
      </c>
      <c r="BG46" s="414">
        <v>16.600000000000001</v>
      </c>
      <c r="BH46" s="414">
        <v>17</v>
      </c>
      <c r="BI46" s="49">
        <f>+SUM(BE46:BH46)</f>
        <v>66.734000000000009</v>
      </c>
      <c r="BJ46" s="31"/>
      <c r="BK46" s="414">
        <v>17.510000000000002</v>
      </c>
      <c r="BL46" s="414">
        <f>24.695-BL45</f>
        <v>18.195</v>
      </c>
      <c r="BM46" s="414">
        <f>24.845-BM45</f>
        <v>18.445</v>
      </c>
      <c r="BN46" s="414">
        <f>25.365-BN45</f>
        <v>19.015000000000001</v>
      </c>
      <c r="BO46" s="49">
        <f>+SUM(BK46:BN46)</f>
        <v>73.164999999999992</v>
      </c>
      <c r="BP46" s="31"/>
      <c r="BQ46" s="414">
        <f>27.105-BQ45</f>
        <v>20.555</v>
      </c>
      <c r="BR46" s="762">
        <f>+BL46+3</f>
        <v>21.195</v>
      </c>
      <c r="BS46" s="762">
        <f t="shared" ref="BS46:BT46" si="25">+BM46+2</f>
        <v>20.445</v>
      </c>
      <c r="BT46" s="762">
        <f t="shared" si="25"/>
        <v>21.015000000000001</v>
      </c>
      <c r="BU46" s="49">
        <f>+SUM(BQ46:BT46)</f>
        <v>83.210000000000008</v>
      </c>
      <c r="BV46" s="31"/>
      <c r="BW46" s="762">
        <f t="shared" ref="BW46:BZ46" si="26">+BQ46+2</f>
        <v>22.555</v>
      </c>
      <c r="BX46" s="762">
        <f t="shared" si="26"/>
        <v>23.195</v>
      </c>
      <c r="BY46" s="762">
        <f t="shared" si="26"/>
        <v>22.445</v>
      </c>
      <c r="BZ46" s="762">
        <f t="shared" si="26"/>
        <v>23.015000000000001</v>
      </c>
      <c r="CA46" s="49">
        <f>+SUM(BW46:BZ46)</f>
        <v>91.21</v>
      </c>
      <c r="CB46" s="31"/>
      <c r="CC46" s="762">
        <f t="shared" ref="CC46" si="27">+BW46+2</f>
        <v>24.555</v>
      </c>
      <c r="CD46" s="762">
        <f t="shared" ref="CD46" si="28">+BX46+2</f>
        <v>25.195</v>
      </c>
      <c r="CE46" s="762">
        <f t="shared" ref="CE46" si="29">+BY46+2</f>
        <v>24.445</v>
      </c>
      <c r="CF46" s="762">
        <f t="shared" ref="CF46" si="30">+BZ46+2</f>
        <v>25.015000000000001</v>
      </c>
      <c r="CG46" s="49">
        <f t="shared" si="24"/>
        <v>99.21</v>
      </c>
      <c r="CH46" s="42"/>
    </row>
    <row r="47" spans="1:88" ht="12.75" customHeight="1" outlineLevel="1" x14ac:dyDescent="0.2">
      <c r="A47" s="230"/>
      <c r="B47" s="32" t="s">
        <v>152</v>
      </c>
      <c r="C47" s="47">
        <v>2</v>
      </c>
      <c r="D47" s="47">
        <v>2.2999999999999998</v>
      </c>
      <c r="E47" s="47">
        <v>2.33</v>
      </c>
      <c r="F47" s="47">
        <v>2.5099999999999998</v>
      </c>
      <c r="G47" s="49">
        <f>+SUM(C47:F47)</f>
        <v>9.14</v>
      </c>
      <c r="H47" s="31"/>
      <c r="I47" s="47">
        <v>2.63</v>
      </c>
      <c r="J47" s="47">
        <v>2.91</v>
      </c>
      <c r="K47" s="47">
        <v>2.9</v>
      </c>
      <c r="L47" s="47">
        <v>3.16</v>
      </c>
      <c r="M47" s="49">
        <f>+SUM(I47:L47)</f>
        <v>11.6</v>
      </c>
      <c r="N47" s="31"/>
      <c r="O47" s="47">
        <v>3.07</v>
      </c>
      <c r="P47" s="47">
        <v>3.3849999999999998</v>
      </c>
      <c r="Q47" s="47">
        <v>3.47</v>
      </c>
      <c r="R47" s="47">
        <v>3.5950000000000002</v>
      </c>
      <c r="S47" s="49">
        <f>+SUM(O47:R47)</f>
        <v>13.520000000000001</v>
      </c>
      <c r="T47" s="31"/>
      <c r="U47" s="47">
        <v>3.5350000000000001</v>
      </c>
      <c r="V47" s="47">
        <v>4.165</v>
      </c>
      <c r="W47" s="47">
        <v>4.2450000000000001</v>
      </c>
      <c r="X47" s="47">
        <v>4.18</v>
      </c>
      <c r="Y47" s="49">
        <f>+SUM(U47:X47)</f>
        <v>16.125</v>
      </c>
      <c r="Z47" s="31"/>
      <c r="AA47" s="414">
        <v>4.1500000000000004</v>
      </c>
      <c r="AB47" s="414">
        <v>4.26</v>
      </c>
      <c r="AC47" s="414">
        <v>4.59</v>
      </c>
      <c r="AD47" s="414">
        <v>4.7949999999999999</v>
      </c>
      <c r="AE47" s="49">
        <f>+SUM(AA47:AD47)</f>
        <v>17.795000000000002</v>
      </c>
      <c r="AF47" s="31"/>
      <c r="AG47" s="414">
        <v>5.085</v>
      </c>
      <c r="AH47" s="414">
        <v>5.48</v>
      </c>
      <c r="AI47" s="414">
        <v>5.4</v>
      </c>
      <c r="AJ47" s="414">
        <v>5.7149999999999999</v>
      </c>
      <c r="AK47" s="49">
        <f>+SUM(AG47:AJ47)</f>
        <v>21.68</v>
      </c>
      <c r="AL47" s="31"/>
      <c r="AM47" s="414">
        <v>5.84</v>
      </c>
      <c r="AN47" s="414">
        <v>6.3550000000000004</v>
      </c>
      <c r="AO47" s="414">
        <v>6.51</v>
      </c>
      <c r="AP47" s="414">
        <v>6.9249999999999998</v>
      </c>
      <c r="AQ47" s="49">
        <f>+SUM(AM47:AP47)</f>
        <v>25.63</v>
      </c>
      <c r="AR47" s="31"/>
      <c r="AS47" s="414">
        <v>7.1849999999999996</v>
      </c>
      <c r="AT47" s="414">
        <v>7.6849999999999996</v>
      </c>
      <c r="AU47" s="414">
        <v>7.95</v>
      </c>
      <c r="AV47" s="414">
        <v>8.9450000000000003</v>
      </c>
      <c r="AW47" s="49">
        <f>+SUM(AS47:AV47)</f>
        <v>31.765000000000001</v>
      </c>
      <c r="AX47" s="31"/>
      <c r="AY47" s="414">
        <v>9.0500000000000007</v>
      </c>
      <c r="AZ47" s="414">
        <v>9.7899999999999991</v>
      </c>
      <c r="BA47" s="414">
        <v>10.15</v>
      </c>
      <c r="BB47" s="414">
        <v>10.865</v>
      </c>
      <c r="BC47" s="49">
        <f>+SUM(AY47:BB47)</f>
        <v>39.855000000000004</v>
      </c>
      <c r="BD47" s="31"/>
      <c r="BE47" s="414">
        <v>11.279999999999994</v>
      </c>
      <c r="BF47" s="414">
        <v>12.485000000000003</v>
      </c>
      <c r="BG47" s="414">
        <v>12.7</v>
      </c>
      <c r="BH47" s="414">
        <v>13.635</v>
      </c>
      <c r="BI47" s="49">
        <f>+SUM(BE47:BH47)</f>
        <v>50.099999999999994</v>
      </c>
      <c r="BJ47" s="31"/>
      <c r="BK47" s="414">
        <v>14.955</v>
      </c>
      <c r="BL47" s="414">
        <v>16.57</v>
      </c>
      <c r="BM47" s="414">
        <v>17.760000000000002</v>
      </c>
      <c r="BN47" s="414">
        <v>19.62</v>
      </c>
      <c r="BO47" s="49">
        <f>+SUM(BK47:BN47)</f>
        <v>68.905000000000001</v>
      </c>
      <c r="BP47" s="31"/>
      <c r="BQ47" s="414">
        <v>19.7</v>
      </c>
      <c r="BR47" s="762">
        <f>+BL47+5</f>
        <v>21.57</v>
      </c>
      <c r="BS47" s="762">
        <f>+BM47+5.5</f>
        <v>23.26</v>
      </c>
      <c r="BT47" s="762">
        <f>+BN47+5</f>
        <v>24.62</v>
      </c>
      <c r="BU47" s="49">
        <f>+SUM(BQ47:BT47)</f>
        <v>89.15</v>
      </c>
      <c r="BV47" s="31"/>
      <c r="BW47" s="762">
        <f t="shared" ref="BW47" si="31">+BQ47+5</f>
        <v>24.7</v>
      </c>
      <c r="BX47" s="762">
        <f t="shared" ref="BX47" si="32">+BR47+5</f>
        <v>26.57</v>
      </c>
      <c r="BY47" s="762">
        <f t="shared" ref="BY47" si="33">+BS47+5</f>
        <v>28.26</v>
      </c>
      <c r="BZ47" s="762">
        <f t="shared" ref="BZ47" si="34">+BT47+5</f>
        <v>29.62</v>
      </c>
      <c r="CA47" s="49">
        <f>+SUM(BW47:BZ47)</f>
        <v>109.15</v>
      </c>
      <c r="CB47" s="31"/>
      <c r="CC47" s="762">
        <f t="shared" ref="CC47" si="35">+BW47+5</f>
        <v>29.7</v>
      </c>
      <c r="CD47" s="762">
        <f t="shared" ref="CD47" si="36">+BX47+5</f>
        <v>31.57</v>
      </c>
      <c r="CE47" s="762">
        <f t="shared" ref="CE47" si="37">+BY47+5</f>
        <v>33.260000000000005</v>
      </c>
      <c r="CF47" s="762">
        <f t="shared" ref="CF47" si="38">+BZ47+5</f>
        <v>34.620000000000005</v>
      </c>
      <c r="CG47" s="49">
        <f>+SUM(CC47:CF47)</f>
        <v>129.15</v>
      </c>
      <c r="CH47" s="42"/>
    </row>
    <row r="48" spans="1:88" ht="12.75" customHeight="1" outlineLevel="1" x14ac:dyDescent="0.2">
      <c r="A48" s="230"/>
      <c r="B48" s="40" t="s">
        <v>10</v>
      </c>
      <c r="C48" s="48">
        <f>+SUM(C45:C47)</f>
        <v>14.299999999999999</v>
      </c>
      <c r="D48" s="48">
        <f>+SUM(D45:D47)</f>
        <v>16.2</v>
      </c>
      <c r="E48" s="48">
        <f>+SUM(E45:E47)</f>
        <v>16.240000000000002</v>
      </c>
      <c r="F48" s="48">
        <f>+SUM(F45:F47)</f>
        <v>16.189999999999998</v>
      </c>
      <c r="G48" s="48">
        <f>+SUM(G45:G47)</f>
        <v>62.929999999999993</v>
      </c>
      <c r="H48" s="31"/>
      <c r="I48" s="48">
        <f>+SUM(I45:I47)</f>
        <v>16.95</v>
      </c>
      <c r="J48" s="48">
        <f>+SUM(J45:J47)</f>
        <v>17.670000000000002</v>
      </c>
      <c r="K48" s="48">
        <f>+SUM(K45:K47)</f>
        <v>17.55</v>
      </c>
      <c r="L48" s="48">
        <f>+SUM(L45:L47)</f>
        <v>17.59</v>
      </c>
      <c r="M48" s="48">
        <f>+SUM(M45:M47)</f>
        <v>69.760000000000005</v>
      </c>
      <c r="N48" s="31"/>
      <c r="O48" s="48">
        <f>+SUM(O45:O47)</f>
        <v>17.364999999999998</v>
      </c>
      <c r="P48" s="48">
        <f>+SUM(P45:P47)</f>
        <v>17.765000000000001</v>
      </c>
      <c r="Q48" s="48">
        <f>+SUM(Q45:Q47)</f>
        <v>18.364999999999998</v>
      </c>
      <c r="R48" s="48">
        <f>+SUM(R45:R47)</f>
        <v>18.625</v>
      </c>
      <c r="S48" s="48">
        <f>+SUM(S45:S47)</f>
        <v>72.12</v>
      </c>
      <c r="T48" s="31"/>
      <c r="U48" s="48">
        <f>+SUM(U45:U47)</f>
        <v>18.399999999999999</v>
      </c>
      <c r="V48" s="48">
        <f>+SUM(V45:V47)</f>
        <v>18.39</v>
      </c>
      <c r="W48" s="48">
        <f>+SUM(W45:W47)</f>
        <v>18.265000000000001</v>
      </c>
      <c r="X48" s="48">
        <f>+SUM(X45:X47)</f>
        <v>17.72</v>
      </c>
      <c r="Y48" s="48">
        <f>+SUM(Y45:Y47)</f>
        <v>72.775000000000006</v>
      </c>
      <c r="Z48" s="31"/>
      <c r="AA48" s="48">
        <f>+SUM(AA45:AA47)</f>
        <v>18.55</v>
      </c>
      <c r="AB48" s="48">
        <f>+SUM(AB45:AB47)</f>
        <v>19.085000000000001</v>
      </c>
      <c r="AC48" s="48">
        <f>+SUM(AC45:AC47)</f>
        <v>19.89</v>
      </c>
      <c r="AD48" s="48">
        <f>+SUM(AD45:AD47)</f>
        <v>19.950000000000003</v>
      </c>
      <c r="AE48" s="48">
        <f>+SUM(AE45:AE47)</f>
        <v>77.474999999999994</v>
      </c>
      <c r="AF48" s="31"/>
      <c r="AG48" s="48">
        <f>+SUM(AG45:AG47)</f>
        <v>20.91</v>
      </c>
      <c r="AH48" s="48">
        <f>+SUM(AH45:AH47)</f>
        <v>22.175000000000001</v>
      </c>
      <c r="AI48" s="48">
        <f>+SUM(AI45:AI47)</f>
        <v>21.984999999999999</v>
      </c>
      <c r="AJ48" s="48">
        <f>+SUM(AJ45:AJ47)</f>
        <v>22.015000000000001</v>
      </c>
      <c r="AK48" s="48">
        <f>+SUM(AK45:AK47)</f>
        <v>87.085000000000008</v>
      </c>
      <c r="AL48" s="31"/>
      <c r="AM48" s="48">
        <f>+SUM(AM45:AM47)</f>
        <v>23.12</v>
      </c>
      <c r="AN48" s="48">
        <f>+SUM(AN45:AN47)</f>
        <v>24.425000000000001</v>
      </c>
      <c r="AO48" s="48">
        <f>+SUM(AO45:AO47)</f>
        <v>24.65</v>
      </c>
      <c r="AP48" s="48">
        <f>+SUM(AP45:AP47)</f>
        <v>25.42</v>
      </c>
      <c r="AQ48" s="48">
        <f>+SUM(AQ45:AQ47)</f>
        <v>97.614999999999995</v>
      </c>
      <c r="AR48" s="31"/>
      <c r="AS48" s="48">
        <f>+SUM(AS45:AS47)</f>
        <v>26.2</v>
      </c>
      <c r="AT48" s="48">
        <f>+SUM(AT45:AT47)</f>
        <v>27.189999999999998</v>
      </c>
      <c r="AU48" s="48">
        <f>+SUM(AU45:AU47)</f>
        <v>27.5</v>
      </c>
      <c r="AV48" s="48">
        <f>+SUM(AV45:AV47)</f>
        <v>28.465304170008018</v>
      </c>
      <c r="AW48" s="48">
        <f>+SUM(AW45:AW47)</f>
        <v>109.35530417000801</v>
      </c>
      <c r="AX48" s="31"/>
      <c r="AY48" s="48">
        <f>+SUM(AY45:AY47)</f>
        <v>29.215</v>
      </c>
      <c r="AZ48" s="48">
        <f>+SUM(AZ45:AZ47)</f>
        <v>31.125</v>
      </c>
      <c r="BA48" s="48">
        <f>+SUM(BA45:BA47)</f>
        <v>31.413726821136287</v>
      </c>
      <c r="BB48" s="48">
        <f>+SUM(BB45:BB47)</f>
        <v>32.694182401321513</v>
      </c>
      <c r="BC48" s="48">
        <f>+SUM(BC45:BC47)</f>
        <v>124.4479092224578</v>
      </c>
      <c r="BD48" s="31"/>
      <c r="BE48" s="48">
        <f>+SUM(BE45:BE47)</f>
        <v>33.634906766992998</v>
      </c>
      <c r="BF48" s="48">
        <f>+SUM(BF45:BF47)</f>
        <v>35.06029358830331</v>
      </c>
      <c r="BG48" s="48">
        <f>+SUM(BG45:BG47)</f>
        <v>35.200000000000003</v>
      </c>
      <c r="BH48" s="48">
        <f>+SUM(BH45:BH47)</f>
        <v>36.935000000000002</v>
      </c>
      <c r="BI48" s="48">
        <f>+SUM(BI45:BI47)</f>
        <v>140.83020035529631</v>
      </c>
      <c r="BJ48" s="31"/>
      <c r="BK48" s="48">
        <f>+SUM(BK45:BK47)</f>
        <v>38.865000000000002</v>
      </c>
      <c r="BL48" s="48">
        <f>+SUM(BL45:BL47)</f>
        <v>41.265000000000001</v>
      </c>
      <c r="BM48" s="48">
        <f>+SUM(BM45:BM47)</f>
        <v>42.605000000000004</v>
      </c>
      <c r="BN48" s="48">
        <f>+SUM(BN45:BN47)</f>
        <v>44.984999999999999</v>
      </c>
      <c r="BO48" s="48">
        <f>+SUM(BO45:BO47)</f>
        <v>167.72</v>
      </c>
      <c r="BP48" s="31"/>
      <c r="BQ48" s="48">
        <f>+SUM(BQ45:BQ47)</f>
        <v>46.805</v>
      </c>
      <c r="BR48" s="48">
        <f>+SUM(BR45:BR47)</f>
        <v>49.465000000000003</v>
      </c>
      <c r="BS48" s="48">
        <f>+SUM(BS45:BS47)</f>
        <v>50.605000000000004</v>
      </c>
      <c r="BT48" s="48">
        <f>+SUM(BT45:BT47)</f>
        <v>52.484999999999999</v>
      </c>
      <c r="BU48" s="48">
        <f>+SUM(BU45:BU47)</f>
        <v>199.36</v>
      </c>
      <c r="BV48" s="31"/>
      <c r="BW48" s="48">
        <f>+SUM(BW45:BW47)</f>
        <v>54.004999999999995</v>
      </c>
      <c r="BX48" s="48">
        <f>+SUM(BX45:BX47)</f>
        <v>56.664999999999999</v>
      </c>
      <c r="BY48" s="48">
        <f>+SUM(BY45:BY47)</f>
        <v>57.805000000000007</v>
      </c>
      <c r="BZ48" s="48">
        <f>+SUM(BZ45:BZ47)</f>
        <v>59.685000000000002</v>
      </c>
      <c r="CA48" s="48">
        <f>+SUM(CA45:CA47)</f>
        <v>228.16</v>
      </c>
      <c r="CB48" s="31"/>
      <c r="CC48" s="48">
        <f>+SUM(CC45:CC47)</f>
        <v>61.204999999999998</v>
      </c>
      <c r="CD48" s="48">
        <f>+SUM(CD45:CD47)</f>
        <v>63.865000000000002</v>
      </c>
      <c r="CE48" s="48">
        <f>+SUM(CE45:CE47)</f>
        <v>65.00500000000001</v>
      </c>
      <c r="CF48" s="48">
        <f>+SUM(CF45:CF47)</f>
        <v>66.885000000000005</v>
      </c>
      <c r="CG48" s="48">
        <f>+SUM(CG45:CG47)</f>
        <v>256.96000000000004</v>
      </c>
      <c r="CH48" s="42"/>
    </row>
    <row r="49" spans="1:86" ht="12.75" customHeight="1" outlineLevel="1" x14ac:dyDescent="0.2">
      <c r="A49" s="230"/>
      <c r="B49" s="290" t="s">
        <v>299</v>
      </c>
      <c r="C49" s="315"/>
      <c r="D49" s="315"/>
      <c r="E49" s="315"/>
      <c r="F49" s="315"/>
      <c r="G49" s="315"/>
      <c r="H49" s="115"/>
      <c r="I49" s="315">
        <f>IF(ISERROR(I48/C48-1),"NM",I48/C48-1)</f>
        <v>0.18531468531468542</v>
      </c>
      <c r="J49" s="315">
        <f>IF(ISERROR(J48/D48-1),"NM",J48/D48-1)</f>
        <v>9.0740740740740788E-2</v>
      </c>
      <c r="K49" s="315">
        <f>IF(ISERROR(K48/E48-1),"NM",K48/E48-1)</f>
        <v>8.0665024630541815E-2</v>
      </c>
      <c r="L49" s="315">
        <f>IF(ISERROR(L48/F48-1),"NM",L48/F48-1)</f>
        <v>8.6473131562693206E-2</v>
      </c>
      <c r="M49" s="315">
        <f>IF(ISERROR(M48/G48-1),"NM",M48/G48-1)</f>
        <v>0.10853329095820774</v>
      </c>
      <c r="N49" s="115"/>
      <c r="O49" s="315">
        <f>IF(ISERROR(O48/I48-1),"NM",O48/I48-1)</f>
        <v>2.4483775811209307E-2</v>
      </c>
      <c r="P49" s="315">
        <f>IF(ISERROR(P48/J48-1),"NM",P48/J48-1)</f>
        <v>5.3763440860215006E-3</v>
      </c>
      <c r="Q49" s="315">
        <f>IF(ISERROR(Q48/K48-1),"NM",Q48/K48-1)</f>
        <v>4.6438746438746348E-2</v>
      </c>
      <c r="R49" s="315">
        <f>IF(ISERROR(R48/L48-1),"NM",R48/L48-1)</f>
        <v>5.8840250142126127E-2</v>
      </c>
      <c r="S49" s="315">
        <f>IF(ISERROR(S48/M48-1),"NM",S48/M48-1)</f>
        <v>3.3830275229357776E-2</v>
      </c>
      <c r="T49" s="115"/>
      <c r="U49" s="315">
        <f>IF(ISERROR(U48/O48-1),"NM",U48/O48-1)</f>
        <v>5.9602649006622599E-2</v>
      </c>
      <c r="V49" s="315">
        <f>IF(ISERROR(V48/P48-1),"NM",V48/P48-1)</f>
        <v>3.5181536729524288E-2</v>
      </c>
      <c r="W49" s="315">
        <f>IF(ISERROR(W48/Q48-1),"NM",W48/Q48-1)</f>
        <v>-5.445140212360311E-3</v>
      </c>
      <c r="X49" s="315">
        <f>IF(ISERROR(X48/R48-1),"NM",X48/R48-1)</f>
        <v>-4.8590604026845674E-2</v>
      </c>
      <c r="Y49" s="315">
        <f>IF(ISERROR(Y48/S48-1),"NM",Y48/S48-1)</f>
        <v>9.0820854132003248E-3</v>
      </c>
      <c r="Z49" s="115"/>
      <c r="AA49" s="315">
        <f>IF(ISERROR(AA48/U48-1),"NM",AA48/U48-1)</f>
        <v>8.152173913043681E-3</v>
      </c>
      <c r="AB49" s="315">
        <f>IF(ISERROR(AB48/V48-1),"NM",AB48/V48-1)</f>
        <v>3.7792278412180469E-2</v>
      </c>
      <c r="AC49" s="315">
        <f>IF(ISERROR(AC48/W48-1),"NM",AC48/W48-1)</f>
        <v>8.8967971530249157E-2</v>
      </c>
      <c r="AD49" s="315">
        <f>IF(ISERROR(AD48/X48-1),"NM",AD48/X48-1)</f>
        <v>0.12584650112866846</v>
      </c>
      <c r="AE49" s="315">
        <f>IF(ISERROR(AE48/Y48-1),"NM",AE48/Y48-1)</f>
        <v>6.4582617657162222E-2</v>
      </c>
      <c r="AF49" s="115"/>
      <c r="AG49" s="315">
        <f>IF(ISERROR(AG48/AA48-1),"NM",AG48/AA48-1)</f>
        <v>0.12722371967654977</v>
      </c>
      <c r="AH49" s="315">
        <f>IF(ISERROR(AH48/AB48-1),"NM",AH48/AB48-1)</f>
        <v>0.16190725700812147</v>
      </c>
      <c r="AI49" s="315">
        <f>IF(ISERROR(AI48/AC48-1),"NM",AI48/AC48-1)</f>
        <v>0.105329311211664</v>
      </c>
      <c r="AJ49" s="315">
        <f>IF(ISERROR(AJ48/AD48-1),"NM",AJ48/AD48-1)</f>
        <v>0.10350877192982444</v>
      </c>
      <c r="AK49" s="315">
        <f>IF(ISERROR(AK48/AE48-1),"NM",AK48/AE48-1)</f>
        <v>0.12404001290738975</v>
      </c>
      <c r="AL49" s="115"/>
      <c r="AM49" s="315">
        <f>IF(ISERROR(AM48/AG48-1),"NM",AM48/AG48-1)</f>
        <v>0.10569105691056913</v>
      </c>
      <c r="AN49" s="315">
        <f>IF(ISERROR(AN48/AH48-1),"NM",AN48/AH48-1)</f>
        <v>0.10146561443066515</v>
      </c>
      <c r="AO49" s="315">
        <f>IF(ISERROR(AO48/AI48-1),"NM",AO48/AI48-1)</f>
        <v>0.12121901296338411</v>
      </c>
      <c r="AP49" s="315">
        <f>IF(ISERROR(AP48/AJ48-1),"NM",AP48/AJ48-1)</f>
        <v>0.15466727231433119</v>
      </c>
      <c r="AQ49" s="315">
        <f>IF(ISERROR(AQ48/AK48-1),"NM",AQ48/AK48-1)</f>
        <v>0.1209163460986391</v>
      </c>
      <c r="AR49" s="115"/>
      <c r="AS49" s="315">
        <f>IF(ISERROR(AS48/AM48-1),"NM",AS48/AM48-1)</f>
        <v>0.13321799307958471</v>
      </c>
      <c r="AT49" s="315">
        <f>IF(ISERROR(AT48/AN48-1),"NM",AT48/AN48-1)</f>
        <v>0.11320368474923215</v>
      </c>
      <c r="AU49" s="315">
        <f>IF(ISERROR(AU48/AO48-1),"NM",AU48/AO48-1)</f>
        <v>0.11561866125760645</v>
      </c>
      <c r="AV49" s="315">
        <f>IF(ISERROR(AV48/AP48-1),"NM",AV48/AP48-1)</f>
        <v>0.11979953461872594</v>
      </c>
      <c r="AW49" s="315">
        <f>IF(ISERROR(AW48/AQ48-1),"NM",AW48/AQ48-1)</f>
        <v>0.12027151738982766</v>
      </c>
      <c r="AX49" s="115"/>
      <c r="AY49" s="315">
        <f>IF(ISERROR(AY48/AS48-1),"NM",AY48/AS48-1)</f>
        <v>0.11507633587786259</v>
      </c>
      <c r="AZ49" s="315">
        <f>IF(ISERROR(AZ48/AT48-1),"NM",AZ48/AT48-1)</f>
        <v>0.14472232438396482</v>
      </c>
      <c r="BA49" s="315">
        <f>IF(ISERROR(BA48/AU48-1),"NM",BA48/AU48-1)</f>
        <v>0.14231733895041043</v>
      </c>
      <c r="BB49" s="315">
        <f>IF(ISERROR(BB48/AV48-1),"NM",BB48/AV48-1)</f>
        <v>0.14856255201267721</v>
      </c>
      <c r="BC49" s="315">
        <f>IF(ISERROR(BC48/AW48-1),"NM",BC48/AW48-1)</f>
        <v>0.13801438500857932</v>
      </c>
      <c r="BD49" s="115"/>
      <c r="BE49" s="315">
        <f>IF(ISERROR(BE48/AY48-1),"NM",BE48/AY48-1)</f>
        <v>0.15128895317449942</v>
      </c>
      <c r="BF49" s="315">
        <f>IF(ISERROR(BF48/AZ48-1),"NM",BF48/AZ48-1)</f>
        <v>0.12643513536717466</v>
      </c>
      <c r="BG49" s="315">
        <f>IF(ISERROR(BG48/BA48-1),"NM",BG48/BA48-1)</f>
        <v>0.12052925781210311</v>
      </c>
      <c r="BH49" s="315">
        <f>IF(ISERROR(BH48/BB48-1),"NM",BH48/BB48-1)</f>
        <v>0.12971168835551228</v>
      </c>
      <c r="BI49" s="315">
        <f>IF(ISERROR(BI48/BC48-1),"NM",BI48/BC48-1)</f>
        <v>0.13163974577953108</v>
      </c>
      <c r="BJ49" s="115"/>
      <c r="BK49" s="315">
        <f>IF(ISERROR(BK48/BE48-1),"NM",BK48/BE48-1)</f>
        <v>0.15549599317276708</v>
      </c>
      <c r="BL49" s="315">
        <f>IF(ISERROR(BL48/BF48-1),"NM",BL48/BF48-1)</f>
        <v>0.17697246020115132</v>
      </c>
      <c r="BM49" s="315">
        <f>IF(ISERROR(BM48/BG48-1),"NM",BM48/BG48-1)</f>
        <v>0.21036931818181825</v>
      </c>
      <c r="BN49" s="315">
        <f>IF(ISERROR(BN48/BH48-1),"NM",BN48/BH48-1)</f>
        <v>0.21795045349939079</v>
      </c>
      <c r="BO49" s="315">
        <f>IF(ISERROR(BO48/BI48-1),"NM",BO48/BI48-1)</f>
        <v>0.190937736201924</v>
      </c>
      <c r="BP49" s="115"/>
      <c r="BQ49" s="315">
        <f>IF(ISERROR(BQ48/BK48-1),"NM",BQ48/BK48-1)</f>
        <v>0.20429692525408449</v>
      </c>
      <c r="BR49" s="315">
        <f>IF(ISERROR(BR48/BL48-1),"NM",BR48/BL48-1)</f>
        <v>0.19871561856294684</v>
      </c>
      <c r="BS49" s="315">
        <f>IF(ISERROR(BS48/BM48-1),"NM",BS48/BM48-1)</f>
        <v>0.18777138833470253</v>
      </c>
      <c r="BT49" s="315">
        <f>IF(ISERROR(BT48/BN48-1),"NM",BT48/BN48-1)</f>
        <v>0.16672224074691555</v>
      </c>
      <c r="BU49" s="315">
        <f>IF(ISERROR(BU48/BO48-1),"NM",BU48/BO48-1)</f>
        <v>0.1886477462437397</v>
      </c>
      <c r="BV49" s="115"/>
      <c r="BW49" s="315">
        <f>IF(ISERROR(BW48/BQ48-1),"NM",BW48/BQ48-1)</f>
        <v>0.15382971904711029</v>
      </c>
      <c r="BX49" s="315">
        <f>IF(ISERROR(BX48/BR48-1),"NM",BX48/BR48-1)</f>
        <v>0.14555746487415333</v>
      </c>
      <c r="BY49" s="315">
        <f>IF(ISERROR(BY48/BS48-1),"NM",BY48/BS48-1)</f>
        <v>0.14227843098508064</v>
      </c>
      <c r="BZ49" s="315">
        <f>IF(ISERROR(BZ48/BT48-1),"NM",BZ48/BT48-1)</f>
        <v>0.13718205201486144</v>
      </c>
      <c r="CA49" s="315">
        <f>IF(ISERROR(CA48/BU48-1),"NM",CA48/BU48-1)</f>
        <v>0.14446227929373978</v>
      </c>
      <c r="CB49" s="115"/>
      <c r="CC49" s="315">
        <f>IF(ISERROR(CC48/BW48-1),"NM",CC48/BW48-1)</f>
        <v>0.13332098879733367</v>
      </c>
      <c r="CD49" s="315">
        <f>IF(ISERROR(CD48/BX48-1),"NM",CD48/BX48-1)</f>
        <v>0.12706256066354893</v>
      </c>
      <c r="CE49" s="315">
        <f>IF(ISERROR(CE48/BY48-1),"NM",CE48/BY48-1)</f>
        <v>0.12455669924747004</v>
      </c>
      <c r="CF49" s="315">
        <f>IF(ISERROR(CF48/BZ48-1),"NM",CF48/BZ48-1)</f>
        <v>0.12063332495601919</v>
      </c>
      <c r="CG49" s="315">
        <f>IF(ISERROR(CG48/CA48-1),"NM",CG48/CA48-1)</f>
        <v>0.12622720897615736</v>
      </c>
      <c r="CH49" s="42"/>
    </row>
    <row r="50" spans="1:86" ht="12.75" customHeight="1" outlineLevel="1" x14ac:dyDescent="0.2">
      <c r="A50" s="230"/>
      <c r="B50" s="290" t="s">
        <v>71</v>
      </c>
      <c r="C50" s="315"/>
      <c r="D50" s="315"/>
      <c r="E50" s="315"/>
      <c r="F50" s="315"/>
      <c r="G50" s="315"/>
      <c r="H50" s="115"/>
      <c r="I50" s="315">
        <f>+I49+C49</f>
        <v>0.18531468531468542</v>
      </c>
      <c r="J50" s="315">
        <f>+J49+D49</f>
        <v>9.0740740740740788E-2</v>
      </c>
      <c r="K50" s="315">
        <f>+K49+E49</f>
        <v>8.0665024630541815E-2</v>
      </c>
      <c r="L50" s="315">
        <f>+L49+F49</f>
        <v>8.6473131562693206E-2</v>
      </c>
      <c r="M50" s="315">
        <f>+M49+G49</f>
        <v>0.10853329095820774</v>
      </c>
      <c r="N50" s="115"/>
      <c r="O50" s="315">
        <f>+O49+I49</f>
        <v>0.20979846112589473</v>
      </c>
      <c r="P50" s="315">
        <f>+P49+J49</f>
        <v>9.6117084826762289E-2</v>
      </c>
      <c r="Q50" s="315">
        <f>+Q49+K49</f>
        <v>0.12710377106928816</v>
      </c>
      <c r="R50" s="315">
        <f>+R49+L49</f>
        <v>0.14531338170481933</v>
      </c>
      <c r="S50" s="315">
        <f>+S49+M49</f>
        <v>0.14236356618756552</v>
      </c>
      <c r="T50" s="115"/>
      <c r="U50" s="315">
        <f>+U49+O49</f>
        <v>8.4086424817831906E-2</v>
      </c>
      <c r="V50" s="315">
        <f>+V49+P49</f>
        <v>4.0557880815545788E-2</v>
      </c>
      <c r="W50" s="315">
        <f>+W49+Q49</f>
        <v>4.0993606226386037E-2</v>
      </c>
      <c r="X50" s="315">
        <f>+X49+R49</f>
        <v>1.0249646115280453E-2</v>
      </c>
      <c r="Y50" s="315">
        <f>+Y49+S49</f>
        <v>4.2912360642558101E-2</v>
      </c>
      <c r="Z50" s="115"/>
      <c r="AA50" s="315">
        <f>+AA49+U49</f>
        <v>6.775482291966628E-2</v>
      </c>
      <c r="AB50" s="315">
        <f>+AB49+V49</f>
        <v>7.2973815141704756E-2</v>
      </c>
      <c r="AC50" s="315">
        <f>+AC49+W49</f>
        <v>8.3522831317888846E-2</v>
      </c>
      <c r="AD50" s="315">
        <f>+AD49+X49</f>
        <v>7.725589710182279E-2</v>
      </c>
      <c r="AE50" s="315">
        <f>+AE49+Y49</f>
        <v>7.3664703070362547E-2</v>
      </c>
      <c r="AF50" s="115"/>
      <c r="AG50" s="315">
        <f>+AG49+AA49</f>
        <v>0.13537589358959345</v>
      </c>
      <c r="AH50" s="315">
        <f>+AH49+AB49</f>
        <v>0.19969953542030194</v>
      </c>
      <c r="AI50" s="315">
        <f>+AI49+AC49</f>
        <v>0.19429728274191316</v>
      </c>
      <c r="AJ50" s="315">
        <f>+AJ49+AD49</f>
        <v>0.2293552730584929</v>
      </c>
      <c r="AK50" s="315">
        <f>+AK49+AE49</f>
        <v>0.18862263056455197</v>
      </c>
      <c r="AL50" s="115"/>
      <c r="AM50" s="315">
        <f>+AM49+AG49</f>
        <v>0.2329147765871189</v>
      </c>
      <c r="AN50" s="315">
        <f>+AN49+AH49</f>
        <v>0.26337287143878663</v>
      </c>
      <c r="AO50" s="315">
        <f>+AO49+AI49</f>
        <v>0.22654832417504811</v>
      </c>
      <c r="AP50" s="315">
        <f>+AP49+AJ49</f>
        <v>0.25817604424415563</v>
      </c>
      <c r="AQ50" s="315">
        <f>+AQ49+AK49</f>
        <v>0.24495635900602886</v>
      </c>
      <c r="AR50" s="115"/>
      <c r="AS50" s="315">
        <f>+AS49+AM49</f>
        <v>0.23890904999015383</v>
      </c>
      <c r="AT50" s="315">
        <f>+AT49+AN49</f>
        <v>0.2146692991798973</v>
      </c>
      <c r="AU50" s="315">
        <f>+AU49+AO49</f>
        <v>0.23683767422099056</v>
      </c>
      <c r="AV50" s="315">
        <f>+AV49+AP49</f>
        <v>0.27446680693305714</v>
      </c>
      <c r="AW50" s="315">
        <f>+AW49+AQ49</f>
        <v>0.24118786348846677</v>
      </c>
      <c r="AX50" s="115"/>
      <c r="AY50" s="315">
        <f>+AY49+AS49</f>
        <v>0.2482943289574473</v>
      </c>
      <c r="AZ50" s="315">
        <f>+AZ49+AT49</f>
        <v>0.25792600913319697</v>
      </c>
      <c r="BA50" s="315">
        <f>+BA49+AU49</f>
        <v>0.25793600020801688</v>
      </c>
      <c r="BB50" s="315">
        <f>+BB49+AV49</f>
        <v>0.26836208663140315</v>
      </c>
      <c r="BC50" s="315">
        <f>+BC49+AW49</f>
        <v>0.25828590239840699</v>
      </c>
      <c r="BD50" s="115"/>
      <c r="BE50" s="315">
        <f>+BE49+AY49</f>
        <v>0.26636528905236201</v>
      </c>
      <c r="BF50" s="315">
        <f>+BF49+AZ49</f>
        <v>0.27115745975113947</v>
      </c>
      <c r="BG50" s="315">
        <f>+BG49+BA49</f>
        <v>0.26284659676251354</v>
      </c>
      <c r="BH50" s="315">
        <f>+BH49+BB49</f>
        <v>0.27827424036818948</v>
      </c>
      <c r="BI50" s="315">
        <f>+BI49+BC49</f>
        <v>0.2696541307881104</v>
      </c>
      <c r="BJ50" s="115"/>
      <c r="BK50" s="315">
        <f>+BK49+BE49</f>
        <v>0.3067849463472665</v>
      </c>
      <c r="BL50" s="315">
        <f>+BL49+BF49</f>
        <v>0.30340759556832597</v>
      </c>
      <c r="BM50" s="315">
        <f>+BM49+BG49</f>
        <v>0.33089857599392136</v>
      </c>
      <c r="BN50" s="315">
        <f>+BN49+BH49</f>
        <v>0.34766214185490307</v>
      </c>
      <c r="BO50" s="315">
        <f>+BO49+BI49</f>
        <v>0.32257748198145508</v>
      </c>
      <c r="BP50" s="115"/>
      <c r="BQ50" s="315">
        <f>+BQ49+BK49</f>
        <v>0.35979291842685157</v>
      </c>
      <c r="BR50" s="315">
        <f>+BR49+BL49</f>
        <v>0.37568807876409815</v>
      </c>
      <c r="BS50" s="315">
        <f>+BS49+BM49</f>
        <v>0.39814070651652078</v>
      </c>
      <c r="BT50" s="315">
        <f>+BT49+BN49</f>
        <v>0.38467269424630635</v>
      </c>
      <c r="BU50" s="315">
        <f>+BU49+BO49</f>
        <v>0.3795854824456637</v>
      </c>
      <c r="BV50" s="115"/>
      <c r="BW50" s="315">
        <f>+BW49+BQ49</f>
        <v>0.35812664430119479</v>
      </c>
      <c r="BX50" s="315">
        <f>+BX49+BR49</f>
        <v>0.34427308343710017</v>
      </c>
      <c r="BY50" s="315">
        <f>+BY49+BS49</f>
        <v>0.33004981931978317</v>
      </c>
      <c r="BZ50" s="315">
        <f>+BZ49+BT49</f>
        <v>0.303904292761777</v>
      </c>
      <c r="CA50" s="315">
        <f>+CA49+BU49</f>
        <v>0.33311002553747948</v>
      </c>
      <c r="CB50" s="115"/>
      <c r="CC50" s="315">
        <f>+CC49+BW49</f>
        <v>0.28715070784444396</v>
      </c>
      <c r="CD50" s="315">
        <f>+CD49+BX49</f>
        <v>0.27262002553770226</v>
      </c>
      <c r="CE50" s="315">
        <f>+CE49+BY49</f>
        <v>0.26683513023255068</v>
      </c>
      <c r="CF50" s="315">
        <f>+CF49+BZ49</f>
        <v>0.25781537697088064</v>
      </c>
      <c r="CG50" s="315">
        <f>+CG49+CA49</f>
        <v>0.27068948826989714</v>
      </c>
    </row>
    <row r="51" spans="1:86" ht="12.75" customHeight="1" outlineLevel="1" x14ac:dyDescent="0.2">
      <c r="A51" s="230"/>
      <c r="B51" s="290" t="s">
        <v>79</v>
      </c>
      <c r="C51" s="42"/>
      <c r="D51" s="42"/>
      <c r="E51" s="42"/>
      <c r="F51" s="42"/>
      <c r="G51" s="315"/>
      <c r="H51" s="315"/>
      <c r="I51" s="315">
        <f>+I48/F48-1</f>
        <v>4.6942557134033391E-2</v>
      </c>
      <c r="J51" s="315">
        <f>+J48/I48-1</f>
        <v>4.2477876106194801E-2</v>
      </c>
      <c r="K51" s="315">
        <f>+K48/J48-1</f>
        <v>-6.7911714770798604E-3</v>
      </c>
      <c r="L51" s="315">
        <f>+L48/K48-1</f>
        <v>2.2792022792021971E-3</v>
      </c>
      <c r="M51" s="315"/>
      <c r="N51" s="315"/>
      <c r="O51" s="315">
        <f>+O48/L48-1</f>
        <v>-1.279135872654924E-2</v>
      </c>
      <c r="P51" s="315">
        <f>+P48/O48-1</f>
        <v>2.3034840195796269E-2</v>
      </c>
      <c r="Q51" s="315">
        <f>+Q48/P48-1</f>
        <v>3.3774275260343156E-2</v>
      </c>
      <c r="R51" s="315">
        <f>+R48/Q48-1</f>
        <v>1.4157364552137341E-2</v>
      </c>
      <c r="S51" s="315"/>
      <c r="T51" s="315"/>
      <c r="U51" s="315">
        <f>+U48/R48-1</f>
        <v>-1.2080536912751794E-2</v>
      </c>
      <c r="V51" s="315">
        <f>+V48/U48-1</f>
        <v>-5.434782608694233E-4</v>
      </c>
      <c r="W51" s="315">
        <f>+W48/V48-1</f>
        <v>-6.7971723762915159E-3</v>
      </c>
      <c r="X51" s="315">
        <f>+X48/W48-1</f>
        <v>-2.983848891322205E-2</v>
      </c>
      <c r="Y51" s="315"/>
      <c r="Z51" s="315"/>
      <c r="AA51" s="315">
        <f>+AA48/X48-1</f>
        <v>4.6839729119638962E-2</v>
      </c>
      <c r="AB51" s="315">
        <f>+AB48/AA48-1</f>
        <v>2.8840970350404227E-2</v>
      </c>
      <c r="AC51" s="315">
        <f>+AC48/AB48-1</f>
        <v>4.2179722294996003E-2</v>
      </c>
      <c r="AD51" s="315">
        <f>+AD48/AC48-1</f>
        <v>3.0165912518855809E-3</v>
      </c>
      <c r="AE51" s="315"/>
      <c r="AF51" s="315"/>
      <c r="AG51" s="315">
        <f>+AG48/AD48-1</f>
        <v>4.8120300751879563E-2</v>
      </c>
      <c r="AH51" s="315">
        <f>+AH48/AG48-1</f>
        <v>6.0497369679579194E-2</v>
      </c>
      <c r="AI51" s="315">
        <f>+AI48/AH48-1</f>
        <v>-8.5682074408117703E-3</v>
      </c>
      <c r="AJ51" s="315">
        <f>+AJ48/AI48-1</f>
        <v>1.3645667500568059E-3</v>
      </c>
      <c r="AK51" s="42"/>
      <c r="AL51" s="315"/>
      <c r="AM51" s="315">
        <f>+AM48/AJ48-1</f>
        <v>5.0193050193050315E-2</v>
      </c>
      <c r="AN51" s="315">
        <f>+AN48/AM48-1</f>
        <v>5.6444636678200766E-2</v>
      </c>
      <c r="AO51" s="315">
        <f>+AO48/AN48-1</f>
        <v>9.2118730808596894E-3</v>
      </c>
      <c r="AP51" s="315">
        <f>+AP48/AO48-1</f>
        <v>3.1237322515213162E-2</v>
      </c>
      <c r="AQ51" s="42"/>
      <c r="AR51" s="315"/>
      <c r="AS51" s="315">
        <f>+AS48/AP48-1</f>
        <v>3.0684500393390879E-2</v>
      </c>
      <c r="AT51" s="315">
        <f>+AT48/AS48-1</f>
        <v>3.7786259541984668E-2</v>
      </c>
      <c r="AU51" s="315">
        <f>+AU48/AT48-1</f>
        <v>1.1401250459727841E-2</v>
      </c>
      <c r="AV51" s="315">
        <f>+AV48/AU48-1</f>
        <v>3.5101969818473355E-2</v>
      </c>
      <c r="AW51" s="42"/>
      <c r="AX51" s="315"/>
      <c r="AY51" s="315">
        <f>+AY48/AV48-1</f>
        <v>2.6337179659646326E-2</v>
      </c>
      <c r="AZ51" s="315">
        <f>+AZ48/AY48-1</f>
        <v>6.5377374636316876E-2</v>
      </c>
      <c r="BA51" s="315">
        <f>+BA48/AZ48-1</f>
        <v>9.2763637312862635E-3</v>
      </c>
      <c r="BB51" s="315">
        <f>+BB48/BA48-1</f>
        <v>4.0761021049043E-2</v>
      </c>
      <c r="BC51" s="309">
        <f>+BC54/AW54-1</f>
        <v>0.1271577382996103</v>
      </c>
      <c r="BD51" s="315"/>
      <c r="BE51" s="315">
        <f>+BE48/BB48-1</f>
        <v>2.877344825828887E-2</v>
      </c>
      <c r="BF51" s="315">
        <f>+BF48/BE48-1</f>
        <v>4.237820045658891E-2</v>
      </c>
      <c r="BG51" s="315">
        <f>+BG48/BF48-1</f>
        <v>3.9847473423126889E-3</v>
      </c>
      <c r="BH51" s="315">
        <f>+BH48/BG48-1</f>
        <v>4.9289772727272751E-2</v>
      </c>
      <c r="BI51" s="309">
        <f>+BI54/BC54-1</f>
        <v>0.12563595936751781</v>
      </c>
      <c r="BJ51" s="315"/>
      <c r="BK51" s="315">
        <f>+BK48/BH48-1</f>
        <v>5.2253959658860039E-2</v>
      </c>
      <c r="BL51" s="315">
        <f>+BL48/BK48-1</f>
        <v>6.1752219220378102E-2</v>
      </c>
      <c r="BM51" s="315">
        <f>+BM48/BL48-1</f>
        <v>3.2473040106627993E-2</v>
      </c>
      <c r="BN51" s="315">
        <f>+BN48/BM48-1</f>
        <v>5.5861988029573872E-2</v>
      </c>
      <c r="BO51" s="309">
        <f>+BO54/BI54-1</f>
        <v>0.22750256553160586</v>
      </c>
      <c r="BP51" s="315"/>
      <c r="BQ51" s="315">
        <f>+BQ48/BN48-1</f>
        <v>4.0457930421251564E-2</v>
      </c>
      <c r="BR51" s="315">
        <f>+BR48/BQ48-1</f>
        <v>5.6831535092404684E-2</v>
      </c>
      <c r="BS51" s="315">
        <f>+BS48/BR48-1</f>
        <v>2.3046598605074298E-2</v>
      </c>
      <c r="BT51" s="315">
        <f>+BT48/BS48-1</f>
        <v>3.7150479201659925E-2</v>
      </c>
      <c r="BU51" s="45">
        <f>+BU54/BO54-1</f>
        <v>0.23933052950299105</v>
      </c>
      <c r="BV51" s="315"/>
      <c r="BW51" s="315">
        <f>+BW48/BT48-1</f>
        <v>2.8960655425359638E-2</v>
      </c>
      <c r="BX51" s="315">
        <f>+BX48/BW48-1</f>
        <v>4.9254698639014993E-2</v>
      </c>
      <c r="BY51" s="315">
        <f>+BY48/BX48-1</f>
        <v>2.0118238771728691E-2</v>
      </c>
      <c r="BZ51" s="315">
        <f>+BZ48/BY48-1</f>
        <v>3.252313813683938E-2</v>
      </c>
      <c r="CA51" s="309">
        <f>+CA54/BU54-1</f>
        <v>0.16546762589928043</v>
      </c>
      <c r="CB51" s="315"/>
      <c r="CC51" s="315">
        <f>+CC48/BZ48-1</f>
        <v>2.5467035268492921E-2</v>
      </c>
      <c r="CD51" s="315">
        <f>+CD48/CC48-1</f>
        <v>4.3460501593007184E-2</v>
      </c>
      <c r="CE51" s="315">
        <f>+CE48/CD48-1</f>
        <v>1.7850152665779495E-2</v>
      </c>
      <c r="CF51" s="315">
        <f>+CF48/CE48-1</f>
        <v>2.8920852242135142E-2</v>
      </c>
      <c r="CG51" s="309">
        <f>+CG54/CA54-1</f>
        <v>0.1081118881118881</v>
      </c>
    </row>
    <row r="52" spans="1:86" ht="3.75" customHeight="1" outlineLevel="1" x14ac:dyDescent="0.2">
      <c r="A52" s="230"/>
      <c r="B52" s="246"/>
      <c r="C52" s="42"/>
      <c r="D52" s="42"/>
      <c r="E52" s="42"/>
      <c r="F52" s="42"/>
      <c r="G52" s="315"/>
      <c r="H52" s="315"/>
      <c r="I52" s="315"/>
      <c r="J52" s="315"/>
      <c r="K52" s="315"/>
      <c r="L52" s="315"/>
      <c r="M52" s="315"/>
      <c r="N52" s="315"/>
      <c r="O52" s="315"/>
      <c r="P52" s="315"/>
      <c r="Q52" s="315"/>
      <c r="R52" s="315"/>
      <c r="S52" s="315"/>
      <c r="T52" s="315"/>
      <c r="U52" s="315"/>
      <c r="V52" s="315"/>
      <c r="W52" s="315"/>
      <c r="X52" s="315"/>
      <c r="Y52" s="315"/>
      <c r="Z52" s="315"/>
      <c r="AA52" s="315"/>
      <c r="AB52" s="315"/>
      <c r="AC52" s="315"/>
      <c r="AD52" s="315"/>
      <c r="AE52" s="315"/>
      <c r="AF52" s="315"/>
      <c r="AG52" s="315"/>
      <c r="AH52" s="315"/>
      <c r="AI52" s="315"/>
      <c r="AJ52" s="42"/>
      <c r="AK52" s="42"/>
      <c r="AL52" s="31"/>
      <c r="AM52" s="42"/>
      <c r="AN52" s="42"/>
      <c r="AO52" s="42"/>
      <c r="AP52" s="42"/>
      <c r="AQ52" s="42"/>
      <c r="AR52" s="31"/>
      <c r="AS52" s="42"/>
      <c r="AT52" s="42"/>
      <c r="AU52" s="42"/>
      <c r="AV52" s="42"/>
      <c r="AW52" s="42"/>
      <c r="AX52" s="31"/>
      <c r="AY52" s="42"/>
      <c r="AZ52" s="42"/>
      <c r="BA52" s="42"/>
      <c r="BB52" s="42"/>
      <c r="BC52" s="42"/>
      <c r="BD52" s="31"/>
      <c r="BE52" s="42"/>
      <c r="BF52" s="42"/>
      <c r="BG52" s="42"/>
      <c r="BH52" s="42"/>
      <c r="BI52" s="42"/>
      <c r="BJ52" s="31"/>
      <c r="BK52" s="42"/>
      <c r="BL52" s="42"/>
      <c r="BM52" s="42"/>
      <c r="BN52" s="42"/>
      <c r="BO52" s="42"/>
      <c r="BP52" s="31"/>
      <c r="BQ52" s="42"/>
      <c r="BR52" s="42"/>
      <c r="BS52" s="42"/>
      <c r="BT52" s="42"/>
      <c r="BU52" s="45"/>
      <c r="BV52" s="31"/>
      <c r="BW52" s="42"/>
      <c r="BX52" s="42"/>
      <c r="BY52" s="42"/>
      <c r="BZ52" s="42"/>
      <c r="CA52" s="42"/>
      <c r="CB52" s="31"/>
      <c r="CC52" s="42"/>
      <c r="CD52" s="42"/>
      <c r="CE52" s="42"/>
      <c r="CF52" s="42"/>
      <c r="CG52" s="42"/>
    </row>
    <row r="53" spans="1:86" ht="12.75" customHeight="1" outlineLevel="1" x14ac:dyDescent="0.2">
      <c r="A53" s="230"/>
      <c r="B53" s="40" t="s">
        <v>159</v>
      </c>
      <c r="C53" s="42"/>
      <c r="D53" s="42"/>
      <c r="E53" s="42"/>
      <c r="F53" s="42"/>
      <c r="G53" s="231"/>
      <c r="H53" s="31"/>
      <c r="I53" s="42"/>
      <c r="J53" s="42"/>
      <c r="K53" s="42"/>
      <c r="L53" s="42"/>
      <c r="M53" s="231"/>
      <c r="N53" s="31"/>
      <c r="O53" s="42"/>
      <c r="P53" s="42"/>
      <c r="Q53" s="42"/>
      <c r="R53" s="42"/>
      <c r="S53" s="231"/>
      <c r="T53" s="31"/>
      <c r="U53" s="42"/>
      <c r="V53" s="42"/>
      <c r="W53" s="42"/>
      <c r="X53" s="42"/>
      <c r="Y53" s="231"/>
      <c r="Z53" s="31"/>
      <c r="AA53" s="231"/>
      <c r="AB53" s="231"/>
      <c r="AC53" s="231"/>
      <c r="AD53" s="231"/>
      <c r="AE53" s="231"/>
      <c r="AF53" s="31"/>
      <c r="AG53" s="231"/>
      <c r="AH53" s="231"/>
      <c r="AI53" s="231"/>
      <c r="AJ53" s="231"/>
      <c r="AK53" s="618"/>
      <c r="AL53" s="31"/>
      <c r="AM53" s="231"/>
      <c r="AN53" s="231"/>
      <c r="AO53" s="231"/>
      <c r="AP53" s="618"/>
      <c r="AQ53" s="309"/>
      <c r="AR53" s="31"/>
      <c r="AS53" s="231"/>
      <c r="AT53" s="231"/>
      <c r="AU53" s="618"/>
      <c r="AV53" s="231"/>
      <c r="AW53" s="42"/>
      <c r="AX53" s="31"/>
      <c r="AY53" s="309"/>
      <c r="AZ53" s="42"/>
      <c r="BA53" s="42"/>
      <c r="BB53" s="42"/>
      <c r="BC53" s="309"/>
      <c r="BD53" s="31"/>
      <c r="BE53" s="42"/>
      <c r="BF53" s="42"/>
      <c r="BG53" s="42"/>
      <c r="BH53" s="42"/>
      <c r="BI53" s="309"/>
      <c r="BJ53" s="31"/>
      <c r="BK53" s="309"/>
      <c r="BL53" s="309"/>
      <c r="BM53" s="309"/>
      <c r="BN53" s="309"/>
      <c r="BO53" s="309"/>
      <c r="BP53" s="31"/>
      <c r="BQ53" s="309"/>
      <c r="BR53" s="309"/>
      <c r="BS53" s="309"/>
      <c r="BT53" s="309"/>
      <c r="BU53" s="45"/>
      <c r="BV53" s="31"/>
      <c r="BW53" s="42"/>
      <c r="BX53" s="42"/>
      <c r="BY53" s="42"/>
      <c r="BZ53" s="42"/>
      <c r="CA53" s="309"/>
      <c r="CB53" s="31"/>
      <c r="CC53" s="42"/>
      <c r="CD53" s="42"/>
      <c r="CE53" s="42"/>
      <c r="CF53" s="42"/>
      <c r="CG53" s="309"/>
    </row>
    <row r="54" spans="1:86" ht="12.75" customHeight="1" outlineLevel="1" x14ac:dyDescent="0.2">
      <c r="A54" s="230"/>
      <c r="B54" s="32" t="s">
        <v>77</v>
      </c>
      <c r="C54" s="49">
        <f>+C10/C45</f>
        <v>4.7222222222222223</v>
      </c>
      <c r="D54" s="49">
        <f>+D10/D45</f>
        <v>5.3157894736842106</v>
      </c>
      <c r="E54" s="49">
        <f>+E10/E45</f>
        <v>4.9191374663072773</v>
      </c>
      <c r="F54" s="49">
        <f>+F10/F45</f>
        <v>4.7609890109890101</v>
      </c>
      <c r="G54" s="49">
        <f>+G10/G45</f>
        <v>4.9342372881355931</v>
      </c>
      <c r="H54" s="31"/>
      <c r="I54" s="49">
        <f>+I10/I45</f>
        <v>4.7798913043478262</v>
      </c>
      <c r="J54" s="49">
        <f>+J10/J45</f>
        <v>4.8471849865951739</v>
      </c>
      <c r="K54" s="49">
        <f>+K10/K45</f>
        <v>4.8176943699731902</v>
      </c>
      <c r="L54" s="49">
        <f>+L10/L45</f>
        <v>4.6348773841961846</v>
      </c>
      <c r="M54" s="49">
        <f>+M10/M45</f>
        <v>4.7704253882511818</v>
      </c>
      <c r="N54" s="31"/>
      <c r="O54" s="49">
        <f>+O10/O45</f>
        <v>4.6021798365122617</v>
      </c>
      <c r="P54" s="49">
        <f>+P10/P45</f>
        <v>4.6586666666666661</v>
      </c>
      <c r="Q54" s="49">
        <f>+Q10/Q45</f>
        <v>4.9100391134289438</v>
      </c>
      <c r="R54" s="49">
        <f>+R10/R45</f>
        <v>4.9511889862327916</v>
      </c>
      <c r="S54" s="49">
        <f>+S10/S45</f>
        <v>4.7849180327868854</v>
      </c>
      <c r="T54" s="31"/>
      <c r="U54" s="49">
        <f>+U10/U45</f>
        <v>5.5168119551681194</v>
      </c>
      <c r="V54" s="49">
        <f>+V10/V45</f>
        <v>5.7857142857142856</v>
      </c>
      <c r="W54" s="49">
        <f>+W10/W45</f>
        <v>5.8105395232120456</v>
      </c>
      <c r="X54" s="49">
        <f>+X10/X45</f>
        <v>5.5634517766497469</v>
      </c>
      <c r="Y54" s="49">
        <f>+Y10/Y45</f>
        <v>5.6691776522285009</v>
      </c>
      <c r="Z54" s="31"/>
      <c r="AA54" s="49">
        <f>+AA10/AA45</f>
        <v>6.4795180722891565</v>
      </c>
      <c r="AB54" s="49">
        <f>+AB10/AB45</f>
        <v>6.8557692307692308</v>
      </c>
      <c r="AC54" s="49">
        <f>+AC10/AC45</f>
        <v>7.05868544600939</v>
      </c>
      <c r="AD54" s="49">
        <f>+AD10/AD45</f>
        <v>6.9836448598130838</v>
      </c>
      <c r="AE54" s="49">
        <f>+AE10/AE45</f>
        <v>6.8468842729970314</v>
      </c>
      <c r="AF54" s="31"/>
      <c r="AG54" s="49">
        <f>+AG10/AG45</f>
        <v>7.2275784753363226</v>
      </c>
      <c r="AH54" s="49">
        <f>+AH10/AH45</f>
        <v>7.7420765027322407</v>
      </c>
      <c r="AI54" s="49">
        <f>+AI10/AI45</f>
        <v>7.7006437768240339</v>
      </c>
      <c r="AJ54" s="49">
        <f>+AJ10/AJ45</f>
        <v>7.2600216684723726</v>
      </c>
      <c r="AK54" s="49">
        <f>+AK10/AK45</f>
        <v>7.4847078099399216</v>
      </c>
      <c r="AL54" s="31"/>
      <c r="AM54" s="49">
        <f>+AM10/AM45</f>
        <v>7.9831932773109244</v>
      </c>
      <c r="AN54" s="49">
        <f>+AN10/AN45</f>
        <v>8.0050607287449385</v>
      </c>
      <c r="AO54" s="49">
        <v>8.3000000000000007</v>
      </c>
      <c r="AP54" s="49">
        <f>+AP10/AP45</f>
        <v>7.9920948616600791</v>
      </c>
      <c r="AQ54" s="49">
        <f>+AQ10/AQ45</f>
        <v>8.0889508362899143</v>
      </c>
      <c r="AR54" s="31"/>
      <c r="AS54" s="49">
        <f>+AS10/AS45</f>
        <v>8.0749999999999993</v>
      </c>
      <c r="AT54" s="49">
        <f>+AT10/AT45</f>
        <v>8.418522115384615</v>
      </c>
      <c r="AU54" s="49">
        <f>+AU10/AU45</f>
        <v>8.7993613766730405</v>
      </c>
      <c r="AV54" s="49">
        <v>8.6</v>
      </c>
      <c r="AW54" s="49">
        <f>+AW10/AW45</f>
        <v>8.4741922679460284</v>
      </c>
      <c r="AX54" s="31"/>
      <c r="AY54" s="49">
        <f>+AY10/AY45</f>
        <v>9.0149497622181816</v>
      </c>
      <c r="AZ54" s="49">
        <f>+AZ10/AZ45</f>
        <v>9.5084320057409411</v>
      </c>
      <c r="BA54" s="49">
        <f>+BA10/BA45</f>
        <v>9.8050661899759444</v>
      </c>
      <c r="BB54" s="49">
        <f>+BB10/BB45</f>
        <v>9.8531454430976186</v>
      </c>
      <c r="BC54" s="49">
        <f>+BC10/BC45</f>
        <v>9.5517513906540898</v>
      </c>
      <c r="BD54" s="31"/>
      <c r="BE54" s="49">
        <f>+BE10/BE45</f>
        <v>10.390748874041973</v>
      </c>
      <c r="BF54" s="49">
        <f>+BF10/BF45</f>
        <v>10.681246074368556</v>
      </c>
      <c r="BG54" s="49">
        <f>+BG10/BG45</f>
        <v>11.118644067796609</v>
      </c>
      <c r="BH54" s="49">
        <f>+BH10/BH45</f>
        <v>10.809523809523808</v>
      </c>
      <c r="BI54" s="49">
        <f>+BI10/BI45</f>
        <v>10.751794840258938</v>
      </c>
      <c r="BJ54" s="31"/>
      <c r="BK54" s="49">
        <f>+BK10/BK45</f>
        <v>12.085937499999998</v>
      </c>
      <c r="BL54" s="49">
        <f>+BL10/BL45</f>
        <v>13.170769230769228</v>
      </c>
      <c r="BM54" s="49">
        <f>+BM10/BM45</f>
        <v>13.523437500000002</v>
      </c>
      <c r="BN54" s="49">
        <f>+BN10/BN45</f>
        <v>14.018110236220476</v>
      </c>
      <c r="BO54" s="49">
        <f>+BO10/BO45</f>
        <v>13.19785575048733</v>
      </c>
      <c r="BP54" s="31"/>
      <c r="BQ54" s="49">
        <f>+BQ10/BQ45</f>
        <v>15.307633587786258</v>
      </c>
      <c r="BR54" s="49">
        <f>+BR10/BR45</f>
        <v>16.227567164179103</v>
      </c>
      <c r="BS54" s="49">
        <f>+BS10/BS45</f>
        <v>16.557391304347828</v>
      </c>
      <c r="BT54" s="49">
        <f>+BT10/BT45</f>
        <v>17.283204379562047</v>
      </c>
      <c r="BU54" s="49">
        <f>+BU10/BU45</f>
        <v>16.356505555555557</v>
      </c>
      <c r="BV54" s="31"/>
      <c r="BW54" s="49">
        <f>+BW10/BW45</f>
        <v>17.824888888888886</v>
      </c>
      <c r="BX54" s="49">
        <f>+BX10/BX45</f>
        <v>18.908643478260863</v>
      </c>
      <c r="BY54" s="49">
        <f>+BY10/BY45</f>
        <v>19.309183098591554</v>
      </c>
      <c r="BZ54" s="49">
        <f>+BZ10/BZ45</f>
        <v>20.151480851063834</v>
      </c>
      <c r="CA54" s="49">
        <f>+CA10/CA45</f>
        <v>19.062977697841728</v>
      </c>
      <c r="CB54" s="31"/>
      <c r="CC54" s="49">
        <f>+CC10/CC45</f>
        <v>19.735614388489207</v>
      </c>
      <c r="CD54" s="49">
        <f>+CD10/CD45</f>
        <v>20.948646422535209</v>
      </c>
      <c r="CE54" s="49">
        <f>+CE10/CE45</f>
        <v>21.409387397260279</v>
      </c>
      <c r="CF54" s="49">
        <f>+CF10/CF45</f>
        <v>22.338958841379316</v>
      </c>
      <c r="CG54" s="49">
        <f>+CG10/CG45</f>
        <v>21.123912209790213</v>
      </c>
    </row>
    <row r="55" spans="1:86" ht="12.75" customHeight="1" outlineLevel="1" x14ac:dyDescent="0.2">
      <c r="A55" s="230"/>
      <c r="B55" s="335" t="s">
        <v>72</v>
      </c>
      <c r="C55" s="49"/>
      <c r="D55" s="49"/>
      <c r="E55" s="49"/>
      <c r="F55" s="49"/>
      <c r="G55" s="49"/>
      <c r="H55" s="31"/>
      <c r="I55" s="49"/>
      <c r="J55" s="49"/>
      <c r="K55" s="49"/>
      <c r="L55" s="49"/>
      <c r="M55" s="49"/>
      <c r="N55" s="31"/>
      <c r="O55" s="49"/>
      <c r="P55" s="49"/>
      <c r="Q55" s="49"/>
      <c r="R55" s="49"/>
      <c r="S55" s="49"/>
      <c r="T55" s="31"/>
      <c r="U55" s="49"/>
      <c r="V55" s="49"/>
      <c r="W55" s="49"/>
      <c r="X55" s="49"/>
      <c r="Y55" s="49"/>
      <c r="Z55" s="31"/>
      <c r="AA55" s="49"/>
      <c r="AB55" s="49"/>
      <c r="AC55" s="49"/>
      <c r="AD55" s="49"/>
      <c r="AE55" s="49"/>
      <c r="AF55" s="31"/>
      <c r="AG55" s="352">
        <v>0.41901869158878591</v>
      </c>
      <c r="AH55" s="352">
        <v>0.4803901161144159</v>
      </c>
      <c r="AI55" s="352">
        <v>1.3915559016960894</v>
      </c>
      <c r="AJ55" s="352">
        <v>1.288094496365525</v>
      </c>
      <c r="AK55" s="49">
        <f>AVERAGE(AG55:AJ55)</f>
        <v>0.89476480144120396</v>
      </c>
      <c r="AL55" s="31"/>
      <c r="AM55" s="352">
        <v>1.5829595015576325</v>
      </c>
      <c r="AN55" s="352">
        <v>1.5829595015576325</v>
      </c>
      <c r="AO55" s="352">
        <v>1.7226323987538945</v>
      </c>
      <c r="AP55" s="352">
        <v>1.7226323987538945</v>
      </c>
      <c r="AQ55" s="49">
        <f>AVERAGE(AM55:AP55)</f>
        <v>1.6527959501557636</v>
      </c>
      <c r="AR55" s="31"/>
      <c r="AS55" s="49">
        <f>$AP$55</f>
        <v>1.7226323987538945</v>
      </c>
      <c r="AT55" s="49">
        <f>$AP$55</f>
        <v>1.7226323987538945</v>
      </c>
      <c r="AU55" s="49">
        <f>$AP$55</f>
        <v>1.7226323987538945</v>
      </c>
      <c r="AV55" s="49">
        <f>$AP$55</f>
        <v>1.7226323987538945</v>
      </c>
      <c r="AW55" s="49">
        <f>AVERAGE(AS55:AV55)</f>
        <v>1.7226323987538945</v>
      </c>
      <c r="AX55" s="31"/>
      <c r="AY55" s="49">
        <f>$AP$55</f>
        <v>1.7226323987538945</v>
      </c>
      <c r="AZ55" s="49">
        <f>$AP$55</f>
        <v>1.7226323987538945</v>
      </c>
      <c r="BA55" s="49">
        <f>$AP$55</f>
        <v>1.7226323987538945</v>
      </c>
      <c r="BB55" s="49">
        <f>$AP$55</f>
        <v>1.7226323987538945</v>
      </c>
      <c r="BC55" s="49">
        <f>AVERAGE(AY55:BB55)</f>
        <v>1.7226323987538945</v>
      </c>
      <c r="BD55" s="31"/>
      <c r="BE55" s="49">
        <f>$AP$55</f>
        <v>1.7226323987538945</v>
      </c>
      <c r="BF55" s="49">
        <f>$AP$55</f>
        <v>1.7226323987538945</v>
      </c>
      <c r="BG55" s="49">
        <f>$AP$55</f>
        <v>1.7226323987538945</v>
      </c>
      <c r="BH55" s="49">
        <f>$AP$55</f>
        <v>1.7226323987538945</v>
      </c>
      <c r="BI55" s="49">
        <f>AVERAGE(BE55:BH55)</f>
        <v>1.7226323987538945</v>
      </c>
      <c r="BJ55" s="31"/>
      <c r="BK55" s="49">
        <f>$AP$55</f>
        <v>1.7226323987538945</v>
      </c>
      <c r="BL55" s="49">
        <f>$AP$55</f>
        <v>1.7226323987538945</v>
      </c>
      <c r="BM55" s="49">
        <f>$AP$55</f>
        <v>1.7226323987538945</v>
      </c>
      <c r="BN55" s="49">
        <f>$AP$55</f>
        <v>1.7226323987538945</v>
      </c>
      <c r="BO55" s="49">
        <f>AVERAGE(BK55:BN55)</f>
        <v>1.7226323987538945</v>
      </c>
      <c r="BP55" s="31"/>
      <c r="BQ55" s="49">
        <f>$AP$55</f>
        <v>1.7226323987538945</v>
      </c>
      <c r="BR55" s="49">
        <f>$AP$55</f>
        <v>1.7226323987538945</v>
      </c>
      <c r="BS55" s="49">
        <f>$AP$55</f>
        <v>1.7226323987538945</v>
      </c>
      <c r="BT55" s="49">
        <f>$AP$55</f>
        <v>1.7226323987538945</v>
      </c>
      <c r="BU55" s="49">
        <f>AVERAGE(BQ55:BT55)</f>
        <v>1.7226323987538945</v>
      </c>
      <c r="BV55" s="31"/>
      <c r="BW55" s="49">
        <f>$AP$55</f>
        <v>1.7226323987538945</v>
      </c>
      <c r="BX55" s="49">
        <f>$AP$55</f>
        <v>1.7226323987538945</v>
      </c>
      <c r="BY55" s="49">
        <f>$AP$55</f>
        <v>1.7226323987538945</v>
      </c>
      <c r="BZ55" s="49">
        <f>$AP$55</f>
        <v>1.7226323987538945</v>
      </c>
      <c r="CA55" s="49">
        <f>AVERAGE(BW55:BZ55)</f>
        <v>1.7226323987538945</v>
      </c>
      <c r="CB55" s="31"/>
      <c r="CC55" s="49">
        <f>$AP$55</f>
        <v>1.7226323987538945</v>
      </c>
      <c r="CD55" s="49">
        <f>$AP$55</f>
        <v>1.7226323987538945</v>
      </c>
      <c r="CE55" s="49">
        <f>$AP$55</f>
        <v>1.7226323987538945</v>
      </c>
      <c r="CF55" s="49">
        <f>$AP$55</f>
        <v>1.7226323987538945</v>
      </c>
      <c r="CG55" s="49">
        <f>AVERAGE(CC55:CF55)</f>
        <v>1.7226323987538945</v>
      </c>
    </row>
    <row r="56" spans="1:86" ht="12.75" customHeight="1" outlineLevel="1" x14ac:dyDescent="0.2">
      <c r="A56" s="230"/>
      <c r="B56" s="335" t="s">
        <v>234</v>
      </c>
      <c r="C56" s="49"/>
      <c r="D56" s="49"/>
      <c r="E56" s="49"/>
      <c r="F56" s="49"/>
      <c r="G56" s="49"/>
      <c r="H56" s="31"/>
      <c r="I56" s="49">
        <f>I54-I55</f>
        <v>4.7798913043478262</v>
      </c>
      <c r="J56" s="49">
        <f>J54-J55</f>
        <v>4.8471849865951739</v>
      </c>
      <c r="K56" s="49">
        <f>K54-K55</f>
        <v>4.8176943699731902</v>
      </c>
      <c r="L56" s="49">
        <f>L54-L55</f>
        <v>4.6348773841961846</v>
      </c>
      <c r="M56" s="49"/>
      <c r="N56" s="31"/>
      <c r="O56" s="49">
        <f>O54-O55</f>
        <v>4.6021798365122617</v>
      </c>
      <c r="P56" s="49">
        <f>P54-P55</f>
        <v>4.6586666666666661</v>
      </c>
      <c r="Q56" s="49">
        <f>Q54-Q55</f>
        <v>4.9100391134289438</v>
      </c>
      <c r="R56" s="49">
        <f>R54-R55</f>
        <v>4.9511889862327916</v>
      </c>
      <c r="S56" s="49"/>
      <c r="T56" s="31"/>
      <c r="U56" s="49">
        <f>U54-U55</f>
        <v>5.5168119551681194</v>
      </c>
      <c r="V56" s="49">
        <f>V54-V55</f>
        <v>5.7857142857142856</v>
      </c>
      <c r="W56" s="49">
        <f>W54-W55</f>
        <v>5.8105395232120456</v>
      </c>
      <c r="X56" s="49">
        <f>X54-X55</f>
        <v>5.5634517766497469</v>
      </c>
      <c r="Y56" s="49"/>
      <c r="Z56" s="31"/>
      <c r="AA56" s="49">
        <f>AA54-AA55</f>
        <v>6.4795180722891565</v>
      </c>
      <c r="AB56" s="49">
        <f>AB54-AB55</f>
        <v>6.8557692307692308</v>
      </c>
      <c r="AC56" s="49">
        <f>AC54-AC55</f>
        <v>7.05868544600939</v>
      </c>
      <c r="AD56" s="49">
        <f>AD54-AD55</f>
        <v>6.9836448598130838</v>
      </c>
      <c r="AE56" s="49"/>
      <c r="AF56" s="31"/>
      <c r="AG56" s="49">
        <f>AG54-AG55</f>
        <v>6.8085597837475369</v>
      </c>
      <c r="AH56" s="49">
        <f>AH54-AH55</f>
        <v>7.261686386617825</v>
      </c>
      <c r="AI56" s="49">
        <f>AI54-AI55</f>
        <v>6.3090878751279442</v>
      </c>
      <c r="AJ56" s="49">
        <f>AJ54-AJ55</f>
        <v>5.9719271721068479</v>
      </c>
      <c r="AK56" s="49">
        <f>AVERAGE(AG56:AJ56)</f>
        <v>6.5878153044000385</v>
      </c>
      <c r="AL56" s="31"/>
      <c r="AM56" s="49">
        <f>AM54-AM55</f>
        <v>6.4002337757532919</v>
      </c>
      <c r="AN56" s="49">
        <f>AN54-AN55</f>
        <v>6.4221012271873059</v>
      </c>
      <c r="AO56" s="49">
        <f>AO54-AO55</f>
        <v>6.577367601246106</v>
      </c>
      <c r="AP56" s="49">
        <f>AP54-AP55</f>
        <v>6.2694624629061844</v>
      </c>
      <c r="AQ56" s="49">
        <f>AVERAGE(AM56:AP56)</f>
        <v>6.4172912667732218</v>
      </c>
      <c r="AR56" s="31"/>
      <c r="AS56" s="49">
        <f>AS54-AS55</f>
        <v>6.3523676012461046</v>
      </c>
      <c r="AT56" s="49">
        <f>AT54-AT55</f>
        <v>6.6958897166307203</v>
      </c>
      <c r="AU56" s="49">
        <f>AU54-AU55</f>
        <v>7.0767289779191458</v>
      </c>
      <c r="AV56" s="49">
        <f>AV54-AV55</f>
        <v>6.8773676012461049</v>
      </c>
      <c r="AW56" s="49">
        <f>AVERAGE(AS56:AV56)</f>
        <v>6.7505884742605193</v>
      </c>
      <c r="AX56" s="31"/>
      <c r="AY56" s="49">
        <f>AY54-AY55</f>
        <v>7.2923173634642868</v>
      </c>
      <c r="AZ56" s="49">
        <f>AZ54-AZ55</f>
        <v>7.7857996069870463</v>
      </c>
      <c r="BA56" s="49">
        <f>BA54-BA55</f>
        <v>8.0824337912220496</v>
      </c>
      <c r="BB56" s="49">
        <f>BB54-BB55</f>
        <v>8.1305130443437239</v>
      </c>
      <c r="BC56" s="49">
        <f>AVERAGE(AY56:BB56)</f>
        <v>7.8227659515042767</v>
      </c>
      <c r="BD56" s="31"/>
      <c r="BE56" s="49">
        <f>BE54-BE55</f>
        <v>8.6681164752880786</v>
      </c>
      <c r="BF56" s="49">
        <f>BF54-BF55</f>
        <v>8.9586136756146608</v>
      </c>
      <c r="BG56" s="49">
        <f>BG54-BG55</f>
        <v>9.3960116690427142</v>
      </c>
      <c r="BH56" s="49">
        <f>BH54-BH55</f>
        <v>9.0868914107699137</v>
      </c>
      <c r="BI56" s="49">
        <f>AVERAGE(BE56:BH56)</f>
        <v>9.0274083076788418</v>
      </c>
      <c r="BJ56" s="31"/>
      <c r="BK56" s="49">
        <f>BK54-BK55</f>
        <v>10.363305101246103</v>
      </c>
      <c r="BL56" s="49">
        <f>BL54-BL55</f>
        <v>11.448136832015333</v>
      </c>
      <c r="BM56" s="49">
        <f>BM54-BM55</f>
        <v>11.800805101246107</v>
      </c>
      <c r="BN56" s="49">
        <f>BN54-BN55</f>
        <v>12.295477837466581</v>
      </c>
      <c r="BO56" s="49">
        <f>AVERAGE(BK56:BN56)</f>
        <v>11.476931217993531</v>
      </c>
      <c r="BP56" s="31"/>
      <c r="BQ56" s="49">
        <f>BQ54-BQ55</f>
        <v>13.585001189032363</v>
      </c>
      <c r="BR56" s="49">
        <f>BR54-BR55</f>
        <v>14.504934765425208</v>
      </c>
      <c r="BS56" s="49">
        <f>BS54-BS55</f>
        <v>14.834758905593933</v>
      </c>
      <c r="BT56" s="49">
        <f>BT54-BT55</f>
        <v>15.560571980808152</v>
      </c>
      <c r="BU56" s="49">
        <f>AVERAGE(BQ56:BT56)</f>
        <v>14.621316710214913</v>
      </c>
      <c r="BV56" s="31"/>
      <c r="BW56" s="49">
        <f>BW54-BW55</f>
        <v>16.102256490134991</v>
      </c>
      <c r="BX56" s="49">
        <f>BX54-BX55</f>
        <v>17.186011079506969</v>
      </c>
      <c r="BY56" s="49">
        <f>BY54-BY55</f>
        <v>17.586550699837659</v>
      </c>
      <c r="BZ56" s="49">
        <f>BZ54-BZ55</f>
        <v>18.428848452309939</v>
      </c>
      <c r="CA56" s="49">
        <f>AVERAGE(BW56:BZ56)</f>
        <v>17.325916680447389</v>
      </c>
      <c r="CB56" s="31"/>
      <c r="CC56" s="49">
        <f>CC54-CC55</f>
        <v>18.012981989735312</v>
      </c>
      <c r="CD56" s="49">
        <f>CD54-CD55</f>
        <v>19.226014023781314</v>
      </c>
      <c r="CE56" s="49">
        <f>CE54-CE55</f>
        <v>19.686754998506384</v>
      </c>
      <c r="CF56" s="49">
        <f>CF54-CF55</f>
        <v>20.616326442625422</v>
      </c>
      <c r="CG56" s="49">
        <f>AVERAGE(CC56:CF56)</f>
        <v>19.385519363662109</v>
      </c>
    </row>
    <row r="57" spans="1:86" ht="12.75" customHeight="1" outlineLevel="1" x14ac:dyDescent="0.2">
      <c r="A57" s="230"/>
      <c r="B57" s="32" t="s">
        <v>78</v>
      </c>
      <c r="C57" s="49">
        <f>+C13/C46</f>
        <v>2.5747126436781613</v>
      </c>
      <c r="D57" s="49">
        <f>+D13/D46</f>
        <v>2.7425742574257428</v>
      </c>
      <c r="E57" s="49">
        <f>+E13/E46</f>
        <v>2.5980392156862746</v>
      </c>
      <c r="F57" s="49">
        <f>+F13/F46</f>
        <v>2.5328685258964145</v>
      </c>
      <c r="G57" s="49">
        <f>+G13/G46</f>
        <v>2.6134733606557381</v>
      </c>
      <c r="H57" s="31"/>
      <c r="I57" s="49">
        <f>+I13/I46</f>
        <v>2.4295112781954882</v>
      </c>
      <c r="J57" s="49">
        <f>+J13/J46</f>
        <v>2.4578422484134181</v>
      </c>
      <c r="K57" s="49">
        <f>+K13/K46</f>
        <v>2.3525641025641026</v>
      </c>
      <c r="L57" s="49">
        <f>+L13/L46</f>
        <v>2.3104089219330857</v>
      </c>
      <c r="M57" s="49">
        <f>+M13/M46</f>
        <v>2.3877739331026526</v>
      </c>
      <c r="N57" s="31"/>
      <c r="O57" s="49">
        <f>+O13/O46</f>
        <v>2.1962352941176473</v>
      </c>
      <c r="P57" s="49">
        <f>+P13/P46</f>
        <v>2.2130761994355592</v>
      </c>
      <c r="Q57" s="49">
        <f>+Q13/Q46</f>
        <v>2.3114828209764919</v>
      </c>
      <c r="R57" s="49">
        <f>+R13/R46</f>
        <v>2.5120072496601722</v>
      </c>
      <c r="S57" s="49">
        <f>+S13/S46</f>
        <v>2.3101499423298724</v>
      </c>
      <c r="T57" s="31"/>
      <c r="U57" s="49">
        <f>+U13/U46</f>
        <v>2.6258064516129034</v>
      </c>
      <c r="V57" s="49">
        <f>+V13/V46</f>
        <v>2.7806546165119688</v>
      </c>
      <c r="W57" s="49">
        <f>+W13/W46</f>
        <v>2.6746387643248628</v>
      </c>
      <c r="X57" s="49">
        <f>+X13/X46</f>
        <v>2.6328125</v>
      </c>
      <c r="Y57" s="49">
        <f>+Y13/Y46</f>
        <v>2.6784135559921416</v>
      </c>
      <c r="Z57" s="31"/>
      <c r="AA57" s="49">
        <f>+AA13/AA46</f>
        <v>2.76</v>
      </c>
      <c r="AB57" s="49">
        <f>+AB13/AB46</f>
        <v>2.8795124238162217</v>
      </c>
      <c r="AC57" s="49">
        <f>+AC13/AC46</f>
        <v>2.8188405797101455</v>
      </c>
      <c r="AD57" s="49">
        <f>+AD13/AD46</f>
        <v>3.0436781609195402</v>
      </c>
      <c r="AE57" s="49">
        <f>+AE13/AE46</f>
        <v>2.8769554050898902</v>
      </c>
      <c r="AF57" s="31"/>
      <c r="AG57" s="49">
        <f>+AG13/AG46</f>
        <v>2.9076110866695997</v>
      </c>
      <c r="AH57" s="49">
        <f>+AH13/AH46</f>
        <v>3.0746699669966997</v>
      </c>
      <c r="AI57" s="49">
        <f>+AI13/AI46</f>
        <v>2.9119496855345912</v>
      </c>
      <c r="AJ57" s="49">
        <f>+AJ13/AJ46</f>
        <v>2.9640564826700895</v>
      </c>
      <c r="AK57" s="49">
        <f>+AK13/AK46</f>
        <v>2.9657076122730648</v>
      </c>
      <c r="AL57" s="31"/>
      <c r="AM57" s="49">
        <f>+AM13/AM46</f>
        <v>2.9337060702875397</v>
      </c>
      <c r="AN57" s="49">
        <f>+AN13/AN46</f>
        <v>2.9946686976389945</v>
      </c>
      <c r="AO57" s="49">
        <v>2.9</v>
      </c>
      <c r="AP57" s="49">
        <f>+AP13/AP46</f>
        <v>2.9549683662076665</v>
      </c>
      <c r="AQ57" s="49">
        <f>+AQ13/AQ46</f>
        <v>2.9522533728829772</v>
      </c>
      <c r="AR57" s="31"/>
      <c r="AS57" s="49">
        <f>+AS13/AS46</f>
        <v>2.8554484256243211</v>
      </c>
      <c r="AT57" s="49">
        <f>+AT13/AT46</f>
        <v>2.8861237329605034</v>
      </c>
      <c r="AU57" s="49">
        <f>+AU13/AU46</f>
        <v>2.7503030726256981</v>
      </c>
      <c r="AV57" s="49">
        <v>2.9</v>
      </c>
      <c r="AW57" s="49">
        <f>+AW13/AW46</f>
        <v>2.8478160911148427</v>
      </c>
      <c r="AX57" s="31"/>
      <c r="AY57" s="49">
        <f>+AY13/AY46</f>
        <v>2.8533968422962404</v>
      </c>
      <c r="AZ57" s="49">
        <f>+AZ13/AZ46</f>
        <v>2.9566651862191486</v>
      </c>
      <c r="BA57" s="49">
        <f>+BA13/BA46</f>
        <v>2.9358091868835334</v>
      </c>
      <c r="BB57" s="49">
        <f>+BB13/BB46</f>
        <v>3.0917224138085651</v>
      </c>
      <c r="BC57" s="49">
        <f>+BC13/BC46</f>
        <v>2.9619184341944056</v>
      </c>
      <c r="BD57" s="31"/>
      <c r="BE57" s="49">
        <f>+BE13/BE46</f>
        <v>3.0140718173412622</v>
      </c>
      <c r="BF57" s="49">
        <f>+BF13/BF46</f>
        <v>3.0819642534753569</v>
      </c>
      <c r="BG57" s="49">
        <f>+BG13/BG46</f>
        <v>3.0301204819277103</v>
      </c>
      <c r="BH57" s="49">
        <f>+BH13/BH46</f>
        <v>3.2029411764705884</v>
      </c>
      <c r="BI57" s="49">
        <f>+BI13/BI46</f>
        <v>3.0830824498310543</v>
      </c>
      <c r="BJ57" s="31"/>
      <c r="BK57" s="49">
        <f>+BK13/BK46</f>
        <v>3.1696173615077097</v>
      </c>
      <c r="BL57" s="49">
        <f>+BL13/BL46</f>
        <v>3.3470733718054411</v>
      </c>
      <c r="BM57" s="49">
        <f>+BM13/BM46</f>
        <v>3.1618324749254541</v>
      </c>
      <c r="BN57" s="49">
        <f>+BN13/BN46</f>
        <v>3.3252695240599524</v>
      </c>
      <c r="BO57" s="49">
        <f>+BO13/BO46</f>
        <v>3.2522380919838723</v>
      </c>
      <c r="BP57" s="31"/>
      <c r="BQ57" s="548">
        <v>3.4</v>
      </c>
      <c r="BR57" s="49">
        <f>+BR13/BR46</f>
        <v>3.2755838641188961</v>
      </c>
      <c r="BS57" s="49">
        <f>+BS13/BS46</f>
        <v>3.365986793837124</v>
      </c>
      <c r="BT57" s="49">
        <f>+BT13/BT46</f>
        <v>3.5202997858672371</v>
      </c>
      <c r="BU57" s="49">
        <f>+BU13/BU46</f>
        <v>3.3484280735488521</v>
      </c>
      <c r="BV57" s="31"/>
      <c r="BW57" s="49">
        <f>+BW13/BW46</f>
        <v>3.2971846597206831</v>
      </c>
      <c r="BX57" s="49">
        <f>+BX13/BX46</f>
        <v>3.3523224832938139</v>
      </c>
      <c r="BY57" s="49">
        <f>+BY13/BY46</f>
        <v>3.4339813766985969</v>
      </c>
      <c r="BZ57" s="49">
        <f>+BZ13/BZ46</f>
        <v>3.6001126222029107</v>
      </c>
      <c r="CA57" s="49">
        <f>+CA13/CA46</f>
        <v>3.4213071373752881</v>
      </c>
      <c r="CB57" s="31"/>
      <c r="CC57" s="49">
        <f>+CC13/CC46</f>
        <v>3.2709199755650586</v>
      </c>
      <c r="CD57" s="49">
        <f>+CD13/CD46</f>
        <v>3.3331093312165119</v>
      </c>
      <c r="CE57" s="49">
        <f>+CE13/CE46</f>
        <v>3.4052677013704242</v>
      </c>
      <c r="CF57" s="49">
        <f>+CF13/CF46</f>
        <v>3.5772584193483907</v>
      </c>
      <c r="CG57" s="49">
        <f>+CG13/CG46</f>
        <v>3.3970569289386159</v>
      </c>
    </row>
    <row r="58" spans="1:86" ht="12.75" customHeight="1" outlineLevel="1" x14ac:dyDescent="0.2">
      <c r="A58" s="230"/>
      <c r="B58" s="335" t="s">
        <v>72</v>
      </c>
      <c r="C58" s="49"/>
      <c r="D58" s="49"/>
      <c r="E58" s="49"/>
      <c r="F58" s="49"/>
      <c r="G58" s="49"/>
      <c r="H58" s="31"/>
      <c r="I58" s="49"/>
      <c r="J58" s="49"/>
      <c r="K58" s="49"/>
      <c r="L58" s="49"/>
      <c r="M58" s="49"/>
      <c r="N58" s="31"/>
      <c r="O58" s="49"/>
      <c r="P58" s="49"/>
      <c r="Q58" s="49"/>
      <c r="R58" s="49"/>
      <c r="S58" s="49"/>
      <c r="T58" s="31"/>
      <c r="U58" s="49"/>
      <c r="V58" s="49"/>
      <c r="W58" s="49"/>
      <c r="X58" s="49"/>
      <c r="Y58" s="49"/>
      <c r="Z58" s="31"/>
      <c r="AA58" s="49"/>
      <c r="AB58" s="49"/>
      <c r="AC58" s="49"/>
      <c r="AD58" s="49"/>
      <c r="AE58" s="49"/>
      <c r="AF58" s="31"/>
      <c r="AG58" s="352">
        <v>-3.043678160919543E-2</v>
      </c>
      <c r="AH58" s="352">
        <v>0.24349425287356311</v>
      </c>
      <c r="AI58" s="352">
        <v>-8.9211256440745151E-2</v>
      </c>
      <c r="AJ58" s="352">
        <v>0.32127713920817358</v>
      </c>
      <c r="AK58" s="49">
        <f>AVERAGE(AG58:AJ58)</f>
        <v>0.11128083850794902</v>
      </c>
      <c r="AL58" s="49"/>
      <c r="AM58" s="352">
        <v>0.35171392081736902</v>
      </c>
      <c r="AN58" s="352">
        <v>0.3821507024265644</v>
      </c>
      <c r="AO58" s="352">
        <v>0.41258748403575984</v>
      </c>
      <c r="AP58" s="352">
        <v>0.44302426564495528</v>
      </c>
      <c r="AQ58" s="49">
        <f>AVERAGE(AM58:AP58)</f>
        <v>0.3973690932311621</v>
      </c>
      <c r="AR58" s="49"/>
      <c r="AS58" s="49">
        <f>$AP$58</f>
        <v>0.44302426564495528</v>
      </c>
      <c r="AT58" s="49">
        <f>$AP$58</f>
        <v>0.44302426564495528</v>
      </c>
      <c r="AU58" s="49">
        <f>$AP$58</f>
        <v>0.44302426564495528</v>
      </c>
      <c r="AV58" s="49">
        <f>$AP$58</f>
        <v>0.44302426564495528</v>
      </c>
      <c r="AW58" s="49">
        <f>AVERAGE(AS58:AV58)</f>
        <v>0.44302426564495528</v>
      </c>
      <c r="AX58" s="49"/>
      <c r="AY58" s="49">
        <f>$AP$58</f>
        <v>0.44302426564495528</v>
      </c>
      <c r="AZ58" s="49">
        <f>$AP$58</f>
        <v>0.44302426564495528</v>
      </c>
      <c r="BA58" s="49">
        <f>$AP$58</f>
        <v>0.44302426564495528</v>
      </c>
      <c r="BB58" s="49">
        <f>$AP$58</f>
        <v>0.44302426564495528</v>
      </c>
      <c r="BC58" s="49">
        <f>AVERAGE(AY58:BB58)</f>
        <v>0.44302426564495528</v>
      </c>
      <c r="BD58" s="49"/>
      <c r="BE58" s="49">
        <f>$AP$58</f>
        <v>0.44302426564495528</v>
      </c>
      <c r="BF58" s="49">
        <f>$AP$58</f>
        <v>0.44302426564495528</v>
      </c>
      <c r="BG58" s="49">
        <f>$AP$58</f>
        <v>0.44302426564495528</v>
      </c>
      <c r="BH58" s="49">
        <f>$AP$58</f>
        <v>0.44302426564495528</v>
      </c>
      <c r="BI58" s="49">
        <f>AVERAGE(BE58:BH58)</f>
        <v>0.44302426564495528</v>
      </c>
      <c r="BJ58" s="49"/>
      <c r="BK58" s="49">
        <f>$AP$58</f>
        <v>0.44302426564495528</v>
      </c>
      <c r="BL58" s="49">
        <f>$AP$58</f>
        <v>0.44302426564495528</v>
      </c>
      <c r="BM58" s="49">
        <f>$AP$58</f>
        <v>0.44302426564495528</v>
      </c>
      <c r="BN58" s="49">
        <f>$AP$58</f>
        <v>0.44302426564495528</v>
      </c>
      <c r="BO58" s="49">
        <f>AVERAGE(BK58:BN58)</f>
        <v>0.44302426564495528</v>
      </c>
      <c r="BP58" s="49"/>
      <c r="BQ58" s="49">
        <f>$AP$58</f>
        <v>0.44302426564495528</v>
      </c>
      <c r="BR58" s="49">
        <f>$AP$58</f>
        <v>0.44302426564495528</v>
      </c>
      <c r="BS58" s="49">
        <f>$AP$58</f>
        <v>0.44302426564495528</v>
      </c>
      <c r="BT58" s="49">
        <f>$AP$58</f>
        <v>0.44302426564495528</v>
      </c>
      <c r="BU58" s="49">
        <f>AVERAGE(BQ58:BT58)</f>
        <v>0.44302426564495528</v>
      </c>
      <c r="BV58" s="49"/>
      <c r="BW58" s="49">
        <f>$AP$58</f>
        <v>0.44302426564495528</v>
      </c>
      <c r="BX58" s="49">
        <f>$AP$58</f>
        <v>0.44302426564495528</v>
      </c>
      <c r="BY58" s="49">
        <f>$AP$58</f>
        <v>0.44302426564495528</v>
      </c>
      <c r="BZ58" s="49">
        <f>$AP$58</f>
        <v>0.44302426564495528</v>
      </c>
      <c r="CA58" s="49">
        <f>AVERAGE(BW58:BZ58)</f>
        <v>0.44302426564495528</v>
      </c>
      <c r="CB58" s="49"/>
      <c r="CC58" s="49">
        <f>$AP$58</f>
        <v>0.44302426564495528</v>
      </c>
      <c r="CD58" s="49">
        <f>$AP$58</f>
        <v>0.44302426564495528</v>
      </c>
      <c r="CE58" s="49">
        <f>$AP$58</f>
        <v>0.44302426564495528</v>
      </c>
      <c r="CF58" s="49">
        <f>$AP$58</f>
        <v>0.44302426564495528</v>
      </c>
      <c r="CG58" s="49">
        <f>AVERAGE(CC58:CF58)</f>
        <v>0.44302426564495528</v>
      </c>
    </row>
    <row r="59" spans="1:86" ht="12.75" customHeight="1" outlineLevel="1" x14ac:dyDescent="0.2">
      <c r="A59" s="230"/>
      <c r="B59" s="335" t="s">
        <v>234</v>
      </c>
      <c r="C59" s="49"/>
      <c r="D59" s="49"/>
      <c r="E59" s="49"/>
      <c r="F59" s="49"/>
      <c r="G59" s="49"/>
      <c r="H59" s="31"/>
      <c r="I59" s="49">
        <f>I57-I58</f>
        <v>2.4295112781954882</v>
      </c>
      <c r="J59" s="49">
        <f>J57-J58</f>
        <v>2.4578422484134181</v>
      </c>
      <c r="K59" s="49">
        <f>K57-K58</f>
        <v>2.3525641025641026</v>
      </c>
      <c r="L59" s="49">
        <f>L57-L58</f>
        <v>2.3104089219330857</v>
      </c>
      <c r="M59" s="49"/>
      <c r="N59" s="31"/>
      <c r="O59" s="49">
        <f>O57-O58</f>
        <v>2.1962352941176473</v>
      </c>
      <c r="P59" s="49">
        <f>P57-P58</f>
        <v>2.2130761994355592</v>
      </c>
      <c r="Q59" s="49">
        <f>Q57-Q58</f>
        <v>2.3114828209764919</v>
      </c>
      <c r="R59" s="49">
        <f>R57-R58</f>
        <v>2.5120072496601722</v>
      </c>
      <c r="S59" s="49"/>
      <c r="T59" s="31"/>
      <c r="U59" s="49">
        <f>U57-U58</f>
        <v>2.6258064516129034</v>
      </c>
      <c r="V59" s="49">
        <f>V57-V58</f>
        <v>2.7806546165119688</v>
      </c>
      <c r="W59" s="49">
        <f>W57-W58</f>
        <v>2.6746387643248628</v>
      </c>
      <c r="X59" s="49">
        <f>X57-X58</f>
        <v>2.6328125</v>
      </c>
      <c r="Y59" s="49"/>
      <c r="Z59" s="31"/>
      <c r="AA59" s="49">
        <f>AA57-AA58</f>
        <v>2.76</v>
      </c>
      <c r="AB59" s="49">
        <f>AB57-AB58</f>
        <v>2.8795124238162217</v>
      </c>
      <c r="AC59" s="49">
        <f>AC57-AC58</f>
        <v>2.8188405797101455</v>
      </c>
      <c r="AD59" s="49">
        <f>AD57-AD58</f>
        <v>3.0436781609195402</v>
      </c>
      <c r="AE59" s="49"/>
      <c r="AF59" s="31"/>
      <c r="AG59" s="49">
        <f>AG57-AG58</f>
        <v>2.9380478682787952</v>
      </c>
      <c r="AH59" s="49">
        <f>AH57-AH58</f>
        <v>2.8311757141231366</v>
      </c>
      <c r="AI59" s="49">
        <f>AI57-AI58</f>
        <v>3.0011609419753364</v>
      </c>
      <c r="AJ59" s="49">
        <f>AJ57-AJ58</f>
        <v>2.6427793434619158</v>
      </c>
      <c r="AK59" s="49">
        <f>AVERAGE(AG59:AJ59)</f>
        <v>2.8532909669597957</v>
      </c>
      <c r="AL59" s="31"/>
      <c r="AM59" s="49">
        <f>AM57-AM58</f>
        <v>2.5819921494701705</v>
      </c>
      <c r="AN59" s="49">
        <f>AN57-AN58</f>
        <v>2.6125179952124302</v>
      </c>
      <c r="AO59" s="49">
        <f>AO57-AO58</f>
        <v>2.4874125159642402</v>
      </c>
      <c r="AP59" s="49">
        <f>AP57-AP58</f>
        <v>2.5119441005627112</v>
      </c>
      <c r="AQ59" s="49">
        <f>AVERAGE(AM59:AP59)</f>
        <v>2.548466690302388</v>
      </c>
      <c r="AR59" s="31"/>
      <c r="AS59" s="49">
        <f>AS57-AS58</f>
        <v>2.4124241599793659</v>
      </c>
      <c r="AT59" s="49">
        <f>AT57-AT58</f>
        <v>2.4430994673155482</v>
      </c>
      <c r="AU59" s="49">
        <f>AU57-AU58</f>
        <v>2.3072788069807428</v>
      </c>
      <c r="AV59" s="49">
        <f>AV57-AV58</f>
        <v>2.4569757343550447</v>
      </c>
      <c r="AW59" s="49">
        <f>AVERAGE(AS59:AV59)</f>
        <v>2.4049445421576756</v>
      </c>
      <c r="AX59" s="31"/>
      <c r="AY59" s="49">
        <f>AY57-AY58</f>
        <v>2.4103725766512851</v>
      </c>
      <c r="AZ59" s="49">
        <f>AZ57-AZ58</f>
        <v>2.5136409205741934</v>
      </c>
      <c r="BA59" s="49">
        <f>BA57-BA58</f>
        <v>2.4927849212385782</v>
      </c>
      <c r="BB59" s="49">
        <f>BB57-BB58</f>
        <v>2.6486981481636098</v>
      </c>
      <c r="BC59" s="49">
        <f>AVERAGE(AY59:BB59)</f>
        <v>2.5163741416569168</v>
      </c>
      <c r="BD59" s="31"/>
      <c r="BE59" s="49">
        <f>BE57-BE58</f>
        <v>2.5710475516963069</v>
      </c>
      <c r="BF59" s="49">
        <f>BF57-BF58</f>
        <v>2.6389399878304016</v>
      </c>
      <c r="BG59" s="49">
        <f>BG57-BG58</f>
        <v>2.5870962162827551</v>
      </c>
      <c r="BH59" s="49">
        <f>BH57-BH58</f>
        <v>2.7599169108256332</v>
      </c>
      <c r="BI59" s="49">
        <f>AVERAGE(BE59:BH59)</f>
        <v>2.6392501666587744</v>
      </c>
      <c r="BJ59" s="31"/>
      <c r="BK59" s="49">
        <f>BK57-BK58</f>
        <v>2.7265930958627544</v>
      </c>
      <c r="BL59" s="49">
        <f>BL57-BL58</f>
        <v>2.9040491061604858</v>
      </c>
      <c r="BM59" s="49">
        <f>BM57-BM58</f>
        <v>2.7188082092804988</v>
      </c>
      <c r="BN59" s="49">
        <f>BN57-BN58</f>
        <v>2.8822452584149971</v>
      </c>
      <c r="BO59" s="49">
        <f>AVERAGE(BK59:BN59)</f>
        <v>2.8079239174296839</v>
      </c>
      <c r="BP59" s="31"/>
      <c r="BQ59" s="49">
        <f>BQ57-BQ58</f>
        <v>2.9569757343550447</v>
      </c>
      <c r="BR59" s="49">
        <f>BR57-BR58</f>
        <v>2.8325595984739409</v>
      </c>
      <c r="BS59" s="49">
        <f>BS57-BS58</f>
        <v>2.9229625281921687</v>
      </c>
      <c r="BT59" s="49">
        <f>BT57-BT58</f>
        <v>3.0772755202222819</v>
      </c>
      <c r="BU59" s="49">
        <f>AVERAGE(BQ59:BT59)</f>
        <v>2.9474433453108588</v>
      </c>
      <c r="BV59" s="31"/>
      <c r="BW59" s="49">
        <f>BW57-BW58</f>
        <v>2.8541603940757279</v>
      </c>
      <c r="BX59" s="49">
        <f>BX57-BX58</f>
        <v>2.9092982176488587</v>
      </c>
      <c r="BY59" s="49">
        <f>BY57-BY58</f>
        <v>2.9909571110536417</v>
      </c>
      <c r="BZ59" s="49">
        <f>BZ57-BZ58</f>
        <v>3.1570883565579555</v>
      </c>
      <c r="CA59" s="49">
        <f>AVERAGE(BW59:BZ59)</f>
        <v>2.9778760198340457</v>
      </c>
      <c r="CB59" s="31"/>
      <c r="CC59" s="49">
        <f>CC57-CC58</f>
        <v>2.8278957099201034</v>
      </c>
      <c r="CD59" s="49">
        <f>CD57-CD58</f>
        <v>2.8900850655715566</v>
      </c>
      <c r="CE59" s="49">
        <f>CE57-CE58</f>
        <v>2.962243435725469</v>
      </c>
      <c r="CF59" s="49">
        <f>CF57-CF58</f>
        <v>3.1342341537034355</v>
      </c>
      <c r="CG59" s="49">
        <f>AVERAGE(CC59:CF59)</f>
        <v>2.9536145912301413</v>
      </c>
    </row>
    <row r="60" spans="1:86" ht="12.75" customHeight="1" outlineLevel="1" x14ac:dyDescent="0.2">
      <c r="A60" s="230"/>
      <c r="B60" s="32" t="s">
        <v>152</v>
      </c>
      <c r="C60" s="49">
        <f>+C16/C47</f>
        <v>2.8</v>
      </c>
      <c r="D60" s="49">
        <f>+D16/D47</f>
        <v>3.0869565217391304</v>
      </c>
      <c r="E60" s="49">
        <f>+E16/E47</f>
        <v>3.133047210300429</v>
      </c>
      <c r="F60" s="49">
        <f>+F16/F47</f>
        <v>3.215139442231076</v>
      </c>
      <c r="G60" s="49">
        <f>+G16/G47</f>
        <v>3.0711159737417941</v>
      </c>
      <c r="H60" s="31"/>
      <c r="I60" s="49">
        <f>+I16/I47</f>
        <v>3.167300380228137</v>
      </c>
      <c r="J60" s="49">
        <f>+J16/J47</f>
        <v>3.3264604810996561</v>
      </c>
      <c r="K60" s="49">
        <f>+K16/K47</f>
        <v>3.1517241379310343</v>
      </c>
      <c r="L60" s="49">
        <f>+L16/L47</f>
        <v>3.4082278481012653</v>
      </c>
      <c r="M60" s="49">
        <f>+M16/M47</f>
        <v>3.2689655172413796</v>
      </c>
      <c r="N60" s="31"/>
      <c r="O60" s="49">
        <f>+O16/O47</f>
        <v>3.2035830618892511</v>
      </c>
      <c r="P60" s="49">
        <f>+P16/P47</f>
        <v>3.5480059084194981</v>
      </c>
      <c r="Q60" s="49">
        <f>+Q16/Q47</f>
        <v>3.4927953890489909</v>
      </c>
      <c r="R60" s="49">
        <f>+R16/R47</f>
        <v>3.7719054242002783</v>
      </c>
      <c r="S60" s="49">
        <f>+S16/S47</f>
        <v>3.5151627218934909</v>
      </c>
      <c r="T60" s="31"/>
      <c r="U60" s="49">
        <f>+U16/U47</f>
        <v>3.6690240452616689</v>
      </c>
      <c r="V60" s="49">
        <f>+V16/V47</f>
        <v>3.8271308523409364</v>
      </c>
      <c r="W60" s="49">
        <f>+W16/W47</f>
        <v>3.8268551236749118</v>
      </c>
      <c r="X60" s="49">
        <f>+X16/X47</f>
        <v>3.8983253588516753</v>
      </c>
      <c r="Y60" s="49">
        <f>+Y16/Y47</f>
        <v>3.8108527131782948</v>
      </c>
      <c r="Z60" s="31"/>
      <c r="AA60" s="49">
        <f>+AA16/AA47</f>
        <v>3.9012048192771083</v>
      </c>
      <c r="AB60" s="49">
        <f>+AB16/AB47</f>
        <v>3.9413145539906105</v>
      </c>
      <c r="AC60" s="49">
        <f>+AC16/AC47</f>
        <v>3.9586056644880179</v>
      </c>
      <c r="AD60" s="49">
        <f>+AD16/AD47</f>
        <v>4.0875912408759127</v>
      </c>
      <c r="AE60" s="49">
        <f>+AE16/AE47</f>
        <v>3.9758359089631914</v>
      </c>
      <c r="AF60" s="31"/>
      <c r="AG60" s="49">
        <f>+AG16/AG47</f>
        <v>3.9301868239921336</v>
      </c>
      <c r="AH60" s="49">
        <f>+AH16/AH47</f>
        <v>4.1231751824817513</v>
      </c>
      <c r="AI60" s="49">
        <f>+AI16/AI47</f>
        <v>4.0564814814814811</v>
      </c>
      <c r="AJ60" s="49">
        <f>+AJ16/AJ47</f>
        <v>3.909011373578303</v>
      </c>
      <c r="AK60" s="49">
        <f>+AK16/AK47</f>
        <v>4.0048431734317349</v>
      </c>
      <c r="AL60" s="31"/>
      <c r="AM60" s="49">
        <f>+AM16/AM47</f>
        <v>4.0145547945205484</v>
      </c>
      <c r="AN60" s="49">
        <f>+AN16/AN47</f>
        <v>4.2911093627065302</v>
      </c>
      <c r="AO60" s="49">
        <f>+AO16/AO47</f>
        <v>4.1121351766513055</v>
      </c>
      <c r="AP60" s="49">
        <f>+AP16/AP47</f>
        <v>4.4779783393501811</v>
      </c>
      <c r="AQ60" s="49">
        <f>+AQ16/AQ47</f>
        <v>4.2331252438548583</v>
      </c>
      <c r="AR60" s="31"/>
      <c r="AS60" s="49">
        <f>+AS16/AS47</f>
        <v>4.2811412665274879</v>
      </c>
      <c r="AT60" s="49">
        <f>+AT16/AT47</f>
        <v>4.4827586206896557</v>
      </c>
      <c r="AU60" s="49">
        <f>+AU16/AU47</f>
        <v>4.30314465408805</v>
      </c>
      <c r="AV60" s="49">
        <f>+AV16/AV47</f>
        <v>4.4717719396310791</v>
      </c>
      <c r="AW60" s="49">
        <f>+AW16/AW47</f>
        <v>4.3891075082638125</v>
      </c>
      <c r="AX60" s="31"/>
      <c r="AY60" s="49">
        <f>+AY16/AY47</f>
        <v>4.3834254143646421</v>
      </c>
      <c r="AZ60" s="49">
        <f>+AZ16/AZ47</f>
        <v>4.5863125638406546</v>
      </c>
      <c r="BA60" s="49">
        <f>+BA16/BA47</f>
        <v>4.5517241379310347</v>
      </c>
      <c r="BB60" s="49">
        <f>+BB16/BB47</f>
        <v>4.9737734563198686</v>
      </c>
      <c r="BC60" s="49">
        <f>+BC16/BC47</f>
        <v>4.6370605596014398</v>
      </c>
      <c r="BD60" s="661"/>
      <c r="BE60" s="49">
        <f>+BE16/BE47</f>
        <v>4.7163120567375918</v>
      </c>
      <c r="BF60" s="49">
        <f>+BF16/BF47</f>
        <v>4.9771726071285576</v>
      </c>
      <c r="BG60" s="49">
        <f>+BG16/BG47</f>
        <v>4.8740157480314963</v>
      </c>
      <c r="BH60" s="49">
        <f>+BH16/BH47</f>
        <v>4.9504950495049505</v>
      </c>
      <c r="BI60" s="49">
        <f>+BI16/BI47</f>
        <v>4.8850299401197628</v>
      </c>
      <c r="BJ60" s="661"/>
      <c r="BK60" s="49">
        <f>+BK16/BK47</f>
        <v>5.0267469073888327</v>
      </c>
      <c r="BL60" s="49">
        <f>+BL16/BL47</f>
        <v>5.1526855763427877</v>
      </c>
      <c r="BM60" s="49">
        <f>+BM16/BM47</f>
        <v>5.1348536036036023</v>
      </c>
      <c r="BN60" s="49">
        <f>+BN16/BN47</f>
        <v>5.2387869520897041</v>
      </c>
      <c r="BO60" s="49">
        <f>+BO16/BO47</f>
        <v>5.1452724765982145</v>
      </c>
      <c r="BP60" s="661"/>
      <c r="BQ60" s="49">
        <f>+BQ16/BQ47</f>
        <v>5.3588832487309643</v>
      </c>
      <c r="BR60" s="49">
        <f>+BR16/BR47</f>
        <v>5.699916550764951</v>
      </c>
      <c r="BS60" s="49">
        <f>+BS16/BS47</f>
        <v>5.2537102321582116</v>
      </c>
      <c r="BT60" s="49">
        <f>+BT16/BT47</f>
        <v>5.3855666125101536</v>
      </c>
      <c r="BU60" s="49">
        <f>+BU16/BU47</f>
        <v>5.4213252944475601</v>
      </c>
      <c r="BV60" s="661"/>
      <c r="BW60" s="49">
        <f>+BW16/BW47</f>
        <v>5.5563157894736834</v>
      </c>
      <c r="BX60" s="49">
        <f>+BX16/BX47</f>
        <v>6.0154821226947677</v>
      </c>
      <c r="BY60" s="49">
        <f>+BY16/BY47</f>
        <v>5.6214327671620667</v>
      </c>
      <c r="BZ60" s="49">
        <f>+BZ16/BZ47</f>
        <v>5.8193938217420653</v>
      </c>
      <c r="CA60" s="49">
        <f>+CA16/CA47</f>
        <v>5.7563398534127339</v>
      </c>
      <c r="CB60" s="661"/>
      <c r="CC60" s="49">
        <f>+CC16/CC47</f>
        <v>5.6837181818181808</v>
      </c>
      <c r="CD60" s="49">
        <f>+CD16/CD47</f>
        <v>6.227195844155843</v>
      </c>
      <c r="CE60" s="49">
        <f>+CE16/CE47</f>
        <v>5.8749211876127481</v>
      </c>
      <c r="CF60" s="49">
        <f>+CF16/CF47</f>
        <v>6.1240799350086643</v>
      </c>
      <c r="CG60" s="49">
        <f>+CG16/CG47</f>
        <v>5.9838523333333331</v>
      </c>
    </row>
    <row r="61" spans="1:86" ht="12.75" customHeight="1" outlineLevel="1" x14ac:dyDescent="0.2">
      <c r="A61" s="230"/>
      <c r="B61" s="40" t="s">
        <v>160</v>
      </c>
      <c r="C61" s="49">
        <f>+C22/C48</f>
        <v>3.1468531468531471</v>
      </c>
      <c r="D61" s="49">
        <f>+D22/D48</f>
        <v>3.3950617283950617</v>
      </c>
      <c r="E61" s="49">
        <f>+E22/E48</f>
        <v>3.2050492610837433</v>
      </c>
      <c r="F61" s="49">
        <f>+F22/F48</f>
        <v>3.139592340951205</v>
      </c>
      <c r="G61" s="49">
        <f>+G22/G48</f>
        <v>3.2238995709518514</v>
      </c>
      <c r="H61" s="31"/>
      <c r="I61" s="49">
        <f>+I22/I48</f>
        <v>3.0542772861356933</v>
      </c>
      <c r="J61" s="49">
        <f>+J22/J48</f>
        <v>3.1052631578947363</v>
      </c>
      <c r="K61" s="49">
        <f>+K22/K48</f>
        <v>3.0085470085470081</v>
      </c>
      <c r="L61" s="49">
        <f>+L22/L48</f>
        <v>2.9926094371802159</v>
      </c>
      <c r="M61" s="49">
        <f>+M22/M48</f>
        <v>3.040137614678899</v>
      </c>
      <c r="N61" s="31"/>
      <c r="O61" s="49">
        <f>+O22/O48</f>
        <v>2.8828102505038875</v>
      </c>
      <c r="P61" s="49">
        <f>+P22/P48</f>
        <v>2.9836757669575005</v>
      </c>
      <c r="Q61" s="49">
        <f>+Q22/Q48</f>
        <v>3.0773209910155188</v>
      </c>
      <c r="R61" s="49">
        <f>+R22/R48</f>
        <v>3.2783892617449664</v>
      </c>
      <c r="S61" s="49">
        <f>+S22/S48</f>
        <v>3.0593455352190788</v>
      </c>
      <c r="T61" s="31"/>
      <c r="U61" s="49">
        <f>+U22/U48</f>
        <v>3.4570652173913046</v>
      </c>
      <c r="V61" s="49">
        <f>+V22/V48</f>
        <v>3.6696574225122349</v>
      </c>
      <c r="W61" s="49">
        <f>+W22/W48</f>
        <v>3.6266082671776627</v>
      </c>
      <c r="X61" s="49">
        <f>+X22/X48</f>
        <v>3.5829571106094811</v>
      </c>
      <c r="Y61" s="49">
        <f>+Y22/Y48</f>
        <v>3.5839917554105116</v>
      </c>
      <c r="Z61" s="31"/>
      <c r="AA61" s="49">
        <f>+AA22/AA48</f>
        <v>3.8474393530997304</v>
      </c>
      <c r="AB61" s="49">
        <f>+AB22/AB48</f>
        <v>3.9832329054231068</v>
      </c>
      <c r="AC61" s="49">
        <f>+AC22/AC48</f>
        <v>3.9899446958270492</v>
      </c>
      <c r="AD61" s="49">
        <f>+AD22/AD48</f>
        <v>4.1398496240601501</v>
      </c>
      <c r="AE61" s="49">
        <f>+AE22/AE48</f>
        <v>3.9927718618909327</v>
      </c>
      <c r="AF61" s="31"/>
      <c r="AG61" s="49">
        <f>+AG22/AG48</f>
        <v>4.0777140124342424</v>
      </c>
      <c r="AH61" s="49">
        <f>+AH22/AH48</f>
        <v>4.2967305524239006</v>
      </c>
      <c r="AI61" s="49">
        <f>+AI22/AI48</f>
        <v>4.2080964293836711</v>
      </c>
      <c r="AJ61" s="49">
        <f>+AJ22/AJ48</f>
        <v>4.1099250511015208</v>
      </c>
      <c r="AK61" s="49">
        <f>+AK22/AK48</f>
        <v>4.1745421140265249</v>
      </c>
      <c r="AL61" s="31"/>
      <c r="AM61" s="49">
        <f>+AM22/AM48</f>
        <v>4.2463235294117645</v>
      </c>
      <c r="AN61" s="49">
        <f>+AN22/AN48</f>
        <v>4.3453428863868986</v>
      </c>
      <c r="AO61" s="49">
        <f>+AO22/AO48</f>
        <v>4.3367139959432057</v>
      </c>
      <c r="AP61" s="49">
        <f>+AP22/AP48</f>
        <v>4.3725413060582214</v>
      </c>
      <c r="AQ61" s="49">
        <f>+AQ22/AQ48</f>
        <v>4.3267940378015677</v>
      </c>
      <c r="AR61" s="31"/>
      <c r="AS61" s="49">
        <f>+AS22/AS48</f>
        <v>4.2823671755725199</v>
      </c>
      <c r="AT61" s="49">
        <f>+AT22/AT48</f>
        <v>4.3954510849577053</v>
      </c>
      <c r="AU61" s="49">
        <f>+AU22/AU48</f>
        <v>4.3496363636363631</v>
      </c>
      <c r="AV61" s="49">
        <f>+AV22/AV48</f>
        <v>4.4518175264580107</v>
      </c>
      <c r="AW61" s="49">
        <f>+AW22/AW48</f>
        <v>4.3715088045186041</v>
      </c>
      <c r="AX61" s="31"/>
      <c r="AY61" s="49">
        <f>+AY22/AY48</f>
        <v>4.4764675680301202</v>
      </c>
      <c r="AZ61" s="49">
        <f>+AZ22/AZ48</f>
        <v>4.642570281124498</v>
      </c>
      <c r="BA61" s="49">
        <f>+BA22/BA48</f>
        <v>4.6953995888433298</v>
      </c>
      <c r="BB61" s="49">
        <f>+BB22/BB48</f>
        <v>4.90609764879712</v>
      </c>
      <c r="BC61" s="49">
        <f>+BC22/BC48</f>
        <v>4.6861442273489571</v>
      </c>
      <c r="BD61" s="31"/>
      <c r="BE61" s="49">
        <f>+BE22/BE48</f>
        <v>4.8652921355354808</v>
      </c>
      <c r="BF61" s="49">
        <f>+BF22/BF48</f>
        <v>5.0483034192003604</v>
      </c>
      <c r="BG61" s="49">
        <f>+BG22/BG48</f>
        <v>5.0511363636363624</v>
      </c>
      <c r="BH61" s="49">
        <f>+BH22/BH48</f>
        <v>5.1455259239204008</v>
      </c>
      <c r="BI61" s="49">
        <f>+BI22/BI48</f>
        <v>5.0308005355775629</v>
      </c>
      <c r="BJ61" s="31"/>
      <c r="BK61" s="49">
        <f>+BK22/BK48</f>
        <v>5.3525022513829921</v>
      </c>
      <c r="BL61" s="49">
        <f>+BL22/BL48</f>
        <v>5.6195322912880163</v>
      </c>
      <c r="BM61" s="49">
        <f>+BM22/BM48</f>
        <v>5.5407815984039424</v>
      </c>
      <c r="BN61" s="49">
        <f>+BN22/BN48</f>
        <v>5.6692230743581193</v>
      </c>
      <c r="BO61" s="49">
        <f>+BO22/BO48</f>
        <v>5.5509778201764837</v>
      </c>
      <c r="BP61" s="31"/>
      <c r="BQ61" s="49">
        <f>+BQ22/BQ48</f>
        <v>5.8163657728875124</v>
      </c>
      <c r="BR61" s="49">
        <f>+BR22/BR48</f>
        <v>6.087089861518244</v>
      </c>
      <c r="BS61" s="49">
        <f>+BS22/BS48</f>
        <v>6.0915897638573258</v>
      </c>
      <c r="BT61" s="49">
        <f>+BT22/BT48</f>
        <v>6.3173920529760901</v>
      </c>
      <c r="BU61" s="49">
        <f>+BU22/BU48</f>
        <v>6.0853035809613267</v>
      </c>
      <c r="BV61" s="31"/>
      <c r="BW61" s="49">
        <f>+BW22/BW48</f>
        <v>6.3313952411813723</v>
      </c>
      <c r="BX61" s="49">
        <f>+BX22/BX48</f>
        <v>6.8482858907614927</v>
      </c>
      <c r="BY61" s="49">
        <f>+BY22/BY48</f>
        <v>6.7992838335784107</v>
      </c>
      <c r="BZ61" s="49">
        <f>+BZ22/BZ48</f>
        <v>7.2138129577441559</v>
      </c>
      <c r="CA61" s="49">
        <f>+CA22/CA48</f>
        <v>6.809143357218443</v>
      </c>
      <c r="CB61" s="31"/>
      <c r="CC61" s="49">
        <f>+CC22/CC48</f>
        <v>6.8015095171963074</v>
      </c>
      <c r="CD61" s="49">
        <f>+CD22/CD48</f>
        <v>7.2857692319736946</v>
      </c>
      <c r="CE61" s="49">
        <f>+CE22/CE48</f>
        <v>7.244522354588109</v>
      </c>
      <c r="CF61" s="49">
        <f>+CF22/CF48</f>
        <v>7.6923094401376746</v>
      </c>
      <c r="CG61" s="49">
        <f>+CG22/CG48</f>
        <v>7.265809209852149</v>
      </c>
    </row>
    <row r="62" spans="1:86" ht="12.75" customHeight="1" outlineLevel="1" x14ac:dyDescent="0.2">
      <c r="A62" s="230"/>
      <c r="B62" s="290" t="s">
        <v>299</v>
      </c>
      <c r="C62" s="315"/>
      <c r="D62" s="315"/>
      <c r="E62" s="315"/>
      <c r="F62" s="315"/>
      <c r="G62" s="315"/>
      <c r="H62" s="115"/>
      <c r="I62" s="315">
        <f>IF(ISERROR(I61/C61-1),"NM",I61/C61-1)</f>
        <v>-2.9418551294657536E-2</v>
      </c>
      <c r="J62" s="315">
        <f>IF(ISERROR(J61/D61-1),"NM",J61/D61-1)</f>
        <v>-8.5358851674641301E-2</v>
      </c>
      <c r="K62" s="315">
        <f>IF(ISERROR(K61/E61-1),"NM",K61/E61-1)</f>
        <v>-6.1310212895227312E-2</v>
      </c>
      <c r="L62" s="315">
        <f>IF(ISERROR(L61/F61-1),"NM",L61/F61-1)</f>
        <v>-4.68159199695517E-2</v>
      </c>
      <c r="M62" s="315">
        <f>IF(ISERROR(M61/G61-1),"NM",M61/G61-1)</f>
        <v>-5.6999900967354522E-2</v>
      </c>
      <c r="N62" s="115"/>
      <c r="O62" s="315">
        <f>IF(ISERROR(O61/I61-1),"NM",O61/I61-1)</f>
        <v>-5.6139970136355188E-2</v>
      </c>
      <c r="P62" s="315">
        <f>IF(ISERROR(P61/J61-1),"NM",P61/J61-1)</f>
        <v>-3.9155261488262427E-2</v>
      </c>
      <c r="Q62" s="315">
        <f>IF(ISERROR(Q61/K61-1),"NM",Q61/K61-1)</f>
        <v>2.2859533945499333E-2</v>
      </c>
      <c r="R62" s="315">
        <f>IF(ISERROR(R61/L61-1),"NM",R61/L61-1)</f>
        <v>9.5495195936435406E-2</v>
      </c>
      <c r="S62" s="315">
        <f>IF(ISERROR(S61/M61-1),"NM",S61/M61-1)</f>
        <v>6.318108906464337E-3</v>
      </c>
      <c r="T62" s="115"/>
      <c r="U62" s="315">
        <f>IF(ISERROR(U61/O61-1),"NM",U61/O61-1)</f>
        <v>0.19919971034758288</v>
      </c>
      <c r="V62" s="315">
        <f>IF(ISERROR(V61/P61-1),"NM",V61/P61-1)</f>
        <v>0.22991159533873895</v>
      </c>
      <c r="W62" s="315">
        <f>IF(ISERROR(W61/Q61-1),"NM",W61/Q61-1)</f>
        <v>0.17849528137163184</v>
      </c>
      <c r="X62" s="315">
        <f>IF(ISERROR(X61/R61-1),"NM",X61/R61-1)</f>
        <v>9.2901673519514949E-2</v>
      </c>
      <c r="Y62" s="315">
        <f>IF(ISERROR(Y61/S61-1),"NM",Y61/S61-1)</f>
        <v>0.17148969090013666</v>
      </c>
      <c r="Z62" s="115"/>
      <c r="AA62" s="315">
        <f>IF(ISERROR(AA61/U61-1),"NM",AA61/U61-1)</f>
        <v>0.11292067437564901</v>
      </c>
      <c r="AB62" s="315">
        <f>IF(ISERROR(AB61/V61-1),"NM",AB61/V61-1)</f>
        <v>8.545088731912176E-2</v>
      </c>
      <c r="AC62" s="315">
        <f>IF(ISERROR(AC61/W61-1),"NM",AC61/W61-1)</f>
        <v>0.10018629029711712</v>
      </c>
      <c r="AD62" s="315">
        <f>IF(ISERROR(AD61/X61-1),"NM",AD61/X61-1)</f>
        <v>0.15542818299489447</v>
      </c>
      <c r="AE62" s="315">
        <f>IF(ISERROR(AE61/Y61-1),"NM",AE61/Y61-1)</f>
        <v>0.11405721172860206</v>
      </c>
      <c r="AF62" s="115"/>
      <c r="AG62" s="315">
        <f>IF(ISERROR(AG61/AA61-1),"NM",AG61/AA61-1)</f>
        <v>5.9851407183062921E-2</v>
      </c>
      <c r="AH62" s="315">
        <f>IF(ISERROR(AH61/AB61-1),"NM",AH61/AB61-1)</f>
        <v>7.8704322454750786E-2</v>
      </c>
      <c r="AI62" s="315">
        <f>IF(ISERROR(AI61/AC61-1),"NM",AI61/AC61-1)</f>
        <v>5.46753777777369E-2</v>
      </c>
      <c r="AJ62" s="315">
        <f>IF(ISERROR(AJ61/AD61-1),"NM",AJ61/AD61-1)</f>
        <v>-7.2284202751501381E-3</v>
      </c>
      <c r="AK62" s="315">
        <f>IF(ISERROR(AK61/AE61-1),"NM",AK61/AE61-1)</f>
        <v>4.5524827969887438E-2</v>
      </c>
      <c r="AL62" s="115"/>
      <c r="AM62" s="315">
        <f>IF(ISERROR(AM61/AG61-1),"NM",AM61/AG61-1)</f>
        <v>4.1349029496276168E-2</v>
      </c>
      <c r="AN62" s="315">
        <f>IF(ISERROR(AN61/AH61-1),"NM",AN61/AH61-1)</f>
        <v>1.1313796238764606E-2</v>
      </c>
      <c r="AO62" s="315">
        <f>IF(ISERROR(AO61/AI61-1),"NM",AO61/AI61-1)</f>
        <v>3.0564310661096883E-2</v>
      </c>
      <c r="AP62" s="315">
        <f>IF(ISERROR(AP61/AJ61-1),"NM",AP61/AJ61-1)</f>
        <v>6.3898064244825026E-2</v>
      </c>
      <c r="AQ62" s="315">
        <f>IF(ISERROR(AQ61/AK61-1),"NM",AQ61/AK61-1)</f>
        <v>3.6471526604911819E-2</v>
      </c>
      <c r="AR62" s="115"/>
      <c r="AS62" s="315">
        <f>IF(ISERROR(AS61/AM61-1),"NM",AS61/AM61-1)</f>
        <v>8.4882006543076649E-3</v>
      </c>
      <c r="AT62" s="315">
        <f>IF(ISERROR(AT61/AN61-1),"NM",AT61/AN61-1)</f>
        <v>1.1531471711423658E-2</v>
      </c>
      <c r="AU62" s="315">
        <f>IF(ISERROR(AU61/AO61-1),"NM",AU61/AO61-1)</f>
        <v>2.9797601836887289E-3</v>
      </c>
      <c r="AV62" s="315">
        <f>IF(ISERROR(AV61/AP61-1),"NM",AV61/AP61-1)</f>
        <v>1.8130468039250003E-2</v>
      </c>
      <c r="AW62" s="315">
        <f>IF(ISERROR(AW61/AQ61-1),"NM",AW61/AQ61-1)</f>
        <v>1.0334387615028584E-2</v>
      </c>
      <c r="AX62" s="115"/>
      <c r="AY62" s="315">
        <f>IF(ISERROR(AY61/AS61-1),"NM",AY61/AS61-1)</f>
        <v>4.532549043547407E-2</v>
      </c>
      <c r="AZ62" s="315">
        <f>IF(ISERROR(AZ61/AT61-1),"NM",AZ61/AT61-1)</f>
        <v>5.6221578033820885E-2</v>
      </c>
      <c r="BA62" s="315">
        <f>IF(ISERROR(BA61/AU61-1),"NM",BA61/AU61-1)</f>
        <v>7.9492444034540588E-2</v>
      </c>
      <c r="BB62" s="315">
        <f>IF(ISERROR(BB61/AV61-1),"NM",BB61/AV61-1)</f>
        <v>0.10204374272737704</v>
      </c>
      <c r="BC62" s="315">
        <f>IF(ISERROR(BC61/AW61-1),"NM",BC61/AW61-1)</f>
        <v>7.1974102512416316E-2</v>
      </c>
      <c r="BD62" s="115"/>
      <c r="BE62" s="315">
        <f>IF(ISERROR(BE61/AY61-1),"NM",BE61/AY61-1)</f>
        <v>8.6859686035090311E-2</v>
      </c>
      <c r="BF62" s="315">
        <f>IF(ISERROR(BF61/AZ61-1),"NM",BF61/AZ61-1)</f>
        <v>8.7394075589005027E-2</v>
      </c>
      <c r="BG62" s="315">
        <f>IF(ISERROR(BG61/BA61-1),"NM",BG61/BA61-1)</f>
        <v>7.5762832973426564E-2</v>
      </c>
      <c r="BH62" s="315">
        <f>IF(ISERROR(BH61/BB61-1),"NM",BH61/BB61-1)</f>
        <v>4.8802182969591712E-2</v>
      </c>
      <c r="BI62" s="315">
        <f>IF(ISERROR(BI61/BC61-1),"NM",BI61/BC61-1)</f>
        <v>7.3547951473013962E-2</v>
      </c>
      <c r="BJ62" s="115"/>
      <c r="BK62" s="315">
        <f>IF(ISERROR(BK61/BE61-1),"NM",BK61/BE61-1)</f>
        <v>0.10013995095772144</v>
      </c>
      <c r="BL62" s="315">
        <f>IF(ISERROR(BL61/BF61-1),"NM",BL61/BF61-1)</f>
        <v>0.11315264251254886</v>
      </c>
      <c r="BM62" s="315">
        <f>IF(ISERROR(BM61/BG61-1),"NM",BM61/BG61-1)</f>
        <v>9.6937639279071064E-2</v>
      </c>
      <c r="BN62" s="315">
        <f>IF(ISERROR(BN61/BH61-1),"NM",BN61/BH61-1)</f>
        <v>0.10177718627422849</v>
      </c>
      <c r="BO62" s="315">
        <f>IF(ISERROR(BO61/BI61-1),"NM",BO61/BI61-1)</f>
        <v>0.1033985110163389</v>
      </c>
      <c r="BP62" s="115"/>
      <c r="BQ62" s="315">
        <f>IF(ISERROR(BQ61/BK61-1),"NM",BQ61/BK61-1)</f>
        <v>8.6662928798332928E-2</v>
      </c>
      <c r="BR62" s="315">
        <f>IF(ISERROR(BR61/BL61-1),"NM",BR61/BL61-1)</f>
        <v>8.3202221465135784E-2</v>
      </c>
      <c r="BS62" s="315">
        <f>IF(ISERROR(BS61/BM61-1),"NM",BS61/BM61-1)</f>
        <v>9.9409831568175733E-2</v>
      </c>
      <c r="BT62" s="315">
        <f>IF(ISERROR(BT61/BN61-1),"NM",BT61/BN61-1)</f>
        <v>0.11433118261823871</v>
      </c>
      <c r="BU62" s="315">
        <f>IF(ISERROR(BU61/BO61-1),"NM",BU61/BO61-1)</f>
        <v>9.6257952759727594E-2</v>
      </c>
      <c r="BV62" s="115"/>
      <c r="BW62" s="315">
        <f>IF(ISERROR(BW61/BQ61-1),"NM",BW61/BQ61-1)</f>
        <v>8.8548328699447509E-2</v>
      </c>
      <c r="BX62" s="315">
        <f>IF(ISERROR(BX61/BR61-1),"NM",BX61/BR61-1)</f>
        <v>0.12505089403319425</v>
      </c>
      <c r="BY62" s="315">
        <f>IF(ISERROR(BY61/BS61-1),"NM",BY61/BS61-1)</f>
        <v>0.1161755957237931</v>
      </c>
      <c r="BZ62" s="315">
        <f>IF(ISERROR(BZ61/BT61-1),"NM",BZ61/BT61-1)</f>
        <v>0.1418973046552916</v>
      </c>
      <c r="CA62" s="315">
        <f>IF(ISERROR(CA61/BU61-1),"NM",CA61/BU61-1)</f>
        <v>0.11894883576913795</v>
      </c>
      <c r="CB62" s="115"/>
      <c r="CC62" s="315">
        <f>IF(ISERROR(CC61/BW61-1),"NM",CC61/BW61-1)</f>
        <v>7.4251291872787339E-2</v>
      </c>
      <c r="CD62" s="315">
        <f>IF(ISERROR(CD61/BX61-1),"NM",CD61/BX61-1)</f>
        <v>6.3882166748087776E-2</v>
      </c>
      <c r="CE62" s="315">
        <f>IF(ISERROR(CE61/BY61-1),"NM",CE61/BY61-1)</f>
        <v>6.5483149682747266E-2</v>
      </c>
      <c r="CF62" s="315">
        <f>IF(ISERROR(CF61/BZ61-1),"NM",CF61/BZ61-1)</f>
        <v>6.633059176837186E-2</v>
      </c>
      <c r="CG62" s="315">
        <f>IF(ISERROR(CG61/CA61-1),"NM",CG61/CA61-1)</f>
        <v>6.7066564570062992E-2</v>
      </c>
    </row>
    <row r="63" spans="1:86" ht="12.75" customHeight="1" outlineLevel="1" x14ac:dyDescent="0.2">
      <c r="A63" s="230"/>
      <c r="B63" s="290" t="s">
        <v>71</v>
      </c>
      <c r="C63" s="315"/>
      <c r="D63" s="315"/>
      <c r="E63" s="315"/>
      <c r="F63" s="315"/>
      <c r="G63" s="315"/>
      <c r="H63" s="115"/>
      <c r="I63" s="315">
        <f>+I62+C62</f>
        <v>-2.9418551294657536E-2</v>
      </c>
      <c r="J63" s="315">
        <f>+J62+D62</f>
        <v>-8.5358851674641301E-2</v>
      </c>
      <c r="K63" s="315">
        <f>+K62+E62</f>
        <v>-6.1310212895227312E-2</v>
      </c>
      <c r="L63" s="315">
        <f>+L62+F62</f>
        <v>-4.68159199695517E-2</v>
      </c>
      <c r="M63" s="315">
        <f>+M62+G62</f>
        <v>-5.6999900967354522E-2</v>
      </c>
      <c r="N63" s="115"/>
      <c r="O63" s="315">
        <f>+O62+I62</f>
        <v>-8.5558521431012724E-2</v>
      </c>
      <c r="P63" s="315">
        <f>+P62+J62</f>
        <v>-0.12451411316290373</v>
      </c>
      <c r="Q63" s="315">
        <f>+Q62+K62</f>
        <v>-3.8450678949727979E-2</v>
      </c>
      <c r="R63" s="315">
        <f>+R62+L62</f>
        <v>4.8679275966883706E-2</v>
      </c>
      <c r="S63" s="315">
        <f>+S62+M62</f>
        <v>-5.0681792060890185E-2</v>
      </c>
      <c r="T63" s="115"/>
      <c r="U63" s="315">
        <f>+U62+O62</f>
        <v>0.14305974021122769</v>
      </c>
      <c r="V63" s="315">
        <f>+V62+P62</f>
        <v>0.19075633385047652</v>
      </c>
      <c r="W63" s="315">
        <f>+W62+Q62</f>
        <v>0.20135481531713117</v>
      </c>
      <c r="X63" s="315">
        <f>+X62+R62</f>
        <v>0.18839686945595036</v>
      </c>
      <c r="Y63" s="315">
        <f>+Y62+S62</f>
        <v>0.177807799806601</v>
      </c>
      <c r="Z63" s="115"/>
      <c r="AA63" s="315">
        <f>+AA62+U62</f>
        <v>0.31212038472323189</v>
      </c>
      <c r="AB63" s="315">
        <f>+AB62+V62</f>
        <v>0.31536248265786071</v>
      </c>
      <c r="AC63" s="315">
        <f>+AC62+W62</f>
        <v>0.27868157166874896</v>
      </c>
      <c r="AD63" s="315">
        <f>+AD62+X62</f>
        <v>0.24832985651440942</v>
      </c>
      <c r="AE63" s="315">
        <f>+AE62+Y62</f>
        <v>0.28554690262873872</v>
      </c>
      <c r="AF63" s="115"/>
      <c r="AG63" s="315">
        <f>+AG62+AA62</f>
        <v>0.17277208155871193</v>
      </c>
      <c r="AH63" s="315">
        <f>+AH62+AB62</f>
        <v>0.16415520977387255</v>
      </c>
      <c r="AI63" s="315">
        <f>+AI62+AC62</f>
        <v>0.15486166807485402</v>
      </c>
      <c r="AJ63" s="315">
        <f>+AJ62+AD62</f>
        <v>0.14819976271974433</v>
      </c>
      <c r="AK63" s="315">
        <f>+AK62+AE62</f>
        <v>0.1595820396984895</v>
      </c>
      <c r="AL63" s="115"/>
      <c r="AM63" s="315">
        <f>+AM62+AG62</f>
        <v>0.10120043667933909</v>
      </c>
      <c r="AN63" s="315">
        <f>+AN62+AH62</f>
        <v>9.0018118693515392E-2</v>
      </c>
      <c r="AO63" s="315">
        <f>+AO62+AI62</f>
        <v>8.5239688438833783E-2</v>
      </c>
      <c r="AP63" s="315">
        <f>+AP62+AJ62</f>
        <v>5.6669643969674888E-2</v>
      </c>
      <c r="AQ63" s="315">
        <f>+AQ62+AK62</f>
        <v>8.1996354574799257E-2</v>
      </c>
      <c r="AR63" s="115"/>
      <c r="AS63" s="315">
        <f>+AS62+AM62</f>
        <v>4.9837230150583833E-2</v>
      </c>
      <c r="AT63" s="315">
        <f>+AT62+AN62</f>
        <v>2.2845267950188264E-2</v>
      </c>
      <c r="AU63" s="315">
        <f>+AU62+AO62</f>
        <v>3.3544070844785612E-2</v>
      </c>
      <c r="AV63" s="315">
        <f>+AV62+AP62</f>
        <v>8.2028532284075029E-2</v>
      </c>
      <c r="AW63" s="315">
        <f>+AW62+AQ62</f>
        <v>4.6805914219940403E-2</v>
      </c>
      <c r="AX63" s="115"/>
      <c r="AY63" s="315">
        <f>+AY62+AS62</f>
        <v>5.3813691089781734E-2</v>
      </c>
      <c r="AZ63" s="315">
        <f>+AZ62+AT62</f>
        <v>6.7753049745244542E-2</v>
      </c>
      <c r="BA63" s="315">
        <f>+BA62+AU62</f>
        <v>8.2472204218229317E-2</v>
      </c>
      <c r="BB63" s="315">
        <f>+BB62+AV62</f>
        <v>0.12017421076662704</v>
      </c>
      <c r="BC63" s="315">
        <f>+BC62+AW62</f>
        <v>8.23084901274449E-2</v>
      </c>
      <c r="BD63" s="115"/>
      <c r="BE63" s="315">
        <f>+BE62+AY62</f>
        <v>0.13218517647056438</v>
      </c>
      <c r="BF63" s="315">
        <f>+BF62+AZ62</f>
        <v>0.14361565362282591</v>
      </c>
      <c r="BG63" s="315">
        <f>+BG62+BA62</f>
        <v>0.15525527700796715</v>
      </c>
      <c r="BH63" s="315">
        <f>+BH62+BB62</f>
        <v>0.15084592569696875</v>
      </c>
      <c r="BI63" s="315">
        <f>+BI62+BC62</f>
        <v>0.14552205398543028</v>
      </c>
      <c r="BJ63" s="115"/>
      <c r="BK63" s="315">
        <f>+BK62+BE62</f>
        <v>0.18699963699281175</v>
      </c>
      <c r="BL63" s="315">
        <f>+BL62+BF62</f>
        <v>0.20054671810155389</v>
      </c>
      <c r="BM63" s="315">
        <f>+BM62+BG62</f>
        <v>0.17270047225249763</v>
      </c>
      <c r="BN63" s="315">
        <f>+BN62+BH62</f>
        <v>0.1505793692438202</v>
      </c>
      <c r="BO63" s="315">
        <f>+BO62+BI62</f>
        <v>0.17694646248935286</v>
      </c>
      <c r="BP63" s="115"/>
      <c r="BQ63" s="315">
        <f>+BQ62+BK62</f>
        <v>0.18680287975605436</v>
      </c>
      <c r="BR63" s="315">
        <f>+BR62+BL62</f>
        <v>0.19635486397768465</v>
      </c>
      <c r="BS63" s="315">
        <f>+BS62+BM62</f>
        <v>0.1963474708472468</v>
      </c>
      <c r="BT63" s="315">
        <f>+BT62+BN62</f>
        <v>0.21610836889246721</v>
      </c>
      <c r="BU63" s="315">
        <f>+BU62+BO62</f>
        <v>0.1996564637760665</v>
      </c>
      <c r="BV63" s="115"/>
      <c r="BW63" s="315">
        <f>+BW62+BQ62</f>
        <v>0.17521125749778044</v>
      </c>
      <c r="BX63" s="315">
        <f>+BX62+BR62</f>
        <v>0.20825311549833003</v>
      </c>
      <c r="BY63" s="315">
        <f>+BY62+BS62</f>
        <v>0.21558542729196883</v>
      </c>
      <c r="BZ63" s="315">
        <f>+BZ62+BT62</f>
        <v>0.25622848727353031</v>
      </c>
      <c r="CA63" s="315">
        <f>+CA62+BU62</f>
        <v>0.21520678852886554</v>
      </c>
      <c r="CB63" s="115"/>
      <c r="CC63" s="315">
        <f>+CC62+BW62</f>
        <v>0.16279962057223485</v>
      </c>
      <c r="CD63" s="315">
        <f>+CD62+BX62</f>
        <v>0.18893306078128203</v>
      </c>
      <c r="CE63" s="315">
        <f>+CE62+BY62</f>
        <v>0.18165874540654037</v>
      </c>
      <c r="CF63" s="315">
        <f>+CF62+BZ62</f>
        <v>0.20822789642366346</v>
      </c>
      <c r="CG63" s="315">
        <f>+CG62+CA62</f>
        <v>0.18601540033920094</v>
      </c>
    </row>
    <row r="64" spans="1:86" ht="3.75" customHeight="1" outlineLevel="1" x14ac:dyDescent="0.2">
      <c r="A64" s="230"/>
      <c r="B64" s="246"/>
      <c r="C64" s="42"/>
      <c r="D64" s="42"/>
      <c r="E64" s="42"/>
      <c r="F64" s="42"/>
      <c r="G64" s="42"/>
      <c r="H64" s="31"/>
      <c r="I64" s="42"/>
      <c r="J64" s="42"/>
      <c r="K64" s="42"/>
      <c r="L64" s="42"/>
      <c r="M64" s="42"/>
      <c r="N64" s="31"/>
      <c r="O64" s="42"/>
      <c r="P64" s="42"/>
      <c r="Q64" s="42"/>
      <c r="R64" s="42"/>
      <c r="S64" s="42"/>
      <c r="T64" s="31"/>
      <c r="U64" s="42"/>
      <c r="V64" s="42"/>
      <c r="W64" s="42"/>
      <c r="X64" s="42"/>
      <c r="Y64" s="42"/>
      <c r="Z64" s="31"/>
      <c r="AA64" s="42"/>
      <c r="AB64" s="42"/>
      <c r="AC64" s="42"/>
      <c r="AD64" s="42"/>
      <c r="AE64" s="42"/>
      <c r="AF64" s="31"/>
      <c r="AG64" s="42"/>
      <c r="AH64" s="42"/>
      <c r="AI64" s="42"/>
      <c r="AJ64" s="42"/>
      <c r="AK64" s="42"/>
      <c r="AL64" s="31"/>
      <c r="AM64" s="42"/>
      <c r="AN64" s="42"/>
      <c r="AO64" s="42"/>
      <c r="AP64" s="42"/>
      <c r="AQ64" s="42"/>
      <c r="AR64" s="31"/>
      <c r="AS64" s="42"/>
      <c r="AT64" s="42"/>
      <c r="AU64" s="42"/>
      <c r="AV64" s="42"/>
      <c r="AW64" s="42"/>
      <c r="AX64" s="31"/>
      <c r="AY64" s="42"/>
      <c r="AZ64" s="42"/>
      <c r="BA64" s="42"/>
      <c r="BB64" s="42"/>
      <c r="BC64" s="42"/>
      <c r="BD64" s="31"/>
      <c r="BE64" s="42"/>
      <c r="BF64" s="42"/>
      <c r="BG64" s="42"/>
      <c r="BH64" s="42"/>
      <c r="BI64" s="42"/>
      <c r="BJ64" s="31"/>
      <c r="BK64" s="42"/>
      <c r="BL64" s="42"/>
      <c r="BM64" s="42"/>
      <c r="BN64" s="42"/>
      <c r="BO64" s="42"/>
      <c r="BP64" s="31"/>
      <c r="BQ64" s="42"/>
      <c r="BR64" s="42"/>
      <c r="BS64" s="42"/>
      <c r="BT64" s="42"/>
      <c r="BU64" s="42"/>
      <c r="BV64" s="31"/>
      <c r="BW64" s="42"/>
      <c r="BX64" s="42"/>
      <c r="BY64" s="42"/>
      <c r="BZ64" s="42"/>
      <c r="CA64" s="42"/>
      <c r="CB64" s="31"/>
      <c r="CC64" s="42"/>
      <c r="CD64" s="42"/>
      <c r="CE64" s="42"/>
      <c r="CF64" s="42"/>
      <c r="CG64" s="42"/>
    </row>
    <row r="65" spans="1:87" ht="12.75" customHeight="1" outlineLevel="1" x14ac:dyDescent="0.2">
      <c r="A65" s="230"/>
      <c r="B65" s="40" t="s">
        <v>154</v>
      </c>
      <c r="C65" s="42"/>
      <c r="D65" s="42"/>
      <c r="E65" s="42"/>
      <c r="F65" s="42"/>
      <c r="G65" s="42"/>
      <c r="H65" s="52"/>
      <c r="I65" s="42"/>
      <c r="J65" s="42"/>
      <c r="K65" s="42"/>
      <c r="L65" s="42"/>
      <c r="M65" s="42"/>
      <c r="N65" s="52"/>
      <c r="O65" s="42"/>
      <c r="P65" s="42"/>
      <c r="Q65" s="42"/>
      <c r="R65" s="42"/>
      <c r="S65" s="42"/>
      <c r="T65" s="52"/>
      <c r="U65" s="42"/>
      <c r="V65" s="42"/>
      <c r="W65" s="42"/>
      <c r="X65" s="42"/>
      <c r="Y65" s="42"/>
      <c r="Z65" s="52"/>
      <c r="AA65" s="42"/>
      <c r="AB65" s="42"/>
      <c r="AC65" s="42"/>
      <c r="AD65" s="42"/>
      <c r="AE65" s="42"/>
      <c r="AF65" s="52"/>
      <c r="AG65" s="42"/>
      <c r="AH65" s="42"/>
      <c r="AI65" s="42"/>
      <c r="AJ65" s="42"/>
      <c r="AK65" s="42"/>
      <c r="AL65" s="52"/>
      <c r="AM65" s="42"/>
      <c r="AN65" s="42"/>
      <c r="AO65" s="42"/>
      <c r="AP65" s="42"/>
      <c r="AQ65" s="42"/>
      <c r="AR65" s="52"/>
      <c r="AS65" s="42"/>
      <c r="AT65" s="42"/>
      <c r="AU65" s="49"/>
      <c r="AV65" s="49"/>
      <c r="AW65" s="49"/>
      <c r="AX65" s="52"/>
      <c r="AY65" s="42"/>
      <c r="AZ65" s="42"/>
      <c r="BA65" s="42"/>
      <c r="BB65" s="42"/>
      <c r="BC65" s="42"/>
      <c r="BD65" s="52"/>
      <c r="BE65" s="42"/>
      <c r="BF65" s="42"/>
      <c r="BG65" s="42"/>
      <c r="BH65" s="42"/>
      <c r="BI65" s="42"/>
      <c r="BJ65" s="52"/>
      <c r="BK65" s="42"/>
      <c r="BL65" s="42"/>
      <c r="BM65" s="42"/>
      <c r="BN65" s="42"/>
      <c r="BO65" s="42"/>
      <c r="BP65" s="52"/>
      <c r="BQ65" s="42"/>
      <c r="BR65" s="42"/>
      <c r="BS65" s="42"/>
      <c r="BT65" s="42"/>
      <c r="BU65" s="42"/>
      <c r="BV65" s="52"/>
      <c r="BW65" s="42"/>
      <c r="BX65" s="42"/>
      <c r="BY65" s="42"/>
      <c r="BZ65" s="42"/>
      <c r="CA65" s="42"/>
      <c r="CB65" s="52"/>
      <c r="CC65" s="42"/>
      <c r="CD65" s="42"/>
      <c r="CE65" s="42"/>
      <c r="CF65" s="42"/>
      <c r="CG65" s="42"/>
    </row>
    <row r="66" spans="1:87" ht="12.75" customHeight="1" outlineLevel="1" x14ac:dyDescent="0.2">
      <c r="A66" s="230"/>
      <c r="B66" s="32" t="s">
        <v>147</v>
      </c>
      <c r="C66" s="47">
        <f>14.2+18.6+5.5</f>
        <v>38.299999999999997</v>
      </c>
      <c r="D66" s="47">
        <f>16.8+22.8+7</f>
        <v>46.6</v>
      </c>
      <c r="E66" s="47">
        <f>15.15+21.9+7.2</f>
        <v>44.25</v>
      </c>
      <c r="F66" s="47">
        <f>14.27+20.8+7.95</f>
        <v>43.02</v>
      </c>
      <c r="G66" s="49">
        <f>+SUM(C66:F66)</f>
        <v>172.17000000000002</v>
      </c>
      <c r="H66" s="115"/>
      <c r="I66" s="47">
        <f>14.5+20.9+8.2</f>
        <v>43.599999999999994</v>
      </c>
      <c r="J66" s="47">
        <f>14.83+22.14+9.52</f>
        <v>46.489999999999995</v>
      </c>
      <c r="K66" s="47">
        <f>15+21.07+8.95</f>
        <v>45.019999999999996</v>
      </c>
      <c r="L66" s="47">
        <f>14.01+20.46+10.48</f>
        <v>44.95</v>
      </c>
      <c r="M66" s="49">
        <f>+SUM(I66:L66)</f>
        <v>180.06</v>
      </c>
      <c r="N66" s="115"/>
      <c r="O66" s="47">
        <v>37.244999999999997</v>
      </c>
      <c r="P66" s="47">
        <v>37.840000000000003</v>
      </c>
      <c r="Q66" s="47">
        <v>38.704999999999998</v>
      </c>
      <c r="R66" s="47">
        <v>41.57</v>
      </c>
      <c r="S66" s="49">
        <f>+SUM(O66:R66)</f>
        <v>155.36000000000001</v>
      </c>
      <c r="T66" s="115"/>
      <c r="U66" s="47">
        <v>43.715000000000003</v>
      </c>
      <c r="V66" s="47">
        <v>47.075000000000003</v>
      </c>
      <c r="W66" s="47">
        <v>44.94</v>
      </c>
      <c r="X66" s="47">
        <v>43.87</v>
      </c>
      <c r="Y66" s="49">
        <f>+SUM(U66:X66)</f>
        <v>179.60000000000002</v>
      </c>
      <c r="Z66" s="115"/>
      <c r="AA66" s="414">
        <v>48.11</v>
      </c>
      <c r="AB66" s="414">
        <v>51.1</v>
      </c>
      <c r="AC66" s="414">
        <v>51.36</v>
      </c>
      <c r="AD66" s="414">
        <v>55.7</v>
      </c>
      <c r="AE66" s="49">
        <f>+SUM(AA66:AD66)</f>
        <v>206.26999999999998</v>
      </c>
      <c r="AF66" s="115"/>
      <c r="AG66" s="414">
        <v>57.145000000000003</v>
      </c>
      <c r="AH66" s="414">
        <v>62.51</v>
      </c>
      <c r="AI66" s="414">
        <v>57.4</v>
      </c>
      <c r="AJ66" s="414">
        <v>57.92</v>
      </c>
      <c r="AK66" s="49">
        <f>+SUM(AG66:AJ66)</f>
        <v>234.97500000000002</v>
      </c>
      <c r="AL66" s="115"/>
      <c r="AM66" s="414">
        <v>61.244999999999997</v>
      </c>
      <c r="AN66" s="414">
        <v>65.525000000000006</v>
      </c>
      <c r="AO66" s="414">
        <v>64.599999999999994</v>
      </c>
      <c r="AP66" s="414">
        <v>70.984999999999999</v>
      </c>
      <c r="AQ66" s="49">
        <f>+SUM(AM66:AP66)</f>
        <v>262.35500000000002</v>
      </c>
      <c r="AR66" s="115"/>
      <c r="AS66" s="49">
        <f>AS22-AS76-AS81-AS71</f>
        <v>69.944220000000016</v>
      </c>
      <c r="AT66" s="49">
        <f>AT22-AT76-AT81-AT71</f>
        <v>76.773314999999997</v>
      </c>
      <c r="AU66" s="49">
        <f>AU22-AU76-AU81-AU71</f>
        <v>73.719480000000004</v>
      </c>
      <c r="AV66" s="49">
        <f>AV22-AV76-AV81-AV71</f>
        <v>81.292652500000003</v>
      </c>
      <c r="AW66" s="49">
        <f>+SUM(AS66:AV66)</f>
        <v>301.72966750000001</v>
      </c>
      <c r="AX66" s="115"/>
      <c r="AY66" s="49">
        <f>AS66*(1+AY67)</f>
        <v>82.998187870967712</v>
      </c>
      <c r="AZ66" s="49">
        <f t="shared" ref="AZ66" si="39">AT66*(1+AZ67)</f>
        <v>93.922345988439304</v>
      </c>
      <c r="BA66" s="49">
        <f t="shared" ref="BA66" si="40">AU66*(1+BA67)</f>
        <v>94.132678316763005</v>
      </c>
      <c r="BB66" s="49">
        <f t="shared" ref="BB66" si="41">AV66*(1+BB67)</f>
        <v>105.19943198650232</v>
      </c>
      <c r="BC66" s="49">
        <f>+SUM(AY66:BB66)</f>
        <v>376.25264416267231</v>
      </c>
      <c r="BD66" s="115"/>
      <c r="BE66" s="49">
        <f>AY66*(1+BE67)</f>
        <v>97.937861687741901</v>
      </c>
      <c r="BF66" s="49">
        <f t="shared" ref="BF66:BH66" si="42">AZ66*(1+BF67)</f>
        <v>108.94992134658959</v>
      </c>
      <c r="BG66" s="49">
        <f t="shared" si="42"/>
        <v>107.31125328110984</v>
      </c>
      <c r="BH66" s="808">
        <f t="shared" si="42"/>
        <v>115.71937518515256</v>
      </c>
      <c r="BI66" s="49">
        <f>+SUM(BE66:BH66)</f>
        <v>429.91841150059389</v>
      </c>
      <c r="BJ66" s="115"/>
      <c r="BK66" s="49">
        <f>BE66*(1+BK67)</f>
        <v>122.42232710967738</v>
      </c>
      <c r="BL66" s="49">
        <f>BF66*(1+BL67)</f>
        <v>136.187401683237</v>
      </c>
      <c r="BM66" s="49">
        <f>BG66*(1+BM67)</f>
        <v>134.1390666013873</v>
      </c>
      <c r="BN66" s="49">
        <f>BH66*(1+BN67)</f>
        <v>138.86325022218307</v>
      </c>
      <c r="BO66" s="49">
        <f>+SUM(BK66:BN66)</f>
        <v>531.61204561648469</v>
      </c>
      <c r="BP66" s="115"/>
      <c r="BQ66" s="49">
        <f>BK66*(1+BQ67)</f>
        <v>150.57946234490319</v>
      </c>
      <c r="BR66" s="49">
        <f>BL66*(1+BR67)</f>
        <v>170.23425210404625</v>
      </c>
      <c r="BS66" s="49">
        <f>BM66*(1+BS67)</f>
        <v>167.67383325173412</v>
      </c>
      <c r="BT66" s="49">
        <f>BN66*(1+BT67)</f>
        <v>173.57906277772884</v>
      </c>
      <c r="BU66" s="49">
        <f>+SUM(BQ66:BT66)</f>
        <v>662.06661047841237</v>
      </c>
      <c r="BV66" s="115"/>
      <c r="BW66" s="49">
        <f>BQ66*(1+BW67)</f>
        <v>173.16638169663867</v>
      </c>
      <c r="BX66" s="49">
        <f>BR66*(1+BX67)</f>
        <v>197.47173244069364</v>
      </c>
      <c r="BY66" s="49">
        <f>BS66*(1+BY67)</f>
        <v>191.98653907323558</v>
      </c>
      <c r="BZ66" s="49">
        <f>BT66*(1+BZ67)</f>
        <v>196.14434093883358</v>
      </c>
      <c r="CA66" s="49">
        <f>+SUM(BW66:BZ66)</f>
        <v>758.76899414940146</v>
      </c>
      <c r="CB66" s="115"/>
      <c r="CC66" s="49">
        <f>BW66*(1+CC67)</f>
        <v>190.48301986630256</v>
      </c>
      <c r="CD66" s="49">
        <f>BX66*(1+CD67)</f>
        <v>217.21890568476303</v>
      </c>
      <c r="CE66" s="49">
        <f>BY66*(1+CE67)</f>
        <v>211.18519298055915</v>
      </c>
      <c r="CF66" s="49">
        <f>BZ66*(1+CF67)</f>
        <v>215.75877503271695</v>
      </c>
      <c r="CG66" s="49">
        <f>+SUM(CC66:CF66)</f>
        <v>834.64589356434169</v>
      </c>
      <c r="CI66" s="665">
        <f>+BU66/BU86</f>
        <v>0.54573450290655257</v>
      </c>
    </row>
    <row r="67" spans="1:87" ht="12.75" customHeight="1" outlineLevel="1" x14ac:dyDescent="0.2">
      <c r="A67" s="230"/>
      <c r="B67" s="290" t="s">
        <v>299</v>
      </c>
      <c r="C67" s="315"/>
      <c r="D67" s="315"/>
      <c r="E67" s="315"/>
      <c r="F67" s="315"/>
      <c r="G67" s="315"/>
      <c r="H67" s="115"/>
      <c r="I67" s="315">
        <f>IF(ISERROR(I66/C66-1),"NM",I66/C66-1)</f>
        <v>0.13838120104438634</v>
      </c>
      <c r="J67" s="315">
        <f>IF(ISERROR(J66/D66-1),"NM",J66/D66-1)</f>
        <v>-2.3605150214593973E-3</v>
      </c>
      <c r="K67" s="315">
        <f>IF(ISERROR(K66/E66-1),"NM",K66/E66-1)</f>
        <v>1.7401129943502625E-2</v>
      </c>
      <c r="L67" s="315">
        <f>IF(ISERROR(L66/F66-1),"NM",L66/F66-1)</f>
        <v>4.4862854486285464E-2</v>
      </c>
      <c r="M67" s="315">
        <f>IF(ISERROR(M66/G66-1),"NM",M66/G66-1)</f>
        <v>4.5826799093918735E-2</v>
      </c>
      <c r="N67" s="115"/>
      <c r="O67" s="315">
        <f>IF(ISERROR(O66/I66-1),"NM",O66/I66-1)</f>
        <v>-0.14575688073394488</v>
      </c>
      <c r="P67" s="315">
        <f>IF(ISERROR(P66/J66-1),"NM",P66/J66-1)</f>
        <v>-0.18606151860615172</v>
      </c>
      <c r="Q67" s="315">
        <f>IF(ISERROR(Q66/K66-1),"NM",Q66/K66-1)</f>
        <v>-0.14027099067081295</v>
      </c>
      <c r="R67" s="315">
        <f>IF(ISERROR(R66/L66-1),"NM",R66/L66-1)</f>
        <v>-7.5194660734149155E-2</v>
      </c>
      <c r="S67" s="315">
        <f>IF(ISERROR(S66/M66-1),"NM",S66/M66-1)</f>
        <v>-0.13717649672331433</v>
      </c>
      <c r="T67" s="115"/>
      <c r="U67" s="315">
        <f>IF(ISERROR(U66/O66-1),"NM",U66/O66-1)</f>
        <v>0.17371459256276034</v>
      </c>
      <c r="V67" s="315">
        <f>IF(ISERROR(V66/P66-1),"NM",V66/P66-1)</f>
        <v>0.24405391120507391</v>
      </c>
      <c r="W67" s="315">
        <f>IF(ISERROR(W66/Q66-1),"NM",W66/Q66-1)</f>
        <v>0.16109029841105804</v>
      </c>
      <c r="X67" s="315">
        <f>IF(ISERROR(X66/R66-1),"NM",X66/R66-1)</f>
        <v>5.5328361799374504E-2</v>
      </c>
      <c r="Y67" s="315">
        <f>IF(ISERROR(Y66/S66-1),"NM",Y66/S66-1)</f>
        <v>0.15602471678681784</v>
      </c>
      <c r="Z67" s="115"/>
      <c r="AA67" s="315">
        <f>IF(ISERROR(AA66/U66-1),"NM",AA66/U66-1)</f>
        <v>0.10053757291547516</v>
      </c>
      <c r="AB67" s="315">
        <f>IF(ISERROR(AB66/V66-1),"NM",AB66/V66-1)</f>
        <v>8.5501858736059422E-2</v>
      </c>
      <c r="AC67" s="315">
        <f>IF(ISERROR(AC66/W66-1),"NM",AC66/W66-1)</f>
        <v>0.14285714285714279</v>
      </c>
      <c r="AD67" s="315">
        <f>IF(ISERROR(AD66/X66-1),"NM",AD66/X66-1)</f>
        <v>0.26966036015500361</v>
      </c>
      <c r="AE67" s="315">
        <f>IF(ISERROR(AE66/Y66-1),"NM",AE66/Y66-1)</f>
        <v>0.14849665924276145</v>
      </c>
      <c r="AF67" s="115"/>
      <c r="AG67" s="315">
        <f>IF(ISERROR(AG66/AA66-1),"NM",AG66/AA66-1)</f>
        <v>0.18779879442943259</v>
      </c>
      <c r="AH67" s="315">
        <f>IF(ISERROR(AH66/AB66-1),"NM",AH66/AB66-1)</f>
        <v>0.22328767123287663</v>
      </c>
      <c r="AI67" s="315">
        <f>IF(ISERROR(AI66/AC66-1),"NM",AI66/AC66-1)</f>
        <v>0.11760124610591904</v>
      </c>
      <c r="AJ67" s="315">
        <f>IF(ISERROR(AJ66/AD66-1),"NM",AJ66/AD66-1)</f>
        <v>3.9856373429084435E-2</v>
      </c>
      <c r="AK67" s="315">
        <f>IF(ISERROR(AK66/AE66-1),"NM",AK66/AE66-1)</f>
        <v>0.13916226305327983</v>
      </c>
      <c r="AL67" s="115"/>
      <c r="AM67" s="315">
        <f>IF(ISERROR(AM66/AG66-1),"NM",AM66/AG66-1)</f>
        <v>7.1747309475894472E-2</v>
      </c>
      <c r="AN67" s="315">
        <f>IF(ISERROR(AN66/AH66-1),"NM",AN66/AH66-1)</f>
        <v>4.8232282834746565E-2</v>
      </c>
      <c r="AO67" s="315">
        <f>IF(ISERROR(AO66/AI66-1),"NM",AO66/AI66-1)</f>
        <v>0.12543554006968627</v>
      </c>
      <c r="AP67" s="315">
        <f>IF(ISERROR(AP66/AJ66-1),"NM",AP66/AJ66-1)</f>
        <v>0.22556975138121538</v>
      </c>
      <c r="AQ67" s="315">
        <f>IF(ISERROR(AQ66/AK66-1),"NM",AQ66/AK66-1)</f>
        <v>0.11652303436535805</v>
      </c>
      <c r="AR67" s="115"/>
      <c r="AS67" s="315">
        <f>IF(ISERROR(AS66/AM66-1),"NM",AS66/AM66-1)</f>
        <v>0.14203967670830298</v>
      </c>
      <c r="AT67" s="315">
        <f>IF(ISERROR(AT66/AN66-1),"NM",AT66/AN66-1)</f>
        <v>0.1716644792064097</v>
      </c>
      <c r="AU67" s="315">
        <f>IF(ISERROR(AU66/AO66-1),"NM",AU66/AO66-1)</f>
        <v>0.14116842105263183</v>
      </c>
      <c r="AV67" s="315">
        <f>IF(ISERROR(AV66/AP66-1),"NM",AV66/AP66-1)</f>
        <v>0.14520888215820249</v>
      </c>
      <c r="AW67" s="315">
        <f>IF(ISERROR(AW66/AQ66-1),"NM",AW66/AQ66-1)</f>
        <v>0.15008163557012444</v>
      </c>
      <c r="AX67" s="115"/>
      <c r="AY67" s="818">
        <v>0.18663397591634734</v>
      </c>
      <c r="AZ67" s="818">
        <v>0.22337228747305371</v>
      </c>
      <c r="BA67" s="818">
        <v>0.27690372092644977</v>
      </c>
      <c r="BB67" s="818">
        <v>0.29408290603510956</v>
      </c>
      <c r="BC67" s="315">
        <f>IF(ISERROR(BC66/AW66-1),"NM",BC66/AW66-1)</f>
        <v>0.24698591053421115</v>
      </c>
      <c r="BD67" s="115"/>
      <c r="BE67" s="901">
        <v>0.18</v>
      </c>
      <c r="BF67" s="901">
        <v>0.16</v>
      </c>
      <c r="BG67" s="901">
        <v>0.14000000000000001</v>
      </c>
      <c r="BH67" s="907">
        <v>0.1</v>
      </c>
      <c r="BI67" s="315">
        <f>IF(ISERROR(BI66/BC66-1),"NM",BI66/BC66-1)</f>
        <v>0.14263226629902226</v>
      </c>
      <c r="BJ67" s="115"/>
      <c r="BK67" s="481">
        <v>0.25</v>
      </c>
      <c r="BL67" s="481">
        <v>0.25</v>
      </c>
      <c r="BM67" s="481">
        <v>0.25</v>
      </c>
      <c r="BN67" s="481">
        <v>0.2</v>
      </c>
      <c r="BO67" s="315">
        <f>IF(ISERROR(BO66/BI66-1),"NM",BO66/BI66-1)</f>
        <v>0.23654170511315797</v>
      </c>
      <c r="BP67" s="115"/>
      <c r="BQ67" s="481">
        <v>0.23</v>
      </c>
      <c r="BR67" s="481">
        <v>0.25</v>
      </c>
      <c r="BS67" s="481">
        <v>0.25</v>
      </c>
      <c r="BT67" s="481">
        <v>0.25</v>
      </c>
      <c r="BU67" s="315">
        <f>IF(ISERROR(BU66/BO66-1),"NM",BU66/BO66-1)</f>
        <v>0.24539429822483783</v>
      </c>
      <c r="BV67" s="115"/>
      <c r="BW67" s="481">
        <v>0.15</v>
      </c>
      <c r="BX67" s="481">
        <v>0.16</v>
      </c>
      <c r="BY67" s="481">
        <v>0.14499999999999999</v>
      </c>
      <c r="BZ67" s="481">
        <v>0.13</v>
      </c>
      <c r="CA67" s="315">
        <f>IF(ISERROR(CA66/BU66-1),"NM",CA66/BU66-1)</f>
        <v>0.14606141155662788</v>
      </c>
      <c r="CB67" s="115"/>
      <c r="CC67" s="481">
        <v>0.1</v>
      </c>
      <c r="CD67" s="481">
        <f>+CC67</f>
        <v>0.1</v>
      </c>
      <c r="CE67" s="481">
        <f>+CD67</f>
        <v>0.1</v>
      </c>
      <c r="CF67" s="481">
        <f>+CE67</f>
        <v>0.1</v>
      </c>
      <c r="CG67" s="315">
        <f>IF(ISERROR(CG66/CA66-1),"NM",CG66/CA66-1)</f>
        <v>0.10000000000000009</v>
      </c>
    </row>
    <row r="68" spans="1:87" ht="12.75" customHeight="1" outlineLevel="1" x14ac:dyDescent="0.2">
      <c r="A68" s="230"/>
      <c r="B68" s="290" t="s">
        <v>539</v>
      </c>
      <c r="C68" s="315"/>
      <c r="D68" s="315"/>
      <c r="E68" s="315"/>
      <c r="F68" s="315"/>
      <c r="G68" s="315"/>
      <c r="H68" s="115"/>
      <c r="I68" s="49">
        <f>+I66-F66</f>
        <v>0.57999999999999119</v>
      </c>
      <c r="J68" s="49">
        <f>+J66-I66</f>
        <v>2.8900000000000006</v>
      </c>
      <c r="K68" s="49">
        <f>+K66-J66</f>
        <v>-1.4699999999999989</v>
      </c>
      <c r="L68" s="49">
        <f>+L66-K66</f>
        <v>-6.9999999999993179E-2</v>
      </c>
      <c r="M68" s="315"/>
      <c r="N68" s="115"/>
      <c r="O68" s="49">
        <f>+O66-L66</f>
        <v>-7.7050000000000054</v>
      </c>
      <c r="P68" s="49">
        <f>+P66-O66</f>
        <v>0.59500000000000597</v>
      </c>
      <c r="Q68" s="49">
        <f>+Q66-P66</f>
        <v>0.86499999999999488</v>
      </c>
      <c r="R68" s="49">
        <f>+R66-Q66</f>
        <v>2.865000000000002</v>
      </c>
      <c r="S68" s="315"/>
      <c r="T68" s="115"/>
      <c r="U68" s="49">
        <f>+U66-R66</f>
        <v>2.1450000000000031</v>
      </c>
      <c r="V68" s="49">
        <f>+V66-U66</f>
        <v>3.3599999999999994</v>
      </c>
      <c r="W68" s="49">
        <f>+W66-V66</f>
        <v>-2.1350000000000051</v>
      </c>
      <c r="X68" s="49">
        <f>+X66-W66</f>
        <v>-1.0700000000000003</v>
      </c>
      <c r="Y68" s="315"/>
      <c r="Z68" s="115"/>
      <c r="AA68" s="49">
        <f>+AA66-X66</f>
        <v>4.240000000000002</v>
      </c>
      <c r="AB68" s="49">
        <f>+AB66-AA66</f>
        <v>2.990000000000002</v>
      </c>
      <c r="AC68" s="49">
        <f>+AC66-AB66</f>
        <v>0.25999999999999801</v>
      </c>
      <c r="AD68" s="49">
        <f>+AD66-AC66</f>
        <v>4.3400000000000034</v>
      </c>
      <c r="AE68" s="315"/>
      <c r="AF68" s="115"/>
      <c r="AG68" s="49">
        <f>+AG66-AD66</f>
        <v>1.4450000000000003</v>
      </c>
      <c r="AH68" s="49">
        <f>+AH66-AG66</f>
        <v>5.3649999999999949</v>
      </c>
      <c r="AI68" s="49">
        <f>+AI66-AH66</f>
        <v>-5.1099999999999994</v>
      </c>
      <c r="AJ68" s="49">
        <f>+AJ66-AI66</f>
        <v>0.52000000000000313</v>
      </c>
      <c r="AK68" s="315"/>
      <c r="AL68" s="115"/>
      <c r="AM68" s="315">
        <f t="shared" ref="AM68:AQ68" si="43">+AM67+AG67</f>
        <v>0.25954610390532706</v>
      </c>
      <c r="AN68" s="315">
        <f t="shared" si="43"/>
        <v>0.27151995406762319</v>
      </c>
      <c r="AO68" s="315">
        <f t="shared" si="43"/>
        <v>0.24303678617560531</v>
      </c>
      <c r="AP68" s="315">
        <f t="shared" si="43"/>
        <v>0.26542612481029981</v>
      </c>
      <c r="AQ68" s="315">
        <f t="shared" si="43"/>
        <v>0.25568529741863788</v>
      </c>
      <c r="AR68" s="115"/>
      <c r="AS68" s="315">
        <f t="shared" ref="AS68:AW68" si="44">+AS67+AM67</f>
        <v>0.21378698618419745</v>
      </c>
      <c r="AT68" s="315">
        <f t="shared" si="44"/>
        <v>0.21989676204115627</v>
      </c>
      <c r="AU68" s="315">
        <f t="shared" si="44"/>
        <v>0.2666039611223181</v>
      </c>
      <c r="AV68" s="315">
        <f t="shared" si="44"/>
        <v>0.37077863353941787</v>
      </c>
      <c r="AW68" s="315">
        <f t="shared" si="44"/>
        <v>0.26660466993548249</v>
      </c>
      <c r="AX68" s="115"/>
      <c r="AY68" s="315">
        <f t="shared" ref="AY68:BC68" si="45">+AY67+AS67</f>
        <v>0.32867365262465031</v>
      </c>
      <c r="AZ68" s="315">
        <f t="shared" si="45"/>
        <v>0.39503676667946341</v>
      </c>
      <c r="BA68" s="315">
        <f t="shared" si="45"/>
        <v>0.4180721419790816</v>
      </c>
      <c r="BB68" s="315">
        <f t="shared" si="45"/>
        <v>0.43929178819331205</v>
      </c>
      <c r="BC68" s="315">
        <f t="shared" si="45"/>
        <v>0.39706754610433559</v>
      </c>
      <c r="BD68" s="115"/>
      <c r="BE68" s="315">
        <f t="shared" ref="BE68:BI68" si="46">+BE67+AY67</f>
        <v>0.36663397591634733</v>
      </c>
      <c r="BF68" s="315">
        <f t="shared" si="46"/>
        <v>0.38337228747305374</v>
      </c>
      <c r="BG68" s="315">
        <f t="shared" si="46"/>
        <v>0.41690372092644978</v>
      </c>
      <c r="BH68" s="315">
        <f t="shared" si="46"/>
        <v>0.39408290603510954</v>
      </c>
      <c r="BI68" s="315">
        <f t="shared" si="46"/>
        <v>0.38961817683323341</v>
      </c>
      <c r="BJ68" s="115"/>
      <c r="BK68" s="315">
        <f t="shared" ref="BK68:BO68" si="47">+BK67+BE67</f>
        <v>0.43</v>
      </c>
      <c r="BL68" s="315">
        <f t="shared" si="47"/>
        <v>0.41000000000000003</v>
      </c>
      <c r="BM68" s="315">
        <f t="shared" si="47"/>
        <v>0.39</v>
      </c>
      <c r="BN68" s="315">
        <f t="shared" si="47"/>
        <v>0.30000000000000004</v>
      </c>
      <c r="BO68" s="315">
        <f t="shared" si="47"/>
        <v>0.37917397141218023</v>
      </c>
      <c r="BP68" s="115"/>
      <c r="BQ68" s="315">
        <f>+BQ67+BK67</f>
        <v>0.48</v>
      </c>
      <c r="BR68" s="315">
        <f>+BR67+BL67</f>
        <v>0.5</v>
      </c>
      <c r="BS68" s="315">
        <f>+BS67+BM67</f>
        <v>0.5</v>
      </c>
      <c r="BT68" s="315">
        <f>+BT67+BN67</f>
        <v>0.45</v>
      </c>
      <c r="BU68" s="315">
        <f>+BU67+BO67</f>
        <v>0.4819360033379958</v>
      </c>
      <c r="BV68" s="115"/>
      <c r="BW68" s="315">
        <f>+BW67+BQ67</f>
        <v>0.38</v>
      </c>
      <c r="BX68" s="315">
        <f>+BX67+BR67</f>
        <v>0.41000000000000003</v>
      </c>
      <c r="BY68" s="315">
        <f>+BY67+BS67</f>
        <v>0.39500000000000002</v>
      </c>
      <c r="BZ68" s="315">
        <f>+BZ67+BT67</f>
        <v>0.38</v>
      </c>
      <c r="CA68" s="315">
        <f>+CA67+BU67</f>
        <v>0.39145570978146571</v>
      </c>
      <c r="CB68" s="115"/>
      <c r="CC68" s="315">
        <f>+CC67+BW67</f>
        <v>0.25</v>
      </c>
      <c r="CD68" s="315">
        <f>+CD67+BX67</f>
        <v>0.26</v>
      </c>
      <c r="CE68" s="315">
        <f>+CE67+BY67</f>
        <v>0.245</v>
      </c>
      <c r="CF68" s="315">
        <f>+CF67+BZ67</f>
        <v>0.23</v>
      </c>
      <c r="CG68" s="315">
        <f>+CG67+CA67</f>
        <v>0.24606141155662797</v>
      </c>
    </row>
    <row r="69" spans="1:87" ht="12.75" customHeight="1" outlineLevel="1" x14ac:dyDescent="0.2">
      <c r="A69" s="230"/>
      <c r="B69" s="290" t="s">
        <v>398</v>
      </c>
      <c r="C69" s="315"/>
      <c r="D69" s="315"/>
      <c r="E69" s="315"/>
      <c r="F69" s="315"/>
      <c r="G69" s="315"/>
      <c r="H69" s="115"/>
      <c r="I69" s="49"/>
      <c r="J69" s="49"/>
      <c r="K69" s="49"/>
      <c r="L69" s="49"/>
      <c r="M69" s="315"/>
      <c r="N69" s="115"/>
      <c r="O69" s="49"/>
      <c r="P69" s="49"/>
      <c r="Q69" s="49"/>
      <c r="R69" s="49"/>
      <c r="S69" s="315"/>
      <c r="T69" s="115"/>
      <c r="U69" s="49"/>
      <c r="V69" s="49"/>
      <c r="W69" s="49"/>
      <c r="X69" s="49"/>
      <c r="Y69" s="315"/>
      <c r="Z69" s="115"/>
      <c r="AA69" s="49">
        <f>AVERAGE(U68,O68,I68)</f>
        <v>-1.6600000000000037</v>
      </c>
      <c r="AB69" s="49">
        <f>AVERAGE(V68,P68,J68)</f>
        <v>2.2816666666666685</v>
      </c>
      <c r="AC69" s="49">
        <f>AVERAGE(W68,Q68,K68)</f>
        <v>-0.91333333333333633</v>
      </c>
      <c r="AD69" s="49">
        <f>AVERAGE(X68,R68,L68)</f>
        <v>0.57500000000000284</v>
      </c>
      <c r="AE69" s="315"/>
      <c r="AF69" s="115"/>
      <c r="AG69" s="49">
        <f>AVERAGE(AA68,U68,O68)</f>
        <v>-0.44000000000000011</v>
      </c>
      <c r="AH69" s="49">
        <f>AVERAGE(AB68,V68,P68)</f>
        <v>2.3150000000000026</v>
      </c>
      <c r="AI69" s="49">
        <f>AVERAGE(AC68,W68,Q68)</f>
        <v>-0.33666666666667072</v>
      </c>
      <c r="AJ69" s="49">
        <f>AVERAGE(AD68,X68,R68)</f>
        <v>2.0450000000000017</v>
      </c>
      <c r="AK69" s="315"/>
      <c r="AL69" s="115"/>
      <c r="AM69" s="49">
        <f>AVERAGE(AG68,AA68,U68)</f>
        <v>2.6100000000000017</v>
      </c>
      <c r="AN69" s="49">
        <f>AVERAGE(AH68,AB68,V68)</f>
        <v>3.9049999999999989</v>
      </c>
      <c r="AO69" s="49">
        <f>AVERAGE(AI68,AC68,W68)</f>
        <v>-2.3283333333333354</v>
      </c>
      <c r="AP69" s="49">
        <f>AVERAGE(AJ68,AD68,X68)</f>
        <v>1.2633333333333354</v>
      </c>
      <c r="AQ69" s="315"/>
      <c r="AR69" s="115"/>
      <c r="AS69" s="49">
        <f>AVERAGE(AM68,AG68,AA68)</f>
        <v>1.9815153679684432</v>
      </c>
      <c r="AT69" s="49">
        <f>AVERAGE(AN68,AH68,AB68)</f>
        <v>2.8755066513558734</v>
      </c>
      <c r="AU69" s="49">
        <f>AVERAGE(AO68,AI68,AC68)</f>
        <v>-1.535654404608132</v>
      </c>
      <c r="AV69" s="49">
        <f>AVERAGE(AP68,AJ68,AD68)</f>
        <v>1.7084753749367687</v>
      </c>
      <c r="AW69" s="315"/>
      <c r="AX69" s="115"/>
      <c r="AY69" s="49">
        <f>AVERAGE(AS68,AM68,AG68)</f>
        <v>0.63944436336317489</v>
      </c>
      <c r="AZ69" s="49">
        <f>AVERAGE(AT68,AN68,AH68)</f>
        <v>1.9521389053695914</v>
      </c>
      <c r="BA69" s="49">
        <f>AVERAGE(AU68,AO68,AI68)</f>
        <v>-1.5334530842340255</v>
      </c>
      <c r="BB69" s="49">
        <f>AVERAGE(AV68,AP68,AJ68)</f>
        <v>0.3854015861165736</v>
      </c>
      <c r="BC69" s="315"/>
      <c r="BD69" s="115"/>
      <c r="BE69" s="49">
        <f>AVERAGE(AY68,AS68,AM68)</f>
        <v>0.26733558090472492</v>
      </c>
      <c r="BF69" s="49">
        <f>AVERAGE(AZ68,AT68,AN68)</f>
        <v>0.29548449426274764</v>
      </c>
      <c r="BG69" s="49">
        <f>AVERAGE(BA68,AU68,AO68)</f>
        <v>0.30923762975900165</v>
      </c>
      <c r="BH69" s="808">
        <f>AVERAGE(BB68,AV68,AP68)</f>
        <v>0.35849884884767658</v>
      </c>
      <c r="BI69" s="315"/>
      <c r="BJ69" s="115"/>
      <c r="BK69" s="49">
        <f>AVERAGE(BE68,AY68,AS68)</f>
        <v>0.30303153824173168</v>
      </c>
      <c r="BL69" s="49">
        <f>AVERAGE(BF68,AZ68,AT68)</f>
        <v>0.33276860539789116</v>
      </c>
      <c r="BM69" s="49">
        <f>AVERAGE(BG68,BA68,AU68)</f>
        <v>0.36719327467594987</v>
      </c>
      <c r="BN69" s="49">
        <f>AVERAGE(BH68,BB68,AV68)</f>
        <v>0.4013844425892798</v>
      </c>
      <c r="BO69" s="315"/>
      <c r="BP69" s="115"/>
      <c r="BQ69" s="49">
        <f>AVERAGE(BK68,BE68,AY68)</f>
        <v>0.37510254284699923</v>
      </c>
      <c r="BR69" s="49">
        <f>AVERAGE(BL68,BF68,AZ68)</f>
        <v>0.39613635138417241</v>
      </c>
      <c r="BS69" s="49">
        <f>AVERAGE(BM68,BG68,BA68)</f>
        <v>0.40832528763517711</v>
      </c>
      <c r="BT69" s="49">
        <f>AVERAGE(BN68,BH68,BB68)</f>
        <v>0.37779156474280723</v>
      </c>
      <c r="BU69" s="315"/>
      <c r="BV69" s="115"/>
      <c r="BW69" s="49">
        <f>AVERAGE(BQ68,BK68,BE68)</f>
        <v>0.42554465863878238</v>
      </c>
      <c r="BX69" s="49">
        <f>AVERAGE(BR68,BL68,BF68)</f>
        <v>0.43112409582435124</v>
      </c>
      <c r="BY69" s="49">
        <f>AVERAGE(BS68,BM68,BG68)</f>
        <v>0.43563457364214991</v>
      </c>
      <c r="BZ69" s="49">
        <f>AVERAGE(BT68,BN68,BH68)</f>
        <v>0.38136096867836988</v>
      </c>
      <c r="CA69" s="315"/>
      <c r="CB69" s="115"/>
      <c r="CC69" s="49">
        <f>AVERAGE(BW68,BQ68,BK68)</f>
        <v>0.43</v>
      </c>
      <c r="CD69" s="49">
        <f>AVERAGE(BX68,BR68,BL68)</f>
        <v>0.44</v>
      </c>
      <c r="CE69" s="49">
        <f>AVERAGE(BY68,BS68,BM68)</f>
        <v>0.4283333333333334</v>
      </c>
      <c r="CF69" s="49">
        <f>AVERAGE(BZ68,BT68,BN68)</f>
        <v>0.37666666666666671</v>
      </c>
      <c r="CG69" s="315"/>
    </row>
    <row r="70" spans="1:87" ht="12.75" customHeight="1" outlineLevel="1" x14ac:dyDescent="0.2">
      <c r="A70" s="230"/>
      <c r="B70" s="477" t="s">
        <v>537</v>
      </c>
      <c r="C70" s="315"/>
      <c r="D70" s="315"/>
      <c r="E70" s="315"/>
      <c r="F70" s="315"/>
      <c r="G70" s="315"/>
      <c r="H70" s="115"/>
      <c r="I70" s="315">
        <f t="shared" ref="I70:AE70" si="48">I66/I$86</f>
        <v>0.84218659455282974</v>
      </c>
      <c r="J70" s="315">
        <f t="shared" si="48"/>
        <v>0.84727537816657561</v>
      </c>
      <c r="K70" s="315">
        <f t="shared" si="48"/>
        <v>0.85265151515151516</v>
      </c>
      <c r="L70" s="315">
        <f t="shared" si="48"/>
        <v>0.8539133738601824</v>
      </c>
      <c r="M70" s="315">
        <f t="shared" si="48"/>
        <v>0.84901923802338752</v>
      </c>
      <c r="N70" s="115"/>
      <c r="O70" s="315">
        <f t="shared" si="48"/>
        <v>0.74400719137035565</v>
      </c>
      <c r="P70" s="315">
        <f t="shared" si="48"/>
        <v>0.71389491557400253</v>
      </c>
      <c r="Q70" s="315">
        <f t="shared" si="48"/>
        <v>0.68486242590462709</v>
      </c>
      <c r="R70" s="315">
        <f t="shared" si="48"/>
        <v>0.68080576482148702</v>
      </c>
      <c r="S70" s="315">
        <f t="shared" si="48"/>
        <v>0.70413343002175488</v>
      </c>
      <c r="T70" s="115"/>
      <c r="U70" s="315">
        <f t="shared" si="48"/>
        <v>0.68723471152334548</v>
      </c>
      <c r="V70" s="315">
        <f t="shared" si="48"/>
        <v>0.69756242127880275</v>
      </c>
      <c r="W70" s="315">
        <f t="shared" si="48"/>
        <v>0.67844202898550732</v>
      </c>
      <c r="X70" s="315">
        <f t="shared" si="48"/>
        <v>0.69097495668609232</v>
      </c>
      <c r="Y70" s="315">
        <f t="shared" si="48"/>
        <v>0.68858429981788549</v>
      </c>
      <c r="Z70" s="115"/>
      <c r="AA70" s="315">
        <f t="shared" si="48"/>
        <v>0.6740927560599691</v>
      </c>
      <c r="AB70" s="315">
        <f t="shared" si="48"/>
        <v>0.67219152854511965</v>
      </c>
      <c r="AC70" s="315">
        <f t="shared" si="48"/>
        <v>0.64717741935483875</v>
      </c>
      <c r="AD70" s="315">
        <f t="shared" si="48"/>
        <v>0.67441578883642084</v>
      </c>
      <c r="AE70" s="315">
        <f t="shared" si="48"/>
        <v>0.66680674985452904</v>
      </c>
      <c r="AF70" s="115"/>
      <c r="AG70" s="315">
        <f>AG66/AG$86</f>
        <v>0.67020465607224533</v>
      </c>
      <c r="AH70" s="315">
        <f>AH66/AH$86</f>
        <v>0.65606633081444166</v>
      </c>
      <c r="AI70" s="315">
        <f>AI66/AI$86</f>
        <v>0.62043992866021724</v>
      </c>
      <c r="AJ70" s="315">
        <f>AJ66/AJ$86</f>
        <v>0.64014146772767466</v>
      </c>
      <c r="AK70" s="315">
        <f>AK66/AK$86</f>
        <v>0.64635253342135668</v>
      </c>
      <c r="AL70" s="115"/>
      <c r="AM70" s="315">
        <f>AM66/AM$86</f>
        <v>0.62412106389483335</v>
      </c>
      <c r="AN70" s="315">
        <f>AN66/AN$86</f>
        <v>0.61737409902482687</v>
      </c>
      <c r="AO70" s="315">
        <f>AO66/AO$86</f>
        <v>0.60430308699719359</v>
      </c>
      <c r="AP70" s="315">
        <f>AP66/AP$86</f>
        <v>0.63875641141006034</v>
      </c>
      <c r="AQ70" s="315">
        <f>AQ66/AQ$86</f>
        <v>0.62126001965450695</v>
      </c>
      <c r="AR70" s="115"/>
      <c r="AS70" s="315">
        <f>AS66/AS$86</f>
        <v>0.62339977122590939</v>
      </c>
      <c r="AT70" s="315">
        <f>AT66/AT$86</f>
        <v>0.64238831789008521</v>
      </c>
      <c r="AU70" s="315">
        <f>AU66/AU$86</f>
        <v>0.61630631609747943</v>
      </c>
      <c r="AV70" s="315">
        <f>AV66/AV$86</f>
        <v>0.64150214161133701</v>
      </c>
      <c r="AW70" s="315">
        <f>AW66/AW$86</f>
        <v>0.63117066200562533</v>
      </c>
      <c r="AX70" s="115"/>
      <c r="AY70" s="315">
        <f>AY66/AY$86</f>
        <v>0.63463976044477544</v>
      </c>
      <c r="AZ70" s="315">
        <f>AZ66/AZ$86</f>
        <v>0.64998163313798829</v>
      </c>
      <c r="BA70" s="315">
        <f>BA66/BA$86</f>
        <v>0.63818764960517294</v>
      </c>
      <c r="BB70" s="315">
        <f>BB66/BB$86</f>
        <v>0.65585332660490347</v>
      </c>
      <c r="BC70" s="315">
        <f>BC66/BC$86</f>
        <v>0.64517317956165199</v>
      </c>
      <c r="BD70" s="115"/>
      <c r="BE70" s="315">
        <f>BE66/BE$86</f>
        <v>0.59848251527024265</v>
      </c>
      <c r="BF70" s="315">
        <f>BF66/BF$86</f>
        <v>0.61555366731596683</v>
      </c>
      <c r="BG70" s="315">
        <f>BG66/BG$86</f>
        <v>0.60355035591175399</v>
      </c>
      <c r="BH70" s="810">
        <f>BH66/BH$86</f>
        <v>0.60888910910367033</v>
      </c>
      <c r="BI70" s="315">
        <f>BI66/BI$86</f>
        <v>0.60681058630188878</v>
      </c>
      <c r="BJ70" s="115"/>
      <c r="BK70" s="315">
        <f>BK66/BK$86</f>
        <v>0.58849814738458062</v>
      </c>
      <c r="BL70" s="315">
        <f>BL66/BL$86</f>
        <v>0.58729312037275005</v>
      </c>
      <c r="BM70" s="315">
        <f>BM66/BM$86</f>
        <v>0.56822937157726605</v>
      </c>
      <c r="BN70" s="315">
        <f>BN66/BN$86</f>
        <v>0.54449770702342104</v>
      </c>
      <c r="BO70" s="315">
        <f>BO66/BO$86</f>
        <v>0.57100573099803953</v>
      </c>
      <c r="BP70" s="115"/>
      <c r="BQ70" s="315">
        <f>BQ66/BQ$86</f>
        <v>0.55312308242842834</v>
      </c>
      <c r="BR70" s="315">
        <f>BR66/BR$86</f>
        <v>0.56537841049056226</v>
      </c>
      <c r="BS70" s="315">
        <f>BS66/BS$86</f>
        <v>0.54392774932123023</v>
      </c>
      <c r="BT70" s="315">
        <f>BT66/BT$86</f>
        <v>0.52350918743632013</v>
      </c>
      <c r="BU70" s="315">
        <f>BU66/BU$86</f>
        <v>0.54573450290655257</v>
      </c>
      <c r="BV70" s="115"/>
      <c r="BW70" s="315">
        <f>BW66/BW$86</f>
        <v>0.50644254971569569</v>
      </c>
      <c r="BX70" s="315">
        <f>BX66/BX$86</f>
        <v>0.50887153821364095</v>
      </c>
      <c r="BY70" s="315">
        <f>BY66/BY$86</f>
        <v>0.48847484431644056</v>
      </c>
      <c r="BZ70" s="315">
        <f>BZ66/BZ$86</f>
        <v>0.45556012852162681</v>
      </c>
      <c r="CA70" s="315">
        <f>CA66/CA$86</f>
        <v>0.48840217567933103</v>
      </c>
      <c r="CB70" s="115"/>
      <c r="CC70" s="315">
        <f>CC66/CC$86</f>
        <v>0.45757686160794869</v>
      </c>
      <c r="CD70" s="315">
        <f>CD66/CD$86</f>
        <v>0.46683057631279973</v>
      </c>
      <c r="CE70" s="315">
        <f>CE66/CE$86</f>
        <v>0.44844268618927835</v>
      </c>
      <c r="CF70" s="315">
        <f>CF66/CF$86</f>
        <v>0.41935612440908226</v>
      </c>
      <c r="CG70" s="315">
        <f>CG66/CG$86</f>
        <v>0.44704655006680949</v>
      </c>
    </row>
    <row r="71" spans="1:87" ht="12.75" customHeight="1" outlineLevel="1" x14ac:dyDescent="0.2">
      <c r="A71" s="230"/>
      <c r="B71" s="32" t="s">
        <v>538</v>
      </c>
      <c r="C71" s="47">
        <f>2.8+3.8+0.1</f>
        <v>6.6999999999999993</v>
      </c>
      <c r="D71" s="47">
        <f>3.4+4.9+0.1</f>
        <v>8.4</v>
      </c>
      <c r="E71" s="47">
        <f>3.1+4.6+0.1</f>
        <v>7.7999999999999989</v>
      </c>
      <c r="F71" s="47">
        <f>3.06+4.63+0.12</f>
        <v>7.81</v>
      </c>
      <c r="G71" s="49">
        <f>+SUM(C71:F71)</f>
        <v>30.709999999999997</v>
      </c>
      <c r="H71" s="192"/>
      <c r="I71" s="47">
        <f>3.09+4.95+0.13</f>
        <v>8.17</v>
      </c>
      <c r="J71" s="47">
        <f>3.25+4.97+0.16</f>
        <v>8.379999999999999</v>
      </c>
      <c r="K71" s="47">
        <f>2.97+4.62+0.19</f>
        <v>7.78</v>
      </c>
      <c r="L71" s="47">
        <f>3+4.4+0.29</f>
        <v>7.69</v>
      </c>
      <c r="M71" s="49">
        <f>+SUM(I71:L71)</f>
        <v>32.019999999999996</v>
      </c>
      <c r="N71" s="192"/>
      <c r="O71" s="47">
        <v>8.01</v>
      </c>
      <c r="P71" s="47">
        <v>8</v>
      </c>
      <c r="Q71" s="47">
        <v>8.4250000000000007</v>
      </c>
      <c r="R71" s="47">
        <v>8.5350000000000001</v>
      </c>
      <c r="S71" s="49">
        <f>+SUM(O71:R71)</f>
        <v>32.97</v>
      </c>
      <c r="T71" s="192"/>
      <c r="U71" s="47">
        <v>9.2249999999999996</v>
      </c>
      <c r="V71" s="47">
        <v>9.58</v>
      </c>
      <c r="W71" s="47">
        <v>9.7650000000000006</v>
      </c>
      <c r="X71" s="47">
        <v>8.875</v>
      </c>
      <c r="Y71" s="49">
        <f>+SUM(U71:X71)</f>
        <v>37.445</v>
      </c>
      <c r="Z71" s="192"/>
      <c r="AA71" s="414">
        <v>10.5</v>
      </c>
      <c r="AB71" s="414">
        <v>11.31</v>
      </c>
      <c r="AC71" s="414">
        <v>11.02</v>
      </c>
      <c r="AD71" s="414">
        <v>11.385</v>
      </c>
      <c r="AE71" s="49">
        <f>+SUM(AA71:AD71)</f>
        <v>44.214999999999996</v>
      </c>
      <c r="AF71" s="192"/>
      <c r="AG71" s="414">
        <v>12.855</v>
      </c>
      <c r="AH71" s="414">
        <v>15.3</v>
      </c>
      <c r="AI71" s="414">
        <v>14.61</v>
      </c>
      <c r="AJ71" s="414">
        <v>15.94</v>
      </c>
      <c r="AK71" s="49">
        <f>+SUM(AG71:AJ71)</f>
        <v>58.704999999999998</v>
      </c>
      <c r="AL71" s="192"/>
      <c r="AM71" s="414">
        <v>18.940000000000001</v>
      </c>
      <c r="AN71" s="414">
        <v>21.285</v>
      </c>
      <c r="AO71" s="414">
        <v>19.23</v>
      </c>
      <c r="AP71" s="414">
        <v>19.524999999999999</v>
      </c>
      <c r="AQ71" s="49">
        <f>+SUM(AM71:AP71)</f>
        <v>78.97999999999999</v>
      </c>
      <c r="AR71" s="192"/>
      <c r="AS71" s="414">
        <v>19.844999999999999</v>
      </c>
      <c r="AT71" s="414">
        <v>20.734999999999999</v>
      </c>
      <c r="AU71" s="414">
        <v>20.23</v>
      </c>
      <c r="AV71" s="902">
        <f>+AP71*(1.1335)</f>
        <v>22.131587499999998</v>
      </c>
      <c r="AW71" s="49">
        <f>+SUM(AS71:AV71)</f>
        <v>82.941587499999997</v>
      </c>
      <c r="AX71" s="192"/>
      <c r="AY71" s="49">
        <f>AS71*(1+AY72)</f>
        <v>22.424849999999996</v>
      </c>
      <c r="AZ71" s="49">
        <f>AT71*(1+AZ72)</f>
        <v>25.504049999999999</v>
      </c>
      <c r="BA71" s="49">
        <f>AU71*(1+BA72)</f>
        <v>23.062200000000004</v>
      </c>
      <c r="BB71" s="808">
        <f>AV71*(1+BB72)</f>
        <v>28.328431999999999</v>
      </c>
      <c r="BC71" s="49">
        <f>+SUM(AY71:BB71)</f>
        <v>99.319532000000009</v>
      </c>
      <c r="BD71" s="192"/>
      <c r="BE71" s="49">
        <f>AY71*(1+BE72)</f>
        <v>30.273547499999996</v>
      </c>
      <c r="BF71" s="49">
        <f>AZ71*(1+BF72)</f>
        <v>34.430467499999999</v>
      </c>
      <c r="BG71" s="49">
        <f>BA71*(1+BG72)</f>
        <v>31.133970000000009</v>
      </c>
      <c r="BH71" s="808">
        <f>BB71*(1+BH72)</f>
        <v>38.243383200000004</v>
      </c>
      <c r="BI71" s="49">
        <f>+SUM(BE71:BH71)</f>
        <v>134.08136820000001</v>
      </c>
      <c r="BJ71" s="192"/>
      <c r="BK71" s="49">
        <f>BE71*(1+BK72)</f>
        <v>44.502114824999992</v>
      </c>
      <c r="BL71" s="49">
        <f>BF71*(1+BL72)</f>
        <v>50.612787224999998</v>
      </c>
      <c r="BM71" s="49">
        <f>BG71*(1+BM72)</f>
        <v>45.766935900000014</v>
      </c>
      <c r="BN71" s="49">
        <f>BH71*(1+BN72)</f>
        <v>56.217773304000005</v>
      </c>
      <c r="BO71" s="49">
        <f>+SUM(BK71:BN71)</f>
        <v>197.09961125400002</v>
      </c>
      <c r="BP71" s="192"/>
      <c r="BQ71" s="49">
        <f>BK71*(1+BQ72)</f>
        <v>64.528066496249991</v>
      </c>
      <c r="BR71" s="49">
        <f>BL71*(1+BR72)</f>
        <v>69.845646370499992</v>
      </c>
      <c r="BS71" s="49">
        <f>BM71*(1+BS72)</f>
        <v>64.989048978000014</v>
      </c>
      <c r="BT71" s="49">
        <f>BN71*(1+BT72)</f>
        <v>78.704882625600007</v>
      </c>
      <c r="BU71" s="49">
        <f>+SUM(BQ71:BT71)</f>
        <v>278.06764447035005</v>
      </c>
      <c r="BV71" s="192"/>
      <c r="BW71" s="49">
        <f>BQ71*(1+BW72)</f>
        <v>96.79209974437498</v>
      </c>
      <c r="BX71" s="49">
        <f>BR71*(1+BX72)</f>
        <v>104.76846955574999</v>
      </c>
      <c r="BY71" s="49">
        <f>BS71*(1+BY72)</f>
        <v>97.483573467000014</v>
      </c>
      <c r="BZ71" s="49">
        <f>BT71*(1+BZ72)</f>
        <v>118.0573239384</v>
      </c>
      <c r="CA71" s="49">
        <f>+SUM(BW71:BZ71)</f>
        <v>417.10146670552501</v>
      </c>
      <c r="CB71" s="192"/>
      <c r="CC71" s="49">
        <f>BW71*(1+CC72)</f>
        <v>135.50893964212497</v>
      </c>
      <c r="CD71" s="49">
        <f>BX71*(1+CD72)</f>
        <v>146.67585737804998</v>
      </c>
      <c r="CE71" s="49">
        <f>BY71*(1+CE72)</f>
        <v>136.4770028538</v>
      </c>
      <c r="CF71" s="49">
        <f>BZ71*(1+CF72)</f>
        <v>165.28025351375999</v>
      </c>
      <c r="CG71" s="49">
        <f>+SUM(CC71:CF71)</f>
        <v>583.94205338773497</v>
      </c>
    </row>
    <row r="72" spans="1:87" ht="12.75" customHeight="1" outlineLevel="1" x14ac:dyDescent="0.2">
      <c r="A72" s="230"/>
      <c r="B72" s="290" t="s">
        <v>299</v>
      </c>
      <c r="C72" s="315"/>
      <c r="D72" s="315"/>
      <c r="E72" s="315"/>
      <c r="F72" s="315"/>
      <c r="G72" s="315"/>
      <c r="H72" s="115"/>
      <c r="I72" s="315">
        <f>IF(ISERROR(I71/C71-1),"NM",I71/C71-1)</f>
        <v>0.21940298507462708</v>
      </c>
      <c r="J72" s="315">
        <f>IF(ISERROR(J71/D71-1),"NM",J71/D71-1)</f>
        <v>-2.3809523809525945E-3</v>
      </c>
      <c r="K72" s="315">
        <f>IF(ISERROR(K71/E71-1),"NM",K71/E71-1)</f>
        <v>-2.564102564102444E-3</v>
      </c>
      <c r="L72" s="315">
        <f>IF(ISERROR(L71/F71-1),"NM",L71/F71-1)</f>
        <v>-1.5364916773367376E-2</v>
      </c>
      <c r="M72" s="315">
        <f>IF(ISERROR(M71/G71-1),"NM",M71/G71-1)</f>
        <v>4.2657114946271557E-2</v>
      </c>
      <c r="N72" s="115"/>
      <c r="O72" s="315">
        <f>IF(ISERROR(O71/I71-1),"NM",O71/I71-1)</f>
        <v>-1.9583843329253336E-2</v>
      </c>
      <c r="P72" s="315">
        <f>IF(ISERROR(P71/J71-1),"NM",P71/J71-1)</f>
        <v>-4.5346062052505798E-2</v>
      </c>
      <c r="Q72" s="315">
        <f>IF(ISERROR(Q71/K71-1),"NM",Q71/K71-1)</f>
        <v>8.2904884318766081E-2</v>
      </c>
      <c r="R72" s="315">
        <f>IF(ISERROR(R71/L71-1),"NM",R71/L71-1)</f>
        <v>0.10988296488946681</v>
      </c>
      <c r="S72" s="315">
        <f>IF(ISERROR(S71/M71-1),"NM",S71/M71-1)</f>
        <v>2.9668956901936383E-2</v>
      </c>
      <c r="T72" s="115"/>
      <c r="U72" s="315">
        <f>IF(ISERROR(U71/O71-1),"NM",U71/O71-1)</f>
        <v>0.151685393258427</v>
      </c>
      <c r="V72" s="315">
        <f>IF(ISERROR(V71/P71-1),"NM",V71/P71-1)</f>
        <v>0.19750000000000001</v>
      </c>
      <c r="W72" s="315">
        <f>IF(ISERROR(W71/Q71-1),"NM",W71/Q71-1)</f>
        <v>0.15905044510385746</v>
      </c>
      <c r="X72" s="315">
        <f>IF(ISERROR(X71/R71-1),"NM",X71/R71-1)</f>
        <v>3.98359695371997E-2</v>
      </c>
      <c r="Y72" s="315">
        <f>IF(ISERROR(Y71/S71-1),"NM",Y71/S71-1)</f>
        <v>0.13572945101607536</v>
      </c>
      <c r="Z72" s="115"/>
      <c r="AA72" s="315">
        <f>IF(ISERROR(AA71/U71-1),"NM",AA71/U71-1)</f>
        <v>0.13821138211382111</v>
      </c>
      <c r="AB72" s="315">
        <f>IF(ISERROR(AB71/V71-1),"NM",AB71/V71-1)</f>
        <v>0.18058455114822558</v>
      </c>
      <c r="AC72" s="315">
        <f>IF(ISERROR(AC71/W71-1),"NM",AC71/W71-1)</f>
        <v>0.12852022529441864</v>
      </c>
      <c r="AD72" s="315">
        <f>IF(ISERROR(AD71/X71-1),"NM",AD71/X71-1)</f>
        <v>0.28281690140845073</v>
      </c>
      <c r="AE72" s="315">
        <f>IF(ISERROR(AE71/Y71-1),"NM",AE71/Y71-1)</f>
        <v>0.18079850447322721</v>
      </c>
      <c r="AF72" s="115"/>
      <c r="AG72" s="315">
        <f>IF(ISERROR(AG71/AA71-1),"NM",AG71/AA71-1)</f>
        <v>0.22428571428571442</v>
      </c>
      <c r="AH72" s="315">
        <f>IF(ISERROR(AH71/AB71-1),"NM",AH71/AB71-1)</f>
        <v>0.35278514588859422</v>
      </c>
      <c r="AI72" s="315">
        <f>IF(ISERROR(AI71/AC71-1),"NM",AI71/AC71-1)</f>
        <v>0.32577132486388383</v>
      </c>
      <c r="AJ72" s="315">
        <f>IF(ISERROR(AJ71/AD71-1),"NM",AJ71/AD71-1)</f>
        <v>0.40008783487044353</v>
      </c>
      <c r="AK72" s="315">
        <f>IF(ISERROR(AK71/AE71-1),"NM",AK71/AE71-1)</f>
        <v>0.32771683817708919</v>
      </c>
      <c r="AL72" s="115"/>
      <c r="AM72" s="315">
        <f>IF(ISERROR(AM71/AG71-1),"NM",AM71/AG71-1)</f>
        <v>0.47335667055620378</v>
      </c>
      <c r="AN72" s="315">
        <f>IF(ISERROR(AN71/AH71-1),"NM",AN71/AH71-1)</f>
        <v>0.39117647058823524</v>
      </c>
      <c r="AO72" s="315">
        <f>IF(ISERROR(AO71/AI71-1),"NM",AO71/AI71-1)</f>
        <v>0.31622176591375784</v>
      </c>
      <c r="AP72" s="315">
        <f>IF(ISERROR(AP71/AJ71-1),"NM",AP71/AJ71-1)</f>
        <v>0.22490589711417819</v>
      </c>
      <c r="AQ72" s="315">
        <f>IF(ISERROR(AQ71/AK71-1),"NM",AQ71/AK71-1)</f>
        <v>0.34537092240865319</v>
      </c>
      <c r="AR72" s="115"/>
      <c r="AS72" s="315">
        <f>IF(ISERROR(AS71/AM71-1),"NM",AS71/AM71-1)</f>
        <v>4.7782470960929135E-2</v>
      </c>
      <c r="AT72" s="315">
        <f>IF(ISERROR(AT71/AN71-1),"NM",AT71/AN71-1)</f>
        <v>-2.5839793281653756E-2</v>
      </c>
      <c r="AU72" s="315">
        <f>IF(ISERROR(AU71/AO71-1),"NM",AU71/AO71-1)</f>
        <v>5.2002080083203284E-2</v>
      </c>
      <c r="AV72" s="315">
        <f>IF(ISERROR(AV71/AP71-1),"NM",AV71/AP71-1)</f>
        <v>0.13349999999999995</v>
      </c>
      <c r="AW72" s="315">
        <f>IF(ISERROR(AW71/AQ71-1),"NM",AW71/AQ71-1)</f>
        <v>5.0159375791339667E-2</v>
      </c>
      <c r="AX72" s="115"/>
      <c r="AY72" s="481">
        <v>0.13</v>
      </c>
      <c r="AZ72" s="481">
        <v>0.23</v>
      </c>
      <c r="BA72" s="481">
        <v>0.14000000000000001</v>
      </c>
      <c r="BB72" s="809">
        <v>0.28000000000000003</v>
      </c>
      <c r="BC72" s="315">
        <f>IF(ISERROR(BC71/AW71-1),"NM",BC71/AW71-1)</f>
        <v>0.19746360051283096</v>
      </c>
      <c r="BD72" s="115"/>
      <c r="BE72" s="481">
        <v>0.35</v>
      </c>
      <c r="BF72" s="481">
        <v>0.35</v>
      </c>
      <c r="BG72" s="481">
        <v>0.35</v>
      </c>
      <c r="BH72" s="809">
        <v>0.35</v>
      </c>
      <c r="BI72" s="315">
        <f>IF(ISERROR(BI71/BC71-1),"NM",BI71/BC71-1)</f>
        <v>0.35000000000000009</v>
      </c>
      <c r="BJ72" s="115"/>
      <c r="BK72" s="481">
        <v>0.47</v>
      </c>
      <c r="BL72" s="481">
        <f>+BK72</f>
        <v>0.47</v>
      </c>
      <c r="BM72" s="481">
        <f>+BL72</f>
        <v>0.47</v>
      </c>
      <c r="BN72" s="481">
        <f>+BM72</f>
        <v>0.47</v>
      </c>
      <c r="BO72" s="315">
        <f>IF(ISERROR(BO71/BI71-1),"NM",BO71/BI71-1)</f>
        <v>0.47</v>
      </c>
      <c r="BP72" s="115"/>
      <c r="BQ72" s="481">
        <v>0.45</v>
      </c>
      <c r="BR72" s="481">
        <v>0.38</v>
      </c>
      <c r="BS72" s="481">
        <v>0.42</v>
      </c>
      <c r="BT72" s="481">
        <v>0.4</v>
      </c>
      <c r="BU72" s="315">
        <f>IF(ISERROR(BU71/BO71-1),"NM",BU71/BO71-1)</f>
        <v>0.41079752872778341</v>
      </c>
      <c r="BV72" s="115"/>
      <c r="BW72" s="481">
        <v>0.5</v>
      </c>
      <c r="BX72" s="481">
        <f>BW72</f>
        <v>0.5</v>
      </c>
      <c r="BY72" s="481">
        <f>BX72</f>
        <v>0.5</v>
      </c>
      <c r="BZ72" s="481">
        <f>+BY72</f>
        <v>0.5</v>
      </c>
      <c r="CA72" s="315">
        <f t="shared" ref="CA72" si="49">IF(ISERROR(CA71/BU71-1),"NM",CA71/BU71-1)</f>
        <v>0.49999999999999978</v>
      </c>
      <c r="CB72" s="115"/>
      <c r="CC72" s="481">
        <v>0.4</v>
      </c>
      <c r="CD72" s="481">
        <v>0.4</v>
      </c>
      <c r="CE72" s="481">
        <v>0.4</v>
      </c>
      <c r="CF72" s="481">
        <v>0.4</v>
      </c>
      <c r="CG72" s="315">
        <f t="shared" ref="CG72" si="50">IF(ISERROR(CG71/CA71-1),"NM",CG71/CA71-1)</f>
        <v>0.39999999999999991</v>
      </c>
    </row>
    <row r="73" spans="1:87" ht="12.75" customHeight="1" outlineLevel="1" x14ac:dyDescent="0.2">
      <c r="A73" s="230"/>
      <c r="B73" s="290" t="s">
        <v>539</v>
      </c>
      <c r="C73" s="315"/>
      <c r="D73" s="315"/>
      <c r="E73" s="315"/>
      <c r="F73" s="315"/>
      <c r="G73" s="315"/>
      <c r="H73" s="115"/>
      <c r="I73" s="49">
        <f>+I71-F71</f>
        <v>0.36000000000000032</v>
      </c>
      <c r="J73" s="49">
        <f>+J71-I71</f>
        <v>0.20999999999999908</v>
      </c>
      <c r="K73" s="49">
        <f>+K71-J71</f>
        <v>-0.59999999999999876</v>
      </c>
      <c r="L73" s="49">
        <f>+L71-K71</f>
        <v>-8.9999999999999858E-2</v>
      </c>
      <c r="M73" s="315"/>
      <c r="N73" s="115"/>
      <c r="O73" s="49">
        <f>+O71-L71</f>
        <v>0.3199999999999994</v>
      </c>
      <c r="P73" s="49">
        <f>+P71-O71</f>
        <v>-9.9999999999997868E-3</v>
      </c>
      <c r="Q73" s="49">
        <f>+Q71-P71</f>
        <v>0.42500000000000071</v>
      </c>
      <c r="R73" s="49">
        <f>+R71-Q71</f>
        <v>0.10999999999999943</v>
      </c>
      <c r="S73" s="315"/>
      <c r="T73" s="115"/>
      <c r="U73" s="49">
        <f>+U71-R71</f>
        <v>0.6899999999999995</v>
      </c>
      <c r="V73" s="49">
        <f>+V71-U71</f>
        <v>0.35500000000000043</v>
      </c>
      <c r="W73" s="49">
        <f>+W71-V71</f>
        <v>0.1850000000000005</v>
      </c>
      <c r="X73" s="49">
        <f>+X71-W71</f>
        <v>-0.89000000000000057</v>
      </c>
      <c r="Y73" s="315"/>
      <c r="Z73" s="115"/>
      <c r="AA73" s="49">
        <f>+AA71-X71</f>
        <v>1.625</v>
      </c>
      <c r="AB73" s="49">
        <f>+AB71-AA71</f>
        <v>0.8100000000000005</v>
      </c>
      <c r="AC73" s="49">
        <f>+AC71-AB71</f>
        <v>-0.29000000000000092</v>
      </c>
      <c r="AD73" s="49">
        <f>+AD71-AC71</f>
        <v>0.36500000000000021</v>
      </c>
      <c r="AE73" s="315"/>
      <c r="AF73" s="115"/>
      <c r="AG73" s="49">
        <f>+AG71-AD71</f>
        <v>1.4700000000000006</v>
      </c>
      <c r="AH73" s="49">
        <f>+AH71-AG71</f>
        <v>2.4450000000000003</v>
      </c>
      <c r="AI73" s="49">
        <f>+AI71-AH71</f>
        <v>-0.69000000000000128</v>
      </c>
      <c r="AJ73" s="49">
        <f>+AJ71-AI71</f>
        <v>1.33</v>
      </c>
      <c r="AK73" s="315"/>
      <c r="AL73" s="115"/>
      <c r="AM73" s="315">
        <f t="shared" ref="AM73" si="51">+AM72+AG72</f>
        <v>0.69764238484191821</v>
      </c>
      <c r="AN73" s="315">
        <f t="shared" ref="AN73" si="52">+AN72+AH72</f>
        <v>0.74396161647682946</v>
      </c>
      <c r="AO73" s="315">
        <f t="shared" ref="AO73" si="53">+AO72+AI72</f>
        <v>0.64199309077764166</v>
      </c>
      <c r="AP73" s="315">
        <f t="shared" ref="AP73" si="54">+AP72+AJ72</f>
        <v>0.62499373198462171</v>
      </c>
      <c r="AQ73" s="315">
        <f t="shared" ref="AQ73" si="55">+AQ72+AK72</f>
        <v>0.67308776058574238</v>
      </c>
      <c r="AR73" s="115"/>
      <c r="AS73" s="315">
        <f t="shared" ref="AS73" si="56">+AS72+AM72</f>
        <v>0.52113914151713292</v>
      </c>
      <c r="AT73" s="315">
        <f t="shared" ref="AT73" si="57">+AT72+AN72</f>
        <v>0.36533667730658148</v>
      </c>
      <c r="AU73" s="315">
        <f t="shared" ref="AU73" si="58">+AU72+AO72</f>
        <v>0.36822384599696112</v>
      </c>
      <c r="AV73" s="315">
        <f t="shared" ref="AV73" si="59">+AV72+AP72</f>
        <v>0.35840589711417814</v>
      </c>
      <c r="AW73" s="315">
        <f t="shared" ref="AW73" si="60">+AW72+AQ72</f>
        <v>0.39553029819999286</v>
      </c>
      <c r="AX73" s="115"/>
      <c r="AY73" s="315">
        <f t="shared" ref="AY73" si="61">+AY72+AS72</f>
        <v>0.17778247096092914</v>
      </c>
      <c r="AZ73" s="315">
        <f t="shared" ref="AZ73" si="62">+AZ72+AT72</f>
        <v>0.20416020671834625</v>
      </c>
      <c r="BA73" s="315">
        <f t="shared" ref="BA73" si="63">+BA72+AU72</f>
        <v>0.1920020800832033</v>
      </c>
      <c r="BB73" s="315">
        <f t="shared" ref="BB73" si="64">+BB72+AV72</f>
        <v>0.41349999999999998</v>
      </c>
      <c r="BC73" s="315">
        <f t="shared" ref="BC73" si="65">+BC72+AW72</f>
        <v>0.24762297630417063</v>
      </c>
      <c r="BD73" s="115"/>
      <c r="BE73" s="315">
        <f t="shared" ref="BE73" si="66">+BE72+AY72</f>
        <v>0.48</v>
      </c>
      <c r="BF73" s="315">
        <f t="shared" ref="BF73" si="67">+BF72+AZ72</f>
        <v>0.57999999999999996</v>
      </c>
      <c r="BG73" s="315">
        <f t="shared" ref="BG73" si="68">+BG72+BA72</f>
        <v>0.49</v>
      </c>
      <c r="BH73" s="315">
        <f t="shared" ref="BH73" si="69">+BH72+BB72</f>
        <v>0.63</v>
      </c>
      <c r="BI73" s="315">
        <f t="shared" ref="BI73" si="70">+BI72+BC72</f>
        <v>0.54746360051283105</v>
      </c>
      <c r="BJ73" s="115"/>
      <c r="BK73" s="315">
        <f t="shared" ref="BK73" si="71">+BK72+BE72</f>
        <v>0.82</v>
      </c>
      <c r="BL73" s="315">
        <f t="shared" ref="BL73" si="72">+BL72+BF72</f>
        <v>0.82</v>
      </c>
      <c r="BM73" s="315">
        <f t="shared" ref="BM73" si="73">+BM72+BG72</f>
        <v>0.82</v>
      </c>
      <c r="BN73" s="315">
        <f t="shared" ref="BN73" si="74">+BN72+BH72</f>
        <v>0.82</v>
      </c>
      <c r="BO73" s="315">
        <f t="shared" ref="BO73" si="75">+BO72+BI72</f>
        <v>0.82000000000000006</v>
      </c>
      <c r="BP73" s="115"/>
      <c r="BQ73" s="315">
        <f>+BQ72+BK72</f>
        <v>0.91999999999999993</v>
      </c>
      <c r="BR73" s="315">
        <f>+BR72+BL72</f>
        <v>0.85</v>
      </c>
      <c r="BS73" s="315">
        <f>+BS72+BM72</f>
        <v>0.8899999999999999</v>
      </c>
      <c r="BT73" s="315">
        <f>+BT72+BN72</f>
        <v>0.87</v>
      </c>
      <c r="BU73" s="315">
        <f>+BU72+BO72</f>
        <v>0.88079752872778339</v>
      </c>
      <c r="BV73" s="115"/>
      <c r="BW73" s="315">
        <f>+BW72+BQ72</f>
        <v>0.95</v>
      </c>
      <c r="BX73" s="315">
        <f>+BX72+BR72</f>
        <v>0.88</v>
      </c>
      <c r="BY73" s="315">
        <f>+BY72+BS72</f>
        <v>0.91999999999999993</v>
      </c>
      <c r="BZ73" s="315">
        <f>+BZ72+BT72</f>
        <v>0.9</v>
      </c>
      <c r="CA73" s="315">
        <f>+CA72+BU72</f>
        <v>0.91079752872778319</v>
      </c>
      <c r="CB73" s="115"/>
      <c r="CC73" s="315">
        <f>+CC72+BW72</f>
        <v>0.9</v>
      </c>
      <c r="CD73" s="315">
        <f>+CD72+BX72</f>
        <v>0.9</v>
      </c>
      <c r="CE73" s="315">
        <f>+CE72+BY72</f>
        <v>0.9</v>
      </c>
      <c r="CF73" s="315">
        <f>+CF72+BZ72</f>
        <v>0.9</v>
      </c>
      <c r="CG73" s="315">
        <f>+CG72+CA72</f>
        <v>0.89999999999999969</v>
      </c>
    </row>
    <row r="74" spans="1:87" ht="12.75" customHeight="1" outlineLevel="1" x14ac:dyDescent="0.2">
      <c r="A74" s="230"/>
      <c r="B74" s="290" t="s">
        <v>398</v>
      </c>
      <c r="C74" s="315"/>
      <c r="D74" s="315"/>
      <c r="E74" s="315"/>
      <c r="F74" s="315"/>
      <c r="G74" s="315"/>
      <c r="H74" s="115"/>
      <c r="I74" s="49"/>
      <c r="J74" s="49"/>
      <c r="K74" s="49"/>
      <c r="L74" s="49"/>
      <c r="M74" s="315"/>
      <c r="N74" s="115"/>
      <c r="O74" s="49"/>
      <c r="P74" s="49"/>
      <c r="Q74" s="49"/>
      <c r="R74" s="49"/>
      <c r="S74" s="315"/>
      <c r="T74" s="115"/>
      <c r="U74" s="49"/>
      <c r="V74" s="49"/>
      <c r="W74" s="49"/>
      <c r="X74" s="49"/>
      <c r="Y74" s="315"/>
      <c r="Z74" s="115"/>
      <c r="AA74" s="49">
        <f>AVERAGE(U73,O73,I73)</f>
        <v>0.45666666666666639</v>
      </c>
      <c r="AB74" s="49">
        <f>AVERAGE(V73,P73,J73)</f>
        <v>0.18499999999999991</v>
      </c>
      <c r="AC74" s="49">
        <f>AVERAGE(W73,Q73,K73)</f>
        <v>3.3333333333341506E-3</v>
      </c>
      <c r="AD74" s="49">
        <f>AVERAGE(X73,R73,L73)</f>
        <v>-0.29000000000000031</v>
      </c>
      <c r="AE74" s="315"/>
      <c r="AF74" s="115"/>
      <c r="AG74" s="49">
        <f>AVERAGE(AA73,U73,O73)</f>
        <v>0.87833333333333297</v>
      </c>
      <c r="AH74" s="49">
        <f>AVERAGE(AB73,V73,P73)</f>
        <v>0.3850000000000004</v>
      </c>
      <c r="AI74" s="49">
        <f>AVERAGE(AC73,W73,Q73)</f>
        <v>0.10666666666666676</v>
      </c>
      <c r="AJ74" s="49">
        <f>AVERAGE(AD73,X73,R73)</f>
        <v>-0.13833333333333364</v>
      </c>
      <c r="AK74" s="315"/>
      <c r="AL74" s="115"/>
      <c r="AM74" s="49">
        <f>AVERAGE(AG73,AA73,U73)</f>
        <v>1.2616666666666667</v>
      </c>
      <c r="AN74" s="49">
        <f>AVERAGE(AH73,AB73,V73)</f>
        <v>1.2033333333333338</v>
      </c>
      <c r="AO74" s="49">
        <f>AVERAGE(AI73,AC73,W73)</f>
        <v>-0.26500000000000057</v>
      </c>
      <c r="AP74" s="49">
        <f>AVERAGE(AJ73,AD73,X73)</f>
        <v>0.26833333333333326</v>
      </c>
      <c r="AQ74" s="315"/>
      <c r="AR74" s="115"/>
      <c r="AS74" s="49">
        <f>AVERAGE(AM73,AG73,AA73)</f>
        <v>1.2642141282806396</v>
      </c>
      <c r="AT74" s="49">
        <f>AVERAGE(AN73,AH73,AB73)</f>
        <v>1.3329872054922767</v>
      </c>
      <c r="AU74" s="49">
        <f>AVERAGE(AO73,AI73,AC73)</f>
        <v>-0.11266896974078684</v>
      </c>
      <c r="AV74" s="49">
        <f>AVERAGE(AP73,AJ73,AD73)</f>
        <v>0.77333124399487396</v>
      </c>
      <c r="AW74" s="315"/>
      <c r="AX74" s="115"/>
      <c r="AY74" s="49">
        <f>AVERAGE(AS73,AM73,AG73)</f>
        <v>0.89626050878635066</v>
      </c>
      <c r="AZ74" s="49">
        <f>AVERAGE(AT73,AN73,AH73)</f>
        <v>1.1847660979278036</v>
      </c>
      <c r="BA74" s="49">
        <f>AVERAGE(AU73,AO73,AI73)</f>
        <v>0.10673897892486717</v>
      </c>
      <c r="BB74" s="49">
        <f>AVERAGE(AV73,AP73,AJ73)</f>
        <v>0.77113320969960009</v>
      </c>
      <c r="BC74" s="315"/>
      <c r="BD74" s="115"/>
      <c r="BE74" s="49">
        <f>AVERAGE(AY73,AS73,AM73)</f>
        <v>0.46552133243999344</v>
      </c>
      <c r="BF74" s="49">
        <f>AVERAGE(AZ73,AT73,AN73)</f>
        <v>0.43781950016725241</v>
      </c>
      <c r="BG74" s="49">
        <f>AVERAGE(BA73,AU73,AO73)</f>
        <v>0.40073967228593538</v>
      </c>
      <c r="BH74" s="808">
        <f>AVERAGE(BB73,AV73,AP73)</f>
        <v>0.46563320969959993</v>
      </c>
      <c r="BI74" s="315"/>
      <c r="BJ74" s="115"/>
      <c r="BK74" s="49">
        <f>AVERAGE(BE73,AY73,AS73)</f>
        <v>0.39297387082602064</v>
      </c>
      <c r="BL74" s="49">
        <f>AVERAGE(BF73,AZ73,AT73)</f>
        <v>0.38316562800830917</v>
      </c>
      <c r="BM74" s="49">
        <f>AVERAGE(BG73,BA73,AU73)</f>
        <v>0.3500753086933881</v>
      </c>
      <c r="BN74" s="49">
        <f>AVERAGE(BH73,BB73,AV73)</f>
        <v>0.46730196570472599</v>
      </c>
      <c r="BO74" s="315"/>
      <c r="BP74" s="115"/>
      <c r="BQ74" s="49">
        <f>AVERAGE(BK73,BE73,AY73)</f>
        <v>0.49259415698697628</v>
      </c>
      <c r="BR74" s="49">
        <f>AVERAGE(BL73,BF73,AZ73)</f>
        <v>0.53472006890611545</v>
      </c>
      <c r="BS74" s="49">
        <f>AVERAGE(BM73,BG73,BA73)</f>
        <v>0.50066736002773438</v>
      </c>
      <c r="BT74" s="49">
        <f>AVERAGE(BN73,BH73,BB73)</f>
        <v>0.62116666666666664</v>
      </c>
      <c r="BU74" s="315"/>
      <c r="BV74" s="115"/>
      <c r="BW74" s="49">
        <f>AVERAGE(BQ73,BK73,BE73)</f>
        <v>0.73999999999999988</v>
      </c>
      <c r="BX74" s="49">
        <f>AVERAGE(BR73,BL73,BF73)</f>
        <v>0.75</v>
      </c>
      <c r="BY74" s="49">
        <f>AVERAGE(BS73,BM73,BG73)</f>
        <v>0.73333333333333339</v>
      </c>
      <c r="BZ74" s="49">
        <f>AVERAGE(BT73,BN73,BH73)</f>
        <v>0.77333333333333332</v>
      </c>
      <c r="CA74" s="315"/>
      <c r="CB74" s="115"/>
      <c r="CC74" s="49">
        <f>AVERAGE(BW73,BQ73,BK73)</f>
        <v>0.89666666666666661</v>
      </c>
      <c r="CD74" s="49">
        <f>AVERAGE(BX73,BR73,BL73)</f>
        <v>0.85</v>
      </c>
      <c r="CE74" s="49">
        <f>AVERAGE(BY73,BS73,BM73)</f>
        <v>0.87666666666666659</v>
      </c>
      <c r="CF74" s="49">
        <f>AVERAGE(BZ73,BT73,BN73)</f>
        <v>0.86333333333333329</v>
      </c>
      <c r="CG74" s="315"/>
    </row>
    <row r="75" spans="1:87" ht="12.75" customHeight="1" outlineLevel="1" x14ac:dyDescent="0.2">
      <c r="A75" s="230"/>
      <c r="B75" s="477" t="s">
        <v>537</v>
      </c>
      <c r="C75" s="315"/>
      <c r="D75" s="315"/>
      <c r="E75" s="315"/>
      <c r="F75" s="315"/>
      <c r="G75" s="315"/>
      <c r="H75" s="115"/>
      <c r="I75" s="315">
        <f t="shared" ref="I75:AE75" si="76">I71/I$86</f>
        <v>0.15781340544717018</v>
      </c>
      <c r="J75" s="315">
        <f t="shared" si="76"/>
        <v>0.15272462183342447</v>
      </c>
      <c r="K75" s="315">
        <f t="shared" si="76"/>
        <v>0.14734848484848487</v>
      </c>
      <c r="L75" s="315">
        <f t="shared" si="76"/>
        <v>0.14608662613981763</v>
      </c>
      <c r="M75" s="315">
        <f t="shared" si="76"/>
        <v>0.15098076197661259</v>
      </c>
      <c r="N75" s="115"/>
      <c r="O75" s="315">
        <f t="shared" si="76"/>
        <v>0.16000799041150621</v>
      </c>
      <c r="P75" s="315">
        <f t="shared" si="76"/>
        <v>0.150929157626639</v>
      </c>
      <c r="Q75" s="315">
        <f t="shared" si="76"/>
        <v>0.14907546669025923</v>
      </c>
      <c r="R75" s="315">
        <f t="shared" si="76"/>
        <v>0.13978054372748117</v>
      </c>
      <c r="S75" s="315">
        <f t="shared" si="76"/>
        <v>0.14942893401015228</v>
      </c>
      <c r="T75" s="115"/>
      <c r="U75" s="315">
        <f t="shared" si="76"/>
        <v>0.14502436723785567</v>
      </c>
      <c r="V75" s="315">
        <f t="shared" si="76"/>
        <v>0.14195747203082168</v>
      </c>
      <c r="W75" s="315">
        <f t="shared" si="76"/>
        <v>0.1474184782608696</v>
      </c>
      <c r="X75" s="315">
        <f t="shared" si="76"/>
        <v>0.13978579303827376</v>
      </c>
      <c r="Y75" s="315">
        <f t="shared" si="76"/>
        <v>0.14356369213073897</v>
      </c>
      <c r="Z75" s="115"/>
      <c r="AA75" s="315">
        <f t="shared" si="76"/>
        <v>0.14712063892391761</v>
      </c>
      <c r="AB75" s="315">
        <f t="shared" si="76"/>
        <v>0.14877663772691396</v>
      </c>
      <c r="AC75" s="315">
        <f t="shared" si="76"/>
        <v>0.13886088709677419</v>
      </c>
      <c r="AD75" s="315">
        <f t="shared" si="76"/>
        <v>0.13784961859789319</v>
      </c>
      <c r="AE75" s="315">
        <f t="shared" si="76"/>
        <v>0.1429333419538372</v>
      </c>
      <c r="AF75" s="115"/>
      <c r="AG75" s="315">
        <f>AG71/AG$86</f>
        <v>0.15076526124435582</v>
      </c>
      <c r="AH75" s="315">
        <f>AH71/AH$86</f>
        <v>0.16057934508816121</v>
      </c>
      <c r="AI75" s="315">
        <f>AI71/AI$86</f>
        <v>0.15792033724260929</v>
      </c>
      <c r="AJ75" s="315">
        <f>AJ71/AJ$86</f>
        <v>0.17617152961980548</v>
      </c>
      <c r="AK75" s="315">
        <f>AK71/AK$86</f>
        <v>0.16148154260879133</v>
      </c>
      <c r="AL75" s="115"/>
      <c r="AM75" s="315">
        <f>AM71/AM$86</f>
        <v>0.19300927341281976</v>
      </c>
      <c r="AN75" s="315">
        <f>AN71/AN$86</f>
        <v>0.20054647383049889</v>
      </c>
      <c r="AO75" s="315">
        <f>AO71/AO$86</f>
        <v>0.17988774555659498</v>
      </c>
      <c r="AP75" s="315">
        <f>AP71/AP$86</f>
        <v>0.17569513182758931</v>
      </c>
      <c r="AQ75" s="315">
        <f>AQ71/AQ$86</f>
        <v>0.18702565741957633</v>
      </c>
      <c r="AR75" s="115"/>
      <c r="AS75" s="315">
        <f>AS71/AS$86</f>
        <v>0.17687477907364138</v>
      </c>
      <c r="AT75" s="315">
        <f>AT71/AT$86</f>
        <v>0.1734967647476329</v>
      </c>
      <c r="AU75" s="315">
        <f>AU71/AU$86</f>
        <v>0.16912594574259079</v>
      </c>
      <c r="AV75" s="315">
        <f>AV71/AV$86</f>
        <v>0.17464629756679051</v>
      </c>
      <c r="AW75" s="315">
        <f>AW71/AW$86</f>
        <v>0.17350066078660462</v>
      </c>
      <c r="AX75" s="115"/>
      <c r="AY75" s="315">
        <f>AY71/AY$86</f>
        <v>0.17147002599785902</v>
      </c>
      <c r="AZ75" s="315">
        <f>AZ71/AZ$86</f>
        <v>0.17649861591695501</v>
      </c>
      <c r="BA75" s="315">
        <f>BA71/BA$86</f>
        <v>0.15635389830508478</v>
      </c>
      <c r="BB75" s="315">
        <f>BB71/BB$86</f>
        <v>0.17661023461690009</v>
      </c>
      <c r="BC75" s="315">
        <f>BC71/BC$86</f>
        <v>0.17030657258400841</v>
      </c>
      <c r="BD75" s="115"/>
      <c r="BE75" s="315">
        <f>BE71/BE$86</f>
        <v>0.18499677797458869</v>
      </c>
      <c r="BF75" s="315">
        <f>BF71/BF$86</f>
        <v>0.19452791039294887</v>
      </c>
      <c r="BG75" s="315">
        <f>BG71/BG$86</f>
        <v>0.1751066929133859</v>
      </c>
      <c r="BH75" s="810">
        <f>BH71/BH$86</f>
        <v>0.20122800947119179</v>
      </c>
      <c r="BI75" s="315">
        <f>BI71/BI$86</f>
        <v>0.18924984711776888</v>
      </c>
      <c r="BJ75" s="115"/>
      <c r="BK75" s="315">
        <f>BK71/BK$86</f>
        <v>0.21392676276889794</v>
      </c>
      <c r="BL75" s="315">
        <f>BL71/BL$86</f>
        <v>0.21826205194273146</v>
      </c>
      <c r="BM75" s="315">
        <f>BM71/BM$86</f>
        <v>0.1938742969097495</v>
      </c>
      <c r="BN75" s="315">
        <f>BN71/BN$86</f>
        <v>0.22043592245618165</v>
      </c>
      <c r="BO75" s="315">
        <f>BO71/BO$86</f>
        <v>0.21170514951933928</v>
      </c>
      <c r="BP75" s="115"/>
      <c r="BQ75" s="315">
        <f>BQ71/BQ$86</f>
        <v>0.23703075099179013</v>
      </c>
      <c r="BR75" s="315">
        <f>BR71/BR$86</f>
        <v>0.23196988876541483</v>
      </c>
      <c r="BS75" s="315">
        <f>BS71/BS$86</f>
        <v>0.2108220850898043</v>
      </c>
      <c r="BT75" s="315">
        <f>BT71/BT$86</f>
        <v>0.23737153831369429</v>
      </c>
      <c r="BU75" s="315">
        <f>BU71/BU$86</f>
        <v>0.22920821761388394</v>
      </c>
      <c r="BV75" s="115"/>
      <c r="BW75" s="315">
        <f>BW71/BW$86</f>
        <v>0.28307825864694802</v>
      </c>
      <c r="BX75" s="315">
        <f>BX71/BX$86</f>
        <v>0.26998138721011689</v>
      </c>
      <c r="BY75" s="315">
        <f>BY71/BY$86</f>
        <v>0.24802922956248805</v>
      </c>
      <c r="BZ75" s="315">
        <f>BZ71/BZ$86</f>
        <v>0.27419710101689088</v>
      </c>
      <c r="CA75" s="315">
        <f>CA71/CA$86</f>
        <v>0.26847863498479663</v>
      </c>
      <c r="CB75" s="115"/>
      <c r="CC75" s="315">
        <f>CC71/CC$86</f>
        <v>0.32551854419772164</v>
      </c>
      <c r="CD75" s="315">
        <f>CD71/CD$86</f>
        <v>0.31522474903883174</v>
      </c>
      <c r="CE75" s="315">
        <f>CE71/CE$86</f>
        <v>0.28980305341981955</v>
      </c>
      <c r="CF75" s="315">
        <f>CF71/CF$86</f>
        <v>0.32124434588753503</v>
      </c>
      <c r="CG75" s="315">
        <f>CG71/CG$86</f>
        <v>0.31276650663326083</v>
      </c>
    </row>
    <row r="76" spans="1:87" ht="12.75" customHeight="1" outlineLevel="1" x14ac:dyDescent="0.2">
      <c r="A76" s="230"/>
      <c r="B76" s="32" t="s">
        <v>148</v>
      </c>
      <c r="C76" s="312" t="s">
        <v>162</v>
      </c>
      <c r="D76" s="312" t="s">
        <v>162</v>
      </c>
      <c r="E76" s="312" t="s">
        <v>162</v>
      </c>
      <c r="F76" s="312" t="s">
        <v>162</v>
      </c>
      <c r="G76" s="49">
        <f>+SUM(C76:F76)</f>
        <v>0</v>
      </c>
      <c r="H76" s="192"/>
      <c r="I76" s="312" t="s">
        <v>162</v>
      </c>
      <c r="J76" s="312" t="s">
        <v>162</v>
      </c>
      <c r="K76" s="312" t="s">
        <v>162</v>
      </c>
      <c r="L76" s="312" t="s">
        <v>162</v>
      </c>
      <c r="M76" s="49">
        <f>+SUM(I76:L76)</f>
        <v>0</v>
      </c>
      <c r="N76" s="192"/>
      <c r="O76" s="47">
        <v>3.895</v>
      </c>
      <c r="P76" s="47">
        <v>5.94</v>
      </c>
      <c r="Q76" s="47">
        <v>7.85</v>
      </c>
      <c r="R76" s="47">
        <v>8.1850000000000005</v>
      </c>
      <c r="S76" s="49">
        <f>+SUM(O76:R76)</f>
        <v>25.870000000000005</v>
      </c>
      <c r="T76" s="192"/>
      <c r="U76" s="47">
        <v>7.37</v>
      </c>
      <c r="V76" s="47">
        <v>6.81</v>
      </c>
      <c r="W76" s="47">
        <v>7.59</v>
      </c>
      <c r="X76" s="47">
        <v>6.94</v>
      </c>
      <c r="Y76" s="49">
        <f>+SUM(U76:X76)</f>
        <v>28.71</v>
      </c>
      <c r="Z76" s="192"/>
      <c r="AA76" s="414">
        <v>7.93</v>
      </c>
      <c r="AB76" s="414">
        <v>8.6150000000000002</v>
      </c>
      <c r="AC76" s="414">
        <v>11.73</v>
      </c>
      <c r="AD76" s="414">
        <v>9.81</v>
      </c>
      <c r="AE76" s="49">
        <f>+SUM(AA76:AD76)</f>
        <v>38.085000000000001</v>
      </c>
      <c r="AF76" s="192"/>
      <c r="AG76" s="414">
        <v>9.9350000000000005</v>
      </c>
      <c r="AH76" s="414">
        <v>11.86</v>
      </c>
      <c r="AI76" s="414">
        <v>15.265000000000001</v>
      </c>
      <c r="AJ76" s="414">
        <v>11.255000000000001</v>
      </c>
      <c r="AK76" s="49">
        <f>+SUM(AG76:AJ76)</f>
        <v>48.315000000000005</v>
      </c>
      <c r="AL76" s="192"/>
      <c r="AM76" s="414">
        <v>12.58</v>
      </c>
      <c r="AN76" s="414">
        <v>13.92</v>
      </c>
      <c r="AO76" s="414">
        <v>17.739999999999998</v>
      </c>
      <c r="AP76" s="414">
        <v>15.35</v>
      </c>
      <c r="AQ76" s="49">
        <f>+SUM(AM76:AP76)</f>
        <v>59.589999999999996</v>
      </c>
      <c r="AR76" s="192"/>
      <c r="AS76" s="49">
        <f>+AM76*(1+AS77)</f>
        <v>17.108799999999999</v>
      </c>
      <c r="AT76" s="49">
        <f t="shared" ref="AT76:AV76" si="77">+AN76*(1+AT77)</f>
        <v>16.704000000000001</v>
      </c>
      <c r="AU76" s="49">
        <f t="shared" si="77"/>
        <v>20.365519999999997</v>
      </c>
      <c r="AV76" s="49">
        <f t="shared" si="77"/>
        <v>17.898099999999999</v>
      </c>
      <c r="AW76" s="904">
        <f>+SUM(AS76:AV76)</f>
        <v>72.076419999999985</v>
      </c>
      <c r="AX76" s="192"/>
      <c r="AY76" s="49">
        <f>+AS76*(1+AY77)</f>
        <v>20.017295999999998</v>
      </c>
      <c r="AZ76" s="49">
        <f t="shared" ref="AZ76" si="78">+AT76*(1+AZ77)</f>
        <v>19.744128</v>
      </c>
      <c r="BA76" s="49">
        <f t="shared" ref="BA76" si="79">+AU76*(1+BA77)</f>
        <v>24.845934399999994</v>
      </c>
      <c r="BB76" s="49">
        <f t="shared" ref="BB76" si="80">+AV76*(1+BB77)</f>
        <v>21.477719999999998</v>
      </c>
      <c r="BC76" s="49">
        <f>+SUM(AY76:BB76)</f>
        <v>86.085078399999986</v>
      </c>
      <c r="BD76" s="192"/>
      <c r="BE76" s="49">
        <f>AY76*(1+BE77)</f>
        <v>24.421101119999996</v>
      </c>
      <c r="BF76" s="49">
        <f>AZ76*(1+BF77)</f>
        <v>23.692953599999999</v>
      </c>
      <c r="BG76" s="49">
        <f>BA76*(1+BG77)</f>
        <v>29.169126985599991</v>
      </c>
      <c r="BH76" s="808">
        <f>BB76*(1+BH77)</f>
        <v>25.708830839999997</v>
      </c>
      <c r="BI76" s="49">
        <f>+SUM(BE76:BH76)</f>
        <v>102.99201254559998</v>
      </c>
      <c r="BJ76" s="192"/>
      <c r="BK76" s="49">
        <f>BE76*(1+BK77)</f>
        <v>32.138169073919997</v>
      </c>
      <c r="BL76" s="49">
        <f>BF76*(1+BL77)</f>
        <v>32.601504153599997</v>
      </c>
      <c r="BM76" s="49">
        <f t="shared" ref="BM76:BN76" si="81">BG76*(1+BM77)</f>
        <v>42.674432779932786</v>
      </c>
      <c r="BN76" s="49">
        <f t="shared" si="81"/>
        <v>37.046425240439994</v>
      </c>
      <c r="BO76" s="49">
        <f>+SUM(BK76:BN76)</f>
        <v>144.46053124789279</v>
      </c>
      <c r="BP76" s="192"/>
      <c r="BQ76" s="49">
        <f t="shared" ref="BQ76:BR76" si="82">BK76*(1+BQ77)</f>
        <v>45.314818394227196</v>
      </c>
      <c r="BR76" s="49">
        <f t="shared" si="82"/>
        <v>44.990075731967991</v>
      </c>
      <c r="BS76" s="49">
        <f t="shared" ref="BS76" si="83">BM76*(1+BS77)</f>
        <v>58.890717236307239</v>
      </c>
      <c r="BT76" s="49">
        <f t="shared" ref="BT76" si="84">BN76*(1+BT77)</f>
        <v>51.864995336615991</v>
      </c>
      <c r="BU76" s="49">
        <f t="shared" ref="BU76" si="85">+SUM(BQ76:BT76)</f>
        <v>201.06060669911841</v>
      </c>
      <c r="BV76" s="192"/>
      <c r="BW76" s="49">
        <f t="shared" ref="BW76:BX76" si="86">BQ76*(1+BW77)</f>
        <v>56.643522992783993</v>
      </c>
      <c r="BX76" s="49">
        <f t="shared" si="86"/>
        <v>56.237594664959985</v>
      </c>
      <c r="BY76" s="49">
        <f t="shared" ref="BY76" si="87">BS76*(1+BY77)</f>
        <v>73.613396545384049</v>
      </c>
      <c r="BZ76" s="49">
        <f t="shared" ref="BZ76" si="88">BT76*(1+BZ77)</f>
        <v>64.831244170769992</v>
      </c>
      <c r="CA76" s="49">
        <f t="shared" ref="CA76" si="89">+SUM(BW76:BZ76)</f>
        <v>251.325758373898</v>
      </c>
      <c r="CB76" s="192"/>
      <c r="CC76" s="49">
        <f t="shared" ref="CC76:CD76" si="90">BW76*(1+CC77)</f>
        <v>69.671533281124312</v>
      </c>
      <c r="CD76" s="49">
        <f t="shared" si="90"/>
        <v>69.17224143790078</v>
      </c>
      <c r="CE76" s="49">
        <f t="shared" ref="CE76" si="91">BY76*(1+CE77)</f>
        <v>90.544477750822381</v>
      </c>
      <c r="CF76" s="49">
        <f t="shared" ref="CF76" si="92">BZ76*(1+CF77)</f>
        <v>79.742430330047085</v>
      </c>
      <c r="CG76" s="49">
        <f t="shared" ref="CG76" si="93">+SUM(CC76:CF76)</f>
        <v>309.13068279989454</v>
      </c>
    </row>
    <row r="77" spans="1:87" ht="12.75" customHeight="1" outlineLevel="1" x14ac:dyDescent="0.2">
      <c r="A77" s="230"/>
      <c r="B77" s="290" t="s">
        <v>299</v>
      </c>
      <c r="C77" s="315"/>
      <c r="D77" s="315"/>
      <c r="E77" s="315"/>
      <c r="F77" s="315"/>
      <c r="G77" s="315"/>
      <c r="H77" s="115"/>
      <c r="I77" s="315" t="str">
        <f>IF(ISERROR(I76/C76-1),"NM",I76/C76-1)</f>
        <v>NM</v>
      </c>
      <c r="J77" s="315" t="str">
        <f>IF(ISERROR(J76/D76-1),"NM",J76/D76-1)</f>
        <v>NM</v>
      </c>
      <c r="K77" s="315" t="str">
        <f>IF(ISERROR(K76/E76-1),"NM",K76/E76-1)</f>
        <v>NM</v>
      </c>
      <c r="L77" s="315" t="str">
        <f>IF(ISERROR(L76/F76-1),"NM",L76/F76-1)</f>
        <v>NM</v>
      </c>
      <c r="M77" s="315" t="str">
        <f>IF(ISERROR(M76/G76-1),"NM",M76/G76-1)</f>
        <v>NM</v>
      </c>
      <c r="N77" s="115"/>
      <c r="O77" s="315" t="str">
        <f>IF(ISERROR(O76/I76-1),"NM",O76/I76-1)</f>
        <v>NM</v>
      </c>
      <c r="P77" s="315" t="str">
        <f>IF(ISERROR(P76/J76-1),"NM",P76/J76-1)</f>
        <v>NM</v>
      </c>
      <c r="Q77" s="315" t="str">
        <f>IF(ISERROR(Q76/K76-1),"NM",Q76/K76-1)</f>
        <v>NM</v>
      </c>
      <c r="R77" s="315" t="str">
        <f>IF(ISERROR(R76/L76-1),"NM",R76/L76-1)</f>
        <v>NM</v>
      </c>
      <c r="S77" s="315" t="str">
        <f>IF(ISERROR(S76/M76-1),"NM",S76/M76-1)</f>
        <v>NM</v>
      </c>
      <c r="T77" s="115"/>
      <c r="U77" s="315">
        <f>IF(ISERROR(U76/O76-1),"NM",U76/O76-1)</f>
        <v>0.89216944801026954</v>
      </c>
      <c r="V77" s="315">
        <f>IF(ISERROR(V76/P76-1),"NM",V76/P76-1)</f>
        <v>0.14646464646464641</v>
      </c>
      <c r="W77" s="315">
        <f>IF(ISERROR(W76/Q76-1),"NM",W76/Q76-1)</f>
        <v>-3.3121019108280247E-2</v>
      </c>
      <c r="X77" s="315">
        <f>IF(ISERROR(X76/R76-1),"NM",X76/R76-1)</f>
        <v>-0.15210751374465481</v>
      </c>
      <c r="Y77" s="315">
        <f>IF(ISERROR(Y76/S76-1),"NM",Y76/S76-1)</f>
        <v>0.10977966756861224</v>
      </c>
      <c r="Z77" s="115"/>
      <c r="AA77" s="315">
        <f>IF(ISERROR(AA76/U76-1),"NM",AA76/U76-1)</f>
        <v>7.5983717774762427E-2</v>
      </c>
      <c r="AB77" s="315">
        <f>IF(ISERROR(AB76/V76-1),"NM",AB76/V76-1)</f>
        <v>0.26505139500734232</v>
      </c>
      <c r="AC77" s="315">
        <f>IF(ISERROR(AC76/W76-1),"NM",AC76/W76-1)</f>
        <v>0.54545454545454564</v>
      </c>
      <c r="AD77" s="315">
        <f>IF(ISERROR(AD76/X76-1),"NM",AD76/X76-1)</f>
        <v>0.41354466858789629</v>
      </c>
      <c r="AE77" s="315">
        <f>IF(ISERROR(AE76/Y76-1),"NM",AE76/Y76-1)</f>
        <v>0.3265412748171368</v>
      </c>
      <c r="AF77" s="115"/>
      <c r="AG77" s="315">
        <f>IF(ISERROR(AG76/AA76-1),"NM",AG76/AA76-1)</f>
        <v>0.25283732660781855</v>
      </c>
      <c r="AH77" s="315">
        <f>IF(ISERROR(AH76/AB76-1),"NM",AH76/AB76-1)</f>
        <v>0.37666860127684254</v>
      </c>
      <c r="AI77" s="315">
        <f>IF(ISERROR(AI76/AC76-1),"NM",AI76/AC76-1)</f>
        <v>0.30136402387041783</v>
      </c>
      <c r="AJ77" s="315">
        <f>IF(ISERROR(AJ76/AD76-1),"NM",AJ76/AD76-1)</f>
        <v>0.14729867482161052</v>
      </c>
      <c r="AK77" s="315">
        <f>IF(ISERROR(AK76/AE76-1),"NM",AK76/AE76-1)</f>
        <v>0.26860968885387959</v>
      </c>
      <c r="AL77" s="115"/>
      <c r="AM77" s="315">
        <f>IF(ISERROR(AM76/AG76-1),"NM",AM76/AG76-1)</f>
        <v>0.26623049823855061</v>
      </c>
      <c r="AN77" s="315">
        <f>IF(ISERROR(AN76/AH76-1),"NM",AN76/AH76-1)</f>
        <v>0.17369308600337274</v>
      </c>
      <c r="AO77" s="315">
        <f>IF(ISERROR(AO76/AI76-1),"NM",AO76/AI76-1)</f>
        <v>0.16213560432361596</v>
      </c>
      <c r="AP77" s="315">
        <f>IF(ISERROR(AP76/AJ76-1),"NM",AP76/AJ76-1)</f>
        <v>0.3638382940915148</v>
      </c>
      <c r="AQ77" s="315">
        <f>IF(ISERROR(AQ76/AK76-1),"NM",AQ76/AK76-1)</f>
        <v>0.23336437959225886</v>
      </c>
      <c r="AR77" s="115"/>
      <c r="AS77" s="901">
        <v>0.36</v>
      </c>
      <c r="AT77" s="901">
        <v>0.2</v>
      </c>
      <c r="AU77" s="901">
        <v>0.14799999999999999</v>
      </c>
      <c r="AV77" s="901">
        <v>0.16600000000000001</v>
      </c>
      <c r="AW77" s="905">
        <f>IF(ISERROR(AW76/AQ76-1),"NM",AW76/AQ76-1)</f>
        <v>0.20953884880013396</v>
      </c>
      <c r="AX77" s="115"/>
      <c r="AY77" s="818">
        <v>0.17</v>
      </c>
      <c r="AZ77" s="818">
        <v>0.182</v>
      </c>
      <c r="BA77" s="818">
        <v>0.22</v>
      </c>
      <c r="BB77" s="818">
        <v>0.2</v>
      </c>
      <c r="BC77" s="315">
        <f>IF(ISERROR(BC76/AW76-1),"NM",BC76/AW76-1)</f>
        <v>0.19435841014301225</v>
      </c>
      <c r="BD77" s="115"/>
      <c r="BE77" s="818">
        <v>0.22</v>
      </c>
      <c r="BF77" s="818">
        <v>0.2</v>
      </c>
      <c r="BG77" s="818">
        <v>0.17399999999999999</v>
      </c>
      <c r="BH77" s="819">
        <v>0.19700000000000001</v>
      </c>
      <c r="BI77" s="315">
        <f>IF(ISERROR(BI76/BC76-1),"NM",BI76/BC76-1)</f>
        <v>0.19639796419817168</v>
      </c>
      <c r="BJ77" s="115"/>
      <c r="BK77" s="818">
        <v>0.316</v>
      </c>
      <c r="BL77" s="818">
        <v>0.376</v>
      </c>
      <c r="BM77" s="818">
        <v>0.46300000000000002</v>
      </c>
      <c r="BN77" s="818">
        <v>0.441</v>
      </c>
      <c r="BO77" s="315">
        <f>IF(ISERROR(BO76/BI76-1),"NM",BO76/BI76-1)</f>
        <v>0.40263820152006957</v>
      </c>
      <c r="BP77" s="115"/>
      <c r="BQ77" s="818">
        <v>0.41</v>
      </c>
      <c r="BR77" s="818">
        <v>0.38</v>
      </c>
      <c r="BS77" s="818">
        <v>0.38</v>
      </c>
      <c r="BT77" s="818">
        <v>0.4</v>
      </c>
      <c r="BU77" s="315">
        <f t="shared" ref="BU77" si="94">IF(ISERROR(BU76/BO76-1),"NM",BU76/BO76-1)</f>
        <v>0.39180304102648278</v>
      </c>
      <c r="BV77" s="115"/>
      <c r="BW77" s="818">
        <v>0.25</v>
      </c>
      <c r="BX77" s="818">
        <f>+BW77</f>
        <v>0.25</v>
      </c>
      <c r="BY77" s="818">
        <f>+BX77</f>
        <v>0.25</v>
      </c>
      <c r="BZ77" s="818">
        <f>+BY77</f>
        <v>0.25</v>
      </c>
      <c r="CA77" s="315">
        <f t="shared" ref="CA77" si="95">IF(ISERROR(CA76/BU76-1),"NM",CA76/BU76-1)</f>
        <v>0.25</v>
      </c>
      <c r="CB77" s="115"/>
      <c r="CC77" s="818">
        <f>+CC17</f>
        <v>0.23</v>
      </c>
      <c r="CD77" s="818">
        <f>+CC77</f>
        <v>0.23</v>
      </c>
      <c r="CE77" s="818">
        <f>+CD77</f>
        <v>0.23</v>
      </c>
      <c r="CF77" s="818">
        <f>+CE77</f>
        <v>0.23</v>
      </c>
      <c r="CG77" s="315">
        <f t="shared" ref="CG77" si="96">IF(ISERROR(CG76/CA76-1),"NM",CG76/CA76-1)</f>
        <v>0.22999999999999998</v>
      </c>
    </row>
    <row r="78" spans="1:87" ht="12.75" customHeight="1" outlineLevel="1" x14ac:dyDescent="0.2">
      <c r="A78" s="230"/>
      <c r="B78" s="290" t="s">
        <v>539</v>
      </c>
      <c r="C78" s="315"/>
      <c r="D78" s="315"/>
      <c r="E78" s="315"/>
      <c r="F78" s="315"/>
      <c r="G78" s="315"/>
      <c r="H78" s="115"/>
      <c r="I78" s="49" t="e">
        <f>+I76-F76</f>
        <v>#VALUE!</v>
      </c>
      <c r="J78" s="49" t="e">
        <f>+J76-I76</f>
        <v>#VALUE!</v>
      </c>
      <c r="K78" s="49" t="e">
        <f>+K76-J76</f>
        <v>#VALUE!</v>
      </c>
      <c r="L78" s="49" t="e">
        <f>+L76-K76</f>
        <v>#VALUE!</v>
      </c>
      <c r="M78" s="315"/>
      <c r="N78" s="115"/>
      <c r="O78" s="49" t="e">
        <f>+O76-L76</f>
        <v>#VALUE!</v>
      </c>
      <c r="P78" s="49">
        <f>+P76-O76</f>
        <v>2.0450000000000004</v>
      </c>
      <c r="Q78" s="49">
        <f>+Q76-P76</f>
        <v>1.9099999999999993</v>
      </c>
      <c r="R78" s="49">
        <f>+R76-Q76</f>
        <v>0.33500000000000085</v>
      </c>
      <c r="S78" s="315"/>
      <c r="T78" s="115"/>
      <c r="U78" s="49">
        <f>+U76-R76</f>
        <v>-0.81500000000000039</v>
      </c>
      <c r="V78" s="49">
        <f>+V76-U76</f>
        <v>-0.5600000000000005</v>
      </c>
      <c r="W78" s="49">
        <f>+W76-V76</f>
        <v>0.78000000000000025</v>
      </c>
      <c r="X78" s="49">
        <f>+X76-W76</f>
        <v>-0.64999999999999947</v>
      </c>
      <c r="Y78" s="315"/>
      <c r="Z78" s="115"/>
      <c r="AA78" s="49">
        <f>+AA76-X76</f>
        <v>0.98999999999999932</v>
      </c>
      <c r="AB78" s="49">
        <f>+AB76-AA76</f>
        <v>0.6850000000000005</v>
      </c>
      <c r="AC78" s="49">
        <f>+AC76-AB76</f>
        <v>3.1150000000000002</v>
      </c>
      <c r="AD78" s="49">
        <f>+AD76-AC76</f>
        <v>-1.92</v>
      </c>
      <c r="AE78" s="315"/>
      <c r="AF78" s="115"/>
      <c r="AG78" s="49">
        <f>+AG76-AD76</f>
        <v>0.125</v>
      </c>
      <c r="AH78" s="49">
        <f>+AH76-AG76</f>
        <v>1.9249999999999989</v>
      </c>
      <c r="AI78" s="49">
        <f>+AI76-AH76</f>
        <v>3.4050000000000011</v>
      </c>
      <c r="AJ78" s="49">
        <f>+AJ76-AI76</f>
        <v>-4.01</v>
      </c>
      <c r="AK78" s="315"/>
      <c r="AL78" s="115"/>
      <c r="AM78" s="315">
        <f t="shared" ref="AM78" si="97">+AM77+AG77</f>
        <v>0.51906782484636915</v>
      </c>
      <c r="AN78" s="315">
        <f t="shared" ref="AN78" si="98">+AN77+AH77</f>
        <v>0.55036168728021528</v>
      </c>
      <c r="AO78" s="315">
        <f t="shared" ref="AO78" si="99">+AO77+AI77</f>
        <v>0.46349962819403379</v>
      </c>
      <c r="AP78" s="315">
        <f t="shared" ref="AP78" si="100">+AP77+AJ77</f>
        <v>0.51113696891312532</v>
      </c>
      <c r="AQ78" s="315">
        <f t="shared" ref="AQ78" si="101">+AQ77+AK77</f>
        <v>0.50197406844613846</v>
      </c>
      <c r="AR78" s="115"/>
      <c r="AS78" s="315">
        <f t="shared" ref="AS78" si="102">+AS77+AM77</f>
        <v>0.62623049823855059</v>
      </c>
      <c r="AT78" s="315">
        <f t="shared" ref="AT78" si="103">+AT77+AN77</f>
        <v>0.37369308600337275</v>
      </c>
      <c r="AU78" s="315">
        <f t="shared" ref="AU78" si="104">+AU77+AO77</f>
        <v>0.31013560432361598</v>
      </c>
      <c r="AV78" s="315">
        <f t="shared" ref="AV78" si="105">+AV77+AP77</f>
        <v>0.52983829409151484</v>
      </c>
      <c r="AW78" s="315">
        <f t="shared" ref="AW78" si="106">+AW77+AQ77</f>
        <v>0.44290322839239282</v>
      </c>
      <c r="AX78" s="115"/>
      <c r="AY78" s="315">
        <f t="shared" ref="AY78" si="107">+AY77+AS77</f>
        <v>0.53</v>
      </c>
      <c r="AZ78" s="315">
        <f t="shared" ref="AZ78" si="108">+AZ77+AT77</f>
        <v>0.38200000000000001</v>
      </c>
      <c r="BA78" s="315">
        <f t="shared" ref="BA78" si="109">+BA77+AU77</f>
        <v>0.36799999999999999</v>
      </c>
      <c r="BB78" s="315">
        <f t="shared" ref="BB78" si="110">+BB77+AV77</f>
        <v>0.36599999999999999</v>
      </c>
      <c r="BC78" s="315">
        <f t="shared" ref="BC78" si="111">+BC77+AW77</f>
        <v>0.40389725894314621</v>
      </c>
      <c r="BD78" s="115"/>
      <c r="BE78" s="315">
        <f t="shared" ref="BE78" si="112">+BE77+AY77</f>
        <v>0.39</v>
      </c>
      <c r="BF78" s="315">
        <f t="shared" ref="BF78" si="113">+BF77+AZ77</f>
        <v>0.38200000000000001</v>
      </c>
      <c r="BG78" s="315">
        <f t="shared" ref="BG78" si="114">+BG77+BA77</f>
        <v>0.39400000000000002</v>
      </c>
      <c r="BH78" s="315">
        <f t="shared" ref="BH78" si="115">+BH77+BB77</f>
        <v>0.39700000000000002</v>
      </c>
      <c r="BI78" s="315">
        <f t="shared" ref="BI78" si="116">+BI77+BC77</f>
        <v>0.39075637434118393</v>
      </c>
      <c r="BJ78" s="115"/>
      <c r="BK78" s="315">
        <f t="shared" ref="BK78" si="117">+BK77+BE77</f>
        <v>0.53600000000000003</v>
      </c>
      <c r="BL78" s="315">
        <f t="shared" ref="BL78" si="118">+BL77+BF77</f>
        <v>0.57600000000000007</v>
      </c>
      <c r="BM78" s="315">
        <f t="shared" ref="BM78" si="119">+BM77+BG77</f>
        <v>0.63700000000000001</v>
      </c>
      <c r="BN78" s="315">
        <f t="shared" ref="BN78" si="120">+BN77+BH77</f>
        <v>0.63800000000000001</v>
      </c>
      <c r="BO78" s="315">
        <f t="shared" ref="BO78" si="121">+BO77+BI77</f>
        <v>0.59903616571824125</v>
      </c>
      <c r="BP78" s="115"/>
      <c r="BQ78" s="315">
        <f>+BQ77+BK77</f>
        <v>0.72599999999999998</v>
      </c>
      <c r="BR78" s="315">
        <f>+BR77+BL77</f>
        <v>0.75600000000000001</v>
      </c>
      <c r="BS78" s="315">
        <f>+BS77+BM77</f>
        <v>0.84299999999999997</v>
      </c>
      <c r="BT78" s="315">
        <f>+BT77+BN77</f>
        <v>0.84099999999999997</v>
      </c>
      <c r="BU78" s="315">
        <f>+BU77+BO77</f>
        <v>0.79444124254655235</v>
      </c>
      <c r="BV78" s="115"/>
      <c r="BW78" s="315">
        <f>+BW77+BQ77</f>
        <v>0.65999999999999992</v>
      </c>
      <c r="BX78" s="315">
        <f>+BX77+BR77</f>
        <v>0.63</v>
      </c>
      <c r="BY78" s="315">
        <f>+BY77+BS77</f>
        <v>0.63</v>
      </c>
      <c r="BZ78" s="315">
        <f>+BZ77+BT77</f>
        <v>0.65</v>
      </c>
      <c r="CA78" s="315">
        <f>+CA77+BU77</f>
        <v>0.64180304102648278</v>
      </c>
      <c r="CB78" s="115"/>
      <c r="CC78" s="315">
        <f>+CC77+BW77</f>
        <v>0.48</v>
      </c>
      <c r="CD78" s="315">
        <f>+CD77+BX77</f>
        <v>0.48</v>
      </c>
      <c r="CE78" s="315">
        <f>+CE77+BY77</f>
        <v>0.48</v>
      </c>
      <c r="CF78" s="315">
        <f>+CF77+BZ77</f>
        <v>0.48</v>
      </c>
      <c r="CG78" s="315">
        <f>+CG77+CA77</f>
        <v>0.48</v>
      </c>
    </row>
    <row r="79" spans="1:87" ht="12.75" customHeight="1" outlineLevel="1" x14ac:dyDescent="0.2">
      <c r="A79" s="230"/>
      <c r="B79" s="290" t="s">
        <v>398</v>
      </c>
      <c r="C79" s="315"/>
      <c r="D79" s="315"/>
      <c r="E79" s="315"/>
      <c r="F79" s="315"/>
      <c r="G79" s="315"/>
      <c r="H79" s="115"/>
      <c r="I79" s="49"/>
      <c r="J79" s="49"/>
      <c r="K79" s="49"/>
      <c r="L79" s="49"/>
      <c r="M79" s="315"/>
      <c r="N79" s="115"/>
      <c r="O79" s="49"/>
      <c r="P79" s="49"/>
      <c r="Q79" s="49"/>
      <c r="R79" s="49"/>
      <c r="S79" s="315"/>
      <c r="T79" s="115"/>
      <c r="U79" s="49"/>
      <c r="V79" s="49"/>
      <c r="W79" s="49"/>
      <c r="X79" s="49"/>
      <c r="Y79" s="315"/>
      <c r="Z79" s="115"/>
      <c r="AA79" s="49"/>
      <c r="AB79" s="49"/>
      <c r="AC79" s="49"/>
      <c r="AD79" s="49"/>
      <c r="AE79" s="315"/>
      <c r="AF79" s="115"/>
      <c r="AG79" s="49"/>
      <c r="AH79" s="49"/>
      <c r="AI79" s="49"/>
      <c r="AJ79" s="49"/>
      <c r="AK79" s="315"/>
      <c r="AL79" s="115"/>
      <c r="AM79" s="49">
        <f>AVERAGE(AG78,AA78,U78)</f>
        <v>9.9999999999999645E-2</v>
      </c>
      <c r="AN79" s="49">
        <f>AVERAGE(AH78,AB78,V78)</f>
        <v>0.68333333333333302</v>
      </c>
      <c r="AO79" s="49">
        <f>AVERAGE(AI78,AC78,W78)</f>
        <v>2.433333333333334</v>
      </c>
      <c r="AP79" s="49">
        <f>AVERAGE(AJ78,AD78,X78)</f>
        <v>-2.1933333333333329</v>
      </c>
      <c r="AQ79" s="315"/>
      <c r="AR79" s="115"/>
      <c r="AS79" s="49">
        <f>AVERAGE(AM78,AG78,AA78)</f>
        <v>0.54468927494878949</v>
      </c>
      <c r="AT79" s="49">
        <f>AVERAGE(AN78,AH78,AB78)</f>
        <v>1.0534538957600716</v>
      </c>
      <c r="AU79" s="49">
        <f>AVERAGE(AO78,AI78,AC78)</f>
        <v>2.3278332093980119</v>
      </c>
      <c r="AV79" s="49">
        <f>AVERAGE(AP78,AJ78,AD78)</f>
        <v>-1.8062876770289582</v>
      </c>
      <c r="AW79" s="315"/>
      <c r="AX79" s="115"/>
      <c r="AY79" s="49">
        <f>AVERAGE(AS78,AM78,AG78)</f>
        <v>0.4234327743616399</v>
      </c>
      <c r="AZ79" s="49">
        <f>AVERAGE(AT78,AN78,AH78)</f>
        <v>0.94968492442786234</v>
      </c>
      <c r="BA79" s="49">
        <f>AVERAGE(AU78,AO78,AI78)</f>
        <v>1.3928784108392172</v>
      </c>
      <c r="BB79" s="49">
        <f>AVERAGE(AV78,AP78,AJ78)</f>
        <v>-0.9896749123317865</v>
      </c>
      <c r="BC79" s="315"/>
      <c r="BD79" s="115"/>
      <c r="BE79" s="49">
        <f>AVERAGE(AY78,AS78,AM78)</f>
        <v>0.55843277436163996</v>
      </c>
      <c r="BF79" s="49">
        <f>AVERAGE(AZ78,AT78,AN78)</f>
        <v>0.43535159109452937</v>
      </c>
      <c r="BG79" s="49">
        <f>AVERAGE(BA78,AU78,AO78)</f>
        <v>0.38054507750588323</v>
      </c>
      <c r="BH79" s="808">
        <f>AVERAGE(BB78,AV78,AP78)</f>
        <v>0.46899175433488005</v>
      </c>
      <c r="BI79" s="315"/>
      <c r="BJ79" s="115"/>
      <c r="BK79" s="49">
        <f>AVERAGE(BE78,AY78,AS78)</f>
        <v>0.51541016607951684</v>
      </c>
      <c r="BL79" s="49">
        <f>AVERAGE(BF78,AZ78,AT78)</f>
        <v>0.3792310286677909</v>
      </c>
      <c r="BM79" s="49">
        <f>AVERAGE(BG78,BA78,AU78)</f>
        <v>0.35737853477453863</v>
      </c>
      <c r="BN79" s="49">
        <f>AVERAGE(BH78,BB78,AV78)</f>
        <v>0.43094609803050493</v>
      </c>
      <c r="BO79" s="315"/>
      <c r="BP79" s="115"/>
      <c r="BQ79" s="49">
        <f>AVERAGE(BK78,BE78,AY78)</f>
        <v>0.48533333333333334</v>
      </c>
      <c r="BR79" s="49">
        <f>AVERAGE(BL78,BF78,AZ78)</f>
        <v>0.44666666666666671</v>
      </c>
      <c r="BS79" s="49">
        <f>AVERAGE(BM78,BG78,BA78)</f>
        <v>0.46633333333333332</v>
      </c>
      <c r="BT79" s="49">
        <f>AVERAGE(BN78,BH78,BB78)</f>
        <v>0.46700000000000008</v>
      </c>
      <c r="BU79" s="315"/>
      <c r="BV79" s="115"/>
      <c r="BW79" s="49">
        <f>AVERAGE(BQ78,BK78,BE78)</f>
        <v>0.55066666666666675</v>
      </c>
      <c r="BX79" s="49">
        <f>AVERAGE(BR78,BL78,BF78)</f>
        <v>0.57133333333333336</v>
      </c>
      <c r="BY79" s="49">
        <f>AVERAGE(BS78,BM78,BG78)</f>
        <v>0.6246666666666667</v>
      </c>
      <c r="BZ79" s="49">
        <f>AVERAGE(BT78,BN78,BH78)</f>
        <v>0.62533333333333341</v>
      </c>
      <c r="CA79" s="315"/>
      <c r="CB79" s="115"/>
      <c r="CC79" s="49">
        <f>AVERAGE(BW78,BQ78,BK78)</f>
        <v>0.64066666666666661</v>
      </c>
      <c r="CD79" s="49">
        <f>AVERAGE(BX78,BR78,BL78)</f>
        <v>0.65400000000000003</v>
      </c>
      <c r="CE79" s="49">
        <f>AVERAGE(BY78,BS78,BM78)</f>
        <v>0.70333333333333325</v>
      </c>
      <c r="CF79" s="49">
        <f>AVERAGE(BZ78,BT78,BN78)</f>
        <v>0.70966666666666667</v>
      </c>
      <c r="CG79" s="315"/>
    </row>
    <row r="80" spans="1:87" ht="12.75" customHeight="1" outlineLevel="1" x14ac:dyDescent="0.2">
      <c r="A80" s="230"/>
      <c r="B80" s="477" t="s">
        <v>537</v>
      </c>
      <c r="C80" s="315"/>
      <c r="D80" s="315"/>
      <c r="E80" s="315"/>
      <c r="F80" s="315"/>
      <c r="G80" s="315"/>
      <c r="H80" s="115"/>
      <c r="I80" s="315"/>
      <c r="J80" s="315"/>
      <c r="K80" s="315"/>
      <c r="L80" s="315"/>
      <c r="M80" s="315"/>
      <c r="N80" s="115"/>
      <c r="O80" s="315">
        <f t="shared" ref="O80:AE80" si="122">O76/O$86</f>
        <v>7.7806632041550153E-2</v>
      </c>
      <c r="P80" s="315">
        <f t="shared" si="122"/>
        <v>0.11206489953777946</v>
      </c>
      <c r="Q80" s="315">
        <f t="shared" si="122"/>
        <v>0.13890117667875784</v>
      </c>
      <c r="R80" s="315">
        <f t="shared" si="122"/>
        <v>0.13404847690795937</v>
      </c>
      <c r="S80" s="315">
        <f t="shared" si="122"/>
        <v>0.11724981870920959</v>
      </c>
      <c r="T80" s="115"/>
      <c r="U80" s="315">
        <f t="shared" si="122"/>
        <v>0.11586228580411885</v>
      </c>
      <c r="V80" s="315">
        <f t="shared" si="122"/>
        <v>0.10091131362525005</v>
      </c>
      <c r="W80" s="315">
        <f t="shared" si="122"/>
        <v>0.11458333333333334</v>
      </c>
      <c r="X80" s="315">
        <f t="shared" si="122"/>
        <v>0.10930855252795717</v>
      </c>
      <c r="Y80" s="315">
        <f t="shared" si="122"/>
        <v>0.11007380427489695</v>
      </c>
      <c r="Z80" s="115"/>
      <c r="AA80" s="315">
        <f t="shared" si="122"/>
        <v>0.1111111111111111</v>
      </c>
      <c r="AB80" s="315">
        <f t="shared" si="122"/>
        <v>0.11332544067350696</v>
      </c>
      <c r="AC80" s="315">
        <f t="shared" si="122"/>
        <v>0.14780745967741937</v>
      </c>
      <c r="AD80" s="315">
        <f t="shared" si="122"/>
        <v>0.11877951325826372</v>
      </c>
      <c r="AE80" s="315">
        <f t="shared" si="122"/>
        <v>0.12311695868623522</v>
      </c>
      <c r="AF80" s="115"/>
      <c r="AG80" s="315">
        <f>AG76/AG$86</f>
        <v>0.11651908755057762</v>
      </c>
      <c r="AH80" s="315">
        <f>AH76/AH$86</f>
        <v>0.12447523089840469</v>
      </c>
      <c r="AI80" s="315">
        <f>AI76/AI$86</f>
        <v>0.16500027022644978</v>
      </c>
      <c r="AJ80" s="315">
        <f>AJ76/AJ$86</f>
        <v>0.12439213085764811</v>
      </c>
      <c r="AK80" s="315">
        <f>AK76/AK$86</f>
        <v>0.13290146888925566</v>
      </c>
      <c r="AL80" s="115"/>
      <c r="AM80" s="315">
        <f>AM76/AM$86</f>
        <v>0.12819728931009886</v>
      </c>
      <c r="AN80" s="315">
        <f>AN76/AN$86</f>
        <v>0.1311537193197343</v>
      </c>
      <c r="AO80" s="315">
        <f>AO76/AO$86</f>
        <v>0.16594948550046773</v>
      </c>
      <c r="AP80" s="315">
        <f>AP76/AP$86</f>
        <v>0.13812651849185639</v>
      </c>
      <c r="AQ80" s="315">
        <f>AQ76/AQ$86</f>
        <v>0.14110988763778873</v>
      </c>
      <c r="AR80" s="115"/>
      <c r="AS80" s="315">
        <f>AS76/AS$86</f>
        <v>0.15248753944142684</v>
      </c>
      <c r="AT80" s="315">
        <f>AT76/AT$86</f>
        <v>0.13976802306942177</v>
      </c>
      <c r="AU80" s="315">
        <f>AU76/AU$86</f>
        <v>0.17025891401580065</v>
      </c>
      <c r="AV80" s="315">
        <f>AV76/AV$86</f>
        <v>0.14123871134324065</v>
      </c>
      <c r="AW80" s="315">
        <f>AW76/AW$86</f>
        <v>0.15077245172251907</v>
      </c>
      <c r="AX80" s="115"/>
      <c r="AY80" s="315">
        <f>AY76/AY$86</f>
        <v>0.15306083499005965</v>
      </c>
      <c r="AZ80" s="315">
        <f>AZ76/AZ$86</f>
        <v>0.13663756401384083</v>
      </c>
      <c r="BA80" s="315">
        <f>BA76/BA$86</f>
        <v>0.16844701288135588</v>
      </c>
      <c r="BB80" s="315">
        <f>BB76/BB$86</f>
        <v>0.13390028675911492</v>
      </c>
      <c r="BC80" s="315">
        <f>BC76/BC$86</f>
        <v>0.14761300579758724</v>
      </c>
      <c r="BD80" s="115"/>
      <c r="BE80" s="315">
        <f>BE76/BE$86</f>
        <v>0.14923341976329729</v>
      </c>
      <c r="BF80" s="315">
        <f>BF76/BF$86</f>
        <v>0.13386227633548964</v>
      </c>
      <c r="BG80" s="315">
        <f>BG76/BG$86</f>
        <v>0.1640558323149606</v>
      </c>
      <c r="BH80" s="810">
        <f>BH76/BH$86</f>
        <v>0.13527403756906076</v>
      </c>
      <c r="BI80" s="315">
        <f>BI76/BI$86</f>
        <v>0.14536861377736243</v>
      </c>
      <c r="BJ80" s="115"/>
      <c r="BK80" s="315">
        <f>BK76/BK$86</f>
        <v>0.15449185950688618</v>
      </c>
      <c r="BL80" s="315">
        <f>BL76/BL$86</f>
        <v>0.14059038403380913</v>
      </c>
      <c r="BM80" s="315">
        <f>BM76/BM$86</f>
        <v>0.18077407824087766</v>
      </c>
      <c r="BN80" s="315">
        <f>BN76/BN$86</f>
        <v>0.14526300921632745</v>
      </c>
      <c r="BO80" s="315">
        <f>BO76/BO$86</f>
        <v>0.15516539161544216</v>
      </c>
      <c r="BP80" s="115"/>
      <c r="BQ80" s="315">
        <f>BQ76/BQ$86</f>
        <v>0.16645478499908972</v>
      </c>
      <c r="BR80" s="315">
        <f>BR76/BR$86</f>
        <v>0.14942009137881065</v>
      </c>
      <c r="BS80" s="315">
        <f>BS76/BS$86</f>
        <v>0.19103932116925162</v>
      </c>
      <c r="BT80" s="315">
        <f>BT76/BT$86</f>
        <v>0.15642325249692554</v>
      </c>
      <c r="BU80" s="315">
        <f>BU76/BU$86</f>
        <v>0.16573213104908729</v>
      </c>
      <c r="BV80" s="115"/>
      <c r="BW80" s="315">
        <f>BW76/BW$86</f>
        <v>0.16565969634683425</v>
      </c>
      <c r="BX80" s="315">
        <f>BX76/BX$86</f>
        <v>0.1449205460897455</v>
      </c>
      <c r="BY80" s="315">
        <f>BY76/BY$86</f>
        <v>0.18729590413312339</v>
      </c>
      <c r="BZ80" s="315">
        <f>BZ76/BZ$86</f>
        <v>0.1505754883637612</v>
      </c>
      <c r="CA80" s="315">
        <f>CA76/CA$86</f>
        <v>0.1617726187291999</v>
      </c>
      <c r="CB80" s="115"/>
      <c r="CC80" s="315">
        <f>CC76/CC$86</f>
        <v>0.16736442736243265</v>
      </c>
      <c r="CD80" s="315">
        <f>CD76/CD$86</f>
        <v>0.14865979198959048</v>
      </c>
      <c r="CE80" s="315">
        <f>CE76/CE$86</f>
        <v>0.19226730931804473</v>
      </c>
      <c r="CF80" s="315">
        <f>CF76/CF$86</f>
        <v>0.15499011119755846</v>
      </c>
      <c r="CG80" s="315">
        <f>CG76/CG$86</f>
        <v>0.1655741750256832</v>
      </c>
    </row>
    <row r="81" spans="1:134" ht="12.75" customHeight="1" outlineLevel="1" x14ac:dyDescent="0.2">
      <c r="A81" s="230"/>
      <c r="B81" s="32" t="s">
        <v>149</v>
      </c>
      <c r="C81" s="312" t="s">
        <v>162</v>
      </c>
      <c r="D81" s="312" t="s">
        <v>162</v>
      </c>
      <c r="E81" s="312" t="s">
        <v>162</v>
      </c>
      <c r="F81" s="312" t="s">
        <v>162</v>
      </c>
      <c r="G81" s="49">
        <f>+SUM(C81:F81)</f>
        <v>0</v>
      </c>
      <c r="H81" s="192"/>
      <c r="I81" s="312" t="s">
        <v>162</v>
      </c>
      <c r="J81" s="312" t="s">
        <v>162</v>
      </c>
      <c r="K81" s="312" t="s">
        <v>162</v>
      </c>
      <c r="L81" s="312" t="s">
        <v>162</v>
      </c>
      <c r="M81" s="49">
        <f>+SUM(I81:L81)</f>
        <v>0</v>
      </c>
      <c r="N81" s="192"/>
      <c r="O81" s="47">
        <v>0.91</v>
      </c>
      <c r="P81" s="47">
        <v>1.2250000000000001</v>
      </c>
      <c r="Q81" s="47">
        <v>1.5349999999999999</v>
      </c>
      <c r="R81" s="47">
        <v>2.77</v>
      </c>
      <c r="S81" s="49">
        <f>+SUM(O81:R81)</f>
        <v>6.4399999999999995</v>
      </c>
      <c r="T81" s="192"/>
      <c r="U81" s="47">
        <v>3.3</v>
      </c>
      <c r="V81" s="47">
        <v>4.0199999999999996</v>
      </c>
      <c r="W81" s="47">
        <v>3.9449999999999998</v>
      </c>
      <c r="X81" s="47">
        <v>3.8050000000000002</v>
      </c>
      <c r="Y81" s="49">
        <f>+SUM(U81:X81)</f>
        <v>15.069999999999999</v>
      </c>
      <c r="Z81" s="192"/>
      <c r="AA81" s="414">
        <v>4.83</v>
      </c>
      <c r="AB81" s="414">
        <v>4.9950000000000001</v>
      </c>
      <c r="AC81" s="414">
        <v>5.25</v>
      </c>
      <c r="AD81" s="414">
        <v>5.6950000000000003</v>
      </c>
      <c r="AE81" s="49">
        <f>+SUM(AA81:AD81)</f>
        <v>20.77</v>
      </c>
      <c r="AF81" s="192"/>
      <c r="AG81" s="414">
        <v>5.33</v>
      </c>
      <c r="AH81" s="414">
        <v>5.61</v>
      </c>
      <c r="AI81" s="414">
        <v>5.24</v>
      </c>
      <c r="AJ81" s="414">
        <v>5.3650000000000002</v>
      </c>
      <c r="AK81" s="49">
        <f>+SUM(AG81:AJ81)</f>
        <v>21.545000000000002</v>
      </c>
      <c r="AL81" s="192"/>
      <c r="AM81" s="414">
        <v>5.3650000000000002</v>
      </c>
      <c r="AN81" s="414">
        <v>5.4050000000000002</v>
      </c>
      <c r="AO81" s="414">
        <v>5.33</v>
      </c>
      <c r="AP81" s="414">
        <v>5.27</v>
      </c>
      <c r="AQ81" s="49">
        <f>+SUM(AM81:AP81)</f>
        <v>21.37</v>
      </c>
      <c r="AR81" s="192"/>
      <c r="AS81" s="352">
        <v>5.3</v>
      </c>
      <c r="AT81" s="352">
        <v>5.3</v>
      </c>
      <c r="AU81" s="352">
        <v>5.3</v>
      </c>
      <c r="AV81" s="902">
        <v>5.4</v>
      </c>
      <c r="AW81" s="49">
        <f>+SUM(AS81:AV81)</f>
        <v>21.299999999999997</v>
      </c>
      <c r="AX81" s="192"/>
      <c r="AY81" s="49">
        <f>+AY86-AY76-AY71-AY66</f>
        <v>5.3396661290322669</v>
      </c>
      <c r="AZ81" s="49">
        <f t="shared" ref="AZ81:BB81" si="123">+AZ86-AZ76-AZ71-AZ66</f>
        <v>5.3294760115607005</v>
      </c>
      <c r="BA81" s="49">
        <f t="shared" si="123"/>
        <v>5.4591872832370001</v>
      </c>
      <c r="BB81" s="49">
        <f t="shared" si="123"/>
        <v>5.3952674219653289</v>
      </c>
      <c r="BC81" s="49">
        <f>+SUM(AY81:BB81)</f>
        <v>21.523596845795296</v>
      </c>
      <c r="BD81" s="192"/>
      <c r="BE81" s="49">
        <f>+BE86-BE76-BE71-BE66</f>
        <v>11.011137065178261</v>
      </c>
      <c r="BF81" s="49">
        <f t="shared" ref="BF81:BH81" si="124">+BF86-BF76-BF71-BF66</f>
        <v>9.9216575534104692</v>
      </c>
      <c r="BG81" s="49">
        <f t="shared" si="124"/>
        <v>10.185649733290134</v>
      </c>
      <c r="BH81" s="49">
        <f t="shared" si="124"/>
        <v>10.378410774847453</v>
      </c>
      <c r="BI81" s="49">
        <f>+SUM(BE81:BH81)</f>
        <v>41.496855126726317</v>
      </c>
      <c r="BJ81" s="192"/>
      <c r="BK81" s="49">
        <f t="shared" ref="BK81:BN81" si="125">+BK86-BK76-BK71-BK66</f>
        <v>8.9623889914026336</v>
      </c>
      <c r="BL81" s="49">
        <f t="shared" si="125"/>
        <v>12.488306938162992</v>
      </c>
      <c r="BM81" s="49">
        <f t="shared" si="125"/>
        <v>13.484564718679906</v>
      </c>
      <c r="BN81" s="49">
        <f t="shared" si="125"/>
        <v>22.902551233376926</v>
      </c>
      <c r="BO81" s="49">
        <f t="shared" ref="BO81" si="126">+SUM(BK81:BN81)</f>
        <v>57.837811881622457</v>
      </c>
      <c r="BP81" s="192"/>
      <c r="BQ81" s="49">
        <f t="shared" ref="BQ81:BT81" si="127">+BQ86-BQ76-BQ71-BQ66</f>
        <v>11.812652764619628</v>
      </c>
      <c r="BR81" s="49">
        <f t="shared" si="127"/>
        <v>16.027925793485764</v>
      </c>
      <c r="BS81" s="49">
        <f t="shared" si="127"/>
        <v>16.711300533958621</v>
      </c>
      <c r="BT81" s="49">
        <f t="shared" si="127"/>
        <v>27.419381160505225</v>
      </c>
      <c r="BU81" s="49">
        <f t="shared" ref="BU81" si="128">+SUM(BQ81:BT81)</f>
        <v>71.971260252569238</v>
      </c>
      <c r="BV81" s="192"/>
      <c r="BW81" s="49">
        <f t="shared" ref="BW81:BZ81" si="129">+BW86-BW76-BW71-BW66</f>
        <v>15.324995566202347</v>
      </c>
      <c r="BX81" s="49">
        <f t="shared" si="129"/>
        <v>29.580323338596344</v>
      </c>
      <c r="BY81" s="49">
        <f t="shared" si="129"/>
        <v>29.949092914380429</v>
      </c>
      <c r="BZ81" s="49">
        <f t="shared" si="129"/>
        <v>51.523517334956381</v>
      </c>
      <c r="CA81" s="49">
        <f t="shared" ref="CA81" si="130">+SUM(BW81:BZ81)</f>
        <v>126.3779291541355</v>
      </c>
      <c r="CB81" s="192"/>
      <c r="CC81" s="49">
        <f t="shared" ref="CC81:CF81" si="131">+CC86-CC76-CC71-CC66</f>
        <v>20.622897210448144</v>
      </c>
      <c r="CD81" s="49">
        <f t="shared" si="131"/>
        <v>32.23864749928623</v>
      </c>
      <c r="CE81" s="49">
        <f t="shared" si="131"/>
        <v>32.723502074818526</v>
      </c>
      <c r="CF81" s="49">
        <f t="shared" si="131"/>
        <v>53.718658027084331</v>
      </c>
      <c r="CG81" s="49">
        <f t="shared" ref="CG81" si="132">+SUM(CC81:CF81)</f>
        <v>139.30370481163723</v>
      </c>
    </row>
    <row r="82" spans="1:134" ht="12.75" customHeight="1" outlineLevel="1" x14ac:dyDescent="0.2">
      <c r="A82" s="230"/>
      <c r="B82" s="999" t="s">
        <v>299</v>
      </c>
      <c r="C82" s="1000"/>
      <c r="D82" s="1000"/>
      <c r="E82" s="1000"/>
      <c r="F82" s="1000"/>
      <c r="G82" s="1000"/>
      <c r="H82" s="1001"/>
      <c r="I82" s="1000" t="str">
        <f>IF(ISERROR(I81/C81-1),"NM",I81/C81-1)</f>
        <v>NM</v>
      </c>
      <c r="J82" s="1000" t="str">
        <f>IF(ISERROR(J81/D81-1),"NM",J81/D81-1)</f>
        <v>NM</v>
      </c>
      <c r="K82" s="1000" t="str">
        <f>IF(ISERROR(K81/E81-1),"NM",K81/E81-1)</f>
        <v>NM</v>
      </c>
      <c r="L82" s="1000" t="str">
        <f>IF(ISERROR(L81/F81-1),"NM",L81/F81-1)</f>
        <v>NM</v>
      </c>
      <c r="M82" s="1000" t="str">
        <f>IF(ISERROR(M81/G81-1),"NM",M81/G81-1)</f>
        <v>NM</v>
      </c>
      <c r="N82" s="1001"/>
      <c r="O82" s="1000" t="str">
        <f>IF(ISERROR(O81/I81-1),"NM",O81/I81-1)</f>
        <v>NM</v>
      </c>
      <c r="P82" s="1000" t="str">
        <f>IF(ISERROR(P81/J81-1),"NM",P81/J81-1)</f>
        <v>NM</v>
      </c>
      <c r="Q82" s="1000" t="str">
        <f>IF(ISERROR(Q81/K81-1),"NM",Q81/K81-1)</f>
        <v>NM</v>
      </c>
      <c r="R82" s="1000" t="str">
        <f>IF(ISERROR(R81/L81-1),"NM",R81/L81-1)</f>
        <v>NM</v>
      </c>
      <c r="S82" s="1000" t="str">
        <f>IF(ISERROR(S81/M81-1),"NM",S81/M81-1)</f>
        <v>NM</v>
      </c>
      <c r="T82" s="1001"/>
      <c r="U82" s="1000">
        <f>IF(ISERROR(U81/O81-1),"NM",U81/O81-1)</f>
        <v>2.6263736263736259</v>
      </c>
      <c r="V82" s="1000">
        <f>IF(ISERROR(V81/P81-1),"NM",V81/P81-1)</f>
        <v>2.2816326530612239</v>
      </c>
      <c r="W82" s="1000">
        <f>IF(ISERROR(W81/Q81-1),"NM",W81/Q81-1)</f>
        <v>1.5700325732899021</v>
      </c>
      <c r="X82" s="1000">
        <f>IF(ISERROR(X81/R81-1),"NM",X81/R81-1)</f>
        <v>0.37364620938628157</v>
      </c>
      <c r="Y82" s="1000">
        <f>IF(ISERROR(Y81/S81-1),"NM",Y81/S81-1)</f>
        <v>1.3400621118012421</v>
      </c>
      <c r="Z82" s="1001"/>
      <c r="AA82" s="1000">
        <f>IF(ISERROR(AA81/U81-1),"NM",AA81/U81-1)</f>
        <v>0.46363636363636385</v>
      </c>
      <c r="AB82" s="1000">
        <f>IF(ISERROR(AB81/V81-1),"NM",AB81/V81-1)</f>
        <v>0.24253731343283591</v>
      </c>
      <c r="AC82" s="1000">
        <f>IF(ISERROR(AC81/W81-1),"NM",AC81/W81-1)</f>
        <v>0.33079847908745252</v>
      </c>
      <c r="AD82" s="1000">
        <f>IF(ISERROR(AD81/X81-1),"NM",AD81/X81-1)</f>
        <v>0.49671484888304862</v>
      </c>
      <c r="AE82" s="1000">
        <f>IF(ISERROR(AE81/Y81-1),"NM",AE81/Y81-1)</f>
        <v>0.37823490378234914</v>
      </c>
      <c r="AF82" s="1001"/>
      <c r="AG82" s="1000">
        <f>IF(ISERROR(AG81/AA81-1),"NM",AG81/AA81-1)</f>
        <v>0.10351966873706009</v>
      </c>
      <c r="AH82" s="1000">
        <f>IF(ISERROR(AH81/AB81-1),"NM",AH81/AB81-1)</f>
        <v>0.12312312312312312</v>
      </c>
      <c r="AI82" s="1000">
        <f>IF(ISERROR(AI81/AC81-1),"NM",AI81/AC81-1)</f>
        <v>-1.9047619047618536E-3</v>
      </c>
      <c r="AJ82" s="1000">
        <f>IF(ISERROR(AJ81/AD81-1),"NM",AJ81/AD81-1)</f>
        <v>-5.7945566286215944E-2</v>
      </c>
      <c r="AK82" s="1000">
        <f>IF(ISERROR(AK81/AE81-1),"NM",AK81/AE81-1)</f>
        <v>3.7313432835820892E-2</v>
      </c>
      <c r="AL82" s="1001"/>
      <c r="AM82" s="1000">
        <f>IF(ISERROR(AM81/AG81-1),"NM",AM81/AG81-1)</f>
        <v>6.5666041275798115E-3</v>
      </c>
      <c r="AN82" s="1000">
        <f>IF(ISERROR(AN81/AH81-1),"NM",AN81/AH81-1)</f>
        <v>-3.6541889483065915E-2</v>
      </c>
      <c r="AO82" s="1000">
        <f>IF(ISERROR(AO81/AI81-1),"NM",AO81/AI81-1)</f>
        <v>1.7175572519083859E-2</v>
      </c>
      <c r="AP82" s="1000">
        <f>IF(ISERROR(AP81/AJ81-1),"NM",AP81/AJ81-1)</f>
        <v>-1.7707362534948867E-2</v>
      </c>
      <c r="AQ82" s="1000">
        <f>IF(ISERROR(AQ81/AK81-1),"NM",AQ81/AK81-1)</f>
        <v>-8.1225342306799897E-3</v>
      </c>
      <c r="AR82" s="1001"/>
      <c r="AS82" s="1000">
        <f>IF(ISERROR(AS81/AM81-1),"NM",AS81/AM81-1)</f>
        <v>-1.2115563839701804E-2</v>
      </c>
      <c r="AT82" s="1000">
        <f>IF(ISERROR(AT81/AN81-1),"NM",AT81/AN81-1)</f>
        <v>-1.9426456984273921E-2</v>
      </c>
      <c r="AU82" s="1000">
        <f>IF(ISERROR(AU81/AO81-1),"NM",AU81/AO81-1)</f>
        <v>-5.6285178236398226E-3</v>
      </c>
      <c r="AV82" s="1000">
        <f>IF(ISERROR(AV81/AP81-1),"NM",AV81/AP81-1)</f>
        <v>2.4667931688804767E-2</v>
      </c>
      <c r="AW82" s="1000">
        <f>IF(ISERROR(AW81/AQ81-1),"NM",AW81/AQ81-1)</f>
        <v>-3.2756200280769088E-3</v>
      </c>
      <c r="AX82" s="1001"/>
      <c r="AY82" s="1000">
        <f>IF(ISERROR(AY81/AS81-1),"NM",AY81/AS81-1)</f>
        <v>7.4841752891070534E-3</v>
      </c>
      <c r="AZ82" s="1000">
        <f>IF(ISERROR(AZ81/AT81-1),"NM",AZ81/AT81-1)</f>
        <v>5.5615116152265553E-3</v>
      </c>
      <c r="BA82" s="1000">
        <f>IF(ISERROR(BA81/AU81-1),"NM",BA81/AU81-1)</f>
        <v>3.0035336459811379E-2</v>
      </c>
      <c r="BB82" s="1000">
        <f>IF(ISERROR(BB81/AV81-1),"NM",BB81/AV81-1)</f>
        <v>-8.7640333975391727E-4</v>
      </c>
      <c r="BC82" s="1000">
        <f>IF(ISERROR(BC81/AW81-1),"NM",BC81/AW81-1)</f>
        <v>1.0497504497431809E-2</v>
      </c>
      <c r="BD82" s="1001"/>
      <c r="BE82" s="1000">
        <f>IF(ISERROR(BE81/AY81-1),"NM",BE81/AY81-1)</f>
        <v>1.0621396168029444</v>
      </c>
      <c r="BF82" s="1000">
        <f>IF(ISERROR(BF81/AZ81-1),"NM",BF81/AZ81-1)</f>
        <v>0.86165723082126799</v>
      </c>
      <c r="BG82" s="1000">
        <f>IF(ISERROR(BG81/BA81-1),"NM",BG81/BA81-1)</f>
        <v>0.8657813342594467</v>
      </c>
      <c r="BH82" s="1000">
        <f>IF(ISERROR(BH81/BB81-1),"NM",BH81/BB81-1)</f>
        <v>0.92361378281169948</v>
      </c>
      <c r="BI82" s="1000">
        <f>IF(ISERROR(BI81/BC81-1),"NM",BI81/BC81-1)</f>
        <v>0.92797028415038629</v>
      </c>
      <c r="BJ82" s="1001"/>
      <c r="BK82" s="1000">
        <f t="shared" ref="BK82:BO82" si="133">IF(ISERROR(BK81/BE81-1),"NM",BK81/BE81-1)</f>
        <v>-0.18606144503046917</v>
      </c>
      <c r="BL82" s="1000">
        <f t="shared" si="133"/>
        <v>0.25869159169581124</v>
      </c>
      <c r="BM82" s="1000">
        <f t="shared" si="133"/>
        <v>0.32387869912783329</v>
      </c>
      <c r="BN82" s="1000">
        <f t="shared" si="133"/>
        <v>1.2067493501878239</v>
      </c>
      <c r="BO82" s="1000">
        <f t="shared" si="133"/>
        <v>0.39378783536711048</v>
      </c>
      <c r="BP82" s="1001"/>
      <c r="BQ82" s="1000">
        <f t="shared" ref="BQ82:BU82" si="134">IF(ISERROR(BQ81/BK81-1),"NM",BQ81/BK81-1)</f>
        <v>0.31802500158731917</v>
      </c>
      <c r="BR82" s="1000">
        <f t="shared" si="134"/>
        <v>0.28343464593315337</v>
      </c>
      <c r="BS82" s="1000">
        <f t="shared" si="134"/>
        <v>0.23929106223271557</v>
      </c>
      <c r="BT82" s="1000">
        <f t="shared" si="134"/>
        <v>0.19721950978743874</v>
      </c>
      <c r="BU82" s="1000">
        <f t="shared" si="134"/>
        <v>0.24436346934897757</v>
      </c>
      <c r="BV82" s="1001"/>
      <c r="BW82" s="1000">
        <f t="shared" ref="BW82:CA82" si="135">IF(ISERROR(BW81/BQ81-1),"NM",BW81/BQ81-1)</f>
        <v>0.29733734425027913</v>
      </c>
      <c r="BX82" s="1000">
        <f t="shared" si="135"/>
        <v>0.84554905729715113</v>
      </c>
      <c r="BY82" s="1000">
        <f t="shared" si="135"/>
        <v>0.79214615005705968</v>
      </c>
      <c r="BZ82" s="1000">
        <f t="shared" si="135"/>
        <v>0.87909118128350272</v>
      </c>
      <c r="CA82" s="1000">
        <f t="shared" si="135"/>
        <v>0.75594992654896642</v>
      </c>
      <c r="CB82" s="1001"/>
      <c r="CC82" s="1000">
        <f t="shared" ref="CC82:CG82" si="136">IF(ISERROR(CC81/BW81-1),"NM",CC81/BW81-1)</f>
        <v>0.34570330682050954</v>
      </c>
      <c r="CD82" s="1000">
        <f t="shared" si="136"/>
        <v>8.9867988603806515E-2</v>
      </c>
      <c r="CE82" s="1000">
        <f t="shared" si="136"/>
        <v>9.2637502189788501E-2</v>
      </c>
      <c r="CF82" s="1000">
        <f t="shared" si="136"/>
        <v>4.260463581818863E-2</v>
      </c>
      <c r="CG82" s="1000">
        <f t="shared" si="136"/>
        <v>0.10227874237230883</v>
      </c>
    </row>
    <row r="83" spans="1:134" ht="12.75" customHeight="1" outlineLevel="1" x14ac:dyDescent="0.2">
      <c r="A83" s="230"/>
      <c r="B83" s="290" t="s">
        <v>539</v>
      </c>
      <c r="C83" s="315"/>
      <c r="D83" s="315"/>
      <c r="E83" s="315"/>
      <c r="F83" s="315"/>
      <c r="G83" s="315"/>
      <c r="H83" s="115"/>
      <c r="I83" s="49" t="e">
        <f>+I81-F81</f>
        <v>#VALUE!</v>
      </c>
      <c r="J83" s="49" t="e">
        <f>+J81-I81</f>
        <v>#VALUE!</v>
      </c>
      <c r="K83" s="49" t="e">
        <f>+K81-J81</f>
        <v>#VALUE!</v>
      </c>
      <c r="L83" s="49" t="e">
        <f>+L81-K81</f>
        <v>#VALUE!</v>
      </c>
      <c r="M83" s="315"/>
      <c r="N83" s="115"/>
      <c r="O83" s="49" t="e">
        <f>+O81-L81</f>
        <v>#VALUE!</v>
      </c>
      <c r="P83" s="49">
        <f>+P81-O81</f>
        <v>0.31500000000000006</v>
      </c>
      <c r="Q83" s="49">
        <f>+Q81-P81</f>
        <v>0.30999999999999983</v>
      </c>
      <c r="R83" s="49">
        <f>+R81-Q81</f>
        <v>1.2350000000000001</v>
      </c>
      <c r="S83" s="315"/>
      <c r="T83" s="115"/>
      <c r="U83" s="49">
        <f>+U81-R81</f>
        <v>0.5299999999999998</v>
      </c>
      <c r="V83" s="49">
        <f>+V81-U81</f>
        <v>0.71999999999999975</v>
      </c>
      <c r="W83" s="49">
        <f>+W81-V81</f>
        <v>-7.4999999999999734E-2</v>
      </c>
      <c r="X83" s="49">
        <f>+X81-W81</f>
        <v>-0.13999999999999968</v>
      </c>
      <c r="Y83" s="315"/>
      <c r="Z83" s="115"/>
      <c r="AA83" s="49">
        <f>+AA81-X81</f>
        <v>1.0249999999999999</v>
      </c>
      <c r="AB83" s="49">
        <f>+AB81-AA81</f>
        <v>0.16500000000000004</v>
      </c>
      <c r="AC83" s="49">
        <f>+AC81-AB81</f>
        <v>0.25499999999999989</v>
      </c>
      <c r="AD83" s="49">
        <f>+AD81-AC81</f>
        <v>0.44500000000000028</v>
      </c>
      <c r="AE83" s="315"/>
      <c r="AF83" s="115"/>
      <c r="AG83" s="49">
        <f>+AG81-AD81</f>
        <v>-0.36500000000000021</v>
      </c>
      <c r="AH83" s="49">
        <f>+AH81-AG81</f>
        <v>0.28000000000000025</v>
      </c>
      <c r="AI83" s="49">
        <f>+AI81-AH81</f>
        <v>-0.37000000000000011</v>
      </c>
      <c r="AJ83" s="49">
        <f>+AJ81-AI81</f>
        <v>0.125</v>
      </c>
      <c r="AK83" s="315"/>
      <c r="AL83" s="115"/>
      <c r="AM83" s="315">
        <f t="shared" ref="AM83" si="137">+AM82+AG82</f>
        <v>0.1100862728646399</v>
      </c>
      <c r="AN83" s="315">
        <f t="shared" ref="AN83" si="138">+AN82+AH82</f>
        <v>8.6581233640057209E-2</v>
      </c>
      <c r="AO83" s="315">
        <f t="shared" ref="AO83" si="139">+AO82+AI82</f>
        <v>1.5270810614322006E-2</v>
      </c>
      <c r="AP83" s="315">
        <f t="shared" ref="AP83" si="140">+AP82+AJ82</f>
        <v>-7.5652928821164811E-2</v>
      </c>
      <c r="AQ83" s="315">
        <f t="shared" ref="AQ83" si="141">+AQ82+AK82</f>
        <v>2.9190898605140903E-2</v>
      </c>
      <c r="AR83" s="115"/>
      <c r="AS83" s="315">
        <f t="shared" ref="AS83" si="142">+AS82+AM82</f>
        <v>-5.5489597121219925E-3</v>
      </c>
      <c r="AT83" s="315">
        <f t="shared" ref="AT83" si="143">+AT82+AN82</f>
        <v>-5.5968346467339836E-2</v>
      </c>
      <c r="AU83" s="315">
        <f t="shared" ref="AU83" si="144">+AU82+AO82</f>
        <v>1.1547054695444037E-2</v>
      </c>
      <c r="AV83" s="315">
        <f t="shared" ref="AV83" si="145">+AV82+AP82</f>
        <v>6.9605691538559E-3</v>
      </c>
      <c r="AW83" s="315">
        <f t="shared" ref="AW83" si="146">+AW82+AQ82</f>
        <v>-1.1398154258756898E-2</v>
      </c>
      <c r="AX83" s="115"/>
      <c r="AY83" s="315">
        <f t="shared" ref="AY83" si="147">+AY82+AS82</f>
        <v>-4.6313885505947505E-3</v>
      </c>
      <c r="AZ83" s="315">
        <f t="shared" ref="AZ83" si="148">+AZ82+AT82</f>
        <v>-1.3864945369047366E-2</v>
      </c>
      <c r="BA83" s="315">
        <f t="shared" ref="BA83" si="149">+BA82+AU82</f>
        <v>2.4406818636171557E-2</v>
      </c>
      <c r="BB83" s="315">
        <f t="shared" ref="BB83" si="150">+BB82+AV82</f>
        <v>2.379152834905085E-2</v>
      </c>
      <c r="BC83" s="315">
        <f t="shared" ref="BC83" si="151">+BC82+AW82</f>
        <v>7.2218844693549E-3</v>
      </c>
      <c r="BD83" s="115"/>
      <c r="BE83" s="315">
        <f t="shared" ref="BE83" si="152">+BE82+AY82</f>
        <v>1.0696237920920515</v>
      </c>
      <c r="BF83" s="315">
        <f t="shared" ref="BF83" si="153">+BF82+AZ82</f>
        <v>0.86721874243649455</v>
      </c>
      <c r="BG83" s="315">
        <f t="shared" ref="BG83" si="154">+BG82+BA82</f>
        <v>0.89581667071925808</v>
      </c>
      <c r="BH83" s="315">
        <f t="shared" ref="BH83" si="155">+BH82+BB82</f>
        <v>0.92273737947194556</v>
      </c>
      <c r="BI83" s="315">
        <f t="shared" ref="BI83" si="156">+BI82+BC82</f>
        <v>0.9384677886478181</v>
      </c>
      <c r="BJ83" s="115"/>
      <c r="BK83" s="315">
        <f t="shared" ref="BK83" si="157">+BK82+BE82</f>
        <v>0.87607817177247527</v>
      </c>
      <c r="BL83" s="315">
        <f t="shared" ref="BL83" si="158">+BL82+BF82</f>
        <v>1.1203488225170792</v>
      </c>
      <c r="BM83" s="315">
        <f t="shared" ref="BM83" si="159">+BM82+BG82</f>
        <v>1.18966003338728</v>
      </c>
      <c r="BN83" s="315">
        <f t="shared" ref="BN83" si="160">+BN82+BH82</f>
        <v>2.1303631329995234</v>
      </c>
      <c r="BO83" s="315">
        <f t="shared" ref="BO83" si="161">+BO82+BI82</f>
        <v>1.3217581195174968</v>
      </c>
      <c r="BP83" s="115"/>
      <c r="BQ83" s="315">
        <f>+BQ82+BK82</f>
        <v>0.13196355655684999</v>
      </c>
      <c r="BR83" s="315">
        <f>+BR82+BL82</f>
        <v>0.54212623762896461</v>
      </c>
      <c r="BS83" s="315">
        <f>+BS82+BM82</f>
        <v>0.56316976136054886</v>
      </c>
      <c r="BT83" s="315">
        <f>+BT82+BN82</f>
        <v>1.4039688599752627</v>
      </c>
      <c r="BU83" s="315">
        <f>+BU82+BO82</f>
        <v>0.63815130471608805</v>
      </c>
      <c r="BV83" s="115"/>
      <c r="BW83" s="315">
        <f>+BW82+BQ82</f>
        <v>0.6153623458375983</v>
      </c>
      <c r="BX83" s="315">
        <f>+BX82+BR82</f>
        <v>1.1289837032303045</v>
      </c>
      <c r="BY83" s="315">
        <f>+BY82+BS82</f>
        <v>1.0314372122897753</v>
      </c>
      <c r="BZ83" s="315">
        <f>+BZ82+BT82</f>
        <v>1.0763106910709415</v>
      </c>
      <c r="CA83" s="315">
        <f>+CA82+BU82</f>
        <v>1.000313395897944</v>
      </c>
      <c r="CB83" s="115"/>
      <c r="CC83" s="315">
        <f>+CC82+BW82</f>
        <v>0.64304065107078867</v>
      </c>
      <c r="CD83" s="315">
        <f>+CD82+BX82</f>
        <v>0.93541704590095764</v>
      </c>
      <c r="CE83" s="315">
        <f>+CE82+BY82</f>
        <v>0.88478365224684818</v>
      </c>
      <c r="CF83" s="315">
        <f>+CF82+BZ82</f>
        <v>0.92169581710169135</v>
      </c>
      <c r="CG83" s="315">
        <f>+CG82+CA82</f>
        <v>0.85822866892127525</v>
      </c>
    </row>
    <row r="84" spans="1:134" ht="12.75" customHeight="1" outlineLevel="1" x14ac:dyDescent="0.2">
      <c r="A84" s="230"/>
      <c r="B84" s="290" t="s">
        <v>398</v>
      </c>
      <c r="C84" s="315"/>
      <c r="D84" s="315"/>
      <c r="E84" s="315"/>
      <c r="F84" s="315"/>
      <c r="G84" s="315"/>
      <c r="H84" s="115"/>
      <c r="I84" s="49"/>
      <c r="J84" s="49"/>
      <c r="K84" s="49"/>
      <c r="L84" s="49"/>
      <c r="M84" s="315"/>
      <c r="N84" s="115"/>
      <c r="O84" s="49"/>
      <c r="P84" s="49"/>
      <c r="Q84" s="49"/>
      <c r="R84" s="49"/>
      <c r="S84" s="315"/>
      <c r="T84" s="115"/>
      <c r="U84" s="49"/>
      <c r="V84" s="49"/>
      <c r="W84" s="49"/>
      <c r="X84" s="49"/>
      <c r="Y84" s="315"/>
      <c r="Z84" s="115"/>
      <c r="AA84" s="49"/>
      <c r="AB84" s="49"/>
      <c r="AC84" s="49"/>
      <c r="AD84" s="49"/>
      <c r="AE84" s="315"/>
      <c r="AF84" s="115"/>
      <c r="AG84" s="49"/>
      <c r="AH84" s="49"/>
      <c r="AI84" s="49"/>
      <c r="AJ84" s="49"/>
      <c r="AK84" s="315"/>
      <c r="AL84" s="115"/>
      <c r="AM84" s="49">
        <f>AVERAGE(AG83,AA83,U83)</f>
        <v>0.3966666666666665</v>
      </c>
      <c r="AN84" s="49">
        <f>AVERAGE(AH83,AB83,V83)</f>
        <v>0.38833333333333336</v>
      </c>
      <c r="AO84" s="49">
        <f>AVERAGE(AI83,AC83,W83)</f>
        <v>-6.3333333333333311E-2</v>
      </c>
      <c r="AP84" s="49">
        <f>AVERAGE(AJ83,AD83,X83)</f>
        <v>0.14333333333333353</v>
      </c>
      <c r="AQ84" s="315"/>
      <c r="AR84" s="115"/>
      <c r="AS84" s="49">
        <f>AVERAGE(AM83,AG83,AA83)</f>
        <v>0.25669542428821318</v>
      </c>
      <c r="AT84" s="49">
        <f>AVERAGE(AN83,AH83,AB83)</f>
        <v>0.17719374454668582</v>
      </c>
      <c r="AU84" s="49">
        <f>AVERAGE(AO83,AI83,AC83)</f>
        <v>-3.3243063128559402E-2</v>
      </c>
      <c r="AV84" s="49">
        <f>AVERAGE(AP83,AJ83,AD83)</f>
        <v>0.16478235705961183</v>
      </c>
      <c r="AW84" s="315"/>
      <c r="AX84" s="115"/>
      <c r="AY84" s="49">
        <f>AVERAGE(AS83,AM83,AG83)</f>
        <v>-8.682089561582744E-2</v>
      </c>
      <c r="AZ84" s="49">
        <f>AVERAGE(AT83,AN83,AH83)</f>
        <v>0.10353762905757254</v>
      </c>
      <c r="BA84" s="49">
        <f>AVERAGE(AU83,AO83,AI83)</f>
        <v>-0.11439404489674469</v>
      </c>
      <c r="BB84" s="49">
        <f>AVERAGE(AV83,AP83,AJ83)</f>
        <v>1.8769213444230364E-2</v>
      </c>
      <c r="BC84" s="315"/>
      <c r="BD84" s="115"/>
      <c r="BE84" s="49">
        <f>AVERAGE(AY83,AS83,AM83)</f>
        <v>3.3301974867307717E-2</v>
      </c>
      <c r="BF84" s="49">
        <f>AVERAGE(AZ83,AT83,AN83)</f>
        <v>5.5826472678900023E-3</v>
      </c>
      <c r="BG84" s="49">
        <f>AVERAGE(BA83,AU83,AO83)</f>
        <v>1.7074894648645866E-2</v>
      </c>
      <c r="BH84" s="808">
        <f>AVERAGE(BB83,AV83,AP83)</f>
        <v>-1.4966943772752686E-2</v>
      </c>
      <c r="BI84" s="315"/>
      <c r="BJ84" s="115"/>
      <c r="BK84" s="49">
        <f>AVERAGE(BE83,AY83,AS83)</f>
        <v>0.35314781460977834</v>
      </c>
      <c r="BL84" s="49">
        <f>AVERAGE(BF83,AZ83,AT83)</f>
        <v>0.2657951502000358</v>
      </c>
      <c r="BM84" s="49">
        <f>AVERAGE(BG83,BA83,AU83)</f>
        <v>0.31059018135029121</v>
      </c>
      <c r="BN84" s="49">
        <f>AVERAGE(BH83,BB83,AV83)</f>
        <v>0.3178298256582841</v>
      </c>
      <c r="BO84" s="315"/>
      <c r="BP84" s="115"/>
      <c r="BQ84" s="49">
        <f>AVERAGE(BK83,BE83,AY83)</f>
        <v>0.647023525104644</v>
      </c>
      <c r="BR84" s="49">
        <f>AVERAGE(BL83,BF83,AZ83)</f>
        <v>0.65790087319484214</v>
      </c>
      <c r="BS84" s="49">
        <f>AVERAGE(BM83,BG83,BA83)</f>
        <v>0.70329450758090328</v>
      </c>
      <c r="BT84" s="49">
        <f>AVERAGE(BN83,BH83,BB83)</f>
        <v>1.0256306802735067</v>
      </c>
      <c r="BU84" s="315"/>
      <c r="BV84" s="115"/>
      <c r="BW84" s="49">
        <f>AVERAGE(BQ83,BK83,BE83)</f>
        <v>0.69255517347379225</v>
      </c>
      <c r="BX84" s="49">
        <f>AVERAGE(BR83,BL83,BF83)</f>
        <v>0.84323126752751276</v>
      </c>
      <c r="BY84" s="49">
        <f>AVERAGE(BS83,BM83,BG83)</f>
        <v>0.88288215515569568</v>
      </c>
      <c r="BZ84" s="49">
        <f>AVERAGE(BT83,BN83,BH83)</f>
        <v>1.4856897908155773</v>
      </c>
      <c r="CA84" s="315"/>
      <c r="CB84" s="115"/>
      <c r="CC84" s="49">
        <f>AVERAGE(BW83,BQ83,BK83)</f>
        <v>0.54113469138897452</v>
      </c>
      <c r="CD84" s="49">
        <f>AVERAGE(BX83,BR83,BL83)</f>
        <v>0.93048625445878275</v>
      </c>
      <c r="CE84" s="49">
        <f>AVERAGE(BY83,BS83,BM83)</f>
        <v>0.928089002345868</v>
      </c>
      <c r="CF84" s="49">
        <f>AVERAGE(BZ83,BT83,BN83)</f>
        <v>1.536880894681909</v>
      </c>
      <c r="CG84" s="315"/>
    </row>
    <row r="85" spans="1:134" ht="12.75" customHeight="1" outlineLevel="1" x14ac:dyDescent="0.2">
      <c r="A85" s="230"/>
      <c r="B85" s="477" t="s">
        <v>537</v>
      </c>
      <c r="C85" s="315"/>
      <c r="D85" s="315"/>
      <c r="E85" s="315"/>
      <c r="F85" s="315"/>
      <c r="G85" s="315"/>
      <c r="H85" s="115"/>
      <c r="I85" s="315"/>
      <c r="J85" s="315"/>
      <c r="K85" s="315"/>
      <c r="L85" s="315"/>
      <c r="M85" s="315"/>
      <c r="N85" s="115"/>
      <c r="O85" s="315">
        <f t="shared" ref="O85:AE85" si="162">O81/O$86</f>
        <v>1.8178186176588097E-2</v>
      </c>
      <c r="P85" s="315">
        <f t="shared" si="162"/>
        <v>2.3111027261579098E-2</v>
      </c>
      <c r="Q85" s="315">
        <f t="shared" si="162"/>
        <v>2.7160930726355833E-2</v>
      </c>
      <c r="R85" s="315">
        <f t="shared" si="162"/>
        <v>4.5365214543072387E-2</v>
      </c>
      <c r="S85" s="315">
        <f t="shared" si="162"/>
        <v>2.9187817258883246E-2</v>
      </c>
      <c r="T85" s="115"/>
      <c r="U85" s="315">
        <f t="shared" si="162"/>
        <v>5.1878635434680076E-2</v>
      </c>
      <c r="V85" s="315">
        <f t="shared" si="162"/>
        <v>5.956879306512558E-2</v>
      </c>
      <c r="W85" s="315">
        <f t="shared" si="162"/>
        <v>5.9556159420289856E-2</v>
      </c>
      <c r="X85" s="315">
        <f t="shared" si="162"/>
        <v>5.9930697747676807E-2</v>
      </c>
      <c r="Y85" s="315">
        <f t="shared" si="162"/>
        <v>5.7778203776478465E-2</v>
      </c>
      <c r="Z85" s="115"/>
      <c r="AA85" s="315">
        <f t="shared" si="162"/>
        <v>6.7675493905002104E-2</v>
      </c>
      <c r="AB85" s="315">
        <f t="shared" si="162"/>
        <v>6.5706393054459342E-2</v>
      </c>
      <c r="AC85" s="315">
        <f t="shared" si="162"/>
        <v>6.6154233870967749E-2</v>
      </c>
      <c r="AD85" s="315">
        <f t="shared" si="162"/>
        <v>6.8955079307422201E-2</v>
      </c>
      <c r="AE85" s="315">
        <f t="shared" si="162"/>
        <v>6.7142949505398591E-2</v>
      </c>
      <c r="AF85" s="115"/>
      <c r="AG85" s="315">
        <f>AG81/AG$86</f>
        <v>6.2510995132821198E-2</v>
      </c>
      <c r="AH85" s="315">
        <f>AH81/AH$86</f>
        <v>5.8879093198992448E-2</v>
      </c>
      <c r="AI85" s="315">
        <f>AI81/AI$86</f>
        <v>5.6639463870723668E-2</v>
      </c>
      <c r="AJ85" s="315">
        <f>AJ81/AJ$86</f>
        <v>5.9294871794871792E-2</v>
      </c>
      <c r="AK85" s="315">
        <f>AK81/AK$86</f>
        <v>5.9264455080596357E-2</v>
      </c>
      <c r="AL85" s="115"/>
      <c r="AM85" s="315">
        <f>AM81/AM$86</f>
        <v>5.4672373382248042E-2</v>
      </c>
      <c r="AN85" s="315">
        <f>AN81/AN$86</f>
        <v>5.0925707824939936E-2</v>
      </c>
      <c r="AO85" s="315">
        <f>AO81/AO$86</f>
        <v>4.9859681945743688E-2</v>
      </c>
      <c r="AP85" s="315">
        <f>AP81/AP$86</f>
        <v>4.7421938270494013E-2</v>
      </c>
      <c r="AQ85" s="315">
        <f>AQ81/AQ$86</f>
        <v>5.0604435288127969E-2</v>
      </c>
      <c r="AR85" s="115"/>
      <c r="AS85" s="315">
        <f>AS81/AS$86</f>
        <v>4.7237910259022388E-2</v>
      </c>
      <c r="AT85" s="315">
        <f>AT81/AT$86</f>
        <v>4.4346894292860109E-2</v>
      </c>
      <c r="AU85" s="315">
        <f>AU81/AU$86</f>
        <v>4.4308824144129073E-2</v>
      </c>
      <c r="AV85" s="315">
        <f>AV81/AV$86</f>
        <v>4.2612849478631788E-2</v>
      </c>
      <c r="AW85" s="315">
        <f>AW81/AW$86</f>
        <v>4.4556225485251025E-2</v>
      </c>
      <c r="AX85" s="115"/>
      <c r="AY85" s="315">
        <f>AY81/AY$86</f>
        <v>4.0829378567305917E-2</v>
      </c>
      <c r="AZ85" s="315">
        <f>AZ81/AZ$86</f>
        <v>3.6882186931215921E-2</v>
      </c>
      <c r="BA85" s="315">
        <f>BA81/BA$86</f>
        <v>3.701143920838644E-2</v>
      </c>
      <c r="BB85" s="315">
        <f>BB81/BB$86</f>
        <v>3.3636152019081551E-2</v>
      </c>
      <c r="BC85" s="315">
        <f>BC81/BC$86</f>
        <v>3.690724205675245E-2</v>
      </c>
      <c r="BD85" s="115"/>
      <c r="BE85" s="315">
        <f>BE81/BE$86</f>
        <v>6.7287286991871281E-2</v>
      </c>
      <c r="BF85" s="315">
        <f>BF81/BF$86</f>
        <v>5.6056145955594598E-2</v>
      </c>
      <c r="BG85" s="315">
        <f>BG81/BG$86</f>
        <v>5.7287118859899525E-2</v>
      </c>
      <c r="BH85" s="810">
        <f>BH81/BH$86</f>
        <v>5.4608843856077095E-2</v>
      </c>
      <c r="BI85" s="315">
        <f>BI81/BI$86</f>
        <v>5.857095280297981E-2</v>
      </c>
      <c r="BJ85" s="115"/>
      <c r="BK85" s="315">
        <f>BK81/BK$86</f>
        <v>4.3083230339635299E-2</v>
      </c>
      <c r="BL85" s="315">
        <f>BL81/BL$86</f>
        <v>5.3854443650709356E-2</v>
      </c>
      <c r="BM85" s="315">
        <f>BM81/BM$86</f>
        <v>5.7122253272106856E-2</v>
      </c>
      <c r="BN85" s="315">
        <f>BN81/BN$86</f>
        <v>8.9803361304069823E-2</v>
      </c>
      <c r="BO85" s="315">
        <f>BO81/BO$86</f>
        <v>6.2123727867179152E-2</v>
      </c>
      <c r="BP85" s="115"/>
      <c r="BQ85" s="315">
        <f>BQ81/BQ$86</f>
        <v>4.3391381580691779E-2</v>
      </c>
      <c r="BR85" s="315">
        <f>BR81/BR$86</f>
        <v>5.3231609365212325E-2</v>
      </c>
      <c r="BS85" s="315">
        <f>BS81/BS$86</f>
        <v>5.4210844419713758E-2</v>
      </c>
      <c r="BT85" s="315">
        <f>BT81/BT$86</f>
        <v>8.2696021753060012E-2</v>
      </c>
      <c r="BU85" s="315">
        <f>BU81/BU$86</f>
        <v>5.9325148430476073E-2</v>
      </c>
      <c r="BV85" s="115"/>
      <c r="BW85" s="315">
        <f>BW81/BW$86</f>
        <v>4.4819495290522093E-2</v>
      </c>
      <c r="BX85" s="315">
        <f>BX81/BX$86</f>
        <v>7.6226528486496678E-2</v>
      </c>
      <c r="BY85" s="315">
        <f>BY81/BY$86</f>
        <v>7.6200021987948022E-2</v>
      </c>
      <c r="BZ85" s="315">
        <f>BZ81/BZ$86</f>
        <v>0.11966728209772115</v>
      </c>
      <c r="CA85" s="315">
        <f>CA81/CA$86</f>
        <v>8.1346570606672469E-2</v>
      </c>
      <c r="CB85" s="115"/>
      <c r="CC85" s="315">
        <f>CC81/CC$86</f>
        <v>4.9540166831897013E-2</v>
      </c>
      <c r="CD85" s="315">
        <f>CD81/CD$86</f>
        <v>6.928488265877808E-2</v>
      </c>
      <c r="CE85" s="315">
        <f>CE81/CE$86</f>
        <v>6.9486951072857309E-2</v>
      </c>
      <c r="CF85" s="315">
        <f>CF81/CF$86</f>
        <v>0.10440941850582422</v>
      </c>
      <c r="CG85" s="315">
        <f>CG81/CG$86</f>
        <v>7.4612768274246496E-2</v>
      </c>
    </row>
    <row r="86" spans="1:134" ht="12.75" customHeight="1" outlineLevel="1" x14ac:dyDescent="0.2">
      <c r="A86" s="230"/>
      <c r="B86" s="40" t="s">
        <v>362</v>
      </c>
      <c r="C86" s="48">
        <f>+SUM(C66:C81)</f>
        <v>45</v>
      </c>
      <c r="D86" s="48">
        <f>+SUM(D66:D81)</f>
        <v>55</v>
      </c>
      <c r="E86" s="48">
        <f>+SUM(E66:E81)</f>
        <v>52.05</v>
      </c>
      <c r="F86" s="48">
        <f>+SUM(F66:F81)</f>
        <v>50.830000000000005</v>
      </c>
      <c r="G86" s="48">
        <f>+SUM(G66:G81)</f>
        <v>202.88000000000002</v>
      </c>
      <c r="H86" s="409"/>
      <c r="I86" s="48">
        <f>+I71+I66</f>
        <v>51.769999999999996</v>
      </c>
      <c r="J86" s="48">
        <f>+J71+J66</f>
        <v>54.86999999999999</v>
      </c>
      <c r="K86" s="48">
        <f>+K71+K66</f>
        <v>52.8</v>
      </c>
      <c r="L86" s="48">
        <f>+L71+L66</f>
        <v>52.64</v>
      </c>
      <c r="M86" s="48">
        <f t="shared" ref="M86:AE86" si="163">+M81+M76+M71+M66</f>
        <v>212.07999999999998</v>
      </c>
      <c r="N86" s="409"/>
      <c r="O86" s="48">
        <f t="shared" si="163"/>
        <v>50.059999999999995</v>
      </c>
      <c r="P86" s="48">
        <f t="shared" si="163"/>
        <v>53.005000000000003</v>
      </c>
      <c r="Q86" s="48">
        <f t="shared" si="163"/>
        <v>56.515000000000001</v>
      </c>
      <c r="R86" s="48">
        <f t="shared" si="163"/>
        <v>61.06</v>
      </c>
      <c r="S86" s="48">
        <f t="shared" si="163"/>
        <v>220.64000000000001</v>
      </c>
      <c r="T86" s="409"/>
      <c r="U86" s="48">
        <f t="shared" si="163"/>
        <v>63.61</v>
      </c>
      <c r="V86" s="48">
        <f t="shared" si="163"/>
        <v>67.484999999999999</v>
      </c>
      <c r="W86" s="48">
        <f t="shared" si="163"/>
        <v>66.239999999999995</v>
      </c>
      <c r="X86" s="48">
        <f t="shared" si="163"/>
        <v>63.489999999999995</v>
      </c>
      <c r="Y86" s="48">
        <f t="shared" si="163"/>
        <v>260.82500000000005</v>
      </c>
      <c r="Z86" s="409"/>
      <c r="AA86" s="48">
        <f t="shared" si="163"/>
        <v>71.37</v>
      </c>
      <c r="AB86" s="48">
        <f t="shared" si="163"/>
        <v>76.02000000000001</v>
      </c>
      <c r="AC86" s="48">
        <f t="shared" si="163"/>
        <v>79.36</v>
      </c>
      <c r="AD86" s="48">
        <f t="shared" si="163"/>
        <v>82.59</v>
      </c>
      <c r="AE86" s="48">
        <f t="shared" si="163"/>
        <v>309.33999999999997</v>
      </c>
      <c r="AF86" s="409"/>
      <c r="AG86" s="48">
        <f>+AG81+AG76+AG71+AG66</f>
        <v>85.265000000000001</v>
      </c>
      <c r="AH86" s="48">
        <f>+AH81+AH76+AH71+AH66</f>
        <v>95.28</v>
      </c>
      <c r="AI86" s="48">
        <f>+AI81+AI76+AI71+AI66</f>
        <v>92.515000000000001</v>
      </c>
      <c r="AJ86" s="48">
        <f>+AJ81+AJ76+AJ71+AJ66</f>
        <v>90.48</v>
      </c>
      <c r="AK86" s="48">
        <f>+AK81+AK76+AK71+AK66</f>
        <v>363.54</v>
      </c>
      <c r="AL86" s="409"/>
      <c r="AM86" s="48">
        <f>+AM81+AM76+AM71+AM66</f>
        <v>98.13</v>
      </c>
      <c r="AN86" s="48">
        <f>+AN81+AN76+AN71+AN66</f>
        <v>106.13500000000001</v>
      </c>
      <c r="AO86" s="48">
        <f>+AO81+AO76+AO71+AO66</f>
        <v>106.89999999999999</v>
      </c>
      <c r="AP86" s="48">
        <f>+AP81+AP76+AP71+AP66</f>
        <v>111.13</v>
      </c>
      <c r="AQ86" s="48">
        <f>+AQ81+AQ76+AQ71+AQ66</f>
        <v>422.29500000000002</v>
      </c>
      <c r="AR86" s="409"/>
      <c r="AS86" s="48">
        <f>+AS81+AS76+AS71+AS66</f>
        <v>112.19802000000001</v>
      </c>
      <c r="AT86" s="48">
        <f>+AT81+AT76+AT71+AT66</f>
        <v>119.512315</v>
      </c>
      <c r="AU86" s="48">
        <f>+AU81+AU76+AU71+AU66</f>
        <v>119.61500000000001</v>
      </c>
      <c r="AV86" s="48">
        <f>+AV81+AV76+AV71+AV66</f>
        <v>126.72234</v>
      </c>
      <c r="AW86" s="48">
        <f>+AW81+AW76+AW71+AW66</f>
        <v>478.04767499999997</v>
      </c>
      <c r="AX86" s="409"/>
      <c r="AY86" s="48">
        <f>+AY22</f>
        <v>130.77999999999997</v>
      </c>
      <c r="AZ86" s="48">
        <f>+AZ22</f>
        <v>144.5</v>
      </c>
      <c r="BA86" s="48">
        <f>+BA22</f>
        <v>147.5</v>
      </c>
      <c r="BB86" s="811">
        <f>+BB22</f>
        <v>160.40085140846764</v>
      </c>
      <c r="BC86" s="48">
        <f>+BC81+BC76+BC71+BC66</f>
        <v>583.18085140846756</v>
      </c>
      <c r="BD86" s="409"/>
      <c r="BE86" s="48">
        <f>+BE22</f>
        <v>163.64364737292016</v>
      </c>
      <c r="BF86" s="48">
        <f>+BF22</f>
        <v>176.99500000000006</v>
      </c>
      <c r="BG86" s="48">
        <f>+BG22</f>
        <v>177.79999999999998</v>
      </c>
      <c r="BH86" s="811">
        <f>+BH22</f>
        <v>190.05</v>
      </c>
      <c r="BI86" s="48">
        <f>+BI22</f>
        <v>708.48864737292024</v>
      </c>
      <c r="BJ86" s="409"/>
      <c r="BK86" s="48">
        <f>+BK22</f>
        <v>208.02500000000001</v>
      </c>
      <c r="BL86" s="48">
        <f>+BL22</f>
        <v>231.89</v>
      </c>
      <c r="BM86" s="48">
        <f>+BM22</f>
        <v>236.065</v>
      </c>
      <c r="BN86" s="48">
        <f>+BN22</f>
        <v>255.03</v>
      </c>
      <c r="BO86" s="48">
        <f>+BO22</f>
        <v>931.00999999999988</v>
      </c>
      <c r="BP86" s="409"/>
      <c r="BQ86" s="48">
        <f>+BQ22</f>
        <v>272.23500000000001</v>
      </c>
      <c r="BR86" s="48">
        <f>+BR22</f>
        <v>301.09789999999998</v>
      </c>
      <c r="BS86" s="48">
        <f>+BS22</f>
        <v>308.26490000000001</v>
      </c>
      <c r="BT86" s="48">
        <f>+BT22</f>
        <v>331.56832190045009</v>
      </c>
      <c r="BU86" s="48">
        <f>+BU22</f>
        <v>1213.1661219004502</v>
      </c>
      <c r="BV86" s="409"/>
      <c r="BW86" s="48">
        <f>+BW22</f>
        <v>341.92699999999996</v>
      </c>
      <c r="BX86" s="48">
        <f>+BX22</f>
        <v>388.05811999999997</v>
      </c>
      <c r="BY86" s="48">
        <f>+BY22</f>
        <v>393.03260200000005</v>
      </c>
      <c r="BZ86" s="48">
        <f>+BZ22</f>
        <v>430.55642638295996</v>
      </c>
      <c r="CA86" s="48">
        <f>+CA22</f>
        <v>1553.5741483829599</v>
      </c>
      <c r="CB86" s="409"/>
      <c r="CC86" s="48">
        <f>+CC22</f>
        <v>416.28638999999998</v>
      </c>
      <c r="CD86" s="48">
        <f>+CD22</f>
        <v>465.30565200000001</v>
      </c>
      <c r="CE86" s="48">
        <f>+CE22</f>
        <v>470.93017566000009</v>
      </c>
      <c r="CF86" s="48">
        <f>+CF22</f>
        <v>514.50011690360839</v>
      </c>
      <c r="CG86" s="48">
        <f>+CG22</f>
        <v>1867.0223345636084</v>
      </c>
      <c r="DP86" s="475"/>
      <c r="DQ86" s="475"/>
      <c r="DR86" s="475"/>
      <c r="DS86" s="475"/>
      <c r="DT86" s="475"/>
      <c r="DU86" s="475"/>
      <c r="DV86" s="475"/>
      <c r="DW86" s="475"/>
      <c r="DX86" s="475"/>
      <c r="DY86" s="475"/>
      <c r="DZ86" s="475"/>
      <c r="EA86" s="475"/>
      <c r="EB86" s="475"/>
      <c r="EC86" s="475"/>
      <c r="ED86" s="475"/>
    </row>
    <row r="87" spans="1:134" ht="12.75" customHeight="1" outlineLevel="1" x14ac:dyDescent="0.2">
      <c r="A87" s="230"/>
      <c r="B87" s="290" t="s">
        <v>299</v>
      </c>
      <c r="C87" s="315"/>
      <c r="D87" s="315"/>
      <c r="E87" s="315"/>
      <c r="F87" s="315"/>
      <c r="G87" s="315"/>
      <c r="H87" s="115"/>
      <c r="I87" s="315">
        <f>IF(ISERROR(I86/C86-1),"NM",I86/C86-1)</f>
        <v>0.15044444444444438</v>
      </c>
      <c r="J87" s="315">
        <f>IF(ISERROR(J86/D86-1),"NM",J86/D86-1)</f>
        <v>-2.3636363636365676E-3</v>
      </c>
      <c r="K87" s="315">
        <f>IF(ISERROR(K86/E86-1),"NM",K86/E86-1)</f>
        <v>1.4409221902017322E-2</v>
      </c>
      <c r="L87" s="315">
        <f>IF(ISERROR(L86/F86-1),"NM",L86/F86-1)</f>
        <v>3.5608892386385982E-2</v>
      </c>
      <c r="M87" s="315">
        <f>IF(ISERROR(M86/G86-1),"NM",M86/G86-1)</f>
        <v>4.5347003154573962E-2</v>
      </c>
      <c r="N87" s="115"/>
      <c r="O87" s="315">
        <f>IF(ISERROR(O86/I86-1),"NM",O86/I86-1)</f>
        <v>-3.3030712768012394E-2</v>
      </c>
      <c r="P87" s="315">
        <f>IF(ISERROR(P86/J86-1),"NM",P86/J86-1)</f>
        <v>-3.3989429560779771E-2</v>
      </c>
      <c r="Q87" s="315">
        <f>IF(ISERROR(Q86/K86-1),"NM",Q86/K86-1)</f>
        <v>7.0359848484848664E-2</v>
      </c>
      <c r="R87" s="315">
        <f>IF(ISERROR(R86/L86-1),"NM",R86/L86-1)</f>
        <v>0.1599544072948329</v>
      </c>
      <c r="S87" s="315">
        <f>IF(ISERROR(S86/M86-1),"NM",S86/M86-1)</f>
        <v>4.0362127499057099E-2</v>
      </c>
      <c r="T87" s="115"/>
      <c r="U87" s="315">
        <f>IF(ISERROR(U86/O86-1),"NM",U86/O86-1)</f>
        <v>0.27067518977227345</v>
      </c>
      <c r="V87" s="315">
        <f>IF(ISERROR(V86/P86-1),"NM",V86/P86-1)</f>
        <v>0.2731817753042165</v>
      </c>
      <c r="W87" s="315">
        <f>IF(ISERROR(W86/Q86-1),"NM",W86/Q86-1)</f>
        <v>0.17207820932495776</v>
      </c>
      <c r="X87" s="315">
        <f>IF(ISERROR(X86/R86-1),"NM",X86/R86-1)</f>
        <v>3.9796921061251211E-2</v>
      </c>
      <c r="Y87" s="315">
        <f>IF(ISERROR(Y86/S86-1),"NM",Y86/S86-1)</f>
        <v>0.18212926033357513</v>
      </c>
      <c r="Z87" s="115"/>
      <c r="AA87" s="315">
        <f>IF(ISERROR(AA86/U86-1),"NM",AA86/U86-1)</f>
        <v>0.12199339726458103</v>
      </c>
      <c r="AB87" s="315">
        <f>IF(ISERROR(AB86/V86-1),"NM",AB86/V86-1)</f>
        <v>0.12647254945543462</v>
      </c>
      <c r="AC87" s="315">
        <f>IF(ISERROR(AC86/W86-1),"NM",AC86/W86-1)</f>
        <v>0.19806763285024154</v>
      </c>
      <c r="AD87" s="315">
        <f>IF(ISERROR(AD86/X86-1),"NM",AD86/X86-1)</f>
        <v>0.30083477713025686</v>
      </c>
      <c r="AE87" s="315">
        <f>IF(ISERROR(AE86/Y86-1),"NM",AE86/Y86-1)</f>
        <v>0.18600594268187454</v>
      </c>
      <c r="AF87" s="115"/>
      <c r="AG87" s="315">
        <f>IF(ISERROR(AG86/AA86-1),"NM",AG86/AA86-1)</f>
        <v>0.19468964550931767</v>
      </c>
      <c r="AH87" s="315">
        <f>IF(ISERROR(AH86/AB86-1),"NM",AH86/AB86-1)</f>
        <v>0.25335438042620351</v>
      </c>
      <c r="AI87" s="315">
        <f>IF(ISERROR(AI86/AC86-1),"NM",AI86/AC86-1)</f>
        <v>0.16576360887096775</v>
      </c>
      <c r="AJ87" s="315">
        <f>IF(ISERROR(AJ86/AD86-1),"NM",AJ86/AD86-1)</f>
        <v>9.5532146749001123E-2</v>
      </c>
      <c r="AK87" s="315">
        <f>IF(ISERROR(AK86/AE86-1),"NM",AK86/AE86-1)</f>
        <v>0.17521174112626903</v>
      </c>
      <c r="AL87" s="115"/>
      <c r="AM87" s="315">
        <f>IF(ISERROR(AM86/AG86-1),"NM",AM86/AG86-1)</f>
        <v>0.15088254266111534</v>
      </c>
      <c r="AN87" s="315">
        <f>IF(ISERROR(AN86/AH86-1),"NM",AN86/AH86-1)</f>
        <v>0.11392737195633917</v>
      </c>
      <c r="AO87" s="315">
        <f>IF(ISERROR(AO86/AI86-1),"NM",AO86/AI86-1)</f>
        <v>0.15548829919472507</v>
      </c>
      <c r="AP87" s="315">
        <f>IF(ISERROR(AP86/AJ86-1),"NM",AP86/AJ86-1)</f>
        <v>0.22822723253757715</v>
      </c>
      <c r="AQ87" s="315">
        <f>IF(ISERROR(AQ86/AK86-1),"NM",AQ86/AK86-1)</f>
        <v>0.16161907905594974</v>
      </c>
      <c r="AR87" s="115"/>
      <c r="AS87" s="315">
        <f>IF(ISERROR(AS86/AM86-1),"NM",AS86/AM86-1)</f>
        <v>0.14336105166615742</v>
      </c>
      <c r="AT87" s="315">
        <f>IF(ISERROR(AT86/AN86-1),"NM",AT86/AN86-1)</f>
        <v>0.12604056154897059</v>
      </c>
      <c r="AU87" s="315">
        <f>IF(ISERROR(AU86/AO86-1),"NM",AU86/AO86-1)</f>
        <v>0.1189429373246027</v>
      </c>
      <c r="AV87" s="315">
        <f>IF(ISERROR(AV86/AP86-1),"NM",AV86/AP86-1)</f>
        <v>0.14030720777467831</v>
      </c>
      <c r="AW87" s="315">
        <f>IF(ISERROR(AW86/AQ86-1),"NM",AW86/AQ86-1)</f>
        <v>0.13202305260540603</v>
      </c>
      <c r="AX87" s="115"/>
      <c r="AY87" s="315">
        <f>IF(ISERROR(AY86/AS86-1),"NM",AY86/AS86-1)</f>
        <v>0.16561771767451838</v>
      </c>
      <c r="AZ87" s="315">
        <f>IF(ISERROR(AZ86/AT86-1),"NM",AZ86/AT86-1)</f>
        <v>0.20908041987137471</v>
      </c>
      <c r="BA87" s="315">
        <f>IF(ISERROR(BA86/AU86-1),"NM",BA86/AU86-1)</f>
        <v>0.23312293608661117</v>
      </c>
      <c r="BB87" s="315">
        <f>IF(ISERROR(BB86/AV86-1),"NM",BB86/AV86-1)</f>
        <v>0.26576617357655841</v>
      </c>
      <c r="BC87" s="315">
        <f>IF(ISERROR(BC86/AW86-1),"NM",BC86/AW86-1)</f>
        <v>0.21992194901579132</v>
      </c>
      <c r="BD87" s="115"/>
      <c r="BE87" s="315">
        <f>IF(ISERROR(BE86/AY86-1),"NM",BE86/AY86-1)</f>
        <v>0.251289550182904</v>
      </c>
      <c r="BF87" s="315">
        <f>IF(ISERROR(BF86/AZ86-1),"NM",BF86/AZ86-1)</f>
        <v>0.22487889273356454</v>
      </c>
      <c r="BG87" s="315">
        <f>IF(ISERROR(BG86/BA86-1),"NM",BG86/BA86-1)</f>
        <v>0.20542372881355919</v>
      </c>
      <c r="BH87" s="810">
        <f>IF(ISERROR(BH86/BB86-1),"NM",BH86/BB86-1)</f>
        <v>0.18484408487352444</v>
      </c>
      <c r="BI87" s="315">
        <f>IF(ISERROR(BI86/BC86-1),"NM",BI86/BC86-1)</f>
        <v>0.21486953088705829</v>
      </c>
      <c r="BJ87" s="115"/>
      <c r="BK87" s="315">
        <f>IF(ISERROR(BK86/BE86-1),"NM",BK86/BE86-1)</f>
        <v>0.27120730526093184</v>
      </c>
      <c r="BL87" s="315">
        <f>IF(ISERROR(BL86/BF86-1),"NM",BL86/BF86-1)</f>
        <v>0.31015000423740724</v>
      </c>
      <c r="BM87" s="315">
        <f>IF(ISERROR(BM86/BG86-1),"NM",BM86/BG86-1)</f>
        <v>0.32769966254218241</v>
      </c>
      <c r="BN87" s="315">
        <f>IF(ISERROR(BN86/BH86-1),"NM",BN86/BH86-1)</f>
        <v>0.34191002367797951</v>
      </c>
      <c r="BO87" s="315">
        <f>IF(ISERROR(BO86/BI86-1),"NM",BO86/BI86-1)</f>
        <v>0.31407892483837263</v>
      </c>
      <c r="BP87" s="115"/>
      <c r="BQ87" s="315">
        <f>IF(ISERROR(BQ86/BK86-1),"NM",BQ86/BK86-1)</f>
        <v>0.30866482393943029</v>
      </c>
      <c r="BR87" s="315">
        <f>IF(ISERROR(BR86/BL86-1),"NM",BR86/BL86-1)</f>
        <v>0.29845142093233856</v>
      </c>
      <c r="BS87" s="315">
        <f>IF(ISERROR(BS86/BM86-1),"NM",BS86/BM86-1)</f>
        <v>0.30584754199055353</v>
      </c>
      <c r="BT87" s="315">
        <f>IF(ISERROR(BT86/BN86-1),"NM",BT86/BN86-1)</f>
        <v>0.30011497431851186</v>
      </c>
      <c r="BU87" s="315">
        <f>IF(ISERROR(BU86/BO86-1),"NM",BU86/BO86-1)</f>
        <v>0.30306454484962608</v>
      </c>
      <c r="BV87" s="115"/>
      <c r="BW87" s="315">
        <f>IF(ISERROR(BW86/BQ86-1),"NM",BW86/BQ86-1)</f>
        <v>0.25599941227248491</v>
      </c>
      <c r="BX87" s="315">
        <f>IF(ISERROR(BX86/BR86-1),"NM",BX86/BR86-1)</f>
        <v>0.28881045002306549</v>
      </c>
      <c r="BY87" s="315">
        <f>IF(ISERROR(BY86/BS86-1),"NM",BY86/BS86-1)</f>
        <v>0.27498330818721195</v>
      </c>
      <c r="BZ87" s="315">
        <f>IF(ISERROR(BZ86/BT86-1),"NM",BZ86/BT86-1)</f>
        <v>0.29854512009814371</v>
      </c>
      <c r="CA87" s="315">
        <f>IF(ISERROR(CA86/BU86-1),"NM",CA86/BU86-1)</f>
        <v>0.28059473499742427</v>
      </c>
      <c r="CB87" s="115"/>
      <c r="CC87" s="315">
        <f>IF(ISERROR(CC86/BW86-1),"NM",CC86/BW86-1)</f>
        <v>0.21747153632208049</v>
      </c>
      <c r="CD87" s="315">
        <f>IF(ISERROR(CD86/BX86-1),"NM",CD86/BX86-1)</f>
        <v>0.19906175909938439</v>
      </c>
      <c r="CE87" s="315">
        <f>IF(ISERROR(CE86/BY86-1),"NM",CE86/BY86-1)</f>
        <v>0.19819621391102826</v>
      </c>
      <c r="CF87" s="315">
        <f>IF(ISERROR(CF86/BZ86-1),"NM",CF86/BZ86-1)</f>
        <v>0.19496559655571</v>
      </c>
      <c r="CG87" s="315">
        <f>IF(ISERROR(CG86/CA86-1),"NM",CG86/CA86-1)</f>
        <v>0.20175939880751836</v>
      </c>
      <c r="DP87" s="495"/>
      <c r="DQ87" s="495"/>
      <c r="DR87" s="495"/>
      <c r="DS87" s="495"/>
      <c r="DT87" s="495"/>
      <c r="DU87" s="495"/>
      <c r="DV87" s="495"/>
      <c r="DW87" s="495"/>
      <c r="DX87" s="495"/>
      <c r="DY87" s="495"/>
      <c r="DZ87" s="495"/>
      <c r="EA87" s="495"/>
      <c r="EB87" s="495"/>
      <c r="EC87" s="495"/>
      <c r="ED87" s="495"/>
    </row>
    <row r="88" spans="1:134" ht="12.75" customHeight="1" outlineLevel="1" x14ac:dyDescent="0.2">
      <c r="A88" s="230"/>
      <c r="B88" s="290" t="s">
        <v>71</v>
      </c>
      <c r="C88" s="315"/>
      <c r="D88" s="315"/>
      <c r="E88" s="315"/>
      <c r="F88" s="315"/>
      <c r="G88" s="315"/>
      <c r="H88" s="115"/>
      <c r="I88" s="315"/>
      <c r="J88" s="315"/>
      <c r="K88" s="315"/>
      <c r="L88" s="315"/>
      <c r="M88" s="315"/>
      <c r="N88" s="115"/>
      <c r="O88" s="315"/>
      <c r="P88" s="315"/>
      <c r="Q88" s="315"/>
      <c r="R88" s="315"/>
      <c r="S88" s="315">
        <f>+S87+M87</f>
        <v>8.570913065363106E-2</v>
      </c>
      <c r="T88" s="115"/>
      <c r="U88" s="315"/>
      <c r="V88" s="315"/>
      <c r="W88" s="315"/>
      <c r="X88" s="315"/>
      <c r="Y88" s="315">
        <f>+Y87+S87</f>
        <v>0.22249138783263223</v>
      </c>
      <c r="Z88" s="115"/>
      <c r="AA88" s="315">
        <f>+AA87+U87</f>
        <v>0.39266858703685448</v>
      </c>
      <c r="AB88" s="315">
        <f>+AB87+V87</f>
        <v>0.39965432475965113</v>
      </c>
      <c r="AC88" s="315">
        <f>+AC87+W87</f>
        <v>0.3701458421751993</v>
      </c>
      <c r="AD88" s="315">
        <f>+AD87+X87</f>
        <v>0.34063169819150807</v>
      </c>
      <c r="AE88" s="315">
        <f>+AE87+Y87</f>
        <v>0.36813520301544966</v>
      </c>
      <c r="AF88" s="115"/>
      <c r="AG88" s="315">
        <f>+AG87+AA87</f>
        <v>0.31668304277389869</v>
      </c>
      <c r="AH88" s="315">
        <f>+AH87+AB87</f>
        <v>0.37982692988163813</v>
      </c>
      <c r="AI88" s="315">
        <f>+AI87+AC87</f>
        <v>0.36383124172120929</v>
      </c>
      <c r="AJ88" s="315">
        <f>+AJ87+AD87</f>
        <v>0.39636692387925798</v>
      </c>
      <c r="AK88" s="315">
        <f>+AK87+AE87</f>
        <v>0.36121768380814356</v>
      </c>
      <c r="AL88" s="115"/>
      <c r="AM88" s="315">
        <f>+AM87+AG87</f>
        <v>0.345572188170433</v>
      </c>
      <c r="AN88" s="315">
        <f>+AN87+AH87</f>
        <v>0.36728175238254268</v>
      </c>
      <c r="AO88" s="315">
        <f>+AO87+AI87</f>
        <v>0.32125190806569281</v>
      </c>
      <c r="AP88" s="315">
        <f>+AP87+AJ87</f>
        <v>0.32375937928657827</v>
      </c>
      <c r="AQ88" s="315">
        <f>+AQ87+AK87</f>
        <v>0.33683082018221877</v>
      </c>
      <c r="AR88" s="115"/>
      <c r="AS88" s="315">
        <f>+AS87+AM87</f>
        <v>0.29424359432727276</v>
      </c>
      <c r="AT88" s="315">
        <f>+AT87+AN87</f>
        <v>0.23996793350530976</v>
      </c>
      <c r="AU88" s="315">
        <f>+AU87+AO87</f>
        <v>0.27443123651932777</v>
      </c>
      <c r="AV88" s="315">
        <f>+AV87+AP87</f>
        <v>0.36853444031225546</v>
      </c>
      <c r="AW88" s="315">
        <f>+AW87+AQ87</f>
        <v>0.29364213166135578</v>
      </c>
      <c r="AX88" s="115"/>
      <c r="AY88" s="315">
        <f>+AY87+AS87</f>
        <v>0.30897876934067581</v>
      </c>
      <c r="AZ88" s="315">
        <f>+AZ87+AT87</f>
        <v>0.3351209814203453</v>
      </c>
      <c r="BA88" s="315">
        <f>+BA87+AU87</f>
        <v>0.35206587341121387</v>
      </c>
      <c r="BB88" s="315">
        <f>+BB87+AV87</f>
        <v>0.40607338135123672</v>
      </c>
      <c r="BC88" s="315">
        <f>+BC87+AW87</f>
        <v>0.35194500162119735</v>
      </c>
      <c r="BD88" s="115"/>
      <c r="BE88" s="315">
        <f>+BE87+AY87</f>
        <v>0.41690726785742238</v>
      </c>
      <c r="BF88" s="315">
        <f>+BF87+AZ87</f>
        <v>0.43395931260493925</v>
      </c>
      <c r="BG88" s="315">
        <f>+BG87+BA87</f>
        <v>0.43854666490017036</v>
      </c>
      <c r="BH88" s="810">
        <f>+BH87+BB87</f>
        <v>0.45061025845008285</v>
      </c>
      <c r="BI88" s="315">
        <f>+BI87+BC87</f>
        <v>0.43479147990284961</v>
      </c>
      <c r="BJ88" s="115"/>
      <c r="BK88" s="315">
        <f>+BK87+BE87</f>
        <v>0.52249685544383584</v>
      </c>
      <c r="BL88" s="315">
        <f>+BL87+BF87</f>
        <v>0.53502889697097178</v>
      </c>
      <c r="BM88" s="315">
        <f>+BM87+BG87</f>
        <v>0.5331233913557416</v>
      </c>
      <c r="BN88" s="315">
        <f>+BN87+BH87</f>
        <v>0.52675410855150395</v>
      </c>
      <c r="BO88" s="315">
        <f>+BO87+BI87</f>
        <v>0.52894845572543092</v>
      </c>
      <c r="BP88" s="115"/>
      <c r="BQ88" s="315">
        <f>+BQ87+BK87</f>
        <v>0.57987212920036213</v>
      </c>
      <c r="BR88" s="315">
        <f>+BR87+BL87</f>
        <v>0.6086014251697458</v>
      </c>
      <c r="BS88" s="315">
        <f>+BS87+BM87</f>
        <v>0.63354720453273594</v>
      </c>
      <c r="BT88" s="315">
        <f>+BT87+BN87</f>
        <v>0.64202499799649138</v>
      </c>
      <c r="BU88" s="315">
        <f>+BU87+BO87</f>
        <v>0.61714346968799871</v>
      </c>
      <c r="BV88" s="115"/>
      <c r="BW88" s="315">
        <f>+BW87+BQ87</f>
        <v>0.56466423621191519</v>
      </c>
      <c r="BX88" s="315">
        <f>+BX87+BR87</f>
        <v>0.58726187095540405</v>
      </c>
      <c r="BY88" s="315">
        <f>+BY87+BS87</f>
        <v>0.58083085017776548</v>
      </c>
      <c r="BZ88" s="315">
        <f>+BZ87+BT87</f>
        <v>0.59866009441665557</v>
      </c>
      <c r="CA88" s="315">
        <f>+CA87+BU87</f>
        <v>0.58365927984705035</v>
      </c>
      <c r="CB88" s="115"/>
      <c r="CC88" s="315">
        <f>+CC87+BW87</f>
        <v>0.4734709485945654</v>
      </c>
      <c r="CD88" s="315">
        <f>+CD87+BX87</f>
        <v>0.48787220912244988</v>
      </c>
      <c r="CE88" s="315">
        <f>+CE87+BY87</f>
        <v>0.47317952209824021</v>
      </c>
      <c r="CF88" s="315">
        <f>+CF87+BZ87</f>
        <v>0.49351071665385371</v>
      </c>
      <c r="CG88" s="315">
        <f>+CG87+CA87</f>
        <v>0.48235413380494263</v>
      </c>
    </row>
    <row r="89" spans="1:134" ht="12.75" customHeight="1" outlineLevel="1" x14ac:dyDescent="0.2">
      <c r="A89" s="230"/>
      <c r="B89" s="290" t="s">
        <v>299</v>
      </c>
      <c r="C89" s="315"/>
      <c r="D89" s="315"/>
      <c r="E89" s="315"/>
      <c r="F89" s="315"/>
      <c r="G89" s="315"/>
      <c r="H89" s="115"/>
      <c r="I89" s="315"/>
      <c r="J89" s="315"/>
      <c r="K89" s="315"/>
      <c r="L89" s="315"/>
      <c r="M89" s="315"/>
      <c r="N89" s="115"/>
      <c r="O89" s="315"/>
      <c r="P89" s="315"/>
      <c r="Q89" s="315"/>
      <c r="R89" s="315"/>
      <c r="S89" s="49">
        <f>+S86-M86</f>
        <v>8.5600000000000307</v>
      </c>
      <c r="T89" s="115"/>
      <c r="U89" s="49">
        <f>+U86-O86</f>
        <v>13.550000000000004</v>
      </c>
      <c r="V89" s="49">
        <f>+V86-P86</f>
        <v>14.479999999999997</v>
      </c>
      <c r="W89" s="49">
        <f>+W86-Q86</f>
        <v>9.7249999999999943</v>
      </c>
      <c r="X89" s="49">
        <f>+X86-R86</f>
        <v>2.4299999999999926</v>
      </c>
      <c r="Y89" s="49">
        <f>+Y86-S86</f>
        <v>40.185000000000031</v>
      </c>
      <c r="Z89" s="115"/>
      <c r="AA89" s="49">
        <f>+AA86-U86</f>
        <v>7.7600000000000051</v>
      </c>
      <c r="AB89" s="49">
        <f>+AB86-V86</f>
        <v>8.5350000000000108</v>
      </c>
      <c r="AC89" s="49">
        <f>+AC86-W86</f>
        <v>13.120000000000005</v>
      </c>
      <c r="AD89" s="49">
        <f>+AD86-X86</f>
        <v>19.100000000000009</v>
      </c>
      <c r="AE89" s="49">
        <f>+AE86-Y86</f>
        <v>48.51499999999993</v>
      </c>
      <c r="AF89" s="115"/>
      <c r="AG89" s="49">
        <f>+AG86-AA86</f>
        <v>13.894999999999996</v>
      </c>
      <c r="AH89" s="49">
        <f>+AH86-AB86</f>
        <v>19.259999999999991</v>
      </c>
      <c r="AI89" s="49">
        <f>+AI86-AC86</f>
        <v>13.155000000000001</v>
      </c>
      <c r="AJ89" s="49">
        <f>+AJ86-AD86</f>
        <v>7.8900000000000006</v>
      </c>
      <c r="AK89" s="49">
        <f>+AK86-AE86</f>
        <v>54.200000000000045</v>
      </c>
      <c r="AL89" s="115"/>
      <c r="AM89" s="49">
        <f>+AM86-AG86</f>
        <v>12.864999999999995</v>
      </c>
      <c r="AN89" s="49">
        <f>+AN86-AH86</f>
        <v>10.855000000000004</v>
      </c>
      <c r="AO89" s="49">
        <f>+AO86-AI86</f>
        <v>14.384999999999991</v>
      </c>
      <c r="AP89" s="49">
        <f>+AP86-AJ86</f>
        <v>20.649999999999991</v>
      </c>
      <c r="AQ89" s="49">
        <f>+AQ86-AK86</f>
        <v>58.754999999999995</v>
      </c>
      <c r="AR89" s="115"/>
      <c r="AS89" s="49">
        <f>+AS86-AM86</f>
        <v>14.068020000000018</v>
      </c>
      <c r="AT89" s="49">
        <f>+AT86-AN86</f>
        <v>13.377314999999996</v>
      </c>
      <c r="AU89" s="49">
        <f>+AU86-AO86</f>
        <v>12.715000000000018</v>
      </c>
      <c r="AV89" s="49">
        <f>+AV86-AP86</f>
        <v>15.592340000000007</v>
      </c>
      <c r="AW89" s="49">
        <f>+AW86-AQ86</f>
        <v>55.752674999999954</v>
      </c>
      <c r="AX89" s="115"/>
      <c r="AY89" s="49">
        <f>+AY86-AS86</f>
        <v>18.581979999999959</v>
      </c>
      <c r="AZ89" s="49">
        <f>+AZ86-AT86</f>
        <v>24.987684999999999</v>
      </c>
      <c r="BA89" s="49">
        <f>+BA86-AU86</f>
        <v>27.884999999999991</v>
      </c>
      <c r="BB89" s="49">
        <f>+BB86-AV86</f>
        <v>33.678511408467642</v>
      </c>
      <c r="BC89" s="49">
        <f>+BC86-AW86</f>
        <v>105.13317640846759</v>
      </c>
      <c r="BD89" s="115"/>
      <c r="BE89" s="49">
        <f>+BE86-AY86</f>
        <v>32.863647372920184</v>
      </c>
      <c r="BF89" s="49">
        <f>+BF86-AZ86</f>
        <v>32.495000000000061</v>
      </c>
      <c r="BG89" s="49">
        <f>+BG86-BA86</f>
        <v>30.299999999999983</v>
      </c>
      <c r="BH89" s="808">
        <f>+BH86-BB86</f>
        <v>29.649148591532366</v>
      </c>
      <c r="BI89" s="49">
        <f>+BI86-BC86</f>
        <v>125.30779596445268</v>
      </c>
      <c r="BJ89" s="115"/>
      <c r="BK89" s="49">
        <f>+BK86-BE86</f>
        <v>44.381352627079849</v>
      </c>
      <c r="BL89" s="49">
        <f>+BL86-BF86</f>
        <v>54.894999999999925</v>
      </c>
      <c r="BM89" s="49">
        <f>+BM86-BG86</f>
        <v>58.265000000000015</v>
      </c>
      <c r="BN89" s="49">
        <f>+BN86-BH86</f>
        <v>64.97999999999999</v>
      </c>
      <c r="BO89" s="49">
        <f>+BO86-BI86</f>
        <v>222.52135262707964</v>
      </c>
      <c r="BP89" s="115"/>
      <c r="BQ89" s="49">
        <f>+BQ86-BK86</f>
        <v>64.210000000000008</v>
      </c>
      <c r="BR89" s="49">
        <f>+BR86-BL86</f>
        <v>69.207899999999995</v>
      </c>
      <c r="BS89" s="49">
        <f>+BS86-BM86</f>
        <v>72.199900000000014</v>
      </c>
      <c r="BT89" s="49">
        <f>+BT86-BN86</f>
        <v>76.538321900450086</v>
      </c>
      <c r="BU89" s="49">
        <f>+BU86-BO86</f>
        <v>282.15612190045033</v>
      </c>
      <c r="BV89" s="115"/>
      <c r="BW89" s="49">
        <f>+BW86-BQ86</f>
        <v>69.69199999999995</v>
      </c>
      <c r="BX89" s="49">
        <f>+BX86-BR86</f>
        <v>86.960219999999993</v>
      </c>
      <c r="BY89" s="49">
        <f>+BY86-BS86</f>
        <v>84.767702000000043</v>
      </c>
      <c r="BZ89" s="49">
        <f>+BZ86-BT86</f>
        <v>98.988104482509868</v>
      </c>
      <c r="CA89" s="49">
        <f>+CA86-BU86</f>
        <v>340.40802648250974</v>
      </c>
      <c r="CB89" s="115"/>
      <c r="CC89" s="49">
        <f>+CC86-BW86</f>
        <v>74.359390000000019</v>
      </c>
      <c r="CD89" s="49">
        <f>+CD86-BX86</f>
        <v>77.247532000000035</v>
      </c>
      <c r="CE89" s="49">
        <f>+CE86-BY86</f>
        <v>77.897573660000035</v>
      </c>
      <c r="CF89" s="49">
        <f>+CF86-BZ86</f>
        <v>83.943690520648431</v>
      </c>
      <c r="CG89" s="49">
        <f>+CG86-CA86</f>
        <v>313.44818618064846</v>
      </c>
    </row>
    <row r="90" spans="1:134" ht="12.75" customHeight="1" outlineLevel="1" x14ac:dyDescent="0.2">
      <c r="A90" s="230"/>
      <c r="B90" s="290" t="s">
        <v>71</v>
      </c>
      <c r="C90" s="315"/>
      <c r="D90" s="315"/>
      <c r="E90" s="315"/>
      <c r="F90" s="315"/>
      <c r="G90" s="315"/>
      <c r="H90" s="115"/>
      <c r="I90" s="315"/>
      <c r="J90" s="315"/>
      <c r="K90" s="315"/>
      <c r="L90" s="315"/>
      <c r="M90" s="315"/>
      <c r="N90" s="115"/>
      <c r="O90" s="315"/>
      <c r="P90" s="315"/>
      <c r="Q90" s="315"/>
      <c r="R90" s="315"/>
      <c r="S90" s="315"/>
      <c r="T90" s="115"/>
      <c r="U90" s="49">
        <f>+U89+O89</f>
        <v>13.550000000000004</v>
      </c>
      <c r="V90" s="49">
        <f>+V89+P89</f>
        <v>14.479999999999997</v>
      </c>
      <c r="W90" s="49">
        <f>+W89+Q89</f>
        <v>9.7249999999999943</v>
      </c>
      <c r="X90" s="49">
        <f>+X89+R89</f>
        <v>2.4299999999999926</v>
      </c>
      <c r="Y90" s="49">
        <f>+Y89+S89</f>
        <v>48.745000000000061</v>
      </c>
      <c r="Z90" s="115"/>
      <c r="AA90" s="49">
        <f>+AA89+U89</f>
        <v>21.310000000000009</v>
      </c>
      <c r="AB90" s="49">
        <f>+AB89+V89</f>
        <v>23.015000000000008</v>
      </c>
      <c r="AC90" s="49">
        <f>+AC89+W89</f>
        <v>22.844999999999999</v>
      </c>
      <c r="AD90" s="49">
        <f>+AD89+X89</f>
        <v>21.53</v>
      </c>
      <c r="AE90" s="49">
        <f>+AE89+Y89</f>
        <v>88.69999999999996</v>
      </c>
      <c r="AF90" s="115"/>
      <c r="AG90" s="49">
        <f>+AG89+AA89</f>
        <v>21.655000000000001</v>
      </c>
      <c r="AH90" s="49">
        <f>+AH89+AB89</f>
        <v>27.795000000000002</v>
      </c>
      <c r="AI90" s="49">
        <f>+AI89+AC89</f>
        <v>26.275000000000006</v>
      </c>
      <c r="AJ90" s="49">
        <f>+AJ89+AD89</f>
        <v>26.990000000000009</v>
      </c>
      <c r="AK90" s="49">
        <f>+AK89+AE89</f>
        <v>102.71499999999997</v>
      </c>
      <c r="AL90" s="115"/>
      <c r="AM90" s="49">
        <f>+AM89+AG89</f>
        <v>26.759999999999991</v>
      </c>
      <c r="AN90" s="49">
        <f>+AN89+AH89</f>
        <v>30.114999999999995</v>
      </c>
      <c r="AO90" s="49">
        <f>+AO89+AI89</f>
        <v>27.539999999999992</v>
      </c>
      <c r="AP90" s="49">
        <f>+AP89+AJ89</f>
        <v>28.539999999999992</v>
      </c>
      <c r="AQ90" s="49">
        <f>+AQ89+AK89</f>
        <v>112.95500000000004</v>
      </c>
      <c r="AR90" s="115"/>
      <c r="AS90" s="49">
        <f>+AS89+AM89</f>
        <v>26.933020000000013</v>
      </c>
      <c r="AT90" s="49">
        <f>+AT89+AN89</f>
        <v>24.232315</v>
      </c>
      <c r="AU90" s="49">
        <f>+AU89+AO89</f>
        <v>27.100000000000009</v>
      </c>
      <c r="AV90" s="49">
        <f>+AV89+AP89</f>
        <v>36.242339999999999</v>
      </c>
      <c r="AW90" s="49">
        <f>+AW89+AQ89</f>
        <v>114.50767499999995</v>
      </c>
      <c r="AX90" s="115"/>
      <c r="AY90" s="49">
        <f>+AY89+AS89</f>
        <v>32.649999999999977</v>
      </c>
      <c r="AZ90" s="49">
        <f>+AZ89+AT89</f>
        <v>38.364999999999995</v>
      </c>
      <c r="BA90" s="49">
        <f>+BA89+AU89</f>
        <v>40.600000000000009</v>
      </c>
      <c r="BB90" s="49">
        <f>+BB89+AV89</f>
        <v>49.270851408467649</v>
      </c>
      <c r="BC90" s="49">
        <f>+BC89+AW89</f>
        <v>160.88585140846754</v>
      </c>
      <c r="BD90" s="115"/>
      <c r="BE90" s="49">
        <f>+BE89+AY89</f>
        <v>51.445627372920143</v>
      </c>
      <c r="BF90" s="49">
        <f>+BF89+AZ89</f>
        <v>57.48268500000006</v>
      </c>
      <c r="BG90" s="49">
        <f>+BG89+BA89</f>
        <v>58.184999999999974</v>
      </c>
      <c r="BH90" s="808">
        <f>+BH89+BB89</f>
        <v>63.327660000000009</v>
      </c>
      <c r="BI90" s="49">
        <f>+BI89+BC89</f>
        <v>230.44097237292027</v>
      </c>
      <c r="BJ90" s="115"/>
      <c r="BK90" s="49">
        <f>+BK89+BE89</f>
        <v>77.245000000000033</v>
      </c>
      <c r="BL90" s="49">
        <f>+BL89+BF89</f>
        <v>87.389999999999986</v>
      </c>
      <c r="BM90" s="49">
        <f>+BM89+BG89</f>
        <v>88.564999999999998</v>
      </c>
      <c r="BN90" s="49">
        <f>+BN89+BH89</f>
        <v>94.629148591532356</v>
      </c>
      <c r="BO90" s="49">
        <f>+BO89+BI89</f>
        <v>347.82914859153232</v>
      </c>
      <c r="BP90" s="115"/>
      <c r="BQ90" s="49">
        <f>+BQ89+BK89</f>
        <v>108.59135262707986</v>
      </c>
      <c r="BR90" s="49">
        <f>+BR89+BL89</f>
        <v>124.10289999999992</v>
      </c>
      <c r="BS90" s="49">
        <f>+BS89+BM89</f>
        <v>130.46490000000003</v>
      </c>
      <c r="BT90" s="49">
        <f>+BT89+BN89</f>
        <v>141.51832190045008</v>
      </c>
      <c r="BU90" s="49">
        <f>+BU89+BO89</f>
        <v>504.67747452752997</v>
      </c>
      <c r="BV90" s="115"/>
      <c r="BW90" s="49">
        <f>+BW89+BQ89</f>
        <v>133.90199999999996</v>
      </c>
      <c r="BX90" s="49">
        <f>+BX89+BR89</f>
        <v>156.16811999999999</v>
      </c>
      <c r="BY90" s="49">
        <f>+BY89+BS89</f>
        <v>156.96760200000006</v>
      </c>
      <c r="BZ90" s="49">
        <f>+BZ89+BT89</f>
        <v>175.52642638295995</v>
      </c>
      <c r="CA90" s="49">
        <f>+CA89+BU89</f>
        <v>622.56414838296007</v>
      </c>
      <c r="CB90" s="115"/>
      <c r="CC90" s="49">
        <f>+CC89+BW89</f>
        <v>144.05138999999997</v>
      </c>
      <c r="CD90" s="49">
        <f>+CD89+BX89</f>
        <v>164.20775200000003</v>
      </c>
      <c r="CE90" s="49">
        <f>+CE89+BY89</f>
        <v>162.66527566000008</v>
      </c>
      <c r="CF90" s="49">
        <f>+CF89+BZ89</f>
        <v>182.9317950031583</v>
      </c>
      <c r="CG90" s="49">
        <f>+CG89+CA89</f>
        <v>653.8562126631582</v>
      </c>
    </row>
    <row r="91" spans="1:134" outlineLevel="1" x14ac:dyDescent="0.2">
      <c r="A91" s="218"/>
      <c r="B91" s="321"/>
      <c r="C91" s="321"/>
      <c r="D91" s="321"/>
      <c r="E91" s="321"/>
      <c r="F91" s="321"/>
      <c r="G91" s="321"/>
      <c r="H91" s="31"/>
      <c r="I91" s="321"/>
      <c r="J91" s="321"/>
      <c r="K91" s="321"/>
      <c r="L91" s="321"/>
      <c r="M91" s="321"/>
      <c r="N91" s="31"/>
      <c r="O91" s="321"/>
      <c r="P91" s="321"/>
      <c r="Q91" s="321"/>
      <c r="R91" s="321"/>
      <c r="S91" s="321"/>
      <c r="T91" s="31"/>
      <c r="U91" s="321"/>
      <c r="V91" s="321"/>
      <c r="W91" s="321"/>
      <c r="X91" s="321"/>
      <c r="Y91" s="321"/>
      <c r="Z91" s="31"/>
      <c r="AA91" s="95"/>
      <c r="AB91" s="95"/>
      <c r="AC91" s="95"/>
      <c r="AD91" s="95"/>
      <c r="AE91" s="321"/>
      <c r="AF91" s="31"/>
      <c r="AG91" s="95"/>
      <c r="AH91" s="95"/>
      <c r="AI91" s="95"/>
      <c r="AJ91" s="95"/>
      <c r="AK91" s="95"/>
      <c r="AL91" s="31"/>
      <c r="AM91" s="95"/>
      <c r="AN91" s="95"/>
      <c r="AO91" s="499"/>
      <c r="AP91" s="499"/>
      <c r="AQ91" s="95"/>
      <c r="AR91" s="31"/>
      <c r="AS91" s="95"/>
      <c r="AT91" s="95"/>
      <c r="AU91" s="95"/>
      <c r="AV91" s="95"/>
      <c r="AW91" s="95"/>
      <c r="AX91" s="31"/>
      <c r="AY91" s="95"/>
      <c r="AZ91" s="95"/>
      <c r="BA91" s="286"/>
      <c r="BB91" s="95"/>
      <c r="BP91" s="31"/>
      <c r="BQ91" s="95"/>
      <c r="BR91" s="95"/>
      <c r="BS91" s="95"/>
      <c r="BT91" s="95"/>
      <c r="BU91" s="95"/>
      <c r="BV91" s="31"/>
      <c r="BW91" s="95"/>
      <c r="BX91" s="95"/>
      <c r="BY91" s="95"/>
      <c r="BZ91" s="95"/>
      <c r="CA91" s="95"/>
      <c r="CB91" s="31"/>
      <c r="CC91" s="95"/>
      <c r="CD91" s="95"/>
      <c r="CE91" s="95"/>
      <c r="CF91" s="95"/>
      <c r="CG91" s="95"/>
    </row>
    <row r="92" spans="1:134" ht="12.75" customHeight="1" outlineLevel="1" x14ac:dyDescent="0.2">
      <c r="A92" s="230"/>
      <c r="B92" s="40" t="s">
        <v>86</v>
      </c>
      <c r="C92" s="42"/>
      <c r="D92" s="42"/>
      <c r="E92" s="42"/>
      <c r="F92" s="42"/>
      <c r="G92" s="42"/>
      <c r="H92" s="52"/>
      <c r="I92" s="42"/>
      <c r="J92" s="42"/>
      <c r="K92" s="42"/>
      <c r="L92" s="42"/>
      <c r="M92" s="42"/>
      <c r="N92" s="52"/>
      <c r="O92" s="42"/>
      <c r="P92" s="42"/>
      <c r="Q92" s="42"/>
      <c r="R92" s="42"/>
      <c r="S92" s="42"/>
      <c r="T92" s="52"/>
      <c r="U92" s="42"/>
      <c r="V92" s="42"/>
      <c r="W92" s="42"/>
      <c r="X92" s="42"/>
      <c r="Y92" s="42"/>
      <c r="Z92" s="52"/>
      <c r="AA92" s="42"/>
      <c r="AB92" s="42"/>
      <c r="AC92" s="42"/>
      <c r="AD92" s="42"/>
      <c r="AE92" s="42"/>
      <c r="AF92" s="52"/>
      <c r="AG92" s="42"/>
      <c r="AH92" s="42"/>
      <c r="AI92" s="42"/>
      <c r="AJ92" s="42"/>
      <c r="AK92" s="42"/>
      <c r="AL92" s="52"/>
      <c r="AM92" s="230"/>
      <c r="AN92" s="230"/>
      <c r="AO92" s="230"/>
      <c r="AP92" s="42"/>
      <c r="AQ92" s="42"/>
      <c r="AR92" s="42"/>
      <c r="AS92" s="42"/>
      <c r="AT92" s="42"/>
      <c r="AU92" s="42"/>
      <c r="AV92" s="656"/>
      <c r="AW92" s="42"/>
      <c r="AX92" s="42"/>
      <c r="AY92" s="699"/>
      <c r="AZ92" s="699"/>
      <c r="BA92" s="286"/>
      <c r="BB92" s="656"/>
      <c r="BC92" s="42"/>
      <c r="BD92" s="52"/>
      <c r="BE92" s="42"/>
      <c r="BF92" s="42"/>
      <c r="BG92" s="42"/>
      <c r="BH92" s="42"/>
      <c r="BI92" s="42"/>
      <c r="BJ92" s="42"/>
      <c r="BK92" s="42"/>
      <c r="BL92" s="42"/>
      <c r="BM92" s="42"/>
      <c r="BN92" s="42"/>
      <c r="BO92" s="42"/>
      <c r="BP92" s="52"/>
      <c r="BQ92" s="42"/>
      <c r="BR92" s="42"/>
      <c r="BS92" s="42"/>
      <c r="BT92" s="42"/>
      <c r="BU92" s="42"/>
      <c r="BV92" s="52"/>
      <c r="BW92" s="42"/>
      <c r="BX92" s="42"/>
      <c r="BY92" s="42"/>
      <c r="BZ92" s="42"/>
      <c r="CA92" s="42"/>
      <c r="CB92" s="52"/>
      <c r="CC92" s="42"/>
      <c r="CD92" s="42"/>
      <c r="CE92" s="42"/>
      <c r="CF92" s="42"/>
      <c r="CG92" s="42"/>
      <c r="CI92" s="478"/>
      <c r="CJ92" s="478"/>
    </row>
    <row r="93" spans="1:134" ht="12.75" customHeight="1" outlineLevel="1" x14ac:dyDescent="0.2">
      <c r="A93" s="230"/>
      <c r="B93" s="32" t="s">
        <v>147</v>
      </c>
      <c r="C93" s="406"/>
      <c r="D93" s="406"/>
      <c r="E93" s="406"/>
      <c r="F93" s="406"/>
      <c r="G93" s="406">
        <f>ALGN!G9/G66</f>
        <v>1.4270778881338211</v>
      </c>
      <c r="H93" s="115"/>
      <c r="I93" s="406">
        <f>ALGN!I9/I66</f>
        <v>0</v>
      </c>
      <c r="J93" s="406">
        <f>ALGN!J9/J66</f>
        <v>0</v>
      </c>
      <c r="K93" s="406">
        <f>ALGN!K9/K66</f>
        <v>0</v>
      </c>
      <c r="L93" s="406">
        <f>ALGN!L9/L66</f>
        <v>0</v>
      </c>
      <c r="M93" s="406">
        <f>ALGN!M9/M66</f>
        <v>1.4189714539597911</v>
      </c>
      <c r="N93" s="115"/>
      <c r="O93" s="406">
        <f>ALGN!O9/O66</f>
        <v>0</v>
      </c>
      <c r="P93" s="406">
        <f>ALGN!P9/P66</f>
        <v>0</v>
      </c>
      <c r="Q93" s="406">
        <f>ALGN!Q9/Q66</f>
        <v>0</v>
      </c>
      <c r="R93" s="406">
        <f>ALGN!R9/R66</f>
        <v>0</v>
      </c>
      <c r="S93" s="406">
        <f>ALGN!S9/S66</f>
        <v>1.5113285272914521</v>
      </c>
      <c r="T93" s="115"/>
      <c r="U93" s="699">
        <f>ALGN!U9/U66</f>
        <v>1.5029166190094934</v>
      </c>
      <c r="V93" s="699">
        <f>ALGN!V9/V66</f>
        <v>1.4338821030270843</v>
      </c>
      <c r="W93" s="699">
        <f>ALGN!W9/W66</f>
        <v>1.4819759679572764</v>
      </c>
      <c r="X93" s="699">
        <f>ALGN!X9/X66</f>
        <v>1.4793708684750402</v>
      </c>
      <c r="Y93" s="699">
        <f>ALGN!Y9/Y66</f>
        <v>1.4738307349665922</v>
      </c>
      <c r="Z93" s="115"/>
      <c r="AA93" s="699">
        <f>ALGN!AA9/AA66</f>
        <v>1.4778632300976926</v>
      </c>
      <c r="AB93" s="699">
        <f>ALGN!AB9/AB66</f>
        <v>1.4990215264187865</v>
      </c>
      <c r="AC93" s="699">
        <f>ALGN!AC9/AC66</f>
        <v>1.4622274143302181</v>
      </c>
      <c r="AD93" s="699">
        <f>ALGN!AD9/AD66</f>
        <v>1.4272890484739675</v>
      </c>
      <c r="AE93" s="699">
        <f>ALGN!AE9/AE66</f>
        <v>1.4655548552867599</v>
      </c>
      <c r="AF93" s="115"/>
      <c r="AG93" s="699">
        <f>ALGN!AG9/AG66</f>
        <v>1.4423659112783271</v>
      </c>
      <c r="AH93" s="699">
        <f>ALGN!AH9/AH66</f>
        <v>1.4176451767717166</v>
      </c>
      <c r="AI93" s="699">
        <f>ALGN!AI9/AI66</f>
        <v>1.3988501742160278</v>
      </c>
      <c r="AJ93" s="699">
        <f>ALGN!AJ9/AJ66</f>
        <v>1.5066470994475138</v>
      </c>
      <c r="AK93" s="699">
        <f>ALGN!AK9/AK66</f>
        <v>1.4410043621661877</v>
      </c>
      <c r="AL93" s="115"/>
      <c r="AM93" s="699">
        <f>ALGN!AM9/AM66</f>
        <v>1.4027920646583396</v>
      </c>
      <c r="AN93" s="699">
        <f>ALGN!AN9/AN66</f>
        <v>1.4614574589851201</v>
      </c>
      <c r="AO93" s="699">
        <f>ALGN!AO9/AO66</f>
        <v>1.4542569659442726</v>
      </c>
      <c r="AP93" s="699">
        <f>ALGN!AP9/AP66</f>
        <v>1.4993731069944356</v>
      </c>
      <c r="AQ93" s="699">
        <f>ALGN!AQ9/AQ66</f>
        <v>1.4562482132987744</v>
      </c>
      <c r="AR93" s="115"/>
      <c r="AS93" s="699">
        <f>ALGN!AS9/AS66</f>
        <v>1.4765001714800108</v>
      </c>
      <c r="AT93" s="699">
        <f>ALGN!AT9/AT66</f>
        <v>1.5009935786156374</v>
      </c>
      <c r="AU93" s="699">
        <f>ALGN!AU9/AU66</f>
        <v>1.5258478220410667</v>
      </c>
      <c r="AV93" s="699">
        <f>ALGN!AV9/AV66</f>
        <v>1.4606593627880451</v>
      </c>
      <c r="AW93" s="699">
        <f>ALGN!AW9/AW66</f>
        <v>1.4905212714890597</v>
      </c>
      <c r="AX93" s="115"/>
      <c r="AY93" s="699">
        <f>ALGN!AY9/AY66</f>
        <v>1.3982714921489874</v>
      </c>
      <c r="AZ93" s="699">
        <f>ALGN!AZ9/AZ66</f>
        <v>1.3668039744400655</v>
      </c>
      <c r="BA93" s="699">
        <f>ALGN!BA9/BA66</f>
        <v>1.3182674903015259</v>
      </c>
      <c r="BB93" s="699">
        <f>ALGN!BB9/BB66</f>
        <v>1.2834993612638923</v>
      </c>
      <c r="BC93" s="699">
        <f>ALGN!BC9/BC66</f>
        <v>1.3383105659399108</v>
      </c>
      <c r="BD93" s="115"/>
      <c r="BE93" s="758">
        <v>1.405</v>
      </c>
      <c r="BF93" s="758">
        <v>1.4450000000000001</v>
      </c>
      <c r="BG93" s="758">
        <v>1.38</v>
      </c>
      <c r="BH93" s="906">
        <v>1.335</v>
      </c>
      <c r="BI93" s="699">
        <f>ALGN!BI9/BI66</f>
        <v>1.3839353301016126</v>
      </c>
      <c r="BJ93" s="115"/>
      <c r="BK93" s="758">
        <v>1.37</v>
      </c>
      <c r="BL93" s="758">
        <v>1.395</v>
      </c>
      <c r="BM93" s="758">
        <v>1.405</v>
      </c>
      <c r="BN93" s="758">
        <v>1.385</v>
      </c>
      <c r="BO93" s="699">
        <f>ALGN!BO9/BO66</f>
        <v>1.3915988027087807</v>
      </c>
      <c r="BP93" s="115"/>
      <c r="BQ93" s="758">
        <v>1.39</v>
      </c>
      <c r="BR93" s="699">
        <f>BL93*(1+BR94)</f>
        <v>1.395</v>
      </c>
      <c r="BS93" s="699">
        <f>BM93*(1+BS94)</f>
        <v>1.405</v>
      </c>
      <c r="BT93" s="699">
        <f>BN93*(1+BT94)</f>
        <v>1.385</v>
      </c>
      <c r="BU93" s="699">
        <f>ALGN!BU9/BU66</f>
        <v>1.4366570215329486</v>
      </c>
      <c r="BV93" s="115"/>
      <c r="BW93" s="699">
        <f>BQ93*(1+BW94)</f>
        <v>1.4038999999999999</v>
      </c>
      <c r="BX93" s="699">
        <f>BR93*(1+BX94)</f>
        <v>1.4089499999999999</v>
      </c>
      <c r="BY93" s="699">
        <f>BS93*(1+BY94)</f>
        <v>1.4190500000000001</v>
      </c>
      <c r="BZ93" s="699">
        <f>BT93*(1+BZ94)</f>
        <v>1.3988499999999999</v>
      </c>
      <c r="CA93" s="699">
        <f>ALGN!CA9/CA66</f>
        <v>1.4492016658917939</v>
      </c>
      <c r="CB93" s="115"/>
      <c r="CC93" s="699">
        <f>BW93*(1+CC94)</f>
        <v>1.4179389999999998</v>
      </c>
      <c r="CD93" s="699">
        <f>BX93*(1+CD94)</f>
        <v>1.4230395</v>
      </c>
      <c r="CE93" s="699">
        <f>BY93*(1+CE94)</f>
        <v>1.4332405000000001</v>
      </c>
      <c r="CF93" s="699">
        <f>BZ93*(1+CF94)</f>
        <v>1.4128384999999999</v>
      </c>
      <c r="CG93" s="699">
        <f>ALGN!CG9/CG66</f>
        <v>1.46237622649081</v>
      </c>
      <c r="CI93" s="665">
        <f>+CG93/BC93-1</f>
        <v>9.2703191402935925E-2</v>
      </c>
    </row>
    <row r="94" spans="1:134" ht="12.75" customHeight="1" outlineLevel="1" x14ac:dyDescent="0.2">
      <c r="A94" s="230"/>
      <c r="B94" s="290" t="s">
        <v>536</v>
      </c>
      <c r="C94" s="315"/>
      <c r="D94" s="315"/>
      <c r="E94" s="315"/>
      <c r="F94" s="315"/>
      <c r="G94" s="315"/>
      <c r="H94" s="115"/>
      <c r="I94" s="315" t="str">
        <f>IF(ISERROR(I93/C93-1),"NM",I93/C93-1)</f>
        <v>NM</v>
      </c>
      <c r="J94" s="315" t="str">
        <f>IF(ISERROR(J93/D93-1),"NM",J93/D93-1)</f>
        <v>NM</v>
      </c>
      <c r="K94" s="315" t="str">
        <f>IF(ISERROR(K93/E93-1),"NM",K93/E93-1)</f>
        <v>NM</v>
      </c>
      <c r="L94" s="315" t="str">
        <f>IF(ISERROR(L93/F93-1),"NM",L93/F93-1)</f>
        <v>NM</v>
      </c>
      <c r="M94" s="315">
        <f>IF(ISERROR(M93/G93-1),"NM",M93/G93-1)-(ALGN!M$59)</f>
        <v>-5.6804427014356396E-3</v>
      </c>
      <c r="N94" s="115"/>
      <c r="O94" s="315" t="str">
        <f>IF(ISERROR(O93/I93-1),"NM",O93/I93-1)</f>
        <v>NM</v>
      </c>
      <c r="P94" s="315" t="str">
        <f>IF(ISERROR(P93/J93-1),"NM",P93/J93-1)</f>
        <v>NM</v>
      </c>
      <c r="Q94" s="315" t="str">
        <f>IF(ISERROR(Q93/K93-1),"NM",Q93/K93-1)</f>
        <v>NM</v>
      </c>
      <c r="R94" s="315" t="str">
        <f>IF(ISERROR(R93/L93-1),"NM",R93/L93-1)</f>
        <v>NM</v>
      </c>
      <c r="S94" s="315">
        <f>IF(ISERROR(S93/M93-1),"NM",S93/M93-1)-(ALGN!S$59)</f>
        <v>7.533716745396285E-2</v>
      </c>
      <c r="T94" s="115"/>
      <c r="U94" s="315" t="str">
        <f>IF(ISERROR(U93/O93-1),"NM",U93/O93-1)</f>
        <v>NM</v>
      </c>
      <c r="V94" s="315" t="str">
        <f>IF(ISERROR(V93/P93-1),"NM",V93/P93-1)</f>
        <v>NM</v>
      </c>
      <c r="W94" s="315" t="str">
        <f>IF(ISERROR(W93/Q93-1),"NM",W93/Q93-1)</f>
        <v>NM</v>
      </c>
      <c r="X94" s="315" t="str">
        <f>IF(ISERROR(X93/R93-1),"NM",X93/R93-1)</f>
        <v>NM</v>
      </c>
      <c r="Y94" s="315">
        <f>IF(ISERROR(Y93/S93-1),"NM",Y93/S93-1)-(ALGN!Y$59)</f>
        <v>-1.4707718398496553E-2</v>
      </c>
      <c r="Z94" s="315"/>
      <c r="AA94" s="315">
        <f>IF(ISERROR(AA93/U93-1),"NM",AA93/U93-1)-(ALGN!AA$59)</f>
        <v>-1.5551120658736858E-2</v>
      </c>
      <c r="AB94" s="315">
        <f>IF(ISERROR(AB93/V93-1),"NM",AB93/V93-1)-(ALGN!AB$59)</f>
        <v>1.5686625016632327E-2</v>
      </c>
      <c r="AC94" s="315">
        <f>IF(ISERROR(AC93/W93-1),"NM",AC93/W93-1)-(ALGN!AC$59)</f>
        <v>-3.1874089728205483E-2</v>
      </c>
      <c r="AD94" s="315">
        <f>IF(ISERROR(AD93/X93-1),"NM",AD93/X93-1)-(ALGN!AD$59)</f>
        <v>-3.4174781031927025E-2</v>
      </c>
      <c r="AE94" s="315">
        <f>IF(ISERROR(AE93/Y93-1),"NM",AE93/Y93-1)-(ALGN!AE$59)</f>
        <v>-1.7352134359687271E-2</v>
      </c>
      <c r="AF94" s="315"/>
      <c r="AG94" s="315">
        <f>IF(ISERROR(AG93/AA93-1),"NM",AG93/AA93-1)-(ALGN!AG$59)</f>
        <v>-1.6416534877777281E-2</v>
      </c>
      <c r="AH94" s="315">
        <f>IF(ISERROR(AH93/AB93-1),"NM",AH93/AB93-1)-(ALGN!AH$59)</f>
        <v>-3.2942256477496545E-2</v>
      </c>
      <c r="AI94" s="315">
        <f>IF(ISERROR(AI93/AC93-1),"NM",AI93/AC93-1)-(ALGN!AI$59)</f>
        <v>-2.0226972063067158E-2</v>
      </c>
      <c r="AJ94" s="315">
        <f>IF(ISERROR(AJ93/AD93-1),"NM",AJ93/AD93-1)-(ALGN!AJ$59)</f>
        <v>6.3590462179708096E-2</v>
      </c>
      <c r="AK94" s="315">
        <f>IF(ISERROR(AK93/AE93-1),"NM",AK93/AE93-1)-(ALGN!AK$59)</f>
        <v>-1.5347161504502185E-3</v>
      </c>
      <c r="AL94" s="315"/>
      <c r="AM94" s="315">
        <f>IF(ISERROR(AM93/AG93-1),"NM",AM93/AG93-1)-(ALGN!AM$59)</f>
        <v>-2.7392980046810705E-2</v>
      </c>
      <c r="AN94" s="315">
        <f>IF(ISERROR(AN93/AH93-1),"NM",AN93/AH93-1)-(ALGN!AN$59)</f>
        <v>3.2472387195710058E-2</v>
      </c>
      <c r="AO94" s="315">
        <f>IF(ISERROR(AO93/AI93-1),"NM",AO93/AI93-1)-(ALGN!AO$59)</f>
        <v>3.9090197905564936E-2</v>
      </c>
      <c r="AP94" s="315">
        <f>IF(ISERROR(AP93/AJ93-1),"NM",AP93/AJ93-1)-(ALGN!AP$59)</f>
        <v>-7.6768387618186135E-4</v>
      </c>
      <c r="AQ94" s="315">
        <f>IF(ISERROR(AQ93/AK93-1),"NM",AQ93/AK93-1)-(ALGN!AQ$59)</f>
        <v>1.1905939117622335E-2</v>
      </c>
      <c r="AR94" s="315"/>
      <c r="AS94" s="315">
        <f>IF(ISERROR(AS93/AM93-1),"NM",AS93/AM93-1)-(ALGN!AS$59)</f>
        <v>4.7370475409949542E-2</v>
      </c>
      <c r="AT94" s="315">
        <f>IF(ISERROR(AT93/AN93-1),"NM",AT93/AN93-1)-(ALGN!AT$59)</f>
        <v>2.051642132039113E-2</v>
      </c>
      <c r="AU94" s="315">
        <f>IF(ISERROR(AU93/AO93-1),"NM",AU93/AO93-1)-(ALGN!AU$59)</f>
        <v>5.0748813843876604E-2</v>
      </c>
      <c r="AV94" s="315">
        <f>IF(ISERROR(AV93/AP93-1),"NM",AV93/AP93-1)-(ALGN!AV$59)</f>
        <v>-3.7599121962083107E-4</v>
      </c>
      <c r="AW94" s="315">
        <f>IF(ISERROR(AW93/AQ93-1),"NM",AW93/AQ93-1)-(ALGN!AW$59)</f>
        <v>2.7959907180938784E-2</v>
      </c>
      <c r="AX94" s="315"/>
      <c r="AY94" s="315">
        <f>IF(ISERROR(AY93/AS93-1),"NM",AY93/AS93-1)-(ALGN!AY$59)</f>
        <v>-2.6359450526384064E-2</v>
      </c>
      <c r="AZ94" s="315">
        <f>IF(ISERROR(AZ93/AT93-1),"NM",AZ93/AT93-1)-(ALGN!AZ$59)</f>
        <v>-3.5728607413638834E-2</v>
      </c>
      <c r="BA94" s="315">
        <f>IF(ISERROR(BA93/AU93-1),"NM",BA93/AU93-1)-(ALGN!BA$59)</f>
        <v>-8.8250145522705145E-2</v>
      </c>
      <c r="BB94" s="315">
        <f>IF(ISERROR(BB93/AV93-1),"NM",BB93/AV93-1)-(ALGN!BB$59)</f>
        <v>-8.7876113163204983E-2</v>
      </c>
      <c r="BC94" s="315">
        <f>IF(ISERROR(BC93/AW93-1),"NM",BC93/AW93-1)-(ALGN!BC$59)</f>
        <v>-6.1611112175711191E-2</v>
      </c>
      <c r="BD94" s="115"/>
      <c r="BE94" s="315">
        <f>IF(ISERROR(BE93/AY93-1),"NM",BE93/AY93-1)-(ALGN!BE$59)</f>
        <v>1.8442461530096647E-2</v>
      </c>
      <c r="BF94" s="315">
        <f>IF(ISERROR(BF93/AZ93-1),"NM",BF93/AZ93-1)-(ALGN!BF$59)</f>
        <v>5.7210856144875422E-2</v>
      </c>
      <c r="BG94" s="315">
        <f>IF(ISERROR(BG93/BA93-1),"NM",BG93/BA93-1)-(ALGN!BG$59)</f>
        <v>4.6828515572627794E-2</v>
      </c>
      <c r="BH94" s="315">
        <f>IF(ISERROR(BH93/BB93-1),"NM",BH93/BB93-1)-(ALGN!BH$59)</f>
        <v>5.3153021602414974E-2</v>
      </c>
      <c r="BI94" s="315">
        <f>IF(ISERROR(BI93/BC93-1),"NM",BI93/BC93-1)</f>
        <v>3.40913128259277E-2</v>
      </c>
      <c r="BJ94" s="115"/>
      <c r="BK94" s="315">
        <f>+BK93/BE93-1</f>
        <v>-2.4911032028469671E-2</v>
      </c>
      <c r="BL94" s="315">
        <f>+BL93/BF93-1</f>
        <v>-3.4602076124567449E-2</v>
      </c>
      <c r="BM94" s="315">
        <f>+BM93/BG93-1</f>
        <v>1.8115942028985588E-2</v>
      </c>
      <c r="BN94" s="315">
        <f>+BN93/BH93-1</f>
        <v>3.7453183520599342E-2</v>
      </c>
      <c r="BO94" s="315">
        <f>IF(ISERROR(BO93/BI93-1),"NM",BO93/BI93-1)</f>
        <v>5.5374499374947206E-3</v>
      </c>
      <c r="BP94" s="115"/>
      <c r="BQ94" s="315">
        <f>+BQ93/BK93-1</f>
        <v>1.4598540145985162E-2</v>
      </c>
      <c r="BR94" s="478">
        <v>0</v>
      </c>
      <c r="BS94" s="478">
        <f>+BR94</f>
        <v>0</v>
      </c>
      <c r="BT94" s="478">
        <f>+BS94</f>
        <v>0</v>
      </c>
      <c r="BU94" s="315">
        <f>IF(ISERROR(BU93/BO93-1),"NM",BU93/BO93-1)</f>
        <v>3.2378742160787288E-2</v>
      </c>
      <c r="BV94" s="115"/>
      <c r="BW94" s="478">
        <v>0.01</v>
      </c>
      <c r="BX94" s="478">
        <f t="shared" ref="BX94:BZ94" si="164">+BW94</f>
        <v>0.01</v>
      </c>
      <c r="BY94" s="478">
        <f t="shared" si="164"/>
        <v>0.01</v>
      </c>
      <c r="BZ94" s="478">
        <f t="shared" si="164"/>
        <v>0.01</v>
      </c>
      <c r="CA94" s="315">
        <f t="shared" ref="CA94" si="165">IF(ISERROR(CA93/BU93-1),"NM",CA93/BU93-1)</f>
        <v>8.7318296370137993E-3</v>
      </c>
      <c r="CB94" s="115"/>
      <c r="CC94" s="478">
        <v>0.01</v>
      </c>
      <c r="CD94" s="478">
        <f t="shared" ref="CD94:CF94" si="166">+CC94</f>
        <v>0.01</v>
      </c>
      <c r="CE94" s="478">
        <f t="shared" si="166"/>
        <v>0.01</v>
      </c>
      <c r="CF94" s="478">
        <f t="shared" si="166"/>
        <v>0.01</v>
      </c>
      <c r="CG94" s="315">
        <f t="shared" ref="CG94" si="167">IF(ISERROR(CG93/CA93-1),"NM",CG93/CA93-1)</f>
        <v>9.0909090909090384E-3</v>
      </c>
    </row>
    <row r="95" spans="1:134" ht="12.75" customHeight="1" outlineLevel="1" x14ac:dyDescent="0.2">
      <c r="A95" s="230"/>
      <c r="B95" s="290" t="s">
        <v>71</v>
      </c>
      <c r="C95" s="315"/>
      <c r="D95" s="315"/>
      <c r="E95" s="315"/>
      <c r="F95" s="315"/>
      <c r="G95" s="315"/>
      <c r="H95" s="115"/>
      <c r="I95" s="315"/>
      <c r="J95" s="315"/>
      <c r="K95" s="315"/>
      <c r="L95" s="315"/>
      <c r="M95" s="315"/>
      <c r="N95" s="115"/>
      <c r="O95" s="315"/>
      <c r="P95" s="315"/>
      <c r="Q95" s="315"/>
      <c r="R95" s="315"/>
      <c r="S95" s="315"/>
      <c r="T95" s="115"/>
      <c r="U95" s="315"/>
      <c r="V95" s="315"/>
      <c r="W95" s="315"/>
      <c r="X95" s="315"/>
      <c r="Y95" s="315">
        <f>+Y94+S94</f>
        <v>6.06294490554663E-2</v>
      </c>
      <c r="Z95" s="115"/>
      <c r="AA95" s="315"/>
      <c r="AB95" s="315"/>
      <c r="AC95" s="315"/>
      <c r="AD95" s="315"/>
      <c r="AE95" s="315">
        <f>+AE94+Y94</f>
        <v>-3.2059852758183821E-2</v>
      </c>
      <c r="AF95" s="115"/>
      <c r="AG95" s="315">
        <f>+AG94+AA94</f>
        <v>-3.1967655536514136E-2</v>
      </c>
      <c r="AH95" s="315">
        <f>+AH94+AB94</f>
        <v>-1.7255631460864219E-2</v>
      </c>
      <c r="AI95" s="315">
        <f>+AI94+AC94</f>
        <v>-5.2101061791272642E-2</v>
      </c>
      <c r="AJ95" s="315">
        <f>+AJ94+AD94</f>
        <v>2.9415681147781071E-2</v>
      </c>
      <c r="AK95" s="315">
        <f>+AK94+AE94</f>
        <v>-1.8886850510137491E-2</v>
      </c>
      <c r="AL95" s="115"/>
      <c r="AM95" s="315">
        <f>+AM94+AG94</f>
        <v>-4.3809514924587983E-2</v>
      </c>
      <c r="AN95" s="315">
        <f>+AN94+AH94</f>
        <v>-4.6986928178648774E-4</v>
      </c>
      <c r="AO95" s="315">
        <f>+AO94+AI94</f>
        <v>1.8863225842497777E-2</v>
      </c>
      <c r="AP95" s="315">
        <f>+AP94+AJ94</f>
        <v>6.2822778303526228E-2</v>
      </c>
      <c r="AQ95" s="315">
        <f>+AQ94+AK94</f>
        <v>1.0371222967172116E-2</v>
      </c>
      <c r="AR95" s="115"/>
      <c r="AS95" s="315">
        <f>+AS94+AM94</f>
        <v>1.9977495363138836E-2</v>
      </c>
      <c r="AT95" s="315">
        <f>+AT94+AN94</f>
        <v>5.2988808516101188E-2</v>
      </c>
      <c r="AU95" s="315">
        <f>+AU94+AO94</f>
        <v>8.9839011749441533E-2</v>
      </c>
      <c r="AV95" s="315">
        <f>+AV94+AP94</f>
        <v>-1.1436750958026924E-3</v>
      </c>
      <c r="AW95" s="315">
        <f>+AW94+AQ94</f>
        <v>3.9865846298561117E-2</v>
      </c>
      <c r="AX95" s="115"/>
      <c r="AY95" s="315">
        <f>+AY94+AS94</f>
        <v>2.1011024883565477E-2</v>
      </c>
      <c r="AZ95" s="315">
        <f>+AZ94+AT94</f>
        <v>-1.5212186093247704E-2</v>
      </c>
      <c r="BA95" s="315">
        <f>+BA94+AU94</f>
        <v>-3.7501331678828541E-2</v>
      </c>
      <c r="BB95" s="315">
        <f>+BB94+AV94</f>
        <v>-8.8252104382825811E-2</v>
      </c>
      <c r="BC95" s="315">
        <f>+BC94+AW94</f>
        <v>-3.3651204994772407E-2</v>
      </c>
      <c r="BD95" s="115"/>
      <c r="BE95" s="315">
        <f>+BE94+AY94</f>
        <v>-7.916988996287417E-3</v>
      </c>
      <c r="BF95" s="315">
        <f>+BF94+AZ94</f>
        <v>2.1482248731236588E-2</v>
      </c>
      <c r="BG95" s="315">
        <f>+BG94+BA94</f>
        <v>-4.1421629950077352E-2</v>
      </c>
      <c r="BH95" s="810">
        <f>+BH94+BB94</f>
        <v>-3.4723091560790009E-2</v>
      </c>
      <c r="BI95" s="315">
        <f>+BI94+BC94</f>
        <v>-2.7519799349783491E-2</v>
      </c>
      <c r="BJ95" s="115"/>
      <c r="BK95" s="315">
        <f>+BK94+BE94</f>
        <v>-6.4685704983730233E-3</v>
      </c>
      <c r="BL95" s="315">
        <f>+BL94+BF94</f>
        <v>2.2608780020307973E-2</v>
      </c>
      <c r="BM95" s="315">
        <f>+BM94+BG94</f>
        <v>6.4944457601613381E-2</v>
      </c>
      <c r="BN95" s="315">
        <f>+BN94+BH94</f>
        <v>9.0606205123014316E-2</v>
      </c>
      <c r="BO95" s="315">
        <f>+BO94+BI94</f>
        <v>3.962876276342242E-2</v>
      </c>
      <c r="BP95" s="115"/>
      <c r="BQ95" s="315">
        <f>+BQ94+BK94</f>
        <v>-1.0312491882484509E-2</v>
      </c>
      <c r="BR95" s="315">
        <f>+BR94+BL94</f>
        <v>-3.4602076124567449E-2</v>
      </c>
      <c r="BS95" s="315">
        <f>+BS94+BM94</f>
        <v>1.8115942028985588E-2</v>
      </c>
      <c r="BT95" s="315">
        <f>+BT94+BN94</f>
        <v>3.7453183520599342E-2</v>
      </c>
      <c r="BU95" s="315">
        <f>+BU94+BO94</f>
        <v>3.7916192098282009E-2</v>
      </c>
      <c r="BV95" s="115"/>
      <c r="BW95" s="315">
        <f>+BW94+BQ94</f>
        <v>2.4598540145985164E-2</v>
      </c>
      <c r="BX95" s="315">
        <f>+BX94+BR94</f>
        <v>0.01</v>
      </c>
      <c r="BY95" s="315">
        <f>+BY94+BS94</f>
        <v>0.01</v>
      </c>
      <c r="BZ95" s="315">
        <f>+BZ94+BT94</f>
        <v>0.01</v>
      </c>
      <c r="CA95" s="315">
        <f>+CA94+BU94</f>
        <v>4.1110571797801088E-2</v>
      </c>
      <c r="CB95" s="115"/>
      <c r="CC95" s="315">
        <f>+CC94+BW94</f>
        <v>0.02</v>
      </c>
      <c r="CD95" s="315">
        <f>+CD94+BX94</f>
        <v>0.02</v>
      </c>
      <c r="CE95" s="315">
        <f>+CE94+BY94</f>
        <v>0.02</v>
      </c>
      <c r="CF95" s="315">
        <f>+CF94+BZ94</f>
        <v>0.02</v>
      </c>
      <c r="CG95" s="315">
        <f>+CG94+CA94</f>
        <v>1.7822738727922838E-2</v>
      </c>
    </row>
    <row r="96" spans="1:134" ht="12.75" customHeight="1" outlineLevel="1" x14ac:dyDescent="0.2">
      <c r="A96" s="230"/>
      <c r="B96" s="32" t="s">
        <v>538</v>
      </c>
      <c r="C96" s="406"/>
      <c r="D96" s="406"/>
      <c r="E96" s="406"/>
      <c r="F96" s="406"/>
      <c r="G96" s="406">
        <f>ALGN!G14/G71</f>
        <v>0.72289156626506024</v>
      </c>
      <c r="H96" s="192"/>
      <c r="I96" s="406">
        <f>ALGN!I14/I71</f>
        <v>0</v>
      </c>
      <c r="J96" s="406">
        <f>ALGN!J14/J71</f>
        <v>0</v>
      </c>
      <c r="K96" s="406">
        <f>ALGN!K14/K71</f>
        <v>0</v>
      </c>
      <c r="L96" s="406">
        <f>ALGN!L14/L71</f>
        <v>0</v>
      </c>
      <c r="M96" s="406">
        <f>ALGN!M14/M71</f>
        <v>0.73391630231105565</v>
      </c>
      <c r="N96" s="192"/>
      <c r="O96" s="406">
        <f>ALGN!O14/O71</f>
        <v>0</v>
      </c>
      <c r="P96" s="406">
        <f>ALGN!P14/P71</f>
        <v>0</v>
      </c>
      <c r="Q96" s="406">
        <f>ALGN!Q14/Q71</f>
        <v>0</v>
      </c>
      <c r="R96" s="406">
        <f>ALGN!R14/R71</f>
        <v>0</v>
      </c>
      <c r="S96" s="406">
        <f>ALGN!S14/S71</f>
        <v>0.87958750379132544</v>
      </c>
      <c r="T96" s="192"/>
      <c r="U96" s="699">
        <f>ALGN!U14/U71</f>
        <v>0.9322493224932249</v>
      </c>
      <c r="V96" s="699">
        <f>ALGN!V14/V71</f>
        <v>0.9185803757828811</v>
      </c>
      <c r="W96" s="699">
        <f>ALGN!W14/W71</f>
        <v>0.91141833077316947</v>
      </c>
      <c r="X96" s="699">
        <f>ALGN!X14/X71</f>
        <v>0.93521126760563389</v>
      </c>
      <c r="Y96" s="699">
        <f>ALGN!Y14/Y71</f>
        <v>0.92402189878488439</v>
      </c>
      <c r="Z96" s="192"/>
      <c r="AA96" s="699">
        <f>ALGN!AA14/AA71</f>
        <v>0.96190476190476182</v>
      </c>
      <c r="AB96" s="699">
        <f>ALGN!AB14/AB71</f>
        <v>0.98143236074270546</v>
      </c>
      <c r="AC96" s="699">
        <f>ALGN!AC14/AC71</f>
        <v>0.9528130671506353</v>
      </c>
      <c r="AD96" s="699">
        <f>ALGN!AD14/AD71</f>
        <v>0.95740008783487052</v>
      </c>
      <c r="AE96" s="699">
        <f>ALGN!AE14/AE71</f>
        <v>0.96347393418523142</v>
      </c>
      <c r="AF96" s="192"/>
      <c r="AG96" s="699">
        <f>ALGN!AG14/AG71</f>
        <v>0.9183975106962271</v>
      </c>
      <c r="AH96" s="699">
        <f>ALGN!AH14/AH71</f>
        <v>0.89098039215686264</v>
      </c>
      <c r="AI96" s="699">
        <f>ALGN!AI14/AI71</f>
        <v>0.87467488021902806</v>
      </c>
      <c r="AJ96" s="699">
        <f>ALGN!AJ14/AJ71</f>
        <v>0.83243412797992478</v>
      </c>
      <c r="AK96" s="699">
        <f>ALGN!AK14/AK71</f>
        <v>0.87702921386593979</v>
      </c>
      <c r="AL96" s="192"/>
      <c r="AM96" s="699">
        <f>ALGN!AM14/AM71</f>
        <v>0.84915522703273483</v>
      </c>
      <c r="AN96" s="699">
        <f>ALGN!AN14/AN71</f>
        <v>0.90007047216349545</v>
      </c>
      <c r="AO96" s="699">
        <f>ALGN!AO14/AO71</f>
        <v>0.92054082163286544</v>
      </c>
      <c r="AP96" s="699">
        <f>ALGN!AP14/AP71</f>
        <v>0.99743918053777225</v>
      </c>
      <c r="AQ96" s="699">
        <f>ALGN!AQ14/AQ71</f>
        <v>0.91691567485439374</v>
      </c>
      <c r="AR96" s="192"/>
      <c r="AS96" s="699">
        <f>ALGN!AS14/AS71</f>
        <v>0.98891408415217941</v>
      </c>
      <c r="AT96" s="699">
        <f>ALGN!AT14/AT71</f>
        <v>0.98760549795032559</v>
      </c>
      <c r="AU96" s="699">
        <f>ALGN!AU14/AU71</f>
        <v>0.94933267424616896</v>
      </c>
      <c r="AV96" s="699">
        <f>ALGN!AV14/AV71</f>
        <v>0.96197346891631708</v>
      </c>
      <c r="AW96" s="699">
        <f>ALGN!AW14/AW71</f>
        <v>0.97174412052337433</v>
      </c>
      <c r="AX96" s="192"/>
      <c r="AY96" s="699">
        <f>ALGN!AY14/AY71</f>
        <v>0.92749784279493519</v>
      </c>
      <c r="AZ96" s="699">
        <f>ALGN!AZ14/AZ71</f>
        <v>0.86260809557697704</v>
      </c>
      <c r="BA96" s="699">
        <f>ALGN!BA14/BA71</f>
        <v>0.86721995299667842</v>
      </c>
      <c r="BB96" s="699">
        <f>ALGN!BB14/BB71</f>
        <v>0.86485549217831759</v>
      </c>
      <c r="BC96" s="699">
        <f>ALGN!BC14/BC71</f>
        <v>0.87897111718166365</v>
      </c>
      <c r="BD96" s="192"/>
      <c r="BE96" s="758">
        <v>0.86499999999999999</v>
      </c>
      <c r="BF96" s="758">
        <v>0.86499999999999999</v>
      </c>
      <c r="BG96" s="758">
        <v>0.85</v>
      </c>
      <c r="BH96" s="906">
        <v>0.81</v>
      </c>
      <c r="BI96" s="699">
        <f>ALGN!BI14/BI71</f>
        <v>0.84992693735176594</v>
      </c>
      <c r="BJ96" s="192"/>
      <c r="BK96" s="758">
        <v>0.87</v>
      </c>
      <c r="BL96" s="758">
        <v>0.9</v>
      </c>
      <c r="BM96" s="758">
        <v>0.95</v>
      </c>
      <c r="BN96" s="758">
        <v>0.99</v>
      </c>
      <c r="BO96" s="699">
        <f>ALGN!BO14/BO71</f>
        <v>0.91218587395804984</v>
      </c>
      <c r="BP96" s="192"/>
      <c r="BQ96" s="758">
        <v>0.98499999999999999</v>
      </c>
      <c r="BR96" s="699">
        <f>BL96*(1+BR97)</f>
        <v>0.94500000000000006</v>
      </c>
      <c r="BS96" s="699">
        <f>BM96*(1+BS97)</f>
        <v>0.95</v>
      </c>
      <c r="BT96" s="699">
        <f>BN96*(1+BT97)</f>
        <v>0.99</v>
      </c>
      <c r="BU96" s="699">
        <f>ALGN!BU14/BU71</f>
        <v>0.96185692283702573</v>
      </c>
      <c r="BV96" s="192"/>
      <c r="BW96" s="699">
        <f>BQ96*(1+BW97)</f>
        <v>0.95544999999999991</v>
      </c>
      <c r="BX96" s="699">
        <f>BR96*(1+BX97)</f>
        <v>0.91665000000000008</v>
      </c>
      <c r="BY96" s="699">
        <f>BS96*(1+BY97)</f>
        <v>0.92149999999999999</v>
      </c>
      <c r="BZ96" s="699">
        <f>BT96*(1+BZ97)</f>
        <v>0.96029999999999993</v>
      </c>
      <c r="CA96" s="699">
        <f>ALGN!CA14/CA71</f>
        <v>0.94261978438028537</v>
      </c>
      <c r="CB96" s="192"/>
      <c r="CC96" s="699">
        <f>BW96*(1+CC97)</f>
        <v>0.92678649999999985</v>
      </c>
      <c r="CD96" s="699">
        <f>BX96*(1+CD97)</f>
        <v>0.88915050000000007</v>
      </c>
      <c r="CE96" s="699">
        <f>BY96*(1+CE97)</f>
        <v>0.89385499999999996</v>
      </c>
      <c r="CF96" s="699">
        <f>BZ96*(1+CF97)</f>
        <v>0.93149099999999996</v>
      </c>
      <c r="CG96" s="699">
        <f>ALGN!CG14/CG71</f>
        <v>0.9224207890007079</v>
      </c>
      <c r="CI96" s="665">
        <f>+CG96/BC96-1</f>
        <v>4.9432422715278035E-2</v>
      </c>
    </row>
    <row r="97" spans="1:87" ht="12.75" customHeight="1" outlineLevel="1" x14ac:dyDescent="0.2">
      <c r="A97" s="230"/>
      <c r="B97" s="290" t="s">
        <v>536</v>
      </c>
      <c r="C97" s="315"/>
      <c r="D97" s="315"/>
      <c r="E97" s="315"/>
      <c r="F97" s="315"/>
      <c r="G97" s="315"/>
      <c r="H97" s="115"/>
      <c r="I97" s="315" t="str">
        <f>IF(ISERROR(I96/C96-1),"NM",I96/C96-1)</f>
        <v>NM</v>
      </c>
      <c r="J97" s="315" t="str">
        <f>IF(ISERROR(J96/D96-1),"NM",J96/D96-1)</f>
        <v>NM</v>
      </c>
      <c r="K97" s="315" t="str">
        <f>IF(ISERROR(K96/E96-1),"NM",K96/E96-1)</f>
        <v>NM</v>
      </c>
      <c r="L97" s="315" t="str">
        <f>IF(ISERROR(L96/F96-1),"NM",L96/F96-1)</f>
        <v>NM</v>
      </c>
      <c r="M97" s="315">
        <f>IF(ISERROR(M96/G96-1),"NM",M96/G96-1)-(ALGN!M$59)</f>
        <v>1.5250884863627023E-2</v>
      </c>
      <c r="N97" s="115"/>
      <c r="O97" s="315" t="str">
        <f>IF(ISERROR(O96/I96-1),"NM",O96/I96-1)</f>
        <v>NM</v>
      </c>
      <c r="P97" s="315" t="str">
        <f>IF(ISERROR(P96/J96-1),"NM",P96/J96-1)</f>
        <v>NM</v>
      </c>
      <c r="Q97" s="315" t="str">
        <f>IF(ISERROR(Q96/K96-1),"NM",Q96/K96-1)</f>
        <v>NM</v>
      </c>
      <c r="R97" s="315" t="str">
        <f>IF(ISERROR(R96/L96-1),"NM",R96/L96-1)</f>
        <v>NM</v>
      </c>
      <c r="S97" s="315">
        <f>IF(ISERROR(S96/M96-1),"NM",S96/M96-1)-(ALGN!S$59)</f>
        <v>0.20873459085837259</v>
      </c>
      <c r="T97" s="115"/>
      <c r="U97" s="315" t="str">
        <f>IF(ISERROR(U96/O96-1),"NM",U96/O96-1)</f>
        <v>NM</v>
      </c>
      <c r="V97" s="315" t="str">
        <f>IF(ISERROR(V96/P96-1),"NM",V96/P96-1)</f>
        <v>NM</v>
      </c>
      <c r="W97" s="315" t="str">
        <f>IF(ISERROR(W96/Q96-1),"NM",W96/Q96-1)</f>
        <v>NM</v>
      </c>
      <c r="X97" s="315" t="str">
        <f>IF(ISERROR(X96/R96-1),"NM",X96/R96-1)</f>
        <v>NM</v>
      </c>
      <c r="Y97" s="315">
        <f>IF(ISERROR(Y96/S96-1),"NM",Y96/S96-1)-(ALGN!Y$59)</f>
        <v>6.0620737769904121E-2</v>
      </c>
      <c r="Z97" s="315"/>
      <c r="AA97" s="315">
        <f>IF(ISERROR(AA96/U96-1),"NM",AA96/U96-1)-(ALGN!AA$59)</f>
        <v>3.2929356784796929E-2</v>
      </c>
      <c r="AB97" s="315">
        <f>IF(ISERROR(AB96/V96-1),"NM",AB96/V96-1)-(ALGN!AB$59)</f>
        <v>3.8680864983002619E-2</v>
      </c>
      <c r="AC97" s="315">
        <f>IF(ISERROR(AC96/W96-1),"NM",AC96/W96-1)-(ALGN!AC$59)</f>
        <v>2.6869668763457873E-2</v>
      </c>
      <c r="AD97" s="315">
        <f>IF(ISERROR(AD96/X96-1),"NM",AD96/X96-1)-(ALGN!AD$59)</f>
        <v>2.4756600838973498E-2</v>
      </c>
      <c r="AE97" s="315">
        <f>IF(ISERROR(AE96/Y96-1),"NM",AE96/Y96-1)-(ALGN!AE$59)</f>
        <v>3.0959078946088653E-2</v>
      </c>
      <c r="AF97" s="115"/>
      <c r="AG97" s="315">
        <f>IF(ISERROR(AG96/AA96-1),"NM",AG96/AA96-1)-(ALGN!AG$59)</f>
        <v>-3.7627492398066516E-2</v>
      </c>
      <c r="AH97" s="315">
        <f>IF(ISERROR(AH96/AB96-1),"NM",AH96/AB96-1)-(ALGN!AH$59)</f>
        <v>-7.081916694389051E-2</v>
      </c>
      <c r="AI97" s="315">
        <f>IF(ISERROR(AI96/AC96-1),"NM",AI96/AC96-1)-(ALGN!AI$59)</f>
        <v>-5.8891916241865447E-2</v>
      </c>
      <c r="AJ97" s="315">
        <f>IF(ISERROR(AJ96/AD96-1),"NM",AJ96/AD96-1)-(ALGN!AJ$59)</f>
        <v>-0.12253645605579977</v>
      </c>
      <c r="AK97" s="315">
        <f>IF(ISERROR(AK96/AE96-1),"NM",AK96/AE96-1)-(ALGN!AK$59)</f>
        <v>-7.4504953570060053E-2</v>
      </c>
      <c r="AL97" s="115"/>
      <c r="AM97" s="315">
        <f>IF(ISERROR(AM96/AG96-1),"NM",AM96/AG96-1)-(ALGN!AM$59)</f>
        <v>-7.5350897531733324E-2</v>
      </c>
      <c r="AN97" s="315">
        <f>IF(ISERROR(AN96/AH96-1),"NM",AN96/AH96-1)-(ALGN!AN$59)</f>
        <v>1.1769751318964135E-2</v>
      </c>
      <c r="AO97" s="315">
        <f>IF(ISERROR(AO96/AI96-1),"NM",AO96/AI96-1)-(ALGN!AO$59)</f>
        <v>5.1919090017860367E-2</v>
      </c>
      <c r="AP97" s="315">
        <f>IF(ISERROR(AP96/AJ96-1),"NM",AP96/AJ96-1)-(ALGN!AP$59)</f>
        <v>0.20228020152118975</v>
      </c>
      <c r="AQ97" s="315">
        <f>IF(ISERROR(AQ96/AK96-1),"NM",AQ96/AK96-1)-(ALGN!AQ$59)</f>
        <v>4.6806365996239829E-2</v>
      </c>
      <c r="AR97" s="115"/>
      <c r="AS97" s="315">
        <f>IF(ISERROR(AS96/AM96-1),"NM",AS96/AM96-1)-(ALGN!AS$59)</f>
        <v>0.15941237606491798</v>
      </c>
      <c r="AT97" s="315">
        <f>IF(ISERROR(AT96/AN96-1),"NM",AT96/AN96-1)-(ALGN!AT$59)</f>
        <v>9.0717417351024912E-2</v>
      </c>
      <c r="AU97" s="315">
        <f>IF(ISERROR(AU96/AO96-1),"NM",AU96/AO96-1)-(ALGN!AU$59)</f>
        <v>3.2797442239172213E-2</v>
      </c>
      <c r="AV97" s="315">
        <f>IF(ISERROR(AV96/AP96-1),"NM",AV96/AP96-1)-(ALGN!AV$59)</f>
        <v>-1.011280359648702E-2</v>
      </c>
      <c r="AW97" s="315">
        <f>IF(ISERROR(AW96/AQ96-1),"NM",AW96/AQ96-1)-(ALGN!AW$59)</f>
        <v>6.4221337403936554E-2</v>
      </c>
      <c r="AX97" s="115"/>
      <c r="AY97" s="315">
        <f>IF(ISERROR(AY96/AS96-1),"NM",AY96/AS96-1)-(ALGN!AY$59)</f>
        <v>-3.5481673592326193E-2</v>
      </c>
      <c r="AZ97" s="315">
        <f>IF(ISERROR(AZ96/AT96-1),"NM",AZ96/AT96-1)-(ALGN!AZ$59)</f>
        <v>-7.2894215413039448E-2</v>
      </c>
      <c r="BA97" s="315">
        <f>IF(ISERROR(BA96/AU96-1),"NM",BA96/AU96-1)-(ALGN!BA$59)</f>
        <v>-3.8702729758535045E-2</v>
      </c>
      <c r="BB97" s="315">
        <f>IF(ISERROR(BB96/AV96-1),"NM",BB96/AV96-1)-(ALGN!BB$59)</f>
        <v>-6.7545444188594206E-2</v>
      </c>
      <c r="BC97" s="315">
        <f>IF(ISERROR(BC96/AW96-1),"NM",BC96/AW96-1)-(ALGN!BC$59)</f>
        <v>-5.4962611637591363E-2</v>
      </c>
      <c r="BD97" s="115"/>
      <c r="BE97" s="315">
        <f>IF(ISERROR(BE96/AY96-1),"NM",BE96/AY96-1)</f>
        <v>-6.7383275638251972E-2</v>
      </c>
      <c r="BF97" s="315">
        <f>IF(ISERROR(BF96/AZ96-1),"NM",BF96/AZ96-1)</f>
        <v>2.772875000000008E-3</v>
      </c>
      <c r="BG97" s="315">
        <f>IF(ISERROR(BG96/BA96-1),"NM",BG96/BA96-1)</f>
        <v>-1.9856499999999833E-2</v>
      </c>
      <c r="BH97" s="315">
        <f>IF(ISERROR(BH96/BB96-1),"NM",BH96/BB96-1)</f>
        <v>-6.3427350204081634E-2</v>
      </c>
      <c r="BI97" s="315">
        <f>IF(ISERROR(BI96/BC96-1),"NM",BI96/BC96-1)</f>
        <v>-3.3043383635886769E-2</v>
      </c>
      <c r="BJ97" s="115"/>
      <c r="BK97" s="315">
        <f>+BK96/BE96-1</f>
        <v>5.7803468208093012E-3</v>
      </c>
      <c r="BL97" s="315">
        <f>+BL96/BF96-1</f>
        <v>4.0462427745664886E-2</v>
      </c>
      <c r="BM97" s="315">
        <f>+BM96/BG96-1</f>
        <v>0.11764705882352944</v>
      </c>
      <c r="BN97" s="315">
        <f>+BN96/BH96-1</f>
        <v>0.2222222222222221</v>
      </c>
      <c r="BO97" s="315">
        <f>IF(ISERROR(BO96/BI96-1),"NM",BO96/BI96-1)</f>
        <v>7.325210423412698E-2</v>
      </c>
      <c r="BP97" s="115"/>
      <c r="BQ97" s="315">
        <f>+BQ96/BK96-1</f>
        <v>0.13218390804597702</v>
      </c>
      <c r="BR97" s="478">
        <v>0.05</v>
      </c>
      <c r="BS97" s="478">
        <v>0</v>
      </c>
      <c r="BT97" s="478">
        <v>0</v>
      </c>
      <c r="BU97" s="315">
        <f>IF(ISERROR(BU96/BO96-1),"NM",BU96/BO96-1)</f>
        <v>5.4452771410994361E-2</v>
      </c>
      <c r="BV97" s="115"/>
      <c r="BW97" s="478">
        <v>-0.03</v>
      </c>
      <c r="BX97" s="478">
        <f>+BW97</f>
        <v>-0.03</v>
      </c>
      <c r="BY97" s="478">
        <f>+BX97</f>
        <v>-0.03</v>
      </c>
      <c r="BZ97" s="478">
        <f>+BY97</f>
        <v>-0.03</v>
      </c>
      <c r="CA97" s="315">
        <f>IF(ISERROR(CA96/BU96-1),"NM",CA96/BU96-1)</f>
        <v>-1.9999999999999796E-2</v>
      </c>
      <c r="CB97" s="115"/>
      <c r="CC97" s="478">
        <v>-0.03</v>
      </c>
      <c r="CD97" s="478">
        <f>+CC97</f>
        <v>-0.03</v>
      </c>
      <c r="CE97" s="478">
        <f>+CD97</f>
        <v>-0.03</v>
      </c>
      <c r="CF97" s="478">
        <f>+CE97</f>
        <v>-0.03</v>
      </c>
      <c r="CG97" s="315">
        <f>IF(ISERROR(CG96/CA96-1),"NM",CG96/CA96-1)</f>
        <v>-2.1428571428571352E-2</v>
      </c>
    </row>
    <row r="98" spans="1:87" ht="12.75" customHeight="1" outlineLevel="1" x14ac:dyDescent="0.2">
      <c r="A98" s="230"/>
      <c r="B98" s="290" t="s">
        <v>71</v>
      </c>
      <c r="C98" s="315"/>
      <c r="D98" s="315"/>
      <c r="E98" s="315"/>
      <c r="F98" s="315"/>
      <c r="G98" s="315"/>
      <c r="H98" s="115"/>
      <c r="I98" s="315"/>
      <c r="J98" s="315"/>
      <c r="K98" s="315"/>
      <c r="L98" s="315"/>
      <c r="M98" s="315"/>
      <c r="N98" s="115"/>
      <c r="O98" s="315"/>
      <c r="P98" s="315"/>
      <c r="Q98" s="315"/>
      <c r="R98" s="315"/>
      <c r="S98" s="315"/>
      <c r="T98" s="115"/>
      <c r="U98" s="315"/>
      <c r="V98" s="315"/>
      <c r="W98" s="315"/>
      <c r="X98" s="315"/>
      <c r="Y98" s="315"/>
      <c r="Z98" s="115"/>
      <c r="AA98" s="315"/>
      <c r="AB98" s="315"/>
      <c r="AC98" s="315"/>
      <c r="AD98" s="315"/>
      <c r="AE98" s="315">
        <f>+AE97+Y97</f>
        <v>9.1579816715992773E-2</v>
      </c>
      <c r="AF98" s="115"/>
      <c r="AG98" s="315">
        <f>+AG97+AA97</f>
        <v>-4.698135613269587E-3</v>
      </c>
      <c r="AH98" s="315">
        <f>+AH97+AB97</f>
        <v>-3.2138301960887891E-2</v>
      </c>
      <c r="AI98" s="315">
        <f>+AI97+AC97</f>
        <v>-3.2022247478407574E-2</v>
      </c>
      <c r="AJ98" s="315">
        <f>+AJ97+AD97</f>
        <v>-9.7779855216826278E-2</v>
      </c>
      <c r="AK98" s="315">
        <f>+AK97+AE97</f>
        <v>-4.3545874623971401E-2</v>
      </c>
      <c r="AL98" s="115"/>
      <c r="AM98" s="315">
        <f>+AM97+AG97</f>
        <v>-0.11297838992979983</v>
      </c>
      <c r="AN98" s="315">
        <f>+AN97+AH97</f>
        <v>-5.9049415624926375E-2</v>
      </c>
      <c r="AO98" s="315">
        <f>+AO97+AI97</f>
        <v>-6.9728262240050798E-3</v>
      </c>
      <c r="AP98" s="315">
        <f>+AP97+AJ97</f>
        <v>7.9743745465389981E-2</v>
      </c>
      <c r="AQ98" s="315">
        <f>+AQ97+AK97</f>
        <v>-2.7698587573820224E-2</v>
      </c>
      <c r="AR98" s="115"/>
      <c r="AS98" s="315">
        <f>+AS97+AM97</f>
        <v>8.4061478533184658E-2</v>
      </c>
      <c r="AT98" s="315">
        <f>+AT97+AN97</f>
        <v>0.10248716866998905</v>
      </c>
      <c r="AU98" s="315">
        <f>+AU97+AO97</f>
        <v>8.4716532257032573E-2</v>
      </c>
      <c r="AV98" s="315">
        <f>+AV97+AP97</f>
        <v>0.19216739792470272</v>
      </c>
      <c r="AW98" s="315">
        <f>+AW97+AQ97</f>
        <v>0.11102770340017638</v>
      </c>
      <c r="AX98" s="115"/>
      <c r="AY98" s="315">
        <f>+AY97+AS97</f>
        <v>0.12393070247259179</v>
      </c>
      <c r="AZ98" s="315">
        <f>+AZ97+AT97</f>
        <v>1.7823201937985464E-2</v>
      </c>
      <c r="BA98" s="315">
        <f>+BA97+AU97</f>
        <v>-5.9052875193628326E-3</v>
      </c>
      <c r="BB98" s="315">
        <f>+BB97+AV97</f>
        <v>-7.7658247785081222E-2</v>
      </c>
      <c r="BC98" s="315">
        <f>+BC97+AW97</f>
        <v>9.2587257663451911E-3</v>
      </c>
      <c r="BD98" s="115"/>
      <c r="BE98" s="315">
        <f>+BE97+AY97</f>
        <v>-0.10286494923057816</v>
      </c>
      <c r="BF98" s="315">
        <f>+BF97+AZ97</f>
        <v>-7.012134041303944E-2</v>
      </c>
      <c r="BG98" s="315">
        <f>+BG97+BA97</f>
        <v>-5.8559229758534878E-2</v>
      </c>
      <c r="BH98" s="810">
        <f>+BH97+BB97</f>
        <v>-0.13097279439267584</v>
      </c>
      <c r="BI98" s="315">
        <f>+BI97+BC97</f>
        <v>-8.8005995273478133E-2</v>
      </c>
      <c r="BJ98" s="115"/>
      <c r="BK98" s="315">
        <f>+BK97+BE97</f>
        <v>-6.160292881744267E-2</v>
      </c>
      <c r="BL98" s="315">
        <f>+BL97+BF97</f>
        <v>4.3235302745664894E-2</v>
      </c>
      <c r="BM98" s="315">
        <f>+BM97+BG97</f>
        <v>9.7790558823529605E-2</v>
      </c>
      <c r="BN98" s="315">
        <f>+BN97+BH97</f>
        <v>0.15879487201814046</v>
      </c>
      <c r="BO98" s="315">
        <f>+BO97+BI97</f>
        <v>4.0208720598240211E-2</v>
      </c>
      <c r="BP98" s="115"/>
      <c r="BQ98" s="315">
        <f>+BQ97+BK97</f>
        <v>0.13796425486678632</v>
      </c>
      <c r="BR98" s="315">
        <f>+BR97+BL97</f>
        <v>9.0462427745664889E-2</v>
      </c>
      <c r="BS98" s="315">
        <f>+BS97+BM97</f>
        <v>0.11764705882352944</v>
      </c>
      <c r="BT98" s="315">
        <f>+BT97+BN97</f>
        <v>0.2222222222222221</v>
      </c>
      <c r="BU98" s="315">
        <f>+BU97+BO97</f>
        <v>0.12770487564512134</v>
      </c>
      <c r="BV98" s="115"/>
      <c r="BW98" s="315">
        <f>+BW97+BQ97</f>
        <v>0.10218390804597702</v>
      </c>
      <c r="BX98" s="315">
        <f>+BX97+BR97</f>
        <v>2.0000000000000004E-2</v>
      </c>
      <c r="BY98" s="315">
        <f>+BY97+BS97</f>
        <v>-0.03</v>
      </c>
      <c r="BZ98" s="315">
        <f>+BZ97+BT97</f>
        <v>-0.03</v>
      </c>
      <c r="CA98" s="315">
        <f>+CA97+BU97</f>
        <v>3.4452771410994565E-2</v>
      </c>
      <c r="CB98" s="115"/>
      <c r="CC98" s="315">
        <f>+CC97+BW97</f>
        <v>-0.06</v>
      </c>
      <c r="CD98" s="315">
        <f>+CD97+BX97</f>
        <v>-0.06</v>
      </c>
      <c r="CE98" s="315">
        <f>+CE97+BY97</f>
        <v>-0.06</v>
      </c>
      <c r="CF98" s="315">
        <f>+CF97+BZ97</f>
        <v>-0.06</v>
      </c>
      <c r="CG98" s="315">
        <f>+CG97+CA97</f>
        <v>-4.1428571428571148E-2</v>
      </c>
    </row>
    <row r="99" spans="1:87" ht="12.75" customHeight="1" outlineLevel="1" x14ac:dyDescent="0.2">
      <c r="A99" s="230"/>
      <c r="B99" s="32" t="s">
        <v>148</v>
      </c>
      <c r="C99" s="406"/>
      <c r="D99" s="406"/>
      <c r="E99" s="406"/>
      <c r="F99" s="406"/>
      <c r="G99" s="406"/>
      <c r="H99" s="192"/>
      <c r="I99" s="406"/>
      <c r="J99" s="406"/>
      <c r="K99" s="406"/>
      <c r="L99" s="406"/>
      <c r="M99" s="406"/>
      <c r="N99" s="192"/>
      <c r="O99" s="406">
        <f>ALGN!O19/O76</f>
        <v>0</v>
      </c>
      <c r="P99" s="406">
        <f>ALGN!P19/P76</f>
        <v>0</v>
      </c>
      <c r="Q99" s="406">
        <f>ALGN!Q19/Q76</f>
        <v>0</v>
      </c>
      <c r="R99" s="406">
        <f>ALGN!R19/R76</f>
        <v>0</v>
      </c>
      <c r="S99" s="406">
        <f>ALGN!S19/S76</f>
        <v>1.0011596443757245</v>
      </c>
      <c r="T99" s="192"/>
      <c r="U99" s="699">
        <f>ALGN!U19/U76</f>
        <v>1.1126187245590229</v>
      </c>
      <c r="V99" s="699">
        <f>ALGN!V19/V76</f>
        <v>1.2334801762114538</v>
      </c>
      <c r="W99" s="699">
        <f>ALGN!W19/W76</f>
        <v>1.4888010540184455</v>
      </c>
      <c r="X99" s="699">
        <f>ALGN!X19/X76</f>
        <v>1.5273775216138328</v>
      </c>
      <c r="Y99" s="699">
        <f>ALGN!Y19/Y76</f>
        <v>1.3409961685823755</v>
      </c>
      <c r="Z99" s="192"/>
      <c r="AA99" s="699">
        <f>ALGN!AA19/AA76</f>
        <v>1.5006305170239598</v>
      </c>
      <c r="AB99" s="699">
        <f>ALGN!AB19/AB76</f>
        <v>1.485780615206036</v>
      </c>
      <c r="AC99" s="699">
        <f>ALGN!AC19/AC76</f>
        <v>1.3128729752770674</v>
      </c>
      <c r="AD99" s="699">
        <f>ALGN!AD19/AD76</f>
        <v>1.4678899082568806</v>
      </c>
      <c r="AE99" s="699">
        <f>ALGN!AE19/AE76</f>
        <v>1.4310095838256531</v>
      </c>
      <c r="AF99" s="192"/>
      <c r="AG99" s="699">
        <f>ALGN!AG19/AG76</f>
        <v>1.5247106190236537</v>
      </c>
      <c r="AH99" s="699">
        <f>ALGN!AH19/AH76</f>
        <v>1.3811129848229342</v>
      </c>
      <c r="AI99" s="699">
        <f>ALGN!AI19/AI76</f>
        <v>1.2541107107762854</v>
      </c>
      <c r="AJ99" s="699">
        <f>ALGN!AJ19/AJ76</f>
        <v>1.4620168813860503</v>
      </c>
      <c r="AK99" s="699">
        <f>ALGN!AK19/AK76</f>
        <v>1.3893614819414257</v>
      </c>
      <c r="AL99" s="192"/>
      <c r="AM99" s="699">
        <f>ALGN!AM19/AM76</f>
        <v>1.4763910969793324</v>
      </c>
      <c r="AN99" s="699">
        <f>ALGN!AN19/AN76</f>
        <v>1.4322557471264368</v>
      </c>
      <c r="AO99" s="699">
        <f>ALGN!AO19/AO76</f>
        <v>1.3404171364148818</v>
      </c>
      <c r="AP99" s="699">
        <f>ALGN!AP19/AP76</f>
        <v>1.469771986970684</v>
      </c>
      <c r="AQ99" s="699">
        <f>ALGN!AQ19/AQ76</f>
        <v>1.4238966269508306</v>
      </c>
      <c r="AR99" s="192"/>
      <c r="AS99" s="699">
        <f>ALGN!AS19/AS76</f>
        <v>1.5342981389694195</v>
      </c>
      <c r="AT99" s="699">
        <f>ALGN!AT19/AT76</f>
        <v>1.4322557471264368</v>
      </c>
      <c r="AU99" s="699">
        <f>ALGN!AU19/AU76</f>
        <v>1.3404171364148816</v>
      </c>
      <c r="AV99" s="699">
        <f>ALGN!AV19/AV76</f>
        <v>1.469771986970684</v>
      </c>
      <c r="AW99" s="699">
        <f>ALGN!AW19/AW76</f>
        <v>1.4398442375467597</v>
      </c>
      <c r="AX99" s="192"/>
      <c r="AY99" s="699">
        <f>+AY93</f>
        <v>1.3982714921489874</v>
      </c>
      <c r="AZ99" s="699">
        <f>+AZ93</f>
        <v>1.3668039744400655</v>
      </c>
      <c r="BA99" s="699">
        <f>+BA93</f>
        <v>1.3182674903015259</v>
      </c>
      <c r="BB99" s="699">
        <f>+BB93</f>
        <v>1.2834993612638923</v>
      </c>
      <c r="BC99" s="699">
        <f>ALGN!BC19/BC76</f>
        <v>1.4541262674856321</v>
      </c>
      <c r="BD99" s="192"/>
      <c r="BE99" s="699">
        <f>+BE93</f>
        <v>1.405</v>
      </c>
      <c r="BF99" s="699">
        <f>+BF93</f>
        <v>1.4450000000000001</v>
      </c>
      <c r="BG99" s="699">
        <f>+BG93</f>
        <v>1.38</v>
      </c>
      <c r="BH99" s="699">
        <f>+BH93</f>
        <v>1.335</v>
      </c>
      <c r="BI99" s="699">
        <f>ALGN!BI19/BI76</f>
        <v>1.4925218703864866</v>
      </c>
      <c r="BJ99" s="192"/>
      <c r="BK99" s="699">
        <f>+BK93</f>
        <v>1.37</v>
      </c>
      <c r="BL99" s="699">
        <f>+BL93</f>
        <v>1.395</v>
      </c>
      <c r="BM99" s="699">
        <f>+BM93</f>
        <v>1.405</v>
      </c>
      <c r="BN99" s="699">
        <f>+BN93</f>
        <v>1.385</v>
      </c>
      <c r="BO99" s="699">
        <f>ALGN!BO19/BO76</f>
        <v>1.5004224258258736</v>
      </c>
      <c r="BP99" s="192"/>
      <c r="BQ99" s="699">
        <f>+BQ93</f>
        <v>1.39</v>
      </c>
      <c r="BR99" s="699">
        <f t="shared" ref="BR99:BT99" si="168">+BR93</f>
        <v>1.395</v>
      </c>
      <c r="BS99" s="699">
        <f t="shared" si="168"/>
        <v>1.405</v>
      </c>
      <c r="BT99" s="699">
        <f t="shared" si="168"/>
        <v>1.385</v>
      </c>
      <c r="BU99" s="699">
        <f>ALGN!BU19/BU76</f>
        <v>1.5423791958769175</v>
      </c>
      <c r="BV99" s="192"/>
      <c r="BW99" s="699">
        <f t="shared" ref="BW99:BZ99" si="169">+BW93</f>
        <v>1.4038999999999999</v>
      </c>
      <c r="BX99" s="699">
        <f t="shared" si="169"/>
        <v>1.4089499999999999</v>
      </c>
      <c r="BY99" s="699">
        <f t="shared" si="169"/>
        <v>1.4190500000000001</v>
      </c>
      <c r="BZ99" s="699">
        <f t="shared" si="169"/>
        <v>1.3988499999999999</v>
      </c>
      <c r="CA99" s="699">
        <f>ALGN!CA19/CA76</f>
        <v>1.554718229443933</v>
      </c>
      <c r="CB99" s="192"/>
      <c r="CC99" s="699">
        <f t="shared" ref="CC99:CF99" si="170">+CC93</f>
        <v>1.4179389999999998</v>
      </c>
      <c r="CD99" s="699">
        <f t="shared" si="170"/>
        <v>1.4230395</v>
      </c>
      <c r="CE99" s="699">
        <f t="shared" si="170"/>
        <v>1.4332405000000001</v>
      </c>
      <c r="CF99" s="699">
        <f t="shared" si="170"/>
        <v>1.4128384999999999</v>
      </c>
      <c r="CG99" s="699">
        <f>ALGN!CG19/CG76</f>
        <v>1.5673582150491685</v>
      </c>
      <c r="CI99" s="665">
        <f>+CG99/AW99-1</f>
        <v>8.8560952759494382E-2</v>
      </c>
    </row>
    <row r="100" spans="1:87" ht="12.75" customHeight="1" outlineLevel="1" x14ac:dyDescent="0.2">
      <c r="A100" s="230"/>
      <c r="B100" s="290" t="s">
        <v>536</v>
      </c>
      <c r="C100" s="315"/>
      <c r="D100" s="315"/>
      <c r="E100" s="315"/>
      <c r="F100" s="315"/>
      <c r="G100" s="315"/>
      <c r="H100" s="115"/>
      <c r="I100" s="315" t="str">
        <f>IF(ISERROR(I99/C99-1),"NM",I99/C99-1)</f>
        <v>NM</v>
      </c>
      <c r="J100" s="315" t="str">
        <f>IF(ISERROR(J99/D99-1),"NM",J99/D99-1)</f>
        <v>NM</v>
      </c>
      <c r="K100" s="315" t="str">
        <f>IF(ISERROR(K99/E99-1),"NM",K99/E99-1)</f>
        <v>NM</v>
      </c>
      <c r="L100" s="315" t="str">
        <f>IF(ISERROR(L99/F99-1),"NM",L99/F99-1)</f>
        <v>NM</v>
      </c>
      <c r="M100" s="315" t="str">
        <f>IF(ISERROR(M99/G99-1),"NM",M99/G99-1)</f>
        <v>NM</v>
      </c>
      <c r="N100" s="115"/>
      <c r="O100" s="315" t="str">
        <f>IF(ISERROR(O99/I99-1),"NM",O99/I99-1)</f>
        <v>NM</v>
      </c>
      <c r="P100" s="315" t="str">
        <f>IF(ISERROR(P99/J99-1),"NM",P99/J99-1)</f>
        <v>NM</v>
      </c>
      <c r="Q100" s="315" t="str">
        <f>IF(ISERROR(Q99/K99-1),"NM",Q99/K99-1)</f>
        <v>NM</v>
      </c>
      <c r="R100" s="315" t="str">
        <f>IF(ISERROR(R99/L99-1),"NM",R99/L99-1)</f>
        <v>NM</v>
      </c>
      <c r="S100" s="315" t="str">
        <f>IF(ISERROR(S99/M99-1),"NM",S99/M99-1)</f>
        <v>NM</v>
      </c>
      <c r="T100" s="115"/>
      <c r="U100" s="315" t="str">
        <f>IF(ISERROR(U99/O99-1),"NM",U99/O99-1)</f>
        <v>NM</v>
      </c>
      <c r="V100" s="315" t="str">
        <f>IF(ISERROR(V99/P99-1),"NM",V99/P99-1)</f>
        <v>NM</v>
      </c>
      <c r="W100" s="315" t="str">
        <f>IF(ISERROR(W99/Q99-1),"NM",W99/Q99-1)</f>
        <v>NM</v>
      </c>
      <c r="X100" s="315" t="str">
        <f>IF(ISERROR(X99/R99-1),"NM",X99/R99-1)</f>
        <v>NM</v>
      </c>
      <c r="Y100" s="315">
        <f>IF(ISERROR(Y99/S99-1),"NM",Y99/S99-1)-(ALGN!Y$59)</f>
        <v>0.34954631849080825</v>
      </c>
      <c r="Z100" s="315"/>
      <c r="AA100" s="315">
        <f>IF(ISERROR(AA99/U99-1),"NM",AA99/U99-1)-(ALGN!AA$59)</f>
        <v>0.34985615366124223</v>
      </c>
      <c r="AB100" s="315">
        <f>IF(ISERROR(AB99/V99-1),"NM",AB99/V99-1)-(ALGN!AB$59)</f>
        <v>0.1748014788139054</v>
      </c>
      <c r="AC100" s="315">
        <f>IF(ISERROR(AC99/W99-1),"NM",AC99/W99-1)-(ALGN!AC$59)</f>
        <v>-0.13671588493309295</v>
      </c>
      <c r="AD100" s="315">
        <f>IF(ISERROR(AD99/X99-1),"NM",AD99/X99-1)-(ALGN!AD$59)</f>
        <v>-3.7916947327116444E-2</v>
      </c>
      <c r="AE100" s="315">
        <f>IF(ISERROR(AE99/Y99-1),"NM",AE99/Y99-1)-(ALGN!AE$59)</f>
        <v>5.5387372484308722E-2</v>
      </c>
      <c r="AF100" s="315"/>
      <c r="AG100" s="315">
        <f>IF(ISERROR(AG99/AA99-1),"NM",AG99/AA99-1)-(ALGN!AG$59)</f>
        <v>2.364947447079024E-2</v>
      </c>
      <c r="AH100" s="315">
        <f>IF(ISERROR(AH99/AB99-1),"NM",AH99/AB99-1)-(ALGN!AH$59)</f>
        <v>-4.9102166441317208E-2</v>
      </c>
      <c r="AI100" s="315">
        <f>IF(ISERROR(AI99/AC99-1),"NM",AI99/AC99-1)-(ALGN!AI$59)</f>
        <v>-2.1642558662704078E-2</v>
      </c>
      <c r="AJ100" s="315">
        <f>IF(ISERROR(AJ99/AD99-1),"NM",AJ99/AD99-1)-(ALGN!AJ$59)</f>
        <v>3.9889162185899815E-3</v>
      </c>
      <c r="AK100" s="315">
        <f>IF(ISERROR(AK99/AE99-1),"NM",AK99/AE99-1)-(ALGN!AK$59)</f>
        <v>-1.3887044180865745E-2</v>
      </c>
      <c r="AL100" s="315"/>
      <c r="AM100" s="315">
        <f>IF(ISERROR(AM99/AG99-1),"NM",AM99/AG99-1)-(ALGN!AM$59)</f>
        <v>-3.1647166645124042E-2</v>
      </c>
      <c r="AN100" s="315">
        <f>IF(ISERROR(AN99/AH99-1),"NM",AN99/AH99-1)-(ALGN!AN$59)</f>
        <v>3.8597524308722937E-2</v>
      </c>
      <c r="AO100" s="315">
        <f>IF(ISERROR(AO99/AI99-1),"NM",AO99/AI99-1)-(ALGN!AO$59)</f>
        <v>6.8300212301995164E-2</v>
      </c>
      <c r="AP100" s="315">
        <f>IF(ISERROR(AP99/AJ99-1),"NM",AP99/AJ99-1)-(ALGN!AP$59)</f>
        <v>9.3646384575227851E-3</v>
      </c>
      <c r="AQ100" s="315">
        <f>IF(ISERROR(AQ99/AK99-1),"NM",AQ99/AK99-1)-(ALGN!AQ$59)</f>
        <v>2.6184156144995977E-2</v>
      </c>
      <c r="AR100" s="315"/>
      <c r="AS100" s="315">
        <f>IF(ISERROR(AS99/AM99-1),"NM",AS99/AM99-1)-(ALGN!AS$59)</f>
        <v>3.4048638152116784E-2</v>
      </c>
      <c r="AT100" s="315">
        <f>IF(ISERROR(AT99/AN99-1),"NM",AT99/AN99-1)-(ALGN!AT$59)</f>
        <v>-6.5361072273589583E-3</v>
      </c>
      <c r="AU100" s="315">
        <f>IF(ISERROR(AU99/AO99-1),"NM",AU99/AO99-1)-(ALGN!AU$59)</f>
        <v>1.5203365023159447E-3</v>
      </c>
      <c r="AV100" s="315">
        <f>IF(ISERROR(AV99/AP99-1),"NM",AV99/AP99-1)-(ALGN!AV$59)</f>
        <v>2.5443962483559856E-2</v>
      </c>
      <c r="AW100" s="315">
        <f>IF(ISERROR(AW99/AQ99-1),"NM",AW99/AQ99-1)-(ALGN!AW$59)</f>
        <v>1.5624708839219528E-2</v>
      </c>
      <c r="AX100" s="315"/>
      <c r="AY100" s="315">
        <f>IF(ISERROR(AY99/AS99-1),"NM",AY99/AS99-1)</f>
        <v>-8.865724552843457E-2</v>
      </c>
      <c r="AZ100" s="315">
        <f t="shared" ref="AZ100" si="171">IF(ISERROR(AZ99/AT99-1),"NM",AZ99/AT99-1)</f>
        <v>-4.5698383698364209E-2</v>
      </c>
      <c r="BA100" s="315">
        <f t="shared" ref="BA100" si="172">IF(ISERROR(BA99/AU99-1),"NM",BA99/AU99-1)</f>
        <v>-1.6524442661631222E-2</v>
      </c>
      <c r="BB100" s="315">
        <f t="shared" ref="BB100" si="173">IF(ISERROR(BB99/AV99-1),"NM",BB99/AV99-1)</f>
        <v>-0.12673573000306959</v>
      </c>
      <c r="BC100" s="315">
        <f>IF(ISERROR(BC99/AW99-1),"NM",BC99/AW99-1)</f>
        <v>9.9191492846522067E-3</v>
      </c>
      <c r="BD100" s="115"/>
      <c r="BE100" s="315">
        <f>IF(ISERROR(BE99/AY99-1),"NM",BE99/AY99-1)</f>
        <v>4.8120181873061441E-3</v>
      </c>
      <c r="BF100" s="315">
        <f t="shared" ref="BF100" si="174">IF(ISERROR(BF99/AZ99-1),"NM",BF99/AZ99-1)</f>
        <v>5.7210856144875422E-2</v>
      </c>
      <c r="BG100" s="315">
        <f t="shared" ref="BG100" si="175">IF(ISERROR(BG99/BA99-1),"NM",BG99/BA99-1)</f>
        <v>4.6828515572627794E-2</v>
      </c>
      <c r="BH100" s="315">
        <f t="shared" ref="BH100" si="176">IF(ISERROR(BH99/BB99-1),"NM",BH99/BB99-1)</f>
        <v>4.0125176755361869E-2</v>
      </c>
      <c r="BI100" s="315">
        <f>IF(ISERROR(BI99/BC99-1),"NM",BI99/BC99-1)</f>
        <v>2.6404586561279419E-2</v>
      </c>
      <c r="BJ100" s="115"/>
      <c r="BK100" s="315">
        <f>IF(ISERROR(BK99/BE99-1),"NM",BK99/BE99-1)</f>
        <v>-2.4911032028469671E-2</v>
      </c>
      <c r="BL100" s="315">
        <f>IF(ISERROR(BL99/BF99-1),"NM",BL99/BF99-1)</f>
        <v>-3.4602076124567449E-2</v>
      </c>
      <c r="BM100" s="315">
        <f>IF(ISERROR(BM99/BG99-1),"NM",BM99/BG99-1)</f>
        <v>1.8115942028985588E-2</v>
      </c>
      <c r="BN100" s="315">
        <f>IF(ISERROR(BN99/BH99-1),"NM",BN99/BH99-1)</f>
        <v>3.7453183520599342E-2</v>
      </c>
      <c r="BO100" s="315">
        <f>IF(ISERROR(BO99/BI99-1),"NM",BO99/BI99-1)</f>
        <v>5.2934269146360791E-3</v>
      </c>
      <c r="BP100" s="115"/>
      <c r="BQ100" s="315">
        <f>IF(ISERROR(BQ99/BK99-1),"NM",BQ99/BK99-1)</f>
        <v>1.4598540145985162E-2</v>
      </c>
      <c r="BR100" s="315">
        <f t="shared" ref="BR100:BT100" si="177">+BR99/BL99-1</f>
        <v>0</v>
      </c>
      <c r="BS100" s="315">
        <f t="shared" si="177"/>
        <v>0</v>
      </c>
      <c r="BT100" s="315">
        <f t="shared" si="177"/>
        <v>0</v>
      </c>
      <c r="BU100" s="315">
        <f t="shared" ref="BU100" si="178">IF(ISERROR(BU99/BO99-1),"NM",BU99/BO99-1)</f>
        <v>2.7963305085865864E-2</v>
      </c>
      <c r="BV100" s="115"/>
      <c r="BW100" s="315">
        <f t="shared" ref="BW100" si="179">IF(ISERROR(BW99/BQ99-1),"NM",BW99/BQ99-1)</f>
        <v>1.0000000000000009E-2</v>
      </c>
      <c r="BX100" s="315">
        <f t="shared" ref="BX100:BZ100" si="180">+BX99/BR99-1</f>
        <v>1.0000000000000009E-2</v>
      </c>
      <c r="BY100" s="315">
        <f t="shared" si="180"/>
        <v>1.0000000000000009E-2</v>
      </c>
      <c r="BZ100" s="315">
        <f t="shared" si="180"/>
        <v>1.0000000000000009E-2</v>
      </c>
      <c r="CA100" s="315">
        <f t="shared" ref="CA100" si="181">IF(ISERROR(CA99/BU99-1),"NM",CA99/BU99-1)</f>
        <v>8.0000000000000071E-3</v>
      </c>
      <c r="CB100" s="115"/>
      <c r="CC100" s="315">
        <f t="shared" ref="CC100" si="182">IF(ISERROR(CC99/BW99-1),"NM",CC99/BW99-1)</f>
        <v>1.0000000000000009E-2</v>
      </c>
      <c r="CD100" s="315">
        <f t="shared" ref="CD100:CF100" si="183">+CD99/BX99-1</f>
        <v>1.0000000000000009E-2</v>
      </c>
      <c r="CE100" s="315">
        <f t="shared" si="183"/>
        <v>1.0000000000000009E-2</v>
      </c>
      <c r="CF100" s="315">
        <f t="shared" si="183"/>
        <v>1.0000000000000009E-2</v>
      </c>
      <c r="CG100" s="315">
        <f t="shared" ref="CG100" si="184">IF(ISERROR(CG99/CA99-1),"NM",CG99/CA99-1)</f>
        <v>8.1300813008131634E-3</v>
      </c>
    </row>
    <row r="101" spans="1:87" ht="12.75" customHeight="1" outlineLevel="1" x14ac:dyDescent="0.2">
      <c r="A101" s="230"/>
      <c r="B101" s="290" t="s">
        <v>71</v>
      </c>
      <c r="C101" s="315"/>
      <c r="D101" s="315"/>
      <c r="E101" s="315"/>
      <c r="F101" s="315"/>
      <c r="G101" s="315"/>
      <c r="H101" s="115"/>
      <c r="I101" s="315"/>
      <c r="J101" s="315"/>
      <c r="K101" s="315"/>
      <c r="L101" s="315"/>
      <c r="M101" s="315"/>
      <c r="N101" s="115"/>
      <c r="O101" s="315"/>
      <c r="P101" s="315"/>
      <c r="Q101" s="315"/>
      <c r="R101" s="315"/>
      <c r="S101" s="315"/>
      <c r="T101" s="115"/>
      <c r="U101" s="315"/>
      <c r="V101" s="315"/>
      <c r="W101" s="315"/>
      <c r="X101" s="315"/>
      <c r="Y101" s="315"/>
      <c r="Z101" s="115"/>
      <c r="AA101" s="315"/>
      <c r="AB101" s="315"/>
      <c r="AC101" s="315"/>
      <c r="AD101" s="315"/>
      <c r="AE101" s="315">
        <f>+AE100+Y100</f>
        <v>0.404933690975117</v>
      </c>
      <c r="AF101" s="115"/>
      <c r="AG101" s="315">
        <f>+AG100+AA100</f>
        <v>0.37350562813203247</v>
      </c>
      <c r="AH101" s="315">
        <f>+AH100+AB100</f>
        <v>0.12569931237258819</v>
      </c>
      <c r="AI101" s="315">
        <f>+AI100+AC100</f>
        <v>-0.15835844359579704</v>
      </c>
      <c r="AJ101" s="315">
        <f>+AJ100+AD100</f>
        <v>-3.3928031108526463E-2</v>
      </c>
      <c r="AK101" s="315">
        <f>+AK100+AE100</f>
        <v>4.1500328303442975E-2</v>
      </c>
      <c r="AL101" s="115"/>
      <c r="AM101" s="315">
        <f>+AM100+AG100</f>
        <v>-7.9976921743338016E-3</v>
      </c>
      <c r="AN101" s="315">
        <f>+AN100+AH100</f>
        <v>-1.050464213259427E-2</v>
      </c>
      <c r="AO101" s="315">
        <f>+AO100+AI100</f>
        <v>4.6657653639291086E-2</v>
      </c>
      <c r="AP101" s="315">
        <f>+AP100+AJ100</f>
        <v>1.3353554676112767E-2</v>
      </c>
      <c r="AQ101" s="315">
        <f>+AQ100+AK100</f>
        <v>1.2297111964130232E-2</v>
      </c>
      <c r="AR101" s="115"/>
      <c r="AS101" s="315">
        <f>+AS100+AM100</f>
        <v>2.4014715069927417E-3</v>
      </c>
      <c r="AT101" s="315">
        <f>+AT100+AN100</f>
        <v>3.206141708136398E-2</v>
      </c>
      <c r="AU101" s="315">
        <f>+AU100+AO100</f>
        <v>6.9820548804311114E-2</v>
      </c>
      <c r="AV101" s="315">
        <f>+AV100+AP100</f>
        <v>3.4808600941082637E-2</v>
      </c>
      <c r="AW101" s="315">
        <f>+AW100+AQ100</f>
        <v>4.1808864984215502E-2</v>
      </c>
      <c r="AX101" s="115"/>
      <c r="AY101" s="315">
        <f>+AY100+AS100</f>
        <v>-5.4608607376317786E-2</v>
      </c>
      <c r="AZ101" s="315">
        <f>+AZ100+AT100</f>
        <v>-5.2234490925723166E-2</v>
      </c>
      <c r="BA101" s="315">
        <f>+BA100+AU100</f>
        <v>-1.5004106159315278E-2</v>
      </c>
      <c r="BB101" s="810">
        <f>+BB100+AV100</f>
        <v>-0.10129176751950973</v>
      </c>
      <c r="BC101" s="315">
        <f>+BC100+AW100</f>
        <v>2.5543858123871735E-2</v>
      </c>
      <c r="BD101" s="115"/>
      <c r="BE101" s="315">
        <f>+BE100+AY100</f>
        <v>-8.3845227341128425E-2</v>
      </c>
      <c r="BF101" s="315">
        <f>+BF100+AZ100</f>
        <v>1.1512472446511213E-2</v>
      </c>
      <c r="BG101" s="315">
        <f>+BG100+BA100</f>
        <v>3.0304072910996571E-2</v>
      </c>
      <c r="BH101" s="810">
        <f>+BH100+BB100</f>
        <v>-8.6610553247707722E-2</v>
      </c>
      <c r="BI101" s="315">
        <f>+BI100+BC100</f>
        <v>3.6323735845931626E-2</v>
      </c>
      <c r="BJ101" s="115"/>
      <c r="BK101" s="315">
        <f>+BK100+BE100</f>
        <v>-2.0099013841163527E-2</v>
      </c>
      <c r="BL101" s="315">
        <f>+BL100+BF100</f>
        <v>2.2608780020307973E-2</v>
      </c>
      <c r="BM101" s="315">
        <f>+BM100+BG100</f>
        <v>6.4944457601613381E-2</v>
      </c>
      <c r="BN101" s="315">
        <f>+BN100+BH100</f>
        <v>7.7578360275961211E-2</v>
      </c>
      <c r="BO101" s="315">
        <f>+BO100+BI100</f>
        <v>3.1698013475915499E-2</v>
      </c>
      <c r="BP101" s="115"/>
      <c r="BQ101" s="315">
        <f>+BQ100+BK100</f>
        <v>-1.0312491882484509E-2</v>
      </c>
      <c r="BR101" s="315">
        <f>+BR100+BL100</f>
        <v>-3.4602076124567449E-2</v>
      </c>
      <c r="BS101" s="315">
        <f>+BS100+BM100</f>
        <v>1.8115942028985588E-2</v>
      </c>
      <c r="BT101" s="315">
        <f>+BT100+BN100</f>
        <v>3.7453183520599342E-2</v>
      </c>
      <c r="BU101" s="315">
        <f>+BU100+BO100</f>
        <v>3.3256732000501943E-2</v>
      </c>
      <c r="BV101" s="115"/>
      <c r="BW101" s="315">
        <f>+BW100+BQ100</f>
        <v>2.459854014598517E-2</v>
      </c>
      <c r="BX101" s="315">
        <f>+BX100+BR100</f>
        <v>1.0000000000000009E-2</v>
      </c>
      <c r="BY101" s="315">
        <f>+BY100+BS100</f>
        <v>1.0000000000000009E-2</v>
      </c>
      <c r="BZ101" s="315">
        <f>+BZ100+BT100</f>
        <v>1.0000000000000009E-2</v>
      </c>
      <c r="CA101" s="315">
        <f>+CA100+BU100</f>
        <v>3.5963305085865871E-2</v>
      </c>
      <c r="CB101" s="115"/>
      <c r="CC101" s="315">
        <f>+CC100+BW100</f>
        <v>2.0000000000000018E-2</v>
      </c>
      <c r="CD101" s="315">
        <f>+CD100+BX100</f>
        <v>2.0000000000000018E-2</v>
      </c>
      <c r="CE101" s="315">
        <f>+CE100+BY100</f>
        <v>2.0000000000000018E-2</v>
      </c>
      <c r="CF101" s="315">
        <f>+CF100+BZ100</f>
        <v>2.0000000000000018E-2</v>
      </c>
      <c r="CG101" s="315">
        <f>+CG100+CA100</f>
        <v>1.613008130081317E-2</v>
      </c>
    </row>
    <row r="102" spans="1:87" ht="12.75" customHeight="1" outlineLevel="1" x14ac:dyDescent="0.2">
      <c r="A102" s="230"/>
      <c r="B102" s="32" t="s">
        <v>149</v>
      </c>
      <c r="C102" s="406"/>
      <c r="D102" s="406"/>
      <c r="E102" s="406"/>
      <c r="F102" s="406"/>
      <c r="G102" s="406"/>
      <c r="H102" s="192"/>
      <c r="I102" s="406"/>
      <c r="J102" s="406"/>
      <c r="K102" s="406"/>
      <c r="L102" s="406"/>
      <c r="M102" s="406"/>
      <c r="N102" s="192"/>
      <c r="O102" s="406">
        <f>ALGN!O24/O81</f>
        <v>0</v>
      </c>
      <c r="P102" s="406">
        <f>ALGN!P24/P81</f>
        <v>0</v>
      </c>
      <c r="Q102" s="406">
        <f>ALGN!Q24/Q81</f>
        <v>0</v>
      </c>
      <c r="R102" s="406">
        <f>ALGN!R24/R81</f>
        <v>0</v>
      </c>
      <c r="S102" s="406">
        <f>ALGN!S24/S81</f>
        <v>0.85403726708074545</v>
      </c>
      <c r="T102" s="192"/>
      <c r="U102" s="699">
        <f>ALGN!U24/U81</f>
        <v>0.87878787878787878</v>
      </c>
      <c r="V102" s="699">
        <f>ALGN!V24/V81</f>
        <v>0.94527363184079605</v>
      </c>
      <c r="W102" s="699">
        <f>ALGN!W24/W81</f>
        <v>1.0899873257287707</v>
      </c>
      <c r="X102" s="699">
        <f>ALGN!X24/X81</f>
        <v>0.97240473061760846</v>
      </c>
      <c r="Y102" s="699">
        <f>ALGN!Y24/Y81</f>
        <v>0.97544790975447915</v>
      </c>
      <c r="Z102" s="192"/>
      <c r="AA102" s="699">
        <f>ALGN!AA24/AA81</f>
        <v>1.3250517598343685</v>
      </c>
      <c r="AB102" s="699">
        <f>ALGN!AB24/AB81</f>
        <v>1.4214214214214214</v>
      </c>
      <c r="AC102" s="699">
        <f>ALGN!AC24/AC81</f>
        <v>1.3333333333333333</v>
      </c>
      <c r="AD102" s="699">
        <f>ALGN!AD24/AD81</f>
        <v>1.2291483757682178</v>
      </c>
      <c r="AE102" s="699">
        <f>ALGN!AE24/AE81</f>
        <v>1.3240250361097738</v>
      </c>
      <c r="AF102" s="192"/>
      <c r="AG102" s="699">
        <f>ALGN!AG24/AG81</f>
        <v>1.34953095684803</v>
      </c>
      <c r="AH102" s="699">
        <f>ALGN!AH24/AH81</f>
        <v>1.2925133689839572</v>
      </c>
      <c r="AI102" s="699">
        <f>ALGN!AI24/AI81</f>
        <v>1.3456106870229008</v>
      </c>
      <c r="AJ102" s="699">
        <f>ALGN!AJ24/AJ81</f>
        <v>1.3438956197576886</v>
      </c>
      <c r="AK102" s="699">
        <f>ALGN!AK24/AK81</f>
        <v>1.3323276862381062</v>
      </c>
      <c r="AL102" s="192"/>
      <c r="AM102" s="699">
        <f>ALGN!AM24/AM81</f>
        <v>1.5457595526561041</v>
      </c>
      <c r="AN102" s="699">
        <f>ALGN!AN24/AN81</f>
        <v>1.4209065679925994</v>
      </c>
      <c r="AO102" s="699">
        <f>ALGN!AO24/AO81</f>
        <v>1.3968105065666041</v>
      </c>
      <c r="AP102" s="699">
        <f>ALGN!AP24/AP81</f>
        <v>1.3633776091081595</v>
      </c>
      <c r="AQ102" s="699">
        <f>ALGN!AQ24/AQ81</f>
        <v>1.4320542817033222</v>
      </c>
      <c r="AR102" s="192"/>
      <c r="AS102" s="699">
        <f>ALGN!AS24/AS81</f>
        <v>1.6245938067857344</v>
      </c>
      <c r="AT102" s="699">
        <f>ALGN!AT24/AT81</f>
        <v>1.5089334294272441</v>
      </c>
      <c r="AU102" s="699">
        <f>ALGN!AU24/AU81</f>
        <v>1.4716981132075473</v>
      </c>
      <c r="AV102" s="699">
        <f>ALGN!AV24/AV81</f>
        <v>1.4444444444444444</v>
      </c>
      <c r="AW102" s="699">
        <f>ALGN!AW24/AW81</f>
        <v>1.5120983263816334</v>
      </c>
      <c r="AX102" s="192"/>
      <c r="AY102" s="699">
        <f>+AY99</f>
        <v>1.3982714921489874</v>
      </c>
      <c r="AZ102" s="699">
        <f>+AZ99</f>
        <v>1.3668039744400655</v>
      </c>
      <c r="BA102" s="699">
        <f>+BA99</f>
        <v>1.3182674903015259</v>
      </c>
      <c r="BB102" s="699">
        <f>+BB99</f>
        <v>1.2834993612638923</v>
      </c>
      <c r="BC102" s="699">
        <f>ALGN!BC24/BC81</f>
        <v>1.5224935380941176</v>
      </c>
      <c r="BD102" s="192"/>
      <c r="BE102" s="699">
        <f>+BE99</f>
        <v>1.405</v>
      </c>
      <c r="BF102" s="699">
        <f>+BF99</f>
        <v>1.4450000000000001</v>
      </c>
      <c r="BG102" s="699">
        <f>+BG99</f>
        <v>1.38</v>
      </c>
      <c r="BH102" s="699">
        <f>+BH99</f>
        <v>1.335</v>
      </c>
      <c r="BI102" s="699">
        <f>ALGN!BI24/BI81</f>
        <v>0.78005967764840767</v>
      </c>
      <c r="BJ102" s="192"/>
      <c r="BK102" s="699">
        <f>+BK99</f>
        <v>1.37</v>
      </c>
      <c r="BL102" s="699">
        <f>+BL99</f>
        <v>1.395</v>
      </c>
      <c r="BM102" s="699">
        <f>+BM99</f>
        <v>1.405</v>
      </c>
      <c r="BN102" s="699">
        <f>+BN99</f>
        <v>1.385</v>
      </c>
      <c r="BO102" s="699">
        <f>ALGN!BO24/BO81</f>
        <v>1.1738983499914879</v>
      </c>
      <c r="BP102" s="192"/>
      <c r="BQ102" s="699">
        <f>+BQ99</f>
        <v>1.39</v>
      </c>
      <c r="BR102" s="699">
        <f t="shared" ref="BR102:BT102" si="185">+BR99</f>
        <v>1.395</v>
      </c>
      <c r="BS102" s="699">
        <f t="shared" si="185"/>
        <v>1.405</v>
      </c>
      <c r="BT102" s="699">
        <f t="shared" si="185"/>
        <v>1.385</v>
      </c>
      <c r="BU102" s="699">
        <f>ALGN!BU24/BU81</f>
        <v>1.1084147802933377</v>
      </c>
      <c r="BV102" s="192"/>
      <c r="BW102" s="699">
        <f t="shared" ref="BW102:BZ102" si="186">+BW99</f>
        <v>1.4038999999999999</v>
      </c>
      <c r="BX102" s="699">
        <f t="shared" si="186"/>
        <v>1.4089499999999999</v>
      </c>
      <c r="BY102" s="699">
        <f t="shared" si="186"/>
        <v>1.4190500000000001</v>
      </c>
      <c r="BZ102" s="699">
        <f t="shared" si="186"/>
        <v>1.3988499999999999</v>
      </c>
      <c r="CA102" s="699">
        <f>ALGN!CA24/CA81</f>
        <v>1.1233601993909246</v>
      </c>
      <c r="CB102" s="192"/>
      <c r="CC102" s="699">
        <f t="shared" ref="CC102:CF102" si="187">+CC99</f>
        <v>1.4179389999999998</v>
      </c>
      <c r="CD102" s="699">
        <f t="shared" si="187"/>
        <v>1.4230395</v>
      </c>
      <c r="CE102" s="699">
        <f t="shared" si="187"/>
        <v>1.4332405000000001</v>
      </c>
      <c r="CF102" s="699">
        <f t="shared" si="187"/>
        <v>1.4128384999999999</v>
      </c>
      <c r="CG102" s="699">
        <f>ALGN!CG24/CG81</f>
        <v>1.1303296390188777</v>
      </c>
      <c r="CI102" s="665">
        <f>+CG102/AW102-1</f>
        <v>-0.25247609940572235</v>
      </c>
    </row>
    <row r="103" spans="1:87" ht="12.75" customHeight="1" outlineLevel="1" x14ac:dyDescent="0.2">
      <c r="A103" s="230"/>
      <c r="B103" s="290" t="s">
        <v>536</v>
      </c>
      <c r="C103" s="315"/>
      <c r="D103" s="315"/>
      <c r="E103" s="315"/>
      <c r="F103" s="315"/>
      <c r="G103" s="315"/>
      <c r="H103" s="115"/>
      <c r="I103" s="315" t="str">
        <f>IF(ISERROR(I102/C102-1),"NM",I102/C102-1)</f>
        <v>NM</v>
      </c>
      <c r="J103" s="315" t="str">
        <f>IF(ISERROR(J102/D102-1),"NM",J102/D102-1)</f>
        <v>NM</v>
      </c>
      <c r="K103" s="315" t="str">
        <f>IF(ISERROR(K102/E102-1),"NM",K102/E102-1)</f>
        <v>NM</v>
      </c>
      <c r="L103" s="315" t="str">
        <f>IF(ISERROR(L102/F102-1),"NM",L102/F102-1)</f>
        <v>NM</v>
      </c>
      <c r="M103" s="315" t="str">
        <f>IF(ISERROR(M102/G102-1),"NM",M102/G102-1)</f>
        <v>NM</v>
      </c>
      <c r="N103" s="115"/>
      <c r="O103" s="315" t="str">
        <f>IF(ISERROR(O102/I102-1),"NM",O102/I102-1)</f>
        <v>NM</v>
      </c>
      <c r="P103" s="315" t="str">
        <f>IF(ISERROR(P102/J102-1),"NM",P102/J102-1)</f>
        <v>NM</v>
      </c>
      <c r="Q103" s="315" t="str">
        <f>IF(ISERROR(Q102/K102-1),"NM",Q102/K102-1)</f>
        <v>NM</v>
      </c>
      <c r="R103" s="315" t="str">
        <f>IF(ISERROR(R102/L102-1),"NM",R102/L102-1)</f>
        <v>NM</v>
      </c>
      <c r="S103" s="315" t="str">
        <f>IF(ISERROR(S102/M102-1),"NM",S102/M102-1)</f>
        <v>NM</v>
      </c>
      <c r="T103" s="115"/>
      <c r="U103" s="315" t="str">
        <f>IF(ISERROR(U102/O102-1),"NM",U102/O102-1)</f>
        <v>NM</v>
      </c>
      <c r="V103" s="315" t="str">
        <f>IF(ISERROR(V102/P102-1),"NM",V102/P102-1)</f>
        <v>NM</v>
      </c>
      <c r="W103" s="315" t="str">
        <f>IF(ISERROR(W102/Q102-1),"NM",W102/Q102-1)</f>
        <v>NM</v>
      </c>
      <c r="X103" s="315" t="str">
        <f>IF(ISERROR(X102/R102-1),"NM",X102/R102-1)</f>
        <v>NM</v>
      </c>
      <c r="Y103" s="315">
        <f>IF(ISERROR(Y102/S102-1),"NM",Y102/S102-1)-(ALGN!Y$59)</f>
        <v>0.15226425256356863</v>
      </c>
      <c r="Z103" s="315"/>
      <c r="AA103" s="315">
        <f>IF(ISERROR(AA102/U102-1),"NM",AA102/U102-1)-(ALGN!AA$59)</f>
        <v>0.50893624536708393</v>
      </c>
      <c r="AB103" s="315">
        <f>IF(ISERROR(AB102/V102-1),"NM",AB102/V102-1)-(ALGN!AB$59)</f>
        <v>0.47397214918535768</v>
      </c>
      <c r="AC103" s="315">
        <f>IF(ISERROR(AC102/W102-1),"NM",AC102/W102-1)-(ALGN!AC$59)</f>
        <v>0.20470755005110852</v>
      </c>
      <c r="AD103" s="315">
        <f>IF(ISERROR(AD102/X102-1),"NM",AD102/X102-1)-(ALGN!AD$59)</f>
        <v>0.26506021676363695</v>
      </c>
      <c r="AE103" s="315">
        <f>IF(ISERROR(AE102/Y102-1),"NM",AE102/Y102-1)-(ALGN!AE$59)</f>
        <v>0.34561391916985162</v>
      </c>
      <c r="AF103" s="315"/>
      <c r="AG103" s="315">
        <f>IF(ISERROR(AG102/AA102-1),"NM",AG102/AA102-1)-(ALGN!AG$59)</f>
        <v>2.6076962260519251E-2</v>
      </c>
      <c r="AH103" s="315">
        <f>IF(ISERROR(AH102/AB102-1),"NM",AH102/AB102-1)-(ALGN!AH$59)</f>
        <v>-6.9345483197630065E-2</v>
      </c>
      <c r="AI103" s="315">
        <f>IF(ISERROR(AI102/AC102-1),"NM",AI102/AC102-1)-(ALGN!AI$59)</f>
        <v>3.2323986643054095E-2</v>
      </c>
      <c r="AJ103" s="315">
        <f>IF(ISERROR(AJ102/AD102-1),"NM",AJ102/AD102-1)-(ALGN!AJ$59)</f>
        <v>0.10134499499149108</v>
      </c>
      <c r="AK103" s="315">
        <f>IF(ISERROR(AK102/AE102-1),"NM",AK102/AE102-1)-(ALGN!AK$59)</f>
        <v>2.1487720295991421E-2</v>
      </c>
      <c r="AL103" s="315"/>
      <c r="AM103" s="315">
        <f>IF(ISERROR(AM102/AG102-1),"NM",AM102/AG102-1)-(ALGN!AM$59)</f>
        <v>0.1454488143014093</v>
      </c>
      <c r="AN103" s="315">
        <f>IF(ISERROR(AN102/AH102-1),"NM",AN102/AH102-1)-(ALGN!AN$59)</f>
        <v>0.10090348720007586</v>
      </c>
      <c r="AO103" s="315">
        <f>IF(ISERROR(AO102/AI102-1),"NM",AO102/AI102-1)-(ALGN!AO$59)</f>
        <v>3.7530891461629953E-2</v>
      </c>
      <c r="AP103" s="315">
        <f>IF(ISERROR(AP102/AJ102-1),"NM",AP102/AJ102-1)-(ALGN!AP$59)</f>
        <v>1.8556903578581314E-2</v>
      </c>
      <c r="AQ103" s="315">
        <f>IF(ISERROR(AQ102/AK102-1),"NM",AQ102/AK102-1)-(ALGN!AQ$59)</f>
        <v>7.617871187302544E-2</v>
      </c>
      <c r="AR103" s="315"/>
      <c r="AS103" s="315">
        <f>IF(ISERROR(AS102/AM102-1),"NM",AS102/AM102-1)-(ALGN!AS$59)</f>
        <v>4.5826951999241583E-2</v>
      </c>
      <c r="AT103" s="315">
        <f>IF(ISERROR(AT102/AN102-1),"NM",AT102/AN102-1)-(ALGN!AT$59)</f>
        <v>5.5415088873455386E-2</v>
      </c>
      <c r="AU103" s="315">
        <f>IF(ISERROR(AU102/AO102-1),"NM",AU102/AO102-1)-(ALGN!AU$59)</f>
        <v>5.5133626414502444E-2</v>
      </c>
      <c r="AV103" s="315">
        <f>IF(ISERROR(AV102/AP102-1),"NM",AV102/AP102-1)-(ALGN!AV$59)</f>
        <v>8.490425785199697E-2</v>
      </c>
      <c r="AW103" s="315">
        <f>IF(ISERROR(AW102/AQ102-1),"NM",AW102/AQ102-1)-(ALGN!AW$59)</f>
        <v>6.0319291543314515E-2</v>
      </c>
      <c r="AX103" s="315"/>
      <c r="AY103" s="315">
        <f>IF(ISERROR(AY102/AS102-1),"NM",AY102/AS102-1)</f>
        <v>-0.13931009320079013</v>
      </c>
      <c r="AZ103" s="315">
        <f t="shared" ref="AZ103" si="188">IF(ISERROR(AZ102/AT102-1),"NM",AZ102/AT102-1)</f>
        <v>-9.4191998278630229E-2</v>
      </c>
      <c r="BA103" s="315">
        <f t="shared" ref="BA103" si="189">IF(ISERROR(BA102/AU102-1),"NM",BA102/AU102-1)</f>
        <v>-0.10425414120537346</v>
      </c>
      <c r="BB103" s="315">
        <f t="shared" ref="BB103" si="190">IF(ISERROR(BB102/AV102-1),"NM",BB102/AV102-1)</f>
        <v>-0.11142351912499759</v>
      </c>
      <c r="BC103" s="315">
        <f>IF(ISERROR(BC102/AW102-1),"NM",BC102/AW102-1)</f>
        <v>6.8746929555560943E-3</v>
      </c>
      <c r="BD103" s="115"/>
      <c r="BE103" s="315">
        <f>IF(ISERROR(BE102/AY102-1),"NM",BE102/AY102-1)</f>
        <v>4.8120181873061441E-3</v>
      </c>
      <c r="BF103" s="315">
        <f t="shared" ref="BF103:BH103" si="191">IF(ISERROR(BF102/AZ102-1),"NM",BF102/AZ102-1)</f>
        <v>5.7210856144875422E-2</v>
      </c>
      <c r="BG103" s="315">
        <f t="shared" si="191"/>
        <v>4.6828515572627794E-2</v>
      </c>
      <c r="BH103" s="315">
        <f t="shared" si="191"/>
        <v>4.0125176755361869E-2</v>
      </c>
      <c r="BI103" s="315">
        <f>IF(ISERROR(BI102/BC102-1),"NM",BI102/BC102-1)</f>
        <v>-0.48764335734068254</v>
      </c>
      <c r="BJ103" s="115"/>
      <c r="BK103" s="315">
        <f>IF(ISERROR(BK102/BE102-1),"NM",BK102/BE102-1)</f>
        <v>-2.4911032028469671E-2</v>
      </c>
      <c r="BL103" s="315">
        <f>IF(ISERROR(BL102/BF102-1),"NM",BL102/BF102-1)</f>
        <v>-3.4602076124567449E-2</v>
      </c>
      <c r="BM103" s="315">
        <f>IF(ISERROR(BM102/BG102-1),"NM",BM102/BG102-1)</f>
        <v>1.8115942028985588E-2</v>
      </c>
      <c r="BN103" s="315">
        <f>IF(ISERROR(BN102/BH102-1),"NM",BN102/BH102-1)</f>
        <v>3.7453183520599342E-2</v>
      </c>
      <c r="BO103" s="315">
        <f>IF(ISERROR(BO102/BI102-1),"NM",BO102/BI102-1)</f>
        <v>0.50488274631802366</v>
      </c>
      <c r="BP103" s="115"/>
      <c r="BQ103" s="315">
        <f>IF(ISERROR(BQ102/BK102-1),"NM",BQ102/BK102-1)</f>
        <v>1.4598540145985162E-2</v>
      </c>
      <c r="BR103" s="315">
        <f t="shared" ref="BR103" si="192">IF(ISERROR(BR102/BL102-1),"NM",BR102/BL102-1)</f>
        <v>0</v>
      </c>
      <c r="BS103" s="315">
        <f t="shared" ref="BS103" si="193">IF(ISERROR(BS102/BM102-1),"NM",BS102/BM102-1)</f>
        <v>0</v>
      </c>
      <c r="BT103" s="315">
        <f t="shared" ref="BT103:BU103" si="194">IF(ISERROR(BT102/BN102-1),"NM",BT102/BN102-1)</f>
        <v>0</v>
      </c>
      <c r="BU103" s="315">
        <f t="shared" si="194"/>
        <v>-5.5782998330839328E-2</v>
      </c>
      <c r="BV103" s="115"/>
      <c r="BW103" s="315">
        <f t="shared" ref="BW103" si="195">IF(ISERROR(BW102/BQ102-1),"NM",BW102/BQ102-1)</f>
        <v>1.0000000000000009E-2</v>
      </c>
      <c r="BX103" s="315">
        <f t="shared" ref="BX103" si="196">IF(ISERROR(BX102/BR102-1),"NM",BX102/BR102-1)</f>
        <v>1.0000000000000009E-2</v>
      </c>
      <c r="BY103" s="315">
        <f t="shared" ref="BY103" si="197">IF(ISERROR(BY102/BS102-1),"NM",BY102/BS102-1)</f>
        <v>1.0000000000000009E-2</v>
      </c>
      <c r="BZ103" s="315">
        <f t="shared" ref="BZ103:CA103" si="198">IF(ISERROR(BZ102/BT102-1),"NM",BZ102/BT102-1)</f>
        <v>1.0000000000000009E-2</v>
      </c>
      <c r="CA103" s="315">
        <f t="shared" si="198"/>
        <v>1.3483597804092362E-2</v>
      </c>
      <c r="CB103" s="115"/>
      <c r="CC103" s="315">
        <f t="shared" ref="CC103" si="199">IF(ISERROR(CC102/BW102-1),"NM",CC102/BW102-1)</f>
        <v>1.0000000000000009E-2</v>
      </c>
      <c r="CD103" s="315">
        <f t="shared" ref="CD103" si="200">IF(ISERROR(CD102/BX102-1),"NM",CD102/BX102-1)</f>
        <v>1.0000000000000009E-2</v>
      </c>
      <c r="CE103" s="315">
        <f t="shared" ref="CE103" si="201">IF(ISERROR(CE102/BY102-1),"NM",CE102/BY102-1)</f>
        <v>1.0000000000000009E-2</v>
      </c>
      <c r="CF103" s="315">
        <f t="shared" ref="CF103:CG103" si="202">IF(ISERROR(CF102/BZ102-1),"NM",CF102/BZ102-1)</f>
        <v>1.0000000000000009E-2</v>
      </c>
      <c r="CG103" s="315">
        <f t="shared" si="202"/>
        <v>6.2041005473862931E-3</v>
      </c>
    </row>
    <row r="104" spans="1:87" ht="12.75" customHeight="1" outlineLevel="1" x14ac:dyDescent="0.2">
      <c r="A104" s="230"/>
      <c r="B104" s="290" t="s">
        <v>71</v>
      </c>
      <c r="C104" s="315"/>
      <c r="D104" s="315"/>
      <c r="E104" s="315"/>
      <c r="F104" s="315"/>
      <c r="G104" s="315"/>
      <c r="H104" s="115"/>
      <c r="I104" s="315"/>
      <c r="J104" s="315"/>
      <c r="K104" s="315"/>
      <c r="L104" s="315"/>
      <c r="M104" s="315"/>
      <c r="N104" s="115"/>
      <c r="O104" s="315"/>
      <c r="P104" s="315"/>
      <c r="Q104" s="315"/>
      <c r="R104" s="315"/>
      <c r="S104" s="315"/>
      <c r="T104" s="115"/>
      <c r="U104" s="315"/>
      <c r="V104" s="315"/>
      <c r="W104" s="315"/>
      <c r="X104" s="315"/>
      <c r="Y104" s="315"/>
      <c r="Z104" s="115"/>
      <c r="AA104" s="315"/>
      <c r="AB104" s="315"/>
      <c r="AC104" s="315"/>
      <c r="AD104" s="315"/>
      <c r="AE104" s="315">
        <f>+AE103+Y103</f>
        <v>0.49787817173342025</v>
      </c>
      <c r="AF104" s="115"/>
      <c r="AG104" s="315">
        <f>+AG103+AA103</f>
        <v>0.53501320762760318</v>
      </c>
      <c r="AH104" s="315">
        <f>+AH103+AB103</f>
        <v>0.40462666598772762</v>
      </c>
      <c r="AI104" s="315">
        <f>+AI103+AC103</f>
        <v>0.2370315366941626</v>
      </c>
      <c r="AJ104" s="315">
        <f>+AJ103+AD103</f>
        <v>0.36640521175512802</v>
      </c>
      <c r="AK104" s="315">
        <f>+AK103+AE103</f>
        <v>0.36710163946584307</v>
      </c>
      <c r="AL104" s="115"/>
      <c r="AM104" s="315">
        <f>+AM103+AG103</f>
        <v>0.17152577656192855</v>
      </c>
      <c r="AN104" s="315">
        <f>+AN103+AH103</f>
        <v>3.1558004002445794E-2</v>
      </c>
      <c r="AO104" s="315">
        <f>+AO103+AI103</f>
        <v>6.9854878104684048E-2</v>
      </c>
      <c r="AP104" s="315">
        <f>+AP103+AJ103</f>
        <v>0.11990189857007238</v>
      </c>
      <c r="AQ104" s="315">
        <f>+AQ103+AK103</f>
        <v>9.7666432169016854E-2</v>
      </c>
      <c r="AR104" s="115"/>
      <c r="AS104" s="315">
        <f>+AS103+AM103</f>
        <v>0.19127576630065088</v>
      </c>
      <c r="AT104" s="315">
        <f>+AT103+AN103</f>
        <v>0.15631857607353125</v>
      </c>
      <c r="AU104" s="315">
        <f>+AU103+AO103</f>
        <v>9.2664517876132391E-2</v>
      </c>
      <c r="AV104" s="315">
        <f>+AV103+AP103</f>
        <v>0.10346116143057829</v>
      </c>
      <c r="AW104" s="315">
        <f>+AW103+AQ103</f>
        <v>0.13649800341633994</v>
      </c>
      <c r="AX104" s="115"/>
      <c r="AY104" s="315">
        <f>+AY103+AS103</f>
        <v>-9.3483141201548547E-2</v>
      </c>
      <c r="AZ104" s="315">
        <f>+AZ103+AT103</f>
        <v>-3.8776909405174843E-2</v>
      </c>
      <c r="BA104" s="315">
        <f>+BA103+AU103</f>
        <v>-4.9120514790871019E-2</v>
      </c>
      <c r="BB104" s="315">
        <f>+BB103+AV103</f>
        <v>-2.6519261273000624E-2</v>
      </c>
      <c r="BC104" s="315">
        <f>+BC103+AW103</f>
        <v>6.719398449887061E-2</v>
      </c>
      <c r="BD104" s="115"/>
      <c r="BE104" s="315">
        <f>+BE103+AY103</f>
        <v>-0.13449807501348399</v>
      </c>
      <c r="BF104" s="315">
        <f>+BF103+AZ103</f>
        <v>-3.6981142133754807E-2</v>
      </c>
      <c r="BG104" s="315">
        <f>+BG103+BA103</f>
        <v>-5.7425625632745669E-2</v>
      </c>
      <c r="BH104" s="810">
        <f>+BH103+BB103</f>
        <v>-7.1298342369635725E-2</v>
      </c>
      <c r="BI104" s="315">
        <f>+BI103+BC103</f>
        <v>-0.48076866438512644</v>
      </c>
      <c r="BJ104" s="115"/>
      <c r="BK104" s="315">
        <f>+BK103+BE103</f>
        <v>-2.0099013841163527E-2</v>
      </c>
      <c r="BL104" s="315">
        <f>+BL103+BF103</f>
        <v>2.2608780020307973E-2</v>
      </c>
      <c r="BM104" s="315">
        <f>+BM103+BG103</f>
        <v>6.4944457601613381E-2</v>
      </c>
      <c r="BN104" s="315">
        <f>+BN103+BH103</f>
        <v>7.7578360275961211E-2</v>
      </c>
      <c r="BO104" s="315">
        <f>+BO103+BI103</f>
        <v>1.7239388977341119E-2</v>
      </c>
      <c r="BP104" s="115"/>
      <c r="BQ104" s="315">
        <f>+BQ103+BK103</f>
        <v>-1.0312491882484509E-2</v>
      </c>
      <c r="BR104" s="315">
        <f>+BR103+BL103</f>
        <v>-3.4602076124567449E-2</v>
      </c>
      <c r="BS104" s="315">
        <f>+BS103+BM103</f>
        <v>1.8115942028985588E-2</v>
      </c>
      <c r="BT104" s="315">
        <f>+BT103+BN103</f>
        <v>3.7453183520599342E-2</v>
      </c>
      <c r="BU104" s="315">
        <f>+BU103+BO103</f>
        <v>0.44909974798718433</v>
      </c>
      <c r="BV104" s="115"/>
      <c r="BW104" s="315">
        <f>+BW103+BQ103</f>
        <v>2.459854014598517E-2</v>
      </c>
      <c r="BX104" s="315">
        <f>+BX103+BR103</f>
        <v>1.0000000000000009E-2</v>
      </c>
      <c r="BY104" s="315">
        <f>+BY103+BS103</f>
        <v>1.0000000000000009E-2</v>
      </c>
      <c r="BZ104" s="315">
        <f>+BZ103+BT103</f>
        <v>1.0000000000000009E-2</v>
      </c>
      <c r="CA104" s="315">
        <f>+CA103+BU103</f>
        <v>-4.2299400526746966E-2</v>
      </c>
      <c r="CB104" s="115"/>
      <c r="CC104" s="315">
        <f>+CC103+BW103</f>
        <v>2.0000000000000018E-2</v>
      </c>
      <c r="CD104" s="315">
        <f>+CD103+BX103</f>
        <v>2.0000000000000018E-2</v>
      </c>
      <c r="CE104" s="315">
        <f>+CE103+BY103</f>
        <v>2.0000000000000018E-2</v>
      </c>
      <c r="CF104" s="315">
        <f>+CF103+BZ103</f>
        <v>2.0000000000000018E-2</v>
      </c>
      <c r="CG104" s="315">
        <f>+CG103+CA103</f>
        <v>1.9687698351478655E-2</v>
      </c>
    </row>
    <row r="105" spans="1:87" ht="12.75" customHeight="1" outlineLevel="2" x14ac:dyDescent="0.2">
      <c r="A105" s="230"/>
      <c r="B105" s="32" t="str">
        <f>ALGN!B76</f>
        <v>NA Ortho</v>
      </c>
      <c r="C105" s="406">
        <f>ALGN!C76/C10</f>
        <v>1.2647058823529411</v>
      </c>
      <c r="D105" s="406">
        <f>ALGN!D76/D10</f>
        <v>1.2326732673267327</v>
      </c>
      <c r="E105" s="406">
        <f>ALGN!E76/E10</f>
        <v>1.2328767123287672</v>
      </c>
      <c r="F105" s="406">
        <f>ALGN!F76/F10</f>
        <v>1.2348528563185228</v>
      </c>
      <c r="G105" s="406">
        <f>ALGN!G76/G10</f>
        <v>1.2407254740313274</v>
      </c>
      <c r="H105" s="192"/>
      <c r="I105" s="406">
        <f>ALGN!I76/I10</f>
        <v>1.2961910176236497</v>
      </c>
      <c r="J105" s="406">
        <f>ALGN!J76/J10</f>
        <v>1.2887168141592922</v>
      </c>
      <c r="K105" s="406">
        <f>ALGN!K76/K10</f>
        <v>1.2409571508069006</v>
      </c>
      <c r="L105" s="406">
        <f>ALGN!L76/L10</f>
        <v>1.2463256907701352</v>
      </c>
      <c r="M105" s="406">
        <f>ALGN!M76/M10</f>
        <v>1.2682236376503893</v>
      </c>
      <c r="N105" s="192"/>
      <c r="O105" s="406">
        <f>ALGN!O76/O10</f>
        <v>1.2492599171107164</v>
      </c>
      <c r="P105" s="406">
        <f>ALGN!P76/P10</f>
        <v>1.2364052661705782</v>
      </c>
      <c r="Q105" s="406">
        <f>ALGN!Q76/Q10</f>
        <v>1.2055231014338821</v>
      </c>
      <c r="R105" s="406">
        <f>ALGN!R76/R10</f>
        <v>1.2639029322548028</v>
      </c>
      <c r="S105" s="406">
        <f>ALGN!S76/S10</f>
        <v>1.2388652871042896</v>
      </c>
      <c r="T105" s="192"/>
      <c r="U105" s="699">
        <f>ALGN!U76/U10</f>
        <v>1.2731376975169302</v>
      </c>
      <c r="V105" s="699">
        <f>ALGN!V76/V10</f>
        <v>1.2605588044184535</v>
      </c>
      <c r="W105" s="699">
        <f>ALGN!W76/W10</f>
        <v>1.3431224357590152</v>
      </c>
      <c r="X105" s="699">
        <f>ALGN!X76/X10</f>
        <v>1.3184306569343065</v>
      </c>
      <c r="Y105" s="699">
        <f>ALGN!Y76/Y10</f>
        <v>1.2988594839995571</v>
      </c>
      <c r="Z105" s="192"/>
      <c r="AA105" s="699">
        <f>ALGN!AA76/AA10</f>
        <v>1.3022313127556713</v>
      </c>
      <c r="AB105" s="699">
        <f>ALGN!AB76/AB10</f>
        <v>1.4850280504908837</v>
      </c>
      <c r="AC105" s="699">
        <f>ALGN!AC76/AC10</f>
        <v>1.5479880279348188</v>
      </c>
      <c r="AD105" s="699">
        <f>ALGN!AD76/AD10</f>
        <v>1.5908330545332885</v>
      </c>
      <c r="AE105" s="699">
        <f>ALGN!AE76/AE10</f>
        <v>1.4862442576059638</v>
      </c>
      <c r="AF105" s="192"/>
      <c r="AG105" s="699">
        <f>ALGN!AG76/AG10</f>
        <v>1.6382193268186753</v>
      </c>
      <c r="AH105" s="699">
        <f>ALGN!AH76/AH10</f>
        <v>1.5723884810841333</v>
      </c>
      <c r="AI105" s="699">
        <f>ALGN!AI76/AI10</f>
        <v>1.4638149644698344</v>
      </c>
      <c r="AJ105" s="699">
        <f>ALGN!AJ76/AJ10</f>
        <v>1.6042978659901506</v>
      </c>
      <c r="AK105" s="699">
        <f>ALGN!AK76/AK10</f>
        <v>1.5672443358021089</v>
      </c>
      <c r="AL105" s="192"/>
      <c r="AM105" s="699">
        <f>ALGN!AM76/AM10</f>
        <v>1.6002894736842106</v>
      </c>
      <c r="AN105" s="699">
        <f>ALGN!AN76/AN10</f>
        <v>1.5407763307624225</v>
      </c>
      <c r="AO105" s="699">
        <f>ALGN!AO76/AO10</f>
        <v>1.5231675078106226</v>
      </c>
      <c r="AP105" s="699">
        <f>ALGN!AP76/AP10</f>
        <v>1.583679525222552</v>
      </c>
      <c r="AQ105" s="699">
        <f>ALGN!AQ76/AQ10</f>
        <v>1.5612268554779285</v>
      </c>
      <c r="AR105" s="192"/>
      <c r="AS105" s="699">
        <f>ALGN!AS76/AS10</f>
        <v>1.5789996427720885</v>
      </c>
      <c r="AT105" s="699">
        <f>ALGN!AT76/AT10</f>
        <v>1.566484798914664</v>
      </c>
      <c r="AU105" s="699">
        <f>ALGN!AU76/AU10</f>
        <v>1.5134164525237142</v>
      </c>
      <c r="AV105" s="699">
        <f>ALGN!AV76/AV10</f>
        <v>1.5538446030029271</v>
      </c>
      <c r="AW105" s="699">
        <f>ALGN!AW76/AW10</f>
        <v>1.5524286962885927</v>
      </c>
      <c r="AX105" s="192"/>
      <c r="AY105" s="699">
        <f>ALGN!AY76/AY10</f>
        <v>1.5091685916876847</v>
      </c>
      <c r="AZ105" s="699">
        <f>ALGN!AZ76/AZ10</f>
        <v>1.4387700598232267</v>
      </c>
      <c r="BA105" s="699">
        <f>ALGN!BA76/BA10</f>
        <v>1.4279284663079246</v>
      </c>
      <c r="BB105" s="699">
        <f>ALGN!BB76/BB10</f>
        <v>1.5725336851956746</v>
      </c>
      <c r="BC105" s="699">
        <f>ALGN!BC76/BC10</f>
        <v>1.4874667986904793</v>
      </c>
      <c r="BD105" s="192"/>
      <c r="BE105" s="699">
        <f>ALGN!BE76/BE10</f>
        <v>1.5969700961360735</v>
      </c>
      <c r="BF105" s="699">
        <f>ALGN!BF76/BF10</f>
        <v>1.6634231345589261</v>
      </c>
      <c r="BG105" s="699">
        <f>ALGN!BG76/BG10</f>
        <v>1.7675277656271069</v>
      </c>
      <c r="BH105" s="699">
        <f>ALGN!BH76/BH10</f>
        <v>1.8691562416937915</v>
      </c>
      <c r="BI105" s="699">
        <f>ALGN!BI76/BI10</f>
        <v>1.7285723105889601</v>
      </c>
      <c r="BJ105" s="192"/>
      <c r="BK105" s="699">
        <f>ALGN!BK76/BK10</f>
        <v>1.6289422141326166</v>
      </c>
      <c r="BL105" s="699">
        <f>ALGN!BL76/BL10</f>
        <v>1.6697576642343097</v>
      </c>
      <c r="BM105" s="699">
        <f>ALGN!BM76/BM10</f>
        <v>1.7409940401441628</v>
      </c>
      <c r="BN105" s="699">
        <f>ALGN!BN76/BN10</f>
        <v>1.8969045620902201</v>
      </c>
      <c r="BO105" s="699">
        <f>ALGN!BO76/BO10</f>
        <v>1.7383727277666212</v>
      </c>
      <c r="BP105" s="192"/>
      <c r="BQ105" s="49"/>
      <c r="BR105" s="49"/>
      <c r="BS105" s="49"/>
      <c r="BT105" s="49"/>
      <c r="BU105" s="406"/>
      <c r="BV105" s="192"/>
      <c r="BW105" s="49"/>
      <c r="BX105" s="49"/>
      <c r="BY105" s="49"/>
      <c r="BZ105" s="49"/>
      <c r="CA105" s="406"/>
      <c r="CB105" s="192"/>
      <c r="CC105" s="49"/>
      <c r="CD105" s="49"/>
      <c r="CE105" s="49"/>
      <c r="CF105" s="49"/>
      <c r="CG105" s="406"/>
    </row>
    <row r="106" spans="1:87" ht="12.75" customHeight="1" outlineLevel="2" x14ac:dyDescent="0.2">
      <c r="A106" s="230"/>
      <c r="B106" s="290" t="s">
        <v>299</v>
      </c>
      <c r="C106" s="315"/>
      <c r="D106" s="315"/>
      <c r="E106" s="315"/>
      <c r="F106" s="315"/>
      <c r="G106" s="315"/>
      <c r="H106" s="115"/>
      <c r="I106" s="315">
        <f>IF(ISERROR(I105/C105-1),"NM",I105/C105-1)</f>
        <v>2.4895223237304531E-2</v>
      </c>
      <c r="J106" s="315">
        <f>IF(ISERROR(J105/D105-1),"NM",J105/D105-1)</f>
        <v>4.5465046024807387E-2</v>
      </c>
      <c r="K106" s="315">
        <f>IF(ISERROR(K105/E105-1),"NM",K105/E105-1)</f>
        <v>6.5541334322638534E-3</v>
      </c>
      <c r="L106" s="315">
        <f>IF(ISERROR(L105/F105-1),"NM",L105/F105-1)</f>
        <v>9.2908514507683559E-3</v>
      </c>
      <c r="M106" s="315">
        <f>IF(ISERROR(M105/G105-1),"NM",M105/G105-1)</f>
        <v>2.2162971740812054E-2</v>
      </c>
      <c r="N106" s="115"/>
      <c r="O106" s="315">
        <f>IF(ISERROR(O105/I105-1),"NM",O105/I105-1)</f>
        <v>-3.6206932369407752E-2</v>
      </c>
      <c r="P106" s="315">
        <f>IF(ISERROR(P105/J105-1),"NM",P105/J105-1)</f>
        <v>-4.0591965134590069E-2</v>
      </c>
      <c r="Q106" s="315">
        <f>IF(ISERROR(Q105/K105-1),"NM",Q105/K105-1)</f>
        <v>-2.8553805705522128E-2</v>
      </c>
      <c r="R106" s="315">
        <f>IF(ISERROR(R105/L105-1),"NM",R105/L105-1)</f>
        <v>1.4103248945952496E-2</v>
      </c>
      <c r="S106" s="315">
        <f>IF(ISERROR(S105/M105-1),"NM",S105/M105-1)</f>
        <v>-2.3149190469664571E-2</v>
      </c>
      <c r="T106" s="115"/>
      <c r="U106" s="315">
        <f>IF(ISERROR(U105/O105-1),"NM",U105/O105-1)</f>
        <v>1.9113540808575857E-2</v>
      </c>
      <c r="V106" s="315">
        <f>IF(ISERROR(V105/P105-1),"NM",V105/P105-1)</f>
        <v>1.9535292277332417E-2</v>
      </c>
      <c r="W106" s="315">
        <f>IF(ISERROR(W105/Q105-1),"NM",W105/Q105-1)</f>
        <v>0.11414076939833739</v>
      </c>
      <c r="X106" s="315">
        <f>IF(ISERROR(X105/R105-1),"NM",X105/R105-1)</f>
        <v>4.3142335766423345E-2</v>
      </c>
      <c r="Y106" s="315">
        <f>IF(ISERROR(Y105/S105-1),"NM",Y105/S105-1)</f>
        <v>4.8426731719553917E-2</v>
      </c>
      <c r="Z106" s="115"/>
      <c r="AA106" s="315">
        <f>IF(ISERROR(AA105/U105-1),"NM",AA105/U105-1)</f>
        <v>2.2851899912699203E-2</v>
      </c>
      <c r="AB106" s="315">
        <f>IF(ISERROR(AB105/V105-1),"NM",AB105/V105-1)</f>
        <v>0.17807122149766497</v>
      </c>
      <c r="AC106" s="315">
        <f>IF(ISERROR(AC105/W105-1),"NM",AC105/W105-1)</f>
        <v>0.15252935005886603</v>
      </c>
      <c r="AD106" s="315">
        <f>IF(ISERROR(AD105/X105-1),"NM",AD105/X105-1)</f>
        <v>0.206611091881304</v>
      </c>
      <c r="AE106" s="315">
        <f>IF(ISERROR(AE105/Y105-1),"NM",AE105/Y105-1)</f>
        <v>0.14426870336227271</v>
      </c>
      <c r="AF106" s="115"/>
      <c r="AG106" s="315">
        <f>IF(ISERROR(AG105/AA105-1),"NM",AG105/AA105-1)</f>
        <v>0.25800947248919615</v>
      </c>
      <c r="AH106" s="315">
        <f>IF(ISERROR(AH105/AB105-1),"NM",AH105/AB105-1)</f>
        <v>5.8827461585235552E-2</v>
      </c>
      <c r="AI106" s="315">
        <f>IF(ISERROR(AI105/AC105-1),"NM",AI105/AC105-1)</f>
        <v>-5.4375784531925819E-2</v>
      </c>
      <c r="AJ106" s="315">
        <f>IF(ISERROR(AJ105/AD105-1),"NM",AJ105/AD105-1)</f>
        <v>8.4640003037983469E-3</v>
      </c>
      <c r="AK106" s="315">
        <f>IF(ISERROR(AK105/AE105-1),"NM",AK105/AE105-1)</f>
        <v>5.4499842661541731E-2</v>
      </c>
      <c r="AL106" s="115"/>
      <c r="AM106" s="315">
        <f>IF(ISERROR(AM105/AG105-1),"NM",AM105/AG105-1)</f>
        <v>-2.3153098314449894E-2</v>
      </c>
      <c r="AN106" s="315">
        <f>IF(ISERROR(AN105/AH105-1),"NM",AN105/AH105-1)</f>
        <v>-2.0104542040345397E-2</v>
      </c>
      <c r="AO106" s="315">
        <f>IF(ISERROR(AO105/AI105-1),"NM",AO105/AI105-1)</f>
        <v>4.0546479426301296E-2</v>
      </c>
      <c r="AP106" s="315">
        <f>IF(ISERROR(AP105/AJ105-1),"NM",AP105/AJ105-1)</f>
        <v>-1.2851940530927086E-2</v>
      </c>
      <c r="AQ106" s="315">
        <f>IF(ISERROR(AQ105/AK105-1),"NM",AQ105/AK105-1)</f>
        <v>-3.8395291574626622E-3</v>
      </c>
      <c r="AR106" s="115"/>
      <c r="AS106" s="315">
        <f>IF(ISERROR(AS105/AM105-1),"NM",AS105/AM105-1)</f>
        <v>-1.3303737393903114E-2</v>
      </c>
      <c r="AT106" s="315">
        <f>IF(ISERROR(AT105/AN105-1),"NM",AT105/AN105-1)</f>
        <v>1.6685399197117867E-2</v>
      </c>
      <c r="AU106" s="315">
        <f>IF(ISERROR(AU105/AO105-1),"NM",AU105/AO105-1)</f>
        <v>-6.401827269099547E-3</v>
      </c>
      <c r="AV106" s="315">
        <f>IF(ISERROR(AV105/AP105-1),"NM",AV105/AP105-1)</f>
        <v>-1.8838989672125828E-2</v>
      </c>
      <c r="AW106" s="315">
        <f>IF(ISERROR(AW105/AQ105-1),"NM",AW105/AQ105-1)</f>
        <v>-5.6354136866563209E-3</v>
      </c>
      <c r="AX106" s="115"/>
      <c r="AY106" s="315">
        <f>IF(ISERROR(AY105/AS105-1),"NM",AY105/AS105-1)</f>
        <v>-4.422486819680882E-2</v>
      </c>
      <c r="AZ106" s="315">
        <f>IF(ISERROR(AZ105/AT105-1),"NM",AZ105/AT105-1)</f>
        <v>-8.1529510646974779E-2</v>
      </c>
      <c r="BA106" s="315">
        <f>IF(ISERROR(BA105/AU105-1),"NM",BA105/AU105-1)</f>
        <v>-5.6486756221813983E-2</v>
      </c>
      <c r="BB106" s="315">
        <f>IF(ISERROR(BB105/AV105-1),"NM",BB105/AV105-1)</f>
        <v>1.2027639158143089E-2</v>
      </c>
      <c r="BC106" s="315">
        <f>IF(ISERROR(BC105/AW105-1),"NM",BC105/AW105-1)</f>
        <v>-4.1845334187276095E-2</v>
      </c>
      <c r="BD106" s="115"/>
      <c r="BE106" s="315">
        <f>IF(ISERROR(BE105/AY105-1),"NM",BE105/AY105-1)</f>
        <v>5.8178724982741237E-2</v>
      </c>
      <c r="BF106" s="315">
        <f>IF(ISERROR(BF105/AZ105-1),"NM",BF105/AZ105-1)</f>
        <v>0.1561424448624551</v>
      </c>
      <c r="BG106" s="315">
        <f>IF(ISERROR(BG105/BA105-1),"NM",BG105/BA105-1)</f>
        <v>0.23782654897080091</v>
      </c>
      <c r="BH106" s="315">
        <f>IF(ISERROR(BH105/BB105-1),"NM",BH105/BB105-1)</f>
        <v>0.18862715583813228</v>
      </c>
      <c r="BI106" s="315">
        <f>IF(ISERROR(BI105/BC105-1),"NM",BI105/BC105-1)</f>
        <v>0.16209135700423216</v>
      </c>
      <c r="BJ106" s="115"/>
      <c r="BK106" s="315">
        <f>IF(ISERROR(BK105/BE105-1),"NM",BK105/BE105-1)</f>
        <v>2.0020486340915689E-2</v>
      </c>
      <c r="BL106" s="315">
        <f>IF(ISERROR(BL105/BF105-1),"NM",BL105/BF105-1)</f>
        <v>3.8081288782023659E-3</v>
      </c>
      <c r="BM106" s="315">
        <f>IF(ISERROR(BM105/BG105-1),"NM",BM105/BG105-1)</f>
        <v>-1.5011772940115686E-2</v>
      </c>
      <c r="BN106" s="315">
        <f>IF(ISERROR(BN105/BH105-1),"NM",BN105/BH105-1)</f>
        <v>1.484537235436445E-2</v>
      </c>
      <c r="BO106" s="315">
        <f>IF(ISERROR(BO105/BI105-1),"NM",BO105/BI105-1)</f>
        <v>5.6696599370620326E-3</v>
      </c>
      <c r="BP106" s="115"/>
      <c r="BQ106" s="478"/>
      <c r="BR106" s="478"/>
      <c r="BS106" s="478"/>
      <c r="BT106" s="478"/>
      <c r="BU106" s="315"/>
      <c r="BV106" s="115"/>
      <c r="BW106" s="478"/>
      <c r="BX106" s="478"/>
      <c r="BY106" s="478"/>
      <c r="BZ106" s="478"/>
      <c r="CA106" s="315"/>
      <c r="CB106" s="115"/>
      <c r="CC106" s="478"/>
      <c r="CD106" s="478"/>
      <c r="CE106" s="478"/>
      <c r="CF106" s="478"/>
      <c r="CG106" s="315"/>
    </row>
    <row r="107" spans="1:87" ht="12.75" customHeight="1" outlineLevel="2" x14ac:dyDescent="0.2">
      <c r="A107" s="230"/>
      <c r="B107" s="32" t="str">
        <f>ALGN!B79</f>
        <v>NA GP Dentists</v>
      </c>
      <c r="C107" s="406">
        <f>ALGN!C79/C13</f>
        <v>1.3303571428571428</v>
      </c>
      <c r="D107" s="406">
        <f>ALGN!D79/D13</f>
        <v>1.3140794223826713</v>
      </c>
      <c r="E107" s="406">
        <f>ALGN!E79/E13</f>
        <v>1.3132075471698113</v>
      </c>
      <c r="F107" s="406">
        <f>ALGN!F79/F13</f>
        <v>1.3173417223751476</v>
      </c>
      <c r="G107" s="406">
        <f>ALGN!G79/G13</f>
        <v>1.3182397334117417</v>
      </c>
      <c r="H107" s="192"/>
      <c r="I107" s="406">
        <f>ALGN!I79/I13</f>
        <v>1.3462282398452612</v>
      </c>
      <c r="J107" s="406">
        <f>ALGN!J79/J13</f>
        <v>1.350055330136481</v>
      </c>
      <c r="K107" s="406">
        <f>ALGN!K79/K13</f>
        <v>1.3701829505644221</v>
      </c>
      <c r="L107" s="406">
        <f>ALGN!L79/L13</f>
        <v>1.3515687851971039</v>
      </c>
      <c r="M107" s="406">
        <f>ALGN!M79/M13</f>
        <v>1.3544585064245003</v>
      </c>
      <c r="N107" s="192"/>
      <c r="O107" s="406">
        <f>ALGN!O79/O13</f>
        <v>1.3241911292050568</v>
      </c>
      <c r="P107" s="406">
        <f>ALGN!P79/P13</f>
        <v>1.3475026567481403</v>
      </c>
      <c r="Q107" s="406">
        <f>ALGN!Q79/Q13</f>
        <v>1.3260316839428905</v>
      </c>
      <c r="R107" s="406">
        <f>ALGN!R79/R13</f>
        <v>1.3059163059163061</v>
      </c>
      <c r="S107" s="406">
        <f>ALGN!S79/S13</f>
        <v>1.3250786359778322</v>
      </c>
      <c r="T107" s="192"/>
      <c r="U107" s="699">
        <f>ALGN!U79/U13</f>
        <v>1.305721305721306</v>
      </c>
      <c r="V107" s="699">
        <f>ALGN!V79/V13</f>
        <v>1.3141250878425861</v>
      </c>
      <c r="W107" s="699">
        <f>ALGN!W79/W13</f>
        <v>1.3710879284649775</v>
      </c>
      <c r="X107" s="699">
        <f>ALGN!X79/X13</f>
        <v>1.3372898120672601</v>
      </c>
      <c r="Y107" s="699">
        <f>ALGN!Y79/Y13</f>
        <v>1.3313161875945536</v>
      </c>
      <c r="Z107" s="192"/>
      <c r="AA107" s="699">
        <f>ALGN!AA79/AA13</f>
        <v>1.3870979144574054</v>
      </c>
      <c r="AB107" s="699">
        <f>ALGN!AB79/AB13</f>
        <v>1.3885704982090523</v>
      </c>
      <c r="AC107" s="699">
        <f>ALGN!AC79/AC13</f>
        <v>1.3569408740359896</v>
      </c>
      <c r="AD107" s="699">
        <f>ALGN!AD79/AD13</f>
        <v>1.3247734138972809</v>
      </c>
      <c r="AE107" s="699">
        <f>ALGN!AE79/AE13</f>
        <v>1.3631066385327057</v>
      </c>
      <c r="AF107" s="192"/>
      <c r="AG107" s="699">
        <f>ALGN!AG79/AG13</f>
        <v>1.367317294598275</v>
      </c>
      <c r="AH107" s="699">
        <f>ALGN!AH79/AH13</f>
        <v>1.3163826646987791</v>
      </c>
      <c r="AI107" s="699">
        <f>ALGN!AI79/AI13</f>
        <v>1.3384593232541397</v>
      </c>
      <c r="AJ107" s="699">
        <f>ALGN!AJ79/AJ13</f>
        <v>1.3822433954092683</v>
      </c>
      <c r="AK107" s="699">
        <f>ALGN!AK79/AK13</f>
        <v>1.3502541705448559</v>
      </c>
      <c r="AL107" s="192"/>
      <c r="AM107" s="699">
        <f>ALGN!AM79/AM13</f>
        <v>1.3118976313640078</v>
      </c>
      <c r="AN107" s="699">
        <f>ALGN!AN79/AN13</f>
        <v>1.3158952187182096</v>
      </c>
      <c r="AO107" s="699">
        <f>ALGN!AO79/AO13</f>
        <v>1.3339563862928348</v>
      </c>
      <c r="AP107" s="699">
        <f>ALGN!AP79/AP13</f>
        <v>1.3348866498740553</v>
      </c>
      <c r="AQ107" s="699">
        <f>ALGN!AQ79/AQ13</f>
        <v>1.3243404420820639</v>
      </c>
      <c r="AR107" s="192"/>
      <c r="AS107" s="699">
        <f>ALGN!AS79/AS13</f>
        <v>1.3668824189401649</v>
      </c>
      <c r="AT107" s="699">
        <f>ALGN!AT79/AT13</f>
        <v>1.3508469699171635</v>
      </c>
      <c r="AU107" s="699">
        <f>ALGN!AU79/AU13</f>
        <v>1.4035927985590211</v>
      </c>
      <c r="AV107" s="699">
        <f>ALGN!AV79/AV13</f>
        <v>1.3363712458825807</v>
      </c>
      <c r="AW107" s="699">
        <f>ALGN!AW79/AW13</f>
        <v>1.3639335215787036</v>
      </c>
      <c r="AX107" s="192"/>
      <c r="AY107" s="699">
        <f>ALGN!AY79/AY13</f>
        <v>1.3262022578235453</v>
      </c>
      <c r="AZ107" s="699">
        <f>ALGN!AZ79/AZ13</f>
        <v>1.2550810886928949</v>
      </c>
      <c r="BA107" s="699">
        <f>ALGN!BA79/BA13</f>
        <v>1.18024952015819</v>
      </c>
      <c r="BB107" s="699">
        <f>ALGN!BB79/BB13</f>
        <v>1.1412073654096704</v>
      </c>
      <c r="BC107" s="699">
        <f>ALGN!BC79/BC13</f>
        <v>1.22193428117536</v>
      </c>
      <c r="BD107" s="192"/>
      <c r="BE107" s="699">
        <f>ALGN!BE79/BE13</f>
        <v>1.1591070888104265</v>
      </c>
      <c r="BF107" s="699">
        <f>ALGN!BF79/BF13</f>
        <v>1.2238127989065433</v>
      </c>
      <c r="BG107" s="699">
        <f>ALGN!BG79/BG13</f>
        <v>1.2132232321046086</v>
      </c>
      <c r="BH107" s="699">
        <f>ALGN!BH79/BH13</f>
        <v>1.0579698795344872</v>
      </c>
      <c r="BI107" s="699">
        <f>ALGN!BI79/BI13</f>
        <v>1.1616777021069313</v>
      </c>
      <c r="BJ107" s="192"/>
      <c r="BK107" s="699">
        <f>ALGN!BK79/BK13</f>
        <v>1.1789228781412993</v>
      </c>
      <c r="BL107" s="699">
        <f>ALGN!BL79/BL13</f>
        <v>1.2676477235615888</v>
      </c>
      <c r="BM107" s="699">
        <f>ALGN!BM79/BM13</f>
        <v>1.4502943385720624</v>
      </c>
      <c r="BN107" s="699">
        <f>ALGN!BN79/BN13</f>
        <v>1.3414627614350632</v>
      </c>
      <c r="BO107" s="699">
        <f>ALGN!BO79/BO13</f>
        <v>1.3113335672738164</v>
      </c>
      <c r="BP107" s="192"/>
      <c r="BQ107" s="49"/>
      <c r="BR107" s="49"/>
      <c r="BS107" s="49"/>
      <c r="BT107" s="49"/>
      <c r="BU107" s="42"/>
      <c r="BV107" s="192"/>
      <c r="BW107" s="49"/>
      <c r="BX107" s="49"/>
      <c r="BY107" s="49"/>
      <c r="BZ107" s="49"/>
      <c r="CA107" s="42"/>
      <c r="CB107" s="192"/>
      <c r="CC107" s="49"/>
      <c r="CD107" s="49"/>
      <c r="CE107" s="49"/>
      <c r="CF107" s="49"/>
      <c r="CG107" s="42"/>
    </row>
    <row r="108" spans="1:87" ht="12.75" customHeight="1" outlineLevel="2" x14ac:dyDescent="0.2">
      <c r="A108" s="230"/>
      <c r="B108" s="290" t="s">
        <v>299</v>
      </c>
      <c r="C108" s="315"/>
      <c r="D108" s="315"/>
      <c r="E108" s="315"/>
      <c r="F108" s="315"/>
      <c r="G108" s="315"/>
      <c r="H108" s="115"/>
      <c r="I108" s="315">
        <f>IF(ISERROR(I107/C107-1),"NM",I107/C107-1)</f>
        <v>1.1929952098451491E-2</v>
      </c>
      <c r="J108" s="315">
        <f>IF(ISERROR(J107/D107-1),"NM",J107/D107-1)</f>
        <v>2.7377270461003578E-2</v>
      </c>
      <c r="K108" s="315">
        <f>IF(ISERROR(K107/E107-1),"NM",K107/E107-1)</f>
        <v>4.3386442240149092E-2</v>
      </c>
      <c r="L108" s="315">
        <f>IF(ISERROR(L107/F107-1),"NM",L107/F107-1)</f>
        <v>2.5981916643652125E-2</v>
      </c>
      <c r="M108" s="315">
        <f>IF(ISERROR(M107/G107-1),"NM",M107/G107-1)</f>
        <v>2.7475103423730607E-2</v>
      </c>
      <c r="N108" s="115"/>
      <c r="O108" s="315">
        <f>IF(ISERROR(O107/I107-1),"NM",O107/I107-1)</f>
        <v>-1.6369520403715088E-2</v>
      </c>
      <c r="P108" s="315">
        <f>IF(ISERROR(P107/J107-1),"NM",P107/J107-1)</f>
        <v>-1.8907916819103088E-3</v>
      </c>
      <c r="Q108" s="315">
        <f>IF(ISERROR(Q107/K107-1),"NM",Q107/K107-1)</f>
        <v>-3.2222898849634807E-2</v>
      </c>
      <c r="R108" s="315">
        <f>IF(ISERROR(R107/L107-1),"NM",R107/L107-1)</f>
        <v>-3.3777399848828327E-2</v>
      </c>
      <c r="S108" s="315">
        <f>IF(ISERROR(S107/M107-1),"NM",S107/M107-1)</f>
        <v>-2.1691229600104278E-2</v>
      </c>
      <c r="T108" s="115"/>
      <c r="U108" s="315">
        <f>IF(ISERROR(U107/O107-1),"NM",U107/O107-1)</f>
        <v>-1.3948004239266232E-2</v>
      </c>
      <c r="V108" s="315">
        <f>IF(ISERROR(V107/P107-1),"NM",V107/P107-1)</f>
        <v>-2.4769946640478269E-2</v>
      </c>
      <c r="W108" s="315">
        <f>IF(ISERROR(W107/Q107-1),"NM",W107/Q107-1)</f>
        <v>3.3978256377792171E-2</v>
      </c>
      <c r="X108" s="315">
        <f>IF(ISERROR(X107/R107-1),"NM",X107/R107-1)</f>
        <v>2.4024132334376835E-2</v>
      </c>
      <c r="Y108" s="315">
        <f>IF(ISERROR(Y107/S107-1),"NM",Y107/S107-1)</f>
        <v>4.7073067570200244E-3</v>
      </c>
      <c r="Z108" s="115"/>
      <c r="AA108" s="315">
        <f>IF(ISERROR(AA107/U107-1),"NM",AA107/U107-1)</f>
        <v>6.232310706697497E-2</v>
      </c>
      <c r="AB108" s="315">
        <f>IF(ISERROR(AB107/V107-1),"NM",AB107/V107-1)</f>
        <v>5.6650170562289492E-2</v>
      </c>
      <c r="AC108" s="315">
        <f>IF(ISERROR(AC107/W107-1),"NM",AC107/W107-1)</f>
        <v>-1.031812339331617E-2</v>
      </c>
      <c r="AD108" s="315">
        <f>IF(ISERROR(AD107/X107-1),"NM",AD107/X107-1)</f>
        <v>-9.3595255546220502E-3</v>
      </c>
      <c r="AE108" s="315">
        <f>IF(ISERROR(AE107/Y107-1),"NM",AE107/Y107-1)</f>
        <v>2.3878963716043922E-2</v>
      </c>
      <c r="AF108" s="115"/>
      <c r="AG108" s="315">
        <f>IF(ISERROR(AG107/AA107-1),"NM",AG107/AA107-1)</f>
        <v>-1.4260435152386508E-2</v>
      </c>
      <c r="AH108" s="315">
        <f>IF(ISERROR(AH107/AB107-1),"NM",AH107/AB107-1)</f>
        <v>-5.1987157730471356E-2</v>
      </c>
      <c r="AI108" s="315">
        <f>IF(ISERROR(AI107/AC107-1),"NM",AI107/AC107-1)</f>
        <v>-1.3620011848327396E-2</v>
      </c>
      <c r="AJ108" s="315">
        <f>IF(ISERROR(AJ107/AD107-1),"NM",AJ107/AD107-1)</f>
        <v>4.3380989465149122E-2</v>
      </c>
      <c r="AK108" s="315">
        <f>IF(ISERROR(AK107/AE107-1),"NM",AK107/AE107-1)</f>
        <v>-9.428805952911179E-3</v>
      </c>
      <c r="AL108" s="115"/>
      <c r="AM108" s="315">
        <f>IF(ISERROR(AM107/AG107-1),"NM",AM107/AG107-1)</f>
        <v>-4.0531677214358464E-2</v>
      </c>
      <c r="AN108" s="315">
        <f>IF(ISERROR(AN107/AH107-1),"NM",AN107/AH107-1)</f>
        <v>-3.7029200827487507E-4</v>
      </c>
      <c r="AO108" s="315">
        <f>IF(ISERROR(AO107/AI107-1),"NM",AO107/AI107-1)</f>
        <v>-3.3642688149515543E-3</v>
      </c>
      <c r="AP108" s="315">
        <f>IF(ISERROR(AP107/AJ107-1),"NM",AP107/AJ107-1)</f>
        <v>-3.4260786264195708E-2</v>
      </c>
      <c r="AQ108" s="315">
        <f>IF(ISERROR(AQ107/AK107-1),"NM",AQ107/AK107-1)</f>
        <v>-1.9191741101851401E-2</v>
      </c>
      <c r="AR108" s="115"/>
      <c r="AS108" s="315">
        <f>IF(ISERROR(AS107/AM107-1),"NM",AS107/AM107-1)</f>
        <v>4.1912407082394187E-2</v>
      </c>
      <c r="AT108" s="315">
        <f>IF(ISERROR(AT107/AN107-1),"NM",AT107/AN107-1)</f>
        <v>2.6561196288105604E-2</v>
      </c>
      <c r="AU108" s="315">
        <f>IF(ISERROR(AU107/AO107-1),"NM",AU107/AO107-1)</f>
        <v>5.2202915313978915E-2</v>
      </c>
      <c r="AV108" s="315">
        <f>IF(ISERROR(AV107/AP107-1),"NM",AV107/AP107-1)</f>
        <v>1.1121513640619529E-3</v>
      </c>
      <c r="AW108" s="315">
        <f>IF(ISERROR(AW107/AQ107-1),"NM",AW107/AQ107-1)</f>
        <v>2.9896451273808022E-2</v>
      </c>
      <c r="AX108" s="115"/>
      <c r="AY108" s="315">
        <f>IF(ISERROR(AY107/AS107-1),"NM",AY107/AS107-1)</f>
        <v>-2.9761273210435868E-2</v>
      </c>
      <c r="AZ108" s="315">
        <f>IF(ISERROR(AZ107/AT107-1),"NM",AZ107/AT107-1)</f>
        <v>-7.0893212448883913E-2</v>
      </c>
      <c r="BA108" s="315">
        <f>IF(ISERROR(BA107/AU107-1),"NM",BA107/AU107-1)</f>
        <v>-0.15912255935633424</v>
      </c>
      <c r="BB108" s="315">
        <f>IF(ISERROR(BB107/AV107-1),"NM",BB107/AV107-1)</f>
        <v>-0.1460401674117271</v>
      </c>
      <c r="BC108" s="315">
        <f>IF(ISERROR(BC107/AW107-1),"NM",BC107/AW107-1)</f>
        <v>-0.10411008905990127</v>
      </c>
      <c r="BD108" s="115"/>
      <c r="BE108" s="315">
        <f>IF(ISERROR(BE107/AY107-1),"NM",BE107/AY107-1)</f>
        <v>-0.1259952379264847</v>
      </c>
      <c r="BF108" s="315">
        <f>IF(ISERROR(BF107/AZ107-1),"NM",BF107/AZ107-1)</f>
        <v>-2.4913362226592128E-2</v>
      </c>
      <c r="BG108" s="315">
        <f>IF(ISERROR(BG107/BA107-1),"NM",BG107/BA107-1)</f>
        <v>2.793791599423745E-2</v>
      </c>
      <c r="BH108" s="315">
        <f>IF(ISERROR(BH107/BB107-1),"NM",BH107/BB107-1)</f>
        <v>-7.2938090305176617E-2</v>
      </c>
      <c r="BI108" s="315">
        <f>IF(ISERROR(BI107/BC107-1),"NM",BI107/BC107-1)</f>
        <v>-4.9312454848610021E-2</v>
      </c>
      <c r="BJ108" s="115"/>
      <c r="BK108" s="315">
        <f>IF(ISERROR(BK107/BE107-1),"NM",BK107/BE107-1)</f>
        <v>1.709573647005258E-2</v>
      </c>
      <c r="BL108" s="315">
        <f>IF(ISERROR(BL107/BF107-1),"NM",BL107/BF107-1)</f>
        <v>3.5818325069170154E-2</v>
      </c>
      <c r="BM108" s="315">
        <f>IF(ISERROR(BM107/BG107-1),"NM",BM107/BG107-1)</f>
        <v>0.19540600624355053</v>
      </c>
      <c r="BN108" s="315">
        <f>IF(ISERROR(BN107/BH107-1),"NM",BN107/BH107-1)</f>
        <v>0.26795931281646168</v>
      </c>
      <c r="BO108" s="315">
        <f>IF(ISERROR(BO107/BI107-1),"NM",BO107/BI107-1)</f>
        <v>0.12882735451963545</v>
      </c>
      <c r="BP108" s="115"/>
      <c r="BQ108" s="478"/>
      <c r="BR108" s="478"/>
      <c r="BS108" s="478"/>
      <c r="BT108" s="478"/>
      <c r="BU108" s="315"/>
      <c r="BV108" s="115"/>
      <c r="BW108" s="478"/>
      <c r="BX108" s="478"/>
      <c r="BY108" s="478"/>
      <c r="BZ108" s="478"/>
      <c r="CA108" s="315"/>
      <c r="CB108" s="115"/>
      <c r="CC108" s="478"/>
      <c r="CD108" s="478"/>
      <c r="CE108" s="478"/>
      <c r="CF108" s="478"/>
      <c r="CG108" s="315"/>
    </row>
    <row r="109" spans="1:87" ht="12.75" customHeight="1" outlineLevel="2" x14ac:dyDescent="0.2">
      <c r="A109" s="230"/>
      <c r="B109" s="540" t="str">
        <f>ALGN!B87</f>
        <v>International</v>
      </c>
      <c r="C109" s="541">
        <f>ALGN!C87/C16</f>
        <v>1.6428571428571428</v>
      </c>
      <c r="D109" s="541">
        <f>ALGN!D87/D16</f>
        <v>1.6338028169014085</v>
      </c>
      <c r="E109" s="541">
        <f>ALGN!E87/E16</f>
        <v>1.5890410958904109</v>
      </c>
      <c r="F109" s="541">
        <f>ALGN!F87/F16</f>
        <v>1.7596034696406442</v>
      </c>
      <c r="G109" s="541">
        <f>ALGN!G87/G16</f>
        <v>1.6601353758460988</v>
      </c>
      <c r="H109" s="542"/>
      <c r="I109" s="541">
        <f>ALGN!I87/I16</f>
        <v>1.7046818727490995</v>
      </c>
      <c r="J109" s="541">
        <f>ALGN!J87/J16</f>
        <v>1.6942148760330578</v>
      </c>
      <c r="K109" s="541">
        <f>ALGN!K87/K16</f>
        <v>1.652078774617068</v>
      </c>
      <c r="L109" s="541">
        <f>ALGN!L87/L16</f>
        <v>1.5041782729805013</v>
      </c>
      <c r="M109" s="541">
        <f>ALGN!M87/M16</f>
        <v>1.6323839662447255</v>
      </c>
      <c r="N109" s="542"/>
      <c r="O109" s="541">
        <f>ALGN!O87/O16</f>
        <v>1.4539908490086426</v>
      </c>
      <c r="P109" s="541">
        <f>ALGN!P87/P16</f>
        <v>1.5070774354704415</v>
      </c>
      <c r="Q109" s="541">
        <f>ALGN!Q87/Q16</f>
        <v>1.5264026402640265</v>
      </c>
      <c r="R109" s="541">
        <f>ALGN!R87/R16</f>
        <v>1.570796460176991</v>
      </c>
      <c r="S109" s="541">
        <f>ALGN!S87/S16</f>
        <v>1.5192004208311416</v>
      </c>
      <c r="T109" s="542"/>
      <c r="U109" s="759">
        <f>ALGN!U87/U16</f>
        <v>1.5420200462606013</v>
      </c>
      <c r="V109" s="759">
        <f>ALGN!V87/V16</f>
        <v>1.3801756587202008</v>
      </c>
      <c r="W109" s="759">
        <f>ALGN!W87/W16</f>
        <v>1.428131732840874</v>
      </c>
      <c r="X109" s="759">
        <f>ALGN!X87/X16</f>
        <v>1.5219392451672291</v>
      </c>
      <c r="Y109" s="759">
        <f>ALGN!Y87/Y16</f>
        <v>1.4646053702196908</v>
      </c>
      <c r="Z109" s="542"/>
      <c r="AA109" s="759">
        <f>ALGN!AA87/AA16</f>
        <v>1.5552192711550337</v>
      </c>
      <c r="AB109" s="759">
        <f>ALGN!AB87/AB16</f>
        <v>1.7329362715902323</v>
      </c>
      <c r="AC109" s="759">
        <f>ALGN!AC87/AC16</f>
        <v>1.6986241056686846</v>
      </c>
      <c r="AD109" s="759">
        <f>ALGN!AD87/AD16</f>
        <v>1.5518367346938773</v>
      </c>
      <c r="AE109" s="759">
        <f>ALGN!AE87/AE16</f>
        <v>1.6332862190812723</v>
      </c>
      <c r="AF109" s="542"/>
      <c r="AG109" s="759">
        <f>ALGN!AG87/AG16</f>
        <v>1.5176882661996498</v>
      </c>
      <c r="AH109" s="759">
        <f>ALGN!AH87/AH16</f>
        <v>1.4643947776056652</v>
      </c>
      <c r="AI109" s="759">
        <f>ALGN!AI87/AI16</f>
        <v>1.3710111846610362</v>
      </c>
      <c r="AJ109" s="759">
        <f>ALGN!AJ87/AJ16</f>
        <v>1.4572068039391224</v>
      </c>
      <c r="AK109" s="759">
        <f>ALGN!AK87/AK16</f>
        <v>1.4512525194356463</v>
      </c>
      <c r="AL109" s="542"/>
      <c r="AM109" s="759">
        <f>ALGN!AM87/AM16</f>
        <v>1.3595222862017489</v>
      </c>
      <c r="AN109" s="759">
        <f>ALGN!AN87/AN16</f>
        <v>1.4811514484781811</v>
      </c>
      <c r="AO109" s="759">
        <f>ALGN!AO87/AO16</f>
        <v>1.4592454239820696</v>
      </c>
      <c r="AP109" s="759">
        <f>ALGN!AP87/AP16</f>
        <v>1.6344082554014834</v>
      </c>
      <c r="AQ109" s="759">
        <f>ALGN!AQ87/AQ16</f>
        <v>1.4932669708281487</v>
      </c>
      <c r="AR109" s="542"/>
      <c r="AS109" s="759">
        <f>ALGN!AS87/AS16</f>
        <v>1.6236020806241871</v>
      </c>
      <c r="AT109" s="759">
        <f>ALGN!AT87/AT16</f>
        <v>1.6280406386066761</v>
      </c>
      <c r="AU109" s="759">
        <f>ALGN!AU87/AU16</f>
        <v>1.5667348728441974</v>
      </c>
      <c r="AV109" s="759">
        <f>ALGN!AV87/AV16</f>
        <v>1.51315</v>
      </c>
      <c r="AW109" s="759">
        <f>ALGN!AW87/AW16</f>
        <v>1.5790560895136996</v>
      </c>
      <c r="AX109" s="541"/>
      <c r="AY109" s="759">
        <f>ALGN!AY87/AY16</f>
        <v>1.4117411621617844</v>
      </c>
      <c r="AZ109" s="759">
        <f>ALGN!AZ87/AZ16</f>
        <v>1.3800090890040106</v>
      </c>
      <c r="BA109" s="759">
        <f>ALGN!BA87/BA16</f>
        <v>1.3288218934470424</v>
      </c>
      <c r="BB109" s="759">
        <f>ALGN!BB87/BB16</f>
        <v>1.3149269892487463</v>
      </c>
      <c r="BC109" s="759">
        <f>ALGN!BC87/BC16</f>
        <v>1.3549937991890588</v>
      </c>
      <c r="BD109" s="192"/>
      <c r="BE109" s="759">
        <f>ALGN!BE87/BE16</f>
        <v>1.3156789036749199</v>
      </c>
      <c r="BF109" s="759">
        <f>ALGN!BF87/BF16</f>
        <v>1.3678677180560015</v>
      </c>
      <c r="BG109" s="759">
        <f>ALGN!BG87/BG16</f>
        <v>1.3901462035541197</v>
      </c>
      <c r="BH109" s="759">
        <f>ALGN!BH87/BH16</f>
        <v>1.3460888888888887</v>
      </c>
      <c r="BI109" s="759">
        <f>ALGN!BI87/BI16</f>
        <v>1.3561512939262306</v>
      </c>
      <c r="BJ109" s="192"/>
      <c r="BK109" s="759">
        <f>ALGN!BK87/BK16</f>
        <v>1.3434266711007647</v>
      </c>
      <c r="BL109" s="759">
        <f>ALGN!BL87/BL16</f>
        <v>1.3556605762473648</v>
      </c>
      <c r="BM109" s="759">
        <f>ALGN!BM87/BM16</f>
        <v>1.4122791819726961</v>
      </c>
      <c r="BN109" s="759">
        <f>ALGN!BN87/BN16</f>
        <v>1.4173405652575766</v>
      </c>
      <c r="BO109" s="759">
        <f>ALGN!BO87/BO16</f>
        <v>1.3855121497172354</v>
      </c>
      <c r="BP109" s="192"/>
      <c r="BQ109" s="49"/>
      <c r="BR109" s="49"/>
      <c r="BS109" s="49"/>
      <c r="BT109" s="49"/>
      <c r="BU109" s="42"/>
      <c r="BV109" s="192"/>
      <c r="BW109" s="49"/>
      <c r="BX109" s="49"/>
      <c r="BY109" s="49"/>
      <c r="BZ109" s="49"/>
      <c r="CA109" s="42"/>
      <c r="CB109" s="192"/>
      <c r="CC109" s="49"/>
      <c r="CD109" s="49"/>
      <c r="CE109" s="49"/>
      <c r="CF109" s="49"/>
      <c r="CG109" s="42"/>
    </row>
    <row r="110" spans="1:87" ht="12.75" customHeight="1" outlineLevel="2" x14ac:dyDescent="0.2">
      <c r="A110" s="230"/>
      <c r="B110" s="543" t="s">
        <v>299</v>
      </c>
      <c r="C110" s="544"/>
      <c r="D110" s="544"/>
      <c r="E110" s="544"/>
      <c r="F110" s="544"/>
      <c r="G110" s="544"/>
      <c r="H110" s="545"/>
      <c r="I110" s="544">
        <f>IF(ISERROR(I109/C109-1),"NM",I109/C109-1)</f>
        <v>3.7632444282060584E-2</v>
      </c>
      <c r="J110" s="544">
        <f>IF(ISERROR(J109/D109-1),"NM",J109/D109-1)</f>
        <v>3.6976346537475058E-2</v>
      </c>
      <c r="K110" s="544">
        <f>IF(ISERROR(K109/E109-1),"NM",K109/E109-1)</f>
        <v>3.9670263336603284E-2</v>
      </c>
      <c r="L110" s="544">
        <f>IF(ISERROR(L109/F109-1),"NM",L109/F109-1)</f>
        <v>-0.14516065753854601</v>
      </c>
      <c r="M110" s="544">
        <f>IF(ISERROR(M109/G109-1),"NM",M109/G109-1)</f>
        <v>-1.6716353380054727E-2</v>
      </c>
      <c r="N110" s="545"/>
      <c r="O110" s="544">
        <f>IF(ISERROR(O109/I109-1),"NM",O109/I109-1)</f>
        <v>-0.14706029772943707</v>
      </c>
      <c r="P110" s="544">
        <f>IF(ISERROR(P109/J109-1),"NM",P109/J109-1)</f>
        <v>-0.11045673321012961</v>
      </c>
      <c r="Q110" s="544">
        <f>IF(ISERROR(Q109/K109-1),"NM",Q109/K109-1)</f>
        <v>-7.6071514436211851E-2</v>
      </c>
      <c r="R110" s="544">
        <f>IF(ISERROR(R109/L109-1),"NM",R109/L109-1)</f>
        <v>4.4288757784332944E-2</v>
      </c>
      <c r="S110" s="544">
        <f>IF(ISERROR(S109/M109-1),"NM",S109/M109-1)</f>
        <v>-6.9336349629775418E-2</v>
      </c>
      <c r="T110" s="545"/>
      <c r="U110" s="544">
        <f>IF(ISERROR(U109/O109-1),"NM",U109/O109-1)</f>
        <v>6.0543157690420513E-2</v>
      </c>
      <c r="V110" s="544">
        <f>IF(ISERROR(V109/P109-1),"NM",V109/P109-1)</f>
        <v>-8.4203886119911142E-2</v>
      </c>
      <c r="W110" s="544">
        <f>IF(ISERROR(W109/Q109-1),"NM",W109/Q109-1)</f>
        <v>-6.4380724214519347E-2</v>
      </c>
      <c r="X110" s="544">
        <f>IF(ISERROR(X109/R109-1),"NM",X109/R109-1)</f>
        <v>-3.110346645691886E-2</v>
      </c>
      <c r="Y110" s="544">
        <f>IF(ISERROR(Y109/S109-1),"NM",Y109/S109-1)</f>
        <v>-3.5936700558299117E-2</v>
      </c>
      <c r="Z110" s="545"/>
      <c r="AA110" s="544">
        <f>IF(ISERROR(AA109/U109-1),"NM",AA109/U109-1)</f>
        <v>8.5596973440393853E-3</v>
      </c>
      <c r="AB110" s="544">
        <f>IF(ISERROR(AB109/V109-1),"NM",AB109/V109-1)</f>
        <v>0.25559109859765017</v>
      </c>
      <c r="AC110" s="544">
        <f>IF(ISERROR(AC109/W109-1),"NM",AC109/W109-1)</f>
        <v>0.18940295674947349</v>
      </c>
      <c r="AD110" s="544">
        <f>IF(ISERROR(AD109/X109-1),"NM",AD109/X109-1)</f>
        <v>1.9644338380513382E-2</v>
      </c>
      <c r="AE110" s="544">
        <f>IF(ISERROR(AE109/Y109-1),"NM",AE109/Y109-1)</f>
        <v>0.11517153513937983</v>
      </c>
      <c r="AF110" s="545"/>
      <c r="AG110" s="544">
        <f>IF(ISERROR(AG109/AA109-1),"NM",AG109/AA109-1)</f>
        <v>-2.4132291601241751E-2</v>
      </c>
      <c r="AH110" s="544">
        <f>IF(ISERROR(AH109/AB109-1),"NM",AH109/AB109-1)</f>
        <v>-0.15496328306299434</v>
      </c>
      <c r="AI110" s="544">
        <f>IF(ISERROR(AI109/AC109-1),"NM",AI109/AC109-1)</f>
        <v>-0.19286958186589465</v>
      </c>
      <c r="AJ110" s="544">
        <f>IF(ISERROR(AJ109/AD109-1),"NM",AJ109/AD109-1)</f>
        <v>-6.0979308350644246E-2</v>
      </c>
      <c r="AK110" s="544">
        <f>IF(ISERROR(AK109/AE109-1),"NM",AK109/AE109-1)</f>
        <v>-0.11145241876100587</v>
      </c>
      <c r="AL110" s="545"/>
      <c r="AM110" s="544">
        <f>IF(ISERROR(AM109/AG109-1),"NM",AM109/AG109-1)</f>
        <v>-0.10421506413431969</v>
      </c>
      <c r="AN110" s="544">
        <f>IF(ISERROR(AN109/AH109-1),"NM",AN109/AH109-1)</f>
        <v>1.1442727827747134E-2</v>
      </c>
      <c r="AO110" s="544">
        <f>IF(ISERROR(AO109/AI109-1),"NM",AO109/AI109-1)</f>
        <v>6.4357052887827448E-2</v>
      </c>
      <c r="AP110" s="544">
        <f>IF(ISERROR(AP109/AJ109-1),"NM",AP109/AJ109-1)</f>
        <v>0.12160350266231945</v>
      </c>
      <c r="AQ110" s="544">
        <f>IF(ISERROR(AQ109/AK109-1),"NM",AQ109/AK109-1)</f>
        <v>2.8950476109313339E-2</v>
      </c>
      <c r="AR110" s="545"/>
      <c r="AS110" s="544">
        <f>IF(ISERROR(AS109/AM109-1),"NM",AS109/AM109-1)</f>
        <v>0.19424454979714079</v>
      </c>
      <c r="AT110" s="544">
        <f>IF(ISERROR(AT109/AN109-1),"NM",AT109/AN109-1)</f>
        <v>9.9172296174991015E-2</v>
      </c>
      <c r="AU110" s="544">
        <f>IF(ISERROR(AU109/AO109-1),"NM",AU109/AO109-1)</f>
        <v>7.3660980596947701E-2</v>
      </c>
      <c r="AV110" s="544">
        <f>IF(ISERROR(AV109/AP109-1),"NM",AV109/AP109-1)</f>
        <v>-7.4190922005406112E-2</v>
      </c>
      <c r="AW110" s="544">
        <f>IF(ISERROR(AW109/AQ109-1),"NM",AW109/AQ109-1)</f>
        <v>5.7450623606824403E-2</v>
      </c>
      <c r="AX110" s="544"/>
      <c r="AY110" s="544">
        <f>IF(ISERROR(AY109/AS109-1),"NM",AY109/AS109-1)</f>
        <v>-0.13048820335396072</v>
      </c>
      <c r="AZ110" s="544">
        <f>IF(ISERROR(AZ109/AT109-1),"NM",AZ109/AT109-1)</f>
        <v>-0.15234972869899488</v>
      </c>
      <c r="BA110" s="544">
        <f>IF(ISERROR(BA109/AU109-1),"NM",BA109/AU109-1)</f>
        <v>-0.15185273751215855</v>
      </c>
      <c r="BB110" s="544">
        <f>IF(ISERROR(BB109/AV109-1),"NM",BB109/AV109-1)</f>
        <v>-0.13100023841076802</v>
      </c>
      <c r="BC110" s="544">
        <f>IF(ISERROR(BC109/AW109-1),"NM",BC109/AW109-1)</f>
        <v>-0.14189634669256435</v>
      </c>
      <c r="BD110" s="115"/>
      <c r="BE110" s="544">
        <f>IF(ISERROR(BE109/AY109-1),"NM",BE109/AY109-1)</f>
        <v>-6.8045234538437138E-2</v>
      </c>
      <c r="BF110" s="544">
        <f>IF(ISERROR(BF109/AZ109-1),"NM",BF109/AZ109-1)</f>
        <v>-8.7980369439246697E-3</v>
      </c>
      <c r="BG110" s="544">
        <f>IF(ISERROR(BG109/BA109-1),"NM",BG109/BA109-1)</f>
        <v>4.6149382704704145E-2</v>
      </c>
      <c r="BH110" s="544">
        <f>IF(ISERROR(BH109/BB109-1),"NM",BH109/BB109-1)</f>
        <v>2.3698577863966452E-2</v>
      </c>
      <c r="BI110" s="544">
        <f>IF(ISERROR(BI109/BC109-1),"NM",BI109/BC109-1)</f>
        <v>8.5424356765662068E-4</v>
      </c>
      <c r="BJ110" s="115"/>
      <c r="BK110" s="544">
        <f>IF(ISERROR(BK109/BE109-1),"NM",BK109/BE109-1)</f>
        <v>2.1090075510324269E-2</v>
      </c>
      <c r="BL110" s="544">
        <f>IF(ISERROR(BL109/BF109-1),"NM",BL109/BF109-1)</f>
        <v>-8.9242122227910503E-3</v>
      </c>
      <c r="BM110" s="544">
        <f>IF(ISERROR(BM109/BG109-1),"NM",BM109/BG109-1)</f>
        <v>1.5921331412473094E-2</v>
      </c>
      <c r="BN110" s="544">
        <f>IF(ISERROR(BN109/BH109-1),"NM",BN109/BH109-1)</f>
        <v>5.293237092797165E-2</v>
      </c>
      <c r="BO110" s="544">
        <f>IF(ISERROR(BO109/BI109-1),"NM",BO109/BI109-1)</f>
        <v>2.1650132933178412E-2</v>
      </c>
      <c r="BP110" s="115"/>
      <c r="BQ110" s="478"/>
      <c r="BR110" s="478"/>
      <c r="BS110" s="478"/>
      <c r="BT110" s="478"/>
      <c r="BU110" s="315"/>
      <c r="BV110" s="115"/>
      <c r="BW110" s="478"/>
      <c r="BX110" s="478"/>
      <c r="BY110" s="478"/>
      <c r="BZ110" s="478"/>
      <c r="CA110" s="315"/>
      <c r="CB110" s="115"/>
      <c r="CC110" s="478"/>
      <c r="CD110" s="478"/>
      <c r="CE110" s="478"/>
      <c r="CF110" s="478"/>
      <c r="CG110" s="315"/>
    </row>
    <row r="111" spans="1:87" ht="12.75" customHeight="1" outlineLevel="1" x14ac:dyDescent="0.2">
      <c r="A111" s="230"/>
      <c r="B111" s="40" t="s">
        <v>1</v>
      </c>
      <c r="C111" s="406">
        <f>(ALGN!C95-ALGN!C92)/C22</f>
        <v>1.3444444444444446</v>
      </c>
      <c r="D111" s="406">
        <f>(ALGN!D95-ALGN!D92)/D22</f>
        <v>1.3254545454545452</v>
      </c>
      <c r="E111" s="406">
        <f>(ALGN!E95-ALGN!E92)/E22</f>
        <v>1.323727185398655</v>
      </c>
      <c r="F111" s="406">
        <f>(ALGN!F95-ALGN!F92)/F22</f>
        <v>1.359433405469211</v>
      </c>
      <c r="G111" s="407">
        <f>(ALGN!G6-ALGN!G29)/G86</f>
        <v>1.3204850157728705</v>
      </c>
      <c r="H111" s="409"/>
      <c r="I111" s="406">
        <f>(ALGN!I95-ALGN!I92)/I22</f>
        <v>1.3869036121305776</v>
      </c>
      <c r="J111" s="406">
        <f>(ALGN!J95-ALGN!J92)/J22</f>
        <v>1.3905595042828507</v>
      </c>
      <c r="K111" s="406">
        <f>(ALGN!K95-ALGN!K92)/K22</f>
        <v>1.375</v>
      </c>
      <c r="L111" s="406">
        <f>(ALGN!L95-ALGN!L92)/L22</f>
        <v>1.3487841945288757</v>
      </c>
      <c r="M111" s="407">
        <f>(ALGN!M6-ALGN!M29)/M86</f>
        <v>1.3476046774801964</v>
      </c>
      <c r="N111" s="409"/>
      <c r="O111" s="406">
        <f>(ALGN!O95-ALGN!O92)/O22</f>
        <v>1.3244107071514182</v>
      </c>
      <c r="P111" s="406">
        <f>(ALGN!P95-ALGN!P92)/P22</f>
        <v>1.3470427318177534</v>
      </c>
      <c r="Q111" s="406">
        <f>(ALGN!Q95-ALGN!Q92)/Q22</f>
        <v>1.3288507475891356</v>
      </c>
      <c r="R111" s="406">
        <f>(ALGN!R95-ALGN!R92)/R22</f>
        <v>1.3511300360301342</v>
      </c>
      <c r="S111" s="407">
        <f>(ALGN!S6-ALGN!S29)/S86</f>
        <v>1.3379260333575054</v>
      </c>
      <c r="T111" s="409"/>
      <c r="U111" s="755">
        <f>(ALGN!U6-ALGN!U29)/U86</f>
        <v>1.3425562018550543</v>
      </c>
      <c r="V111" s="755">
        <f>(ALGN!V6-ALGN!V29)/V86</f>
        <v>1.3114025338964215</v>
      </c>
      <c r="W111" s="755">
        <f>(ALGN!W6-ALGN!W29)/W86</f>
        <v>1.3753019323671498</v>
      </c>
      <c r="X111" s="755">
        <f>(ALGN!X6-ALGN!X29)/X86</f>
        <v>1.378169790518192</v>
      </c>
      <c r="Y111" s="755">
        <f>(ALGN!Y6-ALGN!Y29)/Y86</f>
        <v>1.3514808779833218</v>
      </c>
      <c r="Z111" s="409"/>
      <c r="AA111" s="755">
        <f>(ALGN!AA6-ALGN!AA29)/AA86</f>
        <v>1.3941431974218859</v>
      </c>
      <c r="AB111" s="755">
        <f>(ALGN!AB6-ALGN!AB29)/AB86</f>
        <v>1.4154169955274922</v>
      </c>
      <c r="AC111" s="755">
        <f>(ALGN!AC6-ALGN!AC29)/AC86</f>
        <v>1.3608870967741935</v>
      </c>
      <c r="AD111" s="755">
        <f>(ALGN!AD6-ALGN!AD29)/AD86</f>
        <v>1.3536747790289383</v>
      </c>
      <c r="AE111" s="755">
        <f>(ALGN!AE6-ALGN!AE29)/AE86</f>
        <v>1.3800349130406673</v>
      </c>
      <c r="AF111" s="409"/>
      <c r="AG111" s="755">
        <f>(ALGN!AG6-ALGN!AG29)/AG86</f>
        <v>1.3671612033073359</v>
      </c>
      <c r="AH111" s="755">
        <f>(ALGN!AH6-ALGN!AH29)/AH86</f>
        <v>1.3211586901763226</v>
      </c>
      <c r="AI111" s="755">
        <f>(ALGN!AI6-ALGN!AI29)/AI86</f>
        <v>1.2891747284224178</v>
      </c>
      <c r="AJ111" s="755">
        <f>(ALGN!AJ6-ALGN!AJ29)/AJ86</f>
        <v>1.3726679929266137</v>
      </c>
      <c r="AK111" s="755">
        <f>(ALGN!AK6-ALGN!AK29)/AK86</f>
        <v>1.3366287066072509</v>
      </c>
      <c r="AL111" s="409"/>
      <c r="AM111" s="755">
        <f>(ALGN!AM6-ALGN!AM29)/AM86</f>
        <v>1.3131865892183838</v>
      </c>
      <c r="AN111" s="755">
        <f>(ALGN!AN6-ALGN!AN29)/AN86</f>
        <v>1.3429782823762189</v>
      </c>
      <c r="AO111" s="755">
        <f>(ALGN!AO6-ALGN!AO29)/AO86</f>
        <v>1.3364920486435921</v>
      </c>
      <c r="AP111" s="755">
        <f>(ALGN!AP6-ALGN!AP29)/AP86</f>
        <v>1.4006478898587242</v>
      </c>
      <c r="AQ111" s="755">
        <f>(ALGN!AQ6-ALGN!AQ29)/AQ86</f>
        <v>1.349589741768195</v>
      </c>
      <c r="AR111" s="409"/>
      <c r="AS111" s="755">
        <f>(ALGN!AS6-ALGN!AS29)/AS86</f>
        <v>1.406067593706199</v>
      </c>
      <c r="AT111" s="755">
        <f>(ALGN!AT6-ALGN!AT29)/AT86</f>
        <v>1.4026671644675277</v>
      </c>
      <c r="AU111" s="755">
        <f>(ALGN!AU6-ALGN!AU29)/AU86</f>
        <v>1.3943736153492454</v>
      </c>
      <c r="AV111" s="755">
        <f>(ALGN!AV6-ALGN!AV29)/AV86</f>
        <v>1.3741618091963894</v>
      </c>
      <c r="AW111" s="755">
        <f>(ALGN!AW6-ALGN!AW29)/AW86</f>
        <v>1.3938337844651163</v>
      </c>
      <c r="AX111" s="409"/>
      <c r="AY111" s="755">
        <f>(ALGN!AY6-ALGN!AY29-ALGN!AY34)/AY86</f>
        <v>1.3363205383086103</v>
      </c>
      <c r="AZ111" s="755">
        <f>(ALGN!AZ6-ALGN!AZ29-ALGN!AZ34)/AZ86</f>
        <v>1.3012664359861594</v>
      </c>
      <c r="BA111" s="755">
        <f>(ALGN!BA6-ALGN!BA29-ALGN!BA34)/BA86</f>
        <v>1.2566101694915257</v>
      </c>
      <c r="BB111" s="755">
        <f>(ALGN!BB6-ALGN!BB29-ALGN!BB34)/BB86</f>
        <v>1.2508848814589768</v>
      </c>
      <c r="BC111" s="755">
        <f>(ALGN!BC6-ALGN!BC29-ALGN!BC34)/BC86</f>
        <v>1.2839756281290138</v>
      </c>
      <c r="BD111" s="760"/>
      <c r="BE111" s="755">
        <f>(ALGN!BE6-ALGN!BE29-ALGN!BE34)/BE86</f>
        <v>1.2560768676316754</v>
      </c>
      <c r="BF111" s="755">
        <f>(ALGN!BF6-ALGN!BF29-ALGN!BF34)/BF86</f>
        <v>1.2859798299386984</v>
      </c>
      <c r="BG111" s="755">
        <f>(ALGN!BG6-ALGN!BG29-ALGN!BG34)/BG86</f>
        <v>1.2829246344206977</v>
      </c>
      <c r="BH111" s="755">
        <f>(ALGN!BH6-ALGN!BH29-ALGN!BH34)/BH86</f>
        <v>1.23</v>
      </c>
      <c r="BI111" s="755">
        <f>(ALGN!BI6-ALGN!BI29-ALGN!BI34)/BI86</f>
        <v>1.2628727408938272</v>
      </c>
      <c r="BJ111" s="760"/>
      <c r="BK111" s="755">
        <f>(ALGN!BK6-ALGN!BK29-ALGN!BK34)/BK86</f>
        <v>1.27</v>
      </c>
      <c r="BL111" s="755">
        <f>(ALGN!BL6-ALGN!BL29-ALGN!BL34)/BL86</f>
        <v>1.2849999999999999</v>
      </c>
      <c r="BM111" s="755">
        <f>(ALGN!BM6-ALGN!BM29-ALGN!BM34)/BM86</f>
        <v>1.31</v>
      </c>
      <c r="BN111" s="755">
        <f>(ALGN!BN6-ALGN!BN29-ALGN!BN34)/BN86</f>
        <v>1.3050000000000002</v>
      </c>
      <c r="BO111" s="755">
        <f>(ALGN!BO6-ALGN!BO29-ALGN!BO34)/BO86</f>
        <v>1.2934659133629072</v>
      </c>
      <c r="BP111" s="760"/>
      <c r="BQ111" s="755">
        <f>(ALGN!BQ6-ALGN!BQ29-ALGN!BQ34)/BQ86</f>
        <v>1.31</v>
      </c>
      <c r="BR111" s="755">
        <f>(ALGN!BR6-ALGN!BR29-ALGN!BR34)/BR86</f>
        <v>1.3412166788434199</v>
      </c>
      <c r="BS111" s="755">
        <f>(ALGN!BS6-ALGN!BS29-ALGN!BS34)/BS86</f>
        <v>1.3274389777793614</v>
      </c>
      <c r="BT111" s="755">
        <f>(ALGN!BT6-ALGN!BT29-ALGN!BT34)/BT86</f>
        <v>1.3235324090046565</v>
      </c>
      <c r="BU111" s="755">
        <f>(ALGN!BU6-ALGN!BU29-ALGN!BU34)/BU86</f>
        <v>1.3258774787584369</v>
      </c>
      <c r="BV111" s="760"/>
      <c r="BW111" s="755">
        <f>(ALGN!BW6-ALGN!BW29-ALGN!BW34)/BW86</f>
        <v>1.2912021813250711</v>
      </c>
      <c r="BX111" s="755">
        <f>(ALGN!BX6-ALGN!BX29-ALGN!BX34)/BX86</f>
        <v>1.3226893490756673</v>
      </c>
      <c r="BY111" s="755">
        <f>(ALGN!BY6-ALGN!BY29-ALGN!BY34)/BY86</f>
        <v>1.3117205742423987</v>
      </c>
      <c r="BZ111" s="755">
        <f>(ALGN!BZ6-ALGN!BZ29-ALGN!BZ34)/BZ86</f>
        <v>1.28940097955816</v>
      </c>
      <c r="CA111" s="755">
        <f>(ALGN!CA6-ALGN!CA29-ALGN!CA34)/CA86</f>
        <v>1.3037588587793951</v>
      </c>
      <c r="CB111" s="760"/>
      <c r="CC111" s="755">
        <f>(ALGN!CC6-ALGN!CC29-ALGN!CC34)/CC86</f>
        <v>1.2696250517837553</v>
      </c>
      <c r="CD111" s="755">
        <f>(ALGN!CD6-ALGN!CD29-ALGN!CD34)/CD86</f>
        <v>1.3029386899794562</v>
      </c>
      <c r="CE111" s="755">
        <f>(ALGN!CE6-ALGN!CE29-ALGN!CE34)/CE86</f>
        <v>1.2940025063804663</v>
      </c>
      <c r="CF111" s="755">
        <f>(ALGN!CF6-ALGN!CF29-ALGN!CF34)/CF86</f>
        <v>1.2769813031130983</v>
      </c>
      <c r="CG111" s="755">
        <f>(ALGN!CG6-ALGN!CG29-ALGN!CG34)/CG86</f>
        <v>1.286103641630205</v>
      </c>
    </row>
    <row r="112" spans="1:87" ht="12.75" customHeight="1" outlineLevel="1" x14ac:dyDescent="0.2">
      <c r="A112" s="230"/>
      <c r="B112" s="290" t="s">
        <v>536</v>
      </c>
      <c r="C112" s="315"/>
      <c r="D112" s="315"/>
      <c r="E112" s="315"/>
      <c r="F112" s="315"/>
      <c r="G112" s="315"/>
      <c r="H112" s="315"/>
      <c r="I112" s="315">
        <f>IF(ISERROR(I111/C111-1),"NM",I111/C111-1)-(ALGN!I$59)</f>
        <v>3.1581199105388258E-2</v>
      </c>
      <c r="J112" s="315">
        <f>IF(ISERROR(J111/D111-1),"NM",J111/D111-1)-(ALGN!J$59)</f>
        <v>4.9118967565936922E-2</v>
      </c>
      <c r="K112" s="315">
        <f>IF(ISERROR(K111/E111-1),"NM",K111/E111-1)-(ALGN!K$59)</f>
        <v>3.8733671988389062E-2</v>
      </c>
      <c r="L112" s="315">
        <f>IF(ISERROR(L111/F111-1),"NM",L111/F111-1)-(ALGN!L$59)</f>
        <v>-7.8335657322321506E-3</v>
      </c>
      <c r="M112" s="315">
        <f>IF(ISERROR(M111/G111-1),"NM",M111/G111-1)-(ALGN!M$59)</f>
        <v>2.0537651986495931E-2</v>
      </c>
      <c r="N112" s="315"/>
      <c r="O112" s="315">
        <f>IF(ISERROR(O111/I111-1),"NM",O111/I111-1)-(ALGN!O$59)</f>
        <v>-1.8324969077313367E-2</v>
      </c>
      <c r="P112" s="315">
        <f>IF(ISERROR(P111/J111-1),"NM",P111/J111-1)-(ALGN!P$59)</f>
        <v>-2.9972506644237382E-3</v>
      </c>
      <c r="Q112" s="315">
        <f>IF(ISERROR(Q111/K111-1),"NM",Q111/K111-1)-(ALGN!Q$59)</f>
        <v>-2.4124965998898608E-2</v>
      </c>
      <c r="R112" s="315">
        <f>IF(ISERROR(R111/L111-1),"NM",R111/L111-1)-(ALGN!R$59)</f>
        <v>-2.3270927341995627E-2</v>
      </c>
      <c r="S112" s="315">
        <f>IF(ISERROR(S111/M111-1),"NM",S111/M111-1)-(ALGN!S$59)</f>
        <v>3.0677210467479621E-3</v>
      </c>
      <c r="T112" s="315"/>
      <c r="U112" s="315">
        <f>IF(ISERROR(U111/O111-1),"NM",U111/O111-1)-(ALGN!U$59)</f>
        <v>2.2305328591751272E-3</v>
      </c>
      <c r="V112" s="315">
        <f>IF(ISERROR(V111/P111-1),"NM",V111/P111-1)-(ALGN!V$59)</f>
        <v>-1.3965977917310149E-2</v>
      </c>
      <c r="W112" s="315">
        <f>IF(ISERROR(W111/Q111-1),"NM",W111/Q111-1)-(ALGN!W$59)</f>
        <v>5.303573212648012E-2</v>
      </c>
      <c r="X112" s="315">
        <f>IF(ISERROR(X111/R111-1),"NM",X111/R111-1)-(ALGN!X$59)</f>
        <v>3.8179642692325814E-2</v>
      </c>
      <c r="Y112" s="315">
        <f>IF(ISERROR(Y111/S111-1),"NM",Y111/S111-1)-(ALGN!Y$59)</f>
        <v>2.0234663496678958E-2</v>
      </c>
      <c r="Z112" s="315"/>
      <c r="AA112" s="315">
        <f>IF(ISERROR(AA111/U111-1),"NM",AA111/U111-1)-(ALGN!AA$59)</f>
        <v>3.9543184431511405E-2</v>
      </c>
      <c r="AB112" s="315">
        <f>IF(ISERROR(AB111/V111-1),"NM",AB111/V111-1)-(ALGN!AB$59)</f>
        <v>4.9573343015145502E-2</v>
      </c>
      <c r="AC112" s="315">
        <f>IF(ISERROR(AC111/W111-1),"NM",AC111/W111-1)-(ALGN!AC$59)</f>
        <v>-2.9029479156796982E-2</v>
      </c>
      <c r="AD112" s="315">
        <f>IF(ISERROR(AD111/X111-1),"NM",AD111/X111-1)-(ALGN!AD$59)</f>
        <v>-1.6742977031903049E-2</v>
      </c>
      <c r="AE112" s="315">
        <f>IF(ISERROR(AE111/Y111-1),"NM",AE111/Y111-1)-(ALGN!AE$59)</f>
        <v>9.3910436650309903E-3</v>
      </c>
      <c r="AF112" s="315"/>
      <c r="AG112" s="315">
        <f>IF(ISERROR(AG111/AA111-1),"NM",AG111/AA111-1)-(ALGN!AG$59)</f>
        <v>-1.1751000026737794E-2</v>
      </c>
      <c r="AH112" s="315">
        <f>IF(ISERROR(AH111/AB111-1),"NM",AH111/AB111-1)-(ALGN!AH$59)</f>
        <v>-4.5249963232850077E-2</v>
      </c>
      <c r="AI112" s="315">
        <f>IF(ISERROR(AI111/AC111-1),"NM",AI111/AC111-1)-(ALGN!AI$59)</f>
        <v>-2.9579339294463367E-2</v>
      </c>
      <c r="AJ112" s="315">
        <f>IF(ISERROR(AJ111/AD111-1),"NM",AJ111/AD111-1)-(ALGN!AJ$59)</f>
        <v>2.2020770298573959E-2</v>
      </c>
      <c r="AK112" s="315">
        <f>IF(ISERROR(AK111/AE111-1),"NM",AK111/AE111-1)-(ALGN!AK$59)</f>
        <v>-1.6236021949409339E-2</v>
      </c>
      <c r="AL112" s="315"/>
      <c r="AM112" s="315">
        <f>IF(ISERROR(AM111/AG111-1),"NM",AM111/AG111-1)-(ALGN!AM$59)</f>
        <v>-3.9435554773966902E-2</v>
      </c>
      <c r="AN112" s="315">
        <f>IF(ISERROR(AN111/AH111-1),"NM",AN111/AH111-1)-(ALGN!AN$59)</f>
        <v>1.8082913665028295E-2</v>
      </c>
      <c r="AO112" s="315">
        <f>IF(ISERROR(AO111/AI111-1),"NM",AO111/AI111-1)-(ALGN!AO$59)</f>
        <v>3.6184961357575804E-2</v>
      </c>
      <c r="AP112" s="315">
        <f>IF(ISERROR(AP111/AJ111-1),"NM",AP111/AJ111-1)-(ALGN!AP$59)</f>
        <v>2.444383654020555E-2</v>
      </c>
      <c r="AQ112" s="315">
        <f>IF(ISERROR(AQ111/AK111-1),"NM",AQ111/AK111-1)-(ALGN!AQ$59)</f>
        <v>1.1024120116038318E-2</v>
      </c>
      <c r="AR112" s="315"/>
      <c r="AS112" s="315">
        <f>IF(ISERROR(AS111/AM111-1),"NM",AS111/AM111-1)-(ALGN!AS$59)</f>
        <v>6.5556097487754261E-2</v>
      </c>
      <c r="AT112" s="315">
        <f>IF(ISERROR(AT111/AN111-1),"NM",AT111/AN111-1)-(ALGN!AT$59)</f>
        <v>3.7909050877280935E-2</v>
      </c>
      <c r="AU112" s="315">
        <f>IF(ISERROR(AU111/AO111-1),"NM",AU111/AO111-1)-(ALGN!AU$59)</f>
        <v>4.4828911936339276E-2</v>
      </c>
      <c r="AV112" s="315">
        <f>IF(ISERROR(AV111/AP111-1),"NM",AV111/AP111-1)-(ALGN!AV$59)</f>
        <v>6.534084523435079E-3</v>
      </c>
      <c r="AW112" s="315">
        <f>IF(ISERROR(AW111/AQ111-1),"NM",AW111/AQ111-1)-(ALGN!AW$59)</f>
        <v>3.7208058699642069E-2</v>
      </c>
      <c r="AX112" s="315"/>
      <c r="AY112" s="315">
        <f>IF(ISERROR(AY111/AS111-1),"NM",AY111/AS111-1)-(ALGN!AY$59)</f>
        <v>-2.2981284730028095E-2</v>
      </c>
      <c r="AZ112" s="315">
        <f>IF(ISERROR(AZ111/AT111-1),"NM",AZ111/AT111-1)-(ALGN!AZ$59)</f>
        <v>-1.8619457148903361E-2</v>
      </c>
      <c r="BA112" s="315">
        <f>IF(ISERROR(BA111/AU111-1),"NM",BA111/AU111-1)-(ALGN!BA$59)</f>
        <v>-5.1007049348530828E-2</v>
      </c>
      <c r="BB112" s="315">
        <f>IF(ISERROR(BB111/AV111-1),"NM",BB111/AV111-1)-(ALGN!BB$59)</f>
        <v>-5.6299056560642595E-2</v>
      </c>
      <c r="BC112" s="315">
        <f>IF(ISERROR(BC111/AW111-1),"NM",BC111/AW111-1)-(ALGN!BC$59)</f>
        <v>-3.8309259788045724E-2</v>
      </c>
      <c r="BD112" s="315"/>
      <c r="BE112" s="315">
        <f>IF(ISERROR(BE111/AY111-1),"NM",BE111/AY111-1)-(ALGN!BE$59)</f>
        <v>-4.6417777407075318E-2</v>
      </c>
      <c r="BF112" s="315">
        <f>IF(ISERROR(BF111/AZ111-1),"NM",BF111/AZ111-1)-(ALGN!BF$59)</f>
        <v>-1.1747483547346005E-2</v>
      </c>
      <c r="BG112" s="315">
        <f>IF(ISERROR(BG111/BA111-1),"NM",BG111/BA111-1)-(ALGN!BG$59)</f>
        <v>2.0940833973848827E-2</v>
      </c>
      <c r="BH112" s="315">
        <f>IF(ISERROR(BH111/BB111-1),"NM",BH111/BB111-1)-(ALGN!BH$59)</f>
        <v>-3.6682410746327089E-3</v>
      </c>
      <c r="BI112" s="315">
        <f>IF(ISERROR(BI111/BC111-1),"NM",BI111/BC111-1)-(ALGN!BI$59)</f>
        <v>-9.6938977353903388E-3</v>
      </c>
      <c r="BJ112" s="315"/>
      <c r="BK112" s="315">
        <f>IF(ISERROR(BK111/BE111-1),"NM",BK111/BE111-1)-(ALGN!BK$59)</f>
        <v>2.365164221784561E-2</v>
      </c>
      <c r="BL112" s="315">
        <f>IF(ISERROR(BL111/BF111-1),"NM",BL111/BF111-1)-(ALGN!BL$59)</f>
        <v>1.0375495854988427E-2</v>
      </c>
      <c r="BM112" s="315">
        <f>IF(ISERROR(BM111/BG111-1),"NM",BM111/BG111-1)-(ALGN!BM$59)</f>
        <v>1.110440851541373E-2</v>
      </c>
      <c r="BN112" s="315">
        <f>IF(ISERROR(BN111/BH111-1),"NM",BN111/BH111-1)-(ALGN!BN$59)</f>
        <v>2.0975609756097614E-2</v>
      </c>
      <c r="BO112" s="315">
        <f>IF(ISERROR(BO111/BI111-1),"NM",BO111/BI111-1)-(ALGN!BO$59)</f>
        <v>1.633864311450349E-2</v>
      </c>
      <c r="BP112" s="315"/>
      <c r="BQ112" s="315">
        <f>IF(ISERROR(BQ111/BK111-1),"NM",BQ111/BK111-1)-(ALGN!BQ$59)</f>
        <v>-1.8503937007874074E-2</v>
      </c>
      <c r="BR112" s="315">
        <f>IF(ISERROR(BR111/BL111-1),"NM",BR111/BL111-1)-(ALGN!BR$59)</f>
        <v>-1.1251611795003953E-2</v>
      </c>
      <c r="BS112" s="315">
        <f>IF(ISERROR(BS111/BM111-1),"NM",BS111/BM111-1)-(ALGN!BS$59)</f>
        <v>-1.168780322186156E-2</v>
      </c>
      <c r="BT112" s="315">
        <f>IF(ISERROR(BT111/BN111-1),"NM",BT111/BN111-1)-(ALGN!BT$59)</f>
        <v>-5.7989203029453588E-3</v>
      </c>
      <c r="BU112" s="315">
        <f>IF(ISERROR(BU111/BO111-1),"NM",BU111/BO111-1)-(ALGN!BU$59)</f>
        <v>-1.1036301363631928E-2</v>
      </c>
      <c r="BV112" s="315"/>
      <c r="BW112" s="315">
        <f>IF(ISERROR(BW111/BQ111-1),"NM",BW111/BQ111-1)-(ALGN!BW$59)</f>
        <v>-1.4349479904525841E-2</v>
      </c>
      <c r="BX112" s="315">
        <f>IF(ISERROR(BX111/BR111-1),"NM",BX111/BR111-1)-(ALGN!BX$59)</f>
        <v>-1.3813822971340817E-2</v>
      </c>
      <c r="BY112" s="315">
        <f>IF(ISERROR(BY111/BS111-1),"NM",BY111/BS111-1)-(ALGN!BY$59)</f>
        <v>-1.1841149612208612E-2</v>
      </c>
      <c r="BZ112" s="315">
        <f>IF(ISERROR(BZ111/BT111-1),"NM",BZ111/BT111-1)-(ALGN!BZ$59)</f>
        <v>-2.5788132738029823E-2</v>
      </c>
      <c r="CA112" s="315">
        <f>IF(ISERROR(CA111/BU111-1),"NM",CA111/BU111-1)-(ALGN!CA$59)</f>
        <v>-1.6682250308492907E-2</v>
      </c>
      <c r="CB112" s="315"/>
      <c r="CC112" s="315">
        <f>IF(ISERROR(CC111/BW111-1),"NM",CC111/BW111-1)-(ALGN!CC$59)</f>
        <v>-1.671088374337526E-2</v>
      </c>
      <c r="CD112" s="315">
        <f>IF(ISERROR(CD111/BX111-1),"NM",CD111/BX111-1)-(ALGN!CD$59)</f>
        <v>-1.4932197881545983E-2</v>
      </c>
      <c r="CE112" s="315">
        <f>IF(ISERROR(CE111/BY111-1),"NM",CE111/BY111-1)-(ALGN!CE$59)</f>
        <v>-1.3507501681267575E-2</v>
      </c>
      <c r="CF112" s="315">
        <f>IF(ISERROR(CF111/BZ111-1),"NM",CF111/BZ111-1)-(ALGN!CF$59)</f>
        <v>-9.6321289047861525E-3</v>
      </c>
      <c r="CG112" s="315">
        <f>IF(ISERROR(CG111/CA111-1),"NM",CG111/CA111-1)-(ALGN!CG$59)</f>
        <v>-1.3541781158610378E-2</v>
      </c>
    </row>
    <row r="113" spans="1:87" ht="12.75" customHeight="1" outlineLevel="1" x14ac:dyDescent="0.2">
      <c r="A113" s="230"/>
      <c r="B113" s="290" t="s">
        <v>71</v>
      </c>
      <c r="C113" s="315"/>
      <c r="D113" s="315"/>
      <c r="E113" s="315"/>
      <c r="F113" s="315"/>
      <c r="G113" s="315"/>
      <c r="H113" s="115"/>
      <c r="I113" s="315"/>
      <c r="J113" s="315"/>
      <c r="K113" s="315"/>
      <c r="L113" s="315"/>
      <c r="M113" s="315"/>
      <c r="N113" s="115"/>
      <c r="O113" s="315"/>
      <c r="P113" s="315"/>
      <c r="Q113" s="315"/>
      <c r="R113" s="315"/>
      <c r="S113" s="315"/>
      <c r="T113" s="115"/>
      <c r="U113" s="315"/>
      <c r="V113" s="315"/>
      <c r="W113" s="315"/>
      <c r="X113" s="315"/>
      <c r="Y113" s="315"/>
      <c r="Z113" s="115"/>
      <c r="AA113" s="315"/>
      <c r="AB113" s="315"/>
      <c r="AC113" s="315"/>
      <c r="AD113" s="315"/>
      <c r="AE113" s="315">
        <f>+AE112+Y112</f>
        <v>2.9625707161709949E-2</v>
      </c>
      <c r="AF113" s="115"/>
      <c r="AG113" s="315">
        <f>+AG112+AA112</f>
        <v>2.7792184404773611E-2</v>
      </c>
      <c r="AH113" s="315">
        <f>+AH112+AB112</f>
        <v>4.3233797822954251E-3</v>
      </c>
      <c r="AI113" s="315">
        <f>+AI112+AC112</f>
        <v>-5.8608818451260349E-2</v>
      </c>
      <c r="AJ113" s="315">
        <f>+AJ112+AD112</f>
        <v>5.2777932666709104E-3</v>
      </c>
      <c r="AK113" s="315">
        <f>+AK112+AE112</f>
        <v>-6.8449782843783488E-3</v>
      </c>
      <c r="AL113" s="115"/>
      <c r="AM113" s="315">
        <f>+AM112+AG112</f>
        <v>-5.1186554800704692E-2</v>
      </c>
      <c r="AN113" s="315">
        <f>+AN112+AH112</f>
        <v>-2.7167049567821781E-2</v>
      </c>
      <c r="AO113" s="315">
        <f>+AO112+AI112</f>
        <v>6.6056220631124374E-3</v>
      </c>
      <c r="AP113" s="315">
        <f>+AP112+AJ112</f>
        <v>4.646460683877951E-2</v>
      </c>
      <c r="AQ113" s="315">
        <f>+AQ112+AK112</f>
        <v>-5.2119018333710212E-3</v>
      </c>
      <c r="AR113" s="115"/>
      <c r="AS113" s="315">
        <f>+AS112+AM112</f>
        <v>2.6120542713787359E-2</v>
      </c>
      <c r="AT113" s="315">
        <f>+AT112+AN112</f>
        <v>5.599196454230923E-2</v>
      </c>
      <c r="AU113" s="315">
        <f>+AU112+AO112</f>
        <v>8.1013873293915073E-2</v>
      </c>
      <c r="AV113" s="315">
        <f>+AV112+AP112</f>
        <v>3.097792106364063E-2</v>
      </c>
      <c r="AW113" s="315">
        <f>+AW112+AQ112</f>
        <v>4.8232178815680385E-2</v>
      </c>
      <c r="AX113" s="115"/>
      <c r="AY113" s="315">
        <f>+AY112+AS112</f>
        <v>4.2574812757726163E-2</v>
      </c>
      <c r="AZ113" s="315">
        <f>+AZ112+AT112</f>
        <v>1.9289593728377574E-2</v>
      </c>
      <c r="BA113" s="315">
        <f>+BA112+AU112</f>
        <v>-6.1781374121915519E-3</v>
      </c>
      <c r="BB113" s="315">
        <f>+BB112+AV112</f>
        <v>-4.9764972037207519E-2</v>
      </c>
      <c r="BC113" s="315">
        <f>+BC112+AW112</f>
        <v>-1.1012010884036555E-3</v>
      </c>
      <c r="BD113" s="115"/>
      <c r="BE113" s="315">
        <f>+BE112+AY112</f>
        <v>-6.9399062137103409E-2</v>
      </c>
      <c r="BF113" s="315">
        <f>+BF112+AZ112</f>
        <v>-3.0366940696249366E-2</v>
      </c>
      <c r="BG113" s="315">
        <f>+BG112+BA112</f>
        <v>-3.0066215374682001E-2</v>
      </c>
      <c r="BH113" s="315">
        <f>+BH112+BB112</f>
        <v>-5.9967297635275307E-2</v>
      </c>
      <c r="BI113" s="315">
        <f>+BI112+BC112</f>
        <v>-4.8003157523436063E-2</v>
      </c>
      <c r="BJ113" s="115"/>
      <c r="BK113" s="315">
        <f>+BK112+BE112</f>
        <v>-2.2766135189229708E-2</v>
      </c>
      <c r="BL113" s="315">
        <f>+BL112+BF112</f>
        <v>-1.3719876923575774E-3</v>
      </c>
      <c r="BM113" s="315">
        <f>+BM112+BG112</f>
        <v>3.2045242489262556E-2</v>
      </c>
      <c r="BN113" s="315">
        <f>+BN112+BH112</f>
        <v>1.7307368681464905E-2</v>
      </c>
      <c r="BO113" s="315">
        <f>+BO112+BI112</f>
        <v>6.6447453791131511E-3</v>
      </c>
      <c r="BP113" s="115"/>
      <c r="BQ113" s="315">
        <f>+BQ112+BK112</f>
        <v>5.1477052099715356E-3</v>
      </c>
      <c r="BR113" s="315">
        <f>+BR112+BL112</f>
        <v>-8.7611594001552572E-4</v>
      </c>
      <c r="BS113" s="315">
        <f>+BS112+BM112</f>
        <v>-5.8339470644783002E-4</v>
      </c>
      <c r="BT113" s="315">
        <f>+BT112+BN112</f>
        <v>1.5176689453152255E-2</v>
      </c>
      <c r="BU113" s="315">
        <f>+BU112+BO112</f>
        <v>5.3023417508715615E-3</v>
      </c>
      <c r="BV113" s="115"/>
      <c r="BW113" s="315">
        <f>+BW112+BQ112</f>
        <v>-3.2853416912399916E-2</v>
      </c>
      <c r="BX113" s="315">
        <f>+BX112+BR112</f>
        <v>-2.506543476634477E-2</v>
      </c>
      <c r="BY113" s="315">
        <f>+BY112+BS112</f>
        <v>-2.3528952834070173E-2</v>
      </c>
      <c r="BZ113" s="315">
        <f>+BZ112+BT112</f>
        <v>-3.1587053040975185E-2</v>
      </c>
      <c r="CA113" s="315">
        <f>+CA112+BU112</f>
        <v>-2.7718551672124836E-2</v>
      </c>
      <c r="CB113" s="115"/>
      <c r="CC113" s="315">
        <f>+CC112+BW112</f>
        <v>-3.1060363647901101E-2</v>
      </c>
      <c r="CD113" s="315">
        <f>+CD112+BX112</f>
        <v>-2.87460208528868E-2</v>
      </c>
      <c r="CE113" s="315">
        <f>+CE112+BY112</f>
        <v>-2.5348651293476188E-2</v>
      </c>
      <c r="CF113" s="315">
        <f>+CF112+BZ112</f>
        <v>-3.5420261642815976E-2</v>
      </c>
      <c r="CG113" s="315">
        <f>+CG112+CA112</f>
        <v>-3.0224031467103285E-2</v>
      </c>
    </row>
    <row r="114" spans="1:87" ht="3" customHeight="1" outlineLevel="1" x14ac:dyDescent="0.2">
      <c r="A114" s="218"/>
      <c r="B114" s="321"/>
      <c r="C114" s="321"/>
      <c r="D114" s="321"/>
      <c r="E114" s="321"/>
      <c r="F114" s="321"/>
      <c r="G114" s="321"/>
      <c r="H114" s="31"/>
      <c r="I114" s="321"/>
      <c r="J114" s="321"/>
      <c r="K114" s="321"/>
      <c r="L114" s="321"/>
      <c r="M114" s="321"/>
      <c r="N114" s="31"/>
      <c r="O114" s="321"/>
      <c r="P114" s="321"/>
      <c r="Q114" s="321"/>
      <c r="R114" s="321"/>
      <c r="S114" s="321"/>
      <c r="T114" s="31"/>
      <c r="U114" s="321"/>
      <c r="V114" s="321"/>
      <c r="W114" s="321"/>
      <c r="X114" s="321"/>
      <c r="Y114" s="321"/>
      <c r="Z114" s="31"/>
      <c r="AA114" s="95"/>
      <c r="AB114" s="95"/>
      <c r="AC114" s="95"/>
      <c r="AD114" s="95"/>
      <c r="AE114" s="321"/>
      <c r="AF114" s="31"/>
      <c r="AG114" s="95"/>
      <c r="AH114" s="95"/>
      <c r="AI114" s="95"/>
      <c r="AJ114" s="95"/>
      <c r="AK114" s="95"/>
      <c r="AL114" s="31"/>
      <c r="AM114" s="95"/>
      <c r="AN114" s="95"/>
      <c r="AO114" s="95"/>
      <c r="AP114" s="95"/>
      <c r="AQ114" s="95"/>
      <c r="AR114" s="31"/>
      <c r="AS114" s="95"/>
      <c r="AT114" s="95"/>
      <c r="AU114" s="95"/>
      <c r="AV114" s="95"/>
      <c r="AW114" s="95"/>
      <c r="AX114" s="31"/>
      <c r="AY114" s="95"/>
      <c r="AZ114" s="95"/>
      <c r="BA114" s="95"/>
      <c r="BB114" s="95"/>
      <c r="BC114" s="95"/>
      <c r="BD114" s="31"/>
      <c r="BE114" s="95"/>
      <c r="BF114" s="95"/>
      <c r="BG114" s="95"/>
      <c r="BH114" s="95"/>
      <c r="BI114" s="95"/>
      <c r="BJ114" s="31"/>
      <c r="BK114" s="95"/>
      <c r="BL114" s="95"/>
      <c r="BM114" s="95"/>
      <c r="BN114" s="95"/>
      <c r="BO114" s="95"/>
      <c r="BP114" s="31"/>
      <c r="BQ114" s="95"/>
      <c r="BR114" s="95"/>
      <c r="BS114" s="95"/>
      <c r="BT114" s="95"/>
      <c r="BU114" s="95"/>
      <c r="BV114" s="31"/>
      <c r="BW114" s="95"/>
      <c r="BX114" s="95"/>
      <c r="BY114" s="95"/>
      <c r="BZ114" s="95"/>
      <c r="CA114" s="95"/>
      <c r="CB114" s="31"/>
      <c r="CC114" s="95"/>
      <c r="CD114" s="95"/>
      <c r="CE114" s="95"/>
      <c r="CF114" s="95"/>
      <c r="CG114" s="95"/>
    </row>
    <row r="115" spans="1:87" ht="12.75" customHeight="1" x14ac:dyDescent="0.2">
      <c r="A115" s="230"/>
      <c r="B115" s="293" t="s">
        <v>180</v>
      </c>
      <c r="C115" s="42"/>
      <c r="D115" s="42"/>
      <c r="E115" s="42"/>
      <c r="F115" s="42"/>
      <c r="G115" s="42"/>
      <c r="H115" s="31"/>
      <c r="I115" s="42"/>
      <c r="J115" s="42"/>
      <c r="K115" s="42"/>
      <c r="L115" s="42"/>
      <c r="M115" s="42"/>
      <c r="N115" s="31"/>
      <c r="O115" s="42"/>
      <c r="P115" s="42"/>
      <c r="Q115" s="42"/>
      <c r="R115" s="42"/>
      <c r="S115" s="42"/>
      <c r="T115" s="31"/>
      <c r="U115" s="42"/>
      <c r="V115" s="42"/>
      <c r="W115" s="42"/>
      <c r="X115" s="42"/>
      <c r="Y115" s="42"/>
      <c r="Z115" s="31"/>
      <c r="AA115" s="42"/>
      <c r="AB115" s="309"/>
      <c r="AC115" s="309"/>
      <c r="AD115" s="309"/>
      <c r="AE115" s="42"/>
      <c r="AF115" s="31"/>
      <c r="AG115" s="309"/>
      <c r="AH115" s="309"/>
      <c r="AI115" s="309"/>
      <c r="AJ115" s="309"/>
      <c r="AK115" s="42"/>
      <c r="AL115" s="31"/>
      <c r="AM115" s="42"/>
      <c r="AN115" s="42"/>
      <c r="AO115" s="309"/>
      <c r="AP115" s="309"/>
      <c r="AQ115" s="42"/>
      <c r="AR115" s="31"/>
      <c r="AS115" s="42"/>
      <c r="AT115" s="42"/>
      <c r="AU115" s="42"/>
      <c r="AV115" s="42"/>
      <c r="AX115" s="31"/>
      <c r="AY115" s="384"/>
      <c r="BB115" s="42"/>
      <c r="BC115" s="42"/>
      <c r="BD115" s="31"/>
      <c r="BE115" s="42"/>
      <c r="BF115" s="42"/>
      <c r="BG115" s="42"/>
      <c r="BH115" s="42"/>
      <c r="BI115" s="42"/>
      <c r="BJ115" s="31"/>
      <c r="BK115" s="42"/>
      <c r="BL115" s="42"/>
      <c r="BM115" s="42"/>
      <c r="BN115" s="42"/>
      <c r="BP115" s="31"/>
      <c r="BQ115" s="706"/>
      <c r="BR115" s="42"/>
      <c r="BS115" s="42"/>
      <c r="BT115" s="42"/>
      <c r="BU115" s="42"/>
      <c r="BV115" s="31"/>
      <c r="BW115" s="42"/>
      <c r="BX115" s="42"/>
      <c r="BY115" s="42"/>
      <c r="BZ115" s="42"/>
      <c r="CA115" s="42"/>
      <c r="CB115" s="31"/>
      <c r="CC115" s="42"/>
      <c r="CD115" s="42"/>
      <c r="CE115" s="42"/>
      <c r="CF115" s="42"/>
      <c r="CI115" s="665">
        <f>+(((CG33*CG16)/1000)/((AW16*AW42)/1000))^(1/6)-1</f>
        <v>0.31029845421564595</v>
      </c>
    </row>
    <row r="116" spans="1:87" ht="12.75" customHeight="1" outlineLevel="1" x14ac:dyDescent="0.2">
      <c r="A116" s="230"/>
      <c r="B116" s="32" t="s">
        <v>176</v>
      </c>
      <c r="C116" s="47">
        <v>54.343000000000004</v>
      </c>
      <c r="D116" s="47">
        <v>64.721000000000004</v>
      </c>
      <c r="E116" s="47">
        <v>59.670999999999999</v>
      </c>
      <c r="F116" s="47">
        <f>236.758-SUM(C116:E116)</f>
        <v>58.022999999999996</v>
      </c>
      <c r="G116" s="49">
        <f>+SUM(C116:F116)</f>
        <v>236.75800000000001</v>
      </c>
      <c r="H116" s="31"/>
      <c r="I116" s="47">
        <v>60.258000000000003</v>
      </c>
      <c r="J116" s="47">
        <v>63.024999999999999</v>
      </c>
      <c r="K116" s="47">
        <v>59.627000000000002</v>
      </c>
      <c r="L116" s="47">
        <f>240.21-SUM(I116:K116)</f>
        <v>57.300000000000011</v>
      </c>
      <c r="M116" s="49">
        <f>+SUM(I116:L116)</f>
        <v>240.21</v>
      </c>
      <c r="N116" s="31"/>
      <c r="O116" s="47">
        <v>55.292999999999999</v>
      </c>
      <c r="P116" s="47">
        <v>57.23</v>
      </c>
      <c r="Q116" s="47">
        <v>60.054000000000002</v>
      </c>
      <c r="R116" s="47">
        <f>237.033-SUM(O116:Q116)</f>
        <v>64.455999999999989</v>
      </c>
      <c r="S116" s="49">
        <f>+SUM(O116:R116)</f>
        <v>237.03299999999999</v>
      </c>
      <c r="T116" s="31"/>
      <c r="U116" s="47">
        <v>68.853999999999999</v>
      </c>
      <c r="V116" s="47">
        <f>81.732-14.298</f>
        <v>67.433999999999997</v>
      </c>
      <c r="W116" s="47">
        <v>72.555000000000007</v>
      </c>
      <c r="X116" s="47">
        <f>290.847-14.298-SUM(U116:W116)</f>
        <v>67.70599999999996</v>
      </c>
      <c r="Y116" s="49">
        <f>+SUM(U116:X116)</f>
        <v>276.54899999999998</v>
      </c>
      <c r="Z116" s="31"/>
      <c r="AA116" s="654">
        <v>79.135000000000005</v>
      </c>
      <c r="AB116" s="654">
        <v>89.988</v>
      </c>
      <c r="AC116" s="654">
        <v>93.924999999999997</v>
      </c>
      <c r="AD116" s="654">
        <f>359.936-SUM(AA116:AC116)</f>
        <v>96.887999999999977</v>
      </c>
      <c r="AE116" s="49">
        <f>+SUM(AA116:AD116)</f>
        <v>359.93599999999998</v>
      </c>
      <c r="AF116" s="31"/>
      <c r="AG116" s="654">
        <v>103.258</v>
      </c>
      <c r="AH116" s="654">
        <v>110.83799999999999</v>
      </c>
      <c r="AI116" s="654">
        <v>105.173</v>
      </c>
      <c r="AJ116" s="654">
        <f>427.929-SUM(AG116:AI116)</f>
        <v>108.65999999999997</v>
      </c>
      <c r="AK116" s="49">
        <f>+SUM(AG116:AJ116)</f>
        <v>427.92899999999997</v>
      </c>
      <c r="AL116" s="655"/>
      <c r="AM116" s="654">
        <v>119.84</v>
      </c>
      <c r="AN116" s="654">
        <v>121.651</v>
      </c>
      <c r="AO116" s="654">
        <v>123.904</v>
      </c>
      <c r="AP116" s="654">
        <f>491.41-SUM(AM116:AO116)</f>
        <v>126.01500000000004</v>
      </c>
      <c r="AQ116" s="49">
        <f>+SUM(AM116:AP116)</f>
        <v>491.41</v>
      </c>
      <c r="AR116" s="655"/>
      <c r="AS116" s="654">
        <v>128.63999999999999</v>
      </c>
      <c r="AT116" s="654">
        <v>133.95400000000001</v>
      </c>
      <c r="AU116" s="654">
        <v>134.244</v>
      </c>
      <c r="AV116" s="654">
        <f>532.569-SUM(AS116:AU116)</f>
        <v>135.73099999999999</v>
      </c>
      <c r="AW116" s="49">
        <f>+SUM(AS116:AV116)</f>
        <v>532.56899999999996</v>
      </c>
      <c r="AX116" s="31"/>
      <c r="AY116" s="654">
        <v>139.70400000000001</v>
      </c>
      <c r="AZ116" s="654">
        <v>145.36799999999999</v>
      </c>
      <c r="BA116" s="654">
        <v>143.93299999999999</v>
      </c>
      <c r="BB116" s="654">
        <f>585.874-SUM(AY116:BA116)</f>
        <v>156.86900000000003</v>
      </c>
      <c r="BC116" s="49">
        <f>+SUM(AY116:BB116)</f>
        <v>585.87400000000002</v>
      </c>
      <c r="BE116" s="654">
        <v>166.101</v>
      </c>
      <c r="BF116" s="654">
        <v>182.322</v>
      </c>
      <c r="BG116" s="654">
        <v>168.501</v>
      </c>
      <c r="BH116" s="654">
        <f>692.254-SUM(BE116:BG116)</f>
        <v>175.33000000000004</v>
      </c>
      <c r="BI116" s="49">
        <f>+SUM(BE116:BH116)</f>
        <v>692.25400000000002</v>
      </c>
      <c r="BJ116" s="31"/>
      <c r="BK116" s="654">
        <v>183.273</v>
      </c>
      <c r="BL116" s="654">
        <v>207.02099999999999</v>
      </c>
      <c r="BM116" s="654">
        <v>217.75800000000001</v>
      </c>
      <c r="BN116" s="654">
        <f>836.2-SUM(BK116:BM116)</f>
        <v>228.14800000000002</v>
      </c>
      <c r="BO116" s="49">
        <f>+SUM(BK116:BN116)</f>
        <v>836.2</v>
      </c>
      <c r="BP116" s="31"/>
      <c r="BQ116" s="42"/>
      <c r="BR116" s="42"/>
      <c r="BS116" s="42"/>
      <c r="BT116" s="42"/>
      <c r="BU116" s="42"/>
      <c r="BV116" s="31"/>
      <c r="BW116" s="42"/>
      <c r="BX116" s="42"/>
      <c r="BY116" s="42"/>
      <c r="BZ116" s="42"/>
      <c r="CA116" s="42"/>
      <c r="CB116" s="31"/>
      <c r="CC116" s="42"/>
      <c r="CD116" s="42"/>
      <c r="CE116" s="42"/>
      <c r="CF116" s="42"/>
      <c r="CI116" s="665">
        <f>+CG16/CG22</f>
        <v>0.41392891479824484</v>
      </c>
    </row>
    <row r="117" spans="1:87" outlineLevel="1" x14ac:dyDescent="0.2">
      <c r="A117" s="230"/>
      <c r="B117" s="32" t="s">
        <v>205</v>
      </c>
      <c r="C117" s="47">
        <v>8.4489999999999998</v>
      </c>
      <c r="D117" s="47">
        <v>11.329000000000001</v>
      </c>
      <c r="E117" s="47">
        <v>11.196</v>
      </c>
      <c r="F117" s="47">
        <f>45.047-SUM(C117:E117)</f>
        <v>14.073</v>
      </c>
      <c r="G117" s="49">
        <f>+SUM(C117:F117)</f>
        <v>45.046999999999997</v>
      </c>
      <c r="H117" s="31"/>
      <c r="I117" s="47">
        <v>14.154999999999999</v>
      </c>
      <c r="J117" s="47">
        <v>16.311</v>
      </c>
      <c r="K117" s="47">
        <v>15.055999999999999</v>
      </c>
      <c r="L117" s="47">
        <f>61.652-SUM(I117:K117)</f>
        <v>16.130000000000003</v>
      </c>
      <c r="M117" s="49">
        <f>+SUM(I117:L117)</f>
        <v>61.652000000000001</v>
      </c>
      <c r="N117" s="31"/>
      <c r="O117" s="47">
        <v>14.352</v>
      </c>
      <c r="P117" s="47">
        <v>18.428000000000001</v>
      </c>
      <c r="Q117" s="47">
        <v>18.206</v>
      </c>
      <c r="R117" s="47">
        <f>72.245-SUM(O117:Q117)</f>
        <v>21.259</v>
      </c>
      <c r="S117" s="49">
        <f>+SUM(O117:R117)</f>
        <v>72.245000000000005</v>
      </c>
      <c r="T117" s="31"/>
      <c r="U117" s="47">
        <v>20.378</v>
      </c>
      <c r="V117" s="47">
        <v>25.427</v>
      </c>
      <c r="W117" s="47">
        <v>22.28</v>
      </c>
      <c r="X117" s="47">
        <f>92.032-SUM(U117:W117)</f>
        <v>23.946999999999989</v>
      </c>
      <c r="Y117" s="49">
        <f>+SUM(U117:X117)</f>
        <v>92.031999999999996</v>
      </c>
      <c r="Z117" s="31"/>
      <c r="AA117" s="654">
        <v>24.536999999999999</v>
      </c>
      <c r="AB117" s="654">
        <v>27.613</v>
      </c>
      <c r="AC117" s="654">
        <v>27.582999999999998</v>
      </c>
      <c r="AD117" s="654">
        <f>109.831-SUM(AA117:AC117)</f>
        <v>30.097999999999999</v>
      </c>
      <c r="AE117" s="49">
        <f>+SUM(AA117:AD117)</f>
        <v>109.831</v>
      </c>
      <c r="AF117" s="31"/>
      <c r="AG117" s="654">
        <v>29.446999999999999</v>
      </c>
      <c r="AH117" s="654">
        <v>28.715</v>
      </c>
      <c r="AI117" s="654">
        <v>24.193000000000001</v>
      </c>
      <c r="AJ117" s="654">
        <f>105.942-SUM(AG117:AI117)</f>
        <v>23.586999999999989</v>
      </c>
      <c r="AK117" s="49">
        <f>+SUM(AG117:AJ117)</f>
        <v>105.94199999999999</v>
      </c>
      <c r="AL117" s="655"/>
      <c r="AM117" s="654">
        <v>31.094999999999999</v>
      </c>
      <c r="AN117" s="654">
        <v>32.363</v>
      </c>
      <c r="AO117" s="654">
        <v>26.494</v>
      </c>
      <c r="AP117" s="654">
        <f>122.494-SUM(AM117:AO117)</f>
        <v>32.542000000000002</v>
      </c>
      <c r="AQ117" s="49">
        <f>+SUM(AM117:AP117)</f>
        <v>122.494</v>
      </c>
      <c r="AR117" s="655"/>
      <c r="AS117" s="654">
        <v>38.843000000000004</v>
      </c>
      <c r="AT117" s="654">
        <v>41.899000000000001</v>
      </c>
      <c r="AU117" s="654">
        <v>35.878</v>
      </c>
      <c r="AV117" s="654">
        <f>156.817-SUM(AS117:AU117)</f>
        <v>40.197000000000003</v>
      </c>
      <c r="AW117" s="49">
        <f>+SUM(AS117:AV117)</f>
        <v>156.81700000000001</v>
      </c>
      <c r="AX117" s="31"/>
      <c r="AY117" s="654">
        <v>38.645000000000003</v>
      </c>
      <c r="AZ117" s="654">
        <v>42.222999999999999</v>
      </c>
      <c r="BA117" s="654">
        <v>37.427</v>
      </c>
      <c r="BB117" s="654">
        <f>167.128-SUM(AY117:BA117)</f>
        <v>48.832999999999998</v>
      </c>
      <c r="BC117" s="49">
        <f>+SUM(AY117:BB117)</f>
        <v>167.12799999999999</v>
      </c>
      <c r="BE117" s="654">
        <v>47.4</v>
      </c>
      <c r="BF117" s="654">
        <v>56.597999999999999</v>
      </c>
      <c r="BG117" s="654">
        <v>87.051000000000002</v>
      </c>
      <c r="BH117" s="654">
        <f>291.053-SUM(BE117:BG117)</f>
        <v>100.00400000000002</v>
      </c>
      <c r="BI117" s="49">
        <f>+SUM(BE117:BH117)</f>
        <v>291.053</v>
      </c>
      <c r="BJ117" s="31"/>
      <c r="BK117" s="654">
        <v>105.65</v>
      </c>
      <c r="BL117" s="654">
        <v>124.321</v>
      </c>
      <c r="BM117" s="654">
        <v>127.307</v>
      </c>
      <c r="BN117" s="654">
        <f>456.108-SUM(BK117:BM117)</f>
        <v>98.829999999999984</v>
      </c>
      <c r="BO117" s="49">
        <f>+SUM(BK117:BN117)</f>
        <v>456.108</v>
      </c>
      <c r="BP117" s="31"/>
      <c r="BQ117" s="42"/>
      <c r="BR117" s="42"/>
      <c r="BS117" s="42"/>
      <c r="BT117" s="42"/>
      <c r="BU117" s="42"/>
      <c r="BV117" s="31"/>
      <c r="BW117" s="42"/>
      <c r="BX117" s="42"/>
      <c r="BY117" s="42"/>
      <c r="BZ117" s="42"/>
      <c r="CA117" s="42"/>
      <c r="CB117" s="31"/>
      <c r="CC117" s="42"/>
      <c r="CD117" s="42"/>
      <c r="CE117" s="42"/>
      <c r="CF117" s="42"/>
      <c r="CG117" s="42"/>
    </row>
    <row r="118" spans="1:87" ht="12.75" customHeight="1" outlineLevel="1" x14ac:dyDescent="0.2">
      <c r="A118" s="230"/>
      <c r="B118" s="32" t="s">
        <v>178</v>
      </c>
      <c r="C118" s="47">
        <v>0.96899999999999997</v>
      </c>
      <c r="D118" s="47">
        <v>0.55300000000000005</v>
      </c>
      <c r="E118" s="47">
        <v>0.58399999999999996</v>
      </c>
      <c r="F118" s="47">
        <f>2.527-SUM(C118:E118)</f>
        <v>0.42100000000000026</v>
      </c>
      <c r="G118" s="49">
        <f>+SUM(C118:F118)</f>
        <v>2.5270000000000001</v>
      </c>
      <c r="H118" s="31"/>
      <c r="I118" s="47">
        <v>0.36299999999999999</v>
      </c>
      <c r="J118" s="47">
        <v>0.56599999999999995</v>
      </c>
      <c r="K118" s="47">
        <v>0.49</v>
      </c>
      <c r="L118" s="47">
        <f>2.114-SUM(I118:K118)</f>
        <v>0.69499999999999984</v>
      </c>
      <c r="M118" s="49">
        <f>+SUM(I118:L118)</f>
        <v>2.1139999999999999</v>
      </c>
      <c r="N118" s="31"/>
      <c r="O118" s="47">
        <v>0.48699999999999999</v>
      </c>
      <c r="P118" s="47">
        <v>0.65800000000000003</v>
      </c>
      <c r="Q118" s="47">
        <v>1.0089999999999999</v>
      </c>
      <c r="R118" s="47">
        <f>3.055-SUM(O118:Q118)</f>
        <v>0.90100000000000025</v>
      </c>
      <c r="S118" s="49">
        <f>+SUM(O118:R118)</f>
        <v>3.0550000000000002</v>
      </c>
      <c r="T118" s="31"/>
      <c r="U118" s="47">
        <v>0.85799999999999998</v>
      </c>
      <c r="V118" s="47">
        <v>1.0369999999999999</v>
      </c>
      <c r="W118" s="47">
        <v>1.1120000000000001</v>
      </c>
      <c r="X118" s="47">
        <f>4.247-SUM(U118:W118)</f>
        <v>1.2399999999999998</v>
      </c>
      <c r="Y118" s="49">
        <f>+SUM(U118:X118)</f>
        <v>4.2469999999999999</v>
      </c>
      <c r="Z118" s="31"/>
      <c r="AA118" s="654">
        <v>1.1839999999999999</v>
      </c>
      <c r="AB118" s="654">
        <v>2.4849999999999999</v>
      </c>
      <c r="AC118" s="654">
        <v>4.3860000000000001</v>
      </c>
      <c r="AD118" s="654">
        <f>9.974-SUM(AA118:AC118)</f>
        <v>1.9190000000000005</v>
      </c>
      <c r="AE118" s="49">
        <f>+SUM(AA118:AD118)</f>
        <v>9.9740000000000002</v>
      </c>
      <c r="AF118" s="31"/>
      <c r="AG118" s="654">
        <v>2.3740000000000001</v>
      </c>
      <c r="AH118" s="654">
        <v>6.0730000000000004</v>
      </c>
      <c r="AI118" s="654">
        <v>7.13</v>
      </c>
      <c r="AJ118" s="654">
        <f>26.17-SUM(AG118:AI118)</f>
        <v>10.593</v>
      </c>
      <c r="AK118" s="49">
        <f>+SUM(AG118:AJ118)</f>
        <v>26.17</v>
      </c>
      <c r="AL118" s="655"/>
      <c r="AM118" s="654">
        <v>2.645</v>
      </c>
      <c r="AN118" s="654">
        <v>9.8140000000000001</v>
      </c>
      <c r="AO118" s="654">
        <v>14.108000000000001</v>
      </c>
      <c r="AP118" s="654">
        <f>46.302-SUM(AM118:AO118)</f>
        <v>19.734999999999999</v>
      </c>
      <c r="AQ118" s="49">
        <f>+SUM(AM118:AP118)</f>
        <v>46.302</v>
      </c>
      <c r="AR118" s="655"/>
      <c r="AS118" s="654">
        <v>13.163</v>
      </c>
      <c r="AT118" s="654">
        <v>16.678000000000001</v>
      </c>
      <c r="AU118" s="654">
        <v>19.754000000000001</v>
      </c>
      <c r="AV118" s="654">
        <f>72.267-SUM(AS118:AU118)</f>
        <v>22.671999999999997</v>
      </c>
      <c r="AW118" s="49">
        <f>+SUM(AS118:AV118)</f>
        <v>72.266999999999996</v>
      </c>
      <c r="AX118" s="31"/>
      <c r="AY118" s="654">
        <v>19.736999999999998</v>
      </c>
      <c r="AZ118" s="654">
        <v>21.896999999999998</v>
      </c>
      <c r="BA118" s="654">
        <v>26.276</v>
      </c>
      <c r="BB118" s="654">
        <f>92.484-SUM(AY118:BA118)</f>
        <v>24.573999999999998</v>
      </c>
      <c r="BC118" s="49">
        <f>+SUM(AY118:BB118)</f>
        <v>92.483999999999995</v>
      </c>
      <c r="BE118" s="654">
        <v>25.219000000000001</v>
      </c>
      <c r="BF118" s="654">
        <v>30.442</v>
      </c>
      <c r="BG118" s="654">
        <v>23.036999999999999</v>
      </c>
      <c r="BH118" s="654">
        <f>96.567-SUM(BE118:BG118)</f>
        <v>17.868999999999986</v>
      </c>
      <c r="BI118" s="49">
        <f>+SUM(BE118:BH118)</f>
        <v>96.566999999999993</v>
      </c>
      <c r="BJ118" s="31"/>
      <c r="BK118" s="654">
        <v>21.417999999999999</v>
      </c>
      <c r="BL118" s="654">
        <v>25.14</v>
      </c>
      <c r="BM118" s="654">
        <v>40.201999999999998</v>
      </c>
      <c r="BN118" s="654">
        <f>181.105-SUM(BK118:BM118)</f>
        <v>94.344999999999999</v>
      </c>
      <c r="BO118" s="49">
        <f>+SUM(BK118:BN118)</f>
        <v>181.10499999999999</v>
      </c>
      <c r="BP118" s="31"/>
      <c r="BQ118" s="42"/>
      <c r="BR118" s="42"/>
      <c r="BS118" s="42"/>
      <c r="BT118" s="42"/>
      <c r="BU118" s="42"/>
      <c r="BV118" s="31"/>
      <c r="BW118" s="42"/>
      <c r="BX118" s="42"/>
      <c r="BY118" s="42"/>
      <c r="BZ118" s="42"/>
      <c r="CA118" s="42"/>
      <c r="CB118" s="31"/>
      <c r="CC118" s="42"/>
      <c r="CD118" s="42"/>
      <c r="CE118" s="42"/>
      <c r="CF118" s="42"/>
      <c r="CG118" s="49"/>
    </row>
    <row r="119" spans="1:87" ht="12.75" customHeight="1" outlineLevel="1" x14ac:dyDescent="0.2">
      <c r="A119" s="230"/>
      <c r="B119" s="40" t="s">
        <v>179</v>
      </c>
      <c r="C119" s="48">
        <f>+SUM(C116:C118)</f>
        <v>63.761000000000003</v>
      </c>
      <c r="D119" s="48">
        <f>+SUM(D116:D118)</f>
        <v>76.603000000000009</v>
      </c>
      <c r="E119" s="48">
        <f>+SUM(E116:E118)</f>
        <v>71.451000000000008</v>
      </c>
      <c r="F119" s="48">
        <f>+SUM(F116:F118)</f>
        <v>72.51700000000001</v>
      </c>
      <c r="G119" s="48">
        <f>+SUM(G116:G118)</f>
        <v>284.33199999999999</v>
      </c>
      <c r="H119" s="31"/>
      <c r="I119" s="48">
        <f>+SUM(I116:I118)</f>
        <v>74.775999999999996</v>
      </c>
      <c r="J119" s="48">
        <f>+SUM(J116:J118)</f>
        <v>79.902000000000001</v>
      </c>
      <c r="K119" s="48">
        <f>+SUM(K116:K118)</f>
        <v>75.173000000000002</v>
      </c>
      <c r="L119" s="48">
        <f>+SUM(L116:L118)</f>
        <v>74.125</v>
      </c>
      <c r="M119" s="48">
        <f>+SUM(M116:M118)</f>
        <v>303.976</v>
      </c>
      <c r="N119" s="31"/>
      <c r="O119" s="48">
        <f>+SUM(O116:O118)</f>
        <v>70.131999999999991</v>
      </c>
      <c r="P119" s="48">
        <f>+SUM(P116:P118)</f>
        <v>76.316000000000003</v>
      </c>
      <c r="Q119" s="48">
        <f>+SUM(Q116:Q118)</f>
        <v>79.269000000000005</v>
      </c>
      <c r="R119" s="48">
        <f>+SUM(R116:R118)</f>
        <v>86.615999999999985</v>
      </c>
      <c r="S119" s="48">
        <f>+SUM(S116:S118)</f>
        <v>312.33300000000003</v>
      </c>
      <c r="T119" s="31"/>
      <c r="U119" s="48">
        <f>+SUM(U116:U118)</f>
        <v>90.09</v>
      </c>
      <c r="V119" s="48">
        <f>+SUM(V116:V118)</f>
        <v>93.897999999999996</v>
      </c>
      <c r="W119" s="48">
        <f>+SUM(W116:W118)</f>
        <v>95.947000000000003</v>
      </c>
      <c r="X119" s="48">
        <f>+SUM(X116:X118)</f>
        <v>92.892999999999944</v>
      </c>
      <c r="Y119" s="48">
        <f>+SUM(Y116:Y118)</f>
        <v>372.82799999999997</v>
      </c>
      <c r="Z119" s="31"/>
      <c r="AA119" s="48">
        <f>+SUM(AA116:AA118)</f>
        <v>104.85599999999999</v>
      </c>
      <c r="AB119" s="48">
        <f>+SUM(AB116:AB118)</f>
        <v>120.086</v>
      </c>
      <c r="AC119" s="48">
        <f>+SUM(AC116:AC118)</f>
        <v>125.89399999999999</v>
      </c>
      <c r="AD119" s="48">
        <f>+SUM(AD116:AD118)</f>
        <v>128.90499999999997</v>
      </c>
      <c r="AE119" s="48">
        <f>+SUM(AE116:AE118)</f>
        <v>479.74099999999999</v>
      </c>
      <c r="AF119" s="31"/>
      <c r="AG119" s="48">
        <f>+SUM(AG116:AG118)</f>
        <v>135.07899999999998</v>
      </c>
      <c r="AH119" s="48">
        <f>+SUM(AH116:AH118)</f>
        <v>145.626</v>
      </c>
      <c r="AI119" s="48">
        <f>+SUM(AI116:AI118)</f>
        <v>136.49600000000001</v>
      </c>
      <c r="AJ119" s="48">
        <f>+SUM(AJ116:AJ118)</f>
        <v>142.83999999999995</v>
      </c>
      <c r="AK119" s="48">
        <f>+SUM(AK116:AK118)</f>
        <v>560.04099999999994</v>
      </c>
      <c r="AL119" s="31"/>
      <c r="AM119" s="48">
        <f>+SUM(AM116:AM118)</f>
        <v>153.58000000000001</v>
      </c>
      <c r="AN119" s="48">
        <f>+SUM(AN116:AN118)</f>
        <v>163.828</v>
      </c>
      <c r="AO119" s="48">
        <f>+SUM(AO116:AO118)</f>
        <v>164.506</v>
      </c>
      <c r="AP119" s="48">
        <f>+SUM(AP116:AP118)</f>
        <v>178.29200000000003</v>
      </c>
      <c r="AQ119" s="48">
        <f>+SUM(AM119:AP119)</f>
        <v>660.20600000000002</v>
      </c>
      <c r="AR119" s="31"/>
      <c r="AS119" s="48">
        <f>+SUM(AS116:AS118)</f>
        <v>180.64600000000002</v>
      </c>
      <c r="AT119" s="48">
        <f>+SUM(AT116:AT118)</f>
        <v>192.53100000000001</v>
      </c>
      <c r="AU119" s="48">
        <f>+SUM(AU116:AU118)</f>
        <v>189.876</v>
      </c>
      <c r="AV119" s="48">
        <f>+SUM(AV116:AV118)</f>
        <v>198.6</v>
      </c>
      <c r="AW119" s="48">
        <f>+SUM(AS119:AV119)</f>
        <v>761.65300000000002</v>
      </c>
      <c r="AX119" s="31"/>
      <c r="AY119" s="48">
        <f>+SUM(AY116:AY118)</f>
        <v>198.08600000000001</v>
      </c>
      <c r="AZ119" s="48">
        <f>+SUM(AZ116:AZ118)</f>
        <v>209.488</v>
      </c>
      <c r="BA119" s="48">
        <f>+SUM(BA116:BA118)</f>
        <v>207.636</v>
      </c>
      <c r="BB119" s="48">
        <f>+SUM(BB116:BB118)</f>
        <v>230.27600000000001</v>
      </c>
      <c r="BC119" s="48">
        <f>+SUM(AY119:BB119)</f>
        <v>845.4860000000001</v>
      </c>
      <c r="BE119" s="48">
        <f>+SUM(BE116:BE118)</f>
        <v>238.72</v>
      </c>
      <c r="BF119" s="48">
        <f>+SUM(BF116:BF118)</f>
        <v>269.36200000000002</v>
      </c>
      <c r="BG119" s="48">
        <f>+SUM(BG116:BG118)</f>
        <v>278.589</v>
      </c>
      <c r="BH119" s="48">
        <f>+SUM(BH116:BH118)</f>
        <v>293.20300000000003</v>
      </c>
      <c r="BI119" s="48">
        <f>+SUM(BE119:BH119)</f>
        <v>1079.874</v>
      </c>
      <c r="BJ119" s="31"/>
      <c r="BK119" s="48">
        <f>+SUM(BK116:BK118)</f>
        <v>310.34100000000001</v>
      </c>
      <c r="BL119" s="48">
        <f>+SUM(BL116:BL118)</f>
        <v>356.48199999999997</v>
      </c>
      <c r="BM119" s="48">
        <f>+SUM(BM116:BM118)</f>
        <v>385.267</v>
      </c>
      <c r="BN119" s="48">
        <f>+SUM(BN116:BN118)</f>
        <v>421.32299999999998</v>
      </c>
      <c r="BO119" s="48">
        <f>+SUM(BK119:BN119)</f>
        <v>1473.413</v>
      </c>
      <c r="BP119" s="31"/>
      <c r="BQ119" s="42"/>
      <c r="BR119" s="42"/>
      <c r="BS119" s="42"/>
      <c r="BT119" s="42"/>
      <c r="BU119" s="42"/>
      <c r="BV119" s="31"/>
      <c r="BW119" s="42"/>
      <c r="BX119" s="42"/>
      <c r="BY119" s="42"/>
      <c r="BZ119" s="42"/>
      <c r="CA119" s="42"/>
      <c r="CB119" s="31"/>
      <c r="CC119" s="42"/>
      <c r="CD119" s="42"/>
      <c r="CE119" s="42"/>
      <c r="CF119" s="42"/>
      <c r="CG119" s="42"/>
    </row>
    <row r="120" spans="1:87" ht="3" customHeight="1" outlineLevel="1" x14ac:dyDescent="0.2">
      <c r="A120" s="230"/>
      <c r="B120" s="246"/>
      <c r="C120" s="311">
        <f>+C119-ALGN!C95</f>
        <v>0</v>
      </c>
      <c r="D120" s="311">
        <f>+D119-ALGN!D95</f>
        <v>0</v>
      </c>
      <c r="E120" s="311">
        <f>+E119-ALGN!E95</f>
        <v>0</v>
      </c>
      <c r="F120" s="311">
        <f>+F119-ALGN!F95</f>
        <v>0</v>
      </c>
      <c r="G120" s="311">
        <f>+G119-ALGN!G95</f>
        <v>0</v>
      </c>
      <c r="H120" s="31"/>
      <c r="I120" s="311">
        <f>+I119-ALGN!I95</f>
        <v>0</v>
      </c>
      <c r="J120" s="311">
        <f>+J119-ALGN!J95</f>
        <v>0</v>
      </c>
      <c r="K120" s="311">
        <f>+K119-ALGN!K95</f>
        <v>0</v>
      </c>
      <c r="L120" s="311">
        <f>+L119-ALGN!L95</f>
        <v>0</v>
      </c>
      <c r="M120" s="311">
        <f>+M119-ALGN!M95</f>
        <v>0</v>
      </c>
      <c r="N120" s="31"/>
      <c r="O120" s="311">
        <f>+O119-ALGN!O95</f>
        <v>0</v>
      </c>
      <c r="P120" s="311">
        <f>+P119-ALGN!P95</f>
        <v>0</v>
      </c>
      <c r="Q120" s="311">
        <f>+Q119-ALGN!Q95</f>
        <v>0</v>
      </c>
      <c r="R120" s="311">
        <f>+R119-ALGN!R95</f>
        <v>0</v>
      </c>
      <c r="S120" s="311">
        <f>+S119-ALGN!S95</f>
        <v>0</v>
      </c>
      <c r="T120" s="31"/>
      <c r="U120" s="311">
        <f>+U119-ALGN!U95</f>
        <v>0</v>
      </c>
      <c r="V120" s="311">
        <f>+V119-ALGN!V95</f>
        <v>0</v>
      </c>
      <c r="W120" s="311">
        <f>+W119-ALGN!W95</f>
        <v>0</v>
      </c>
      <c r="X120" s="311">
        <f>+X119-ALGN!X95</f>
        <v>0</v>
      </c>
      <c r="Y120" s="311">
        <f>+Y119-ALGN!Y95</f>
        <v>0</v>
      </c>
      <c r="Z120" s="31"/>
      <c r="AA120" s="42"/>
      <c r="AB120" s="42"/>
      <c r="AC120" s="42"/>
      <c r="AD120" s="42"/>
      <c r="AE120" s="311"/>
      <c r="AF120" s="31"/>
      <c r="AG120" s="42"/>
      <c r="AH120" s="42"/>
      <c r="AI120" s="42"/>
      <c r="AJ120" s="42"/>
      <c r="AK120" s="42"/>
      <c r="AL120" s="31"/>
      <c r="AM120" s="42"/>
      <c r="AN120" s="42"/>
      <c r="AO120" s="42"/>
      <c r="AP120" s="42"/>
      <c r="AQ120" s="42"/>
      <c r="AR120" s="31"/>
      <c r="AS120" s="42"/>
      <c r="AT120" s="42"/>
      <c r="AU120" s="42"/>
      <c r="AV120" s="42"/>
      <c r="AW120" s="42"/>
      <c r="AX120" s="31"/>
      <c r="AY120" s="42"/>
      <c r="AZ120" s="42"/>
      <c r="BA120" s="42"/>
      <c r="BB120" s="42"/>
      <c r="BC120" s="42"/>
      <c r="BE120" s="42"/>
      <c r="BF120" s="42"/>
      <c r="BG120" s="42"/>
      <c r="BH120" s="42"/>
      <c r="BI120" s="42"/>
      <c r="BJ120" s="31"/>
      <c r="BK120" s="42"/>
      <c r="BL120" s="42"/>
      <c r="BM120" s="42"/>
      <c r="BN120" s="42"/>
      <c r="BO120" s="42"/>
      <c r="BP120" s="31"/>
      <c r="BQ120" s="42"/>
      <c r="BR120" s="42"/>
      <c r="BS120" s="42"/>
      <c r="BT120" s="42"/>
      <c r="BU120" s="42"/>
      <c r="BV120" s="31"/>
      <c r="BW120" s="42"/>
      <c r="BX120" s="42"/>
      <c r="BY120" s="42"/>
      <c r="BZ120" s="42"/>
      <c r="CA120" s="42"/>
      <c r="CB120" s="31"/>
      <c r="CC120" s="42"/>
      <c r="CD120" s="42"/>
      <c r="CE120" s="42"/>
      <c r="CF120" s="42"/>
      <c r="CG120" s="42"/>
    </row>
    <row r="121" spans="1:87" ht="12.75" customHeight="1" outlineLevel="1" x14ac:dyDescent="0.2">
      <c r="A121" s="230"/>
      <c r="B121" s="293" t="s">
        <v>83</v>
      </c>
      <c r="C121" s="653">
        <f>+C119-'P&amp;L'!C8</f>
        <v>0</v>
      </c>
      <c r="D121" s="653">
        <f>+D119-'P&amp;L'!D8</f>
        <v>0</v>
      </c>
      <c r="E121" s="653">
        <f>+E119-'P&amp;L'!E8</f>
        <v>0</v>
      </c>
      <c r="F121" s="653">
        <f>+F119-'P&amp;L'!F8</f>
        <v>0</v>
      </c>
      <c r="G121" s="653">
        <f>+G119-'P&amp;L'!G8</f>
        <v>0</v>
      </c>
      <c r="H121" s="31"/>
      <c r="I121" s="653">
        <f>+I119-'P&amp;L'!I8</f>
        <v>0</v>
      </c>
      <c r="J121" s="653">
        <f>+J119-'P&amp;L'!J8</f>
        <v>0</v>
      </c>
      <c r="K121" s="653">
        <f>+K119-'P&amp;L'!K8</f>
        <v>0</v>
      </c>
      <c r="L121" s="653">
        <f>+L119-'P&amp;L'!L8</f>
        <v>0</v>
      </c>
      <c r="M121" s="653">
        <f>+M119-'P&amp;L'!M8</f>
        <v>0</v>
      </c>
      <c r="N121" s="31"/>
      <c r="O121" s="653">
        <f>+O119-'P&amp;L'!O8</f>
        <v>0</v>
      </c>
      <c r="P121" s="653">
        <f>+P119-'P&amp;L'!P8</f>
        <v>0</v>
      </c>
      <c r="Q121" s="653">
        <f>+Q119-'P&amp;L'!Q8</f>
        <v>0</v>
      </c>
      <c r="R121" s="653">
        <f>+R119-'P&amp;L'!R8</f>
        <v>0</v>
      </c>
      <c r="S121" s="653">
        <f>+S119-'P&amp;L'!S8</f>
        <v>0</v>
      </c>
      <c r="T121" s="31"/>
      <c r="U121" s="653">
        <f>+U119-'P&amp;L'!U8</f>
        <v>0</v>
      </c>
      <c r="V121" s="653">
        <f>+V119-'P&amp;L'!V8</f>
        <v>0</v>
      </c>
      <c r="W121" s="653">
        <f>+W119-'P&amp;L'!W8</f>
        <v>0</v>
      </c>
      <c r="X121" s="653">
        <f>+X119-'P&amp;L'!X8</f>
        <v>0</v>
      </c>
      <c r="Y121" s="653">
        <f>+Y119-'P&amp;L'!Y8</f>
        <v>0</v>
      </c>
      <c r="Z121" s="31"/>
      <c r="AA121" s="653">
        <f>+AA119-'P&amp;L'!AA8</f>
        <v>0</v>
      </c>
      <c r="AB121" s="653">
        <f>+AB119-'P&amp;L'!AB8</f>
        <v>0</v>
      </c>
      <c r="AC121" s="653">
        <f>+AC119-'P&amp;L'!AC8</f>
        <v>0</v>
      </c>
      <c r="AD121" s="653">
        <f>+AD119-'P&amp;L'!AD8</f>
        <v>0</v>
      </c>
      <c r="AE121" s="653">
        <f>+AE119-'P&amp;L'!AE8</f>
        <v>0</v>
      </c>
      <c r="AF121" s="31"/>
      <c r="AG121" s="653">
        <f>+AG119-'P&amp;L'!AG8</f>
        <v>0</v>
      </c>
      <c r="AH121" s="653">
        <f>+AH119-'P&amp;L'!AH8</f>
        <v>0</v>
      </c>
      <c r="AI121" s="653">
        <f>+AI119-'P&amp;L'!AI8</f>
        <v>0</v>
      </c>
      <c r="AJ121" s="653">
        <f>+AJ119-'P&amp;L'!AJ8</f>
        <v>0</v>
      </c>
      <c r="AK121" s="653">
        <f>+AK119-'P&amp;L'!AK8</f>
        <v>0</v>
      </c>
      <c r="AL121" s="31"/>
      <c r="AM121" s="653">
        <f>+AM119-'P&amp;L'!AM8</f>
        <v>0</v>
      </c>
      <c r="AN121" s="653">
        <f>+AN119-'P&amp;L'!AN8</f>
        <v>0</v>
      </c>
      <c r="AO121" s="653">
        <f>+AO119-'P&amp;L'!AO8</f>
        <v>0</v>
      </c>
      <c r="AP121" s="653">
        <f>+AP119-'P&amp;L'!AP8</f>
        <v>0</v>
      </c>
      <c r="AQ121" s="653">
        <f>+AQ119-'P&amp;L'!AQ8</f>
        <v>0</v>
      </c>
      <c r="AR121" s="31"/>
      <c r="AS121" s="653">
        <f>+AS119-'P&amp;L'!AS8</f>
        <v>0</v>
      </c>
      <c r="AT121" s="653">
        <f>+AT119-'P&amp;L'!AT8</f>
        <v>0</v>
      </c>
      <c r="AU121" s="653">
        <f>+AU119-'P&amp;L'!AU8</f>
        <v>0</v>
      </c>
      <c r="AV121" s="653">
        <f>+AV119-'P&amp;L'!AV8</f>
        <v>0</v>
      </c>
      <c r="AW121" s="653">
        <f>+AW119-'P&amp;L'!AW8</f>
        <v>0</v>
      </c>
      <c r="AX121" s="31"/>
      <c r="AY121" s="653">
        <f>+AY119-'P&amp;L'!AY8</f>
        <v>0</v>
      </c>
      <c r="AZ121" s="653">
        <f>+AZ119-'P&amp;L'!AZ8</f>
        <v>0</v>
      </c>
      <c r="BA121" s="653">
        <f>+BA119-'P&amp;L'!BA8</f>
        <v>0</v>
      </c>
      <c r="BB121" s="653">
        <f>+BB119-'P&amp;L'!BB8</f>
        <v>0</v>
      </c>
      <c r="BC121" s="653">
        <f>+BC119-'P&amp;L'!BC8</f>
        <v>0</v>
      </c>
      <c r="BE121" s="653">
        <f>+BE119-'P&amp;L'!BE8</f>
        <v>0</v>
      </c>
      <c r="BF121" s="653">
        <f>+BF119-'P&amp;L'!BF8</f>
        <v>0</v>
      </c>
      <c r="BG121" s="653">
        <f>+BG119-'P&amp;L'!BG8</f>
        <v>0</v>
      </c>
      <c r="BH121" s="653">
        <f>+BH119-'P&amp;L'!BH8</f>
        <v>0</v>
      </c>
      <c r="BI121" s="653">
        <f>+BI119-'P&amp;L'!BI8</f>
        <v>0</v>
      </c>
      <c r="BJ121" s="31"/>
      <c r="BK121" s="653">
        <f>+BK119-'P&amp;L'!BK8</f>
        <v>0</v>
      </c>
      <c r="BL121" s="653">
        <f>+BL119-'P&amp;L'!BL8</f>
        <v>0</v>
      </c>
      <c r="BM121" s="653">
        <f>+BM119-'P&amp;L'!BM8</f>
        <v>0</v>
      </c>
      <c r="BN121" s="653">
        <f>+BN119-'P&amp;L'!BN8</f>
        <v>0</v>
      </c>
      <c r="BO121" s="653">
        <f>+BO119-'P&amp;L'!BO8</f>
        <v>0</v>
      </c>
      <c r="BP121" s="31"/>
      <c r="BQ121" s="42"/>
      <c r="BR121" s="42"/>
      <c r="BS121" s="42"/>
      <c r="BT121" s="42"/>
      <c r="BU121" s="42"/>
      <c r="BV121" s="31"/>
      <c r="BW121" s="42"/>
      <c r="BX121" s="42"/>
      <c r="BY121" s="42"/>
      <c r="BZ121" s="42"/>
      <c r="CA121" s="42"/>
      <c r="CB121" s="31"/>
      <c r="CC121" s="42"/>
      <c r="CD121" s="42"/>
      <c r="CE121" s="42"/>
      <c r="CF121" s="42"/>
      <c r="CG121" s="42"/>
    </row>
    <row r="122" spans="1:87" ht="12.75" customHeight="1" outlineLevel="1" x14ac:dyDescent="0.2">
      <c r="A122" s="230"/>
      <c r="B122" s="32" t="s">
        <v>176</v>
      </c>
      <c r="C122" s="47">
        <v>54.343000000000004</v>
      </c>
      <c r="D122" s="47">
        <v>64.721000000000004</v>
      </c>
      <c r="E122" s="47">
        <v>59.670999999999999</v>
      </c>
      <c r="F122" s="47">
        <f>236.758-SUM(C122:E122)</f>
        <v>58.022999999999996</v>
      </c>
      <c r="G122" s="49"/>
      <c r="H122" s="31"/>
      <c r="I122" s="219">
        <f>I116/C116-1</f>
        <v>0.108845665495096</v>
      </c>
      <c r="J122" s="219">
        <f>J116/D116-1</f>
        <v>-2.6204786699834726E-2</v>
      </c>
      <c r="K122" s="219">
        <f>K116/E116-1</f>
        <v>-7.3737661510608898E-4</v>
      </c>
      <c r="L122" s="219">
        <f>L116/F116-1</f>
        <v>-1.246057597849104E-2</v>
      </c>
      <c r="M122" s="412">
        <f>M116/G116-1</f>
        <v>1.4580288733643698E-2</v>
      </c>
      <c r="N122" s="31"/>
      <c r="O122" s="219">
        <f>O116/I116-1</f>
        <v>-8.2395698496465219E-2</v>
      </c>
      <c r="P122" s="219">
        <f>P116/J116-1</f>
        <v>-9.1947639825466165E-2</v>
      </c>
      <c r="Q122" s="219">
        <f>Q116/K116-1</f>
        <v>7.1611853690443095E-3</v>
      </c>
      <c r="R122" s="219">
        <f>R116/L116-1</f>
        <v>0.12488656195462444</v>
      </c>
      <c r="S122" s="412">
        <f>S116/M116-1</f>
        <v>-1.3225927313600727E-2</v>
      </c>
      <c r="T122" s="31"/>
      <c r="U122" s="219">
        <f>U116/O116-1</f>
        <v>0.24525708498363263</v>
      </c>
      <c r="V122" s="219">
        <f>V116/P116-1</f>
        <v>0.17829809540450814</v>
      </c>
      <c r="W122" s="219">
        <f>W116/Q116-1</f>
        <v>0.20816265361174957</v>
      </c>
      <c r="X122" s="219">
        <f>X116/R116-1</f>
        <v>5.0421993297752987E-2</v>
      </c>
      <c r="Y122" s="412">
        <f>Y116/S116-1</f>
        <v>0.16671096429611065</v>
      </c>
      <c r="Z122" s="31"/>
      <c r="AA122" s="219">
        <f>AA116/U116-1</f>
        <v>0.14931594388125613</v>
      </c>
      <c r="AB122" s="219">
        <f>AB116/V116-1</f>
        <v>0.33446036124210354</v>
      </c>
      <c r="AC122" s="219">
        <f>AC116/W116-1</f>
        <v>0.29453518020811775</v>
      </c>
      <c r="AD122" s="219">
        <f>AD116/X116-1</f>
        <v>0.43101054559418706</v>
      </c>
      <c r="AE122" s="412">
        <f>AE116/Y116-1</f>
        <v>0.30152703499199052</v>
      </c>
      <c r="AF122" s="31"/>
      <c r="AG122" s="219">
        <f>AG116/AA116-1</f>
        <v>0.30483351235230915</v>
      </c>
      <c r="AH122" s="219">
        <f>AH116/AB116-1</f>
        <v>0.23169755967462313</v>
      </c>
      <c r="AI122" s="219">
        <f>AI116/AC116-1</f>
        <v>0.11975512376896469</v>
      </c>
      <c r="AJ122" s="219">
        <f>AJ116/AD116-1</f>
        <v>0.12150111468912561</v>
      </c>
      <c r="AK122" s="412">
        <f>AK116/AE116-1</f>
        <v>0.18890302720483643</v>
      </c>
      <c r="AL122" s="31"/>
      <c r="AM122" s="219">
        <f>AM116/AG116-1</f>
        <v>0.16058804160452467</v>
      </c>
      <c r="AN122" s="219">
        <f>AN116/AH116-1</f>
        <v>9.7556794601129537E-2</v>
      </c>
      <c r="AO122" s="219">
        <f>AO116/AI116-1</f>
        <v>0.17809704011485827</v>
      </c>
      <c r="AP122" s="219">
        <f>AP116/AJ116-1</f>
        <v>0.15971838763114365</v>
      </c>
      <c r="AQ122" s="412">
        <f>AQ116/AK116-1</f>
        <v>0.14834470204169392</v>
      </c>
      <c r="AR122" s="31"/>
      <c r="AS122" s="219">
        <f>AS116/AM116-1</f>
        <v>7.3431241655540491E-2</v>
      </c>
      <c r="AT122" s="219">
        <f>AT116/AN116-1</f>
        <v>0.10113357062416273</v>
      </c>
      <c r="AU122" s="219">
        <f>AU116/AO116-1</f>
        <v>8.3451704545454586E-2</v>
      </c>
      <c r="AV122" s="219">
        <f>AV116/AP116-1</f>
        <v>7.7101932309645349E-2</v>
      </c>
      <c r="AW122" s="412">
        <f>AW116/AQ116-1</f>
        <v>8.3756944303127634E-2</v>
      </c>
      <c r="AX122" s="31"/>
      <c r="AY122" s="219">
        <f>AY116/AS116-1</f>
        <v>8.6007462686567449E-2</v>
      </c>
      <c r="AZ122" s="219">
        <f>AZ116/AT116-1</f>
        <v>8.5208355106976885E-2</v>
      </c>
      <c r="BA122" s="219">
        <f>BA116/AU116-1</f>
        <v>7.2174547838264491E-2</v>
      </c>
      <c r="BB122" s="219">
        <f>BB116/AV116-1</f>
        <v>0.15573450427684188</v>
      </c>
      <c r="BC122" s="412">
        <f>BC116/AW116-1</f>
        <v>0.10009031693545833</v>
      </c>
      <c r="BD122" s="31"/>
      <c r="BE122" s="980">
        <f>BE116/AY116-1</f>
        <v>0.18894949321422438</v>
      </c>
      <c r="BF122" s="980">
        <f>BF116/AZ116-1</f>
        <v>0.25421000495294699</v>
      </c>
      <c r="BG122" s="980">
        <f>BG116/BA116-1</f>
        <v>0.17069052962142117</v>
      </c>
      <c r="BH122" s="980">
        <f>BH116/BB116-1</f>
        <v>0.11768418234322908</v>
      </c>
      <c r="BI122" s="981">
        <f>BI116/BC116-1</f>
        <v>0.18157487787476478</v>
      </c>
      <c r="BJ122" s="982"/>
      <c r="BK122" s="980">
        <f>BK116/BE116-1</f>
        <v>0.10338288149981034</v>
      </c>
      <c r="BL122" s="980">
        <f>BL116/BF116-1</f>
        <v>0.13546911508210746</v>
      </c>
      <c r="BM122" s="980">
        <f>BM116/BG116-1</f>
        <v>0.29232467463101108</v>
      </c>
      <c r="BN122" s="980">
        <f>BN116/BH116-1</f>
        <v>0.30124907317629601</v>
      </c>
      <c r="BO122" s="981">
        <f>BO116/BI116-1</f>
        <v>0.20793812675694179</v>
      </c>
      <c r="BP122" s="31"/>
      <c r="BQ122" s="42"/>
      <c r="BR122" s="42"/>
      <c r="BS122" s="42"/>
      <c r="BT122" s="42"/>
      <c r="BU122" s="42"/>
      <c r="BV122" s="31"/>
      <c r="BW122" s="42"/>
      <c r="BX122" s="42"/>
      <c r="BY122" s="42"/>
      <c r="BZ122" s="42"/>
      <c r="CA122" s="42"/>
      <c r="CB122" s="31"/>
      <c r="CC122" s="42"/>
      <c r="CD122" s="42"/>
      <c r="CE122" s="42"/>
      <c r="CF122" s="42"/>
      <c r="CG122" s="42"/>
    </row>
    <row r="123" spans="1:87" ht="12.75" customHeight="1" outlineLevel="1" x14ac:dyDescent="0.2">
      <c r="A123" s="230"/>
      <c r="B123" s="290" t="s">
        <v>71</v>
      </c>
      <c r="C123" s="315"/>
      <c r="D123" s="315"/>
      <c r="E123" s="315"/>
      <c r="F123" s="315"/>
      <c r="G123" s="315"/>
      <c r="H123" s="115"/>
      <c r="I123" s="315"/>
      <c r="J123" s="315"/>
      <c r="K123" s="315"/>
      <c r="L123" s="315"/>
      <c r="M123" s="315"/>
      <c r="N123" s="479"/>
      <c r="O123" s="476">
        <f>+O122+I122</f>
        <v>2.6449966998630781E-2</v>
      </c>
      <c r="P123" s="476">
        <f>+P122+J122</f>
        <v>-0.11815242652530089</v>
      </c>
      <c r="Q123" s="476">
        <f>+Q122+K122</f>
        <v>6.4238087539382205E-3</v>
      </c>
      <c r="R123" s="476">
        <f>+R122+L122</f>
        <v>0.1124259859761334</v>
      </c>
      <c r="S123" s="476">
        <f>+S122+M122</f>
        <v>1.354361420042971E-3</v>
      </c>
      <c r="T123" s="479"/>
      <c r="U123" s="476">
        <f>+U122+O122</f>
        <v>0.16286138648716741</v>
      </c>
      <c r="V123" s="476">
        <f>+V122+P122</f>
        <v>8.6350455579041974E-2</v>
      </c>
      <c r="W123" s="476">
        <f>+W122+Q122</f>
        <v>0.21532383898079388</v>
      </c>
      <c r="X123" s="476">
        <f>+X122+R122</f>
        <v>0.17530855525237743</v>
      </c>
      <c r="Y123" s="476">
        <f>+Y122+S122</f>
        <v>0.15348503698250993</v>
      </c>
      <c r="Z123" s="479"/>
      <c r="AA123" s="476">
        <f>+AA122+U122</f>
        <v>0.39457302886488876</v>
      </c>
      <c r="AB123" s="476">
        <f>+AB122+V122</f>
        <v>0.51275845664661168</v>
      </c>
      <c r="AC123" s="476">
        <f>+AC122+W122</f>
        <v>0.50269783381986732</v>
      </c>
      <c r="AD123" s="476">
        <f>+AD122+X122</f>
        <v>0.48143253889194004</v>
      </c>
      <c r="AE123" s="476">
        <f>+AE122+Y122</f>
        <v>0.46823799928810117</v>
      </c>
      <c r="AF123" s="479"/>
      <c r="AG123" s="476">
        <f>+AG122+AA122</f>
        <v>0.45414945623356529</v>
      </c>
      <c r="AH123" s="476">
        <f>+AH122+AB122</f>
        <v>0.56615792091672668</v>
      </c>
      <c r="AI123" s="476">
        <f>+AI122+AC122</f>
        <v>0.41429030397708244</v>
      </c>
      <c r="AJ123" s="476">
        <f>+AJ122+AD122</f>
        <v>0.55251166028331267</v>
      </c>
      <c r="AK123" s="476">
        <f>+AK122+AE122</f>
        <v>0.49043006219682694</v>
      </c>
      <c r="AL123" s="479"/>
      <c r="AM123" s="476">
        <f>+AM122+AG122</f>
        <v>0.46542155395683382</v>
      </c>
      <c r="AN123" s="476">
        <f>+AN122+AH122</f>
        <v>0.32925435427575267</v>
      </c>
      <c r="AO123" s="476">
        <f>+AO122+AI122</f>
        <v>0.29785216388382296</v>
      </c>
      <c r="AP123" s="476">
        <f>+AP122+AJ122</f>
        <v>0.28121950232026927</v>
      </c>
      <c r="AQ123" s="476">
        <f>+AQ122+AK122</f>
        <v>0.33724772924653035</v>
      </c>
      <c r="AR123" s="115"/>
      <c r="AS123" s="476">
        <f>+AS122+AM122</f>
        <v>0.23401928326006516</v>
      </c>
      <c r="AT123" s="476">
        <f>+AT122+AN122</f>
        <v>0.19869036522529226</v>
      </c>
      <c r="AU123" s="476">
        <f>+AU122+AO122</f>
        <v>0.26154874466031286</v>
      </c>
      <c r="AV123" s="476">
        <f>+AV122+AP122</f>
        <v>0.236820319940789</v>
      </c>
      <c r="AW123" s="476">
        <f>+AW122+AQ122</f>
        <v>0.23210164634482155</v>
      </c>
      <c r="AX123" s="115"/>
      <c r="AY123" s="476">
        <f>+AY122+AS122</f>
        <v>0.15943870434210794</v>
      </c>
      <c r="AZ123" s="476">
        <f>+AZ122+AT122</f>
        <v>0.18634192573113961</v>
      </c>
      <c r="BA123" s="476">
        <f>+BA122+AU122</f>
        <v>0.15562625238371908</v>
      </c>
      <c r="BB123" s="476">
        <f>+BB122+AV122</f>
        <v>0.23283643658648723</v>
      </c>
      <c r="BC123" s="476">
        <f>+BC122+AW122</f>
        <v>0.18384726123858597</v>
      </c>
      <c r="BD123" s="115"/>
      <c r="BE123" s="476">
        <f>+BE122+AY122</f>
        <v>0.27495695590079183</v>
      </c>
      <c r="BF123" s="476">
        <f>+BF122+AZ122</f>
        <v>0.33941836005992387</v>
      </c>
      <c r="BG123" s="476">
        <f>+BG122+BA122</f>
        <v>0.24286507745968566</v>
      </c>
      <c r="BH123" s="476">
        <f>+BH122+BB122</f>
        <v>0.27341868662007096</v>
      </c>
      <c r="BI123" s="476">
        <f>+BI122+BC122</f>
        <v>0.28166519481022312</v>
      </c>
      <c r="BJ123" s="197"/>
      <c r="BK123" s="476">
        <f>+BK122+BE122</f>
        <v>0.29233237471403473</v>
      </c>
      <c r="BL123" s="476">
        <f>+BL122+BF122</f>
        <v>0.38967912003505445</v>
      </c>
      <c r="BM123" s="476">
        <f>+BM122+BG122</f>
        <v>0.46301520425243226</v>
      </c>
      <c r="BN123" s="476">
        <f>+BN122+BH122</f>
        <v>0.41893325551952509</v>
      </c>
      <c r="BO123" s="476">
        <f>+BO122+BI122</f>
        <v>0.38951300463170657</v>
      </c>
      <c r="BP123" s="115"/>
      <c r="BQ123" s="315"/>
      <c r="BR123" s="315"/>
      <c r="BS123" s="315"/>
      <c r="BT123" s="315"/>
      <c r="BU123" s="315"/>
      <c r="BV123" s="115"/>
      <c r="BW123" s="315"/>
      <c r="BX123" s="315"/>
      <c r="BY123" s="315"/>
      <c r="BZ123" s="315"/>
      <c r="CA123" s="315"/>
      <c r="CB123" s="115"/>
      <c r="CC123" s="315"/>
      <c r="CD123" s="315"/>
      <c r="CE123" s="315"/>
      <c r="CF123" s="315"/>
      <c r="CG123" s="315"/>
    </row>
    <row r="124" spans="1:87" outlineLevel="1" x14ac:dyDescent="0.2">
      <c r="A124" s="230"/>
      <c r="B124" s="32" t="s">
        <v>205</v>
      </c>
      <c r="C124" s="47">
        <v>8.4489999999999998</v>
      </c>
      <c r="D124" s="47">
        <v>11.329000000000001</v>
      </c>
      <c r="E124" s="47">
        <v>11.196</v>
      </c>
      <c r="F124" s="47">
        <f>45.047-SUM(C124:E124)</f>
        <v>14.073</v>
      </c>
      <c r="G124" s="49"/>
      <c r="H124" s="31"/>
      <c r="I124" s="219">
        <f>I117/C117-1</f>
        <v>0.67534619481595448</v>
      </c>
      <c r="J124" s="219">
        <f>J117/D117-1</f>
        <v>0.43975637743843232</v>
      </c>
      <c r="K124" s="219">
        <f>K117/E117-1</f>
        <v>0.34476598785280443</v>
      </c>
      <c r="L124" s="219">
        <f>L117/F117-1</f>
        <v>0.14616641796347629</v>
      </c>
      <c r="M124" s="412">
        <f>M117/G117-1</f>
        <v>0.36861500210890852</v>
      </c>
      <c r="N124" s="31"/>
      <c r="O124" s="219">
        <f>O117/I117-1</f>
        <v>1.391734369480746E-2</v>
      </c>
      <c r="P124" s="219">
        <f>P117/J117-1</f>
        <v>0.12978971246398152</v>
      </c>
      <c r="Q124" s="219">
        <f>Q117/K117-1</f>
        <v>0.2092189160467588</v>
      </c>
      <c r="R124" s="219">
        <f>R117/L117-1</f>
        <v>0.31797892126472393</v>
      </c>
      <c r="S124" s="412">
        <f>S117/M117-1</f>
        <v>0.1718192434957504</v>
      </c>
      <c r="T124" s="31"/>
      <c r="U124" s="219">
        <f>U117/O117-1</f>
        <v>0.41987179487179493</v>
      </c>
      <c r="V124" s="219">
        <f>V117/P117-1</f>
        <v>0.379802474495333</v>
      </c>
      <c r="W124" s="219">
        <f>W117/Q117-1</f>
        <v>0.22377238273096789</v>
      </c>
      <c r="X124" s="219">
        <f>X117/R117-1</f>
        <v>0.12644056634836964</v>
      </c>
      <c r="Y124" s="412">
        <f>Y117/S117-1</f>
        <v>0.27388746626064076</v>
      </c>
      <c r="Z124" s="31"/>
      <c r="AA124" s="219">
        <f>AA117/U117-1</f>
        <v>0.20409264893512602</v>
      </c>
      <c r="AB124" s="219">
        <f>AB117/V117-1</f>
        <v>8.5971604986825101E-2</v>
      </c>
      <c r="AC124" s="219">
        <f>AC117/W117-1</f>
        <v>0.23801615798922793</v>
      </c>
      <c r="AD124" s="219">
        <f>AD117/X117-1</f>
        <v>0.25685889673027984</v>
      </c>
      <c r="AE124" s="412">
        <f>AE117/Y117-1</f>
        <v>0.1934001216968011</v>
      </c>
      <c r="AF124" s="31"/>
      <c r="AG124" s="219">
        <f>AG117/AA117-1</f>
        <v>0.20010596242409417</v>
      </c>
      <c r="AH124" s="219">
        <f>AH117/AB117-1</f>
        <v>3.9908738637598251E-2</v>
      </c>
      <c r="AI124" s="219">
        <f>AI117/AC117-1</f>
        <v>-0.12290178733277735</v>
      </c>
      <c r="AJ124" s="219">
        <f>AJ117/AD117-1</f>
        <v>-0.21632666622366969</v>
      </c>
      <c r="AK124" s="412">
        <f>AK117/AE117-1</f>
        <v>-3.5408946472307523E-2</v>
      </c>
      <c r="AL124" s="31"/>
      <c r="AM124" s="219">
        <f>AM117/AG117-1</f>
        <v>5.5964953985125909E-2</v>
      </c>
      <c r="AN124" s="219">
        <f>AN117/AH117-1</f>
        <v>0.12704161588020191</v>
      </c>
      <c r="AO124" s="219">
        <f>AO117/AI117-1</f>
        <v>9.5110155830198773E-2</v>
      </c>
      <c r="AP124" s="219">
        <f>AP117/AJ117-1</f>
        <v>0.37965828634417331</v>
      </c>
      <c r="AQ124" s="412">
        <f>AQ117/AK117-1</f>
        <v>0.15623643125483766</v>
      </c>
      <c r="AR124" s="31"/>
      <c r="AS124" s="219">
        <f>AS117/AM117-1</f>
        <v>0.24917189258723282</v>
      </c>
      <c r="AT124" s="219">
        <f>AT117/AN117-1</f>
        <v>0.29465747922009711</v>
      </c>
      <c r="AU124" s="219">
        <f>AU117/AO117-1</f>
        <v>0.35419340227976148</v>
      </c>
      <c r="AV124" s="219">
        <f>AV117/AP117-1</f>
        <v>0.23523446622825883</v>
      </c>
      <c r="AW124" s="412">
        <f>AW117/AQ117-1</f>
        <v>0.28020147925612693</v>
      </c>
      <c r="AX124" s="31"/>
      <c r="AY124" s="219">
        <f>AY117/AS117-1</f>
        <v>-5.0974435548232222E-3</v>
      </c>
      <c r="AZ124" s="219">
        <f>AZ117/AT117-1</f>
        <v>7.7328814530179812E-3</v>
      </c>
      <c r="BA124" s="219">
        <f>BA117/AU117-1</f>
        <v>4.317408997157024E-2</v>
      </c>
      <c r="BB124" s="219">
        <f>BB117/AV117-1</f>
        <v>0.2148419036246485</v>
      </c>
      <c r="BC124" s="412">
        <f>BC117/AW117-1</f>
        <v>6.5751799868636551E-2</v>
      </c>
      <c r="BD124" s="31"/>
      <c r="BE124" s="980">
        <f>BE117/AY117-1</f>
        <v>0.22654935955492284</v>
      </c>
      <c r="BF124" s="980">
        <f>BF117/AZ117-1</f>
        <v>0.34045425479004332</v>
      </c>
      <c r="BG124" s="980">
        <f>BG117/BA117-1</f>
        <v>1.3258877281107222</v>
      </c>
      <c r="BH124" s="980">
        <f>BH117/BB117-1</f>
        <v>1.0478774599144027</v>
      </c>
      <c r="BI124" s="981">
        <f>BI117/BC117-1</f>
        <v>0.74149753482360836</v>
      </c>
      <c r="BJ124" s="982"/>
      <c r="BK124" s="980">
        <f>BK117/BE117-1</f>
        <v>1.2289029535864979</v>
      </c>
      <c r="BL124" s="980">
        <f>BL117/BF117-1</f>
        <v>1.1965617159616948</v>
      </c>
      <c r="BM124" s="980">
        <f>BM117/BG117-1</f>
        <v>0.46244155724805003</v>
      </c>
      <c r="BN124" s="980">
        <f>BN117/BH117-1</f>
        <v>-1.1739530418783617E-2</v>
      </c>
      <c r="BO124" s="981">
        <f>BO117/BI117-1</f>
        <v>0.56709602718405239</v>
      </c>
      <c r="BP124" s="31"/>
      <c r="BQ124" s="315"/>
      <c r="BR124" s="315"/>
      <c r="BS124" s="315"/>
      <c r="BT124" s="315"/>
      <c r="BU124" s="315"/>
      <c r="BV124" s="31"/>
      <c r="BW124" s="315"/>
      <c r="BX124" s="315"/>
      <c r="BY124" s="315"/>
      <c r="BZ124" s="315"/>
      <c r="CA124" s="315"/>
      <c r="CB124" s="31"/>
      <c r="CC124" s="315"/>
      <c r="CD124" s="315"/>
      <c r="CE124" s="315"/>
      <c r="CF124" s="315"/>
      <c r="CG124" s="315"/>
    </row>
    <row r="125" spans="1:87" ht="12.75" customHeight="1" outlineLevel="1" x14ac:dyDescent="0.2">
      <c r="A125" s="230"/>
      <c r="B125" s="290" t="s">
        <v>71</v>
      </c>
      <c r="C125" s="315"/>
      <c r="D125" s="315"/>
      <c r="E125" s="315"/>
      <c r="F125" s="315"/>
      <c r="G125" s="315"/>
      <c r="H125" s="115"/>
      <c r="I125" s="315"/>
      <c r="J125" s="315"/>
      <c r="K125" s="315"/>
      <c r="L125" s="315"/>
      <c r="M125" s="315"/>
      <c r="N125" s="479"/>
      <c r="O125" s="476">
        <f>+O124+I124</f>
        <v>0.68926353851076194</v>
      </c>
      <c r="P125" s="476">
        <f>+P124+J124</f>
        <v>0.56954608990241384</v>
      </c>
      <c r="Q125" s="476">
        <f>+Q124+K124</f>
        <v>0.55398490389956323</v>
      </c>
      <c r="R125" s="476">
        <f>+R124+L124</f>
        <v>0.46414533922820023</v>
      </c>
      <c r="S125" s="476">
        <f>+S124+M124</f>
        <v>0.54043424560465891</v>
      </c>
      <c r="T125" s="479"/>
      <c r="U125" s="476">
        <f>+U124+O124</f>
        <v>0.43378913856660239</v>
      </c>
      <c r="V125" s="476">
        <f>+V124+P124</f>
        <v>0.50959218695931452</v>
      </c>
      <c r="W125" s="476">
        <f>+W124+Q124</f>
        <v>0.43299129877772669</v>
      </c>
      <c r="X125" s="476">
        <f>+X124+R124</f>
        <v>0.44441948761309358</v>
      </c>
      <c r="Y125" s="476">
        <f>+Y124+S124</f>
        <v>0.44570670975639115</v>
      </c>
      <c r="Z125" s="479"/>
      <c r="AA125" s="476">
        <f>+AA124+U124</f>
        <v>0.62396444380692095</v>
      </c>
      <c r="AB125" s="476">
        <f>+AB124+V124</f>
        <v>0.4657740794821581</v>
      </c>
      <c r="AC125" s="476">
        <f>+AC124+W124</f>
        <v>0.46178854072019582</v>
      </c>
      <c r="AD125" s="476">
        <f>+AD124+X124</f>
        <v>0.38329946307864948</v>
      </c>
      <c r="AE125" s="476">
        <f>+AE124+Y124</f>
        <v>0.46728758795744185</v>
      </c>
      <c r="AF125" s="479"/>
      <c r="AG125" s="476">
        <f>+AG124+AA124</f>
        <v>0.40419861135922019</v>
      </c>
      <c r="AH125" s="476">
        <f>+AH124+AB124</f>
        <v>0.12588034362442335</v>
      </c>
      <c r="AI125" s="476">
        <f>+AI124+AC124</f>
        <v>0.11511437065645058</v>
      </c>
      <c r="AJ125" s="476">
        <f>+AJ124+AD124</f>
        <v>4.0532230506610145E-2</v>
      </c>
      <c r="AK125" s="476">
        <f>+AK124+AE124</f>
        <v>0.15799117522449357</v>
      </c>
      <c r="AL125" s="479"/>
      <c r="AM125" s="476">
        <f>+AM124+AG124</f>
        <v>0.25607091640922008</v>
      </c>
      <c r="AN125" s="476">
        <f>+AN124+AH124</f>
        <v>0.16695035451780016</v>
      </c>
      <c r="AO125" s="476">
        <f>+AO124+AI124</f>
        <v>-2.7791631502578573E-2</v>
      </c>
      <c r="AP125" s="476">
        <f>+AP124+AJ124</f>
        <v>0.16333162012050362</v>
      </c>
      <c r="AQ125" s="476">
        <f>+AQ124+AK124</f>
        <v>0.12082748478253014</v>
      </c>
      <c r="AR125" s="115"/>
      <c r="AS125" s="476">
        <f>+AS124+AM124</f>
        <v>0.30513684657235873</v>
      </c>
      <c r="AT125" s="476">
        <f>+AT124+AN124</f>
        <v>0.42169909510029902</v>
      </c>
      <c r="AU125" s="476">
        <f>+AU124+AO124</f>
        <v>0.44930355810996025</v>
      </c>
      <c r="AV125" s="476">
        <f>+AV124+AP124</f>
        <v>0.61489275257243214</v>
      </c>
      <c r="AW125" s="476">
        <f>+AW124+AQ124</f>
        <v>0.43643791051096459</v>
      </c>
      <c r="AX125" s="115"/>
      <c r="AY125" s="476">
        <f>+AY124+AS124</f>
        <v>0.2440744490324096</v>
      </c>
      <c r="AZ125" s="476">
        <f>+AZ124+AT124</f>
        <v>0.30239036067311509</v>
      </c>
      <c r="BA125" s="476">
        <f>+BA124+AU124</f>
        <v>0.39736749225133172</v>
      </c>
      <c r="BB125" s="476">
        <f>+BB124+AV124</f>
        <v>0.45007636985290733</v>
      </c>
      <c r="BC125" s="476">
        <f>+BC124+AW124</f>
        <v>0.34595327912476348</v>
      </c>
      <c r="BD125" s="115"/>
      <c r="BE125" s="476">
        <f>+BE124+AY124</f>
        <v>0.22145191600009961</v>
      </c>
      <c r="BF125" s="476">
        <f>+BF124+AZ124</f>
        <v>0.3481871362430613</v>
      </c>
      <c r="BG125" s="476">
        <f>+BG124+BA124</f>
        <v>1.3690618180822924</v>
      </c>
      <c r="BH125" s="476">
        <f>+BH124+BB124</f>
        <v>1.2627193635390512</v>
      </c>
      <c r="BI125" s="476">
        <f>+BI124+BC124</f>
        <v>0.80724933469224491</v>
      </c>
      <c r="BJ125" s="197"/>
      <c r="BK125" s="476">
        <f>+BK124+BE124</f>
        <v>1.4554523131414208</v>
      </c>
      <c r="BL125" s="476">
        <f>+BL124+BF124</f>
        <v>1.5370159707517381</v>
      </c>
      <c r="BM125" s="476">
        <f>+BM124+BG124</f>
        <v>1.7883292853587722</v>
      </c>
      <c r="BN125" s="476">
        <f>+BN124+BH124</f>
        <v>1.0361379294956192</v>
      </c>
      <c r="BO125" s="476">
        <f>+BO124+BI124</f>
        <v>1.3085935620076607</v>
      </c>
      <c r="BP125" s="115"/>
      <c r="BQ125" s="315"/>
      <c r="BR125" s="315"/>
      <c r="BS125" s="315"/>
      <c r="BT125" s="315"/>
      <c r="BU125" s="315"/>
      <c r="BV125" s="115"/>
      <c r="BW125" s="315"/>
      <c r="BX125" s="315"/>
      <c r="BY125" s="315"/>
      <c r="BZ125" s="315"/>
      <c r="CA125" s="315"/>
      <c r="CB125" s="115"/>
      <c r="CC125" s="315"/>
      <c r="CD125" s="315"/>
      <c r="CE125" s="315"/>
      <c r="CF125" s="315"/>
      <c r="CG125" s="315"/>
    </row>
    <row r="126" spans="1:87" ht="12.75" customHeight="1" outlineLevel="1" x14ac:dyDescent="0.2">
      <c r="A126" s="230"/>
      <c r="B126" s="32" t="s">
        <v>178</v>
      </c>
      <c r="C126" s="47">
        <v>0.96899999999999997</v>
      </c>
      <c r="D126" s="47">
        <v>0.55300000000000005</v>
      </c>
      <c r="E126" s="47">
        <v>0.58399999999999996</v>
      </c>
      <c r="F126" s="47">
        <f>2.527-SUM(C126:E126)</f>
        <v>0.42100000000000026</v>
      </c>
      <c r="G126" s="49"/>
      <c r="H126" s="31"/>
      <c r="I126" s="219">
        <f>I118/C118-1</f>
        <v>-0.62538699690402477</v>
      </c>
      <c r="J126" s="219">
        <f>J118/D118-1</f>
        <v>2.3508137432187937E-2</v>
      </c>
      <c r="K126" s="219">
        <f>K118/E118-1</f>
        <v>-0.16095890410958902</v>
      </c>
      <c r="L126" s="219">
        <f>L118/F118-1</f>
        <v>0.65083135391923852</v>
      </c>
      <c r="M126" s="412">
        <f>M118/G118-1</f>
        <v>-0.16343490304709152</v>
      </c>
      <c r="N126" s="31"/>
      <c r="O126" s="219">
        <f>O118/I118-1</f>
        <v>0.34159779614325059</v>
      </c>
      <c r="P126" s="219">
        <f>P118/J118-1</f>
        <v>0.16254416961130769</v>
      </c>
      <c r="Q126" s="219">
        <f>Q118/K118-1</f>
        <v>1.0591836734693878</v>
      </c>
      <c r="R126" s="219">
        <f>R118/L118-1</f>
        <v>0.29640287769784246</v>
      </c>
      <c r="S126" s="412">
        <f>S118/M118-1</f>
        <v>0.44512771996215728</v>
      </c>
      <c r="T126" s="31"/>
      <c r="U126" s="219">
        <f>U118/O118-1</f>
        <v>0.76180698151950721</v>
      </c>
      <c r="V126" s="219">
        <f>V118/P118-1</f>
        <v>0.57598784194528863</v>
      </c>
      <c r="W126" s="219">
        <f>W118/Q118-1</f>
        <v>0.10208126858275546</v>
      </c>
      <c r="X126" s="219">
        <f>X118/R118-1</f>
        <v>0.37624861265260767</v>
      </c>
      <c r="Y126" s="412">
        <f>Y118/S118-1</f>
        <v>0.3901800327332241</v>
      </c>
      <c r="Z126" s="31"/>
      <c r="AA126" s="219">
        <f>AA118/U118-1</f>
        <v>0.37995337995337986</v>
      </c>
      <c r="AB126" s="219">
        <f>AB118/V118-1</f>
        <v>1.3963355834136935</v>
      </c>
      <c r="AC126" s="219">
        <f>AC118/W118-1</f>
        <v>2.9442446043165464</v>
      </c>
      <c r="AD126" s="219">
        <f>AD118/X118-1</f>
        <v>0.54758064516129101</v>
      </c>
      <c r="AE126" s="412">
        <f>AE118/Y118-1</f>
        <v>1.348481280904168</v>
      </c>
      <c r="AF126" s="31"/>
      <c r="AG126" s="219">
        <f>AG118/AA118-1</f>
        <v>1.0050675675675675</v>
      </c>
      <c r="AH126" s="219">
        <f>AH118/AB118-1</f>
        <v>1.4438631790744472</v>
      </c>
      <c r="AI126" s="219">
        <f>AI118/AC118-1</f>
        <v>0.62562699498404006</v>
      </c>
      <c r="AJ126" s="219">
        <f>AJ118/AD118-1</f>
        <v>4.5200625325690451</v>
      </c>
      <c r="AK126" s="412">
        <f>AK118/AE118-1</f>
        <v>1.6238219370362943</v>
      </c>
      <c r="AL126" s="31"/>
      <c r="AM126" s="219">
        <f>AM118/AG118-1</f>
        <v>0.11415332771693332</v>
      </c>
      <c r="AN126" s="219">
        <f>AN118/AH118-1</f>
        <v>0.61600526922443599</v>
      </c>
      <c r="AO126" s="219">
        <f>AO118/AI118-1</f>
        <v>0.97868162692847127</v>
      </c>
      <c r="AP126" s="219">
        <f>AP118/AJ118-1</f>
        <v>0.86302275087321823</v>
      </c>
      <c r="AQ126" s="412">
        <f>AQ118/AK118-1</f>
        <v>0.76927779900649584</v>
      </c>
      <c r="AR126" s="31"/>
      <c r="AS126" s="219">
        <f>AS118/AM118-1</f>
        <v>3.9765595463137995</v>
      </c>
      <c r="AT126" s="219">
        <f>AT118/AN118-1</f>
        <v>0.6994090075402486</v>
      </c>
      <c r="AU126" s="219">
        <f>AU118/AO118-1</f>
        <v>0.40019846895378519</v>
      </c>
      <c r="AV126" s="219">
        <f>AV118/AP118-1</f>
        <v>0.14882189004307067</v>
      </c>
      <c r="AW126" s="412">
        <f>AW118/AQ118-1</f>
        <v>0.56077491253077616</v>
      </c>
      <c r="AX126" s="31"/>
      <c r="AY126" s="219">
        <f>AY118/AS118-1</f>
        <v>0.49943022107422297</v>
      </c>
      <c r="AZ126" s="219">
        <f>AZ118/AT118-1</f>
        <v>0.31292720949754149</v>
      </c>
      <c r="BA126" s="219">
        <f>BA118/AU118-1</f>
        <v>0.33016098005467232</v>
      </c>
      <c r="BB126" s="219">
        <f>BB118/AV118-1</f>
        <v>8.3892025405786885E-2</v>
      </c>
      <c r="BC126" s="412">
        <f>BC118/AW118-1</f>
        <v>0.27975424467599308</v>
      </c>
      <c r="BD126" s="31"/>
      <c r="BE126" s="980">
        <f>BE118/AY118-1</f>
        <v>0.27775244464710958</v>
      </c>
      <c r="BF126" s="980">
        <f>BF118/AZ118-1</f>
        <v>0.3902361054025667</v>
      </c>
      <c r="BG126" s="980">
        <f>BG118/BA118-1</f>
        <v>-0.12326838179327149</v>
      </c>
      <c r="BH126" s="980">
        <f>BH118/BB118-1</f>
        <v>-0.27284935297468926</v>
      </c>
      <c r="BI126" s="981">
        <f>BI118/BC118-1</f>
        <v>4.4148176981964493E-2</v>
      </c>
      <c r="BJ126" s="982"/>
      <c r="BK126" s="980">
        <f>BK118/BE118-1</f>
        <v>-0.15071969546770303</v>
      </c>
      <c r="BL126" s="980">
        <f>BL118/BF118-1</f>
        <v>-0.17416726890480261</v>
      </c>
      <c r="BM126" s="980">
        <f>BM118/BG118-1</f>
        <v>0.74510569952684813</v>
      </c>
      <c r="BN126" s="980">
        <f>BN118/BH118-1</f>
        <v>4.279814203368967</v>
      </c>
      <c r="BO126" s="981">
        <f>BO118/BI118-1</f>
        <v>0.87543363674961427</v>
      </c>
      <c r="BP126" s="31"/>
      <c r="BQ126" s="315"/>
      <c r="BR126" s="315"/>
      <c r="BS126" s="315"/>
      <c r="BT126" s="315"/>
      <c r="BU126" s="315"/>
      <c r="BV126" s="31"/>
      <c r="BW126" s="315"/>
      <c r="BX126" s="315"/>
      <c r="BY126" s="315"/>
      <c r="BZ126" s="315"/>
      <c r="CA126" s="315"/>
      <c r="CB126" s="31"/>
      <c r="CC126" s="315"/>
      <c r="CD126" s="315"/>
      <c r="CE126" s="315"/>
      <c r="CF126" s="315"/>
      <c r="CG126" s="315"/>
    </row>
    <row r="127" spans="1:87" ht="3" customHeight="1" outlineLevel="1" x14ac:dyDescent="0.2">
      <c r="A127" s="230"/>
      <c r="B127" s="246"/>
      <c r="C127" s="311"/>
      <c r="D127" s="311"/>
      <c r="E127" s="311"/>
      <c r="F127" s="311"/>
      <c r="G127" s="311"/>
      <c r="H127" s="31"/>
      <c r="I127" s="311"/>
      <c r="J127" s="311"/>
      <c r="K127" s="311"/>
      <c r="L127" s="311"/>
      <c r="M127" s="311"/>
      <c r="N127" s="31"/>
      <c r="O127" s="311"/>
      <c r="P127" s="311"/>
      <c r="Q127" s="311"/>
      <c r="R127" s="311"/>
      <c r="S127" s="311"/>
      <c r="T127" s="31"/>
      <c r="U127" s="311"/>
      <c r="V127" s="311"/>
      <c r="W127" s="311"/>
      <c r="X127" s="311"/>
      <c r="Y127" s="311"/>
      <c r="Z127" s="31"/>
      <c r="AA127" s="42"/>
      <c r="AB127" s="42"/>
      <c r="AC127" s="42"/>
      <c r="AD127" s="42"/>
      <c r="AE127" s="42"/>
      <c r="AF127" s="31"/>
      <c r="AG127" s="42"/>
      <c r="AH127" s="42"/>
      <c r="AI127" s="42"/>
      <c r="AJ127" s="42"/>
      <c r="AK127" s="42"/>
      <c r="AL127" s="31"/>
      <c r="AM127" s="42"/>
      <c r="AN127" s="42"/>
      <c r="AO127" s="42"/>
      <c r="AP127" s="42"/>
      <c r="AQ127" s="42"/>
      <c r="AR127" s="31"/>
      <c r="AS127" s="42"/>
      <c r="AT127" s="42"/>
      <c r="AU127" s="42"/>
      <c r="AV127" s="42"/>
      <c r="AW127" s="42"/>
      <c r="AX127" s="31"/>
      <c r="AY127" s="42"/>
      <c r="AZ127" s="42"/>
      <c r="BA127" s="42"/>
      <c r="BB127" s="42"/>
      <c r="BC127" s="42"/>
      <c r="BD127" s="31"/>
      <c r="BE127" s="983"/>
      <c r="BF127" s="983"/>
      <c r="BG127" s="983"/>
      <c r="BH127" s="983"/>
      <c r="BI127" s="983"/>
      <c r="BJ127" s="982"/>
      <c r="BK127" s="983"/>
      <c r="BL127" s="983"/>
      <c r="BM127" s="983"/>
      <c r="BN127" s="983"/>
      <c r="BO127" s="983"/>
      <c r="BP127" s="31"/>
      <c r="BQ127" s="42"/>
      <c r="BR127" s="42"/>
      <c r="BS127" s="42"/>
      <c r="BT127" s="42"/>
      <c r="BU127" s="42"/>
      <c r="BV127" s="31"/>
      <c r="BW127" s="42"/>
      <c r="BX127" s="42"/>
      <c r="BY127" s="42"/>
      <c r="BZ127" s="42"/>
      <c r="CA127" s="42"/>
      <c r="CB127" s="31"/>
      <c r="CC127" s="42"/>
      <c r="CD127" s="42"/>
      <c r="CE127" s="42"/>
      <c r="CF127" s="42"/>
      <c r="CG127" s="42"/>
    </row>
    <row r="128" spans="1:87" ht="12.75" customHeight="1" outlineLevel="1" x14ac:dyDescent="0.2">
      <c r="A128" s="230"/>
      <c r="B128" s="293" t="s">
        <v>198</v>
      </c>
      <c r="C128" s="42"/>
      <c r="D128" s="42"/>
      <c r="E128" s="42"/>
      <c r="F128" s="42"/>
      <c r="G128" s="42"/>
      <c r="H128" s="31"/>
      <c r="I128" s="42"/>
      <c r="J128" s="42"/>
      <c r="K128" s="42"/>
      <c r="L128" s="42"/>
      <c r="M128" s="42"/>
      <c r="N128" s="31"/>
      <c r="O128" s="42"/>
      <c r="P128" s="42"/>
      <c r="Q128" s="42"/>
      <c r="R128" s="42"/>
      <c r="S128" s="42"/>
      <c r="T128" s="31"/>
      <c r="U128" s="42"/>
      <c r="V128" s="42"/>
      <c r="W128" s="42"/>
      <c r="X128" s="42"/>
      <c r="Y128" s="42"/>
      <c r="Z128" s="31"/>
      <c r="AA128" s="42"/>
      <c r="AB128" s="42"/>
      <c r="AC128" s="42"/>
      <c r="AD128" s="42"/>
      <c r="AE128" s="42"/>
      <c r="AF128" s="31"/>
      <c r="AG128" s="42"/>
      <c r="AH128" s="42"/>
      <c r="AI128" s="42"/>
      <c r="AJ128" s="42"/>
      <c r="AK128" s="42"/>
      <c r="AL128" s="31"/>
      <c r="AM128" s="42"/>
      <c r="AN128" s="42"/>
      <c r="AO128" s="42"/>
      <c r="AP128" s="42"/>
      <c r="AQ128" s="42"/>
      <c r="AR128" s="31"/>
      <c r="AS128" s="42"/>
      <c r="AT128" s="42"/>
      <c r="AU128" s="42"/>
      <c r="AV128" s="42"/>
      <c r="AW128" s="42"/>
      <c r="AX128" s="31"/>
      <c r="AY128" s="42"/>
      <c r="AZ128" s="42"/>
      <c r="BA128" s="42"/>
      <c r="BB128" s="42"/>
      <c r="BC128" s="42"/>
      <c r="BD128" s="31"/>
      <c r="BE128" s="983"/>
      <c r="BF128" s="983"/>
      <c r="BG128" s="983"/>
      <c r="BH128" s="983"/>
      <c r="BI128" s="983"/>
      <c r="BJ128" s="982"/>
      <c r="BK128" s="983"/>
      <c r="BL128" s="983"/>
      <c r="BM128" s="983"/>
      <c r="BN128" s="983"/>
      <c r="BO128" s="983"/>
      <c r="BP128" s="31"/>
      <c r="BQ128" s="42"/>
      <c r="BR128" s="42"/>
      <c r="BS128" s="42"/>
      <c r="BT128" s="42"/>
      <c r="BU128" s="42"/>
      <c r="BV128" s="31"/>
      <c r="BW128" s="42"/>
      <c r="BX128" s="42"/>
      <c r="BY128" s="42"/>
      <c r="BZ128" s="42"/>
      <c r="CA128" s="42"/>
      <c r="CB128" s="31"/>
      <c r="CC128" s="42"/>
      <c r="CD128" s="42"/>
      <c r="CE128" s="42"/>
      <c r="CF128" s="42"/>
      <c r="CG128" s="42"/>
    </row>
    <row r="129" spans="1:85" ht="12.75" customHeight="1" outlineLevel="1" x14ac:dyDescent="0.2">
      <c r="A129" s="230"/>
      <c r="B129" s="32" t="s">
        <v>176</v>
      </c>
      <c r="C129" s="194">
        <f>+C116/C119</f>
        <v>0.85229215351076681</v>
      </c>
      <c r="D129" s="194">
        <f>+D116/D119</f>
        <v>0.84488858138715184</v>
      </c>
      <c r="E129" s="194">
        <f>+E116/E119</f>
        <v>0.83513176862465177</v>
      </c>
      <c r="F129" s="194">
        <f>+F116/F119</f>
        <v>0.80012962477763816</v>
      </c>
      <c r="G129" s="194">
        <f>+G116/G119</f>
        <v>0.8326815131606714</v>
      </c>
      <c r="H129" s="411"/>
      <c r="I129" s="194">
        <f>+I116/I119</f>
        <v>0.80584679576334661</v>
      </c>
      <c r="J129" s="194">
        <f>+J116/J119</f>
        <v>0.78877875397361763</v>
      </c>
      <c r="K129" s="194">
        <f>+K116/K119</f>
        <v>0.7931970255277826</v>
      </c>
      <c r="L129" s="194">
        <f>+L116/L119</f>
        <v>0.77301854974704909</v>
      </c>
      <c r="M129" s="194">
        <f>+M116/M119</f>
        <v>0.79022686001526443</v>
      </c>
      <c r="N129" s="411"/>
      <c r="O129" s="194">
        <f>+O116/O119</f>
        <v>0.78841327781897008</v>
      </c>
      <c r="P129" s="194">
        <f>+P116/P119</f>
        <v>0.74990827611510036</v>
      </c>
      <c r="Q129" s="194">
        <f>+Q116/Q119</f>
        <v>0.75759754759111375</v>
      </c>
      <c r="R129" s="194">
        <f>+R116/R119</f>
        <v>0.74415812321049224</v>
      </c>
      <c r="S129" s="194">
        <f>+S116/S119</f>
        <v>0.75891116212503951</v>
      </c>
      <c r="T129" s="411"/>
      <c r="U129" s="194">
        <f>+U116/U119</f>
        <v>0.76428016428016421</v>
      </c>
      <c r="V129" s="194">
        <f>+V116/V119</f>
        <v>0.71816226117702187</v>
      </c>
      <c r="W129" s="194">
        <f>+W116/W119</f>
        <v>0.75619873471812571</v>
      </c>
      <c r="X129" s="194">
        <f>+X116/X119</f>
        <v>0.72886008633589183</v>
      </c>
      <c r="Y129" s="194">
        <f>+Y116/Y119</f>
        <v>0.74176027551578738</v>
      </c>
      <c r="Z129" s="411"/>
      <c r="AA129" s="194">
        <f>+AA116/AA119</f>
        <v>0.75470168612191968</v>
      </c>
      <c r="AB129" s="194">
        <f>+AB116/AB119</f>
        <v>0.74936295654780738</v>
      </c>
      <c r="AC129" s="194">
        <f>+AC116/AC119</f>
        <v>0.74606414920488673</v>
      </c>
      <c r="AD129" s="194">
        <f>+AD116/AD119</f>
        <v>0.75162328846825177</v>
      </c>
      <c r="AE129" s="194">
        <f>+AE116/AE119</f>
        <v>0.75027150066389992</v>
      </c>
      <c r="AF129" s="31"/>
      <c r="AG129" s="194">
        <f>+AG116/AG119</f>
        <v>0.76442674286898782</v>
      </c>
      <c r="AH129" s="194">
        <f>+AH116/AH119</f>
        <v>0.76111408677021952</v>
      </c>
      <c r="AI129" s="194">
        <f>+AI116/AI119</f>
        <v>0.77052074786074309</v>
      </c>
      <c r="AJ129" s="194">
        <f>+AJ116/AJ119</f>
        <v>0.76071128535424259</v>
      </c>
      <c r="AK129" s="194">
        <f>+AK116/AK119</f>
        <v>0.76410298531714649</v>
      </c>
      <c r="AL129" s="31"/>
      <c r="AM129" s="194">
        <f>+AM116/AM119</f>
        <v>0.78030993618960798</v>
      </c>
      <c r="AN129" s="194">
        <f>+AN116/AN119</f>
        <v>0.74255316551505235</v>
      </c>
      <c r="AO129" s="194">
        <f>+AO116/AO119</f>
        <v>0.75318833355622283</v>
      </c>
      <c r="AP129" s="194">
        <f>+AP116/AP119</f>
        <v>0.70678998496847878</v>
      </c>
      <c r="AQ129" s="194">
        <f>+AQ116/AQ119</f>
        <v>0.74432828541394658</v>
      </c>
      <c r="AR129" s="31"/>
      <c r="AS129" s="194">
        <f>+AS116/AS119</f>
        <v>0.712110979484738</v>
      </c>
      <c r="AT129" s="194">
        <f>+AT116/AT119</f>
        <v>0.69575289174210908</v>
      </c>
      <c r="AU129" s="194">
        <f>+AU116/AU119</f>
        <v>0.7070087846805283</v>
      </c>
      <c r="AV129" s="194">
        <f>+AV116/AV119</f>
        <v>0.6834390735146022</v>
      </c>
      <c r="AW129" s="194">
        <f>+AW116/AW119</f>
        <v>0.69922786360718059</v>
      </c>
      <c r="AX129" s="31"/>
      <c r="AY129" s="194">
        <f>+AY116/AY119</f>
        <v>0.70526942843007578</v>
      </c>
      <c r="AZ129" s="194">
        <f>+AZ116/AZ119</f>
        <v>0.6939204154891927</v>
      </c>
      <c r="BA129" s="194">
        <f>+BA116/BA119</f>
        <v>0.69319867460363327</v>
      </c>
      <c r="BB129" s="194">
        <f>+BB116/BB119</f>
        <v>0.6812216644374578</v>
      </c>
      <c r="BC129" s="194">
        <f>+BC116/BC119</f>
        <v>0.69294346683445962</v>
      </c>
      <c r="BD129" s="31"/>
      <c r="BE129" s="984">
        <f>+BE116/BE119</f>
        <v>0.69579842493297583</v>
      </c>
      <c r="BF129" s="984">
        <f>+BF116/BF119</f>
        <v>0.67686607613546079</v>
      </c>
      <c r="BG129" s="984">
        <f>+BG116/BG119</f>
        <v>0.60483723334374295</v>
      </c>
      <c r="BH129" s="984">
        <f>+BH116/BH119</f>
        <v>0.59798160318959914</v>
      </c>
      <c r="BI129" s="984">
        <f>+BI116/BI119</f>
        <v>0.64105071517602985</v>
      </c>
      <c r="BJ129" s="982"/>
      <c r="BK129" s="984">
        <f>+BK116/BK119</f>
        <v>0.59055361682794083</v>
      </c>
      <c r="BL129" s="984">
        <f>+BL116/BL119</f>
        <v>0.58073338906312244</v>
      </c>
      <c r="BM129" s="984">
        <f>+BM116/BM119</f>
        <v>0.56521321576984274</v>
      </c>
      <c r="BN129" s="984">
        <f>+BN116/BN119</f>
        <v>0.54150378688084921</v>
      </c>
      <c r="BO129" s="984">
        <f>+BO116/BO119</f>
        <v>0.56752587360095241</v>
      </c>
      <c r="BP129" s="31"/>
      <c r="BQ129" s="42"/>
      <c r="BR129" s="42"/>
      <c r="BS129" s="42"/>
      <c r="BT129" s="42"/>
      <c r="BU129" s="42"/>
      <c r="BV129" s="31"/>
      <c r="BW129" s="42"/>
      <c r="BX129" s="42"/>
      <c r="BY129" s="42"/>
      <c r="BZ129" s="42"/>
      <c r="CA129" s="42"/>
      <c r="CB129" s="31"/>
      <c r="CC129" s="42"/>
      <c r="CD129" s="42"/>
      <c r="CE129" s="42"/>
      <c r="CF129" s="42"/>
      <c r="CG129" s="42"/>
    </row>
    <row r="130" spans="1:85" outlineLevel="1" x14ac:dyDescent="0.2">
      <c r="A130" s="230"/>
      <c r="B130" s="32" t="s">
        <v>177</v>
      </c>
      <c r="C130" s="194">
        <f>+C117/C119</f>
        <v>0.13251046878185724</v>
      </c>
      <c r="D130" s="194">
        <f>+D117/D119</f>
        <v>0.14789238019398718</v>
      </c>
      <c r="E130" s="194">
        <f>+E117/E119</f>
        <v>0.15669479783348025</v>
      </c>
      <c r="F130" s="194">
        <f>+F117/F119</f>
        <v>0.19406483996855908</v>
      </c>
      <c r="G130" s="194">
        <f>+G117/G119</f>
        <v>0.15843098912538861</v>
      </c>
      <c r="H130" s="411"/>
      <c r="I130" s="194">
        <f>+I117/I119</f>
        <v>0.18929870546699476</v>
      </c>
      <c r="J130" s="194">
        <f>+J117/J119</f>
        <v>0.20413756852143877</v>
      </c>
      <c r="K130" s="194">
        <f>+K117/K119</f>
        <v>0.20028467667912681</v>
      </c>
      <c r="L130" s="194">
        <f>+L117/L119</f>
        <v>0.21760539629005063</v>
      </c>
      <c r="M130" s="194">
        <f>+M117/M119</f>
        <v>0.20281864357712451</v>
      </c>
      <c r="N130" s="411"/>
      <c r="O130" s="194">
        <f>+O117/O119</f>
        <v>0.20464267381509157</v>
      </c>
      <c r="P130" s="194">
        <f>+P117/P119</f>
        <v>0.24146967870433461</v>
      </c>
      <c r="Q130" s="194">
        <f>+Q117/Q119</f>
        <v>0.22967364291210937</v>
      </c>
      <c r="R130" s="194">
        <f>+R117/R119</f>
        <v>0.24543964163664916</v>
      </c>
      <c r="S130" s="194">
        <f>+S117/S119</f>
        <v>0.23130761078720469</v>
      </c>
      <c r="T130" s="411"/>
      <c r="U130" s="194">
        <f>+U117/U119</f>
        <v>0.22619602619602619</v>
      </c>
      <c r="V130" s="194">
        <f>+V117/V119</f>
        <v>0.27079384012439028</v>
      </c>
      <c r="W130" s="194">
        <f>+W117/W119</f>
        <v>0.23221153345075929</v>
      </c>
      <c r="X130" s="194">
        <f>+X117/X119</f>
        <v>0.25779122215882794</v>
      </c>
      <c r="Y130" s="194">
        <f>+Y117/Y119</f>
        <v>0.24684841267286792</v>
      </c>
      <c r="Z130" s="411"/>
      <c r="AA130" s="194">
        <f>+AA117/AA119</f>
        <v>0.23400663767452506</v>
      </c>
      <c r="AB130" s="194">
        <f>+AB117/AB119</f>
        <v>0.22994354046266843</v>
      </c>
      <c r="AC130" s="194">
        <f>+AC117/AC119</f>
        <v>0.21909701812636026</v>
      </c>
      <c r="AD130" s="194">
        <f>+AD117/AD119</f>
        <v>0.23348977929482956</v>
      </c>
      <c r="AE130" s="194">
        <f>+AE117/AE119</f>
        <v>0.22893811452429541</v>
      </c>
      <c r="AF130" s="31"/>
      <c r="AG130" s="194">
        <f>+AG117/AG119</f>
        <v>0.21799835651729732</v>
      </c>
      <c r="AH130" s="194">
        <f>+AH117/AH119</f>
        <v>0.19718319530853007</v>
      </c>
      <c r="AI130" s="194">
        <f>+AI117/AI119</f>
        <v>0.17724328918063534</v>
      </c>
      <c r="AJ130" s="194">
        <f>+AJ117/AJ119</f>
        <v>0.16512881545785493</v>
      </c>
      <c r="AK130" s="194">
        <f>+AK117/AK119</f>
        <v>0.18916829303568847</v>
      </c>
      <c r="AL130" s="31"/>
      <c r="AM130" s="194">
        <f>+AM117/AM119</f>
        <v>0.20246776924078655</v>
      </c>
      <c r="AN130" s="194">
        <f>+AN117/AN119</f>
        <v>0.19754254461996729</v>
      </c>
      <c r="AO130" s="194">
        <f>+AO117/AO119</f>
        <v>0.16105187652729991</v>
      </c>
      <c r="AP130" s="194">
        <f>+AP117/AP119</f>
        <v>0.18252080856123659</v>
      </c>
      <c r="AQ130" s="194">
        <f>+AQ117/AQ119</f>
        <v>0.18553905902097223</v>
      </c>
      <c r="AR130" s="31"/>
      <c r="AS130" s="194">
        <f>+AS117/AS119</f>
        <v>0.21502275168008148</v>
      </c>
      <c r="AT130" s="194">
        <f>+AT117/AT119</f>
        <v>0.2176220972207073</v>
      </c>
      <c r="AU130" s="194">
        <f>+AU117/AU119</f>
        <v>0.18895489688006908</v>
      </c>
      <c r="AV130" s="194">
        <f>+AV117/AV119</f>
        <v>0.20240181268882176</v>
      </c>
      <c r="AW130" s="194">
        <f>+AW117/AW119</f>
        <v>0.20589034639133569</v>
      </c>
      <c r="AX130" s="31"/>
      <c r="AY130" s="194">
        <f>+AY117/AY119</f>
        <v>0.19509203073412559</v>
      </c>
      <c r="AZ130" s="194">
        <f>+AZ117/AZ119</f>
        <v>0.20155331092950432</v>
      </c>
      <c r="BA130" s="194">
        <f>+BA117/BA119</f>
        <v>0.18025294264963687</v>
      </c>
      <c r="BB130" s="194">
        <f>+BB117/BB119</f>
        <v>0.21206291580538136</v>
      </c>
      <c r="BC130" s="194">
        <f>+BC117/BC119</f>
        <v>0.19767092536127145</v>
      </c>
      <c r="BD130" s="31"/>
      <c r="BE130" s="984">
        <f>+BE117/BE119</f>
        <v>0.19855898123324398</v>
      </c>
      <c r="BF130" s="984">
        <f>+BF117/BF119</f>
        <v>0.21011872498719195</v>
      </c>
      <c r="BG130" s="984">
        <f>+BG117/BG119</f>
        <v>0.31247105951778426</v>
      </c>
      <c r="BH130" s="984">
        <f>+BH117/BH119</f>
        <v>0.34107427277347097</v>
      </c>
      <c r="BI130" s="984">
        <f>+BI117/BI119</f>
        <v>0.26952496309754653</v>
      </c>
      <c r="BJ130" s="982"/>
      <c r="BK130" s="984">
        <f>+BK117/BK119</f>
        <v>0.3404319764388205</v>
      </c>
      <c r="BL130" s="984">
        <f>+BL117/BL119</f>
        <v>0.34874411611245448</v>
      </c>
      <c r="BM130" s="984">
        <f>+BM117/BM119</f>
        <v>0.33043837131132436</v>
      </c>
      <c r="BN130" s="984">
        <f>+BN117/BN119</f>
        <v>0.23457062633656361</v>
      </c>
      <c r="BO130" s="984">
        <f>+BO117/BO119</f>
        <v>0.30955882702270171</v>
      </c>
      <c r="BP130" s="31"/>
      <c r="BQ130" s="42"/>
      <c r="BR130" s="42"/>
      <c r="BS130" s="42"/>
      <c r="BT130" s="42"/>
      <c r="BU130" s="42"/>
      <c r="BV130" s="31"/>
      <c r="BW130" s="42"/>
      <c r="BX130" s="42"/>
      <c r="BY130" s="42"/>
      <c r="BZ130" s="42"/>
      <c r="CA130" s="42"/>
      <c r="CB130" s="31"/>
      <c r="CC130" s="42"/>
      <c r="CD130" s="42"/>
      <c r="CE130" s="42"/>
      <c r="CF130" s="42"/>
      <c r="CG130" s="42"/>
    </row>
    <row r="131" spans="1:85" ht="12.75" customHeight="1" outlineLevel="1" x14ac:dyDescent="0.2">
      <c r="A131" s="230"/>
      <c r="B131" s="32" t="s">
        <v>178</v>
      </c>
      <c r="C131" s="194">
        <f>+C118/C119</f>
        <v>1.519737770737598E-2</v>
      </c>
      <c r="D131" s="194">
        <f>+D118/D119</f>
        <v>7.2190384188608797E-3</v>
      </c>
      <c r="E131" s="194">
        <f>+E118/E119</f>
        <v>8.1734335418678517E-3</v>
      </c>
      <c r="F131" s="194">
        <f>+F118/F119</f>
        <v>5.8055352538025594E-3</v>
      </c>
      <c r="G131" s="194">
        <f>+G118/G119</f>
        <v>8.8874977139400419E-3</v>
      </c>
      <c r="H131" s="411"/>
      <c r="I131" s="194">
        <f>+I118/I119</f>
        <v>4.854498769658714E-3</v>
      </c>
      <c r="J131" s="194">
        <f>+J118/J119</f>
        <v>7.0836775049435549E-3</v>
      </c>
      <c r="K131" s="194">
        <f>+K118/K119</f>
        <v>6.5182977930906038E-3</v>
      </c>
      <c r="L131" s="194">
        <f>+L118/L119</f>
        <v>9.3760539629005029E-3</v>
      </c>
      <c r="M131" s="194">
        <f>+M118/M119</f>
        <v>6.9544964076111264E-3</v>
      </c>
      <c r="N131" s="411"/>
      <c r="O131" s="194">
        <f>+O118/O119</f>
        <v>6.9440483659385169E-3</v>
      </c>
      <c r="P131" s="194">
        <f>+P118/P119</f>
        <v>8.6220451805650196E-3</v>
      </c>
      <c r="Q131" s="194">
        <f>+Q118/Q119</f>
        <v>1.2728809496776796E-2</v>
      </c>
      <c r="R131" s="194">
        <f>+R118/R119</f>
        <v>1.0402235152858598E-2</v>
      </c>
      <c r="S131" s="194">
        <f>+S118/S119</f>
        <v>9.7812270877556968E-3</v>
      </c>
      <c r="T131" s="411"/>
      <c r="U131" s="194">
        <f>+U118/U119</f>
        <v>9.5238095238095229E-3</v>
      </c>
      <c r="V131" s="194">
        <f>+V118/V119</f>
        <v>1.1043898698587828E-2</v>
      </c>
      <c r="W131" s="194">
        <f>+W118/W119</f>
        <v>1.1589731831115096E-2</v>
      </c>
      <c r="X131" s="194">
        <f>+X118/X119</f>
        <v>1.3348691505280274E-2</v>
      </c>
      <c r="Y131" s="194">
        <f>+Y118/Y119</f>
        <v>1.1391311811344642E-2</v>
      </c>
      <c r="Z131" s="411"/>
      <c r="AA131" s="194">
        <f>+AA118/AA119</f>
        <v>1.1291676203555352E-2</v>
      </c>
      <c r="AB131" s="194">
        <f>+AB118/AB119</f>
        <v>2.0693502989524173E-2</v>
      </c>
      <c r="AC131" s="194">
        <f>+AC118/AC119</f>
        <v>3.4838832668753081E-2</v>
      </c>
      <c r="AD131" s="194">
        <f>+AD118/AD119</f>
        <v>1.4886932236918667E-2</v>
      </c>
      <c r="AE131" s="194">
        <f>+AE118/AE119</f>
        <v>2.0790384811804705E-2</v>
      </c>
      <c r="AF131" s="31"/>
      <c r="AG131" s="194">
        <f>+AG118/AG119</f>
        <v>1.7574900613714941E-2</v>
      </c>
      <c r="AH131" s="194">
        <f>+AH118/AH119</f>
        <v>4.1702717921250326E-2</v>
      </c>
      <c r="AI131" s="194">
        <f>+AI118/AI119</f>
        <v>5.2235962958621492E-2</v>
      </c>
      <c r="AJ131" s="194">
        <f>+AJ118/AJ119</f>
        <v>7.415989918790257E-2</v>
      </c>
      <c r="AK131" s="194">
        <f>+AK118/AK119</f>
        <v>4.6728721647165128E-2</v>
      </c>
      <c r="AL131" s="31"/>
      <c r="AM131" s="194">
        <f>+AM118/AM119</f>
        <v>1.7222294569605417E-2</v>
      </c>
      <c r="AN131" s="194">
        <f>+AN118/AN119</f>
        <v>5.9904289864980344E-2</v>
      </c>
      <c r="AO131" s="194">
        <f>+AO118/AO119</f>
        <v>8.5759789916477216E-2</v>
      </c>
      <c r="AP131" s="194">
        <f>+AP118/AP119</f>
        <v>0.11068920647028468</v>
      </c>
      <c r="AQ131" s="194">
        <f>+AQ118/AQ119</f>
        <v>7.0132655565081206E-2</v>
      </c>
      <c r="AR131" s="31"/>
      <c r="AS131" s="194">
        <f>+AS118/AS119</f>
        <v>7.2866268835180409E-2</v>
      </c>
      <c r="AT131" s="194">
        <f>+AT118/AT119</f>
        <v>8.6625011037183619E-2</v>
      </c>
      <c r="AU131" s="194">
        <f>+AU118/AU119</f>
        <v>0.10403631843940256</v>
      </c>
      <c r="AV131" s="194">
        <f>+AV118/AV119</f>
        <v>0.11415911379657602</v>
      </c>
      <c r="AW131" s="194">
        <f>+AW118/AW119</f>
        <v>9.4881790001483612E-2</v>
      </c>
      <c r="AX131" s="31"/>
      <c r="AY131" s="194">
        <f>+AY118/AY119</f>
        <v>9.9638540835798581E-2</v>
      </c>
      <c r="AZ131" s="194">
        <f>+AZ118/AZ119</f>
        <v>0.10452627358130298</v>
      </c>
      <c r="BA131" s="194">
        <f>+BA118/BA119</f>
        <v>0.12654838274672986</v>
      </c>
      <c r="BB131" s="194">
        <f>+BB118/BB119</f>
        <v>0.10671541975716096</v>
      </c>
      <c r="BC131" s="194">
        <f>+BC118/BC119</f>
        <v>0.10938560780426877</v>
      </c>
      <c r="BD131" s="31"/>
      <c r="BE131" s="984">
        <f>+BE118/BE119</f>
        <v>0.10564259383378016</v>
      </c>
      <c r="BF131" s="984">
        <f>+BF118/BF119</f>
        <v>0.11301519887734721</v>
      </c>
      <c r="BG131" s="984">
        <f>+BG118/BG119</f>
        <v>8.2691707138472806E-2</v>
      </c>
      <c r="BH131" s="984">
        <f>+BH118/BH119</f>
        <v>6.0944124036929989E-2</v>
      </c>
      <c r="BI131" s="984">
        <f>+BI118/BI119</f>
        <v>8.9424321726423631E-2</v>
      </c>
      <c r="BJ131" s="982"/>
      <c r="BK131" s="984">
        <f>+BK118/BK119</f>
        <v>6.9014406733238595E-2</v>
      </c>
      <c r="BL131" s="984">
        <f>+BL118/BL119</f>
        <v>7.0522494824423118E-2</v>
      </c>
      <c r="BM131" s="984">
        <f>+BM118/BM119</f>
        <v>0.10434841291883291</v>
      </c>
      <c r="BN131" s="984">
        <f>+BN118/BN119</f>
        <v>0.22392558678258723</v>
      </c>
      <c r="BO131" s="984">
        <f>+BO118/BO119</f>
        <v>0.12291529937634593</v>
      </c>
      <c r="BP131" s="31"/>
      <c r="BQ131" s="42"/>
      <c r="BR131" s="42"/>
      <c r="BS131" s="42"/>
      <c r="BT131" s="42"/>
      <c r="BU131" s="42"/>
      <c r="BV131" s="31"/>
      <c r="BW131" s="42"/>
      <c r="BX131" s="42"/>
      <c r="BY131" s="42"/>
      <c r="BZ131" s="42"/>
      <c r="CA131" s="42"/>
      <c r="CB131" s="31"/>
      <c r="CC131" s="42"/>
      <c r="CD131" s="42"/>
      <c r="CE131" s="42"/>
      <c r="CF131" s="42"/>
      <c r="CG131" s="42"/>
    </row>
    <row r="132" spans="1:85" ht="12.75" customHeight="1" outlineLevel="1" x14ac:dyDescent="0.2">
      <c r="A132" s="230"/>
      <c r="B132" s="40" t="s">
        <v>362</v>
      </c>
      <c r="C132" s="333">
        <f>+SUM(C129:C131)</f>
        <v>1</v>
      </c>
      <c r="D132" s="333">
        <f>+SUM(D129:D131)</f>
        <v>0.99999999999999989</v>
      </c>
      <c r="E132" s="333">
        <f>+SUM(E129:E131)</f>
        <v>0.99999999999999989</v>
      </c>
      <c r="F132" s="333">
        <f>+SUM(F129:F131)</f>
        <v>0.99999999999999978</v>
      </c>
      <c r="G132" s="333">
        <f>+SUM(G129:G131)</f>
        <v>1.0000000000000002</v>
      </c>
      <c r="H132" s="411"/>
      <c r="I132" s="333">
        <f>+SUM(I129:I131)</f>
        <v>1.0000000000000002</v>
      </c>
      <c r="J132" s="333">
        <f>+SUM(J129:J131)</f>
        <v>0.99999999999999989</v>
      </c>
      <c r="K132" s="333">
        <f>+SUM(K129:K131)</f>
        <v>1</v>
      </c>
      <c r="L132" s="333">
        <f>+SUM(L129:L131)</f>
        <v>1.0000000000000002</v>
      </c>
      <c r="M132" s="333">
        <f>+SUM(M129:M131)</f>
        <v>1</v>
      </c>
      <c r="N132" s="411"/>
      <c r="O132" s="333">
        <f>+SUM(O129:O131)</f>
        <v>1.0000000000000002</v>
      </c>
      <c r="P132" s="333">
        <f>+SUM(P129:P131)</f>
        <v>1</v>
      </c>
      <c r="Q132" s="333">
        <f>+SUM(Q129:Q131)</f>
        <v>0.99999999999999989</v>
      </c>
      <c r="R132" s="333">
        <f>+SUM(R129:R131)</f>
        <v>1</v>
      </c>
      <c r="S132" s="333">
        <f>+SUM(S129:S131)</f>
        <v>1</v>
      </c>
      <c r="T132" s="411"/>
      <c r="U132" s="333">
        <f>+SUM(U129:U131)</f>
        <v>0.99999999999999989</v>
      </c>
      <c r="V132" s="333">
        <f>+SUM(V129:V131)</f>
        <v>0.99999999999999989</v>
      </c>
      <c r="W132" s="333">
        <f>+SUM(W129:W131)</f>
        <v>1</v>
      </c>
      <c r="X132" s="333">
        <f>+SUM(X129:X131)</f>
        <v>1</v>
      </c>
      <c r="Y132" s="333">
        <f>+SUM(Y129:Y131)</f>
        <v>1</v>
      </c>
      <c r="Z132" s="411"/>
      <c r="AA132" s="333">
        <f>+SUM(AA129:AA131)</f>
        <v>1</v>
      </c>
      <c r="AB132" s="333">
        <f>+SUM(AB129:AB131)</f>
        <v>1</v>
      </c>
      <c r="AC132" s="333">
        <f>+SUM(AC129:AC131)</f>
        <v>1</v>
      </c>
      <c r="AD132" s="333">
        <f>+SUM(AD129:AD131)</f>
        <v>0.99999999999999989</v>
      </c>
      <c r="AE132" s="333">
        <f>+SUM(AE129:AE131)</f>
        <v>1</v>
      </c>
      <c r="AF132" s="31"/>
      <c r="AG132" s="333">
        <f>+SUM(AG129:AG131)</f>
        <v>1</v>
      </c>
      <c r="AH132" s="333">
        <f>+SUM(AH129:AH131)</f>
        <v>1</v>
      </c>
      <c r="AI132" s="333">
        <f>+SUM(AI129:AI131)</f>
        <v>1</v>
      </c>
      <c r="AJ132" s="333">
        <f>+SUM(AJ129:AJ131)</f>
        <v>1.0000000000000002</v>
      </c>
      <c r="AK132" s="333">
        <f>+SUM(AK129:AK131)</f>
        <v>1</v>
      </c>
      <c r="AL132" s="31"/>
      <c r="AM132" s="333">
        <f>+SUM(AM129:AM131)</f>
        <v>1</v>
      </c>
      <c r="AN132" s="333">
        <f>+SUM(AN129:AN131)</f>
        <v>0.99999999999999989</v>
      </c>
      <c r="AO132" s="333">
        <f>+SUM(AO129:AO131)</f>
        <v>1</v>
      </c>
      <c r="AP132" s="333">
        <f>+SUM(AP129:AP131)</f>
        <v>1</v>
      </c>
      <c r="AQ132" s="333">
        <f>+SUM(AQ129:AQ131)</f>
        <v>1</v>
      </c>
      <c r="AR132" s="31"/>
      <c r="AS132" s="333">
        <f>+SUM(AS129:AS131)</f>
        <v>0.99999999999999989</v>
      </c>
      <c r="AT132" s="333">
        <f>+SUM(AT129:AT131)</f>
        <v>1</v>
      </c>
      <c r="AU132" s="333">
        <f>+SUM(AU129:AU131)</f>
        <v>0.99999999999999989</v>
      </c>
      <c r="AV132" s="333">
        <f>+SUM(AV129:AV131)</f>
        <v>1</v>
      </c>
      <c r="AW132" s="333">
        <f>+SUM(AW129:AW131)</f>
        <v>0.99999999999999978</v>
      </c>
      <c r="AX132" s="31"/>
      <c r="AY132" s="333">
        <f>+SUM(AY129:AY131)</f>
        <v>1</v>
      </c>
      <c r="AZ132" s="333">
        <f>+SUM(AZ129:AZ131)</f>
        <v>1</v>
      </c>
      <c r="BA132" s="333">
        <f>+SUM(BA129:BA131)</f>
        <v>1</v>
      </c>
      <c r="BB132" s="333">
        <f>+SUM(BB129:BB131)</f>
        <v>1.0000000000000002</v>
      </c>
      <c r="BC132" s="333">
        <f>+SUM(BC129:BC131)</f>
        <v>0.99999999999999978</v>
      </c>
      <c r="BD132" s="31"/>
      <c r="BE132" s="582">
        <f>+SUM(BE129:BE131)</f>
        <v>1</v>
      </c>
      <c r="BF132" s="582">
        <f>+SUM(BF129:BF131)</f>
        <v>1</v>
      </c>
      <c r="BG132" s="582">
        <f>+SUM(BG129:BG131)</f>
        <v>1</v>
      </c>
      <c r="BH132" s="582">
        <f>+SUM(BH129:BH131)</f>
        <v>1</v>
      </c>
      <c r="BI132" s="582">
        <f>+SUM(BI129:BI131)</f>
        <v>1</v>
      </c>
      <c r="BJ132" s="982"/>
      <c r="BK132" s="582">
        <f>+SUM(BK129:BK131)</f>
        <v>0.99999999999999989</v>
      </c>
      <c r="BL132" s="582">
        <f>+SUM(BL129:BL131)</f>
        <v>1</v>
      </c>
      <c r="BM132" s="582">
        <f>+SUM(BM129:BM131)</f>
        <v>1</v>
      </c>
      <c r="BN132" s="582">
        <f>+SUM(BN129:BN131)</f>
        <v>1</v>
      </c>
      <c r="BO132" s="582">
        <f>+SUM(BO129:BO131)</f>
        <v>1</v>
      </c>
      <c r="BP132" s="31"/>
      <c r="BQ132" s="42"/>
      <c r="BR132" s="42"/>
      <c r="BS132" s="42"/>
      <c r="BT132" s="42"/>
      <c r="BU132" s="42"/>
      <c r="BV132" s="31"/>
      <c r="BW132" s="42"/>
      <c r="BX132" s="42"/>
      <c r="BY132" s="42"/>
      <c r="BZ132" s="42"/>
      <c r="CA132" s="42"/>
      <c r="CB132" s="31"/>
      <c r="CC132" s="42"/>
      <c r="CD132" s="42"/>
      <c r="CE132" s="42"/>
      <c r="CF132" s="42"/>
      <c r="CG132" s="42"/>
    </row>
    <row r="133" spans="1:85" ht="12.75" customHeight="1" outlineLevel="1" x14ac:dyDescent="0.2">
      <c r="A133" s="230"/>
      <c r="B133" s="246"/>
      <c r="C133" s="42"/>
      <c r="D133" s="42"/>
      <c r="E133" s="42"/>
      <c r="F133" s="42"/>
      <c r="G133" s="42"/>
      <c r="H133" s="31"/>
      <c r="I133" s="42"/>
      <c r="J133" s="42"/>
      <c r="K133" s="42"/>
      <c r="L133" s="42"/>
      <c r="M133" s="42"/>
      <c r="N133" s="31"/>
      <c r="O133" s="42"/>
      <c r="P133" s="42"/>
      <c r="Q133" s="42"/>
      <c r="R133" s="42"/>
      <c r="S133" s="42"/>
      <c r="T133" s="31"/>
      <c r="U133" s="42"/>
      <c r="V133" s="42"/>
      <c r="W133" s="42"/>
      <c r="X133" s="42"/>
      <c r="Y133" s="42"/>
      <c r="Z133" s="31"/>
      <c r="AA133" s="42"/>
      <c r="AB133" s="42"/>
      <c r="AC133" s="42"/>
      <c r="AD133" s="42"/>
      <c r="AE133" s="42"/>
      <c r="AF133" s="31"/>
      <c r="AG133" s="42"/>
      <c r="AH133" s="42"/>
      <c r="AI133" s="42"/>
      <c r="AJ133" s="42"/>
      <c r="AK133" s="42"/>
      <c r="AL133" s="31"/>
      <c r="AM133" s="42"/>
      <c r="AN133" s="42"/>
      <c r="AO133" s="42"/>
      <c r="AP133" s="42"/>
      <c r="AQ133" s="42"/>
      <c r="AR133" s="31"/>
      <c r="AS133" s="42"/>
      <c r="AT133" s="42"/>
      <c r="AU133" s="42"/>
      <c r="AV133" s="42"/>
      <c r="AW133" s="42"/>
      <c r="AX133" s="31"/>
      <c r="AY133" s="42"/>
      <c r="AZ133" s="42"/>
      <c r="BA133" s="42"/>
      <c r="BB133" s="42"/>
      <c r="BC133" s="42"/>
      <c r="BD133" s="31"/>
      <c r="BE133" s="42"/>
      <c r="BF133" s="42"/>
      <c r="BG133" s="42"/>
      <c r="BH133" s="42"/>
      <c r="BI133" s="42"/>
      <c r="BJ133" s="31"/>
      <c r="BK133" s="42"/>
      <c r="BL133" s="42"/>
      <c r="BM133" s="42"/>
      <c r="BN133" s="42"/>
      <c r="BO133" s="42"/>
      <c r="BP133" s="31"/>
      <c r="BQ133" s="42"/>
      <c r="BR133" s="42"/>
      <c r="BS133" s="42"/>
      <c r="BT133" s="42"/>
      <c r="BU133" s="42"/>
      <c r="BV133" s="31"/>
      <c r="BW133" s="42"/>
      <c r="BX133" s="42"/>
      <c r="BY133" s="42"/>
      <c r="BZ133" s="42"/>
      <c r="CA133" s="42"/>
      <c r="CB133" s="31"/>
      <c r="CC133" s="42"/>
      <c r="CD133" s="42"/>
      <c r="CE133" s="42"/>
      <c r="CF133" s="42"/>
      <c r="CG133" s="42"/>
    </row>
    <row r="134" spans="1:85" ht="12.75" customHeight="1" outlineLevel="1" x14ac:dyDescent="0.2">
      <c r="A134" s="230"/>
      <c r="B134" s="40" t="s">
        <v>207</v>
      </c>
      <c r="C134" s="42"/>
      <c r="D134" s="42"/>
      <c r="E134" s="42"/>
      <c r="F134" s="42"/>
      <c r="G134" s="42"/>
      <c r="H134" s="31"/>
      <c r="I134" s="42"/>
      <c r="J134" s="42"/>
      <c r="K134" s="42"/>
      <c r="L134" s="42"/>
      <c r="M134" s="42"/>
      <c r="N134" s="31"/>
      <c r="O134" s="42"/>
      <c r="P134" s="42"/>
      <c r="Q134" s="42"/>
      <c r="R134" s="42"/>
      <c r="S134" s="42"/>
      <c r="T134" s="31"/>
      <c r="U134" s="42"/>
      <c r="V134" s="42"/>
      <c r="W134" s="42"/>
      <c r="X134" s="42"/>
      <c r="Y134" s="42"/>
      <c r="Z134" s="31"/>
      <c r="AA134" s="42"/>
      <c r="AB134" s="42"/>
      <c r="AC134" s="42"/>
      <c r="AD134" s="42"/>
      <c r="AE134" s="42"/>
      <c r="AF134" s="31"/>
      <c r="AG134" s="42"/>
      <c r="AH134" s="42"/>
      <c r="AI134" s="42"/>
      <c r="AJ134" s="42"/>
      <c r="AK134" s="42"/>
      <c r="AL134" s="31"/>
      <c r="AM134" s="42"/>
      <c r="AN134" s="42"/>
      <c r="AO134" s="42"/>
      <c r="AP134" s="42"/>
      <c r="AQ134" s="42"/>
      <c r="AR134" s="31"/>
      <c r="AS134" s="42"/>
      <c r="AT134" s="42"/>
      <c r="AU134" s="42"/>
      <c r="AV134" s="42"/>
      <c r="AW134" s="42"/>
      <c r="AX134" s="31"/>
      <c r="AY134" s="42"/>
      <c r="AZ134" s="42"/>
      <c r="BA134" s="42"/>
      <c r="BB134" s="42"/>
      <c r="BC134" s="42"/>
      <c r="BD134" s="31"/>
      <c r="BE134" s="42"/>
      <c r="BF134" s="42"/>
      <c r="BG134" s="42"/>
      <c r="BH134" s="42"/>
      <c r="BI134" s="42"/>
      <c r="BJ134" s="31"/>
      <c r="BK134" s="42"/>
      <c r="BL134" s="42"/>
      <c r="BM134" s="42"/>
      <c r="BN134" s="42"/>
      <c r="BO134" s="42"/>
      <c r="BP134" s="31"/>
      <c r="BQ134" s="42"/>
      <c r="BR134" s="42"/>
      <c r="BS134" s="42"/>
      <c r="BT134" s="42"/>
      <c r="BU134" s="42"/>
      <c r="BV134" s="31"/>
      <c r="BW134" s="42"/>
      <c r="BX134" s="42"/>
      <c r="BY134" s="42"/>
      <c r="BZ134" s="42"/>
      <c r="CA134" s="42"/>
      <c r="CB134" s="31"/>
      <c r="CC134" s="42"/>
      <c r="CD134" s="42"/>
      <c r="CE134" s="42"/>
      <c r="CF134" s="42"/>
      <c r="CG134" s="42"/>
    </row>
    <row r="135" spans="1:85" ht="12.75" customHeight="1" outlineLevel="1" x14ac:dyDescent="0.2">
      <c r="A135" s="230"/>
      <c r="B135" s="32" t="str">
        <f>+B54</f>
        <v>NA Ortho</v>
      </c>
      <c r="C135" s="368">
        <v>100</v>
      </c>
      <c r="D135" s="368">
        <v>100</v>
      </c>
      <c r="E135" s="368">
        <v>90</v>
      </c>
      <c r="F135" s="368">
        <v>80</v>
      </c>
      <c r="G135" s="369">
        <f>+SUM(C135:F135)</f>
        <v>370</v>
      </c>
      <c r="H135" s="410"/>
      <c r="I135" s="368">
        <v>100</v>
      </c>
      <c r="J135" s="368">
        <v>100</v>
      </c>
      <c r="K135" s="368">
        <v>90</v>
      </c>
      <c r="L135" s="368">
        <v>60</v>
      </c>
      <c r="M135" s="369">
        <f>+SUM(I135:L135)</f>
        <v>350</v>
      </c>
      <c r="N135" s="410"/>
      <c r="O135" s="368">
        <v>75</v>
      </c>
      <c r="P135" s="368">
        <v>65</v>
      </c>
      <c r="Q135" s="368">
        <v>75</v>
      </c>
      <c r="R135" s="368">
        <v>50</v>
      </c>
      <c r="S135" s="369">
        <f>+SUM(O135:R135)</f>
        <v>265</v>
      </c>
      <c r="T135" s="410"/>
      <c r="U135" s="368">
        <v>75</v>
      </c>
      <c r="V135" s="368">
        <v>85</v>
      </c>
      <c r="W135" s="368">
        <v>105</v>
      </c>
      <c r="X135" s="368">
        <v>75</v>
      </c>
      <c r="Y135" s="369">
        <f>+SUM(U135:X135)</f>
        <v>340</v>
      </c>
      <c r="Z135" s="410"/>
      <c r="AA135" s="415">
        <v>75</v>
      </c>
      <c r="AB135" s="415">
        <v>80</v>
      </c>
      <c r="AC135" s="415">
        <v>100</v>
      </c>
      <c r="AD135" s="415">
        <v>100</v>
      </c>
      <c r="AE135" s="369">
        <f>+SUM(AA135:AD135)</f>
        <v>355</v>
      </c>
      <c r="AF135" s="31"/>
      <c r="AG135" s="415">
        <v>90</v>
      </c>
      <c r="AH135" s="415">
        <v>90</v>
      </c>
      <c r="AI135" s="415">
        <v>125</v>
      </c>
      <c r="AJ135" s="415">
        <v>75</v>
      </c>
      <c r="AK135" s="369">
        <f>+SUM(AG135:AJ135)</f>
        <v>380</v>
      </c>
      <c r="AL135" s="31"/>
      <c r="AM135" s="415">
        <v>65</v>
      </c>
      <c r="AN135" s="415">
        <v>115</v>
      </c>
      <c r="AO135" s="415">
        <v>90</v>
      </c>
      <c r="AP135" s="415">
        <v>105</v>
      </c>
      <c r="AQ135" s="369">
        <f>+SUM(AM135:AP135)</f>
        <v>375</v>
      </c>
      <c r="AR135" s="31"/>
      <c r="AS135" s="415">
        <v>65</v>
      </c>
      <c r="AT135" s="415">
        <v>115</v>
      </c>
      <c r="AU135" s="415">
        <v>115</v>
      </c>
      <c r="AV135" s="415">
        <v>115</v>
      </c>
      <c r="AW135" s="369">
        <f>+SUM(AS135:AV135)</f>
        <v>410</v>
      </c>
      <c r="AX135" s="31"/>
      <c r="AY135" s="415">
        <f>+(AY45-AS45)/($AY$45+$AY$46-$AS$45-$AS$46)*870</f>
        <v>187.99953093696581</v>
      </c>
      <c r="AZ135" s="415">
        <f>+(AZ45-AT45)/($AY$45+$AY$46-$AS$45-$AS$46)*870</f>
        <v>282.93913043478273</v>
      </c>
      <c r="BA135" s="748">
        <f>+(BA45-AU45)/($AY$45+$AY$46-$AS$45-$AS$46)*870</f>
        <v>324.61721672495514</v>
      </c>
      <c r="BB135" s="415">
        <f>+(BB45-AV45)/($AY$45+$AY$46-$AS$45-$AS$46)*870</f>
        <v>352.44791383316903</v>
      </c>
      <c r="BC135" s="369">
        <f>+SUM(AY135:BB135)</f>
        <v>1148.0037919298727</v>
      </c>
      <c r="BD135" s="31"/>
      <c r="BE135" s="415">
        <f>+(BE45-AY45)/($AY$45+$AY$46-$AS$45-$AS$46)*870</f>
        <v>294.59080583165206</v>
      </c>
      <c r="BF135" s="415">
        <f>+(BF45-AZ45)/($AY$45+$AY$46-$AS$45-$AS$46)*870</f>
        <v>290.72645375989072</v>
      </c>
      <c r="BG135" s="806">
        <v>300</v>
      </c>
      <c r="BH135" s="806">
        <v>310</v>
      </c>
      <c r="BI135" s="369">
        <f>+SUM(BE135:BH135)</f>
        <v>1195.3172595915428</v>
      </c>
      <c r="BJ135" s="31"/>
      <c r="BK135" s="415">
        <v>320</v>
      </c>
      <c r="BL135" s="415">
        <v>400</v>
      </c>
      <c r="BM135" s="415">
        <v>400</v>
      </c>
      <c r="BN135" s="415">
        <v>400</v>
      </c>
      <c r="BO135" s="369">
        <f>+SUM(BK135:BN135)</f>
        <v>1520</v>
      </c>
      <c r="BP135" s="31"/>
      <c r="BQ135" s="415">
        <v>700</v>
      </c>
      <c r="BR135" s="657"/>
      <c r="BS135" s="657"/>
      <c r="BT135" s="42"/>
      <c r="BU135" s="42"/>
      <c r="BV135" s="31"/>
      <c r="BW135" s="42"/>
      <c r="BX135" s="42"/>
      <c r="BY135" s="42"/>
      <c r="BZ135" s="42"/>
      <c r="CA135" s="42"/>
      <c r="CB135" s="31"/>
      <c r="CC135" s="42"/>
      <c r="CD135" s="42"/>
      <c r="CE135" s="42"/>
      <c r="CF135" s="42"/>
      <c r="CG135" s="42"/>
    </row>
    <row r="136" spans="1:85" ht="12.75" customHeight="1" outlineLevel="1" x14ac:dyDescent="0.2">
      <c r="A136" s="230"/>
      <c r="B136" s="32" t="str">
        <f>+B57</f>
        <v>NA GP Dentists</v>
      </c>
      <c r="C136" s="368">
        <v>1300</v>
      </c>
      <c r="D136" s="368">
        <v>1500</v>
      </c>
      <c r="E136" s="368">
        <v>1220</v>
      </c>
      <c r="F136" s="368">
        <v>1500</v>
      </c>
      <c r="G136" s="369">
        <f>+SUM(C136:F136)</f>
        <v>5520</v>
      </c>
      <c r="H136" s="410"/>
      <c r="I136" s="368">
        <v>1150</v>
      </c>
      <c r="J136" s="368">
        <v>1630</v>
      </c>
      <c r="K136" s="368">
        <v>1030</v>
      </c>
      <c r="L136" s="368">
        <v>1360</v>
      </c>
      <c r="M136" s="369">
        <f>+SUM(I136:L136)</f>
        <v>5170</v>
      </c>
      <c r="N136" s="410"/>
      <c r="O136" s="368">
        <v>815</v>
      </c>
      <c r="P136" s="368">
        <v>900</v>
      </c>
      <c r="Q136" s="368">
        <v>430</v>
      </c>
      <c r="R136" s="368">
        <v>410</v>
      </c>
      <c r="S136" s="369">
        <f>+SUM(O136:R136)</f>
        <v>2555</v>
      </c>
      <c r="T136" s="410"/>
      <c r="U136" s="368">
        <v>315</v>
      </c>
      <c r="V136" s="368">
        <v>480</v>
      </c>
      <c r="W136" s="368">
        <v>445</v>
      </c>
      <c r="X136" s="368">
        <v>665</v>
      </c>
      <c r="Y136" s="369">
        <f>+SUM(U136:X136)</f>
        <v>1905</v>
      </c>
      <c r="Z136" s="410"/>
      <c r="AA136" s="415">
        <v>715</v>
      </c>
      <c r="AB136" s="415">
        <v>765</v>
      </c>
      <c r="AC136" s="415">
        <v>630</v>
      </c>
      <c r="AD136" s="415">
        <v>855</v>
      </c>
      <c r="AE136" s="369">
        <f>+SUM(AA136:AD136)</f>
        <v>2965</v>
      </c>
      <c r="AF136" s="31"/>
      <c r="AG136" s="415">
        <v>720</v>
      </c>
      <c r="AH136" s="415">
        <f>1090-AH135</f>
        <v>1000</v>
      </c>
      <c r="AI136" s="415">
        <v>675</v>
      </c>
      <c r="AJ136" s="415">
        <v>920</v>
      </c>
      <c r="AK136" s="369">
        <f>+SUM(AG136:AJ136)</f>
        <v>3315</v>
      </c>
      <c r="AL136" s="31"/>
      <c r="AM136" s="415">
        <v>690</v>
      </c>
      <c r="AN136" s="415">
        <v>1015</v>
      </c>
      <c r="AO136" s="415">
        <v>705</v>
      </c>
      <c r="AP136" s="415">
        <v>1355</v>
      </c>
      <c r="AQ136" s="369">
        <f>+SUM(AM136:AP136)</f>
        <v>3765</v>
      </c>
      <c r="AR136" s="31"/>
      <c r="AS136" s="415">
        <f>700-AS135</f>
        <v>635</v>
      </c>
      <c r="AT136" s="415">
        <f>1150-AT135</f>
        <v>1035</v>
      </c>
      <c r="AU136" s="415">
        <f>1125-AU135</f>
        <v>1010</v>
      </c>
      <c r="AV136" s="415">
        <f>1170-AV135</f>
        <v>1055</v>
      </c>
      <c r="AW136" s="369">
        <f>+SUM(AS136:AV136)</f>
        <v>3735</v>
      </c>
      <c r="AX136" s="31"/>
      <c r="AY136" s="415">
        <f>+(AY46-AS46)/($AY$45+$AY$46-$AS$45-$AS$46)*870</f>
        <v>682.00046906303487</v>
      </c>
      <c r="AZ136" s="415">
        <f>1120-AZ135</f>
        <v>837.06086956521722</v>
      </c>
      <c r="BA136" s="748">
        <f>1060-BA135</f>
        <v>735.38278327504486</v>
      </c>
      <c r="BB136" s="415">
        <f>1270-BB135</f>
        <v>917.55208616683103</v>
      </c>
      <c r="BC136" s="369">
        <f>+SUM(AY136:BB136)</f>
        <v>3171.996208070128</v>
      </c>
      <c r="BD136" s="31"/>
      <c r="BE136" s="415">
        <f>870-BE135</f>
        <v>575.40919416834799</v>
      </c>
      <c r="BF136" s="415">
        <f>1125-BF135</f>
        <v>834.27354624010923</v>
      </c>
      <c r="BG136" s="806">
        <f>1300-BG135</f>
        <v>1000</v>
      </c>
      <c r="BH136" s="806">
        <v>1110</v>
      </c>
      <c r="BI136" s="369">
        <f>+SUM(BE136:BH136)</f>
        <v>3519.682740408457</v>
      </c>
      <c r="BJ136" s="31"/>
      <c r="BK136" s="415">
        <f>980-BK135</f>
        <v>660</v>
      </c>
      <c r="BL136" s="415">
        <f>1620-BL135</f>
        <v>1220</v>
      </c>
      <c r="BM136" s="415">
        <f>1460-BM135</f>
        <v>1060</v>
      </c>
      <c r="BN136" s="415">
        <f>1340-BN135</f>
        <v>940</v>
      </c>
      <c r="BO136" s="369">
        <f>+SUM(BK136:BN136)</f>
        <v>3880</v>
      </c>
      <c r="BP136" s="31"/>
      <c r="BQ136" s="415">
        <f>1600-BQ135</f>
        <v>900</v>
      </c>
      <c r="BR136" s="657"/>
      <c r="BS136" s="657"/>
      <c r="BT136" s="42"/>
      <c r="BU136" s="42"/>
      <c r="BV136" s="31"/>
      <c r="BW136" s="42"/>
      <c r="BX136" s="42"/>
      <c r="BY136" s="42"/>
      <c r="BZ136" s="42"/>
      <c r="CA136" s="42"/>
      <c r="CB136" s="31"/>
      <c r="CC136" s="42"/>
      <c r="CD136" s="42"/>
      <c r="CE136" s="42"/>
      <c r="CF136" s="42"/>
      <c r="CG136" s="42"/>
    </row>
    <row r="137" spans="1:85" ht="12.75" customHeight="1" outlineLevel="1" x14ac:dyDescent="0.2">
      <c r="A137" s="230"/>
      <c r="B137" s="32" t="str">
        <f>+B60</f>
        <v>International</v>
      </c>
      <c r="C137" s="368">
        <v>400</v>
      </c>
      <c r="D137" s="368">
        <v>300</v>
      </c>
      <c r="E137" s="368">
        <v>260</v>
      </c>
      <c r="F137" s="368">
        <v>500</v>
      </c>
      <c r="G137" s="369">
        <f>+SUM(C137:F137)</f>
        <v>1460</v>
      </c>
      <c r="H137" s="410"/>
      <c r="I137" s="368">
        <v>400</v>
      </c>
      <c r="J137" s="368">
        <v>600</v>
      </c>
      <c r="K137" s="368">
        <v>330</v>
      </c>
      <c r="L137" s="368">
        <v>520</v>
      </c>
      <c r="M137" s="369">
        <f>+SUM(I137:L137)</f>
        <v>1850</v>
      </c>
      <c r="N137" s="410"/>
      <c r="O137" s="368">
        <v>330</v>
      </c>
      <c r="P137" s="368">
        <v>515</v>
      </c>
      <c r="Q137" s="368">
        <v>300</v>
      </c>
      <c r="R137" s="368">
        <v>410</v>
      </c>
      <c r="S137" s="369">
        <f>+SUM(O137:R137)</f>
        <v>1555</v>
      </c>
      <c r="T137" s="410"/>
      <c r="U137" s="368">
        <v>525</v>
      </c>
      <c r="V137" s="368">
        <v>395</v>
      </c>
      <c r="W137" s="368">
        <v>275</v>
      </c>
      <c r="X137" s="368">
        <v>495</v>
      </c>
      <c r="Y137" s="369">
        <f>+SUM(U137:X137)</f>
        <v>1690</v>
      </c>
      <c r="Z137" s="410"/>
      <c r="AA137" s="415">
        <v>165</v>
      </c>
      <c r="AB137" s="415">
        <v>520</v>
      </c>
      <c r="AC137" s="415">
        <v>855</v>
      </c>
      <c r="AD137" s="415">
        <v>970</v>
      </c>
      <c r="AE137" s="369">
        <f>+SUM(AA137:AD137)</f>
        <v>2510</v>
      </c>
      <c r="AF137" s="31"/>
      <c r="AG137" s="415">
        <v>715</v>
      </c>
      <c r="AH137" s="415">
        <v>965</v>
      </c>
      <c r="AI137" s="415">
        <v>685</v>
      </c>
      <c r="AJ137" s="415">
        <v>780</v>
      </c>
      <c r="AK137" s="369">
        <f>+SUM(AG137:AJ137)</f>
        <v>3145</v>
      </c>
      <c r="AL137" s="31"/>
      <c r="AM137" s="415">
        <v>905</v>
      </c>
      <c r="AN137" s="415">
        <v>1020</v>
      </c>
      <c r="AO137" s="415">
        <v>840</v>
      </c>
      <c r="AP137" s="415">
        <v>1060</v>
      </c>
      <c r="AQ137" s="369">
        <f>+SUM(AM137:AP137)</f>
        <v>3825</v>
      </c>
      <c r="AR137" s="31"/>
      <c r="AS137" s="415">
        <v>1255</v>
      </c>
      <c r="AT137" s="415">
        <v>1380</v>
      </c>
      <c r="AU137" s="415">
        <v>1400</v>
      </c>
      <c r="AV137" s="415">
        <v>1255</v>
      </c>
      <c r="AW137" s="369">
        <f>+SUM(AS137:AV137)</f>
        <v>5290</v>
      </c>
      <c r="AX137" s="31"/>
      <c r="AY137" s="415">
        <v>1540</v>
      </c>
      <c r="AZ137" s="415">
        <v>1335</v>
      </c>
      <c r="BA137" s="748">
        <v>1200</v>
      </c>
      <c r="BB137" s="415">
        <v>1400</v>
      </c>
      <c r="BC137" s="369">
        <f>+SUM(AY137:BB137)</f>
        <v>5475</v>
      </c>
      <c r="BD137" s="31"/>
      <c r="BE137" s="415">
        <v>1600</v>
      </c>
      <c r="BF137" s="415">
        <v>1760</v>
      </c>
      <c r="BG137" s="415">
        <v>1315</v>
      </c>
      <c r="BH137" s="415">
        <v>2280</v>
      </c>
      <c r="BI137" s="369">
        <f>+SUM(BE137:BH137)</f>
        <v>6955</v>
      </c>
      <c r="BJ137" s="31"/>
      <c r="BK137" s="415">
        <v>2280</v>
      </c>
      <c r="BL137" s="415">
        <v>3255</v>
      </c>
      <c r="BM137" s="415">
        <v>2820</v>
      </c>
      <c r="BN137" s="415">
        <v>2745</v>
      </c>
      <c r="BO137" s="369">
        <f>+SUM(BK137:BN137)</f>
        <v>11100</v>
      </c>
      <c r="BP137" s="31"/>
      <c r="BQ137" s="415">
        <v>2645</v>
      </c>
      <c r="BR137" s="657"/>
      <c r="BS137" s="657"/>
      <c r="BT137" s="42"/>
      <c r="BU137" s="42"/>
      <c r="BV137" s="31"/>
      <c r="BW137" s="42"/>
      <c r="BX137" s="42"/>
      <c r="BY137" s="42"/>
      <c r="BZ137" s="42"/>
      <c r="CA137" s="42"/>
      <c r="CB137" s="31"/>
      <c r="CC137" s="42"/>
      <c r="CD137" s="42"/>
      <c r="CE137" s="42"/>
      <c r="CF137" s="42"/>
      <c r="CG137" s="42"/>
    </row>
    <row r="138" spans="1:85" ht="12.75" customHeight="1" outlineLevel="1" x14ac:dyDescent="0.2">
      <c r="A138" s="230"/>
      <c r="B138" s="40" t="s">
        <v>161</v>
      </c>
      <c r="C138" s="48">
        <f>+SUM(C135:C137)</f>
        <v>1800</v>
      </c>
      <c r="D138" s="48">
        <f>+SUM(D135:D137)</f>
        <v>1900</v>
      </c>
      <c r="E138" s="48">
        <f>+SUM(E135:E137)</f>
        <v>1570</v>
      </c>
      <c r="F138" s="48">
        <f>+SUM(F135:F137)</f>
        <v>2080</v>
      </c>
      <c r="G138" s="367">
        <f>+SUM(G135:G137)</f>
        <v>7350</v>
      </c>
      <c r="H138" s="410"/>
      <c r="I138" s="367">
        <f>+SUM(I135:I137)</f>
        <v>1650</v>
      </c>
      <c r="J138" s="367">
        <f>+SUM(J135:J137)</f>
        <v>2330</v>
      </c>
      <c r="K138" s="367">
        <f>+SUM(K135:K137)</f>
        <v>1450</v>
      </c>
      <c r="L138" s="367">
        <f>+SUM(L135:L137)</f>
        <v>1940</v>
      </c>
      <c r="M138" s="367">
        <f>+SUM(M135:M137)</f>
        <v>7370</v>
      </c>
      <c r="N138" s="410"/>
      <c r="O138" s="367">
        <f>+SUM(O135:O137)</f>
        <v>1220</v>
      </c>
      <c r="P138" s="367">
        <f>+SUM(P135:P137)</f>
        <v>1480</v>
      </c>
      <c r="Q138" s="367">
        <f>+SUM(Q135:Q137)</f>
        <v>805</v>
      </c>
      <c r="R138" s="367">
        <f>+SUM(R135:R137)</f>
        <v>870</v>
      </c>
      <c r="S138" s="367">
        <f>+SUM(S135:S137)</f>
        <v>4375</v>
      </c>
      <c r="T138" s="410"/>
      <c r="U138" s="367">
        <f>+SUM(U135:U137)</f>
        <v>915</v>
      </c>
      <c r="V138" s="367">
        <f>+SUM(V135:V137)</f>
        <v>960</v>
      </c>
      <c r="W138" s="367">
        <f>+SUM(W135:W137)</f>
        <v>825</v>
      </c>
      <c r="X138" s="367">
        <f>+SUM(X135:X137)</f>
        <v>1235</v>
      </c>
      <c r="Y138" s="367">
        <f>+SUM(Y135:Y137)</f>
        <v>3935</v>
      </c>
      <c r="Z138" s="410"/>
      <c r="AA138" s="367">
        <f>+SUM(AA135:AA137)</f>
        <v>955</v>
      </c>
      <c r="AB138" s="367">
        <f>+SUM(AB135:AB137)</f>
        <v>1365</v>
      </c>
      <c r="AC138" s="367">
        <f>+SUM(AC135:AC137)</f>
        <v>1585</v>
      </c>
      <c r="AD138" s="367">
        <f>+SUM(AD135:AD137)</f>
        <v>1925</v>
      </c>
      <c r="AE138" s="367">
        <f>+SUM(AE135:AE137)</f>
        <v>5830</v>
      </c>
      <c r="AF138" s="31"/>
      <c r="AG138" s="367">
        <f>+SUM(AG135:AG137)</f>
        <v>1525</v>
      </c>
      <c r="AH138" s="367">
        <f>+SUM(AH135:AH137)</f>
        <v>2055</v>
      </c>
      <c r="AI138" s="367">
        <f>+SUM(AI135:AI137)</f>
        <v>1485</v>
      </c>
      <c r="AJ138" s="367">
        <f>+SUM(AJ135:AJ137)</f>
        <v>1775</v>
      </c>
      <c r="AK138" s="367">
        <f>+SUM(AK135:AK137)</f>
        <v>6840</v>
      </c>
      <c r="AL138" s="31"/>
      <c r="AM138" s="367">
        <f>+SUM(AM135:AM137)</f>
        <v>1660</v>
      </c>
      <c r="AN138" s="367">
        <f>+SUM(AN135:AN137)</f>
        <v>2150</v>
      </c>
      <c r="AO138" s="367">
        <f>+SUM(AO135:AO137)</f>
        <v>1635</v>
      </c>
      <c r="AP138" s="367">
        <f>+SUM(AP135:AP137)</f>
        <v>2520</v>
      </c>
      <c r="AQ138" s="367">
        <f>+SUM(AQ135:AQ137)</f>
        <v>7965</v>
      </c>
      <c r="AR138" s="31"/>
      <c r="AS138" s="367">
        <f>+SUM(AS135:AS137)</f>
        <v>1955</v>
      </c>
      <c r="AT138" s="367">
        <f>+SUM(AT135:AT137)</f>
        <v>2530</v>
      </c>
      <c r="AU138" s="367">
        <f>+SUM(AU135:AU137)</f>
        <v>2525</v>
      </c>
      <c r="AV138" s="367">
        <f>+SUM(AV135:AV137)</f>
        <v>2425</v>
      </c>
      <c r="AW138" s="367">
        <f>+SUM(AW135:AW137)</f>
        <v>9435</v>
      </c>
      <c r="AX138" s="31"/>
      <c r="AY138" s="367">
        <f>+SUM(AY135:AY137)</f>
        <v>2410.0000000000009</v>
      </c>
      <c r="AZ138" s="367">
        <f>+SUM(AZ135:AZ137)</f>
        <v>2455</v>
      </c>
      <c r="BA138" s="749">
        <f>+SUM(BA135:BA137)</f>
        <v>2260</v>
      </c>
      <c r="BB138" s="367">
        <f>+SUM(BB135:BB137)</f>
        <v>2670</v>
      </c>
      <c r="BC138" s="367">
        <f>+SUM(BC135:BC137)</f>
        <v>9795</v>
      </c>
      <c r="BD138" s="31"/>
      <c r="BE138" s="367">
        <f>+SUM(BE135:BE137)</f>
        <v>2470</v>
      </c>
      <c r="BF138" s="367">
        <f>+SUM(BF135:BF137)</f>
        <v>2885</v>
      </c>
      <c r="BG138" s="367">
        <f>+SUM(BG135:BG137)</f>
        <v>2615</v>
      </c>
      <c r="BH138" s="367">
        <f>+SUM(BH135:BH137)</f>
        <v>3700</v>
      </c>
      <c r="BI138" s="367">
        <f>+SUM(BI135:BI137)</f>
        <v>11670</v>
      </c>
      <c r="BJ138" s="31"/>
      <c r="BK138" s="367">
        <f>+SUM(BK135:BK137)</f>
        <v>3260</v>
      </c>
      <c r="BL138" s="367">
        <f>+SUM(BL135:BL137)</f>
        <v>4875</v>
      </c>
      <c r="BM138" s="367">
        <f>+SUM(BM135:BM137)</f>
        <v>4280</v>
      </c>
      <c r="BN138" s="367">
        <f>+SUM(BN135:BN137)</f>
        <v>4085</v>
      </c>
      <c r="BO138" s="367">
        <f>+SUM(BO135:BO137)</f>
        <v>16500</v>
      </c>
      <c r="BP138" s="31"/>
      <c r="BQ138" s="367">
        <f>+SUM(BQ135:BQ137)</f>
        <v>4245</v>
      </c>
      <c r="BR138" s="42"/>
      <c r="BS138" s="42"/>
      <c r="BT138" s="42"/>
      <c r="BU138" s="42"/>
      <c r="BV138" s="31"/>
      <c r="BW138" s="42"/>
      <c r="BX138" s="42"/>
      <c r="BY138" s="42"/>
      <c r="BZ138" s="42"/>
      <c r="CA138" s="42"/>
      <c r="CB138" s="31"/>
      <c r="CC138" s="42"/>
      <c r="CD138" s="42"/>
      <c r="CE138" s="42"/>
      <c r="CF138" s="42"/>
      <c r="CG138" s="42"/>
    </row>
    <row r="139" spans="1:85" ht="12.75" customHeight="1" outlineLevel="1" x14ac:dyDescent="0.2">
      <c r="A139" s="230"/>
      <c r="B139" s="290" t="s">
        <v>299</v>
      </c>
      <c r="C139" s="315"/>
      <c r="D139" s="315"/>
      <c r="E139" s="315"/>
      <c r="F139" s="315"/>
      <c r="G139" s="315"/>
      <c r="H139" s="115"/>
      <c r="I139" s="315">
        <f>IF(ISERROR(I138/C138-1),"NM",I138/C138-1)</f>
        <v>-8.333333333333337E-2</v>
      </c>
      <c r="J139" s="315">
        <f>IF(ISERROR(J138/D138-1),"NM",J138/D138-1)</f>
        <v>0.22631578947368425</v>
      </c>
      <c r="K139" s="315">
        <f>IF(ISERROR(K138/E138-1),"NM",K138/E138-1)</f>
        <v>-7.6433121019108263E-2</v>
      </c>
      <c r="L139" s="315">
        <f>IF(ISERROR(L138/F138-1),"NM",L138/F138-1)</f>
        <v>-6.7307692307692291E-2</v>
      </c>
      <c r="M139" s="315">
        <f>IF(ISERROR(M138/G138-1),"NM",M138/G138-1)</f>
        <v>2.7210884353741083E-3</v>
      </c>
      <c r="N139" s="115"/>
      <c r="O139" s="315">
        <f>IF(ISERROR(O138/I138-1),"NM",O138/I138-1)</f>
        <v>-0.26060606060606062</v>
      </c>
      <c r="P139" s="315">
        <f>IF(ISERROR(P138/J138-1),"NM",P138/J138-1)</f>
        <v>-0.36480686695278974</v>
      </c>
      <c r="Q139" s="315">
        <f>IF(ISERROR(Q138/K138-1),"NM",Q138/K138-1)</f>
        <v>-0.44482758620689655</v>
      </c>
      <c r="R139" s="315">
        <f>IF(ISERROR(R138/L138-1),"NM",R138/L138-1)</f>
        <v>-0.55154639175257736</v>
      </c>
      <c r="S139" s="315">
        <f>IF(ISERROR(S138/M138-1),"NM",S138/M138-1)</f>
        <v>-0.40637720488466755</v>
      </c>
      <c r="T139" s="115"/>
      <c r="U139" s="315">
        <f>IF(ISERROR(U138/O138-1),"NM",U138/O138-1)</f>
        <v>-0.25</v>
      </c>
      <c r="V139" s="315">
        <f>IF(ISERROR(V138/P138-1),"NM",V138/P138-1)</f>
        <v>-0.35135135135135132</v>
      </c>
      <c r="W139" s="315">
        <f>IF(ISERROR(W138/Q138-1),"NM",W138/Q138-1)</f>
        <v>2.4844720496894457E-2</v>
      </c>
      <c r="X139" s="315">
        <f>IF(ISERROR(X138/R138-1),"NM",X138/R138-1)</f>
        <v>0.41954022988505746</v>
      </c>
      <c r="Y139" s="315">
        <f>IF(ISERROR(Y138/S138-1),"NM",Y138/S138-1)</f>
        <v>-0.10057142857142853</v>
      </c>
      <c r="Z139" s="115"/>
      <c r="AA139" s="315">
        <f>IF(ISERROR(AA138/U138-1),"NM",AA138/U138-1)</f>
        <v>4.3715846994535568E-2</v>
      </c>
      <c r="AB139" s="315">
        <f>IF(ISERROR(AB138/V138-1),"NM",AB138/V138-1)</f>
        <v>0.421875</v>
      </c>
      <c r="AC139" s="315">
        <f>IF(ISERROR(AC138/W138-1),"NM",AC138/W138-1)</f>
        <v>0.92121212121212115</v>
      </c>
      <c r="AD139" s="315">
        <f>IF(ISERROR(AD138/X138-1),"NM",AD138/X138-1)</f>
        <v>0.55870445344129549</v>
      </c>
      <c r="AE139" s="315">
        <f>IF(ISERROR(AE138/Y138-1),"NM",AE138/Y138-1)</f>
        <v>0.48157560355781448</v>
      </c>
      <c r="AF139" s="115"/>
      <c r="AG139" s="315">
        <f>IF(ISERROR(AG138/AA138-1),"NM",AG138/AA138-1)</f>
        <v>0.59685863874345557</v>
      </c>
      <c r="AH139" s="315">
        <f>IF(ISERROR(AH138/AB138-1),"NM",AH138/AB138-1)</f>
        <v>0.50549450549450547</v>
      </c>
      <c r="AI139" s="315">
        <f>IF(ISERROR(AI138/AC138-1),"NM",AI138/AC138-1)</f>
        <v>-6.3091482649842323E-2</v>
      </c>
      <c r="AJ139" s="315">
        <f>IF(ISERROR(AJ138/AD138-1),"NM",AJ138/AD138-1)</f>
        <v>-7.7922077922077948E-2</v>
      </c>
      <c r="AK139" s="315">
        <f>IF(ISERROR(AK138/AE138-1),"NM",AK138/AE138-1)</f>
        <v>0.17324185248713553</v>
      </c>
      <c r="AL139" s="115"/>
      <c r="AM139" s="315">
        <f>IF(ISERROR(AM138/AG138-1),"NM",AM138/AG138-1)</f>
        <v>8.8524590163934436E-2</v>
      </c>
      <c r="AN139" s="315">
        <f>IF(ISERROR(AN138/AH138-1),"NM",AN138/AH138-1)</f>
        <v>4.6228710462287159E-2</v>
      </c>
      <c r="AO139" s="315">
        <f>IF(ISERROR(AO138/AI138-1),"NM",AO138/AI138-1)</f>
        <v>0.10101010101010099</v>
      </c>
      <c r="AP139" s="315">
        <f>IF(ISERROR(AP138/AJ138-1),"NM",AP138/AJ138-1)</f>
        <v>0.41971830985915504</v>
      </c>
      <c r="AQ139" s="315">
        <f>IF(ISERROR(AQ138/AK138-1),"NM",AQ138/AK138-1)</f>
        <v>0.16447368421052633</v>
      </c>
      <c r="AR139" s="115"/>
      <c r="AS139" s="315">
        <f>IF(ISERROR(AS138/AM138-1),"NM",AS138/AM138-1)</f>
        <v>0.17771084337349397</v>
      </c>
      <c r="AT139" s="315">
        <f>IF(ISERROR(AT138/AN138-1),"NM",AT138/AN138-1)</f>
        <v>0.17674418604651154</v>
      </c>
      <c r="AU139" s="315">
        <f>IF(ISERROR(AU138/AO138-1),"NM",AU138/AO138-1)</f>
        <v>0.54434250764525993</v>
      </c>
      <c r="AV139" s="315">
        <f>IF(ISERROR(AV138/AP138-1),"NM",AV138/AP138-1)</f>
        <v>-3.7698412698412676E-2</v>
      </c>
      <c r="AW139" s="315">
        <f>IF(ISERROR(AW138/AQ138-1),"NM",AW138/AQ138-1)</f>
        <v>0.18455743879472686</v>
      </c>
      <c r="AX139" s="115"/>
      <c r="AY139" s="315">
        <f>IF(ISERROR(AY138/AS138-1),"NM",AY138/AS138-1)</f>
        <v>0.23273657289002614</v>
      </c>
      <c r="AZ139" s="315">
        <f>IF(ISERROR(AZ138/AT138-1),"NM",AZ138/AT138-1)</f>
        <v>-2.9644268774703608E-2</v>
      </c>
      <c r="BA139" s="315">
        <f>IF(ISERROR(BA138/AU138-1),"NM",BA138/AU138-1)</f>
        <v>-0.10495049504950493</v>
      </c>
      <c r="BB139" s="315">
        <f>IF(ISERROR(BB138/AV138-1),"NM",BB138/AV138-1)</f>
        <v>0.10103092783505163</v>
      </c>
      <c r="BC139" s="315">
        <f>IF(ISERROR(BC138/AW138-1),"NM",BC138/AW138-1)</f>
        <v>3.8155802861685295E-2</v>
      </c>
      <c r="BD139" s="115"/>
      <c r="BE139" s="315">
        <f>IF(ISERROR(BE138/AY138-1),"NM",BE138/AY138-1)</f>
        <v>2.4896265560165665E-2</v>
      </c>
      <c r="BF139" s="315">
        <f>IF(ISERROR(BF138/AZ138-1),"NM",BF138/AZ138-1)</f>
        <v>0.17515274949083492</v>
      </c>
      <c r="BG139" s="315">
        <f>IF(ISERROR(BG138/BA138-1),"NM",BG138/BA138-1)</f>
        <v>0.15707964601769908</v>
      </c>
      <c r="BH139" s="315">
        <f>IF(ISERROR(BH138/BB138-1),"NM",BH138/BB138-1)</f>
        <v>0.38576779026217234</v>
      </c>
      <c r="BI139" s="315">
        <f>IF(ISERROR(BI138/BC138-1),"NM",BI138/BC138-1)</f>
        <v>0.19142419601837668</v>
      </c>
      <c r="BJ139" s="115"/>
      <c r="BK139" s="315">
        <f>IF(ISERROR(BK138/BE138-1),"NM",BK138/BE138-1)</f>
        <v>0.31983805668016196</v>
      </c>
      <c r="BL139" s="315">
        <f>IF(ISERROR(BL138/BF138-1),"NM",BL138/BF138-1)</f>
        <v>0.68977469670710567</v>
      </c>
      <c r="BM139" s="315">
        <f>IF(ISERROR(BM138/BG138-1),"NM",BM138/BG138-1)</f>
        <v>0.63671128107074559</v>
      </c>
      <c r="BN139" s="315">
        <f>IF(ISERROR(BN138/BH138-1),"NM",BN138/BH138-1)</f>
        <v>0.10405405405405399</v>
      </c>
      <c r="BO139" s="315">
        <f>IF(ISERROR(BO138/BI138-1),"NM",BO138/BI138-1)</f>
        <v>0.41388174807197942</v>
      </c>
      <c r="BP139" s="115"/>
      <c r="BQ139" s="315">
        <f>IF(ISERROR(BQ138/BK138-1),"NM",BQ138/BK138-1)</f>
        <v>0.3021472392638036</v>
      </c>
      <c r="BR139" s="318"/>
      <c r="BS139" s="318"/>
      <c r="BT139" s="318"/>
      <c r="BU139" s="316"/>
      <c r="BV139" s="115"/>
      <c r="BW139" s="318"/>
      <c r="BX139" s="318"/>
      <c r="BY139" s="318"/>
      <c r="BZ139" s="318"/>
      <c r="CA139" s="316"/>
      <c r="CB139" s="115"/>
      <c r="CC139" s="318"/>
      <c r="CD139" s="318"/>
      <c r="CE139" s="318"/>
      <c r="CF139" s="318"/>
      <c r="CG139" s="316"/>
    </row>
    <row r="140" spans="1:85" ht="3" customHeight="1" outlineLevel="1" x14ac:dyDescent="0.2">
      <c r="A140" s="230"/>
      <c r="B140" s="290"/>
      <c r="C140" s="315"/>
      <c r="D140" s="315"/>
      <c r="E140" s="315"/>
      <c r="F140" s="315"/>
      <c r="G140" s="315"/>
      <c r="H140" s="186"/>
      <c r="I140" s="315"/>
      <c r="J140" s="315"/>
      <c r="K140" s="315"/>
      <c r="L140" s="315"/>
      <c r="M140" s="315"/>
      <c r="N140" s="186"/>
      <c r="O140" s="315"/>
      <c r="P140" s="315"/>
      <c r="Q140" s="315"/>
      <c r="R140" s="315"/>
      <c r="S140" s="315"/>
      <c r="T140" s="186"/>
      <c r="U140" s="315"/>
      <c r="V140" s="315"/>
      <c r="W140" s="315"/>
      <c r="X140" s="315"/>
      <c r="Y140" s="315"/>
      <c r="Z140" s="186"/>
      <c r="AA140" s="315"/>
      <c r="AB140" s="315"/>
      <c r="AC140" s="315"/>
      <c r="AD140" s="315"/>
      <c r="AE140" s="315"/>
      <c r="AF140" s="186"/>
      <c r="AG140" s="315"/>
      <c r="AH140" s="315"/>
      <c r="AI140" s="315"/>
      <c r="AJ140" s="315"/>
      <c r="AK140" s="315"/>
      <c r="AL140" s="186"/>
      <c r="AM140" s="315"/>
      <c r="AN140" s="315"/>
      <c r="AO140" s="315"/>
      <c r="AP140" s="315"/>
      <c r="AQ140" s="315"/>
      <c r="AR140" s="186"/>
      <c r="AS140" s="315"/>
      <c r="AT140" s="315"/>
      <c r="AU140" s="315"/>
      <c r="AV140" s="315"/>
      <c r="AW140" s="315"/>
      <c r="AX140" s="186"/>
      <c r="AY140" s="315"/>
      <c r="AZ140" s="315"/>
      <c r="BA140" s="315"/>
      <c r="BB140" s="315"/>
      <c r="BC140" s="315"/>
      <c r="BD140" s="186"/>
      <c r="BE140" s="315"/>
      <c r="BF140" s="315"/>
      <c r="BG140" s="315"/>
      <c r="BH140" s="315"/>
      <c r="BI140" s="315"/>
      <c r="BJ140" s="186"/>
      <c r="BK140" s="315"/>
      <c r="BL140" s="315"/>
      <c r="BM140" s="315"/>
      <c r="BN140" s="315"/>
      <c r="BO140" s="315"/>
      <c r="BP140" s="186"/>
      <c r="BQ140" s="315"/>
      <c r="BR140" s="315"/>
      <c r="BS140" s="315"/>
      <c r="BT140" s="315"/>
      <c r="BU140" s="315"/>
      <c r="BV140" s="186"/>
      <c r="BW140" s="315"/>
      <c r="BX140" s="315"/>
      <c r="BY140" s="315"/>
      <c r="BZ140" s="315"/>
      <c r="CA140" s="315"/>
      <c r="CB140" s="186"/>
      <c r="CC140" s="315"/>
      <c r="CD140" s="315"/>
      <c r="CE140" s="315"/>
      <c r="CF140" s="315"/>
      <c r="CG140" s="315"/>
    </row>
    <row r="141" spans="1:85" ht="12.75" customHeight="1" outlineLevel="1" x14ac:dyDescent="0.2">
      <c r="A141" s="230"/>
      <c r="B141" s="40" t="s">
        <v>193</v>
      </c>
      <c r="C141" s="42"/>
      <c r="D141" s="42"/>
      <c r="E141" s="42"/>
      <c r="F141" s="42"/>
      <c r="G141" s="42"/>
      <c r="H141" s="31"/>
      <c r="I141" s="42"/>
      <c r="J141" s="42"/>
      <c r="K141" s="42"/>
      <c r="L141" s="42"/>
      <c r="M141" s="42"/>
      <c r="N141" s="31"/>
      <c r="O141" s="42"/>
      <c r="P141" s="42"/>
      <c r="Q141" s="42"/>
      <c r="R141" s="42"/>
      <c r="S141" s="42"/>
      <c r="T141" s="31"/>
      <c r="U141" s="42"/>
      <c r="V141" s="42"/>
      <c r="W141" s="42"/>
      <c r="X141" s="42"/>
      <c r="Y141" s="42"/>
      <c r="Z141" s="31"/>
      <c r="AA141" s="42"/>
      <c r="AB141" s="42"/>
      <c r="AC141" s="42"/>
      <c r="AD141" s="42"/>
      <c r="AE141" s="42"/>
      <c r="AF141" s="31"/>
      <c r="AG141" s="42"/>
      <c r="AH141" s="42"/>
      <c r="AI141" s="42"/>
      <c r="AJ141" s="42"/>
      <c r="AK141" s="42"/>
      <c r="AL141" s="31"/>
      <c r="AM141" s="42"/>
      <c r="AN141" s="42"/>
      <c r="AO141" s="42"/>
      <c r="AP141" s="42"/>
      <c r="AQ141" s="42"/>
      <c r="AR141" s="31"/>
      <c r="AS141" s="42"/>
      <c r="AT141" s="42"/>
      <c r="AU141" s="42"/>
      <c r="AV141" s="42"/>
      <c r="AW141" s="42"/>
      <c r="AX141" s="31"/>
      <c r="AY141" s="42"/>
      <c r="AZ141" s="42"/>
      <c r="BA141" s="42"/>
      <c r="BB141" s="42"/>
      <c r="BC141" s="42"/>
      <c r="BD141" s="31"/>
      <c r="BE141" s="42"/>
      <c r="BF141" s="42"/>
      <c r="BG141" s="42"/>
      <c r="BH141" s="42"/>
      <c r="BI141" s="42"/>
      <c r="BJ141" s="31"/>
      <c r="BK141" s="42"/>
      <c r="BL141" s="42"/>
      <c r="BM141" s="42"/>
      <c r="BN141" s="42"/>
      <c r="BO141" s="42"/>
      <c r="BP141" s="31"/>
      <c r="BQ141" s="42"/>
      <c r="BR141" s="42"/>
      <c r="BS141" s="42"/>
      <c r="BT141" s="42"/>
      <c r="BU141" s="42"/>
      <c r="BV141" s="31"/>
      <c r="BW141" s="42"/>
      <c r="BX141" s="42"/>
      <c r="BY141" s="42"/>
      <c r="BZ141" s="42"/>
      <c r="CA141" s="42"/>
      <c r="CB141" s="31"/>
      <c r="CC141" s="42"/>
      <c r="CD141" s="42"/>
      <c r="CE141" s="42"/>
      <c r="CF141" s="42"/>
      <c r="CG141" s="42"/>
    </row>
    <row r="142" spans="1:85" ht="12.75" customHeight="1" outlineLevel="1" x14ac:dyDescent="0.2">
      <c r="A142" s="230"/>
      <c r="B142" s="32" t="str">
        <f>+B135</f>
        <v>NA Ortho</v>
      </c>
      <c r="C142" s="369"/>
      <c r="D142" s="369">
        <f t="shared" ref="D142:F144" si="203">(D45-C45)*1000-D135</f>
        <v>99.999999999999744</v>
      </c>
      <c r="E142" s="369">
        <f t="shared" si="203"/>
        <v>-179.99999999999986</v>
      </c>
      <c r="F142" s="369">
        <f t="shared" si="203"/>
        <v>-149.99999999999983</v>
      </c>
      <c r="G142" s="369">
        <f>+SUM(C142:F142)</f>
        <v>-229.99999999999994</v>
      </c>
      <c r="H142" s="410"/>
      <c r="I142" s="369">
        <f>(I45-F45)*1000-I135</f>
        <v>-59.999999999999964</v>
      </c>
      <c r="J142" s="369">
        <f t="shared" ref="J142:L144" si="204">(J45-I45)*1000-J135</f>
        <v>-50.000000000000178</v>
      </c>
      <c r="K142" s="369">
        <f t="shared" si="204"/>
        <v>-90</v>
      </c>
      <c r="L142" s="369">
        <f t="shared" si="204"/>
        <v>-120.00000000000006</v>
      </c>
      <c r="M142" s="369">
        <f>+SUM(I142:L142)</f>
        <v>-320.00000000000023</v>
      </c>
      <c r="N142" s="410"/>
      <c r="O142" s="369">
        <f>(O45-L45)*1000-O135</f>
        <v>-75</v>
      </c>
      <c r="P142" s="369">
        <f t="shared" ref="P142:R144" si="205">(P45-O45)*1000-P135</f>
        <v>15.000000000000071</v>
      </c>
      <c r="Q142" s="369">
        <f t="shared" si="205"/>
        <v>9.9999999999999716</v>
      </c>
      <c r="R142" s="369">
        <f t="shared" si="205"/>
        <v>110.00000000000014</v>
      </c>
      <c r="S142" s="369">
        <f>+SUM(O142:R142)</f>
        <v>60.000000000000185</v>
      </c>
      <c r="T142" s="410"/>
      <c r="U142" s="369">
        <f>(U45-R45)*1000-U135</f>
        <v>-55.000000000000426</v>
      </c>
      <c r="V142" s="369">
        <f t="shared" ref="V142:X144" si="206">(V45-U45)*1000-V135</f>
        <v>-109.99999999999946</v>
      </c>
      <c r="W142" s="369">
        <f t="shared" si="206"/>
        <v>-110.00000000000034</v>
      </c>
      <c r="X142" s="369">
        <f t="shared" si="206"/>
        <v>-119.99999999999993</v>
      </c>
      <c r="Y142" s="369">
        <f>+SUM(U142:X142)</f>
        <v>-395.00000000000017</v>
      </c>
      <c r="Z142" s="410"/>
      <c r="AA142" s="369">
        <f>(AA45-X45)*1000-AA135</f>
        <v>135.0000000000004</v>
      </c>
      <c r="AB142" s="369">
        <f t="shared" ref="AB142:AD144" si="207">(AB45-AA45)*1000-AB135</f>
        <v>-70.000000000000213</v>
      </c>
      <c r="AC142" s="369">
        <f t="shared" si="207"/>
        <v>-3.5527136788005009E-13</v>
      </c>
      <c r="AD142" s="369">
        <f t="shared" si="207"/>
        <v>-79.999999999999545</v>
      </c>
      <c r="AE142" s="369">
        <f>+SUM(AA142:AD142)</f>
        <v>-14.999999999999716</v>
      </c>
      <c r="AF142" s="31"/>
      <c r="AG142" s="369">
        <f>(AG45-AD45)*1000-AG135</f>
        <v>89.999999999999716</v>
      </c>
      <c r="AH142" s="369">
        <f t="shared" ref="AH142:AJ144" si="208">(AH45-AG45)*1000-AH135</f>
        <v>25.000000000000213</v>
      </c>
      <c r="AI142" s="369">
        <f t="shared" si="208"/>
        <v>-40.000000000000028</v>
      </c>
      <c r="AJ142" s="369">
        <f t="shared" si="208"/>
        <v>-119.99999999999993</v>
      </c>
      <c r="AK142" s="369">
        <f>+SUM(AG142:AJ142)</f>
        <v>-45.000000000000028</v>
      </c>
      <c r="AL142" s="31"/>
      <c r="AM142" s="369">
        <f>(AM45-AJ45)*1000-AM135</f>
        <v>79.999999999999574</v>
      </c>
      <c r="AN142" s="369">
        <f t="shared" ref="AN142:AP144" si="209">(AN45-AM45)*1000-AN135</f>
        <v>65.000000000000597</v>
      </c>
      <c r="AO142" s="369">
        <f t="shared" si="209"/>
        <v>-60.000000000000639</v>
      </c>
      <c r="AP142" s="369">
        <f t="shared" si="209"/>
        <v>-15.000000000000142</v>
      </c>
      <c r="AQ142" s="369">
        <f>+SUM(AM142:AP142)</f>
        <v>69.999999999999389</v>
      </c>
      <c r="AR142" s="31"/>
      <c r="AS142" s="369">
        <f>(AS45-AP45)*1000-AS135</f>
        <v>75.000000000000568</v>
      </c>
      <c r="AT142" s="369">
        <f t="shared" ref="AT142:AV144" si="210">(AT45-AS45)*1000-AT135</f>
        <v>-115</v>
      </c>
      <c r="AU142" s="369">
        <f t="shared" si="210"/>
        <v>-84.999999999999744</v>
      </c>
      <c r="AV142" s="369">
        <f t="shared" si="210"/>
        <v>-61.937209302326721</v>
      </c>
      <c r="AW142" s="369">
        <f>+SUM(AS142:AV142)</f>
        <v>-186.9372093023259</v>
      </c>
      <c r="AX142" s="31"/>
      <c r="AY142" s="369">
        <f>(AY45-AV45)*1000-AY135</f>
        <v>-22.557194534052655</v>
      </c>
      <c r="AZ142" s="369">
        <f t="shared" ref="AZ142:BB144" si="211">(AZ45-AY45)*1000-AZ135</f>
        <v>-157.44425753536976</v>
      </c>
      <c r="BA142" s="369">
        <f t="shared" si="211"/>
        <v>-239.52549346783047</v>
      </c>
      <c r="BB142" s="369">
        <f t="shared" si="211"/>
        <v>-262.59742006142</v>
      </c>
      <c r="BC142" s="369">
        <f>+SUM(AY142:BB142)</f>
        <v>-682.12436559867297</v>
      </c>
      <c r="BD142" s="31"/>
      <c r="BE142" s="369">
        <f>(BE45-BB45)*1000-BE135</f>
        <v>-205.62625586752557</v>
      </c>
      <c r="BF142" s="369">
        <f t="shared" ref="BF142:BH144" si="212">(BF45-BE45)*1000-BF135</f>
        <v>-170.3396324495875</v>
      </c>
      <c r="BG142" s="369">
        <f t="shared" si="212"/>
        <v>-358.2935883033029</v>
      </c>
      <c r="BH142" s="369">
        <f t="shared" si="212"/>
        <v>89.999999999999488</v>
      </c>
      <c r="BI142" s="369">
        <f>+SUM(BE142:BH142)</f>
        <v>-644.25947662041654</v>
      </c>
      <c r="BJ142" s="31"/>
      <c r="BK142" s="369">
        <f>(BK45-BH45)*1000-BK135</f>
        <v>-219.99999999999946</v>
      </c>
      <c r="BL142" s="369">
        <f t="shared" ref="BL142:BL144" si="213">(BL45-BK45)*1000-BL135</f>
        <v>-300.00000000000034</v>
      </c>
      <c r="BM142" s="369">
        <f t="shared" ref="BM142:BM144" si="214">(BM45-BL45)*1000-BM135</f>
        <v>-499.99999999999966</v>
      </c>
      <c r="BN142" s="369">
        <f t="shared" ref="BN142:BN144" si="215">(BN45-BM45)*1000-BN135</f>
        <v>-450.00000000000068</v>
      </c>
      <c r="BO142" s="369">
        <f>+SUM(BK142:BN142)</f>
        <v>-1470</v>
      </c>
      <c r="BP142" s="31"/>
      <c r="BQ142" s="369">
        <f>(BQ45-BN45)*1000-BQ135</f>
        <v>-499.99999999999983</v>
      </c>
      <c r="BR142" s="42"/>
      <c r="BS142" s="42"/>
      <c r="BT142" s="42"/>
      <c r="BU142" s="42"/>
      <c r="BV142" s="31"/>
      <c r="BW142" s="42"/>
      <c r="BX142" s="42"/>
      <c r="BY142" s="42"/>
      <c r="BZ142" s="42"/>
      <c r="CA142" s="42"/>
      <c r="CB142" s="31"/>
      <c r="CC142" s="42"/>
      <c r="CD142" s="42"/>
      <c r="CE142" s="42"/>
      <c r="CF142" s="42"/>
      <c r="CG142" s="42"/>
    </row>
    <row r="143" spans="1:85" ht="12.75" customHeight="1" outlineLevel="1" x14ac:dyDescent="0.2">
      <c r="A143" s="230"/>
      <c r="B143" s="32" t="str">
        <f>+B136</f>
        <v>NA GP Dentists</v>
      </c>
      <c r="C143" s="369"/>
      <c r="D143" s="369">
        <f t="shared" si="203"/>
        <v>-99.999999999999545</v>
      </c>
      <c r="E143" s="369">
        <f t="shared" si="203"/>
        <v>-1120.0000000000005</v>
      </c>
      <c r="F143" s="369">
        <f t="shared" si="203"/>
        <v>-1660.0000000000002</v>
      </c>
      <c r="G143" s="369">
        <f>+SUM(C143:F143)</f>
        <v>-2880</v>
      </c>
      <c r="H143" s="410"/>
      <c r="I143" s="369">
        <f>(I46-F46)*1000-I136</f>
        <v>-549.99999999999864</v>
      </c>
      <c r="J143" s="369">
        <f t="shared" si="204"/>
        <v>-1240.0000000000011</v>
      </c>
      <c r="K143" s="369">
        <f t="shared" si="204"/>
        <v>-1139.9999999999995</v>
      </c>
      <c r="L143" s="369">
        <f t="shared" si="204"/>
        <v>-1520.0000000000002</v>
      </c>
      <c r="M143" s="369">
        <f>+SUM(I143:L143)</f>
        <v>-4449.9999999999991</v>
      </c>
      <c r="N143" s="410"/>
      <c r="O143" s="369">
        <f>(O46-L46)*1000-O136</f>
        <v>-949.99999999999977</v>
      </c>
      <c r="P143" s="369">
        <f t="shared" si="205"/>
        <v>-894.9999999999992</v>
      </c>
      <c r="Q143" s="369">
        <f t="shared" si="205"/>
        <v>0</v>
      </c>
      <c r="R143" s="369">
        <f t="shared" si="205"/>
        <v>-435.00000000000034</v>
      </c>
      <c r="S143" s="369">
        <f>+SUM(O143:R143)</f>
        <v>-2279.9999999999995</v>
      </c>
      <c r="T143" s="410"/>
      <c r="U143" s="369">
        <f>(U46-R46)*1000-U136</f>
        <v>-500.00000000000051</v>
      </c>
      <c r="V143" s="369">
        <f t="shared" si="206"/>
        <v>-1095.0000000000002</v>
      </c>
      <c r="W143" s="369">
        <f t="shared" si="206"/>
        <v>-644.99999999999932</v>
      </c>
      <c r="X143" s="369">
        <f t="shared" si="206"/>
        <v>-1100.0000000000005</v>
      </c>
      <c r="Y143" s="369">
        <f>+SUM(U143:X143)</f>
        <v>-3340.0000000000005</v>
      </c>
      <c r="Z143" s="410"/>
      <c r="AA143" s="369">
        <f>(AA46-X46)*1000-AA136</f>
        <v>-64.999999999999659</v>
      </c>
      <c r="AB143" s="369">
        <f t="shared" si="207"/>
        <v>-350.00000000000085</v>
      </c>
      <c r="AC143" s="369">
        <f t="shared" si="207"/>
        <v>-255</v>
      </c>
      <c r="AD143" s="369">
        <f t="shared" si="207"/>
        <v>-1019.9999999999991</v>
      </c>
      <c r="AE143" s="369">
        <f>+SUM(AA143:AD143)</f>
        <v>-1689.9999999999995</v>
      </c>
      <c r="AF143" s="31"/>
      <c r="AG143" s="369">
        <f>(AG46-AD46)*1000-AG136</f>
        <v>-229.99999999999977</v>
      </c>
      <c r="AH143" s="369">
        <f t="shared" si="208"/>
        <v>-245.00000000000102</v>
      </c>
      <c r="AI143" s="369">
        <f t="shared" si="208"/>
        <v>-869.99999999999852</v>
      </c>
      <c r="AJ143" s="369">
        <f t="shared" si="208"/>
        <v>-1160.0000000000002</v>
      </c>
      <c r="AK143" s="369">
        <f>+SUM(AG143:AJ143)</f>
        <v>-2504.9999999999995</v>
      </c>
      <c r="AL143" s="31"/>
      <c r="AM143" s="369">
        <f>(AM46-AJ46)*1000-AM136</f>
        <v>144.99999999999909</v>
      </c>
      <c r="AN143" s="369">
        <f t="shared" si="209"/>
        <v>-404.99999999999875</v>
      </c>
      <c r="AO143" s="369">
        <f t="shared" si="209"/>
        <v>-665.00000000000091</v>
      </c>
      <c r="AP143" s="369">
        <f t="shared" si="209"/>
        <v>-1089.9999999999995</v>
      </c>
      <c r="AQ143" s="369">
        <f>+SUM(AM143:AP143)</f>
        <v>-2015</v>
      </c>
      <c r="AR143" s="31"/>
      <c r="AS143" s="369">
        <f>(AS46-AP46)*1000-AS136</f>
        <v>-254.9999999999992</v>
      </c>
      <c r="AT143" s="369">
        <f t="shared" si="210"/>
        <v>-545.00000000000159</v>
      </c>
      <c r="AU143" s="369">
        <f t="shared" si="210"/>
        <v>-994.99999999999943</v>
      </c>
      <c r="AV143" s="369">
        <f t="shared" si="210"/>
        <v>-1137.7586206896544</v>
      </c>
      <c r="AW143" s="369">
        <f>+SUM(AS143:AV143)</f>
        <v>-2932.7586206896549</v>
      </c>
      <c r="AX143" s="31"/>
      <c r="AY143" s="369">
        <f>(AY46-AV46)*1000-AY136</f>
        <v>-202.74697547396664</v>
      </c>
      <c r="AZ143" s="369">
        <f t="shared" si="211"/>
        <v>207.44425753537143</v>
      </c>
      <c r="BA143" s="369">
        <f t="shared" si="211"/>
        <v>-891.74768539588854</v>
      </c>
      <c r="BB143" s="369">
        <f t="shared" si="211"/>
        <v>-441.94699975335215</v>
      </c>
      <c r="BC143" s="369">
        <f>+SUM(AY143:BB143)</f>
        <v>-1328.9974030878359</v>
      </c>
      <c r="BD143" s="31"/>
      <c r="BE143" s="369">
        <f>(BE46-BB46)*1000-BE136</f>
        <v>-138.64937846098644</v>
      </c>
      <c r="BF143" s="369">
        <f t="shared" si="212"/>
        <v>-734.27354624010786</v>
      </c>
      <c r="BG143" s="369">
        <f t="shared" si="212"/>
        <v>-1016.9999999999994</v>
      </c>
      <c r="BH143" s="369">
        <f t="shared" si="212"/>
        <v>-710.00000000000136</v>
      </c>
      <c r="BI143" s="369">
        <f>+SUM(BE143:BH143)</f>
        <v>-2599.9229247010953</v>
      </c>
      <c r="BJ143" s="31"/>
      <c r="BK143" s="369">
        <f>(BK46-BH46)*1000-BK136</f>
        <v>-149.99999999999841</v>
      </c>
      <c r="BL143" s="369">
        <f t="shared" si="213"/>
        <v>-535.00000000000125</v>
      </c>
      <c r="BM143" s="369">
        <f t="shared" si="214"/>
        <v>-810</v>
      </c>
      <c r="BN143" s="369">
        <f t="shared" si="215"/>
        <v>-369.99999999999977</v>
      </c>
      <c r="BO143" s="369">
        <f>+SUM(BK143:BN143)</f>
        <v>-1864.9999999999993</v>
      </c>
      <c r="BP143" s="31"/>
      <c r="BQ143" s="369">
        <f>(BQ46-BN46)*1000-BQ136</f>
        <v>639.99999999999909</v>
      </c>
      <c r="BR143" s="42"/>
      <c r="BS143" s="42"/>
      <c r="BT143" s="42"/>
      <c r="BU143" s="42"/>
      <c r="BV143" s="31"/>
      <c r="BW143" s="42"/>
      <c r="BX143" s="42"/>
      <c r="BY143" s="42"/>
      <c r="BZ143" s="42"/>
      <c r="CA143" s="42"/>
      <c r="CB143" s="31"/>
      <c r="CC143" s="42"/>
      <c r="CD143" s="42"/>
      <c r="CE143" s="42"/>
      <c r="CF143" s="42"/>
      <c r="CG143" s="42"/>
    </row>
    <row r="144" spans="1:85" ht="12.75" customHeight="1" outlineLevel="1" x14ac:dyDescent="0.2">
      <c r="A144" s="230"/>
      <c r="B144" s="32" t="str">
        <f>+B137</f>
        <v>International</v>
      </c>
      <c r="C144" s="369"/>
      <c r="D144" s="369">
        <f t="shared" si="203"/>
        <v>0</v>
      </c>
      <c r="E144" s="369">
        <f t="shared" si="203"/>
        <v>-229.99999999999974</v>
      </c>
      <c r="F144" s="369">
        <f t="shared" si="203"/>
        <v>-320.00000000000028</v>
      </c>
      <c r="G144" s="369">
        <f>+SUM(C144:F144)</f>
        <v>-550</v>
      </c>
      <c r="H144" s="410"/>
      <c r="I144" s="369">
        <f>(I47-F47)*1000-I137</f>
        <v>-279.99999999999989</v>
      </c>
      <c r="J144" s="369">
        <f t="shared" si="204"/>
        <v>-319.99999999999977</v>
      </c>
      <c r="K144" s="369">
        <f t="shared" si="204"/>
        <v>-340.00000000000023</v>
      </c>
      <c r="L144" s="369">
        <f t="shared" si="204"/>
        <v>-259.99999999999977</v>
      </c>
      <c r="M144" s="369">
        <f>+SUM(I144:L144)</f>
        <v>-1199.9999999999995</v>
      </c>
      <c r="N144" s="410"/>
      <c r="O144" s="369">
        <f>(O47-L47)*1000-O137</f>
        <v>-420.00000000000028</v>
      </c>
      <c r="P144" s="369">
        <f t="shared" si="205"/>
        <v>-200.00000000000006</v>
      </c>
      <c r="Q144" s="369">
        <f t="shared" si="205"/>
        <v>-214.9999999999996</v>
      </c>
      <c r="R144" s="369">
        <f t="shared" si="205"/>
        <v>-285</v>
      </c>
      <c r="S144" s="369">
        <f>+SUM(O144:R144)</f>
        <v>-1120</v>
      </c>
      <c r="T144" s="410"/>
      <c r="U144" s="369">
        <f>(U47-R47)*1000-U137</f>
        <v>-585</v>
      </c>
      <c r="V144" s="369">
        <f t="shared" si="206"/>
        <v>234.99999999999989</v>
      </c>
      <c r="W144" s="369">
        <f t="shared" si="206"/>
        <v>-194.99999999999994</v>
      </c>
      <c r="X144" s="369">
        <f t="shared" si="206"/>
        <v>-560.00000000000045</v>
      </c>
      <c r="Y144" s="369">
        <f>+SUM(U144:X144)</f>
        <v>-1105.0000000000005</v>
      </c>
      <c r="Z144" s="410"/>
      <c r="AA144" s="369">
        <f>(AA47-X47)*1000-AA137</f>
        <v>-194.99999999999937</v>
      </c>
      <c r="AB144" s="369">
        <f t="shared" si="207"/>
        <v>-410.00000000000057</v>
      </c>
      <c r="AC144" s="369">
        <f t="shared" si="207"/>
        <v>-525</v>
      </c>
      <c r="AD144" s="369">
        <f t="shared" si="207"/>
        <v>-765</v>
      </c>
      <c r="AE144" s="369">
        <f>+SUM(AA144:AD144)</f>
        <v>-1895</v>
      </c>
      <c r="AF144" s="31"/>
      <c r="AG144" s="369">
        <f>(AG47-AD47)*1000-AG137</f>
        <v>-424.99999999999994</v>
      </c>
      <c r="AH144" s="369">
        <f t="shared" si="208"/>
        <v>-569.99999999999955</v>
      </c>
      <c r="AI144" s="369">
        <f t="shared" si="208"/>
        <v>-765.00000000000011</v>
      </c>
      <c r="AJ144" s="369">
        <f t="shared" si="208"/>
        <v>-465.00000000000051</v>
      </c>
      <c r="AK144" s="369">
        <f>+SUM(AG144:AJ144)</f>
        <v>-2225</v>
      </c>
      <c r="AL144" s="31"/>
      <c r="AM144" s="369">
        <f>(AM47-AJ47)*1000-AM137</f>
        <v>-780</v>
      </c>
      <c r="AN144" s="369">
        <f t="shared" si="209"/>
        <v>-504.99999999999943</v>
      </c>
      <c r="AO144" s="369">
        <f t="shared" si="209"/>
        <v>-685.00000000000068</v>
      </c>
      <c r="AP144" s="369">
        <f t="shared" si="209"/>
        <v>-645</v>
      </c>
      <c r="AQ144" s="369">
        <f>+SUM(AM144:AP144)</f>
        <v>-2615</v>
      </c>
      <c r="AR144" s="31"/>
      <c r="AS144" s="369">
        <f>(AS47-AP47)*1000-AS137</f>
        <v>-995.00000000000023</v>
      </c>
      <c r="AT144" s="369">
        <f t="shared" si="210"/>
        <v>-880</v>
      </c>
      <c r="AU144" s="369">
        <f t="shared" si="210"/>
        <v>-1134.9999999999995</v>
      </c>
      <c r="AV144" s="369">
        <f t="shared" si="210"/>
        <v>-259.99999999999989</v>
      </c>
      <c r="AW144" s="369">
        <f>+SUM(AS144:AV144)</f>
        <v>-3270</v>
      </c>
      <c r="AX144" s="31"/>
      <c r="AY144" s="369">
        <f>(AY47-AV47)*1000-AY137</f>
        <v>-1434.9999999999995</v>
      </c>
      <c r="AZ144" s="369">
        <f t="shared" si="211"/>
        <v>-595.00000000000159</v>
      </c>
      <c r="BA144" s="369">
        <f t="shared" si="211"/>
        <v>-839.99999999999886</v>
      </c>
      <c r="BB144" s="369">
        <f t="shared" si="211"/>
        <v>-685.00000000000011</v>
      </c>
      <c r="BC144" s="369">
        <f>+SUM(AY144:BB144)</f>
        <v>-3555</v>
      </c>
      <c r="BD144" s="31"/>
      <c r="BE144" s="369">
        <f>(BE47-BB47)*1000-BE137</f>
        <v>-1185.0000000000061</v>
      </c>
      <c r="BF144" s="369">
        <f t="shared" si="212"/>
        <v>-554.99999999999113</v>
      </c>
      <c r="BG144" s="369">
        <f t="shared" si="212"/>
        <v>-1100.0000000000036</v>
      </c>
      <c r="BH144" s="369">
        <f t="shared" si="212"/>
        <v>-1344.9999999999995</v>
      </c>
      <c r="BI144" s="369">
        <f>+SUM(BE144:BH144)</f>
        <v>-4185</v>
      </c>
      <c r="BJ144" s="31"/>
      <c r="BK144" s="369">
        <f>(BK47-BH47)*1000-BK137</f>
        <v>-959.99999999999977</v>
      </c>
      <c r="BL144" s="369">
        <f t="shared" si="213"/>
        <v>-1639.9999999999998</v>
      </c>
      <c r="BM144" s="369">
        <f t="shared" si="214"/>
        <v>-1629.9999999999986</v>
      </c>
      <c r="BN144" s="369">
        <f t="shared" si="215"/>
        <v>-885.00000000000045</v>
      </c>
      <c r="BO144" s="369">
        <f>+SUM(BK144:BN144)</f>
        <v>-5114.9999999999982</v>
      </c>
      <c r="BP144" s="31"/>
      <c r="BQ144" s="369">
        <f>(BQ47-BN47)*1000-BQ137</f>
        <v>-2565.0000000000018</v>
      </c>
      <c r="BR144" s="42"/>
      <c r="BS144" s="42"/>
      <c r="BT144" s="42"/>
      <c r="BU144" s="42"/>
      <c r="BV144" s="31"/>
      <c r="BW144" s="42"/>
      <c r="BX144" s="42"/>
      <c r="BY144" s="42"/>
      <c r="BZ144" s="42"/>
      <c r="CA144" s="42"/>
      <c r="CB144" s="31"/>
      <c r="CC144" s="42"/>
      <c r="CD144" s="42"/>
      <c r="CE144" s="42"/>
      <c r="CF144" s="42"/>
      <c r="CG144" s="42"/>
    </row>
    <row r="145" spans="1:85" ht="12.75" customHeight="1" outlineLevel="1" x14ac:dyDescent="0.2">
      <c r="A145" s="230"/>
      <c r="B145" s="40" t="s">
        <v>85</v>
      </c>
      <c r="C145" s="367"/>
      <c r="D145" s="367">
        <f>+SUM(D142:D144)</f>
        <v>1.9895196601282805E-13</v>
      </c>
      <c r="E145" s="367">
        <f>+SUM(E142:E144)</f>
        <v>-1530</v>
      </c>
      <c r="F145" s="367">
        <f>+SUM(F142:F144)</f>
        <v>-2130.0000000000005</v>
      </c>
      <c r="G145" s="367">
        <f>+SUM(G142:G144)</f>
        <v>-3660</v>
      </c>
      <c r="H145" s="410"/>
      <c r="I145" s="367">
        <f>+SUM(I142:I144)</f>
        <v>-889.99999999999852</v>
      </c>
      <c r="J145" s="367">
        <f>+SUM(J142:J144)</f>
        <v>-1610.0000000000011</v>
      </c>
      <c r="K145" s="367">
        <f>+SUM(K142:K144)</f>
        <v>-1569.9999999999998</v>
      </c>
      <c r="L145" s="367">
        <f>+SUM(L142:L144)</f>
        <v>-1900</v>
      </c>
      <c r="M145" s="367">
        <f>+SUM(M142:M144)</f>
        <v>-5969.9999999999982</v>
      </c>
      <c r="N145" s="410"/>
      <c r="O145" s="367">
        <f>+SUM(O142:O144)</f>
        <v>-1445</v>
      </c>
      <c r="P145" s="367">
        <f>+SUM(P142:P144)</f>
        <v>-1079.9999999999991</v>
      </c>
      <c r="Q145" s="367">
        <f>+SUM(Q142:Q144)</f>
        <v>-204.99999999999963</v>
      </c>
      <c r="R145" s="367">
        <f>+SUM(R142:R144)</f>
        <v>-610.00000000000023</v>
      </c>
      <c r="S145" s="367">
        <f>+SUM(S142:S144)</f>
        <v>-3339.9999999999995</v>
      </c>
      <c r="T145" s="410"/>
      <c r="U145" s="367">
        <f>+SUM(U142:U144)</f>
        <v>-1140.0000000000009</v>
      </c>
      <c r="V145" s="367">
        <f>+SUM(V142:V144)</f>
        <v>-969.99999999999989</v>
      </c>
      <c r="W145" s="367">
        <f>+SUM(W142:W144)</f>
        <v>-949.99999999999955</v>
      </c>
      <c r="X145" s="367">
        <f>+SUM(X142:X144)</f>
        <v>-1780.0000000000009</v>
      </c>
      <c r="Y145" s="367">
        <f>+SUM(Y142:Y144)</f>
        <v>-4840.0000000000009</v>
      </c>
      <c r="Z145" s="410"/>
      <c r="AA145" s="367">
        <f>+SUM(AA142:AA144)</f>
        <v>-124.99999999999864</v>
      </c>
      <c r="AB145" s="367">
        <f>+SUM(AB142:AB144)</f>
        <v>-830.00000000000159</v>
      </c>
      <c r="AC145" s="367">
        <f>+SUM(AC142:AC144)</f>
        <v>-780.00000000000034</v>
      </c>
      <c r="AD145" s="367">
        <f>+SUM(AD142:AD144)</f>
        <v>-1864.9999999999986</v>
      </c>
      <c r="AE145" s="367">
        <f>+SUM(AE142:AE144)</f>
        <v>-3599.9999999999991</v>
      </c>
      <c r="AF145" s="31"/>
      <c r="AG145" s="367">
        <f>+SUM(AG142:AG144)</f>
        <v>-565</v>
      </c>
      <c r="AH145" s="367">
        <f>+SUM(AH142:AH144)</f>
        <v>-790.00000000000034</v>
      </c>
      <c r="AI145" s="367">
        <f>+SUM(AI142:AI144)</f>
        <v>-1674.9999999999986</v>
      </c>
      <c r="AJ145" s="367">
        <f>+SUM(AJ142:AJ144)</f>
        <v>-1745.0000000000007</v>
      </c>
      <c r="AK145" s="367">
        <f>+SUM(AK142:AK144)</f>
        <v>-4775</v>
      </c>
      <c r="AL145" s="31"/>
      <c r="AM145" s="367">
        <f>+SUM(AM142:AM144)</f>
        <v>-555.00000000000136</v>
      </c>
      <c r="AN145" s="367">
        <f>+SUM(AN142:AN144)</f>
        <v>-844.99999999999761</v>
      </c>
      <c r="AO145" s="367">
        <f>+SUM(AO142:AO144)</f>
        <v>-1410.0000000000023</v>
      </c>
      <c r="AP145" s="367">
        <f>+SUM(AP142:AP144)</f>
        <v>-1749.9999999999998</v>
      </c>
      <c r="AQ145" s="367">
        <f>+SUM(AQ142:AQ144)</f>
        <v>-4560.0000000000009</v>
      </c>
      <c r="AR145" s="31"/>
      <c r="AS145" s="367">
        <f>+SUM(AS142:AS144)</f>
        <v>-1174.9999999999989</v>
      </c>
      <c r="AT145" s="367">
        <f>+SUM(AT142:AT144)</f>
        <v>-1540.0000000000016</v>
      </c>
      <c r="AU145" s="367">
        <f>+SUM(AU142:AU144)</f>
        <v>-2214.9999999999986</v>
      </c>
      <c r="AV145" s="367">
        <f>+SUM(AV142:AV144)</f>
        <v>-1459.6958299919811</v>
      </c>
      <c r="AW145" s="367">
        <f>+SUM(AW142:AW144)</f>
        <v>-6389.6958299919806</v>
      </c>
      <c r="AX145" s="31"/>
      <c r="AY145" s="367">
        <f>+SUM(AY142:AY144)</f>
        <v>-1660.3041700080189</v>
      </c>
      <c r="AZ145" s="367">
        <f>+SUM(AZ142:AZ144)</f>
        <v>-544.99999999999989</v>
      </c>
      <c r="BA145" s="367">
        <f>+SUM(BA142:BA144)</f>
        <v>-1971.2731788637179</v>
      </c>
      <c r="BB145" s="367">
        <f>+SUM(BB142:BB144)</f>
        <v>-1389.5444198147723</v>
      </c>
      <c r="BC145" s="367">
        <f>+SUM(BC142:BC144)</f>
        <v>-5566.1217686865093</v>
      </c>
      <c r="BD145" s="31"/>
      <c r="BE145" s="367">
        <f>+SUM(BE142:BE144)</f>
        <v>-1529.2756343285182</v>
      </c>
      <c r="BF145" s="367">
        <f>+SUM(BF142:BF144)</f>
        <v>-1459.6131786896865</v>
      </c>
      <c r="BG145" s="367">
        <f>+SUM(BG142:BG144)</f>
        <v>-2475.293588303306</v>
      </c>
      <c r="BH145" s="367">
        <f>+SUM(BH142:BH144)</f>
        <v>-1965.0000000000014</v>
      </c>
      <c r="BI145" s="367">
        <f>+SUM(BI142:BI144)</f>
        <v>-7429.1824013215119</v>
      </c>
      <c r="BJ145" s="31"/>
      <c r="BK145" s="367">
        <f>+SUM(BK142:BK144)</f>
        <v>-1329.9999999999977</v>
      </c>
      <c r="BL145" s="367">
        <f>+SUM(BL142:BL144)</f>
        <v>-2475.0000000000014</v>
      </c>
      <c r="BM145" s="367">
        <f>+SUM(BM142:BM144)</f>
        <v>-2939.9999999999982</v>
      </c>
      <c r="BN145" s="367">
        <f>+SUM(BN142:BN144)</f>
        <v>-1705.0000000000009</v>
      </c>
      <c r="BO145" s="367">
        <f>+SUM(BO142:BO144)</f>
        <v>-8449.9999999999964</v>
      </c>
      <c r="BP145" s="31"/>
      <c r="BQ145" s="367">
        <f>+SUM(BQ142:BQ144)</f>
        <v>-2425.0000000000027</v>
      </c>
      <c r="BR145" s="42"/>
      <c r="BS145" s="42"/>
      <c r="BT145" s="42"/>
      <c r="BU145" s="42"/>
      <c r="BV145" s="31"/>
      <c r="BW145" s="42"/>
      <c r="BX145" s="42"/>
      <c r="BY145" s="42"/>
      <c r="BZ145" s="42"/>
      <c r="CA145" s="42"/>
      <c r="CB145" s="31"/>
      <c r="CC145" s="42"/>
      <c r="CD145" s="42"/>
      <c r="CE145" s="42"/>
      <c r="CF145" s="42"/>
      <c r="CG145" s="42"/>
    </row>
    <row r="146" spans="1:85" ht="4.5" customHeight="1" outlineLevel="1" x14ac:dyDescent="0.2">
      <c r="A146" s="42"/>
      <c r="B146" s="42"/>
      <c r="C146" s="42"/>
      <c r="D146" s="42"/>
      <c r="E146" s="42"/>
      <c r="F146" s="42"/>
      <c r="G146" s="42"/>
      <c r="H146" s="42"/>
      <c r="I146" s="42"/>
      <c r="J146" s="42"/>
      <c r="K146" s="42"/>
      <c r="L146" s="42"/>
      <c r="M146" s="42"/>
      <c r="N146" s="42"/>
      <c r="O146" s="42"/>
      <c r="P146" s="42"/>
      <c r="Q146" s="42"/>
      <c r="R146" s="42"/>
      <c r="S146" s="42"/>
      <c r="T146" s="42"/>
      <c r="U146" s="42"/>
      <c r="V146" s="42"/>
      <c r="W146" s="42"/>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c r="AW146" s="42"/>
      <c r="AX146" s="42"/>
      <c r="AY146" s="42"/>
      <c r="AZ146" s="42"/>
      <c r="BA146" s="42"/>
      <c r="BB146" s="42"/>
      <c r="BC146" s="42"/>
      <c r="BD146" s="42"/>
      <c r="BE146" s="42"/>
      <c r="BF146" s="42"/>
      <c r="BG146" s="42"/>
      <c r="BH146" s="42"/>
      <c r="BI146" s="42"/>
    </row>
    <row r="147" spans="1:85" x14ac:dyDescent="0.2">
      <c r="A147" s="42"/>
      <c r="B147" s="293" t="s">
        <v>332</v>
      </c>
      <c r="C147" s="42"/>
      <c r="D147" s="42"/>
      <c r="E147" s="42"/>
      <c r="F147" s="42"/>
      <c r="G147" s="42"/>
      <c r="H147" s="42"/>
      <c r="I147" s="42"/>
      <c r="J147" s="42"/>
      <c r="K147" s="42"/>
      <c r="L147" s="42"/>
      <c r="M147" s="42"/>
      <c r="N147" s="42"/>
      <c r="O147" s="42"/>
      <c r="P147" s="42"/>
      <c r="Q147" s="42"/>
      <c r="R147" s="42"/>
      <c r="S147" s="42"/>
      <c r="T147" s="42"/>
      <c r="U147" s="42"/>
      <c r="V147" s="42"/>
      <c r="W147" s="42"/>
      <c r="X147" s="42"/>
      <c r="Y147" s="42"/>
      <c r="Z147" s="42"/>
      <c r="AA147" s="42"/>
      <c r="AB147" s="42"/>
      <c r="AC147" s="42"/>
      <c r="AD147" s="42"/>
      <c r="AE147" s="42"/>
      <c r="AF147" s="42"/>
      <c r="AG147" s="42"/>
      <c r="AH147" s="42"/>
      <c r="AI147" s="42"/>
      <c r="AJ147" s="42"/>
      <c r="AK147" s="42"/>
      <c r="AL147" s="42"/>
      <c r="AM147" s="42"/>
      <c r="AN147" s="42"/>
      <c r="AO147" s="42"/>
      <c r="AP147" s="42"/>
      <c r="AQ147" s="42"/>
      <c r="AR147" s="42"/>
      <c r="AS147" s="42"/>
      <c r="AT147" s="42"/>
      <c r="AU147" s="42"/>
      <c r="AV147" s="42"/>
      <c r="AW147" s="42"/>
      <c r="AX147" s="42"/>
      <c r="BB147" s="42"/>
      <c r="BC147" s="42"/>
      <c r="BD147" s="42"/>
    </row>
    <row r="148" spans="1:85" x14ac:dyDescent="0.2">
      <c r="A148" s="42"/>
      <c r="B148" s="32" t="s">
        <v>377</v>
      </c>
      <c r="C148" s="42"/>
      <c r="D148" s="42"/>
      <c r="E148" s="42"/>
      <c r="F148" s="42"/>
      <c r="G148" s="42"/>
      <c r="H148" s="42"/>
      <c r="I148" s="614">
        <f>+'P&amp;L'!I14</f>
        <v>55.167999999999992</v>
      </c>
      <c r="J148" s="614">
        <f>+'P&amp;L'!J14</f>
        <v>59.659000000000006</v>
      </c>
      <c r="K148" s="614">
        <f>+'P&amp;L'!K14</f>
        <v>56.407000000000004</v>
      </c>
      <c r="L148" s="614">
        <f>+'P&amp;L'!L14</f>
        <v>53.892000000000003</v>
      </c>
      <c r="M148" s="614">
        <f>+'P&amp;L'!M14</f>
        <v>225.126</v>
      </c>
      <c r="N148" s="614"/>
      <c r="O148" s="614">
        <f>+'P&amp;L'!O14</f>
        <v>52.706999999999994</v>
      </c>
      <c r="P148" s="614">
        <f>+'P&amp;L'!P14</f>
        <v>57.978000000000009</v>
      </c>
      <c r="Q148" s="614">
        <f>+'P&amp;L'!Q14</f>
        <v>60.907000000000004</v>
      </c>
      <c r="R148" s="614">
        <f>+'P&amp;L'!R14</f>
        <v>68.064999999999969</v>
      </c>
      <c r="S148" s="614">
        <f>+'P&amp;L'!S14</f>
        <v>239.65699999999998</v>
      </c>
      <c r="T148" s="614"/>
      <c r="U148" s="614">
        <f>+'P&amp;L'!U14</f>
        <v>70.537000000000006</v>
      </c>
      <c r="V148" s="614">
        <f>+'P&amp;L'!V14</f>
        <v>72.72</v>
      </c>
      <c r="W148" s="614">
        <f>+'P&amp;L'!W14</f>
        <v>74.933000000000007</v>
      </c>
      <c r="X148" s="614">
        <f>+'P&amp;L'!X14</f>
        <v>71.755999999999972</v>
      </c>
      <c r="Y148" s="614">
        <f>+'P&amp;L'!Y14</f>
        <v>289.94599999999997</v>
      </c>
      <c r="Z148" s="614"/>
      <c r="AA148" s="614">
        <f>+'P&amp;L'!AA15</f>
        <v>82.225999999999999</v>
      </c>
      <c r="AB148" s="614">
        <f>+'P&amp;L'!AB15</f>
        <v>89.287999999999997</v>
      </c>
      <c r="AC148" s="614">
        <f>+'P&amp;L'!AC15</f>
        <v>89.839799999999997</v>
      </c>
      <c r="AD148" s="614">
        <f>+'P&amp;L'!AD15</f>
        <v>93.574300000000008</v>
      </c>
      <c r="AE148" s="614">
        <f>+'P&amp;L'!AE15</f>
        <v>354.7</v>
      </c>
      <c r="AF148" s="614"/>
      <c r="AG148" s="614">
        <f>+'P&amp;L'!AG15</f>
        <v>97.388999999999996</v>
      </c>
      <c r="AH148" s="614">
        <f>+'P&amp;L'!AH15</f>
        <v>105.61700000000002</v>
      </c>
      <c r="AI148" s="614">
        <f>+'P&amp;L'!AI15</f>
        <v>98.333999999999975</v>
      </c>
      <c r="AJ148" s="614">
        <f>+'P&amp;L'!AJ15</f>
        <v>104.63000000000001</v>
      </c>
      <c r="AK148" s="614">
        <f>+'P&amp;L'!AK15</f>
        <v>405.97</v>
      </c>
      <c r="AL148" s="614"/>
      <c r="AM148" s="614">
        <f>+'P&amp;L'!AM15</f>
        <v>109.327</v>
      </c>
      <c r="AN148" s="614">
        <f>+'P&amp;L'!AN15</f>
        <v>120.124</v>
      </c>
      <c r="AO148" s="614">
        <f>+'P&amp;L'!AO15</f>
        <v>122.66299999999998</v>
      </c>
      <c r="AP148" s="614">
        <f>+'P&amp;L'!AP15</f>
        <v>132.721</v>
      </c>
      <c r="AQ148" s="614">
        <f>+'P&amp;L'!AQ15</f>
        <v>484.83499999999998</v>
      </c>
      <c r="AR148" s="614"/>
      <c r="AS148" s="614">
        <f>+'P&amp;L'!AS15</f>
        <v>133.083</v>
      </c>
      <c r="AT148" s="614">
        <f>+'P&amp;L'!AT15</f>
        <v>141.70299999999997</v>
      </c>
      <c r="AU148" s="614">
        <f>+'P&amp;L'!AU15</f>
        <v>141.11700000000002</v>
      </c>
      <c r="AV148" s="614">
        <f>+'P&amp;L'!AV15</f>
        <v>146.98600000000002</v>
      </c>
      <c r="AW148" s="614">
        <f>+'P&amp;L'!AW15</f>
        <v>562.88900000000001</v>
      </c>
      <c r="AX148" s="614"/>
      <c r="AY148" s="614">
        <f>+'P&amp;L'!AY15</f>
        <v>147.95999999999998</v>
      </c>
      <c r="AZ148" s="614">
        <f>+'P&amp;L'!AZ15</f>
        <v>157.32000000000002</v>
      </c>
      <c r="BA148" s="614">
        <f>+'P&amp;L'!BA15</f>
        <v>156.20499999999998</v>
      </c>
      <c r="BB148" s="614">
        <f>+'P&amp;L'!BB15</f>
        <v>166.685</v>
      </c>
      <c r="BC148" s="614">
        <f>+'P&amp;L'!BC15</f>
        <v>628.16999999999996</v>
      </c>
      <c r="BD148" s="614"/>
      <c r="BE148" s="614">
        <f>+'P&amp;L'!BE15</f>
        <v>172.06700000000001</v>
      </c>
      <c r="BF148" s="614">
        <f>+'P&amp;L'!BF15</f>
        <v>191.32600000000002</v>
      </c>
      <c r="BG148" s="614">
        <f>+'P&amp;L'!BG15</f>
        <v>189.27</v>
      </c>
      <c r="BH148" s="614">
        <f>+'P&amp;L'!BH15</f>
        <v>194.83100000000002</v>
      </c>
      <c r="BI148" s="614">
        <f>+'P&amp;L'!BI15</f>
        <v>747.49400000000003</v>
      </c>
      <c r="BK148" s="614">
        <f>+'P&amp;L'!BK15</f>
        <v>219.947</v>
      </c>
      <c r="BL148" s="614">
        <f>+'P&amp;L'!BL15</f>
        <v>250.81400000000002</v>
      </c>
      <c r="BM148" s="614">
        <f>+'P&amp;L'!BM15</f>
        <v>266.28499999999997</v>
      </c>
      <c r="BN148" s="614">
        <f>+'P&amp;L'!BN15</f>
        <v>282.517</v>
      </c>
      <c r="BO148" s="614">
        <f>+'P&amp;L'!BO15</f>
        <v>1019.5630000000001</v>
      </c>
      <c r="BQ148" s="614">
        <f>+'P&amp;L'!BQ15</f>
        <v>296.976</v>
      </c>
      <c r="BR148" s="614">
        <f>+'P&amp;L'!BR15</f>
        <v>336.42199127750621</v>
      </c>
      <c r="BS148" s="614">
        <f>+'P&amp;L'!BS15</f>
        <v>342.41128864905767</v>
      </c>
      <c r="BT148" s="614">
        <f>+'P&amp;L'!BT15</f>
        <v>364.67266859304789</v>
      </c>
      <c r="BU148" s="614">
        <f>+'P&amp;L'!BU15</f>
        <v>1340.4819485196117</v>
      </c>
      <c r="BW148" s="614">
        <f>+'P&amp;L'!BW15</f>
        <v>368.04428955909907</v>
      </c>
      <c r="BX148" s="614">
        <f>+'P&amp;L'!BX15</f>
        <v>430.79416346732717</v>
      </c>
      <c r="BY148" s="614">
        <f>+'P&amp;L'!BY15</f>
        <v>434.65370635644945</v>
      </c>
      <c r="BZ148" s="614">
        <f>+'P&amp;L'!BZ15</f>
        <v>462.3436903036536</v>
      </c>
      <c r="CA148" s="614">
        <f>+'P&amp;L'!CA15</f>
        <v>1695.8358496865294</v>
      </c>
      <c r="CC148" s="614">
        <f>+'P&amp;L'!CC15</f>
        <v>440.86766460736953</v>
      </c>
      <c r="CD148" s="614">
        <f>+'P&amp;L'!CD15</f>
        <v>508.68287954012857</v>
      </c>
      <c r="CE148" s="614">
        <f>+'P&amp;L'!CE15</f>
        <v>513.0126004269955</v>
      </c>
      <c r="CF148" s="614">
        <f>+'P&amp;L'!CF15</f>
        <v>542.20816088883498</v>
      </c>
      <c r="CG148" s="614">
        <f>+'P&amp;L'!CG15</f>
        <v>2004.7713054633286</v>
      </c>
    </row>
    <row r="149" spans="1:85" x14ac:dyDescent="0.2">
      <c r="A149" s="42"/>
      <c r="B149" s="32" t="s">
        <v>383</v>
      </c>
      <c r="C149" s="42"/>
      <c r="D149" s="42"/>
      <c r="E149" s="42"/>
      <c r="F149" s="42"/>
      <c r="G149" s="42"/>
      <c r="H149" s="42"/>
      <c r="I149" s="614">
        <f>+ALGN!I29</f>
        <v>3.1405919999999998</v>
      </c>
      <c r="J149" s="614">
        <f>+ALGN!J29</f>
        <v>3.4357859999999998</v>
      </c>
      <c r="K149" s="614">
        <f>+ALGN!K29</f>
        <v>2.6</v>
      </c>
      <c r="L149" s="614">
        <f>+ALGN!L29</f>
        <v>3.2236220000000007</v>
      </c>
      <c r="M149" s="614">
        <f>+SUM(I149:L149)</f>
        <v>12.4</v>
      </c>
      <c r="N149" s="614"/>
      <c r="O149" s="614">
        <f>+ALGN!O29</f>
        <v>3.8572600000000001</v>
      </c>
      <c r="P149" s="614">
        <f>+ALGN!P29</f>
        <v>4.9605400000000008</v>
      </c>
      <c r="Q149" s="614">
        <f>+ALGN!Q29</f>
        <v>4.201257</v>
      </c>
      <c r="R149" s="614">
        <f>+ALGN!R29</f>
        <v>4.1575680000000004</v>
      </c>
      <c r="S149" s="614">
        <f>+ALGN!S29</f>
        <v>17.133000000000017</v>
      </c>
      <c r="T149" s="614"/>
      <c r="U149" s="614">
        <f>+ALGN!U29</f>
        <v>4.6900000000000093</v>
      </c>
      <c r="V149" s="614">
        <f>+ALGN!V29</f>
        <v>5.3979999999999908</v>
      </c>
      <c r="W149" s="614">
        <f>+ALGN!W29</f>
        <v>4.8469999999999969</v>
      </c>
      <c r="X149" s="614">
        <f>+ALGN!X29</f>
        <v>5.3929999999999954</v>
      </c>
      <c r="Y149" s="614">
        <f>+ALGN!Y29</f>
        <v>20.327999999999996</v>
      </c>
      <c r="Z149" s="614"/>
      <c r="AA149" s="614">
        <f>+ALGN!AA29</f>
        <v>5.3559999999999892</v>
      </c>
      <c r="AB149" s="614">
        <f>+ALGN!AB29</f>
        <v>6</v>
      </c>
      <c r="AC149" s="614">
        <f>+ALGN!AC29</f>
        <v>6.3</v>
      </c>
      <c r="AD149" s="614">
        <f>+ALGN!AD29</f>
        <v>7.1</v>
      </c>
      <c r="AE149" s="614">
        <f>+ALGN!AE29</f>
        <v>24.755999999999986</v>
      </c>
      <c r="AF149" s="614"/>
      <c r="AG149" s="614">
        <f>+ALGN!AG29</f>
        <v>6.7569999999999997</v>
      </c>
      <c r="AH149" s="614">
        <f>+ALGN!AH29</f>
        <v>7.7889999999999997</v>
      </c>
      <c r="AI149" s="614">
        <f>+ALGN!AI29</f>
        <v>7.4569999999999999</v>
      </c>
      <c r="AJ149" s="614">
        <f>+ALGN!AJ29</f>
        <v>8.66</v>
      </c>
      <c r="AK149" s="614">
        <f>+ALGN!AK29</f>
        <v>30.663</v>
      </c>
      <c r="AL149" s="614"/>
      <c r="AM149" s="614">
        <f>+ALGN!AM29</f>
        <v>12.709</v>
      </c>
      <c r="AN149" s="614">
        <f>+ALGN!AN29</f>
        <v>10.766</v>
      </c>
      <c r="AO149" s="614">
        <f>+ALGN!AO29</f>
        <v>10.679</v>
      </c>
      <c r="AP149" s="614">
        <f>+ALGN!AP29</f>
        <v>10.57</v>
      </c>
      <c r="AQ149" s="614">
        <f>+ALGN!AQ29</f>
        <v>44.724000000000004</v>
      </c>
      <c r="AR149" s="614"/>
      <c r="AS149" s="614">
        <f>+ALGN!AS29</f>
        <v>10.481</v>
      </c>
      <c r="AT149" s="614">
        <f>+ALGN!AT29</f>
        <v>12.099</v>
      </c>
      <c r="AU149" s="614">
        <f>+ALGN!AU29</f>
        <v>11.35</v>
      </c>
      <c r="AV149" s="614">
        <f>+ALGN!AV29</f>
        <v>12.3</v>
      </c>
      <c r="AW149" s="614">
        <f>+ALGN!AW29</f>
        <v>46.230000000000004</v>
      </c>
      <c r="AX149" s="614"/>
      <c r="AY149" s="614">
        <f>+ALGN!AY29</f>
        <v>12.265000000000001</v>
      </c>
      <c r="AZ149" s="614">
        <f>+ALGN!AZ29</f>
        <v>12.784000000000001</v>
      </c>
      <c r="BA149" s="614">
        <f>+ALGN!BA29</f>
        <v>12.942</v>
      </c>
      <c r="BB149" s="614">
        <f>+ALGN!BB29</f>
        <v>13.404999999999999</v>
      </c>
      <c r="BC149" s="614">
        <f>+ALGN!BC29</f>
        <v>51.396000000000001</v>
      </c>
      <c r="BD149" s="614"/>
      <c r="BE149" s="614">
        <f>+ALGN!BE29</f>
        <v>14.148999999999999</v>
      </c>
      <c r="BF149" s="614">
        <f>+ALGN!BF29</f>
        <v>15.824</v>
      </c>
      <c r="BG149" s="614">
        <f>+ALGN!BG29</f>
        <v>15.564</v>
      </c>
      <c r="BH149" s="614">
        <f>+ALGN!BH29</f>
        <v>17.468</v>
      </c>
      <c r="BI149" s="614">
        <f>+ALGN!BI29</f>
        <v>63.004999999999995</v>
      </c>
      <c r="BK149" s="614">
        <f>+ALGN!BK29</f>
        <v>17.942</v>
      </c>
      <c r="BL149" s="614">
        <f>+ALGN!BL29</f>
        <v>20.588000000000001</v>
      </c>
      <c r="BM149" s="614">
        <f>+ALGN!BM29</f>
        <v>21.21</v>
      </c>
      <c r="BN149" s="614">
        <f>+ALGN!BN29</f>
        <v>21.968</v>
      </c>
      <c r="BO149" s="614">
        <f>+ALGN!BO29</f>
        <v>81.707999999999998</v>
      </c>
      <c r="BQ149" s="614">
        <f>+ALGN!BQ29</f>
        <v>24.216000000000001</v>
      </c>
      <c r="BR149" s="614">
        <f>+ALGN!BR29</f>
        <v>24.808540000000004</v>
      </c>
      <c r="BS149" s="614">
        <f>+ALGN!BS29</f>
        <v>24.921750000000003</v>
      </c>
      <c r="BT149" s="614">
        <f>+ALGN!BT29</f>
        <v>25.702559999999998</v>
      </c>
      <c r="BU149" s="614">
        <f>+ALGN!BU29</f>
        <v>99.64885000000001</v>
      </c>
      <c r="BW149" s="614">
        <f>+ALGN!BW29</f>
        <v>27.848399999999998</v>
      </c>
      <c r="BX149" s="614">
        <f>+ALGN!BX29</f>
        <v>28.529821000000002</v>
      </c>
      <c r="BY149" s="614">
        <f>+ALGN!BY29</f>
        <v>28.660012500000001</v>
      </c>
      <c r="BZ149" s="614">
        <f>+ALGN!BZ29</f>
        <v>29.557943999999996</v>
      </c>
      <c r="CA149" s="614">
        <f>+ALGN!CA29</f>
        <v>114.59617749999998</v>
      </c>
      <c r="CC149" s="614">
        <f>+ALGN!CC29</f>
        <v>32.025659999999995</v>
      </c>
      <c r="CD149" s="614">
        <f>+ALGN!CD29</f>
        <v>32.809294149999999</v>
      </c>
      <c r="CE149" s="614">
        <f>+ALGN!CE29</f>
        <v>32.959014374999995</v>
      </c>
      <c r="CF149" s="614">
        <f>+ALGN!CF29</f>
        <v>33.991635599999995</v>
      </c>
      <c r="CG149" s="614">
        <f>+ALGN!CG29</f>
        <v>131.78560412499996</v>
      </c>
    </row>
    <row r="150" spans="1:85" x14ac:dyDescent="0.2">
      <c r="A150" s="42"/>
      <c r="B150" s="32" t="s">
        <v>384</v>
      </c>
      <c r="C150" s="615">
        <v>0</v>
      </c>
      <c r="D150" s="42"/>
      <c r="E150" s="42"/>
      <c r="F150" s="42"/>
      <c r="G150" s="42"/>
      <c r="H150" s="42"/>
      <c r="I150" s="368">
        <f>+I149*$C$150</f>
        <v>0</v>
      </c>
      <c r="J150" s="368">
        <f>+J149*$C$150</f>
        <v>0</v>
      </c>
      <c r="K150" s="368">
        <f>+K149*$C$150</f>
        <v>0</v>
      </c>
      <c r="L150" s="368">
        <f>+L149*$C$150</f>
        <v>0</v>
      </c>
      <c r="M150" s="369">
        <f>+M149*$C$150</f>
        <v>0</v>
      </c>
      <c r="N150" s="410"/>
      <c r="O150" s="368">
        <f>+O149*$C$150</f>
        <v>0</v>
      </c>
      <c r="P150" s="368">
        <f>+P149*$C$150</f>
        <v>0</v>
      </c>
      <c r="Q150" s="368">
        <f>+Q149*$C$150</f>
        <v>0</v>
      </c>
      <c r="R150" s="368">
        <f>+R149*$C$150</f>
        <v>0</v>
      </c>
      <c r="S150" s="369">
        <f>+S149*$C$150</f>
        <v>0</v>
      </c>
      <c r="T150" s="410"/>
      <c r="U150" s="368">
        <f>+U149*$C$150</f>
        <v>0</v>
      </c>
      <c r="V150" s="368">
        <f>+V149*$C$150</f>
        <v>0</v>
      </c>
      <c r="W150" s="368">
        <f>+W149*$C$150</f>
        <v>0</v>
      </c>
      <c r="X150" s="368">
        <f>+X149*$C$150</f>
        <v>0</v>
      </c>
      <c r="Y150" s="369">
        <f>+Y149*$C$150</f>
        <v>0</v>
      </c>
      <c r="Z150" s="410"/>
      <c r="AA150" s="415">
        <f>+AA149*$C$150</f>
        <v>0</v>
      </c>
      <c r="AB150" s="415">
        <f>+AB149*$C$150</f>
        <v>0</v>
      </c>
      <c r="AC150" s="415">
        <f>+AC149*$C$150</f>
        <v>0</v>
      </c>
      <c r="AD150" s="415">
        <f>+AD149*$C$150</f>
        <v>0</v>
      </c>
      <c r="AE150" s="369">
        <f>+AE149*$C$150</f>
        <v>0</v>
      </c>
      <c r="AF150" s="31"/>
      <c r="AG150" s="415">
        <f>+AG149*$C$150</f>
        <v>0</v>
      </c>
      <c r="AH150" s="415">
        <f>+AH149*$C$150</f>
        <v>0</v>
      </c>
      <c r="AI150" s="415">
        <f>+AI149*$C$150</f>
        <v>0</v>
      </c>
      <c r="AJ150" s="415">
        <f>+AJ149*$C$150</f>
        <v>0</v>
      </c>
      <c r="AK150" s="369">
        <f>+AK149*$C$150</f>
        <v>0</v>
      </c>
      <c r="AL150" s="31"/>
      <c r="AM150" s="415">
        <v>1.1000000000000001</v>
      </c>
      <c r="AN150" s="415">
        <f>+AN149*$C$150</f>
        <v>0</v>
      </c>
      <c r="AO150" s="415">
        <v>-1.1000000000000001</v>
      </c>
      <c r="AP150" s="415">
        <v>-2.6</v>
      </c>
      <c r="AQ150" s="369">
        <f>+AP150+AO150+AM150</f>
        <v>-2.6</v>
      </c>
      <c r="AR150" s="31"/>
      <c r="AS150" s="415">
        <f>+AS149*$C$150</f>
        <v>0</v>
      </c>
      <c r="AT150" s="415">
        <f>+AT149*$C$150</f>
        <v>0</v>
      </c>
      <c r="AU150" s="415">
        <f>+AU149*$C$150</f>
        <v>0</v>
      </c>
      <c r="AV150" s="415">
        <f>+AV149*$C$150</f>
        <v>0</v>
      </c>
      <c r="AW150" s="369">
        <f>SUM(AS150:AV150)</f>
        <v>0</v>
      </c>
      <c r="AX150" s="616"/>
      <c r="AY150" s="415">
        <f>+AY149*$C$150</f>
        <v>0</v>
      </c>
      <c r="AZ150" s="415">
        <f>+AZ149*$C$150</f>
        <v>0</v>
      </c>
      <c r="BA150" s="415">
        <f>+BA149*$C$150</f>
        <v>0</v>
      </c>
      <c r="BB150" s="415">
        <f>+BB149*$C$150</f>
        <v>0</v>
      </c>
      <c r="BC150" s="369">
        <f>+BC149*$C$150</f>
        <v>0</v>
      </c>
      <c r="BD150" s="616"/>
      <c r="BE150" s="415">
        <f>+BE149*$C$150</f>
        <v>0</v>
      </c>
      <c r="BF150" s="415">
        <f>+BF149*$C$150</f>
        <v>0</v>
      </c>
      <c r="BG150" s="415">
        <f>+BG149*$C$150</f>
        <v>0</v>
      </c>
      <c r="BH150" s="415">
        <f>+BH149*$C$150</f>
        <v>0</v>
      </c>
      <c r="BI150" s="369">
        <f>+BI149*$C$150</f>
        <v>0</v>
      </c>
      <c r="BK150" s="415">
        <f>+BK149*$C$150</f>
        <v>0</v>
      </c>
      <c r="BL150" s="415">
        <f>+BL149*$C$150</f>
        <v>0</v>
      </c>
      <c r="BM150" s="415">
        <f>+BM149*$C$150</f>
        <v>0</v>
      </c>
      <c r="BN150" s="415">
        <f>+BN149*$C$150</f>
        <v>0</v>
      </c>
      <c r="BO150" s="369">
        <f>+BO149*$C$150</f>
        <v>0</v>
      </c>
      <c r="BQ150" s="415">
        <f>+BQ149*$C$150</f>
        <v>0</v>
      </c>
      <c r="BR150" s="415">
        <f>+BR149*$C$150</f>
        <v>0</v>
      </c>
      <c r="BS150" s="415">
        <f>+BS149*$C$150</f>
        <v>0</v>
      </c>
      <c r="BT150" s="415">
        <f>+BT149*$C$150</f>
        <v>0</v>
      </c>
      <c r="BU150" s="369">
        <f>+BU149*$C$150</f>
        <v>0</v>
      </c>
      <c r="BW150" s="415">
        <f>+BW149*$C$150</f>
        <v>0</v>
      </c>
      <c r="BX150" s="415">
        <f>+BX149*$C$150</f>
        <v>0</v>
      </c>
      <c r="BY150" s="415">
        <f>+BY149*$C$150</f>
        <v>0</v>
      </c>
      <c r="BZ150" s="415">
        <f>+BZ149*$C$150</f>
        <v>0</v>
      </c>
      <c r="CA150" s="369">
        <f>+CA149*$C$150</f>
        <v>0</v>
      </c>
      <c r="CC150" s="415">
        <f>+CC149*$C$150</f>
        <v>0</v>
      </c>
      <c r="CD150" s="415">
        <f>+CD149*$C$150</f>
        <v>0</v>
      </c>
      <c r="CE150" s="415">
        <f>+CE149*$C$150</f>
        <v>0</v>
      </c>
      <c r="CF150" s="415">
        <f>+CF149*$C$150</f>
        <v>0</v>
      </c>
      <c r="CG150" s="369">
        <f>+CG149*$C$150</f>
        <v>0</v>
      </c>
    </row>
    <row r="151" spans="1:85" x14ac:dyDescent="0.2">
      <c r="A151" s="42"/>
      <c r="B151" s="40" t="s">
        <v>385</v>
      </c>
      <c r="C151" s="42"/>
      <c r="D151" s="42"/>
      <c r="E151" s="42"/>
      <c r="F151" s="42"/>
      <c r="G151" s="42"/>
      <c r="H151" s="367"/>
      <c r="I151" s="367">
        <f>+I148+I150</f>
        <v>55.167999999999992</v>
      </c>
      <c r="J151" s="367">
        <f>+J148+J150</f>
        <v>59.659000000000006</v>
      </c>
      <c r="K151" s="367">
        <f>+K148+K150</f>
        <v>56.407000000000004</v>
      </c>
      <c r="L151" s="367">
        <f>+L148+L150</f>
        <v>53.892000000000003</v>
      </c>
      <c r="M151" s="367">
        <f>+M148+M150</f>
        <v>225.126</v>
      </c>
      <c r="N151" s="367"/>
      <c r="O151" s="367">
        <f>+O148+O150</f>
        <v>52.706999999999994</v>
      </c>
      <c r="P151" s="367">
        <f>+P148+P150</f>
        <v>57.978000000000009</v>
      </c>
      <c r="Q151" s="367">
        <f>+Q148+Q150</f>
        <v>60.907000000000004</v>
      </c>
      <c r="R151" s="367">
        <f>+R148+R150</f>
        <v>68.064999999999969</v>
      </c>
      <c r="S151" s="367">
        <f>+S148+S150</f>
        <v>239.65699999999998</v>
      </c>
      <c r="T151" s="367"/>
      <c r="U151" s="367">
        <f>+U148+U150</f>
        <v>70.537000000000006</v>
      </c>
      <c r="V151" s="367">
        <f>+V148+V150</f>
        <v>72.72</v>
      </c>
      <c r="W151" s="367">
        <f>+W148+W150</f>
        <v>74.933000000000007</v>
      </c>
      <c r="X151" s="367">
        <f>+X148+X150</f>
        <v>71.755999999999972</v>
      </c>
      <c r="Y151" s="367">
        <f>+Y148+Y150</f>
        <v>289.94599999999997</v>
      </c>
      <c r="Z151" s="367"/>
      <c r="AA151" s="367">
        <f>+AA148+AA150</f>
        <v>82.225999999999999</v>
      </c>
      <c r="AB151" s="367">
        <f>+AB148+AB150</f>
        <v>89.287999999999997</v>
      </c>
      <c r="AC151" s="367">
        <f>+AC148+AC150</f>
        <v>89.839799999999997</v>
      </c>
      <c r="AD151" s="367">
        <f>+AD148+AD150</f>
        <v>93.574300000000008</v>
      </c>
      <c r="AE151" s="367">
        <f>+AE148+AE150</f>
        <v>354.7</v>
      </c>
      <c r="AF151" s="367"/>
      <c r="AG151" s="367">
        <f>+AG148+AG150</f>
        <v>97.388999999999996</v>
      </c>
      <c r="AH151" s="367">
        <f>+AH148+AH150</f>
        <v>105.61700000000002</v>
      </c>
      <c r="AI151" s="367">
        <f>+AI148+AI150</f>
        <v>98.333999999999975</v>
      </c>
      <c r="AJ151" s="367">
        <f>+AJ148+AJ150</f>
        <v>104.63000000000001</v>
      </c>
      <c r="AK151" s="367">
        <f>+AK148+AK150</f>
        <v>405.97</v>
      </c>
      <c r="AL151" s="367"/>
      <c r="AM151" s="367">
        <f>+AM148+AM150</f>
        <v>110.42699999999999</v>
      </c>
      <c r="AN151" s="367">
        <f>+AN148+AN150</f>
        <v>120.124</v>
      </c>
      <c r="AO151" s="367">
        <f>+AO148+AO150</f>
        <v>121.56299999999999</v>
      </c>
      <c r="AP151" s="367">
        <f>+AP148+AP150</f>
        <v>130.12100000000001</v>
      </c>
      <c r="AQ151" s="367">
        <f>+AQ148+AQ150</f>
        <v>482.23499999999996</v>
      </c>
      <c r="AR151" s="367"/>
      <c r="AS151" s="367">
        <f>+AS148+AS150</f>
        <v>133.083</v>
      </c>
      <c r="AT151" s="367">
        <f>+AT148+AT150</f>
        <v>141.70299999999997</v>
      </c>
      <c r="AU151" s="367">
        <f>+AU148+AU150</f>
        <v>141.11700000000002</v>
      </c>
      <c r="AV151" s="367">
        <f>+AV148+AV150</f>
        <v>146.98600000000002</v>
      </c>
      <c r="AW151" s="367">
        <f>+AW148+AW150</f>
        <v>562.88900000000001</v>
      </c>
      <c r="AX151" s="367"/>
      <c r="AY151" s="367">
        <f>+AY148+AY150</f>
        <v>147.95999999999998</v>
      </c>
      <c r="AZ151" s="367">
        <f>+AZ148+AZ150</f>
        <v>157.32000000000002</v>
      </c>
      <c r="BA151" s="367">
        <f>+BA148+BA150</f>
        <v>156.20499999999998</v>
      </c>
      <c r="BB151" s="367">
        <f>+BB148+BB150</f>
        <v>166.685</v>
      </c>
      <c r="BC151" s="367">
        <f>+BC148+BC150</f>
        <v>628.16999999999996</v>
      </c>
      <c r="BD151" s="367"/>
      <c r="BE151" s="367">
        <f>+BE148+BE150</f>
        <v>172.06700000000001</v>
      </c>
      <c r="BF151" s="367">
        <f>+BF148+BF150</f>
        <v>191.32600000000002</v>
      </c>
      <c r="BG151" s="367">
        <f>+BG148+BG150</f>
        <v>189.27</v>
      </c>
      <c r="BH151" s="367">
        <f>+BH148+BH150</f>
        <v>194.83100000000002</v>
      </c>
      <c r="BI151" s="367">
        <f>+BI152-BI160</f>
        <v>747.19849999999997</v>
      </c>
      <c r="BK151" s="367">
        <f>+BK148+BK150</f>
        <v>219.947</v>
      </c>
      <c r="BL151" s="367">
        <f>+BL148+BL150</f>
        <v>250.81400000000002</v>
      </c>
      <c r="BM151" s="367">
        <f>+BM148+BM150</f>
        <v>266.28499999999997</v>
      </c>
      <c r="BN151" s="367">
        <f>+BN148+BN150</f>
        <v>282.517</v>
      </c>
      <c r="BO151" s="367">
        <f>+BO152-BO160</f>
        <v>1019.5630000000002</v>
      </c>
      <c r="BQ151" s="367">
        <f>+BQ148+BQ150</f>
        <v>296.976</v>
      </c>
      <c r="BR151" s="367">
        <f>+BR152-BR160</f>
        <v>336.42199127750621</v>
      </c>
      <c r="BS151" s="367">
        <f>+BS152-BS160</f>
        <v>342.41128864905767</v>
      </c>
      <c r="BT151" s="367">
        <f>+BT152-BT160</f>
        <v>364.67266859304789</v>
      </c>
      <c r="BU151" s="367">
        <f>+BU152-BU160</f>
        <v>1340.4819485196122</v>
      </c>
      <c r="BW151" s="367">
        <f>+BW152-BW160</f>
        <v>368.04428955909907</v>
      </c>
      <c r="BX151" s="367">
        <f>+BX152-BX160</f>
        <v>430.79416346732717</v>
      </c>
      <c r="BY151" s="367">
        <f>+BY152-BY160</f>
        <v>434.65370635644945</v>
      </c>
      <c r="BZ151" s="367">
        <f>+BZ152-BZ160</f>
        <v>462.3436903036536</v>
      </c>
      <c r="CA151" s="367">
        <f>+CA152-CA160</f>
        <v>1695.8358496865294</v>
      </c>
      <c r="CC151" s="367">
        <f>+CC152-CC160</f>
        <v>440.86766460736953</v>
      </c>
      <c r="CD151" s="367">
        <f>+CD152-CD160</f>
        <v>508.68287954012857</v>
      </c>
      <c r="CE151" s="367">
        <f>+CE152-CE160</f>
        <v>513.0126004269955</v>
      </c>
      <c r="CF151" s="367">
        <f>+CF152-CF160</f>
        <v>542.20816088883498</v>
      </c>
      <c r="CG151" s="367">
        <f>+CG152-CG160</f>
        <v>2004.771305463328</v>
      </c>
    </row>
    <row r="152" spans="1:85" x14ac:dyDescent="0.2">
      <c r="A152" s="42"/>
      <c r="B152" s="32" t="s">
        <v>379</v>
      </c>
      <c r="C152" s="42"/>
      <c r="D152" s="42"/>
      <c r="E152" s="42"/>
      <c r="F152" s="42"/>
      <c r="G152" s="42"/>
      <c r="H152" s="614"/>
      <c r="I152" s="614">
        <f>+ALGN!I6</f>
        <v>74.775999999999996</v>
      </c>
      <c r="J152" s="614">
        <f>+ALGN!J6</f>
        <v>79.902000000000001</v>
      </c>
      <c r="K152" s="614">
        <f>+ALGN!K6</f>
        <v>75.172999999999988</v>
      </c>
      <c r="L152" s="614">
        <f>+ALGN!L6</f>
        <v>74.125</v>
      </c>
      <c r="M152" s="614">
        <f>+ALGN!M6</f>
        <v>303.976</v>
      </c>
      <c r="N152" s="614"/>
      <c r="O152" s="614">
        <f>+ALGN!O6</f>
        <v>70.132000000000005</v>
      </c>
      <c r="P152" s="614">
        <f>+ALGN!P6</f>
        <v>76.316000000000017</v>
      </c>
      <c r="Q152" s="614">
        <f>+ALGN!Q6</f>
        <v>79.269000000000005</v>
      </c>
      <c r="R152" s="614">
        <f>+ALGN!R6</f>
        <v>86.616</v>
      </c>
      <c r="S152" s="614">
        <f>+ALGN!S6</f>
        <v>312.33300000000003</v>
      </c>
      <c r="T152" s="614"/>
      <c r="U152" s="614">
        <f>+ALGN!U6</f>
        <v>90.090000000000018</v>
      </c>
      <c r="V152" s="614">
        <f>+ALGN!V6</f>
        <v>93.897999999999996</v>
      </c>
      <c r="W152" s="614">
        <f>+ALGN!W6</f>
        <v>95.946999999999989</v>
      </c>
      <c r="X152" s="614">
        <f>+ALGN!X6</f>
        <v>92.893000000000001</v>
      </c>
      <c r="Y152" s="614">
        <f>+ALGN!Y6</f>
        <v>372.82799999999997</v>
      </c>
      <c r="Z152" s="614"/>
      <c r="AA152" s="614">
        <f>+ALGN!AA6</f>
        <v>104.85599999999999</v>
      </c>
      <c r="AB152" s="614">
        <f>+ALGN!AB6</f>
        <v>113.59999999999998</v>
      </c>
      <c r="AC152" s="614">
        <f>+ALGN!AC6</f>
        <v>114.3</v>
      </c>
      <c r="AD152" s="614">
        <f>+ALGN!AD6</f>
        <v>118.9</v>
      </c>
      <c r="AE152" s="614">
        <f>+ALGN!AE6</f>
        <v>451.65599999999995</v>
      </c>
      <c r="AF152" s="614"/>
      <c r="AG152" s="614">
        <f>+ALGN!AG6</f>
        <v>123.328</v>
      </c>
      <c r="AH152" s="614">
        <f>+ALGN!AH6</f>
        <v>133.66900000000001</v>
      </c>
      <c r="AI152" s="614">
        <f>+ALGN!AI6</f>
        <v>126.72499999999998</v>
      </c>
      <c r="AJ152" s="614">
        <f>+ALGN!AJ6</f>
        <v>132.85900000000001</v>
      </c>
      <c r="AK152" s="614">
        <f>+ALGN!AK6</f>
        <v>516.58100000000002</v>
      </c>
      <c r="AL152" s="614"/>
      <c r="AM152" s="614">
        <f>+ALGN!AM6</f>
        <v>141.572</v>
      </c>
      <c r="AN152" s="614">
        <f>+ALGN!AN6</f>
        <v>153.303</v>
      </c>
      <c r="AO152" s="614">
        <f>+ALGN!AO6</f>
        <v>153.54999999999998</v>
      </c>
      <c r="AP152" s="614">
        <f>+ALGN!AP6</f>
        <v>166.22400000000002</v>
      </c>
      <c r="AQ152" s="614">
        <f>+ALGN!AQ6</f>
        <v>614.649</v>
      </c>
      <c r="AR152" s="614"/>
      <c r="AS152" s="614">
        <f>+ALGN!AS6</f>
        <v>168.239</v>
      </c>
      <c r="AT152" s="614">
        <f>+ALGN!AT6</f>
        <v>179.73499999999996</v>
      </c>
      <c r="AU152" s="614">
        <f>+ALGN!AU6</f>
        <v>178.13800000000001</v>
      </c>
      <c r="AV152" s="614">
        <f>+ALGN!AV6</f>
        <v>186.43700000000001</v>
      </c>
      <c r="AW152" s="614">
        <f>+ALGN!AW6</f>
        <v>712.54899999999998</v>
      </c>
      <c r="AX152" s="614"/>
      <c r="AY152" s="614">
        <f>+ALGN!AY6</f>
        <v>187.029</v>
      </c>
      <c r="AZ152" s="614">
        <f>+ALGN!AZ6</f>
        <v>200.81700000000004</v>
      </c>
      <c r="BA152" s="614">
        <f>+ALGN!BA6</f>
        <v>198.29200000000006</v>
      </c>
      <c r="BB152" s="614">
        <f>+ALGN!BB6</f>
        <v>214.048</v>
      </c>
      <c r="BC152" s="614">
        <f>+ALGN!BC6</f>
        <v>800.18600000000015</v>
      </c>
      <c r="BD152" s="614"/>
      <c r="BE152" s="614">
        <f>+ALGN!BE6</f>
        <v>219.69800000000001</v>
      </c>
      <c r="BF152" s="614">
        <f>+ALGN!BF6</f>
        <v>243.43600000000001</v>
      </c>
      <c r="BG152" s="614">
        <f>+ALGN!BG6</f>
        <v>243.66800000000001</v>
      </c>
      <c r="BH152" s="614">
        <f>+ALGN!BH6</f>
        <v>251.52500000000001</v>
      </c>
      <c r="BI152" s="614">
        <f>+ALGN!BI6</f>
        <v>958.03149999999994</v>
      </c>
      <c r="BK152" s="614">
        <f>+ALGN!BK6</f>
        <v>282.399</v>
      </c>
      <c r="BL152" s="614">
        <f>+ALGN!BL6</f>
        <v>321.036</v>
      </c>
      <c r="BM152" s="614">
        <f>+ALGN!BM6</f>
        <v>341.61099999999999</v>
      </c>
      <c r="BN152" s="614">
        <f>+ALGN!BN6</f>
        <v>364.21600000000001</v>
      </c>
      <c r="BO152" s="614">
        <f>+ALGN!BO6</f>
        <v>1309.2620000000002</v>
      </c>
      <c r="BQ152" s="614">
        <f>+ALGN!BQ6</f>
        <v>385.505</v>
      </c>
      <c r="BR152" s="614">
        <f>+ALGN!BR6</f>
        <v>432.30410851519719</v>
      </c>
      <c r="BS152" s="614">
        <f>+ALGN!BS6</f>
        <v>439.00754597534478</v>
      </c>
      <c r="BT152" s="614">
        <f>+ALGN!BT6</f>
        <v>471.23897593269572</v>
      </c>
      <c r="BU152" s="614">
        <f>+ALGN!BU6</f>
        <v>1728.055630423238</v>
      </c>
      <c r="BW152" s="614">
        <f>+ALGN!BW6</f>
        <v>472.32221061596067</v>
      </c>
      <c r="BX152" s="614">
        <f>+ALGN!BX6</f>
        <v>545.70394837734068</v>
      </c>
      <c r="BY152" s="614">
        <f>+ALGN!BY6</f>
        <v>549.40659641474883</v>
      </c>
      <c r="BZ152" s="614">
        <f>+ALGN!BZ6</f>
        <v>593.06188808872707</v>
      </c>
      <c r="CA152" s="614">
        <f>+ALGN!CA6</f>
        <v>2160.4946434967774</v>
      </c>
      <c r="CC152" s="614">
        <f>+ALGN!CC6</f>
        <v>560.55328946062252</v>
      </c>
      <c r="CD152" s="614">
        <f>+ALGN!CD6</f>
        <v>639.07403080691677</v>
      </c>
      <c r="CE152" s="614">
        <f>+ALGN!CE6</f>
        <v>642.34384200923341</v>
      </c>
      <c r="CF152" s="614">
        <f>+ALGN!CF6</f>
        <v>690.99866533541126</v>
      </c>
      <c r="CG152" s="614">
        <f>+ALGN!CG6</f>
        <v>2532.9698276121835</v>
      </c>
    </row>
    <row r="153" spans="1:85" x14ac:dyDescent="0.2">
      <c r="A153" s="42"/>
      <c r="B153" s="32" t="s">
        <v>378</v>
      </c>
      <c r="C153" s="42"/>
      <c r="D153" s="42"/>
      <c r="E153" s="42"/>
      <c r="F153" s="42"/>
      <c r="G153" s="42"/>
      <c r="H153" s="369"/>
      <c r="I153" s="369">
        <f>+I152-I149</f>
        <v>71.635407999999998</v>
      </c>
      <c r="J153" s="369">
        <f>+J152-J149</f>
        <v>76.466214000000008</v>
      </c>
      <c r="K153" s="369">
        <f>+K152-K149</f>
        <v>72.572999999999993</v>
      </c>
      <c r="L153" s="369">
        <f>+L152-L149</f>
        <v>70.901377999999994</v>
      </c>
      <c r="M153" s="369">
        <f>+M152-M149</f>
        <v>291.57600000000002</v>
      </c>
      <c r="N153" s="369"/>
      <c r="O153" s="369">
        <f>+O152-O149</f>
        <v>66.274740000000008</v>
      </c>
      <c r="P153" s="369">
        <f>+P152-P149</f>
        <v>71.355460000000022</v>
      </c>
      <c r="Q153" s="369">
        <f>+Q152-Q149</f>
        <v>75.067743000000007</v>
      </c>
      <c r="R153" s="369">
        <f>+R152-R149</f>
        <v>82.458432000000002</v>
      </c>
      <c r="S153" s="369">
        <f>+S152-S149</f>
        <v>295.2</v>
      </c>
      <c r="T153" s="369"/>
      <c r="U153" s="369">
        <f>+U152-U149</f>
        <v>85.4</v>
      </c>
      <c r="V153" s="369">
        <f>+V152-V149</f>
        <v>88.5</v>
      </c>
      <c r="W153" s="369">
        <f>+W152-W149</f>
        <v>91.1</v>
      </c>
      <c r="X153" s="369">
        <f>+X152-X149</f>
        <v>87.5</v>
      </c>
      <c r="Y153" s="369">
        <f>+Y152-Y149</f>
        <v>352.5</v>
      </c>
      <c r="Z153" s="369"/>
      <c r="AA153" s="369">
        <f>+AA152-AA149</f>
        <v>99.5</v>
      </c>
      <c r="AB153" s="369">
        <f>+AB152-AB149</f>
        <v>107.59999999999998</v>
      </c>
      <c r="AC153" s="369">
        <f>+AC152-AC149</f>
        <v>108</v>
      </c>
      <c r="AD153" s="369">
        <f>+AD152-AD149</f>
        <v>111.80000000000001</v>
      </c>
      <c r="AE153" s="369">
        <f>+AE152-AE149</f>
        <v>426.9</v>
      </c>
      <c r="AF153" s="369"/>
      <c r="AG153" s="369">
        <f>+AG152-AG149</f>
        <v>116.571</v>
      </c>
      <c r="AH153" s="369">
        <f>+AH152-AH149</f>
        <v>125.88000000000001</v>
      </c>
      <c r="AI153" s="369">
        <f>+AI152-AI149</f>
        <v>119.26799999999999</v>
      </c>
      <c r="AJ153" s="369">
        <f>+AJ152-AJ149</f>
        <v>124.19900000000001</v>
      </c>
      <c r="AK153" s="369">
        <f>+AK152-AK149</f>
        <v>485.91800000000001</v>
      </c>
      <c r="AL153" s="369"/>
      <c r="AM153" s="369">
        <f>+AM152-AM149</f>
        <v>128.863</v>
      </c>
      <c r="AN153" s="369">
        <f>+AN152-AN149</f>
        <v>142.53700000000001</v>
      </c>
      <c r="AO153" s="369">
        <f>+AO152-AO149</f>
        <v>142.87099999999998</v>
      </c>
      <c r="AP153" s="369">
        <f>+AP152-AP149</f>
        <v>155.65400000000002</v>
      </c>
      <c r="AQ153" s="369">
        <f>+AQ152-AQ149</f>
        <v>569.92499999999995</v>
      </c>
      <c r="AR153" s="369"/>
      <c r="AS153" s="369">
        <f>+AS152-AS149</f>
        <v>157.75800000000001</v>
      </c>
      <c r="AT153" s="369">
        <f>+AT152-AT149</f>
        <v>167.63599999999997</v>
      </c>
      <c r="AU153" s="369">
        <f>+AU152-AU149</f>
        <v>166.78800000000001</v>
      </c>
      <c r="AV153" s="369">
        <f>+AV152-AV149</f>
        <v>174.137</v>
      </c>
      <c r="AW153" s="369">
        <f>+AW152-AW149</f>
        <v>666.31899999999996</v>
      </c>
      <c r="AX153" s="369"/>
      <c r="AY153" s="369">
        <f>+AY152-AY149</f>
        <v>174.76400000000001</v>
      </c>
      <c r="AZ153" s="369">
        <f>+AZ152-AZ149</f>
        <v>188.03300000000004</v>
      </c>
      <c r="BA153" s="369">
        <f>+BA152-BA149</f>
        <v>185.35000000000005</v>
      </c>
      <c r="BB153" s="369">
        <f>+BB152-BB149</f>
        <v>200.643</v>
      </c>
      <c r="BC153" s="369">
        <f>+BC152-BC149</f>
        <v>748.79000000000019</v>
      </c>
      <c r="BD153" s="369"/>
      <c r="BE153" s="369">
        <f>+BE152-BE149</f>
        <v>205.54900000000001</v>
      </c>
      <c r="BF153" s="369">
        <f>+BF152-BF149</f>
        <v>227.61199999999999</v>
      </c>
      <c r="BG153" s="369">
        <f>+BG152-BG149</f>
        <v>228.10400000000001</v>
      </c>
      <c r="BH153" s="369">
        <f>+BH152-BH149</f>
        <v>234.05700000000002</v>
      </c>
      <c r="BI153" s="369">
        <f>+BI152-BI149</f>
        <v>895.02649999999994</v>
      </c>
      <c r="BK153" s="369">
        <f>+BK152-BK149</f>
        <v>264.45699999999999</v>
      </c>
      <c r="BL153" s="369">
        <f>+BL152-BL149</f>
        <v>300.44799999999998</v>
      </c>
      <c r="BM153" s="369">
        <f>+BM152-BM149</f>
        <v>320.40100000000001</v>
      </c>
      <c r="BN153" s="369">
        <f>+BN152-BN149</f>
        <v>342.24799999999999</v>
      </c>
      <c r="BO153" s="369">
        <f>+BO152-BO149</f>
        <v>1227.5540000000001</v>
      </c>
      <c r="BQ153" s="369">
        <f>+BQ152-BQ149</f>
        <v>361.28899999999999</v>
      </c>
      <c r="BR153" s="369">
        <f>+BR152-BR149</f>
        <v>407.49556851519719</v>
      </c>
      <c r="BS153" s="369">
        <f>+BS152-BS149</f>
        <v>414.08579597534481</v>
      </c>
      <c r="BT153" s="369">
        <f>+BT152-BT149</f>
        <v>445.53641593269572</v>
      </c>
      <c r="BU153" s="369">
        <f>+BU152-BU149</f>
        <v>1628.4067804232379</v>
      </c>
      <c r="BW153" s="369">
        <f>+BW152-BW149</f>
        <v>444.4738106159607</v>
      </c>
      <c r="BX153" s="369">
        <f>+BX152-BX149</f>
        <v>517.17412737734071</v>
      </c>
      <c r="BY153" s="369">
        <f>+BY152-BY149</f>
        <v>520.74658391474884</v>
      </c>
      <c r="BZ153" s="369">
        <f>+BZ152-BZ149</f>
        <v>563.50394408872705</v>
      </c>
      <c r="CA153" s="369">
        <f>+CA152-CA149</f>
        <v>2045.8984659967773</v>
      </c>
      <c r="CC153" s="369">
        <f>+CC152-CC149</f>
        <v>528.52762946062251</v>
      </c>
      <c r="CD153" s="369">
        <f>+CD152-CD149</f>
        <v>606.26473665691674</v>
      </c>
      <c r="CE153" s="369">
        <f>+CE152-CE149</f>
        <v>609.38482763423337</v>
      </c>
      <c r="CF153" s="369">
        <f>+CF152-CF149</f>
        <v>657.00702973541127</v>
      </c>
      <c r="CG153" s="369">
        <f>+CG152-CG149</f>
        <v>2401.1842234871838</v>
      </c>
    </row>
    <row r="154" spans="1:85" x14ac:dyDescent="0.2">
      <c r="A154" s="42"/>
      <c r="B154" s="290" t="s">
        <v>380</v>
      </c>
      <c r="C154" s="42"/>
      <c r="D154" s="42"/>
      <c r="E154" s="42"/>
      <c r="F154" s="42"/>
      <c r="G154" s="42"/>
      <c r="H154" s="315"/>
      <c r="I154" s="315">
        <f>+I151/I153</f>
        <v>0.77012194863188321</v>
      </c>
      <c r="J154" s="315">
        <f>+J151/J153</f>
        <v>0.78020078253122349</v>
      </c>
      <c r="K154" s="315">
        <f>+K151/K153</f>
        <v>0.77724498091576766</v>
      </c>
      <c r="L154" s="315">
        <f>+L151/L153</f>
        <v>0.76009806184585027</v>
      </c>
      <c r="M154" s="315">
        <f>+M151/M153</f>
        <v>0.77210058441023943</v>
      </c>
      <c r="N154" s="315"/>
      <c r="O154" s="315">
        <f>+O151/O153</f>
        <v>0.7952803737894707</v>
      </c>
      <c r="P154" s="315">
        <f>+P151/P153</f>
        <v>0.8125236667243122</v>
      </c>
      <c r="Q154" s="315">
        <f>+Q151/Q153</f>
        <v>0.81136048009329387</v>
      </c>
      <c r="R154" s="315">
        <f>+R151/R153</f>
        <v>0.82544620785415812</v>
      </c>
      <c r="S154" s="315">
        <f>+S151/S153</f>
        <v>0.81184620596205959</v>
      </c>
      <c r="T154" s="315"/>
      <c r="U154" s="315">
        <f>+U151/U153</f>
        <v>0.82596018735362997</v>
      </c>
      <c r="V154" s="315">
        <f>+V151/V153</f>
        <v>0.82169491525423732</v>
      </c>
      <c r="W154" s="315">
        <f>+W151/W153</f>
        <v>0.82253567508232728</v>
      </c>
      <c r="X154" s="315">
        <f>+X151/X153</f>
        <v>0.82006857142857115</v>
      </c>
      <c r="Y154" s="315">
        <f>+Y151/Y153</f>
        <v>0.8225418439716311</v>
      </c>
      <c r="Z154" s="315"/>
      <c r="AA154" s="315">
        <f>+AA151/AA153</f>
        <v>0.82639195979899494</v>
      </c>
      <c r="AB154" s="315">
        <f>+AB151/AB153</f>
        <v>0.82981412639405217</v>
      </c>
      <c r="AC154" s="315">
        <f>+AC151/AC153</f>
        <v>0.83184999999999998</v>
      </c>
      <c r="AD154" s="315">
        <f>+AD151/AD153</f>
        <v>0.83697942754919497</v>
      </c>
      <c r="AE154" s="315">
        <f>+AE151/AE153</f>
        <v>0.83087374092293276</v>
      </c>
      <c r="AF154" s="315"/>
      <c r="AG154" s="315">
        <f>+AG151/AG153</f>
        <v>0.83544792444089866</v>
      </c>
      <c r="AH154" s="315">
        <f>+AH151/AH153</f>
        <v>0.83902923419129338</v>
      </c>
      <c r="AI154" s="315">
        <f>+AI151/AI153</f>
        <v>0.82447932387564127</v>
      </c>
      <c r="AJ154" s="315">
        <f>+AJ151/AJ153</f>
        <v>0.84243834491421021</v>
      </c>
      <c r="AK154" s="315">
        <f>+AK151/AK153</f>
        <v>0.83547018221181357</v>
      </c>
      <c r="AL154" s="315"/>
      <c r="AM154" s="315">
        <f>+AM151/AM153</f>
        <v>0.85693333229864266</v>
      </c>
      <c r="AN154" s="315">
        <f>+AN151/AN153</f>
        <v>0.84275661757999676</v>
      </c>
      <c r="AO154" s="315">
        <f>+AO151/AO153</f>
        <v>0.85085846672872734</v>
      </c>
      <c r="AP154" s="315">
        <f>+AP151/AP153</f>
        <v>0.83596309763963661</v>
      </c>
      <c r="AQ154" s="315">
        <f>+AQ151/AQ153</f>
        <v>0.84613764969074878</v>
      </c>
      <c r="AR154" s="315"/>
      <c r="AS154" s="315">
        <f>+AS151/AS153</f>
        <v>0.84358954854904344</v>
      </c>
      <c r="AT154" s="315">
        <f>+AT151/AT153</f>
        <v>0.84530172516643209</v>
      </c>
      <c r="AU154" s="315">
        <f>+AU151/AU153</f>
        <v>0.84608604935606879</v>
      </c>
      <c r="AV154" s="315">
        <f>+AV151/AV153</f>
        <v>0.84408253271849187</v>
      </c>
      <c r="AW154" s="315">
        <f>+AW151/AW153</f>
        <v>0.84477404966690139</v>
      </c>
      <c r="AX154" s="315"/>
      <c r="AY154" s="315">
        <f>+AY151/AY153</f>
        <v>0.84662745187796096</v>
      </c>
      <c r="AZ154" s="315">
        <f>+AZ151/AZ153</f>
        <v>0.83666164981678737</v>
      </c>
      <c r="BA154" s="315">
        <f>+BA151/BA153</f>
        <v>0.84275694631777687</v>
      </c>
      <c r="BB154" s="315">
        <f>+BB151/BB153</f>
        <v>0.83075412548656069</v>
      </c>
      <c r="BC154" s="315">
        <f>+BC151/BC153</f>
        <v>0.83891344702787141</v>
      </c>
      <c r="BD154" s="315"/>
      <c r="BE154" s="315">
        <f>+BE151/BE153</f>
        <v>0.83710939970517984</v>
      </c>
      <c r="BF154" s="315">
        <f>+BF151/BF153</f>
        <v>0.84057958279879808</v>
      </c>
      <c r="BG154" s="315">
        <f>+BG151/BG153</f>
        <v>0.8297530950794374</v>
      </c>
      <c r="BH154" s="315">
        <f>+BH151/BH153</f>
        <v>0.83240834497579652</v>
      </c>
      <c r="BI154" s="315">
        <f>+BI151/BI153</f>
        <v>0.83483394067103045</v>
      </c>
      <c r="BK154" s="315">
        <f>+BK151/BK153</f>
        <v>0.83169286500262807</v>
      </c>
      <c r="BL154" s="315">
        <f>+BL151/BL153</f>
        <v>0.83480003195228469</v>
      </c>
      <c r="BM154" s="315">
        <f>+BM151/BM153</f>
        <v>0.83109915387280298</v>
      </c>
      <c r="BN154" s="315">
        <f>+BN151/BN153</f>
        <v>0.82547450971225544</v>
      </c>
      <c r="BO154" s="315">
        <f>+BO151/BO153</f>
        <v>0.83056468391614557</v>
      </c>
      <c r="BQ154" s="315">
        <f>+BQ151/BQ153</f>
        <v>0.82199015192823477</v>
      </c>
      <c r="BR154" s="315">
        <f>+BR151/BR153</f>
        <v>0.82558441679092676</v>
      </c>
      <c r="BS154" s="315">
        <f>+BS151/BS153</f>
        <v>0.8269090415007746</v>
      </c>
      <c r="BT154" s="315">
        <f>+BT151/BT153</f>
        <v>0.81850249620928095</v>
      </c>
      <c r="BU154" s="315">
        <f>+BU151/BU153</f>
        <v>0.82318617475371147</v>
      </c>
      <c r="BW154" s="315">
        <f>+BW151/BW153</f>
        <v>0.82804493936111989</v>
      </c>
      <c r="BX154" s="315">
        <f>+BX151/BX153</f>
        <v>0.83297702004534158</v>
      </c>
      <c r="BY154" s="315">
        <f>+BY151/BY153</f>
        <v>0.83467413859714612</v>
      </c>
      <c r="BZ154" s="315">
        <f>+BZ151/BZ153</f>
        <v>0.82047995431750664</v>
      </c>
      <c r="CA154" s="315">
        <f>+CA151/CA153</f>
        <v>0.82889541092661467</v>
      </c>
      <c r="CC154" s="315">
        <f>+CC151/CC153</f>
        <v>0.83414307981833902</v>
      </c>
      <c r="CD154" s="315">
        <f>+CD151/CD153</f>
        <v>0.83904414818041873</v>
      </c>
      <c r="CE154" s="315">
        <f>+CE151/CE153</f>
        <v>0.84185325456595927</v>
      </c>
      <c r="CF154" s="315">
        <f>+CF151/CF153</f>
        <v>0.82526995351509724</v>
      </c>
      <c r="CG154" s="315">
        <f>+CG151/CG153</f>
        <v>0.83490941088720194</v>
      </c>
    </row>
    <row r="155" spans="1:85" x14ac:dyDescent="0.2">
      <c r="A155" s="42"/>
      <c r="B155" s="290" t="s">
        <v>381</v>
      </c>
      <c r="C155" s="42"/>
      <c r="D155" s="42"/>
      <c r="E155" s="42"/>
      <c r="F155" s="42"/>
      <c r="G155" s="42"/>
      <c r="H155" s="315"/>
      <c r="I155" s="315">
        <f>+I151/I152</f>
        <v>0.73777682678934409</v>
      </c>
      <c r="J155" s="315">
        <f>+J151/J152</f>
        <v>0.74665214888238096</v>
      </c>
      <c r="K155" s="315">
        <f>+K151/K152</f>
        <v>0.75036249717318737</v>
      </c>
      <c r="L155" s="315">
        <f>+L151/L152</f>
        <v>0.72704215851602028</v>
      </c>
      <c r="M155" s="315">
        <f>+M151/M152</f>
        <v>0.74060452140958499</v>
      </c>
      <c r="N155" s="315"/>
      <c r="O155" s="315">
        <f>+O151/O152</f>
        <v>0.75153995323104983</v>
      </c>
      <c r="P155" s="315">
        <f>+P151/P152</f>
        <v>0.75970962838723199</v>
      </c>
      <c r="Q155" s="315">
        <f>+Q151/Q152</f>
        <v>0.76835837464834933</v>
      </c>
      <c r="R155" s="315">
        <f>+R151/R152</f>
        <v>0.78582478987715865</v>
      </c>
      <c r="S155" s="315">
        <f>+S151/S152</f>
        <v>0.76731245177422802</v>
      </c>
      <c r="T155" s="315"/>
      <c r="U155" s="315">
        <f>+U151/U152</f>
        <v>0.78296148296148282</v>
      </c>
      <c r="V155" s="315">
        <f>+V151/V152</f>
        <v>0.7744573899337579</v>
      </c>
      <c r="W155" s="315">
        <f>+W151/W152</f>
        <v>0.78098325116991685</v>
      </c>
      <c r="X155" s="315">
        <f>+X151/X152</f>
        <v>0.77245863520394398</v>
      </c>
      <c r="Y155" s="315">
        <f>+Y151/Y152</f>
        <v>0.77769373544905418</v>
      </c>
      <c r="Z155" s="315"/>
      <c r="AA155" s="315">
        <f>+AA151/AA152</f>
        <v>0.78418020904859997</v>
      </c>
      <c r="AB155" s="315">
        <f>+AB151/AB152</f>
        <v>0.78598591549295782</v>
      </c>
      <c r="AC155" s="315">
        <f>+AC151/AC152</f>
        <v>0.78600000000000003</v>
      </c>
      <c r="AD155" s="315">
        <f>+AD151/AD152</f>
        <v>0.78700000000000003</v>
      </c>
      <c r="AE155" s="315">
        <f>+AE151/AE152</f>
        <v>0.78533219972722612</v>
      </c>
      <c r="AF155" s="315"/>
      <c r="AG155" s="315">
        <f>+AG151/AG152</f>
        <v>0.7896746886351842</v>
      </c>
      <c r="AH155" s="315">
        <f>+AH151/AH152</f>
        <v>0.79013832676237583</v>
      </c>
      <c r="AI155" s="315">
        <f>+AI151/AI152</f>
        <v>0.77596370092720446</v>
      </c>
      <c r="AJ155" s="315">
        <f>+AJ151/AJ152</f>
        <v>0.78752662597189504</v>
      </c>
      <c r="AK155" s="315">
        <f>+AK151/AK152</f>
        <v>0.78587869085390294</v>
      </c>
      <c r="AL155" s="315"/>
      <c r="AM155" s="315">
        <f>+AM151/AM152</f>
        <v>0.78000593337665636</v>
      </c>
      <c r="AN155" s="315">
        <f>+AN151/AN152</f>
        <v>0.78357240236655512</v>
      </c>
      <c r="AO155" s="315">
        <f>+AO151/AO152</f>
        <v>0.79168349071963529</v>
      </c>
      <c r="AP155" s="315">
        <f>+AP151/AP152</f>
        <v>0.78280513042641253</v>
      </c>
      <c r="AQ155" s="315">
        <f>+AQ151/AQ152</f>
        <v>0.7845697300410478</v>
      </c>
      <c r="AR155" s="315"/>
      <c r="AS155" s="315">
        <f>+AS151/AS152</f>
        <v>0.79103537229774301</v>
      </c>
      <c r="AT155" s="315">
        <f>+AT151/AT152</f>
        <v>0.7883995882827497</v>
      </c>
      <c r="AU155" s="315">
        <f>+AU151/AU152</f>
        <v>0.79217797437941384</v>
      </c>
      <c r="AV155" s="315">
        <f>+AV151/AV152</f>
        <v>0.78839500742878299</v>
      </c>
      <c r="AW155" s="315">
        <f>+AW151/AW152</f>
        <v>0.78996532168314038</v>
      </c>
      <c r="AX155" s="315"/>
      <c r="AY155" s="315">
        <f>+AY151/AY152</f>
        <v>0.79110726144073906</v>
      </c>
      <c r="AZ155" s="315">
        <f>+AZ151/AZ152</f>
        <v>0.78339981176892393</v>
      </c>
      <c r="BA155" s="315">
        <f>+BA151/BA152</f>
        <v>0.78775240554333981</v>
      </c>
      <c r="BB155" s="315">
        <f>+BB151/BB152</f>
        <v>0.77872720137539242</v>
      </c>
      <c r="BC155" s="315">
        <f>+BC151/BC152</f>
        <v>0.78502998052952666</v>
      </c>
      <c r="BD155" s="315"/>
      <c r="BE155" s="315">
        <f>+BE151/BE152</f>
        <v>0.78319784431355766</v>
      </c>
      <c r="BF155" s="315">
        <f>+BF151/BF152</f>
        <v>0.78593963095022934</v>
      </c>
      <c r="BG155" s="315">
        <f>+BG151/BG152</f>
        <v>0.77675361557529099</v>
      </c>
      <c r="BH155" s="315">
        <f>+BH151/BH152</f>
        <v>0.77459894642679661</v>
      </c>
      <c r="BI155" s="315">
        <f>+BI151/BI152</f>
        <v>0.77993103567053901</v>
      </c>
      <c r="BK155" s="315">
        <f>+BK151/BK152</f>
        <v>0.77885190811582194</v>
      </c>
      <c r="BL155" s="315">
        <f>+BL151/BL152</f>
        <v>0.78126440648400808</v>
      </c>
      <c r="BM155" s="315">
        <f>+BM151/BM152</f>
        <v>0.77949773280134416</v>
      </c>
      <c r="BN155" s="315">
        <f>+BN151/BN152</f>
        <v>0.77568530761965426</v>
      </c>
      <c r="BO155" s="315">
        <f>+BO151/BO152</f>
        <v>0.77873107139747433</v>
      </c>
      <c r="BQ155" s="315">
        <f>+BQ151/BQ152</f>
        <v>0.770355767110673</v>
      </c>
      <c r="BR155" s="315">
        <f>+BR151/BR152</f>
        <v>0.77820678696066492</v>
      </c>
      <c r="BS155" s="315">
        <f>+BS151/BS152</f>
        <v>0.77996674951980871</v>
      </c>
      <c r="BT155" s="315">
        <f>+BT151/BT152</f>
        <v>0.7738593096449049</v>
      </c>
      <c r="BU155" s="315">
        <f>+BU151/BU152</f>
        <v>0.77571689528959165</v>
      </c>
      <c r="BW155" s="315">
        <f>+BW151/BW152</f>
        <v>0.77922291454202075</v>
      </c>
      <c r="BX155" s="315">
        <f>+BX151/BX152</f>
        <v>0.78942834250750871</v>
      </c>
      <c r="BY155" s="315">
        <f>+BY151/BY152</f>
        <v>0.79113303187995931</v>
      </c>
      <c r="BZ155" s="315">
        <f>+BZ151/BZ152</f>
        <v>0.77958759379001452</v>
      </c>
      <c r="CA155" s="315">
        <f>+CA151/CA152</f>
        <v>0.78492943955732564</v>
      </c>
      <c r="CC155" s="315">
        <f>+CC151/CC152</f>
        <v>0.78648662472676367</v>
      </c>
      <c r="CD155" s="315">
        <f>+CD151/CD152</f>
        <v>0.7959686280756052</v>
      </c>
      <c r="CE155" s="315">
        <f>+CE151/CE152</f>
        <v>0.79865730295211756</v>
      </c>
      <c r="CF155" s="315">
        <f>+CF151/CF152</f>
        <v>0.78467323902231667</v>
      </c>
      <c r="CG155" s="315">
        <f>+CG151/CG152</f>
        <v>0.79147066167511937</v>
      </c>
    </row>
    <row r="156" spans="1:85" x14ac:dyDescent="0.2">
      <c r="A156" s="42"/>
      <c r="B156" s="32" t="s">
        <v>375</v>
      </c>
      <c r="C156" s="42"/>
      <c r="D156" s="42"/>
      <c r="E156" s="42"/>
      <c r="F156" s="42"/>
      <c r="G156" s="42"/>
      <c r="H156" s="614"/>
      <c r="I156" s="614">
        <f>+UnitBuild!I86</f>
        <v>51.769999999999996</v>
      </c>
      <c r="J156" s="614">
        <f>+UnitBuild!J86</f>
        <v>54.86999999999999</v>
      </c>
      <c r="K156" s="614">
        <f>+UnitBuild!K86</f>
        <v>52.8</v>
      </c>
      <c r="L156" s="614">
        <f>+UnitBuild!L86</f>
        <v>52.64</v>
      </c>
      <c r="M156" s="614">
        <f>+UnitBuild!M86</f>
        <v>212.07999999999998</v>
      </c>
      <c r="N156" s="614"/>
      <c r="O156" s="614">
        <f>+UnitBuild!O86</f>
        <v>50.059999999999995</v>
      </c>
      <c r="P156" s="614">
        <f>+UnitBuild!P86</f>
        <v>53.005000000000003</v>
      </c>
      <c r="Q156" s="614">
        <f>+UnitBuild!Q86</f>
        <v>56.515000000000001</v>
      </c>
      <c r="R156" s="614">
        <f>+UnitBuild!R86</f>
        <v>61.06</v>
      </c>
      <c r="S156" s="614">
        <f>+UnitBuild!S86</f>
        <v>220.64000000000001</v>
      </c>
      <c r="T156" s="614"/>
      <c r="U156" s="614">
        <f>+UnitBuild!U86</f>
        <v>63.61</v>
      </c>
      <c r="V156" s="614">
        <f>+UnitBuild!V86</f>
        <v>67.484999999999999</v>
      </c>
      <c r="W156" s="614">
        <f>+UnitBuild!W86</f>
        <v>66.239999999999995</v>
      </c>
      <c r="X156" s="614">
        <f>+UnitBuild!X86</f>
        <v>63.489999999999995</v>
      </c>
      <c r="Y156" s="614">
        <f>+UnitBuild!Y86</f>
        <v>260.82500000000005</v>
      </c>
      <c r="Z156" s="614"/>
      <c r="AA156" s="614">
        <f>+UnitBuild!AA86</f>
        <v>71.37</v>
      </c>
      <c r="AB156" s="614">
        <f>+UnitBuild!AB86</f>
        <v>76.02000000000001</v>
      </c>
      <c r="AC156" s="614">
        <f>+UnitBuild!AC86</f>
        <v>79.36</v>
      </c>
      <c r="AD156" s="614">
        <f>+UnitBuild!AD86</f>
        <v>82.59</v>
      </c>
      <c r="AE156" s="614">
        <f>+UnitBuild!AE86</f>
        <v>309.33999999999997</v>
      </c>
      <c r="AF156" s="614"/>
      <c r="AG156" s="614">
        <f>+UnitBuild!AG86</f>
        <v>85.265000000000001</v>
      </c>
      <c r="AH156" s="614">
        <f>+UnitBuild!AH86</f>
        <v>95.28</v>
      </c>
      <c r="AI156" s="614">
        <f>+UnitBuild!AI86</f>
        <v>92.515000000000001</v>
      </c>
      <c r="AJ156" s="614">
        <f>+UnitBuild!AJ86</f>
        <v>90.48</v>
      </c>
      <c r="AK156" s="614">
        <f>+UnitBuild!AK86</f>
        <v>363.54</v>
      </c>
      <c r="AL156" s="614"/>
      <c r="AM156" s="614">
        <f>+UnitBuild!AM86</f>
        <v>98.13</v>
      </c>
      <c r="AN156" s="614">
        <f>+UnitBuild!AN86</f>
        <v>106.13500000000001</v>
      </c>
      <c r="AO156" s="614">
        <f>+UnitBuild!AO86</f>
        <v>106.89999999999999</v>
      </c>
      <c r="AP156" s="614">
        <f>+UnitBuild!AP86</f>
        <v>111.13</v>
      </c>
      <c r="AQ156" s="614">
        <f>+UnitBuild!AQ86</f>
        <v>422.29500000000002</v>
      </c>
      <c r="AR156" s="614"/>
      <c r="AS156" s="614">
        <f>+UnitBuild!AS86</f>
        <v>112.19802000000001</v>
      </c>
      <c r="AT156" s="614">
        <f>+UnitBuild!AT86</f>
        <v>119.512315</v>
      </c>
      <c r="AU156" s="614">
        <f>+UnitBuild!AU86</f>
        <v>119.61500000000001</v>
      </c>
      <c r="AV156" s="614">
        <f>+UnitBuild!AV86</f>
        <v>126.72234</v>
      </c>
      <c r="AW156" s="614">
        <f>+UnitBuild!AW86</f>
        <v>478.04767499999997</v>
      </c>
      <c r="AX156" s="614"/>
      <c r="AY156" s="614">
        <f>+UnitBuild!AY86</f>
        <v>130.77999999999997</v>
      </c>
      <c r="AZ156" s="614">
        <f>+UnitBuild!AZ86</f>
        <v>144.5</v>
      </c>
      <c r="BA156" s="614">
        <f>+UnitBuild!BA86</f>
        <v>147.5</v>
      </c>
      <c r="BB156" s="614">
        <f>+UnitBuild!BB86</f>
        <v>160.40085140846764</v>
      </c>
      <c r="BC156" s="614">
        <f>+UnitBuild!BC86</f>
        <v>583.18085140846756</v>
      </c>
      <c r="BD156" s="614"/>
      <c r="BE156" s="614">
        <f>+UnitBuild!BE86+BE167</f>
        <v>163.64364737292016</v>
      </c>
      <c r="BF156" s="614">
        <f>+UnitBuild!BF86+BF167</f>
        <v>176.99500000000006</v>
      </c>
      <c r="BG156" s="614">
        <f>+UnitBuild!BG86+BG167</f>
        <v>187.79999999999998</v>
      </c>
      <c r="BH156" s="614">
        <f>+UnitBuild!BH86+BH167</f>
        <v>205.05</v>
      </c>
      <c r="BI156" s="614">
        <f>+UnitBuild!BI86+BI167</f>
        <v>733.48864737292024</v>
      </c>
      <c r="BK156" s="614">
        <f>+UnitBuild!BK86+BK167</f>
        <v>223.02500000000001</v>
      </c>
      <c r="BL156" s="614">
        <f>+UnitBuild!BL86+BL167</f>
        <v>251.89</v>
      </c>
      <c r="BM156" s="614">
        <f>+UnitBuild!BM86+BM167</f>
        <v>271.065</v>
      </c>
      <c r="BN156" s="614">
        <f>+UnitBuild!BN86+BN167</f>
        <v>295.71911386910267</v>
      </c>
      <c r="BO156" s="614">
        <f>+UnitBuild!BO86+BO167</f>
        <v>1041.6991138691026</v>
      </c>
      <c r="BQ156" s="614">
        <f>+UnitBuild!BQ86+BQ167</f>
        <v>299.23500000000001</v>
      </c>
      <c r="BR156" s="614">
        <f>+UnitBuild!BR86+BR167</f>
        <v>337.09789999999998</v>
      </c>
      <c r="BS156" s="614">
        <f>+UnitBuild!BS86+BS167</f>
        <v>359.01490000000001</v>
      </c>
      <c r="BT156" s="614">
        <f>+UnitBuild!BT86+BT167</f>
        <v>400.34413800900143</v>
      </c>
      <c r="BU156" s="614">
        <f>+UnitBuild!BU86+BU167</f>
        <v>1395.6919380090014</v>
      </c>
      <c r="BW156" s="614">
        <f>+UnitBuild!BW86+BW167</f>
        <v>374.32699999999994</v>
      </c>
      <c r="BX156" s="614">
        <f>+UnitBuild!BX86+BX167</f>
        <v>431.25811999999996</v>
      </c>
      <c r="BY156" s="614">
        <f>+UnitBuild!BY86+BY167</f>
        <v>453.93260200000003</v>
      </c>
      <c r="BZ156" s="614">
        <f>+UnitBuild!BZ86+BZ167</f>
        <v>527.18848465524775</v>
      </c>
      <c r="CA156" s="614">
        <f>+UnitBuild!CA86+CA167</f>
        <v>1786.7062066552478</v>
      </c>
      <c r="CC156" s="614">
        <f>+UnitBuild!CC86+CC167</f>
        <v>451.92638999999997</v>
      </c>
      <c r="CD156" s="614">
        <f>+UnitBuild!CD86+CD167</f>
        <v>512.82565199999999</v>
      </c>
      <c r="CE156" s="614">
        <f>+UnitBuild!CE86+CE167</f>
        <v>534.87517566000008</v>
      </c>
      <c r="CF156" s="614">
        <f>+UnitBuild!CF86+CF167</f>
        <v>629.75265734979416</v>
      </c>
      <c r="CG156" s="614">
        <f>+UnitBuild!CG86+CG167</f>
        <v>2129.379875009794</v>
      </c>
    </row>
    <row r="157" spans="1:85" x14ac:dyDescent="0.2">
      <c r="A157" s="42"/>
      <c r="B157" s="32" t="s">
        <v>542</v>
      </c>
      <c r="C157" s="42"/>
      <c r="D157" s="42"/>
      <c r="E157" s="42"/>
      <c r="F157" s="42"/>
      <c r="G157" s="42"/>
      <c r="H157" s="617"/>
      <c r="I157" s="369">
        <f>+(I159*1000)/I156</f>
        <v>318.08785010623927</v>
      </c>
      <c r="J157" s="369">
        <f>+(J159*1000)/J156</f>
        <v>306.30971386914536</v>
      </c>
      <c r="K157" s="369">
        <f>+(K159*1000)/K156</f>
        <v>306.17424242424221</v>
      </c>
      <c r="L157" s="369">
        <f>+(L159*1000)/L156</f>
        <v>323.12648176291771</v>
      </c>
      <c r="M157" s="369">
        <f>+(M159*1000)/M156</f>
        <v>313.32516031686163</v>
      </c>
      <c r="N157" s="617"/>
      <c r="O157" s="369">
        <f>+(O159*1000)/O156</f>
        <v>271.02956452257325</v>
      </c>
      <c r="P157" s="369">
        <f>+(P159*1000)/P156</f>
        <v>252.3810961230075</v>
      </c>
      <c r="Q157" s="369">
        <f>+(Q159*1000)/Q156</f>
        <v>250.56609749624002</v>
      </c>
      <c r="R157" s="369">
        <f>+(R159*1000)/R156</f>
        <v>235.72603996069495</v>
      </c>
      <c r="S157" s="369">
        <f>+(S159*1000)/S156</f>
        <v>251.73585931834666</v>
      </c>
      <c r="T157" s="617"/>
      <c r="U157" s="369">
        <f>+(U159*1000)/U156</f>
        <v>233.65822983807578</v>
      </c>
      <c r="V157" s="369">
        <f>+(V159*1000)/V156</f>
        <v>233.82973994220941</v>
      </c>
      <c r="W157" s="369">
        <f>+(W159*1000)/W156</f>
        <v>244.06702898550708</v>
      </c>
      <c r="X157" s="369">
        <f>+(X159*1000)/X156</f>
        <v>247.9760592219252</v>
      </c>
      <c r="Y157" s="369">
        <f>+(Y159*1000)/Y156</f>
        <v>239.83130451452129</v>
      </c>
      <c r="Z157" s="617"/>
      <c r="AA157" s="369">
        <f>+(AA159*1000)/AA156</f>
        <v>242.03446826397644</v>
      </c>
      <c r="AB157" s="369">
        <f>+(AB159*1000)/AB156</f>
        <v>240.88397790055222</v>
      </c>
      <c r="AC157" s="369">
        <f>+(AC159*1000)/AC156</f>
        <v>228.8331653225807</v>
      </c>
      <c r="AD157" s="369">
        <f>+(AD159*1000)/AD156</f>
        <v>220.6768373895145</v>
      </c>
      <c r="AE157" s="369">
        <f>+(AE159*1000)/AE156</f>
        <v>233.4001422383138</v>
      </c>
      <c r="AF157" s="617"/>
      <c r="AG157" s="369">
        <f>+(AG159*1000)/AG156</f>
        <v>224.96921362810068</v>
      </c>
      <c r="AH157" s="369">
        <f>+(AH159*1000)/AH156</f>
        <v>212.66792611251043</v>
      </c>
      <c r="AI157" s="369">
        <f>+(AI159*1000)/AI156</f>
        <v>226.27681997513929</v>
      </c>
      <c r="AJ157" s="369">
        <f>+(AJ159*1000)/AJ156</f>
        <v>216.2798408488064</v>
      </c>
      <c r="AK157" s="369">
        <f>+(AK159*1000)/AK156</f>
        <v>219.91527754855031</v>
      </c>
      <c r="AL157" s="617"/>
      <c r="AM157" s="369">
        <f>+(AM159*1000)/AM156</f>
        <v>187.87322938958533</v>
      </c>
      <c r="AN157" s="369">
        <f>+(AN159*1000)/AN156</f>
        <v>211.17444763744297</v>
      </c>
      <c r="AO157" s="369">
        <f>+(AO159*1000)/AO156</f>
        <v>199.32647333956965</v>
      </c>
      <c r="AP157" s="369">
        <f>+(AP159*1000)/AP156</f>
        <v>229.75794115000463</v>
      </c>
      <c r="AQ157" s="369">
        <f>+(AQ159*1000)/AQ156</f>
        <v>207.65104962170994</v>
      </c>
      <c r="AR157" s="228"/>
      <c r="AS157" s="369">
        <f>+(AS159*1000)/AS156</f>
        <v>219.92366710214679</v>
      </c>
      <c r="AT157" s="369">
        <f>+(AT159*1000)/AT156</f>
        <v>216.99019050881904</v>
      </c>
      <c r="AU157" s="369">
        <f>+(AU159*1000)/AU156</f>
        <v>214.61355181206363</v>
      </c>
      <c r="AV157" s="369">
        <f>+(AV159*1000)/AV156</f>
        <v>214.25582892487608</v>
      </c>
      <c r="AW157" s="369">
        <f>+(AW159*1000)/AW156</f>
        <v>216.35917379997716</v>
      </c>
      <c r="AX157" s="228"/>
      <c r="AY157" s="369">
        <f>+(AY159*1000)/AY156</f>
        <v>204.95488606820641</v>
      </c>
      <c r="AZ157" s="369">
        <f>+(AZ159*1000)/AZ156</f>
        <v>212.54671280276833</v>
      </c>
      <c r="BA157" s="369">
        <f>+(BA159*1000)/BA156</f>
        <v>197.59322033898349</v>
      </c>
      <c r="BB157" s="369">
        <f>+(BB159*1000)/BB156</f>
        <v>211.70710567816437</v>
      </c>
      <c r="BC157" s="369">
        <f>+(BC159*1000)/BC156</f>
        <v>206.83120803552652</v>
      </c>
      <c r="BD157" s="617"/>
      <c r="BE157" s="369">
        <f>+(BE159*1000)/BE156</f>
        <v>204.60311498496102</v>
      </c>
      <c r="BF157" s="369">
        <f>+(BF159*1000)/BF156</f>
        <v>205.01144100115798</v>
      </c>
      <c r="BG157" s="369">
        <f>+(BG159*1000)/BG156</f>
        <v>206.78381256656019</v>
      </c>
      <c r="BH157" s="369">
        <f>+(BH159*1000)/BH156</f>
        <v>191.29968300414532</v>
      </c>
      <c r="BI157" s="369">
        <f>+(BI159*1000)/BI156</f>
        <v>201.54095162817327</v>
      </c>
      <c r="BJ157" s="617"/>
      <c r="BK157" s="369">
        <f>+(BK159*1000)/BK156</f>
        <v>199.57403878488955</v>
      </c>
      <c r="BL157" s="369">
        <f>+(BL159*1000)/BL156</f>
        <v>197.04632974711168</v>
      </c>
      <c r="BM157" s="369">
        <f>+(BM159*1000)/BM156</f>
        <v>199.64215225130519</v>
      </c>
      <c r="BN157" s="369">
        <f>+(BN159*1000)/BN156</f>
        <v>201.98559105124116</v>
      </c>
      <c r="BO157" s="406">
        <f>+(BO159*1000)/BO156</f>
        <v>199.66514056777402</v>
      </c>
      <c r="BP157" s="617"/>
      <c r="BQ157" s="369">
        <f>+(BQ159*1000)/BQ156</f>
        <v>214.92472471468906</v>
      </c>
      <c r="BR157" s="369">
        <f>+BL157*(1+BR158)</f>
        <v>210.83957282940952</v>
      </c>
      <c r="BS157" s="369">
        <f>+BM157*(1+BS158)</f>
        <v>199.64215225130519</v>
      </c>
      <c r="BT157" s="369">
        <f>+BN157*(1+BT158)</f>
        <v>201.98559105124116</v>
      </c>
      <c r="BU157" s="369">
        <f>+(BU159*1000)/BU156</f>
        <v>206.29540377969062</v>
      </c>
      <c r="BV157" s="617"/>
      <c r="BW157" s="369">
        <f>+BQ157*(1+BW158)</f>
        <v>204.17848847895459</v>
      </c>
      <c r="BX157" s="369">
        <f>+BR157*(1+BX158)</f>
        <v>200.29759418793904</v>
      </c>
      <c r="BY157" s="369">
        <f>+BS157*(1+BY158)</f>
        <v>189.66004463873992</v>
      </c>
      <c r="BZ157" s="369">
        <f>+BT157*(1+BZ158)</f>
        <v>191.88631149867908</v>
      </c>
      <c r="CA157" s="369">
        <f>+(CA159*1000)/CA156</f>
        <v>195.92623286711063</v>
      </c>
      <c r="CB157" s="617"/>
      <c r="CC157" s="369">
        <f>+BW157*(1+CC158)</f>
        <v>193.96956405500686</v>
      </c>
      <c r="CD157" s="369">
        <f>+BX157*(1+CD158)</f>
        <v>190.28271447854209</v>
      </c>
      <c r="CE157" s="369">
        <f>+BY157*(1+CE158)</f>
        <v>180.17704240680291</v>
      </c>
      <c r="CF157" s="369">
        <f>+BZ157*(1+CF158)</f>
        <v>182.29199592374511</v>
      </c>
      <c r="CG157" s="369">
        <f>+(CG159*1000)/CG156</f>
        <v>186.16355056048056</v>
      </c>
    </row>
    <row r="158" spans="1:85" x14ac:dyDescent="0.2">
      <c r="A158" s="42"/>
      <c r="B158" s="290" t="s">
        <v>376</v>
      </c>
      <c r="C158" s="42"/>
      <c r="D158" s="42"/>
      <c r="E158" s="42"/>
      <c r="F158" s="42"/>
      <c r="G158" s="42"/>
      <c r="H158" s="315"/>
      <c r="I158" s="315"/>
      <c r="J158" s="315"/>
      <c r="K158" s="315"/>
      <c r="L158" s="315"/>
      <c r="M158" s="315"/>
      <c r="N158" s="315"/>
      <c r="O158" s="315">
        <f>+O157/I157-1</f>
        <v>-0.14794116017933057</v>
      </c>
      <c r="P158" s="315">
        <f>+P157/J157-1</f>
        <v>-0.17605911697980303</v>
      </c>
      <c r="Q158" s="315">
        <f>+Q157/K157-1</f>
        <v>-0.18162254436462433</v>
      </c>
      <c r="R158" s="315">
        <f>+R157/L157-1</f>
        <v>-0.27048368590956173</v>
      </c>
      <c r="S158" s="315">
        <f>+S157/M157-1</f>
        <v>-0.19656672619661475</v>
      </c>
      <c r="T158" s="315"/>
      <c r="U158" s="315">
        <f>+U157/O157-1</f>
        <v>-0.13788656138059407</v>
      </c>
      <c r="V158" s="315">
        <f>+V157/P157-1</f>
        <v>-7.3505331682038433E-2</v>
      </c>
      <c r="W158" s="315">
        <f>+W157/Q157-1</f>
        <v>-2.5937541334100311E-2</v>
      </c>
      <c r="X158" s="315">
        <f>+X157/R157-1</f>
        <v>5.1967187262267789E-2</v>
      </c>
      <c r="Y158" s="315">
        <f>+Y157/S157-1</f>
        <v>-4.7289865003979359E-2</v>
      </c>
      <c r="Z158" s="315"/>
      <c r="AA158" s="315">
        <f>+AA157/U157-1</f>
        <v>3.5848249093153539E-2</v>
      </c>
      <c r="AB158" s="315">
        <f>+AB157/V157-1</f>
        <v>3.0168266705878688E-2</v>
      </c>
      <c r="AC158" s="315">
        <f>+AC157/W157-1</f>
        <v>-6.2416721038674128E-2</v>
      </c>
      <c r="AD158" s="315">
        <f>+AD157/X157-1</f>
        <v>-0.1100881347903806</v>
      </c>
      <c r="AE158" s="315">
        <f>+AE157/Y157-1</f>
        <v>-2.6815357941807338E-2</v>
      </c>
      <c r="AF158" s="315"/>
      <c r="AG158" s="315">
        <f>+AG157/AA157-1</f>
        <v>-7.0507538691817362E-2</v>
      </c>
      <c r="AH158" s="315">
        <f>+AH157/AB157-1</f>
        <v>-0.11713544434943968</v>
      </c>
      <c r="AI158" s="315">
        <f>+AI157/AC157-1</f>
        <v>-1.117121875160787E-2</v>
      </c>
      <c r="AJ158" s="315">
        <f>+AJ157/AD157-1</f>
        <v>-1.9925047833393661E-2</v>
      </c>
      <c r="AK158" s="315">
        <f>+AK157/AE157-1</f>
        <v>-5.777573466941055E-2</v>
      </c>
      <c r="AL158" s="315"/>
      <c r="AM158" s="315">
        <f>+AM157/AG157-1</f>
        <v>-0.16489360317469559</v>
      </c>
      <c r="AN158" s="315">
        <f>+AN157/AH157-1</f>
        <v>-7.0225844694481454E-3</v>
      </c>
      <c r="AO158" s="315">
        <f>+AO157/AI157-1</f>
        <v>-0.11910343551111702</v>
      </c>
      <c r="AP158" s="315">
        <f>+AP157/AJ157-1</f>
        <v>6.2317875990209881E-2</v>
      </c>
      <c r="AQ158" s="315">
        <f>+AQ157/AK157-1</f>
        <v>-5.5767966935052149E-2</v>
      </c>
      <c r="AR158" s="315"/>
      <c r="AS158" s="315">
        <f>+AS157/AM157-1</f>
        <v>0.1705960866095495</v>
      </c>
      <c r="AT158" s="315">
        <f>+AT157/AN157-1</f>
        <v>2.7539993291995746E-2</v>
      </c>
      <c r="AU158" s="315">
        <f>+AU157/AO157-1</f>
        <v>7.6693668514624003E-2</v>
      </c>
      <c r="AV158" s="315">
        <f>+AV157/AP157-1</f>
        <v>-6.7471496948205645E-2</v>
      </c>
      <c r="AW158" s="315">
        <f>+AW157/AQ157-1</f>
        <v>4.1936335954628312E-2</v>
      </c>
      <c r="AX158" s="315"/>
      <c r="AY158" s="315">
        <f>+AY157/AS157-1</f>
        <v>-6.8063529638162645E-2</v>
      </c>
      <c r="AZ158" s="315">
        <f>+AZ157/AT157-1</f>
        <v>-2.0477781486947566E-2</v>
      </c>
      <c r="BA158" s="315">
        <f>+BA157/AU157-1</f>
        <v>-7.9306881272738994E-2</v>
      </c>
      <c r="BB158" s="315">
        <f>+BB157/AV157-1</f>
        <v>-1.1895700852112445E-2</v>
      </c>
      <c r="BC158" s="315">
        <f>+BC157/AW157-1</f>
        <v>-4.4037724849417259E-2</v>
      </c>
      <c r="BD158" s="315"/>
      <c r="BE158" s="315">
        <f>+BE157/AY157-1</f>
        <v>-1.7163342138050153E-3</v>
      </c>
      <c r="BF158" s="315">
        <f>+BF157/AZ157-1</f>
        <v>-3.545230929354648E-2</v>
      </c>
      <c r="BG158" s="315">
        <f>+BG157/BA157-1</f>
        <v>4.6512690120691813E-2</v>
      </c>
      <c r="BH158" s="315">
        <f>+BH157/BB157-1</f>
        <v>-9.6394604274843143E-2</v>
      </c>
      <c r="BI158" s="315">
        <f>+BI157/BC157-1</f>
        <v>-2.5577650769435856E-2</v>
      </c>
      <c r="BK158" s="315">
        <f>+BK157/BE157-1</f>
        <v>-2.4579665859149391E-2</v>
      </c>
      <c r="BL158" s="315">
        <f>+BL157/BF157-1</f>
        <v>-3.8852032916549817E-2</v>
      </c>
      <c r="BM158" s="315">
        <f>+BM157/BG157-1</f>
        <v>-3.453684418820846E-2</v>
      </c>
      <c r="BN158" s="315">
        <f>+BN157/BH157-1</f>
        <v>5.585951779577325E-2</v>
      </c>
      <c r="BO158" s="315">
        <f>+BO157/BI157-1</f>
        <v>-9.3073444639676373E-3</v>
      </c>
      <c r="BQ158" s="315">
        <f>+BQ157/BK157-1</f>
        <v>7.6917248472108124E-2</v>
      </c>
      <c r="BR158" s="757">
        <v>7.0000000000000007E-2</v>
      </c>
      <c r="BS158" s="757">
        <v>0</v>
      </c>
      <c r="BT158" s="757">
        <f>+BS158</f>
        <v>0</v>
      </c>
      <c r="BU158" s="315">
        <f>+BU157/BO157-1</f>
        <v>3.3206914301928681E-2</v>
      </c>
      <c r="BW158" s="757">
        <v>-0.05</v>
      </c>
      <c r="BX158" s="757">
        <f t="shared" ref="BX158:BZ158" si="216">+BW158</f>
        <v>-0.05</v>
      </c>
      <c r="BY158" s="757">
        <f t="shared" si="216"/>
        <v>-0.05</v>
      </c>
      <c r="BZ158" s="757">
        <f t="shared" si="216"/>
        <v>-0.05</v>
      </c>
      <c r="CA158" s="315">
        <f t="shared" ref="CA158" si="217">+CA157/BU157-1</f>
        <v>-5.0263703032635498E-2</v>
      </c>
      <c r="CC158" s="757">
        <v>-0.05</v>
      </c>
      <c r="CD158" s="757">
        <f t="shared" ref="CD158" si="218">+CC158</f>
        <v>-0.05</v>
      </c>
      <c r="CE158" s="757">
        <f t="shared" ref="CE158" si="219">+CD158</f>
        <v>-0.05</v>
      </c>
      <c r="CF158" s="757">
        <f t="shared" ref="CF158" si="220">+CE158</f>
        <v>-0.05</v>
      </c>
      <c r="CG158" s="315">
        <f t="shared" ref="CG158" si="221">+CG157/CA157-1</f>
        <v>-4.9828357151396552E-2</v>
      </c>
    </row>
    <row r="159" spans="1:85" x14ac:dyDescent="0.2">
      <c r="A159" s="42"/>
      <c r="B159" s="32" t="s">
        <v>493</v>
      </c>
      <c r="C159" s="42"/>
      <c r="D159" s="42"/>
      <c r="E159" s="42"/>
      <c r="F159" s="42"/>
      <c r="G159" s="42"/>
      <c r="H159" s="618"/>
      <c r="I159" s="369">
        <f>+I153-I151</f>
        <v>16.467408000000006</v>
      </c>
      <c r="J159" s="369">
        <f>+J153-J151</f>
        <v>16.807214000000002</v>
      </c>
      <c r="K159" s="369">
        <f>+K153-K151</f>
        <v>16.16599999999999</v>
      </c>
      <c r="L159" s="369">
        <f>+L153-L151</f>
        <v>17.009377999999991</v>
      </c>
      <c r="M159" s="369">
        <f>+M153-M151</f>
        <v>66.450000000000017</v>
      </c>
      <c r="N159" s="618"/>
      <c r="O159" s="369">
        <f>+O153-O151</f>
        <v>13.567740000000015</v>
      </c>
      <c r="P159" s="369">
        <f>+P153-P151</f>
        <v>13.377460000000013</v>
      </c>
      <c r="Q159" s="369">
        <f>+Q153-Q151</f>
        <v>14.160743000000004</v>
      </c>
      <c r="R159" s="369">
        <f>+R153-R151</f>
        <v>14.393432000000033</v>
      </c>
      <c r="S159" s="369">
        <f>+S153-S151</f>
        <v>55.543000000000006</v>
      </c>
      <c r="T159" s="618"/>
      <c r="U159" s="369">
        <f>+U153-U151</f>
        <v>14.863</v>
      </c>
      <c r="V159" s="369">
        <f>+V153-V151</f>
        <v>15.780000000000001</v>
      </c>
      <c r="W159" s="369">
        <f>+W153-W151</f>
        <v>16.166999999999987</v>
      </c>
      <c r="X159" s="369">
        <f>+X153-X151</f>
        <v>15.744000000000028</v>
      </c>
      <c r="Y159" s="369">
        <f>+Y153-Y151</f>
        <v>62.55400000000003</v>
      </c>
      <c r="Z159" s="618"/>
      <c r="AA159" s="369">
        <f>+AA153-AA151</f>
        <v>17.274000000000001</v>
      </c>
      <c r="AB159" s="369">
        <f>+AB153-AB151</f>
        <v>18.311999999999983</v>
      </c>
      <c r="AC159" s="369">
        <f>+AC153-AC151</f>
        <v>18.160200000000003</v>
      </c>
      <c r="AD159" s="369">
        <f>+AD153-AD151</f>
        <v>18.225700000000003</v>
      </c>
      <c r="AE159" s="369">
        <f>+AE153-AE151</f>
        <v>72.199999999999989</v>
      </c>
      <c r="AF159" s="618"/>
      <c r="AG159" s="369">
        <f>+AG153-AG151</f>
        <v>19.182000000000002</v>
      </c>
      <c r="AH159" s="369">
        <f>+AH153-AH151</f>
        <v>20.262999999999991</v>
      </c>
      <c r="AI159" s="369">
        <f>+AI153-AI151</f>
        <v>20.934000000000012</v>
      </c>
      <c r="AJ159" s="369">
        <f>+AJ153-AJ151</f>
        <v>19.569000000000003</v>
      </c>
      <c r="AK159" s="369">
        <f>+AK153-AK151</f>
        <v>79.947999999999979</v>
      </c>
      <c r="AL159" s="618"/>
      <c r="AM159" s="369">
        <f>+AM153-AM151</f>
        <v>18.436000000000007</v>
      </c>
      <c r="AN159" s="369">
        <f>+AN153-AN151</f>
        <v>22.413000000000011</v>
      </c>
      <c r="AO159" s="369">
        <f>+AO153-AO151</f>
        <v>21.307999999999993</v>
      </c>
      <c r="AP159" s="369">
        <f>+AP153-AP151</f>
        <v>25.533000000000015</v>
      </c>
      <c r="AQ159" s="369">
        <f>+AQ153-AQ151</f>
        <v>87.69</v>
      </c>
      <c r="AR159" s="618"/>
      <c r="AS159" s="369">
        <f>+AS153-AS151</f>
        <v>24.675000000000011</v>
      </c>
      <c r="AT159" s="369">
        <f>+AT153-AT151</f>
        <v>25.932999999999993</v>
      </c>
      <c r="AU159" s="369">
        <f>+AU153-AU151</f>
        <v>25.670999999999992</v>
      </c>
      <c r="AV159" s="369">
        <f>+AV153-AV151</f>
        <v>27.150999999999982</v>
      </c>
      <c r="AW159" s="369">
        <f>+SUM(AS159:AV159)</f>
        <v>103.42999999999998</v>
      </c>
      <c r="AX159" s="618"/>
      <c r="AY159" s="369">
        <f>+AY153-AY151</f>
        <v>26.80400000000003</v>
      </c>
      <c r="AZ159" s="369">
        <f>+AZ153-AZ151</f>
        <v>30.713000000000022</v>
      </c>
      <c r="BA159" s="369">
        <f>+BA153-BA151</f>
        <v>29.145000000000067</v>
      </c>
      <c r="BB159" s="369">
        <f>+BB153-BB151</f>
        <v>33.957999999999998</v>
      </c>
      <c r="BC159" s="369">
        <f>+BC153-BC151</f>
        <v>120.62000000000023</v>
      </c>
      <c r="BD159" s="619"/>
      <c r="BE159" s="369">
        <f>+BE153-BE151</f>
        <v>33.481999999999999</v>
      </c>
      <c r="BF159" s="369">
        <f>+BF153-BF151</f>
        <v>36.285999999999973</v>
      </c>
      <c r="BG159" s="369">
        <f>+BG153-BG151</f>
        <v>38.834000000000003</v>
      </c>
      <c r="BH159" s="369">
        <f>+BH153-BH151</f>
        <v>39.225999999999999</v>
      </c>
      <c r="BI159" s="369">
        <f>+SUM(BE159:BH159)</f>
        <v>147.82799999999997</v>
      </c>
      <c r="BK159" s="369">
        <f>+BK153-BK151</f>
        <v>44.509999999999991</v>
      </c>
      <c r="BL159" s="369">
        <f>+BL153-BL151</f>
        <v>49.633999999999958</v>
      </c>
      <c r="BM159" s="369">
        <f>+BM153-BM151</f>
        <v>54.116000000000042</v>
      </c>
      <c r="BN159" s="369">
        <f>+BN153-BN151</f>
        <v>59.730999999999995</v>
      </c>
      <c r="BO159" s="369">
        <f>+SUM(BK159:BN159)</f>
        <v>207.99099999999999</v>
      </c>
      <c r="BQ159" s="369">
        <f>+BQ153-BQ151</f>
        <v>64.312999999999988</v>
      </c>
      <c r="BR159" s="369">
        <f>+(BR156*BR157)/1000</f>
        <v>71.073577237690998</v>
      </c>
      <c r="BS159" s="369">
        <f>+(BS156*BS157)/1000</f>
        <v>71.674507326287113</v>
      </c>
      <c r="BT159" s="369">
        <f>+(BT156*BT157)/1000</f>
        <v>80.863747339647816</v>
      </c>
      <c r="BU159" s="369">
        <f>+SUM(BQ159:BT159)</f>
        <v>287.92483190362589</v>
      </c>
      <c r="BW159" s="369">
        <f>+(BW156*BW157)/1000</f>
        <v>76.429521056861617</v>
      </c>
      <c r="BX159" s="369">
        <f>+(BX156*BX157)/1000</f>
        <v>86.379963910013515</v>
      </c>
      <c r="BY159" s="369">
        <f>+(BY156*BY157)/1000</f>
        <v>86.092877558299364</v>
      </c>
      <c r="BZ159" s="369">
        <f>+(BZ156*BZ157)/1000</f>
        <v>101.16025378507346</v>
      </c>
      <c r="CA159" s="369">
        <f>+SUM(BW159:BZ159)</f>
        <v>350.06261631024796</v>
      </c>
      <c r="CC159" s="369">
        <f>+(CC156*CC157)/1000</f>
        <v>87.659964853253001</v>
      </c>
      <c r="CD159" s="369">
        <f>+(CD156*CD157)/1000</f>
        <v>97.581857116788186</v>
      </c>
      <c r="CE159" s="369">
        <f>+(CE156*CE157)/1000</f>
        <v>96.372227207237984</v>
      </c>
      <c r="CF159" s="369">
        <f>+(CF156*CF157)/1000</f>
        <v>114.79886884657633</v>
      </c>
      <c r="CG159" s="369">
        <f>+SUM(CC159:CF159)</f>
        <v>396.41291802385553</v>
      </c>
    </row>
    <row r="160" spans="1:85" x14ac:dyDescent="0.2">
      <c r="A160" s="42"/>
      <c r="B160" s="32" t="s">
        <v>494</v>
      </c>
      <c r="C160" s="42"/>
      <c r="D160" s="42"/>
      <c r="E160" s="42"/>
      <c r="F160" s="42"/>
      <c r="G160" s="42"/>
      <c r="H160" s="618"/>
      <c r="I160" s="369">
        <f>+I159+I149</f>
        <v>19.608000000000004</v>
      </c>
      <c r="J160" s="369">
        <f>+J159+J149</f>
        <v>20.243000000000002</v>
      </c>
      <c r="K160" s="369">
        <f>+K159+K149</f>
        <v>18.765999999999991</v>
      </c>
      <c r="L160" s="369">
        <f>+L159+L149</f>
        <v>20.23299999999999</v>
      </c>
      <c r="M160" s="369">
        <f>+M159+M149</f>
        <v>78.850000000000023</v>
      </c>
      <c r="N160" s="618"/>
      <c r="O160" s="369">
        <f>+O159+O149</f>
        <v>17.425000000000015</v>
      </c>
      <c r="P160" s="369">
        <f>+P159+P149</f>
        <v>18.338000000000015</v>
      </c>
      <c r="Q160" s="369">
        <f>+Q159+Q149</f>
        <v>18.362000000000002</v>
      </c>
      <c r="R160" s="369">
        <f>+R159+R149</f>
        <v>18.551000000000034</v>
      </c>
      <c r="S160" s="369">
        <f>+S159+S149</f>
        <v>72.676000000000016</v>
      </c>
      <c r="T160" s="618"/>
      <c r="U160" s="369">
        <f>+U159+U149</f>
        <v>19.553000000000008</v>
      </c>
      <c r="V160" s="369">
        <f>+V159+V149</f>
        <v>21.17799999999999</v>
      </c>
      <c r="W160" s="369">
        <f>+W159+W149</f>
        <v>21.013999999999985</v>
      </c>
      <c r="X160" s="369">
        <f>+X159+X149</f>
        <v>21.137000000000022</v>
      </c>
      <c r="Y160" s="369">
        <f>+Y159+Y149</f>
        <v>82.882000000000033</v>
      </c>
      <c r="Z160" s="618"/>
      <c r="AA160" s="369">
        <f>+AA159+AA149</f>
        <v>22.629999999999988</v>
      </c>
      <c r="AB160" s="369">
        <f>+AB159+AB149</f>
        <v>24.311999999999983</v>
      </c>
      <c r="AC160" s="369">
        <f>+AC159+AC149</f>
        <v>24.460200000000004</v>
      </c>
      <c r="AD160" s="369">
        <f>+AD159+AD149</f>
        <v>25.325700000000005</v>
      </c>
      <c r="AE160" s="369">
        <f>+AE159+AE149</f>
        <v>96.955999999999975</v>
      </c>
      <c r="AF160" s="618"/>
      <c r="AG160" s="369">
        <f>+AG159+AG149</f>
        <v>25.939</v>
      </c>
      <c r="AH160" s="369">
        <f>+AH159+AH149</f>
        <v>28.051999999999992</v>
      </c>
      <c r="AI160" s="369">
        <f>+AI159+AI149</f>
        <v>28.391000000000012</v>
      </c>
      <c r="AJ160" s="369">
        <f>+AJ159+AJ149</f>
        <v>28.229000000000003</v>
      </c>
      <c r="AK160" s="369">
        <f>+AK159+AK149</f>
        <v>110.61099999999998</v>
      </c>
      <c r="AL160" s="618"/>
      <c r="AM160" s="369">
        <f>+AM159+AM149</f>
        <v>31.145000000000007</v>
      </c>
      <c r="AN160" s="369">
        <f>+AN159+AN149</f>
        <v>33.179000000000009</v>
      </c>
      <c r="AO160" s="369">
        <f>+AO159+AO149</f>
        <v>31.986999999999995</v>
      </c>
      <c r="AP160" s="369">
        <f>+AP159+AP149</f>
        <v>36.103000000000016</v>
      </c>
      <c r="AQ160" s="369">
        <f>+AQ159+AQ149</f>
        <v>132.41399999999999</v>
      </c>
      <c r="AR160" s="618"/>
      <c r="AS160" s="369"/>
      <c r="AT160" s="369"/>
      <c r="AU160" s="369"/>
      <c r="AV160" s="369"/>
      <c r="AW160" s="369"/>
      <c r="AX160" s="618"/>
      <c r="AY160" s="369">
        <f>+AY159+AY149</f>
        <v>39.069000000000031</v>
      </c>
      <c r="AZ160" s="369">
        <f>+AZ159+AZ149</f>
        <v>43.497000000000021</v>
      </c>
      <c r="BA160" s="369">
        <f>+BA159+BA149</f>
        <v>42.087000000000067</v>
      </c>
      <c r="BB160" s="369">
        <f>+BB159+BB149</f>
        <v>47.363</v>
      </c>
      <c r="BC160" s="369">
        <f>+BC159+BC149</f>
        <v>172.01600000000025</v>
      </c>
      <c r="BD160" s="619"/>
      <c r="BE160" s="369">
        <f>+BE159+BE149</f>
        <v>47.631</v>
      </c>
      <c r="BF160" s="369">
        <f>+BF159+BF149</f>
        <v>52.109999999999971</v>
      </c>
      <c r="BG160" s="369">
        <f>+BG159+BG149</f>
        <v>54.398000000000003</v>
      </c>
      <c r="BH160" s="369">
        <f>+BH159+BH149</f>
        <v>56.694000000000003</v>
      </c>
      <c r="BI160" s="369">
        <f>+BI159+BI149</f>
        <v>210.83299999999997</v>
      </c>
      <c r="BK160" s="369">
        <f>+BK159+BK149</f>
        <v>62.451999999999991</v>
      </c>
      <c r="BL160" s="369">
        <f>+BL159+BL149</f>
        <v>70.221999999999952</v>
      </c>
      <c r="BM160" s="369">
        <f>+BM159+BM149</f>
        <v>75.32600000000005</v>
      </c>
      <c r="BN160" s="369">
        <f>+BN159+BN149</f>
        <v>81.698999999999998</v>
      </c>
      <c r="BO160" s="369">
        <f>+BO159+BO149</f>
        <v>289.69899999999996</v>
      </c>
      <c r="BQ160" s="369">
        <f>+BQ159+BQ149</f>
        <v>88.528999999999996</v>
      </c>
      <c r="BR160" s="369">
        <f>+BR159+BR149</f>
        <v>95.882117237691006</v>
      </c>
      <c r="BS160" s="369">
        <f>+BS159+BS149</f>
        <v>96.596257326287116</v>
      </c>
      <c r="BT160" s="369">
        <f>+BT159+BT149</f>
        <v>106.56630733964781</v>
      </c>
      <c r="BU160" s="369">
        <f>+BU159+BU149</f>
        <v>387.57368190362592</v>
      </c>
      <c r="BW160" s="369">
        <f>+BW159+BW149</f>
        <v>104.27792105686162</v>
      </c>
      <c r="BX160" s="369">
        <f>+BX159+BX149</f>
        <v>114.90978491001351</v>
      </c>
      <c r="BY160" s="369">
        <f>+BY159+BY149</f>
        <v>114.75289005829936</v>
      </c>
      <c r="BZ160" s="369">
        <f>+BZ159+BZ149</f>
        <v>130.71819778507347</v>
      </c>
      <c r="CA160" s="369">
        <f>+CA159+CA149</f>
        <v>464.65879381024797</v>
      </c>
      <c r="CC160" s="369">
        <f>+CC159+CC149</f>
        <v>119.68562485325299</v>
      </c>
      <c r="CD160" s="369">
        <f>+CD159+CD149</f>
        <v>130.3911512667882</v>
      </c>
      <c r="CE160" s="369">
        <f>+CE159+CE149</f>
        <v>129.33124158223796</v>
      </c>
      <c r="CF160" s="369">
        <f>+CF159+CF149</f>
        <v>148.79050444657634</v>
      </c>
      <c r="CG160" s="369">
        <f>+CG159+CG149</f>
        <v>528.19852214885555</v>
      </c>
    </row>
    <row r="161" spans="1:87" ht="4.5" customHeight="1" x14ac:dyDescent="0.2">
      <c r="A161" s="42"/>
      <c r="B161" s="42"/>
      <c r="C161" s="42"/>
      <c r="D161" s="42"/>
      <c r="E161" s="42"/>
      <c r="F161" s="42"/>
      <c r="G161" s="42"/>
      <c r="H161" s="42"/>
      <c r="I161" s="42"/>
      <c r="J161" s="42"/>
      <c r="K161" s="42"/>
      <c r="L161" s="42"/>
      <c r="M161" s="42"/>
      <c r="N161" s="42"/>
      <c r="O161" s="42"/>
      <c r="P161" s="42"/>
      <c r="Q161" s="42"/>
      <c r="R161" s="42"/>
      <c r="S161" s="42"/>
      <c r="T161" s="42"/>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c r="AV161" s="42"/>
      <c r="AW161" s="42"/>
      <c r="AX161" s="42"/>
      <c r="AY161" s="42"/>
      <c r="AZ161" s="42"/>
      <c r="BA161" s="42"/>
      <c r="BB161" s="42"/>
      <c r="BC161" s="42"/>
      <c r="BD161" s="42"/>
      <c r="BE161" s="42"/>
      <c r="BF161" s="42"/>
      <c r="BG161" s="42"/>
      <c r="BH161" s="42"/>
      <c r="BI161" s="42"/>
    </row>
    <row r="162" spans="1:87" ht="12" customHeight="1" x14ac:dyDescent="0.2">
      <c r="A162" s="42"/>
      <c r="B162" s="42"/>
      <c r="C162" s="42"/>
      <c r="D162" s="42"/>
      <c r="E162" s="42"/>
      <c r="F162" s="42"/>
      <c r="G162" s="42"/>
      <c r="H162" s="42"/>
      <c r="I162" s="42"/>
      <c r="J162" s="42"/>
      <c r="K162" s="42"/>
      <c r="L162" s="42"/>
      <c r="M162" s="42"/>
      <c r="N162" s="42"/>
      <c r="O162" s="42"/>
      <c r="P162" s="42"/>
      <c r="Q162" s="42"/>
      <c r="R162" s="42"/>
      <c r="S162" s="42"/>
      <c r="T162" s="42"/>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c r="AV162" s="42"/>
      <c r="AW162" s="42"/>
      <c r="AX162" s="42"/>
      <c r="AY162" s="42"/>
      <c r="AZ162" s="42"/>
      <c r="BA162" s="42"/>
      <c r="BB162" s="42"/>
      <c r="BC162" s="42"/>
      <c r="BD162" s="42"/>
      <c r="BE162" s="42"/>
      <c r="BF162" s="42"/>
      <c r="BG162" s="42"/>
      <c r="BH162" s="42"/>
      <c r="BI162" s="42"/>
      <c r="BO162" s="395">
        <f>+BO164/BO22</f>
        <v>5.095347166860386E-2</v>
      </c>
      <c r="BU162" s="395">
        <f>+BU164/BU22</f>
        <v>6.4480328249082702E-2</v>
      </c>
      <c r="CA162" s="395">
        <f>+CA164/CA22</f>
        <v>6.4312179346925485E-2</v>
      </c>
      <c r="CG162" s="395">
        <f>+CG164/CG22</f>
        <v>6.0223674791651208E-2</v>
      </c>
    </row>
    <row r="163" spans="1:87" ht="12" customHeight="1" x14ac:dyDescent="0.2">
      <c r="A163" s="42"/>
      <c r="B163" s="293" t="s">
        <v>495</v>
      </c>
      <c r="C163" s="42"/>
      <c r="D163" s="42"/>
      <c r="E163" s="42"/>
      <c r="F163" s="42"/>
      <c r="G163" s="42"/>
      <c r="H163" s="42"/>
      <c r="I163" s="42"/>
      <c r="J163" s="42"/>
      <c r="K163" s="42"/>
      <c r="L163" s="42"/>
      <c r="M163" s="42"/>
      <c r="N163" s="42"/>
      <c r="O163" s="42"/>
      <c r="P163" s="42"/>
      <c r="Q163" s="42"/>
      <c r="R163" s="42"/>
      <c r="S163" s="42"/>
      <c r="T163" s="42"/>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c r="AV163" s="42"/>
      <c r="AW163" s="42"/>
      <c r="AX163" s="42"/>
      <c r="AY163" s="42"/>
      <c r="AZ163" s="42"/>
      <c r="BA163" s="42"/>
      <c r="BB163" s="42"/>
      <c r="BC163" s="42"/>
      <c r="BD163" s="42"/>
      <c r="BE163" s="42"/>
      <c r="BF163" s="42"/>
      <c r="BG163" s="42"/>
      <c r="BH163" s="42"/>
      <c r="BI163" s="42"/>
      <c r="BN163" s="395"/>
      <c r="BO163" s="889">
        <f>30%/70%</f>
        <v>0.4285714285714286</v>
      </c>
      <c r="BP163" s="158"/>
      <c r="BQ163" s="158"/>
      <c r="BR163" s="158"/>
      <c r="BS163" s="158"/>
      <c r="BT163" s="889"/>
      <c r="BU163" s="889">
        <f>30%/70%</f>
        <v>0.4285714285714286</v>
      </c>
      <c r="BV163" s="158"/>
      <c r="BW163" s="158"/>
      <c r="BX163" s="158"/>
      <c r="BY163" s="158"/>
      <c r="BZ163" s="889"/>
      <c r="CA163" s="889">
        <f>30%/70%</f>
        <v>0.4285714285714286</v>
      </c>
      <c r="CB163" s="158"/>
      <c r="CC163" s="158"/>
      <c r="CD163" s="158"/>
      <c r="CE163" s="158"/>
      <c r="CF163" s="889"/>
      <c r="CG163" s="889">
        <f>30%/70%</f>
        <v>0.4285714285714286</v>
      </c>
    </row>
    <row r="164" spans="1:87" x14ac:dyDescent="0.2">
      <c r="B164" s="293" t="s">
        <v>510</v>
      </c>
      <c r="BE164" s="644"/>
      <c r="BF164" s="646"/>
      <c r="BO164" s="989">
        <f>+BO163*BO167</f>
        <v>47.438191658186874</v>
      </c>
      <c r="BP164" s="158"/>
      <c r="BQ164" s="158"/>
      <c r="BR164" s="158"/>
      <c r="BS164" s="158"/>
      <c r="BT164" s="158"/>
      <c r="BU164" s="989">
        <f>+BU163*BU167</f>
        <v>78.225349760807717</v>
      </c>
      <c r="BV164" s="158"/>
      <c r="BW164" s="158"/>
      <c r="BX164" s="158"/>
      <c r="BY164" s="158"/>
      <c r="BZ164" s="158"/>
      <c r="CA164" s="989">
        <f>+CA163*CA167</f>
        <v>99.913739259551946</v>
      </c>
      <c r="CB164" s="158"/>
      <c r="CC164" s="158"/>
      <c r="CD164" s="158"/>
      <c r="CE164" s="158"/>
      <c r="CF164" s="158"/>
      <c r="CG164" s="989">
        <f>+CG163*CG167</f>
        <v>112.43894590550818</v>
      </c>
    </row>
    <row r="165" spans="1:87" x14ac:dyDescent="0.2">
      <c r="B165" s="882" t="s">
        <v>519</v>
      </c>
      <c r="C165" s="643"/>
      <c r="D165" s="643"/>
      <c r="E165" s="643"/>
      <c r="F165" s="643"/>
      <c r="G165" s="643"/>
      <c r="H165" s="643"/>
      <c r="I165" s="643"/>
      <c r="J165" s="643"/>
      <c r="K165" s="643"/>
      <c r="L165" s="643"/>
      <c r="M165" s="643"/>
      <c r="N165" s="643"/>
      <c r="O165" s="643"/>
      <c r="P165" s="643"/>
      <c r="Q165" s="643"/>
      <c r="R165" s="643"/>
      <c r="S165" s="643"/>
      <c r="T165" s="643"/>
      <c r="U165" s="643"/>
      <c r="V165" s="643"/>
      <c r="W165" s="643"/>
      <c r="X165" s="643"/>
      <c r="Y165" s="643"/>
      <c r="Z165" s="643"/>
      <c r="AA165" s="643"/>
      <c r="AB165" s="643"/>
      <c r="AC165" s="643"/>
      <c r="AD165" s="643"/>
      <c r="AE165" s="643"/>
      <c r="AF165" s="643"/>
      <c r="AG165" s="643"/>
      <c r="AH165" s="643"/>
      <c r="AI165" s="643"/>
      <c r="AJ165" s="643"/>
      <c r="AK165" s="643"/>
      <c r="AL165" s="643"/>
      <c r="AM165" s="643"/>
      <c r="AN165" s="643"/>
      <c r="AO165" s="643"/>
      <c r="AP165" s="643"/>
      <c r="AQ165" s="643"/>
      <c r="AR165" s="643"/>
      <c r="AS165" s="643"/>
      <c r="AT165" s="643"/>
      <c r="AU165" s="643"/>
      <c r="AV165" s="643"/>
      <c r="AW165" s="643"/>
      <c r="AX165" s="643"/>
      <c r="AY165" s="643"/>
      <c r="AZ165" s="643"/>
      <c r="BA165" s="643"/>
      <c r="BB165" s="643"/>
      <c r="BC165" s="643"/>
      <c r="BD165" s="643"/>
      <c r="BE165" s="883"/>
      <c r="BF165" s="884"/>
      <c r="BG165" s="643"/>
      <c r="BH165" s="643"/>
      <c r="BI165" s="885"/>
      <c r="BJ165" s="643"/>
      <c r="BK165" s="643"/>
      <c r="BL165" s="643"/>
      <c r="BM165" s="643"/>
      <c r="BN165" s="643"/>
      <c r="BO165" s="886">
        <v>110689.1138691027</v>
      </c>
      <c r="BP165" s="887"/>
      <c r="BQ165" s="887"/>
      <c r="BR165" s="887"/>
      <c r="BS165" s="887"/>
      <c r="BT165" s="887"/>
      <c r="BU165" s="886">
        <v>192132.4380090014</v>
      </c>
      <c r="BV165" s="887"/>
      <c r="BW165" s="887"/>
      <c r="BX165" s="887"/>
      <c r="BY165" s="887"/>
      <c r="BZ165" s="887"/>
      <c r="CA165" s="886">
        <v>333045.79753183981</v>
      </c>
      <c r="CB165" s="887"/>
      <c r="CC165" s="886"/>
      <c r="CD165" s="886"/>
      <c r="CE165" s="886"/>
      <c r="CF165" s="887"/>
      <c r="CG165" s="886">
        <v>437262.56741030957</v>
      </c>
    </row>
    <row r="166" spans="1:87" x14ac:dyDescent="0.2">
      <c r="B166" s="882" t="s">
        <v>520</v>
      </c>
      <c r="C166" s="643"/>
      <c r="D166" s="643"/>
      <c r="E166" s="643"/>
      <c r="F166" s="643"/>
      <c r="G166" s="643"/>
      <c r="H166" s="643"/>
      <c r="I166" s="643"/>
      <c r="J166" s="643"/>
      <c r="K166" s="643"/>
      <c r="L166" s="643"/>
      <c r="M166" s="643"/>
      <c r="N166" s="643"/>
      <c r="O166" s="643"/>
      <c r="P166" s="643"/>
      <c r="Q166" s="643"/>
      <c r="R166" s="643"/>
      <c r="S166" s="643"/>
      <c r="T166" s="643"/>
      <c r="U166" s="643"/>
      <c r="V166" s="643"/>
      <c r="W166" s="643"/>
      <c r="X166" s="643"/>
      <c r="Y166" s="643"/>
      <c r="Z166" s="643"/>
      <c r="AA166" s="643"/>
      <c r="AB166" s="643"/>
      <c r="AC166" s="643"/>
      <c r="AD166" s="643"/>
      <c r="AE166" s="643"/>
      <c r="AF166" s="643"/>
      <c r="AG166" s="643"/>
      <c r="AH166" s="643"/>
      <c r="AI166" s="643"/>
      <c r="AJ166" s="643"/>
      <c r="AK166" s="643"/>
      <c r="AL166" s="643"/>
      <c r="AM166" s="643"/>
      <c r="AN166" s="643"/>
      <c r="AO166" s="643"/>
      <c r="AP166" s="643"/>
      <c r="AQ166" s="643"/>
      <c r="AR166" s="643"/>
      <c r="AS166" s="643"/>
      <c r="AT166" s="643"/>
      <c r="AU166" s="643"/>
      <c r="AV166" s="643"/>
      <c r="AW166" s="643"/>
      <c r="AX166" s="643"/>
      <c r="AY166" s="643"/>
      <c r="AZ166" s="643"/>
      <c r="BA166" s="643"/>
      <c r="BB166" s="643"/>
      <c r="BC166" s="643"/>
      <c r="BD166" s="643"/>
      <c r="BE166" s="883"/>
      <c r="BF166" s="884"/>
      <c r="BG166" s="643"/>
      <c r="BH166" s="643"/>
      <c r="BI166" s="888"/>
      <c r="BJ166" s="643"/>
      <c r="BK166" s="643"/>
      <c r="BL166" s="643"/>
      <c r="BM166" s="643"/>
      <c r="BN166" s="643"/>
      <c r="BO166" s="888">
        <v>1</v>
      </c>
      <c r="BP166" s="643"/>
      <c r="BQ166" s="643"/>
      <c r="BR166" s="643"/>
      <c r="BS166" s="643"/>
      <c r="BT166" s="643"/>
      <c r="BU166" s="888">
        <v>0.95</v>
      </c>
      <c r="BV166" s="643"/>
      <c r="BW166" s="643"/>
      <c r="BX166" s="643"/>
      <c r="BY166" s="643"/>
      <c r="BZ166" s="643"/>
      <c r="CA166" s="888">
        <v>0.7</v>
      </c>
      <c r="CB166" s="643"/>
      <c r="CC166" s="643"/>
      <c r="CD166" s="643"/>
      <c r="CE166" s="643"/>
      <c r="CF166" s="643"/>
      <c r="CG166" s="888">
        <v>0.6</v>
      </c>
      <c r="CI166" s="384"/>
    </row>
    <row r="167" spans="1:87" x14ac:dyDescent="0.2">
      <c r="B167" s="32" t="s">
        <v>521</v>
      </c>
      <c r="BE167" s="646"/>
      <c r="BF167" s="391"/>
      <c r="BG167" s="859">
        <v>10</v>
      </c>
      <c r="BH167" s="859">
        <v>15</v>
      </c>
      <c r="BI167" s="666">
        <f>+SUM(BE167:BH167)</f>
        <v>25</v>
      </c>
      <c r="BK167" s="859">
        <v>15</v>
      </c>
      <c r="BL167" s="909">
        <v>20</v>
      </c>
      <c r="BM167" s="909">
        <v>35</v>
      </c>
      <c r="BN167" s="666">
        <f>+BO167-BM167-BL167-BK167</f>
        <v>40.689113869102698</v>
      </c>
      <c r="BO167" s="666">
        <f>+(BO166*BO165)/1000</f>
        <v>110.6891138691027</v>
      </c>
      <c r="BQ167" s="666">
        <f>+BK167*(1+BQ168)</f>
        <v>27</v>
      </c>
      <c r="BR167" s="666">
        <f>+BL167*(1+BR168)</f>
        <v>36</v>
      </c>
      <c r="BS167" s="666">
        <f>+BM167*(1+BS168)</f>
        <v>50.75</v>
      </c>
      <c r="BT167" s="666">
        <f>+BU167-BS167-BR167-BQ167</f>
        <v>68.775816108551311</v>
      </c>
      <c r="BU167" s="666">
        <f>+(BU166*BU165)/1000</f>
        <v>182.52581610855131</v>
      </c>
      <c r="BW167" s="666">
        <f>+BQ167*(1+BW168)</f>
        <v>32.4</v>
      </c>
      <c r="BX167" s="666">
        <f>+BR167*(1+BX168)</f>
        <v>43.199999999999996</v>
      </c>
      <c r="BY167" s="666">
        <f>+BS167*(1+BY168)</f>
        <v>60.9</v>
      </c>
      <c r="BZ167" s="666">
        <f>+CA167-BY167-BX167-BW167</f>
        <v>96.63205827228785</v>
      </c>
      <c r="CA167" s="666">
        <f>+(CA166*CA165)/1000</f>
        <v>233.13205827228785</v>
      </c>
      <c r="CC167" s="666">
        <f>+BW167*(1+CC168)</f>
        <v>35.64</v>
      </c>
      <c r="CD167" s="666">
        <f>+BX167*(1+CD168)</f>
        <v>47.519999999999996</v>
      </c>
      <c r="CE167" s="666">
        <f>+BY167*(1+CE168)</f>
        <v>63.945</v>
      </c>
      <c r="CF167" s="666">
        <f>+CG167-CE167-CD167-CC167</f>
        <v>115.25254044618576</v>
      </c>
      <c r="CG167" s="666">
        <f>+(CG166*CG165)/1000</f>
        <v>262.35754044618574</v>
      </c>
      <c r="CH167" s="384"/>
    </row>
    <row r="168" spans="1:87" x14ac:dyDescent="0.2">
      <c r="B168" s="290" t="s">
        <v>491</v>
      </c>
      <c r="BG168" s="666"/>
      <c r="BH168" s="666"/>
      <c r="BK168" s="757"/>
      <c r="BL168" s="757"/>
      <c r="BM168" s="757"/>
      <c r="BN168" s="757"/>
      <c r="BO168" s="814"/>
      <c r="BQ168" s="659">
        <v>0.8</v>
      </c>
      <c r="BR168" s="757">
        <f>+BQ168</f>
        <v>0.8</v>
      </c>
      <c r="BS168" s="757">
        <v>0.45</v>
      </c>
      <c r="BT168" s="814">
        <f>+BT167/BN167-1</f>
        <v>0.69027559385549231</v>
      </c>
      <c r="BU168" s="814">
        <f>+BU167/BO167-1</f>
        <v>0.64899518776887422</v>
      </c>
      <c r="BW168" s="659">
        <v>0.2</v>
      </c>
      <c r="BX168" s="757">
        <f>+BW168</f>
        <v>0.2</v>
      </c>
      <c r="BY168" s="757">
        <f>+BX168</f>
        <v>0.2</v>
      </c>
      <c r="BZ168" s="814">
        <f>+BZ167/BT167-1</f>
        <v>0.40502961273145854</v>
      </c>
      <c r="CA168" s="814">
        <f>+CA167/BU167-1</f>
        <v>0.27725525759950642</v>
      </c>
      <c r="CC168" s="659">
        <v>0.1</v>
      </c>
      <c r="CD168" s="757">
        <v>0.1</v>
      </c>
      <c r="CE168" s="757">
        <v>0.05</v>
      </c>
      <c r="CF168" s="814">
        <f>+CF167/BZ167-1</f>
        <v>0.1926946657953772</v>
      </c>
      <c r="CG168" s="814">
        <f>+CG167/CA167-1</f>
        <v>0.12536020309898266</v>
      </c>
    </row>
    <row r="169" spans="1:87" x14ac:dyDescent="0.2">
      <c r="B169" s="858" t="s">
        <v>513</v>
      </c>
      <c r="BG169" s="857">
        <v>1.8</v>
      </c>
      <c r="BH169" s="764">
        <f>+BG169</f>
        <v>1.8</v>
      </c>
      <c r="BI169" s="764">
        <f>+SUMPRODUCT(BE167:BH167,BE169:BH169)/BI167</f>
        <v>1.8</v>
      </c>
      <c r="BK169" s="764">
        <f>+BH169</f>
        <v>1.8</v>
      </c>
      <c r="BL169" s="764">
        <f>+BK169</f>
        <v>1.8</v>
      </c>
      <c r="BM169" s="764">
        <f>+BL169</f>
        <v>1.8</v>
      </c>
      <c r="BN169" s="764">
        <f>+BM169</f>
        <v>1.8</v>
      </c>
      <c r="BO169" s="764">
        <f>+SUMPRODUCT(BK$167:BN$167,BK169:BN169)/BO$167</f>
        <v>1.8000000000000003</v>
      </c>
      <c r="BQ169" s="764">
        <f>+BK169*(1+BQ170)</f>
        <v>1.665</v>
      </c>
      <c r="BR169" s="764">
        <f>+BL169*(1+BR170)</f>
        <v>1.665</v>
      </c>
      <c r="BS169" s="764">
        <f>+BM169*(1+BS170)</f>
        <v>1.665</v>
      </c>
      <c r="BT169" s="764">
        <f>+BN169*(1+BT170)</f>
        <v>1.665</v>
      </c>
      <c r="BU169" s="764">
        <f>+SUMPRODUCT(BQ167:BT167,BQ169:BT169)/BU167</f>
        <v>1.6649999999999998</v>
      </c>
      <c r="BW169" s="764">
        <f>+BQ169*(1+BW170)</f>
        <v>1.5401250000000002</v>
      </c>
      <c r="BX169" s="764">
        <f>+BR169*(1+BX170)</f>
        <v>1.5401250000000002</v>
      </c>
      <c r="BY169" s="764">
        <f>+BS169*(1+BY170)</f>
        <v>1.5401250000000002</v>
      </c>
      <c r="BZ169" s="764">
        <f>+BT169*(1+BZ170)</f>
        <v>1.5401250000000002</v>
      </c>
      <c r="CA169" s="764">
        <f>+SUMPRODUCT(BW167:BZ167,BW169:BZ169)/CA167</f>
        <v>1.5401250000000002</v>
      </c>
      <c r="CC169" s="764">
        <f>+BW169*(1+CC170)</f>
        <v>1.4246156250000002</v>
      </c>
      <c r="CD169" s="764">
        <f>+BX169*(1+CD170)</f>
        <v>1.4246156250000002</v>
      </c>
      <c r="CE169" s="764">
        <f>+BY169*(1+CE170)</f>
        <v>1.4246156250000002</v>
      </c>
      <c r="CF169" s="764">
        <f>+BZ169*(1+CF170)</f>
        <v>1.4246156250000002</v>
      </c>
      <c r="CG169" s="764">
        <f>+SUMPRODUCT(CC167:CF167,CC169:CF169)/CG167</f>
        <v>1.4246156250000002</v>
      </c>
    </row>
    <row r="170" spans="1:87" x14ac:dyDescent="0.2">
      <c r="B170" s="290" t="s">
        <v>491</v>
      </c>
      <c r="BN170" s="757"/>
      <c r="BQ170" s="910">
        <v>-7.4999999999999997E-2</v>
      </c>
      <c r="BR170" s="757">
        <v>-7.4999999999999997E-2</v>
      </c>
      <c r="BS170" s="757">
        <v>-7.4999999999999997E-2</v>
      </c>
      <c r="BT170" s="757">
        <v>-7.4999999999999997E-2</v>
      </c>
      <c r="BW170" s="757">
        <v>-7.4999999999999997E-2</v>
      </c>
      <c r="BX170" s="757">
        <v>-7.4999999999999997E-2</v>
      </c>
      <c r="BY170" s="757">
        <v>-7.4999999999999997E-2</v>
      </c>
      <c r="BZ170" s="757">
        <v>-7.4999999999999997E-2</v>
      </c>
      <c r="CC170" s="757">
        <v>-7.4999999999999997E-2</v>
      </c>
      <c r="CD170" s="757">
        <v>-7.4999999999999997E-2</v>
      </c>
      <c r="CE170" s="757">
        <v>-7.4999999999999997E-2</v>
      </c>
      <c r="CF170" s="757">
        <v>-7.4999999999999997E-2</v>
      </c>
    </row>
    <row r="171" spans="1:87" x14ac:dyDescent="0.2">
      <c r="B171" s="32" t="s">
        <v>498</v>
      </c>
      <c r="BG171" s="763">
        <f>+BG169*BG167</f>
        <v>18</v>
      </c>
      <c r="BH171" s="763">
        <f>+BH169*BH167</f>
        <v>27</v>
      </c>
      <c r="BI171" s="763">
        <f>+SUM(BE171:BH171)</f>
        <v>45</v>
      </c>
      <c r="BK171" s="763">
        <f>+BK169*BK167</f>
        <v>27</v>
      </c>
      <c r="BL171" s="763">
        <f>+BL169*BL167</f>
        <v>36</v>
      </c>
      <c r="BM171" s="763">
        <f>+BM169*BM167</f>
        <v>63</v>
      </c>
      <c r="BN171" s="763">
        <f>+BN169*BN167</f>
        <v>73.240404964384865</v>
      </c>
      <c r="BO171" s="763">
        <f>+SUM(BK171:BN171)</f>
        <v>199.24040496438488</v>
      </c>
      <c r="BQ171" s="763">
        <f>+BQ169*BQ167</f>
        <v>44.954999999999998</v>
      </c>
      <c r="BR171" s="763">
        <f>+BR169*BR167</f>
        <v>59.94</v>
      </c>
      <c r="BS171" s="763">
        <f>+BS169*BS167</f>
        <v>84.498750000000001</v>
      </c>
      <c r="BT171" s="763">
        <f>+BT169*BT167</f>
        <v>114.51173382073793</v>
      </c>
      <c r="BU171" s="763">
        <f>+SUM(BQ171:BT171)</f>
        <v>303.90548382073791</v>
      </c>
      <c r="BW171" s="763">
        <f>+BW169*BW167</f>
        <v>49.900050000000007</v>
      </c>
      <c r="BX171" s="763">
        <f>+BX169*BX167</f>
        <v>66.5334</v>
      </c>
      <c r="BY171" s="763">
        <f>+BY169*BY167</f>
        <v>93.793612500000009</v>
      </c>
      <c r="BZ171" s="763">
        <f>+BZ169*BZ167</f>
        <v>148.82544874660735</v>
      </c>
      <c r="CA171" s="763">
        <f>+SUM(BW171:BZ171)</f>
        <v>359.05251124660737</v>
      </c>
      <c r="CC171" s="763">
        <f>+CC169*CC167</f>
        <v>50.773300875000004</v>
      </c>
      <c r="CD171" s="763">
        <f>+CD169*CD167</f>
        <v>67.697734499999996</v>
      </c>
      <c r="CE171" s="763">
        <f>+CE169*CE167</f>
        <v>91.097046140625011</v>
      </c>
      <c r="CF171" s="763">
        <f>+CF169*CF167</f>
        <v>164.19056994058073</v>
      </c>
      <c r="CG171" s="763">
        <f>+SUM(CC171:CF171)</f>
        <v>373.75865145620571</v>
      </c>
    </row>
    <row r="172" spans="1:87" x14ac:dyDescent="0.2">
      <c r="B172" s="290" t="s">
        <v>491</v>
      </c>
      <c r="BN172" s="315">
        <f>+BN171/BH171-1</f>
        <v>1.7126075912735135</v>
      </c>
      <c r="BO172" s="315">
        <f>+BO171/BI171-1</f>
        <v>3.4275645547641087</v>
      </c>
      <c r="BQ172" s="315">
        <f>+BQ171/BK171-1</f>
        <v>0.66500000000000004</v>
      </c>
      <c r="BR172" s="315">
        <f>+BR171/BL171-1</f>
        <v>0.66500000000000004</v>
      </c>
      <c r="BS172" s="315">
        <f>+BS171/BM171-1</f>
        <v>0.34125000000000005</v>
      </c>
      <c r="BT172" s="315">
        <f>+BT171/BN171-1</f>
        <v>0.56350492431633015</v>
      </c>
      <c r="BU172" s="315">
        <f>+BU171/BO171-1</f>
        <v>0.52532054868620848</v>
      </c>
      <c r="BW172" s="315">
        <f>+BW171/BQ171-1</f>
        <v>0.1100000000000001</v>
      </c>
      <c r="BX172" s="315">
        <f>+BX171/BR171-1</f>
        <v>0.1100000000000001</v>
      </c>
      <c r="BY172" s="315">
        <f>+BY171/BS171-1</f>
        <v>0.1100000000000001</v>
      </c>
      <c r="BZ172" s="315">
        <f>+BZ171/BT171-1</f>
        <v>0.29965239177659941</v>
      </c>
      <c r="CA172" s="315">
        <f>+CA171/BU171-1</f>
        <v>0.18146111327954362</v>
      </c>
      <c r="CC172" s="315">
        <f>+CC171/BW171-1</f>
        <v>1.7499999999999849E-2</v>
      </c>
      <c r="CD172" s="315">
        <f>+CD171/BX171-1</f>
        <v>1.7499999999999849E-2</v>
      </c>
      <c r="CE172" s="315">
        <f>+CE171/BY171-1</f>
        <v>-2.8749999999999942E-2</v>
      </c>
      <c r="CF172" s="315">
        <f>+CF171/BZ171-1</f>
        <v>0.10324256586072367</v>
      </c>
      <c r="CG172" s="315">
        <f>+CG171/CA171-1</f>
        <v>4.0958187866559026E-2</v>
      </c>
    </row>
    <row r="173" spans="1:87" x14ac:dyDescent="0.2">
      <c r="B173" s="32" t="s">
        <v>492</v>
      </c>
      <c r="BG173" s="763">
        <f>+BG171*BG174</f>
        <v>-3.2399999999999998</v>
      </c>
      <c r="BH173" s="763">
        <f>+BH171*BH174</f>
        <v>-7.0200000000000005</v>
      </c>
      <c r="BI173" s="763">
        <f>+SUM(BE173:BH173)</f>
        <v>-10.26</v>
      </c>
      <c r="BK173" s="763">
        <f>+BK171*BK174</f>
        <v>-6.75</v>
      </c>
      <c r="BL173" s="763">
        <f>+BL171*BL174</f>
        <v>-10.44</v>
      </c>
      <c r="BM173" s="763">
        <f>+BM171*BM174</f>
        <v>-8.19</v>
      </c>
      <c r="BN173" s="763">
        <f>+BN171*BN174</f>
        <v>8.7888485957261828</v>
      </c>
      <c r="BO173" s="763">
        <f>+SUM(BK173:BN173)</f>
        <v>-16.591151404273813</v>
      </c>
      <c r="BQ173" s="763">
        <f>+BQ171*BQ174</f>
        <v>-9.2157749999999989</v>
      </c>
      <c r="BR173" s="763">
        <f>+BR171*BR174</f>
        <v>-8.6912999999999982</v>
      </c>
      <c r="BS173" s="763">
        <f>+BS171*BS174</f>
        <v>-8.0273812499999995</v>
      </c>
      <c r="BT173" s="763">
        <f>+BT171*BT174</f>
        <v>-6.2981453601405848</v>
      </c>
      <c r="BU173" s="763">
        <f>+SUM(BQ173:BT173)</f>
        <v>-32.232601610140584</v>
      </c>
      <c r="BW173" s="763">
        <f>+BW171*BW174</f>
        <v>-1.9960019999999996</v>
      </c>
      <c r="BX173" s="763">
        <f>+BX171*BX174</f>
        <v>-1.9960019999999989</v>
      </c>
      <c r="BY173" s="763">
        <f>+BY171*BY174</f>
        <v>-1.8758722499999987</v>
      </c>
      <c r="BZ173" s="763">
        <f>+BZ171*BZ174</f>
        <v>-1.488254487466071</v>
      </c>
      <c r="CA173" s="763">
        <f>+SUM(BW173:BZ173)</f>
        <v>-7.3561307374660689</v>
      </c>
      <c r="CC173" s="763">
        <f>+CC171*CC174</f>
        <v>-0.38079975656249915</v>
      </c>
      <c r="CD173" s="763">
        <f>+CD171*CD174</f>
        <v>-0.33848867249999876</v>
      </c>
      <c r="CE173" s="763">
        <f>+CE171*CE174</f>
        <v>-0.22774261535156087</v>
      </c>
      <c r="CF173" s="763">
        <f>+CF171*CF174</f>
        <v>2.9906649802043413E-15</v>
      </c>
      <c r="CG173" s="763">
        <f>+SUM(CC173:CF173)</f>
        <v>-0.94703104441405583</v>
      </c>
    </row>
    <row r="174" spans="1:87" x14ac:dyDescent="0.2">
      <c r="B174" s="290" t="s">
        <v>490</v>
      </c>
      <c r="BG174" s="861">
        <v>-0.18</v>
      </c>
      <c r="BH174" s="861">
        <v>-0.26</v>
      </c>
      <c r="BI174" s="315">
        <f>+BI173/BI171</f>
        <v>-0.22800000000000001</v>
      </c>
      <c r="BK174" s="880">
        <v>-0.25</v>
      </c>
      <c r="BL174" s="910">
        <v>-0.28999999999999998</v>
      </c>
      <c r="BM174" s="910">
        <v>-0.13</v>
      </c>
      <c r="BN174" s="910">
        <v>0.12</v>
      </c>
      <c r="BO174" s="315">
        <f>+BO173/BO171</f>
        <v>-8.3272022094311421E-2</v>
      </c>
      <c r="BQ174" s="910">
        <v>-0.20499999999999999</v>
      </c>
      <c r="BR174" s="757">
        <f>+BQ174+0.06</f>
        <v>-0.14499999999999999</v>
      </c>
      <c r="BS174" s="757">
        <f>+BR174+0.05</f>
        <v>-9.4999999999999987E-2</v>
      </c>
      <c r="BT174" s="757">
        <f>+BS174+0.04</f>
        <v>-5.4999999999999986E-2</v>
      </c>
      <c r="BU174" s="315">
        <f>+BU173/BU171</f>
        <v>-0.10606127011894707</v>
      </c>
      <c r="BW174" s="757">
        <f>+BT174+0.015</f>
        <v>-3.9999999999999987E-2</v>
      </c>
      <c r="BX174" s="757">
        <f>+BW174+0.01</f>
        <v>-2.9999999999999985E-2</v>
      </c>
      <c r="BY174" s="757">
        <f>+BX174+0.01</f>
        <v>-1.9999999999999983E-2</v>
      </c>
      <c r="BZ174" s="757">
        <f>+BY174+0.01</f>
        <v>-9.9999999999999829E-3</v>
      </c>
      <c r="CA174" s="315">
        <f>+CA173/CA171</f>
        <v>-2.0487618125621943E-2</v>
      </c>
      <c r="CC174" s="757">
        <f>+BZ174+0.0025</f>
        <v>-7.4999999999999824E-3</v>
      </c>
      <c r="CD174" s="757">
        <f>+CC174+0.0025</f>
        <v>-4.9999999999999819E-3</v>
      </c>
      <c r="CE174" s="757">
        <f>+CD174+0.0025</f>
        <v>-2.4999999999999818E-3</v>
      </c>
      <c r="CF174" s="757">
        <f>+CE174+0.0025</f>
        <v>1.8214596497756474E-17</v>
      </c>
      <c r="CG174" s="315">
        <f>+CG173/CG171</f>
        <v>-2.5338036744415584E-3</v>
      </c>
    </row>
    <row r="175" spans="1:87" x14ac:dyDescent="0.2">
      <c r="B175" s="32" t="s">
        <v>489</v>
      </c>
      <c r="BG175" s="763">
        <f>+BG173*BG176</f>
        <v>-0.55079999999999996</v>
      </c>
      <c r="BH175" s="763">
        <f>+BH173*BH176</f>
        <v>-1.1934000000000002</v>
      </c>
      <c r="BI175" s="763">
        <f>+SUM(BE175:BH175)</f>
        <v>-1.7442000000000002</v>
      </c>
      <c r="BK175" s="763">
        <f>+BK173*BK176</f>
        <v>-1.1475000000000002</v>
      </c>
      <c r="BL175" s="763">
        <f>+BL173*BL176</f>
        <v>-1.9836</v>
      </c>
      <c r="BM175" s="763">
        <f>+BM173*BM176</f>
        <v>-1.5560999999999998</v>
      </c>
      <c r="BN175" s="763">
        <f>+BN173*BN176</f>
        <v>1.6698812331879747</v>
      </c>
      <c r="BO175" s="763">
        <f>+SUM(BK175:BN175)</f>
        <v>-3.0173187668120249</v>
      </c>
      <c r="BQ175" s="763">
        <f>+BQ173*BQ176</f>
        <v>-1.7509972499999997</v>
      </c>
      <c r="BR175" s="763">
        <f>+BR173*BR176</f>
        <v>-1.6513469999999997</v>
      </c>
      <c r="BS175" s="763">
        <f>+BS173*BS176</f>
        <v>-1.5252024375</v>
      </c>
      <c r="BT175" s="763">
        <f>+BT173*BT176</f>
        <v>-1.1966476184267112</v>
      </c>
      <c r="BU175" s="763">
        <f>+SUM(BQ175:BT175)</f>
        <v>-6.1241943059267108</v>
      </c>
      <c r="BW175" s="763">
        <f>+BW173*BW176</f>
        <v>-0.37924037999999993</v>
      </c>
      <c r="BX175" s="763">
        <f>+BX173*BX176</f>
        <v>-0.37924037999999982</v>
      </c>
      <c r="BY175" s="763">
        <f>+BY173*BY176</f>
        <v>-0.35641572749999978</v>
      </c>
      <c r="BZ175" s="763">
        <f>+BZ173*BZ176</f>
        <v>-0.28276835261855349</v>
      </c>
      <c r="CA175" s="763">
        <f>+SUM(BW175:BZ175)</f>
        <v>-1.3976648401185532</v>
      </c>
      <c r="CC175" s="763">
        <f>+CC173*CC176</f>
        <v>-7.2351953746874836E-2</v>
      </c>
      <c r="CD175" s="763">
        <f>+CD173*CD176</f>
        <v>-6.4312847774999765E-2</v>
      </c>
      <c r="CE175" s="763">
        <f>+CE173*CE176</f>
        <v>-4.3271096916796564E-2</v>
      </c>
      <c r="CF175" s="763">
        <f>+CF173*CF176</f>
        <v>5.6822634623882483E-16</v>
      </c>
      <c r="CG175" s="763">
        <f>+SUM(CC175:CF175)</f>
        <v>-0.17993589843867061</v>
      </c>
    </row>
    <row r="176" spans="1:87" x14ac:dyDescent="0.2">
      <c r="B176" s="290" t="s">
        <v>488</v>
      </c>
      <c r="BG176" s="861">
        <v>0.17</v>
      </c>
      <c r="BH176" s="861">
        <v>0.17</v>
      </c>
      <c r="BI176" s="315">
        <f>+BI175/BI173</f>
        <v>0.17</v>
      </c>
      <c r="BK176" s="861">
        <v>0.17</v>
      </c>
      <c r="BL176" s="910">
        <v>0.19</v>
      </c>
      <c r="BM176" s="910">
        <v>0.19</v>
      </c>
      <c r="BN176" s="910">
        <f>+BM176</f>
        <v>0.19</v>
      </c>
      <c r="BO176" s="315">
        <f>+BO175/BO173</f>
        <v>0.18186313253911818</v>
      </c>
      <c r="BQ176" s="910">
        <v>0.19</v>
      </c>
      <c r="BR176" s="757">
        <f>+BQ176</f>
        <v>0.19</v>
      </c>
      <c r="BS176" s="757">
        <f>+BR176</f>
        <v>0.19</v>
      </c>
      <c r="BT176" s="757">
        <f>+BS176</f>
        <v>0.19</v>
      </c>
      <c r="BU176" s="315">
        <f>+BU175/BU173</f>
        <v>0.19</v>
      </c>
      <c r="BW176" s="757">
        <v>0.19</v>
      </c>
      <c r="BX176" s="757">
        <f t="shared" ref="BX176:BZ176" si="222">+BW176</f>
        <v>0.19</v>
      </c>
      <c r="BY176" s="757">
        <f t="shared" si="222"/>
        <v>0.19</v>
      </c>
      <c r="BZ176" s="757">
        <f t="shared" si="222"/>
        <v>0.19</v>
      </c>
      <c r="CA176" s="315">
        <f t="shared" ref="CA176" si="223">+CA175/CA173</f>
        <v>0.19</v>
      </c>
      <c r="CC176" s="757">
        <v>0.19</v>
      </c>
      <c r="CD176" s="757">
        <f t="shared" ref="CD176:CF176" si="224">+CC176</f>
        <v>0.19</v>
      </c>
      <c r="CE176" s="757">
        <f t="shared" si="224"/>
        <v>0.19</v>
      </c>
      <c r="CF176" s="757">
        <f t="shared" si="224"/>
        <v>0.19</v>
      </c>
      <c r="CG176" s="315">
        <f t="shared" ref="CG176" si="225">+CG175/CG173</f>
        <v>0.19</v>
      </c>
    </row>
    <row r="177" spans="2:97" x14ac:dyDescent="0.2">
      <c r="B177" s="812" t="s">
        <v>516</v>
      </c>
      <c r="BG177" s="860">
        <f>+BG175/'P&amp;L'!BG40</f>
        <v>-6.7611027913485377E-3</v>
      </c>
      <c r="BH177" s="815">
        <f>+BH175/'P&amp;L'!BH40</f>
        <v>-1.4688361559669164E-2</v>
      </c>
      <c r="BI177" s="815">
        <f>+BI175/'P&amp;L'!BI40</f>
        <v>-2.1446290518420612E-2</v>
      </c>
      <c r="BJ177" s="816"/>
      <c r="BK177" s="815">
        <f>+BK175/'P&amp;L'!BK40</f>
        <v>-1.4073883287953493E-2</v>
      </c>
      <c r="BL177" s="815">
        <f>+BL175/'P&amp;L'!BL40</f>
        <v>-2.4299592066739352E-2</v>
      </c>
      <c r="BM177" s="876">
        <f>+BM175/'P&amp;L'!BM40</f>
        <v>-1.9025785863624689E-2</v>
      </c>
      <c r="BN177" s="815">
        <f>+BN175/'P&amp;L'!BN40</f>
        <v>2.0398485679586319E-2</v>
      </c>
      <c r="BO177" s="815">
        <f>+BO175/'P&amp;L'!BO40</f>
        <v>-3.6929765181273007E-2</v>
      </c>
      <c r="BQ177" s="815">
        <f>+BQ175/'P&amp;L'!BQ40</f>
        <v>-2.145093901602391E-2</v>
      </c>
      <c r="BR177" s="815">
        <f>+BR175/'P&amp;L'!BR40</f>
        <v>-2.057208652514661E-2</v>
      </c>
      <c r="BS177" s="815">
        <f>+BS175/'P&amp;L'!BS40</f>
        <v>-1.9069529653597359E-2</v>
      </c>
      <c r="BT177" s="815">
        <f>+BT175/'P&amp;L'!BT40</f>
        <v>-1.5008009984532679E-2</v>
      </c>
      <c r="BU177" s="815">
        <f>+BU175/'P&amp;L'!BU40</f>
        <v>-7.6168184064287853E-2</v>
      </c>
      <c r="BW177" s="815">
        <f>+BW175/'P&amp;L'!BW40</f>
        <v>-4.7707754048145964E-3</v>
      </c>
      <c r="BX177" s="815">
        <f>+BX175/'P&amp;L'!BX40</f>
        <v>-4.7869894792630036E-3</v>
      </c>
      <c r="BY177" s="815">
        <f>+BY175/'P&amp;L'!BY40</f>
        <v>-4.5136839553969734E-3</v>
      </c>
      <c r="BZ177" s="815">
        <f>+BZ175/'P&amp;L'!BZ40</f>
        <v>-3.5909691597627519E-3</v>
      </c>
      <c r="CA177" s="815">
        <f>+CA175/'P&amp;L'!CA40</f>
        <v>-1.7668296545028522E-2</v>
      </c>
      <c r="CC177" s="815">
        <f>+CC175/'P&amp;L'!CC40</f>
        <v>-9.2144799570191202E-4</v>
      </c>
      <c r="CD177" s="815">
        <f>+CD175/'P&amp;L'!CD40</f>
        <v>-8.2177973184046228E-4</v>
      </c>
      <c r="CE177" s="815">
        <f>+CE175/'P&amp;L'!CE40</f>
        <v>-5.5439037050880873E-4</v>
      </c>
      <c r="CF177" s="815">
        <f>+CF175/'P&amp;L'!CF40</f>
        <v>7.3307878598071135E-18</v>
      </c>
      <c r="CG177" s="815">
        <f>+CG175/'P&amp;L'!CG40</f>
        <v>-2.3043277466422486E-3</v>
      </c>
    </row>
    <row r="178" spans="2:97" x14ac:dyDescent="0.2">
      <c r="B178" s="812"/>
      <c r="BG178" s="860"/>
      <c r="BH178" s="815"/>
      <c r="BI178" s="815"/>
      <c r="BJ178" s="816"/>
      <c r="BK178" s="815"/>
      <c r="BL178" s="815"/>
      <c r="BM178" s="876"/>
      <c r="BN178" s="815"/>
      <c r="BO178" s="815"/>
    </row>
    <row r="179" spans="2:97" x14ac:dyDescent="0.2">
      <c r="B179" s="293" t="s">
        <v>511</v>
      </c>
      <c r="BG179" s="860"/>
      <c r="BH179" s="815"/>
      <c r="BI179" s="815"/>
      <c r="BJ179" s="816"/>
      <c r="BK179" s="815"/>
      <c r="BL179" s="815"/>
      <c r="BM179" s="876"/>
      <c r="BN179" s="815"/>
      <c r="BO179" s="815"/>
    </row>
    <row r="180" spans="2:97" x14ac:dyDescent="0.2">
      <c r="B180" s="46" t="s">
        <v>517</v>
      </c>
      <c r="BG180" s="860"/>
      <c r="BH180" s="874">
        <v>0.02</v>
      </c>
      <c r="BI180" s="876"/>
      <c r="BJ180" s="816"/>
      <c r="BK180" s="874">
        <v>0.04</v>
      </c>
      <c r="BL180" s="911">
        <v>0.3</v>
      </c>
      <c r="BM180" s="911">
        <v>0.65</v>
      </c>
      <c r="BN180" s="911">
        <v>0.35</v>
      </c>
      <c r="BO180" s="876"/>
      <c r="BQ180" s="881">
        <v>0.25</v>
      </c>
      <c r="BR180" s="998">
        <v>0.15</v>
      </c>
      <c r="BS180" s="660">
        <f>+BR180</f>
        <v>0.15</v>
      </c>
      <c r="BT180" s="660">
        <f>+BS180</f>
        <v>0.15</v>
      </c>
      <c r="BU180" s="340"/>
      <c r="BV180" s="340"/>
      <c r="BW180" s="873">
        <f>+BT180</f>
        <v>0.15</v>
      </c>
      <c r="BX180" s="660">
        <f>+BW180</f>
        <v>0.15</v>
      </c>
      <c r="BY180" s="660">
        <f>+BX180</f>
        <v>0.15</v>
      </c>
      <c r="BZ180" s="660">
        <f>+BY180</f>
        <v>0.15</v>
      </c>
      <c r="CC180" s="985">
        <v>0</v>
      </c>
      <c r="CD180" s="986">
        <f>+CC180</f>
        <v>0</v>
      </c>
      <c r="CE180" s="986">
        <f>+CD180</f>
        <v>0</v>
      </c>
      <c r="CF180" s="986">
        <f>+CE180</f>
        <v>0</v>
      </c>
    </row>
    <row r="181" spans="2:97" x14ac:dyDescent="0.2">
      <c r="B181" s="32" t="s">
        <v>541</v>
      </c>
      <c r="BG181" s="863" t="s">
        <v>80</v>
      </c>
      <c r="BH181" s="668">
        <f>+(BH183*1000)/(BH167*BH180)</f>
        <v>984.99999999997806</v>
      </c>
      <c r="BK181" s="668">
        <f>+(BK183*1000)/(BK167*BK180)</f>
        <v>442.08333333331262</v>
      </c>
      <c r="BL181" s="668">
        <f>+(BL183*1000)/(BL167*BL180)</f>
        <v>411.55833333334022</v>
      </c>
      <c r="BM181" s="668">
        <f>+(BM183*1000)/(BM167*BM180)</f>
        <v>490.36703296703149</v>
      </c>
      <c r="BN181" s="668">
        <f>+(BN183*1000)/(BN167*BN180)</f>
        <v>662.43411516819685</v>
      </c>
      <c r="BO181" s="668">
        <f>+SUMPRODUCT(BK$167:BN$167,BK181:BN181)/BO$167</f>
        <v>532.83577672431647</v>
      </c>
      <c r="BP181" s="475"/>
      <c r="BQ181" s="668">
        <f>+(BQ183*1000)/(BQ167*BQ180)</f>
        <v>690.5407407407364</v>
      </c>
      <c r="BR181" s="668">
        <f>+BR157*(1+BR182)</f>
        <v>677.41538342019464</v>
      </c>
      <c r="BS181" s="668">
        <f>+BS157*(1+BS182)</f>
        <v>641.43871712154396</v>
      </c>
      <c r="BT181" s="668">
        <f>+BT157*(1+BT182)</f>
        <v>648.96805078446516</v>
      </c>
      <c r="BU181" s="668">
        <f>+SUMPRODUCT(BQ$167:BT$167,BQ181:BT181)/BU$167</f>
        <v>658.63491850723688</v>
      </c>
      <c r="BV181" s="475"/>
      <c r="BW181" s="668">
        <f t="shared" ref="BW181:BZ181" si="226">+BW157*(1+BW182)</f>
        <v>612.53546543686377</v>
      </c>
      <c r="BX181" s="668">
        <f t="shared" si="226"/>
        <v>600.89278256381715</v>
      </c>
      <c r="BY181" s="668">
        <f t="shared" si="226"/>
        <v>568.98013391621976</v>
      </c>
      <c r="BZ181" s="668">
        <f t="shared" si="226"/>
        <v>575.6589344960372</v>
      </c>
      <c r="CA181" s="668">
        <f t="shared" ref="CA181" si="227">+SUMPRODUCT(BW$167:BZ$167,BW181:BZ181)/CA$167</f>
        <v>583.71515335164554</v>
      </c>
      <c r="CB181" s="475"/>
      <c r="CC181" s="668">
        <f t="shared" ref="CC181:CF181" si="228">+CC157*(1+CC182)</f>
        <v>581.90869216502051</v>
      </c>
      <c r="CD181" s="668">
        <f t="shared" si="228"/>
        <v>570.8481434356263</v>
      </c>
      <c r="CE181" s="668">
        <f t="shared" si="228"/>
        <v>540.53112722040873</v>
      </c>
      <c r="CF181" s="668">
        <f t="shared" si="228"/>
        <v>546.87598777123526</v>
      </c>
      <c r="CG181" s="668">
        <f t="shared" ref="CG181" si="229">+SUMPRODUCT(CC$167:CF$167,CC181:CF181)/CG$167</f>
        <v>554.43056504952892</v>
      </c>
    </row>
    <row r="182" spans="2:97" x14ac:dyDescent="0.2">
      <c r="B182" s="290" t="s">
        <v>543</v>
      </c>
      <c r="BG182" s="862" t="s">
        <v>80</v>
      </c>
      <c r="BH182" s="315">
        <f>+BH181/BH157-1</f>
        <v>4.1489891908426939</v>
      </c>
      <c r="BK182" s="315">
        <f>+BK181/BK157-1</f>
        <v>1.2151344735264451</v>
      </c>
      <c r="BL182" s="315">
        <f>+BL181/BL157-1</f>
        <v>1.0886373974157864</v>
      </c>
      <c r="BM182" s="315">
        <f>+BM181/BM157-1</f>
        <v>1.4562299466185284</v>
      </c>
      <c r="BN182" s="315">
        <f>+BN181/BN157-1</f>
        <v>2.2796107470861413</v>
      </c>
      <c r="BQ182" s="315">
        <f>+BQ181/BQ157-1</f>
        <v>2.2129423064629905</v>
      </c>
      <c r="BR182" s="757">
        <f>+BQ182</f>
        <v>2.2129423064629905</v>
      </c>
      <c r="BS182" s="757">
        <f>+BR182</f>
        <v>2.2129423064629905</v>
      </c>
      <c r="BT182" s="757">
        <f>+BS182</f>
        <v>2.2129423064629905</v>
      </c>
      <c r="BW182" s="757">
        <v>2</v>
      </c>
      <c r="BX182" s="757">
        <f t="shared" ref="BX182:BZ182" si="230">+BW182</f>
        <v>2</v>
      </c>
      <c r="BY182" s="757">
        <f t="shared" si="230"/>
        <v>2</v>
      </c>
      <c r="BZ182" s="757">
        <f t="shared" si="230"/>
        <v>2</v>
      </c>
      <c r="CC182" s="757">
        <f>+BZ182</f>
        <v>2</v>
      </c>
      <c r="CD182" s="757">
        <f t="shared" ref="CD182:CF182" si="231">+CC182</f>
        <v>2</v>
      </c>
      <c r="CE182" s="757">
        <f t="shared" si="231"/>
        <v>2</v>
      </c>
      <c r="CF182" s="757">
        <f t="shared" si="231"/>
        <v>2</v>
      </c>
    </row>
    <row r="183" spans="2:97" x14ac:dyDescent="0.2">
      <c r="B183" s="32" t="s">
        <v>514</v>
      </c>
      <c r="BG183" s="864" t="s">
        <v>80</v>
      </c>
      <c r="BH183" s="763">
        <f>+ALGN!BH6-(BH30*BH22/1000)-ALGN!BH29</f>
        <v>0.29549999999999343</v>
      </c>
      <c r="BI183" s="763">
        <f>+SUM(BE183:BH183)</f>
        <v>0.29549999999999343</v>
      </c>
      <c r="BK183" s="763">
        <f>+ALGN!BK6-(BK30*BK22/1000)-ALGN!BK29</f>
        <v>0.26524999999998755</v>
      </c>
      <c r="BL183" s="763">
        <f>+ALGN!BL6-(BL30*BL22/1000)-ALGN!BL29</f>
        <v>2.4693500000000412</v>
      </c>
      <c r="BM183" s="763">
        <f>+ALGN!BM6-(BM30*BM22/1000)-ALGN!BM29</f>
        <v>11.155849999999965</v>
      </c>
      <c r="BN183" s="763">
        <f>+ALGN!BN6-(BN30*BN22/1000)-ALGN!BN29</f>
        <v>9.4338499999999677</v>
      </c>
      <c r="BO183" s="763">
        <f>+SUM(BK183:BN183)</f>
        <v>23.324299999999962</v>
      </c>
      <c r="BQ183" s="763">
        <f>+ALGN!BQ6-(BQ30*BQ22/1000)-ALGN!BQ29</f>
        <v>4.6611499999999708</v>
      </c>
      <c r="BR183" s="763">
        <f>+((BR181*BR167)*BR180)/1000</f>
        <v>3.6580430704690508</v>
      </c>
      <c r="BS183" s="763">
        <f>+((BS181*BS167)*BS180)/1000</f>
        <v>4.8829522340877531</v>
      </c>
      <c r="BT183" s="763">
        <f>+((BT181*BT167)*BT180)/1000</f>
        <v>6.6949960981616048</v>
      </c>
      <c r="BU183" s="763">
        <f>+SUM(BQ183:BT183)</f>
        <v>19.897141402718379</v>
      </c>
      <c r="BW183" s="763">
        <f>+((BW181*BW167)*BW180)/1000</f>
        <v>2.9769223620231573</v>
      </c>
      <c r="BX183" s="763">
        <f>+((BX181*BX167)*BX180)/1000</f>
        <v>3.8937852310135348</v>
      </c>
      <c r="BY183" s="763">
        <f>+((BY181*BY167)*BY180)/1000</f>
        <v>5.1976335233246669</v>
      </c>
      <c r="BZ183" s="763">
        <f>+((BZ181*BZ167)*BZ180)/1000</f>
        <v>8.3440661554776288</v>
      </c>
      <c r="CA183" s="763">
        <f>+SUM(BW183:BZ183)</f>
        <v>20.412407271838987</v>
      </c>
      <c r="CC183" s="987">
        <f>+((CC181*CC167)*CC180)/1000</f>
        <v>0</v>
      </c>
      <c r="CD183" s="987">
        <f>+((CD181*CD167)*CD180)/1000</f>
        <v>0</v>
      </c>
      <c r="CE183" s="987">
        <f>+((CE181*CE167)*CE180)/1000</f>
        <v>0</v>
      </c>
      <c r="CF183" s="987">
        <f>+((CF181*CF167)*CF180)/1000</f>
        <v>0</v>
      </c>
      <c r="CG183" s="987">
        <f>+SUM(CC183:CF183)</f>
        <v>0</v>
      </c>
    </row>
    <row r="184" spans="2:97" x14ac:dyDescent="0.2">
      <c r="BM184" s="315"/>
      <c r="BN184" s="476"/>
      <c r="BO184" s="476"/>
      <c r="BQ184" s="315">
        <f>+BQ183/BK183-1</f>
        <v>16.572667295005427</v>
      </c>
      <c r="BR184" s="315">
        <f>+BR183/BL183-1</f>
        <v>0.48137893391742348</v>
      </c>
      <c r="BS184" s="315">
        <f>+BS183/BM183-1</f>
        <v>-0.56229671122435598</v>
      </c>
      <c r="BT184" s="315">
        <f>+BT183/BN183-1</f>
        <v>-0.29032196842629177</v>
      </c>
      <c r="BU184" s="315">
        <f>+BU183/BO183-1</f>
        <v>-0.14693511047626673</v>
      </c>
      <c r="BW184" s="315">
        <f>+BW183/BQ183-1</f>
        <v>-0.36133306973103718</v>
      </c>
      <c r="BX184" s="315">
        <f>+BX183/BR183-1</f>
        <v>6.4444883781605178E-2</v>
      </c>
      <c r="BY184" s="315">
        <f>+BY183/BS183-1</f>
        <v>6.4444883781604956E-2</v>
      </c>
      <c r="BZ184" s="315">
        <f>+BZ183/BT183-1</f>
        <v>0.24631381902804184</v>
      </c>
      <c r="CA184" s="315">
        <f>+CA183/BU183-1</f>
        <v>2.5896477222110414E-2</v>
      </c>
      <c r="CC184" s="315"/>
      <c r="CD184" s="315"/>
      <c r="CE184" s="315"/>
      <c r="CF184" s="315"/>
      <c r="CG184" s="315"/>
    </row>
    <row r="185" spans="2:97" x14ac:dyDescent="0.2">
      <c r="BL185" s="635"/>
    </row>
    <row r="186" spans="2:97" x14ac:dyDescent="0.2">
      <c r="BO186" s="889"/>
      <c r="BP186" s="53"/>
      <c r="BQ186" s="53"/>
      <c r="BR186" s="53"/>
      <c r="BS186" s="53"/>
      <c r="BT186" s="53"/>
      <c r="BU186" s="53"/>
    </row>
    <row r="187" spans="2:97" x14ac:dyDescent="0.2">
      <c r="B187" s="972" t="s">
        <v>575</v>
      </c>
      <c r="C187" s="972"/>
      <c r="D187" s="972"/>
      <c r="E187" s="972"/>
      <c r="F187" s="972"/>
      <c r="G187" s="972"/>
      <c r="H187" s="972"/>
      <c r="I187" s="972"/>
      <c r="J187" s="972"/>
      <c r="K187" s="972"/>
      <c r="L187" s="972"/>
      <c r="M187" s="972"/>
      <c r="N187" s="972"/>
      <c r="O187" s="972"/>
      <c r="P187" s="972"/>
      <c r="Q187" s="972"/>
      <c r="R187" s="972"/>
      <c r="S187" s="972"/>
      <c r="T187" s="972"/>
      <c r="U187" s="972"/>
      <c r="V187" s="972"/>
      <c r="W187" s="972"/>
      <c r="X187" s="972"/>
      <c r="Y187" s="972"/>
      <c r="Z187" s="972"/>
      <c r="AA187" s="972"/>
      <c r="AB187" s="972"/>
      <c r="AC187" s="972"/>
      <c r="AD187" s="972"/>
      <c r="AE187" s="972"/>
      <c r="AF187" s="972"/>
      <c r="AG187" s="972"/>
      <c r="AH187" s="972"/>
      <c r="AI187" s="972"/>
      <c r="AJ187" s="972"/>
      <c r="AK187" s="972"/>
      <c r="AL187" s="972"/>
      <c r="AM187" s="972"/>
      <c r="AN187" s="972"/>
      <c r="AO187" s="972"/>
      <c r="AP187" s="972"/>
      <c r="AQ187" s="972"/>
      <c r="AR187" s="972"/>
      <c r="AS187" s="972"/>
      <c r="AT187" s="972"/>
      <c r="AU187" s="972"/>
      <c r="AV187" s="972"/>
      <c r="AW187" s="972"/>
      <c r="AX187" s="972"/>
      <c r="AY187" s="972"/>
      <c r="AZ187" s="972"/>
      <c r="BA187" s="972"/>
      <c r="BB187" s="972"/>
      <c r="BC187" s="972"/>
      <c r="BD187" s="972"/>
      <c r="BE187" s="972"/>
      <c r="BF187" s="972"/>
      <c r="BG187" s="972"/>
      <c r="BH187" s="972"/>
      <c r="BI187" s="973">
        <v>10000</v>
      </c>
      <c r="BJ187" s="972"/>
      <c r="BK187" s="972"/>
      <c r="BL187" s="973"/>
      <c r="BM187" s="158"/>
      <c r="BN187" s="158"/>
      <c r="BO187" s="642">
        <v>10000</v>
      </c>
      <c r="BP187" s="158"/>
      <c r="BQ187" s="158"/>
      <c r="BR187" s="158"/>
      <c r="BS187" s="158"/>
      <c r="BT187" s="158"/>
      <c r="BU187" s="889"/>
      <c r="BV187" s="158"/>
      <c r="BW187" s="158"/>
      <c r="BX187" s="158"/>
      <c r="BY187" s="158"/>
      <c r="BZ187" s="158"/>
      <c r="CA187" s="158"/>
      <c r="CB187" s="158"/>
      <c r="CC187" s="158"/>
      <c r="CD187" s="158"/>
      <c r="CE187" s="158"/>
      <c r="CF187" s="158"/>
      <c r="CG187" s="158"/>
      <c r="CH187" s="158"/>
      <c r="CI187" s="158"/>
      <c r="CJ187" s="158"/>
      <c r="CK187" s="158"/>
      <c r="CL187" s="158"/>
      <c r="CM187" s="158"/>
      <c r="CN187" s="158"/>
      <c r="CO187" s="158"/>
      <c r="CP187" s="158"/>
      <c r="CQ187" s="158"/>
      <c r="CR187" s="158"/>
      <c r="CS187" s="158"/>
    </row>
    <row r="188" spans="2:97" ht="5.0999999999999996" customHeight="1" x14ac:dyDescent="0.2">
      <c r="B188" s="158"/>
      <c r="C188" s="158"/>
      <c r="D188" s="158"/>
      <c r="E188" s="158"/>
      <c r="F188" s="158"/>
      <c r="G188" s="158"/>
      <c r="H188" s="158"/>
      <c r="I188" s="158"/>
      <c r="J188" s="158"/>
      <c r="K188" s="158"/>
      <c r="L188" s="158"/>
      <c r="M188" s="158"/>
      <c r="N188" s="158"/>
      <c r="O188" s="158"/>
      <c r="P188" s="158"/>
      <c r="Q188" s="158"/>
      <c r="R188" s="158"/>
      <c r="S188" s="158"/>
      <c r="T188" s="158"/>
      <c r="U188" s="158"/>
      <c r="V188" s="158"/>
      <c r="W188" s="158"/>
      <c r="X188" s="158"/>
      <c r="Y188" s="158"/>
      <c r="Z188" s="158"/>
      <c r="AA188" s="158"/>
      <c r="AB188" s="158"/>
      <c r="AC188" s="158"/>
      <c r="AD188" s="158"/>
      <c r="AE188" s="158"/>
      <c r="AF188" s="158"/>
      <c r="AG188" s="158"/>
      <c r="AH188" s="158"/>
      <c r="AI188" s="158"/>
      <c r="AJ188" s="158"/>
      <c r="AK188" s="158"/>
      <c r="AL188" s="158"/>
      <c r="AM188" s="158"/>
      <c r="AN188" s="158"/>
      <c r="AO188" s="158"/>
      <c r="AP188" s="158"/>
      <c r="AQ188" s="158"/>
      <c r="AR188" s="158"/>
      <c r="AS188" s="158"/>
      <c r="AT188" s="158"/>
      <c r="AU188" s="158"/>
      <c r="AV188" s="158"/>
      <c r="AW188" s="158"/>
      <c r="AX188" s="158"/>
      <c r="AY188" s="158"/>
      <c r="AZ188" s="158"/>
      <c r="BA188" s="158"/>
      <c r="BB188" s="158"/>
      <c r="BC188" s="158"/>
      <c r="BD188" s="158"/>
      <c r="BE188" s="158"/>
      <c r="BF188" s="158"/>
      <c r="BG188" s="158"/>
      <c r="BH188" s="158"/>
      <c r="BI188" s="805"/>
      <c r="BJ188" s="158"/>
      <c r="BK188" s="158"/>
      <c r="BL188" s="805"/>
      <c r="BM188" s="158"/>
      <c r="BN188" s="158"/>
      <c r="BO188" s="158"/>
      <c r="BP188" s="158"/>
      <c r="BQ188" s="158"/>
      <c r="BR188" s="158"/>
      <c r="BS188" s="158"/>
      <c r="BT188" s="158"/>
      <c r="BU188" s="158"/>
      <c r="BV188" s="158"/>
      <c r="BW188" s="158"/>
      <c r="BX188" s="158"/>
      <c r="BY188" s="158"/>
      <c r="BZ188" s="158"/>
      <c r="CA188" s="158"/>
      <c r="CB188" s="158"/>
      <c r="CC188" s="158"/>
      <c r="CD188" s="158"/>
      <c r="CE188" s="158"/>
      <c r="CF188" s="158"/>
      <c r="CG188" s="158"/>
      <c r="CH188" s="158"/>
      <c r="CI188" s="158"/>
      <c r="CJ188" s="158"/>
      <c r="CK188" s="158"/>
      <c r="CL188" s="158"/>
      <c r="CM188" s="158"/>
      <c r="CN188" s="158"/>
      <c r="CO188" s="158"/>
      <c r="CP188" s="158"/>
      <c r="CQ188" s="158"/>
      <c r="CR188" s="158"/>
      <c r="CS188" s="158"/>
    </row>
    <row r="189" spans="2:97" x14ac:dyDescent="0.2">
      <c r="B189" s="158" t="s">
        <v>574</v>
      </c>
      <c r="C189" s="158"/>
      <c r="D189" s="158"/>
      <c r="E189" s="158"/>
      <c r="F189" s="158"/>
      <c r="G189" s="158"/>
      <c r="H189" s="158"/>
      <c r="I189" s="158"/>
      <c r="J189" s="158"/>
      <c r="K189" s="158"/>
      <c r="L189" s="158"/>
      <c r="M189" s="158"/>
      <c r="N189" s="158"/>
      <c r="O189" s="158"/>
      <c r="P189" s="158"/>
      <c r="Q189" s="158"/>
      <c r="R189" s="158"/>
      <c r="S189" s="158"/>
      <c r="T189" s="158"/>
      <c r="U189" s="158"/>
      <c r="V189" s="158"/>
      <c r="W189" s="158"/>
      <c r="X189" s="158"/>
      <c r="Y189" s="158"/>
      <c r="Z189" s="158"/>
      <c r="AA189" s="158"/>
      <c r="AB189" s="158"/>
      <c r="AC189" s="158"/>
      <c r="AD189" s="158"/>
      <c r="AE189" s="158"/>
      <c r="AF189" s="158"/>
      <c r="AG189" s="158"/>
      <c r="AH189" s="158"/>
      <c r="AI189" s="158"/>
      <c r="AJ189" s="158"/>
      <c r="AK189" s="158"/>
      <c r="AL189" s="158"/>
      <c r="AM189" s="158"/>
      <c r="AN189" s="158"/>
      <c r="AO189" s="158"/>
      <c r="AP189" s="158"/>
      <c r="AQ189" s="158"/>
      <c r="AR189" s="158"/>
      <c r="AS189" s="158"/>
      <c r="AT189" s="158"/>
      <c r="AU189" s="158"/>
      <c r="AV189" s="158"/>
      <c r="AW189" s="158"/>
      <c r="AX189" s="158"/>
      <c r="AY189" s="158"/>
      <c r="AZ189" s="158"/>
      <c r="BA189" s="158"/>
      <c r="BB189" s="158"/>
      <c r="BC189" s="158"/>
      <c r="BD189" s="158"/>
      <c r="BE189" s="158"/>
      <c r="BF189" s="158"/>
      <c r="BG189" s="158"/>
      <c r="BH189" s="158"/>
      <c r="BI189" s="827">
        <f>75%*BI187</f>
        <v>7500</v>
      </c>
      <c r="BJ189" s="158"/>
      <c r="BK189" s="158"/>
      <c r="BL189" s="827"/>
      <c r="BM189" s="158"/>
      <c r="BN189" s="158"/>
      <c r="BO189" s="827">
        <f>75%*BO187</f>
        <v>7500</v>
      </c>
      <c r="BP189" s="158"/>
      <c r="BQ189" s="158"/>
      <c r="BR189" s="158"/>
      <c r="BS189" s="158"/>
      <c r="BT189" s="158"/>
      <c r="BU189" s="158"/>
      <c r="BV189" s="158"/>
      <c r="BW189" s="158"/>
      <c r="BX189" s="158"/>
      <c r="BY189" s="158"/>
      <c r="BZ189" s="158"/>
      <c r="CA189" s="158"/>
      <c r="CB189" s="158"/>
      <c r="CC189" s="158"/>
      <c r="CD189" s="158"/>
      <c r="CE189" s="158"/>
      <c r="CF189" s="158"/>
      <c r="CG189" s="158"/>
      <c r="CH189" s="158"/>
      <c r="CI189" s="158"/>
      <c r="CJ189" s="158"/>
      <c r="CK189" s="158"/>
      <c r="CL189" s="158"/>
      <c r="CM189" s="158"/>
      <c r="CN189" s="158"/>
      <c r="CO189" s="158"/>
      <c r="CP189" s="158"/>
      <c r="CQ189" s="158"/>
      <c r="CR189" s="158"/>
      <c r="CS189" s="158"/>
    </row>
    <row r="190" spans="2:97" x14ac:dyDescent="0.2">
      <c r="B190" s="158" t="s">
        <v>570</v>
      </c>
      <c r="C190" s="158"/>
      <c r="D190" s="158"/>
      <c r="E190" s="158"/>
      <c r="F190" s="158"/>
      <c r="G190" s="158"/>
      <c r="H190" s="158"/>
      <c r="I190" s="158"/>
      <c r="J190" s="158"/>
      <c r="K190" s="158"/>
      <c r="L190" s="158"/>
      <c r="M190" s="158"/>
      <c r="N190" s="158"/>
      <c r="O190" s="158"/>
      <c r="P190" s="158"/>
      <c r="Q190" s="158"/>
      <c r="R190" s="158"/>
      <c r="S190" s="158"/>
      <c r="T190" s="158"/>
      <c r="U190" s="158"/>
      <c r="V190" s="158"/>
      <c r="W190" s="158"/>
      <c r="X190" s="158"/>
      <c r="Y190" s="158"/>
      <c r="Z190" s="158"/>
      <c r="AA190" s="158"/>
      <c r="AB190" s="158"/>
      <c r="AC190" s="158"/>
      <c r="AD190" s="158"/>
      <c r="AE190" s="158"/>
      <c r="AF190" s="158"/>
      <c r="AG190" s="158"/>
      <c r="AH190" s="158"/>
      <c r="AI190" s="158"/>
      <c r="AJ190" s="158"/>
      <c r="AK190" s="158"/>
      <c r="AL190" s="158"/>
      <c r="AM190" s="158"/>
      <c r="AN190" s="158"/>
      <c r="AO190" s="158"/>
      <c r="AP190" s="158"/>
      <c r="AQ190" s="158"/>
      <c r="AR190" s="158"/>
      <c r="AS190" s="158"/>
      <c r="AT190" s="158"/>
      <c r="AU190" s="158"/>
      <c r="AV190" s="158"/>
      <c r="AW190" s="158"/>
      <c r="AX190" s="158"/>
      <c r="AY190" s="158"/>
      <c r="AZ190" s="158"/>
      <c r="BA190" s="158"/>
      <c r="BB190" s="158"/>
      <c r="BC190" s="158"/>
      <c r="BD190" s="158"/>
      <c r="BE190" s="158"/>
      <c r="BF190" s="158"/>
      <c r="BG190" s="158"/>
      <c r="BH190" s="158"/>
      <c r="BI190" s="158">
        <f>3000*75%</f>
        <v>2250</v>
      </c>
      <c r="BJ190" s="158"/>
      <c r="BK190" s="158"/>
      <c r="BL190" s="158"/>
      <c r="BM190" s="158"/>
      <c r="BN190" s="158"/>
      <c r="BO190" s="158">
        <f>3000*75%</f>
        <v>2250</v>
      </c>
      <c r="BP190" s="158"/>
      <c r="BQ190" s="158"/>
      <c r="BR190" s="158"/>
      <c r="BS190" s="158"/>
      <c r="BT190" s="158"/>
      <c r="BU190" s="158"/>
      <c r="BV190" s="158"/>
      <c r="BW190" s="158"/>
      <c r="BX190" s="158"/>
      <c r="BY190" s="158"/>
      <c r="BZ190" s="158"/>
      <c r="CA190" s="158"/>
      <c r="CB190" s="158"/>
      <c r="CC190" s="158"/>
      <c r="CD190" s="158"/>
      <c r="CE190" s="158"/>
      <c r="CF190" s="158"/>
      <c r="CG190" s="158"/>
      <c r="CH190" s="158"/>
      <c r="CI190" s="158"/>
      <c r="CJ190" s="158"/>
      <c r="CK190" s="158"/>
      <c r="CL190" s="158"/>
      <c r="CM190" s="158"/>
      <c r="CN190" s="158"/>
      <c r="CO190" s="158"/>
      <c r="CP190" s="158"/>
      <c r="CQ190" s="158"/>
      <c r="CR190" s="158"/>
      <c r="CS190" s="158"/>
    </row>
    <row r="191" spans="2:97" x14ac:dyDescent="0.2">
      <c r="B191" s="158" t="s">
        <v>571</v>
      </c>
      <c r="C191" s="158"/>
      <c r="D191" s="158"/>
      <c r="E191" s="158"/>
      <c r="F191" s="158"/>
      <c r="G191" s="158"/>
      <c r="H191" s="158"/>
      <c r="I191" s="158"/>
      <c r="J191" s="158"/>
      <c r="K191" s="158"/>
      <c r="L191" s="158"/>
      <c r="M191" s="158"/>
      <c r="N191" s="158"/>
      <c r="O191" s="158"/>
      <c r="P191" s="158"/>
      <c r="Q191" s="158"/>
      <c r="R191" s="158"/>
      <c r="S191" s="158"/>
      <c r="T191" s="158"/>
      <c r="U191" s="158"/>
      <c r="V191" s="158"/>
      <c r="W191" s="158"/>
      <c r="X191" s="158"/>
      <c r="Y191" s="158"/>
      <c r="Z191" s="158"/>
      <c r="AA191" s="158"/>
      <c r="AB191" s="158"/>
      <c r="AC191" s="158"/>
      <c r="AD191" s="158"/>
      <c r="AE191" s="158"/>
      <c r="AF191" s="158"/>
      <c r="AG191" s="158"/>
      <c r="AH191" s="158"/>
      <c r="AI191" s="158"/>
      <c r="AJ191" s="158"/>
      <c r="AK191" s="158"/>
      <c r="AL191" s="158"/>
      <c r="AM191" s="158"/>
      <c r="AN191" s="158"/>
      <c r="AO191" s="158"/>
      <c r="AP191" s="158"/>
      <c r="AQ191" s="158"/>
      <c r="AR191" s="158"/>
      <c r="AS191" s="158"/>
      <c r="AT191" s="158"/>
      <c r="AU191" s="158"/>
      <c r="AV191" s="158"/>
      <c r="AW191" s="158"/>
      <c r="AX191" s="158"/>
      <c r="AY191" s="158"/>
      <c r="AZ191" s="158"/>
      <c r="BA191" s="158"/>
      <c r="BB191" s="158"/>
      <c r="BC191" s="158"/>
      <c r="BD191" s="158"/>
      <c r="BE191" s="158"/>
      <c r="BF191" s="158"/>
      <c r="BG191" s="158"/>
      <c r="BH191" s="158"/>
      <c r="BI191" s="158">
        <f>7000*75%</f>
        <v>5250</v>
      </c>
      <c r="BJ191" s="158"/>
      <c r="BK191" s="158"/>
      <c r="BL191" s="158"/>
      <c r="BM191" s="158"/>
      <c r="BN191" s="158"/>
      <c r="BO191" s="158">
        <f>7000*75%</f>
        <v>5250</v>
      </c>
      <c r="BP191" s="158"/>
      <c r="BQ191" s="158"/>
      <c r="BR191" s="158"/>
      <c r="BS191" s="158"/>
      <c r="BT191" s="158"/>
      <c r="BU191" s="158"/>
      <c r="BV191" s="158"/>
      <c r="BW191" s="158"/>
      <c r="BX191" s="158"/>
      <c r="BY191" s="158"/>
      <c r="BZ191" s="158"/>
      <c r="CA191" s="158"/>
      <c r="CB191" s="158"/>
      <c r="CC191" s="158"/>
      <c r="CD191" s="158"/>
      <c r="CE191" s="158"/>
      <c r="CF191" s="158"/>
      <c r="CG191" s="158"/>
      <c r="CH191" s="158"/>
      <c r="CI191" s="158"/>
      <c r="CJ191" s="158"/>
      <c r="CK191" s="158"/>
      <c r="CL191" s="158"/>
      <c r="CM191" s="158"/>
      <c r="CN191" s="158"/>
      <c r="CO191" s="158"/>
      <c r="CP191" s="158"/>
      <c r="CQ191" s="158"/>
      <c r="CR191" s="158"/>
      <c r="CS191" s="158"/>
    </row>
    <row r="192" spans="2:97" x14ac:dyDescent="0.2">
      <c r="B192" s="158"/>
      <c r="C192" s="158"/>
      <c r="D192" s="158"/>
      <c r="E192" s="158"/>
      <c r="F192" s="158"/>
      <c r="G192" s="158"/>
      <c r="H192" s="158"/>
      <c r="I192" s="158"/>
      <c r="J192" s="158"/>
      <c r="K192" s="158"/>
      <c r="L192" s="158"/>
      <c r="M192" s="158"/>
      <c r="N192" s="158"/>
      <c r="O192" s="158"/>
      <c r="P192" s="158"/>
      <c r="Q192" s="158"/>
      <c r="R192" s="158"/>
      <c r="S192" s="158"/>
      <c r="T192" s="158"/>
      <c r="U192" s="158"/>
      <c r="V192" s="158"/>
      <c r="W192" s="158"/>
      <c r="X192" s="158"/>
      <c r="Y192" s="158"/>
      <c r="Z192" s="158"/>
      <c r="AA192" s="158"/>
      <c r="AB192" s="158"/>
      <c r="AC192" s="158"/>
      <c r="AD192" s="158"/>
      <c r="AE192" s="158"/>
      <c r="AF192" s="158"/>
      <c r="AG192" s="158"/>
      <c r="AH192" s="158"/>
      <c r="AI192" s="158"/>
      <c r="AJ192" s="158"/>
      <c r="AK192" s="158"/>
      <c r="AL192" s="158"/>
      <c r="AM192" s="158"/>
      <c r="AN192" s="158"/>
      <c r="AO192" s="158"/>
      <c r="AP192" s="158"/>
      <c r="AQ192" s="158"/>
      <c r="AR192" s="158"/>
      <c r="AS192" s="158"/>
      <c r="AT192" s="158"/>
      <c r="AU192" s="158"/>
      <c r="AV192" s="158"/>
      <c r="AW192" s="158"/>
      <c r="AX192" s="158"/>
      <c r="AY192" s="158"/>
      <c r="AZ192" s="158"/>
      <c r="BA192" s="158"/>
      <c r="BB192" s="158"/>
      <c r="BC192" s="158"/>
      <c r="BD192" s="158"/>
      <c r="BE192" s="158"/>
      <c r="BF192" s="158"/>
      <c r="BG192" s="158"/>
      <c r="BH192" s="158"/>
      <c r="BI192" s="158"/>
      <c r="BJ192" s="158"/>
      <c r="BK192" s="158"/>
      <c r="BL192" s="158"/>
      <c r="BM192" s="158"/>
      <c r="BN192" s="158"/>
      <c r="BO192" s="158"/>
      <c r="BP192" s="158"/>
      <c r="BQ192" s="158"/>
      <c r="BR192" s="158"/>
      <c r="BS192" s="158"/>
      <c r="BT192" s="158"/>
      <c r="BU192" s="158"/>
      <c r="BV192" s="158"/>
      <c r="BW192" s="158"/>
      <c r="BX192" s="158"/>
      <c r="BY192" s="158"/>
      <c r="BZ192" s="158"/>
      <c r="CA192" s="158"/>
      <c r="CB192" s="158"/>
      <c r="CC192" s="158"/>
      <c r="CD192" s="158"/>
      <c r="CE192" s="158"/>
      <c r="CF192" s="158"/>
      <c r="CG192" s="158"/>
      <c r="CH192" s="158"/>
      <c r="CI192" s="158"/>
      <c r="CJ192" s="158"/>
      <c r="CK192" s="158"/>
      <c r="CL192" s="158"/>
      <c r="CM192" s="158"/>
      <c r="CN192" s="158"/>
      <c r="CO192" s="158"/>
      <c r="CP192" s="158"/>
      <c r="CQ192" s="158"/>
      <c r="CR192" s="158"/>
      <c r="CS192" s="158"/>
    </row>
    <row r="193" spans="2:97" x14ac:dyDescent="0.2">
      <c r="B193" s="158" t="s">
        <v>584</v>
      </c>
      <c r="C193" s="158"/>
      <c r="D193" s="158"/>
      <c r="E193" s="158"/>
      <c r="F193" s="158"/>
      <c r="G193" s="158"/>
      <c r="H193" s="158"/>
      <c r="I193" s="158"/>
      <c r="J193" s="158"/>
      <c r="K193" s="158"/>
      <c r="L193" s="158"/>
      <c r="M193" s="158"/>
      <c r="N193" s="158"/>
      <c r="O193" s="158"/>
      <c r="P193" s="158"/>
      <c r="Q193" s="158"/>
      <c r="R193" s="158"/>
      <c r="S193" s="158"/>
      <c r="T193" s="158"/>
      <c r="U193" s="158"/>
      <c r="V193" s="158"/>
      <c r="W193" s="158"/>
      <c r="X193" s="158"/>
      <c r="Y193" s="158"/>
      <c r="Z193" s="158"/>
      <c r="AA193" s="158"/>
      <c r="AB193" s="158"/>
      <c r="AC193" s="158"/>
      <c r="AD193" s="158"/>
      <c r="AE193" s="158"/>
      <c r="AF193" s="158"/>
      <c r="AG193" s="158"/>
      <c r="AH193" s="158"/>
      <c r="AI193" s="158"/>
      <c r="AJ193" s="158"/>
      <c r="AK193" s="158"/>
      <c r="AL193" s="158"/>
      <c r="AM193" s="158"/>
      <c r="AN193" s="158"/>
      <c r="AO193" s="158"/>
      <c r="AP193" s="158"/>
      <c r="AQ193" s="158"/>
      <c r="AR193" s="158"/>
      <c r="AS193" s="158"/>
      <c r="AT193" s="158"/>
      <c r="AU193" s="158"/>
      <c r="AV193" s="158"/>
      <c r="AW193" s="158"/>
      <c r="AX193" s="158"/>
      <c r="AY193" s="158"/>
      <c r="AZ193" s="158"/>
      <c r="BA193" s="158"/>
      <c r="BB193" s="158"/>
      <c r="BC193" s="158"/>
      <c r="BD193" s="158"/>
      <c r="BE193" s="158"/>
      <c r="BF193" s="158"/>
      <c r="BG193" s="158"/>
      <c r="BH193" s="158"/>
      <c r="BI193" s="827">
        <f>+BI187-BI189</f>
        <v>2500</v>
      </c>
      <c r="BJ193" s="158"/>
      <c r="BK193" s="158"/>
      <c r="BL193" s="158"/>
      <c r="BM193" s="158"/>
      <c r="BN193" s="158"/>
      <c r="BO193" s="827">
        <f>+BO187-BO189</f>
        <v>2500</v>
      </c>
      <c r="BP193" s="158"/>
      <c r="BQ193" s="158"/>
      <c r="BR193" s="158"/>
      <c r="BS193" s="158"/>
      <c r="BT193" s="158"/>
      <c r="BU193" s="158"/>
      <c r="BV193" s="158"/>
      <c r="BW193" s="158"/>
      <c r="BX193" s="158"/>
      <c r="BY193" s="158"/>
      <c r="BZ193" s="158"/>
      <c r="CA193" s="158"/>
      <c r="CB193" s="158"/>
      <c r="CC193" s="158"/>
      <c r="CD193" s="158"/>
      <c r="CE193" s="158"/>
      <c r="CF193" s="158"/>
      <c r="CG193" s="158"/>
      <c r="CH193" s="158"/>
      <c r="CI193" s="158"/>
      <c r="CJ193" s="158"/>
      <c r="CK193" s="158"/>
      <c r="CL193" s="158"/>
      <c r="CM193" s="158"/>
      <c r="CN193" s="158"/>
      <c r="CO193" s="158"/>
      <c r="CP193" s="158"/>
      <c r="CQ193" s="158"/>
      <c r="CR193" s="158"/>
      <c r="CS193" s="158"/>
    </row>
    <row r="194" spans="2:97" x14ac:dyDescent="0.2">
      <c r="B194" s="158" t="s">
        <v>585</v>
      </c>
      <c r="C194" s="158"/>
      <c r="D194" s="158"/>
      <c r="E194" s="158"/>
      <c r="F194" s="158"/>
      <c r="G194" s="158"/>
      <c r="H194" s="158"/>
      <c r="I194" s="158"/>
      <c r="J194" s="158"/>
      <c r="K194" s="158"/>
      <c r="L194" s="158"/>
      <c r="M194" s="158"/>
      <c r="N194" s="158"/>
      <c r="O194" s="158"/>
      <c r="P194" s="158"/>
      <c r="Q194" s="158"/>
      <c r="R194" s="158"/>
      <c r="S194" s="158"/>
      <c r="T194" s="158"/>
      <c r="U194" s="158"/>
      <c r="V194" s="158"/>
      <c r="W194" s="158"/>
      <c r="X194" s="158"/>
      <c r="Y194" s="158"/>
      <c r="Z194" s="158"/>
      <c r="AA194" s="158"/>
      <c r="AB194" s="158"/>
      <c r="AC194" s="158"/>
      <c r="AD194" s="158"/>
      <c r="AE194" s="158"/>
      <c r="AF194" s="158"/>
      <c r="AG194" s="158"/>
      <c r="AH194" s="158"/>
      <c r="AI194" s="158"/>
      <c r="AJ194" s="158"/>
      <c r="AK194" s="158"/>
      <c r="AL194" s="158"/>
      <c r="AM194" s="158"/>
      <c r="AN194" s="158"/>
      <c r="AO194" s="158"/>
      <c r="AP194" s="158"/>
      <c r="AQ194" s="158"/>
      <c r="AR194" s="158"/>
      <c r="AS194" s="158"/>
      <c r="AT194" s="158"/>
      <c r="AU194" s="158"/>
      <c r="AV194" s="158"/>
      <c r="AW194" s="158"/>
      <c r="AX194" s="158"/>
      <c r="AY194" s="158"/>
      <c r="AZ194" s="158"/>
      <c r="BA194" s="158"/>
      <c r="BB194" s="158"/>
      <c r="BC194" s="158"/>
      <c r="BD194" s="158"/>
      <c r="BE194" s="158"/>
      <c r="BF194" s="158"/>
      <c r="BG194" s="158"/>
      <c r="BH194" s="158"/>
      <c r="BI194" s="158">
        <f>3000*25%</f>
        <v>750</v>
      </c>
      <c r="BJ194" s="158"/>
      <c r="BK194" s="158"/>
      <c r="BL194" s="158"/>
      <c r="BM194" s="158"/>
      <c r="BN194" s="158"/>
      <c r="BO194" s="158">
        <f>3000*25%</f>
        <v>750</v>
      </c>
      <c r="BP194" s="158"/>
      <c r="BQ194" s="158"/>
      <c r="BR194" s="158"/>
      <c r="BS194" s="158"/>
      <c r="BT194" s="158"/>
      <c r="BU194" s="158"/>
      <c r="BV194" s="158"/>
      <c r="BW194" s="158"/>
      <c r="BX194" s="158"/>
      <c r="BY194" s="158"/>
      <c r="BZ194" s="158"/>
      <c r="CA194" s="158"/>
      <c r="CB194" s="158"/>
      <c r="CC194" s="158"/>
      <c r="CD194" s="158"/>
      <c r="CE194" s="158"/>
      <c r="CF194" s="158"/>
      <c r="CG194" s="158"/>
      <c r="CH194" s="158"/>
      <c r="CI194" s="158"/>
      <c r="CJ194" s="158"/>
      <c r="CK194" s="158"/>
      <c r="CL194" s="158"/>
      <c r="CM194" s="158"/>
      <c r="CN194" s="158"/>
      <c r="CO194" s="158"/>
      <c r="CP194" s="158"/>
      <c r="CQ194" s="158"/>
      <c r="CR194" s="158"/>
      <c r="CS194" s="158"/>
    </row>
    <row r="195" spans="2:97" x14ac:dyDescent="0.2">
      <c r="B195" s="158" t="s">
        <v>586</v>
      </c>
      <c r="BI195" s="158">
        <f>7000*25%</f>
        <v>1750</v>
      </c>
      <c r="BM195" s="158"/>
      <c r="BN195" s="158"/>
      <c r="BO195" s="158">
        <f>7000*25%</f>
        <v>1750</v>
      </c>
      <c r="BP195" s="158"/>
      <c r="BQ195" s="158"/>
      <c r="BR195" s="158"/>
      <c r="BS195" s="158"/>
      <c r="BT195" s="158"/>
      <c r="BU195" s="158"/>
      <c r="BV195" s="158"/>
      <c r="BW195" s="158"/>
      <c r="BX195" s="158"/>
      <c r="BY195" s="158"/>
      <c r="BZ195" s="158"/>
      <c r="CA195" s="158"/>
      <c r="CB195" s="158"/>
      <c r="CC195" s="158"/>
      <c r="CD195" s="158"/>
      <c r="CE195" s="158"/>
      <c r="CF195" s="158"/>
      <c r="CG195" s="158"/>
      <c r="CH195" s="158"/>
      <c r="CI195" s="158"/>
      <c r="CJ195" s="158"/>
      <c r="CK195" s="158"/>
      <c r="CL195" s="158"/>
      <c r="CM195" s="158"/>
      <c r="CN195" s="158"/>
      <c r="CO195" s="158"/>
      <c r="CP195" s="158"/>
      <c r="CQ195" s="158"/>
      <c r="CR195" s="158"/>
      <c r="CS195" s="158"/>
    </row>
    <row r="196" spans="2:97" x14ac:dyDescent="0.2">
      <c r="B196" s="158"/>
      <c r="BM196" s="158"/>
      <c r="BN196" s="158"/>
      <c r="BO196" s="158"/>
      <c r="BP196" s="158"/>
      <c r="BQ196" s="158"/>
      <c r="BR196" s="158"/>
      <c r="BS196" s="158"/>
      <c r="BT196" s="158"/>
      <c r="BU196" s="158"/>
      <c r="BV196" s="158"/>
      <c r="BW196" s="158"/>
      <c r="BX196" s="158"/>
      <c r="BY196" s="158"/>
      <c r="BZ196" s="158"/>
      <c r="CA196" s="158"/>
      <c r="CB196" s="158"/>
      <c r="CC196" s="158"/>
      <c r="CD196" s="158"/>
      <c r="CE196" s="158"/>
      <c r="CF196" s="158"/>
      <c r="CG196" s="158"/>
      <c r="CH196" s="158"/>
      <c r="CI196" s="158"/>
      <c r="CJ196" s="158"/>
      <c r="CK196" s="158"/>
      <c r="CL196" s="158"/>
      <c r="CM196" s="158"/>
      <c r="CN196" s="158"/>
      <c r="CO196" s="158"/>
      <c r="CP196" s="158"/>
      <c r="CQ196" s="158"/>
      <c r="CR196" s="158"/>
      <c r="CS196" s="158"/>
    </row>
    <row r="197" spans="2:97" x14ac:dyDescent="0.2">
      <c r="B197" s="642" t="s">
        <v>590</v>
      </c>
      <c r="C197" s="642"/>
      <c r="D197" s="642"/>
      <c r="E197" s="642"/>
      <c r="F197" s="642"/>
      <c r="G197" s="642"/>
      <c r="H197" s="642"/>
      <c r="I197" s="642"/>
      <c r="J197" s="642"/>
      <c r="K197" s="642"/>
      <c r="L197" s="642"/>
      <c r="M197" s="642"/>
      <c r="N197" s="642"/>
      <c r="O197" s="642"/>
      <c r="P197" s="642"/>
      <c r="Q197" s="642"/>
      <c r="R197" s="642"/>
      <c r="S197" s="642"/>
      <c r="T197" s="642"/>
      <c r="U197" s="642"/>
      <c r="V197" s="642"/>
      <c r="W197" s="642"/>
      <c r="X197" s="642"/>
      <c r="Y197" s="642"/>
      <c r="Z197" s="642"/>
      <c r="AA197" s="642"/>
      <c r="AB197" s="642"/>
      <c r="AC197" s="642"/>
      <c r="AD197" s="642"/>
      <c r="AE197" s="642"/>
      <c r="AF197" s="642"/>
      <c r="AG197" s="642"/>
      <c r="AH197" s="642"/>
      <c r="AI197" s="642"/>
      <c r="AJ197" s="642"/>
      <c r="AK197" s="642"/>
      <c r="AL197" s="642"/>
      <c r="AM197" s="642"/>
      <c r="AN197" s="642"/>
      <c r="AO197" s="642"/>
      <c r="AP197" s="642"/>
      <c r="AQ197" s="642"/>
      <c r="AR197" s="642"/>
      <c r="AS197" s="642"/>
      <c r="AT197" s="642"/>
      <c r="AU197" s="642"/>
      <c r="AV197" s="642"/>
      <c r="AW197" s="642"/>
      <c r="AX197" s="642"/>
      <c r="AY197" s="642"/>
      <c r="AZ197" s="642"/>
      <c r="BA197" s="642"/>
      <c r="BB197" s="642"/>
      <c r="BC197" s="974">
        <v>141.1</v>
      </c>
      <c r="BD197" s="642"/>
      <c r="BE197" s="642"/>
      <c r="BF197" s="642"/>
      <c r="BG197" s="642"/>
      <c r="BH197" s="642"/>
      <c r="BI197" s="974">
        <v>169.1</v>
      </c>
      <c r="BJ197" s="642"/>
      <c r="BK197" s="642"/>
      <c r="BL197" s="973"/>
      <c r="BM197" s="158"/>
      <c r="BN197" s="158"/>
      <c r="BO197" s="805">
        <v>237.5</v>
      </c>
      <c r="BP197" s="158"/>
      <c r="BQ197" s="158"/>
      <c r="BR197" s="158"/>
      <c r="BS197" s="158"/>
      <c r="BT197" s="158"/>
      <c r="BU197" s="158"/>
      <c r="BV197" s="158"/>
      <c r="BW197" s="158"/>
      <c r="BX197" s="158"/>
      <c r="BY197" s="158"/>
      <c r="BZ197" s="158"/>
      <c r="CA197" s="158"/>
      <c r="CB197" s="158"/>
      <c r="CC197" s="158"/>
      <c r="CD197" s="158"/>
      <c r="CE197" s="158"/>
      <c r="CF197" s="158"/>
      <c r="CG197" s="158"/>
      <c r="CH197" s="158"/>
      <c r="CI197" s="158"/>
      <c r="CJ197" s="158"/>
      <c r="CK197" s="158"/>
      <c r="CL197" s="158"/>
      <c r="CM197" s="158"/>
      <c r="CN197" s="158"/>
      <c r="CO197" s="158"/>
      <c r="CP197" s="158"/>
      <c r="CQ197" s="158"/>
      <c r="CR197" s="158"/>
      <c r="CS197" s="158"/>
    </row>
    <row r="198" spans="2:97" x14ac:dyDescent="0.2">
      <c r="B198" s="350" t="s">
        <v>400</v>
      </c>
      <c r="BI198" s="55">
        <f>+BI197/BI189</f>
        <v>2.2546666666666666E-2</v>
      </c>
      <c r="BM198" s="158"/>
      <c r="BN198" s="158"/>
      <c r="BO198" s="55">
        <f>+BO197/BO189</f>
        <v>3.1666666666666669E-2</v>
      </c>
      <c r="BP198" s="158"/>
      <c r="BQ198" s="158"/>
      <c r="BR198" s="158"/>
      <c r="BS198" s="158"/>
      <c r="BT198" s="158"/>
      <c r="BU198" s="158"/>
      <c r="BV198" s="158"/>
      <c r="BW198" s="158"/>
      <c r="BX198" s="158"/>
      <c r="BY198" s="158"/>
      <c r="BZ198" s="158"/>
      <c r="CA198" s="158"/>
      <c r="CB198" s="158"/>
      <c r="CC198" s="158"/>
      <c r="CD198" s="158"/>
      <c r="CE198" s="158"/>
      <c r="CF198" s="158"/>
      <c r="CG198" s="158"/>
      <c r="CH198" s="158"/>
      <c r="CI198" s="158"/>
      <c r="CJ198" s="158"/>
      <c r="CK198" s="158"/>
      <c r="CL198" s="158"/>
      <c r="CM198" s="158"/>
      <c r="CN198" s="158"/>
      <c r="CO198" s="158"/>
      <c r="CP198" s="158"/>
      <c r="CQ198" s="158"/>
      <c r="CR198" s="158"/>
      <c r="CS198" s="158"/>
    </row>
    <row r="199" spans="2:97" x14ac:dyDescent="0.2">
      <c r="B199" s="158" t="s">
        <v>573</v>
      </c>
      <c r="C199" s="158"/>
      <c r="D199" s="158"/>
      <c r="E199" s="158"/>
      <c r="F199" s="158"/>
      <c r="G199" s="158"/>
      <c r="H199" s="158"/>
      <c r="I199" s="158"/>
      <c r="J199" s="158"/>
      <c r="K199" s="158"/>
      <c r="L199" s="158"/>
      <c r="M199" s="158"/>
      <c r="N199" s="158"/>
      <c r="O199" s="158"/>
      <c r="P199" s="158"/>
      <c r="Q199" s="158"/>
      <c r="R199" s="158"/>
      <c r="S199" s="158"/>
      <c r="T199" s="158"/>
      <c r="U199" s="158"/>
      <c r="V199" s="158"/>
      <c r="W199" s="158"/>
      <c r="X199" s="158"/>
      <c r="Y199" s="158"/>
      <c r="Z199" s="158"/>
      <c r="AA199" s="158"/>
      <c r="AB199" s="158"/>
      <c r="AC199" s="158"/>
      <c r="AD199" s="158"/>
      <c r="AE199" s="158"/>
      <c r="AF199" s="158"/>
      <c r="AG199" s="158"/>
      <c r="AH199" s="158"/>
      <c r="AI199" s="158"/>
      <c r="AJ199" s="158"/>
      <c r="AK199" s="158"/>
      <c r="AL199" s="158"/>
      <c r="AM199" s="158"/>
      <c r="AN199" s="158"/>
      <c r="AO199" s="158"/>
      <c r="AP199" s="158"/>
      <c r="AQ199" s="158"/>
      <c r="AR199" s="158"/>
      <c r="AS199" s="158"/>
      <c r="AT199" s="158"/>
      <c r="AU199" s="158"/>
      <c r="AV199" s="158"/>
      <c r="AW199" s="158"/>
      <c r="AX199" s="158"/>
      <c r="AY199" s="158"/>
      <c r="AZ199" s="158"/>
      <c r="BA199" s="158"/>
      <c r="BB199" s="158"/>
      <c r="BC199" s="158"/>
      <c r="BD199" s="158"/>
      <c r="BE199" s="158"/>
      <c r="BF199" s="158"/>
      <c r="BG199" s="158"/>
      <c r="BH199" s="642"/>
      <c r="BI199" s="765">
        <f>70%*BI197</f>
        <v>118.36999999999999</v>
      </c>
      <c r="BJ199" s="642"/>
      <c r="BK199" s="642"/>
      <c r="BL199" s="158"/>
      <c r="BM199" s="158"/>
      <c r="BN199" s="158"/>
      <c r="BO199" s="765">
        <f>70%*BO197</f>
        <v>166.25</v>
      </c>
      <c r="BP199" s="158"/>
      <c r="BQ199" s="158"/>
      <c r="BR199" s="158"/>
      <c r="BS199" s="158"/>
      <c r="BT199" s="158"/>
      <c r="BU199" s="158"/>
      <c r="BV199" s="158"/>
      <c r="BW199" s="158"/>
      <c r="BX199" s="158"/>
      <c r="BY199" s="158"/>
      <c r="BZ199" s="158"/>
      <c r="CA199" s="158"/>
      <c r="CB199" s="158"/>
      <c r="CC199" s="158"/>
      <c r="CD199" s="158"/>
      <c r="CE199" s="158"/>
      <c r="CF199" s="158"/>
      <c r="CG199" s="158"/>
      <c r="CH199" s="158"/>
      <c r="CI199" s="158"/>
      <c r="CJ199" s="158"/>
      <c r="CK199" s="158"/>
      <c r="CL199" s="158"/>
      <c r="CM199" s="158"/>
      <c r="CN199" s="158"/>
      <c r="CO199" s="158"/>
      <c r="CP199" s="158"/>
      <c r="CQ199" s="158"/>
      <c r="CR199" s="158"/>
      <c r="CS199" s="158"/>
    </row>
    <row r="200" spans="2:97" x14ac:dyDescent="0.2">
      <c r="B200" s="350" t="s">
        <v>400</v>
      </c>
      <c r="C200" s="158"/>
      <c r="D200" s="158"/>
      <c r="E200" s="158"/>
      <c r="F200" s="158"/>
      <c r="G200" s="158"/>
      <c r="H200" s="158"/>
      <c r="I200" s="158"/>
      <c r="J200" s="158"/>
      <c r="K200" s="158"/>
      <c r="L200" s="158"/>
      <c r="M200" s="158"/>
      <c r="N200" s="158"/>
      <c r="O200" s="158"/>
      <c r="P200" s="158"/>
      <c r="Q200" s="158"/>
      <c r="R200" s="158"/>
      <c r="S200" s="158"/>
      <c r="T200" s="158"/>
      <c r="U200" s="158"/>
      <c r="V200" s="158"/>
      <c r="W200" s="158"/>
      <c r="X200" s="158"/>
      <c r="Y200" s="158"/>
      <c r="Z200" s="158"/>
      <c r="AA200" s="158"/>
      <c r="AB200" s="158"/>
      <c r="AC200" s="158"/>
      <c r="AD200" s="158"/>
      <c r="AE200" s="158"/>
      <c r="AF200" s="158"/>
      <c r="AG200" s="158"/>
      <c r="AH200" s="158"/>
      <c r="AI200" s="158"/>
      <c r="AJ200" s="158"/>
      <c r="AK200" s="158"/>
      <c r="AL200" s="158"/>
      <c r="AM200" s="158"/>
      <c r="AN200" s="158"/>
      <c r="AO200" s="158"/>
      <c r="AP200" s="158"/>
      <c r="AQ200" s="158"/>
      <c r="AR200" s="158"/>
      <c r="AS200" s="158"/>
      <c r="AT200" s="158"/>
      <c r="AU200" s="158"/>
      <c r="AV200" s="158"/>
      <c r="AW200" s="158"/>
      <c r="AX200" s="158"/>
      <c r="AY200" s="158"/>
      <c r="AZ200" s="158"/>
      <c r="BA200" s="158"/>
      <c r="BB200" s="158"/>
      <c r="BC200" s="158"/>
      <c r="BD200" s="158"/>
      <c r="BE200" s="158"/>
      <c r="BF200" s="158"/>
      <c r="BG200" s="158"/>
      <c r="BH200" s="642"/>
      <c r="BI200" s="55">
        <f>+BI199/BI190</f>
        <v>5.2608888888888886E-2</v>
      </c>
      <c r="BJ200" s="642"/>
      <c r="BK200" s="642"/>
      <c r="BL200" s="158"/>
      <c r="BM200" s="158"/>
      <c r="BN200" s="158"/>
      <c r="BO200" s="55">
        <f>+BO199/BO190</f>
        <v>7.3888888888888893E-2</v>
      </c>
      <c r="BP200" s="158"/>
      <c r="BQ200" s="158"/>
      <c r="BR200" s="158"/>
      <c r="BS200" s="158"/>
      <c r="BT200" s="158"/>
      <c r="BU200" s="158"/>
      <c r="BV200" s="158"/>
      <c r="BW200" s="158"/>
      <c r="BX200" s="158"/>
      <c r="BY200" s="158"/>
      <c r="BZ200" s="158"/>
      <c r="CA200" s="158"/>
      <c r="CB200" s="158"/>
      <c r="CC200" s="158"/>
      <c r="CD200" s="158"/>
      <c r="CE200" s="158"/>
      <c r="CF200" s="158"/>
      <c r="CG200" s="158"/>
      <c r="CH200" s="158"/>
      <c r="CI200" s="158"/>
      <c r="CJ200" s="158"/>
      <c r="CK200" s="158"/>
      <c r="CL200" s="158"/>
      <c r="CM200" s="158"/>
      <c r="CN200" s="158"/>
      <c r="CO200" s="158"/>
      <c r="CP200" s="158"/>
      <c r="CQ200" s="158"/>
      <c r="CR200" s="158"/>
      <c r="CS200" s="158"/>
    </row>
    <row r="201" spans="2:97" x14ac:dyDescent="0.2">
      <c r="B201" s="158" t="s">
        <v>572</v>
      </c>
      <c r="C201" s="158"/>
      <c r="D201" s="158"/>
      <c r="E201" s="158"/>
      <c r="F201" s="158"/>
      <c r="G201" s="158"/>
      <c r="H201" s="158"/>
      <c r="I201" s="158"/>
      <c r="J201" s="158"/>
      <c r="K201" s="158"/>
      <c r="L201" s="158"/>
      <c r="M201" s="158"/>
      <c r="N201" s="158"/>
      <c r="O201" s="158"/>
      <c r="P201" s="158"/>
      <c r="Q201" s="158"/>
      <c r="R201" s="158"/>
      <c r="S201" s="158"/>
      <c r="T201" s="158"/>
      <c r="U201" s="158"/>
      <c r="V201" s="158"/>
      <c r="W201" s="158"/>
      <c r="X201" s="158"/>
      <c r="Y201" s="158"/>
      <c r="Z201" s="158"/>
      <c r="AA201" s="158"/>
      <c r="AB201" s="158"/>
      <c r="AC201" s="158"/>
      <c r="AD201" s="158"/>
      <c r="AE201" s="158"/>
      <c r="AF201" s="158"/>
      <c r="AG201" s="158"/>
      <c r="AH201" s="158"/>
      <c r="AI201" s="158"/>
      <c r="AJ201" s="158"/>
      <c r="AK201" s="158"/>
      <c r="AL201" s="158"/>
      <c r="AM201" s="158"/>
      <c r="AN201" s="158"/>
      <c r="AO201" s="158"/>
      <c r="AP201" s="158"/>
      <c r="AQ201" s="158"/>
      <c r="AR201" s="158"/>
      <c r="AS201" s="158"/>
      <c r="AT201" s="158"/>
      <c r="AU201" s="158"/>
      <c r="AV201" s="158"/>
      <c r="AW201" s="158"/>
      <c r="AX201" s="158"/>
      <c r="AY201" s="158"/>
      <c r="AZ201" s="158"/>
      <c r="BA201" s="158"/>
      <c r="BB201" s="158"/>
      <c r="BC201" s="158"/>
      <c r="BD201" s="158"/>
      <c r="BE201" s="158"/>
      <c r="BF201" s="158"/>
      <c r="BG201" s="158"/>
      <c r="BH201" s="827"/>
      <c r="BI201" s="975">
        <f>30%*BI197</f>
        <v>50.73</v>
      </c>
      <c r="BJ201" s="158"/>
      <c r="BK201" s="827"/>
      <c r="BL201" s="827"/>
      <c r="BM201" s="158"/>
      <c r="BN201" s="158"/>
      <c r="BO201" s="975">
        <f>30%*BO197</f>
        <v>71.25</v>
      </c>
      <c r="BP201" s="158"/>
      <c r="BQ201" s="158"/>
      <c r="BR201" s="158"/>
      <c r="BS201" s="158"/>
      <c r="BT201" s="158"/>
      <c r="BU201" s="158"/>
      <c r="BV201" s="158"/>
      <c r="BW201" s="158"/>
      <c r="BX201" s="158"/>
      <c r="BY201" s="158"/>
      <c r="BZ201" s="158"/>
      <c r="CA201" s="158"/>
      <c r="CB201" s="158"/>
      <c r="CC201" s="158"/>
      <c r="CD201" s="158"/>
      <c r="CE201" s="158"/>
      <c r="CF201" s="158"/>
      <c r="CG201" s="158"/>
      <c r="CH201" s="158"/>
      <c r="CI201" s="158"/>
      <c r="CJ201" s="158"/>
      <c r="CK201" s="158"/>
      <c r="CL201" s="158"/>
      <c r="CM201" s="158"/>
      <c r="CN201" s="158"/>
      <c r="CO201" s="158"/>
      <c r="CP201" s="158"/>
      <c r="CQ201" s="158"/>
      <c r="CR201" s="158"/>
      <c r="CS201" s="158"/>
    </row>
    <row r="202" spans="2:97" x14ac:dyDescent="0.2">
      <c r="B202" s="350" t="s">
        <v>400</v>
      </c>
      <c r="C202" s="158"/>
      <c r="D202" s="158"/>
      <c r="E202" s="158"/>
      <c r="F202" s="158"/>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c r="AX202" s="158"/>
      <c r="AY202" s="158"/>
      <c r="AZ202" s="158"/>
      <c r="BA202" s="158"/>
      <c r="BB202" s="158"/>
      <c r="BC202" s="158"/>
      <c r="BD202" s="158"/>
      <c r="BE202" s="158"/>
      <c r="BF202" s="158"/>
      <c r="BG202" s="158"/>
      <c r="BH202" s="158"/>
      <c r="BI202" s="55">
        <f>+BI201/BI191</f>
        <v>9.6628571428571414E-3</v>
      </c>
      <c r="BJ202" s="158"/>
      <c r="BK202" s="158"/>
      <c r="BL202" s="158"/>
      <c r="BM202" s="158"/>
      <c r="BN202" s="158"/>
      <c r="BO202" s="55">
        <f>+BO201/BO191</f>
        <v>1.3571428571428571E-2</v>
      </c>
      <c r="BP202" s="158"/>
      <c r="BQ202" s="158"/>
      <c r="BR202" s="158"/>
      <c r="BS202" s="158"/>
      <c r="BT202" s="158"/>
      <c r="BU202" s="158"/>
      <c r="BV202" s="158"/>
      <c r="BW202" s="158"/>
      <c r="BX202" s="158"/>
      <c r="BY202" s="158"/>
      <c r="BZ202" s="158"/>
      <c r="CA202" s="158"/>
      <c r="CB202" s="158"/>
      <c r="CC202" s="158"/>
      <c r="CD202" s="158"/>
      <c r="CE202" s="158"/>
      <c r="CF202" s="158"/>
      <c r="CG202" s="158"/>
      <c r="CH202" s="158"/>
      <c r="CI202" s="158"/>
      <c r="CJ202" s="158"/>
      <c r="CK202" s="158"/>
      <c r="CL202" s="158"/>
      <c r="CM202" s="158"/>
      <c r="CN202" s="158"/>
      <c r="CO202" s="158"/>
      <c r="CP202" s="158"/>
      <c r="CQ202" s="158"/>
      <c r="CR202" s="158"/>
      <c r="CS202" s="158"/>
    </row>
    <row r="203" spans="2:97" x14ac:dyDescent="0.2">
      <c r="B203" s="158"/>
      <c r="C203" s="158"/>
      <c r="D203" s="158"/>
      <c r="E203" s="158"/>
      <c r="F203" s="158"/>
      <c r="G203" s="158"/>
      <c r="H203" s="158"/>
      <c r="I203" s="158"/>
      <c r="J203" s="158"/>
      <c r="K203" s="158"/>
      <c r="L203" s="158"/>
      <c r="M203" s="158"/>
      <c r="N203" s="158"/>
      <c r="O203" s="158"/>
      <c r="P203" s="158"/>
      <c r="Q203" s="158"/>
      <c r="R203" s="158"/>
      <c r="S203" s="158"/>
      <c r="T203" s="158"/>
      <c r="U203" s="158"/>
      <c r="V203" s="158"/>
      <c r="W203" s="158"/>
      <c r="X203" s="158"/>
      <c r="Y203" s="158"/>
      <c r="Z203" s="158"/>
      <c r="AA203" s="158"/>
      <c r="AB203" s="158"/>
      <c r="AC203" s="158"/>
      <c r="AD203" s="158"/>
      <c r="AE203" s="158"/>
      <c r="AF203" s="158"/>
      <c r="AG203" s="158"/>
      <c r="AH203" s="158"/>
      <c r="AI203" s="158"/>
      <c r="AJ203" s="158"/>
      <c r="AK203" s="158"/>
      <c r="AL203" s="158"/>
      <c r="AM203" s="158"/>
      <c r="AN203" s="158"/>
      <c r="AO203" s="158"/>
      <c r="AP203" s="158"/>
      <c r="AQ203" s="158"/>
      <c r="AR203" s="158"/>
      <c r="AS203" s="158"/>
      <c r="AT203" s="158"/>
      <c r="AU203" s="158"/>
      <c r="AV203" s="158"/>
      <c r="AW203" s="158"/>
      <c r="AX203" s="158"/>
      <c r="AY203" s="158"/>
      <c r="AZ203" s="158"/>
      <c r="BA203" s="158"/>
      <c r="BB203" s="158"/>
      <c r="BC203" s="158"/>
      <c r="BD203" s="158"/>
      <c r="BE203" s="158"/>
      <c r="BF203" s="158"/>
      <c r="BG203" s="158"/>
      <c r="BH203" s="158"/>
      <c r="BI203" s="158"/>
      <c r="BJ203" s="158"/>
      <c r="BK203" s="158"/>
      <c r="BL203" s="158"/>
      <c r="BM203" s="158"/>
      <c r="BN203" s="158"/>
      <c r="BO203" s="158"/>
      <c r="BP203" s="158"/>
      <c r="BQ203" s="158"/>
      <c r="BR203" s="158"/>
      <c r="BS203" s="158"/>
      <c r="BT203" s="158"/>
      <c r="BU203" s="158"/>
      <c r="BV203" s="158"/>
      <c r="BW203" s="158"/>
      <c r="BX203" s="158"/>
      <c r="BY203" s="158"/>
      <c r="BZ203" s="158"/>
      <c r="CA203" s="158"/>
      <c r="CB203" s="158"/>
      <c r="CC203" s="158"/>
      <c r="CD203" s="158"/>
      <c r="CE203" s="158"/>
      <c r="CF203" s="158"/>
      <c r="CG203" s="158"/>
      <c r="CH203" s="158"/>
      <c r="CI203" s="158"/>
      <c r="CJ203" s="158"/>
      <c r="CK203" s="158"/>
      <c r="CL203" s="158"/>
      <c r="CM203" s="158"/>
      <c r="CN203" s="158"/>
      <c r="CO203" s="158"/>
      <c r="CP203" s="158"/>
      <c r="CQ203" s="158"/>
      <c r="CR203" s="158"/>
      <c r="CS203" s="158"/>
    </row>
    <row r="204" spans="2:97" x14ac:dyDescent="0.2">
      <c r="B204" s="642" t="s">
        <v>587</v>
      </c>
      <c r="C204" s="158"/>
      <c r="D204" s="158"/>
      <c r="E204" s="158"/>
      <c r="F204" s="158"/>
      <c r="G204" s="158"/>
      <c r="H204" s="158"/>
      <c r="I204" s="158"/>
      <c r="J204" s="158"/>
      <c r="K204" s="158"/>
      <c r="L204" s="158"/>
      <c r="M204" s="158"/>
      <c r="N204" s="158"/>
      <c r="O204" s="158"/>
      <c r="P204" s="158"/>
      <c r="Q204" s="158"/>
      <c r="R204" s="158"/>
      <c r="S204" s="158"/>
      <c r="T204" s="158"/>
      <c r="U204" s="158"/>
      <c r="V204" s="158"/>
      <c r="W204" s="158"/>
      <c r="X204" s="158"/>
      <c r="Y204" s="158"/>
      <c r="Z204" s="158"/>
      <c r="AA204" s="158"/>
      <c r="AB204" s="158"/>
      <c r="AC204" s="158"/>
      <c r="AD204" s="158"/>
      <c r="AE204" s="158"/>
      <c r="AF204" s="158"/>
      <c r="AG204" s="158"/>
      <c r="AH204" s="158"/>
      <c r="AI204" s="158"/>
      <c r="AJ204" s="158"/>
      <c r="AK204" s="158"/>
      <c r="AL204" s="158"/>
      <c r="AM204" s="158"/>
      <c r="AN204" s="158"/>
      <c r="AO204" s="158"/>
      <c r="AP204" s="158"/>
      <c r="AQ204" s="158"/>
      <c r="AR204" s="158"/>
      <c r="AS204" s="158"/>
      <c r="AT204" s="158"/>
      <c r="AU204" s="158"/>
      <c r="AV204" s="158"/>
      <c r="AW204" s="158"/>
      <c r="AX204" s="158"/>
      <c r="AY204" s="158"/>
      <c r="AZ204" s="158"/>
      <c r="BA204" s="158"/>
      <c r="BB204" s="158"/>
      <c r="BC204" s="158"/>
      <c r="BD204" s="158"/>
      <c r="BE204" s="158"/>
      <c r="BF204" s="158"/>
      <c r="BG204" s="158"/>
      <c r="BH204" s="158"/>
      <c r="BI204" s="765">
        <f>+BI22-BI197</f>
        <v>539.38864737292022</v>
      </c>
      <c r="BJ204" s="158"/>
      <c r="BK204" s="158"/>
      <c r="BL204" s="158"/>
      <c r="BM204" s="158"/>
      <c r="BN204" s="158"/>
      <c r="BO204" s="642">
        <f>+BO22-BO197</f>
        <v>693.50999999999988</v>
      </c>
      <c r="BP204" s="158"/>
      <c r="BQ204" s="158"/>
      <c r="BR204" s="158"/>
      <c r="BS204" s="158"/>
      <c r="BT204" s="158"/>
      <c r="BU204" s="158"/>
      <c r="BV204" s="158"/>
      <c r="BW204" s="158"/>
      <c r="BX204" s="158"/>
      <c r="BY204" s="158"/>
      <c r="BZ204" s="158"/>
      <c r="CA204" s="158"/>
      <c r="CB204" s="158"/>
      <c r="CC204" s="158"/>
      <c r="CD204" s="158"/>
      <c r="CE204" s="158"/>
      <c r="CF204" s="158"/>
      <c r="CG204" s="158"/>
      <c r="CH204" s="158"/>
      <c r="CI204" s="158"/>
      <c r="CJ204" s="158"/>
      <c r="CK204" s="158"/>
      <c r="CL204" s="158"/>
      <c r="CM204" s="158"/>
      <c r="CN204" s="158"/>
      <c r="CO204" s="158"/>
      <c r="CP204" s="158"/>
      <c r="CQ204" s="158"/>
      <c r="CR204" s="158"/>
      <c r="CS204" s="158"/>
    </row>
    <row r="205" spans="2:97" x14ac:dyDescent="0.2">
      <c r="B205" s="350" t="s">
        <v>400</v>
      </c>
      <c r="C205" s="158"/>
      <c r="D205" s="158"/>
      <c r="E205" s="158"/>
      <c r="F205" s="158"/>
      <c r="G205" s="158"/>
      <c r="H205" s="158"/>
      <c r="I205" s="158"/>
      <c r="J205" s="158"/>
      <c r="K205" s="158"/>
      <c r="L205" s="158"/>
      <c r="M205" s="158"/>
      <c r="N205" s="158"/>
      <c r="O205" s="158"/>
      <c r="P205" s="158"/>
      <c r="Q205" s="158"/>
      <c r="R205" s="158"/>
      <c r="S205" s="158"/>
      <c r="T205" s="158"/>
      <c r="U205" s="158"/>
      <c r="V205" s="158"/>
      <c r="W205" s="158"/>
      <c r="X205" s="158"/>
      <c r="Y205" s="158"/>
      <c r="Z205" s="158"/>
      <c r="AA205" s="158"/>
      <c r="AB205" s="158"/>
      <c r="AC205" s="158"/>
      <c r="AD205" s="158"/>
      <c r="AE205" s="158"/>
      <c r="AF205" s="158"/>
      <c r="AG205" s="158"/>
      <c r="AH205" s="158"/>
      <c r="AI205" s="158"/>
      <c r="AJ205" s="158"/>
      <c r="AK205" s="158"/>
      <c r="AL205" s="158"/>
      <c r="AM205" s="158"/>
      <c r="AN205" s="158"/>
      <c r="AO205" s="158"/>
      <c r="AP205" s="158"/>
      <c r="AQ205" s="158"/>
      <c r="AR205" s="158"/>
      <c r="AS205" s="158"/>
      <c r="AT205" s="158"/>
      <c r="AU205" s="158"/>
      <c r="AV205" s="158"/>
      <c r="AW205" s="158"/>
      <c r="AX205" s="158"/>
      <c r="AY205" s="158"/>
      <c r="AZ205" s="158"/>
      <c r="BA205" s="158"/>
      <c r="BB205" s="158"/>
      <c r="BC205" s="158"/>
      <c r="BD205" s="158"/>
      <c r="BE205" s="158"/>
      <c r="BF205" s="158"/>
      <c r="BG205" s="158"/>
      <c r="BH205" s="158"/>
      <c r="BI205" s="55">
        <f>+BI204/BI193</f>
        <v>0.21575545894916809</v>
      </c>
      <c r="BJ205" s="158"/>
      <c r="BK205" s="158"/>
      <c r="BL205" s="158"/>
      <c r="BM205" s="158"/>
      <c r="BN205" s="158"/>
      <c r="BO205" s="55">
        <f>+BO204/BO193</f>
        <v>0.27740399999999993</v>
      </c>
      <c r="BP205" s="158"/>
      <c r="BQ205" s="158"/>
      <c r="BR205" s="158"/>
      <c r="BS205" s="158"/>
      <c r="BT205" s="158"/>
      <c r="BU205" s="158"/>
      <c r="BV205" s="158"/>
      <c r="BW205" s="158"/>
      <c r="BX205" s="158"/>
      <c r="BY205" s="158"/>
      <c r="BZ205" s="158"/>
      <c r="CA205" s="158"/>
      <c r="CB205" s="158"/>
      <c r="CC205" s="158"/>
      <c r="CD205" s="158"/>
      <c r="CE205" s="158"/>
      <c r="CF205" s="158"/>
      <c r="CG205" s="158"/>
      <c r="CH205" s="158"/>
      <c r="CI205" s="158"/>
      <c r="CJ205" s="158"/>
      <c r="CK205" s="158"/>
      <c r="CL205" s="158"/>
      <c r="CM205" s="158"/>
      <c r="CN205" s="158"/>
      <c r="CO205" s="158"/>
      <c r="CP205" s="158"/>
      <c r="CQ205" s="158"/>
      <c r="CR205" s="158"/>
      <c r="CS205" s="158"/>
    </row>
    <row r="206" spans="2:97" x14ac:dyDescent="0.2">
      <c r="B206" s="158" t="s">
        <v>588</v>
      </c>
      <c r="C206" s="158"/>
      <c r="D206" s="158"/>
      <c r="E206" s="158"/>
      <c r="F206" s="158"/>
      <c r="G206" s="158"/>
      <c r="H206" s="158"/>
      <c r="I206" s="158"/>
      <c r="J206" s="158"/>
      <c r="K206" s="158"/>
      <c r="L206" s="158"/>
      <c r="M206" s="158"/>
      <c r="N206" s="158"/>
      <c r="O206" s="158"/>
      <c r="P206" s="158"/>
      <c r="Q206" s="158"/>
      <c r="R206" s="158"/>
      <c r="S206" s="158"/>
      <c r="T206" s="158"/>
      <c r="U206" s="158"/>
      <c r="V206" s="158"/>
      <c r="W206" s="158"/>
      <c r="X206" s="158"/>
      <c r="Y206" s="158"/>
      <c r="Z206" s="158"/>
      <c r="AA206" s="158"/>
      <c r="AB206" s="158"/>
      <c r="AC206" s="158"/>
      <c r="AD206" s="158"/>
      <c r="AE206" s="158"/>
      <c r="AF206" s="158"/>
      <c r="AG206" s="158"/>
      <c r="AH206" s="158"/>
      <c r="AI206" s="158"/>
      <c r="AJ206" s="158"/>
      <c r="AK206" s="158"/>
      <c r="AL206" s="158"/>
      <c r="AM206" s="158"/>
      <c r="AN206" s="158"/>
      <c r="AO206" s="158"/>
      <c r="AP206" s="158"/>
      <c r="AQ206" s="158"/>
      <c r="AR206" s="158"/>
      <c r="AS206" s="158"/>
      <c r="AT206" s="158"/>
      <c r="AU206" s="158"/>
      <c r="AV206" s="158"/>
      <c r="AW206" s="158"/>
      <c r="AX206" s="158"/>
      <c r="AY206" s="158"/>
      <c r="AZ206" s="158"/>
      <c r="BA206" s="158"/>
      <c r="BB206" s="158"/>
      <c r="BC206" s="158"/>
      <c r="BD206" s="158"/>
      <c r="BE206" s="158"/>
      <c r="BF206" s="158"/>
      <c r="BG206" s="158"/>
      <c r="BH206" s="158"/>
      <c r="BI206" s="765">
        <f>60%*BI204</f>
        <v>323.63318842375213</v>
      </c>
      <c r="BJ206" s="158"/>
      <c r="BK206" s="158"/>
      <c r="BL206" s="158"/>
      <c r="BM206" s="158"/>
      <c r="BN206" s="158"/>
      <c r="BO206" s="158"/>
      <c r="BP206" s="158"/>
      <c r="BQ206" s="158"/>
      <c r="BR206" s="158"/>
      <c r="BS206" s="158"/>
      <c r="BT206" s="158"/>
      <c r="BU206" s="158"/>
      <c r="BV206" s="158"/>
      <c r="BW206" s="158"/>
      <c r="BX206" s="158"/>
      <c r="BY206" s="158"/>
      <c r="BZ206" s="158"/>
      <c r="CA206" s="158"/>
      <c r="CB206" s="158"/>
      <c r="CC206" s="158"/>
      <c r="CD206" s="158"/>
      <c r="CE206" s="158"/>
      <c r="CF206" s="158"/>
      <c r="CG206" s="158"/>
      <c r="CH206" s="158"/>
      <c r="CI206" s="158"/>
      <c r="CJ206" s="158"/>
      <c r="CK206" s="158"/>
      <c r="CL206" s="158"/>
      <c r="CM206" s="158"/>
      <c r="CN206" s="158"/>
      <c r="CO206" s="158"/>
      <c r="CP206" s="158"/>
      <c r="CQ206" s="158"/>
      <c r="CR206" s="158"/>
      <c r="CS206" s="158"/>
    </row>
    <row r="207" spans="2:97" x14ac:dyDescent="0.2">
      <c r="B207" s="350" t="s">
        <v>400</v>
      </c>
      <c r="C207" s="158"/>
      <c r="D207" s="158"/>
      <c r="E207" s="158"/>
      <c r="F207" s="158"/>
      <c r="G207" s="158"/>
      <c r="H207" s="158"/>
      <c r="I207" s="158"/>
      <c r="J207" s="158"/>
      <c r="K207" s="158"/>
      <c r="L207" s="158"/>
      <c r="M207" s="158"/>
      <c r="N207" s="158"/>
      <c r="O207" s="158"/>
      <c r="P207" s="158"/>
      <c r="Q207" s="158"/>
      <c r="R207" s="158"/>
      <c r="S207" s="158"/>
      <c r="T207" s="158"/>
      <c r="U207" s="158"/>
      <c r="V207" s="158"/>
      <c r="W207" s="158"/>
      <c r="X207" s="158"/>
      <c r="Y207" s="158"/>
      <c r="Z207" s="158"/>
      <c r="AA207" s="158"/>
      <c r="AB207" s="158"/>
      <c r="AC207" s="158"/>
      <c r="AD207" s="158"/>
      <c r="AE207" s="158"/>
      <c r="AF207" s="158"/>
      <c r="AG207" s="158"/>
      <c r="AH207" s="158"/>
      <c r="AI207" s="158"/>
      <c r="AJ207" s="158"/>
      <c r="AK207" s="158"/>
      <c r="AL207" s="158"/>
      <c r="AM207" s="158"/>
      <c r="AN207" s="158"/>
      <c r="AO207" s="158"/>
      <c r="AP207" s="158"/>
      <c r="AQ207" s="158"/>
      <c r="AR207" s="158"/>
      <c r="AS207" s="158"/>
      <c r="AT207" s="158"/>
      <c r="AU207" s="158"/>
      <c r="AV207" s="158"/>
      <c r="AW207" s="158"/>
      <c r="AX207" s="158"/>
      <c r="AY207" s="158"/>
      <c r="AZ207" s="158"/>
      <c r="BA207" s="158"/>
      <c r="BB207" s="158"/>
      <c r="BC207" s="158"/>
      <c r="BD207" s="158"/>
      <c r="BE207" s="158"/>
      <c r="BF207" s="158"/>
      <c r="BG207" s="158"/>
      <c r="BH207" s="158"/>
      <c r="BI207" s="55">
        <f>+BI206/BI194</f>
        <v>0.43151091789833618</v>
      </c>
      <c r="BJ207" s="158"/>
      <c r="BK207" s="158"/>
      <c r="BL207" s="158"/>
      <c r="BM207" s="158"/>
      <c r="BN207" s="158"/>
      <c r="BO207" s="158"/>
      <c r="BP207" s="158"/>
      <c r="BQ207" s="158"/>
      <c r="BR207" s="158"/>
      <c r="BS207" s="158"/>
      <c r="BT207" s="158"/>
      <c r="BU207" s="158"/>
      <c r="BV207" s="158"/>
      <c r="BW207" s="158"/>
      <c r="BX207" s="158"/>
      <c r="BY207" s="158"/>
      <c r="BZ207" s="158"/>
      <c r="CA207" s="158"/>
      <c r="CB207" s="158"/>
      <c r="CC207" s="158"/>
      <c r="CD207" s="158"/>
      <c r="CE207" s="158"/>
      <c r="CF207" s="158"/>
      <c r="CG207" s="158"/>
      <c r="CH207" s="158"/>
      <c r="CI207" s="158"/>
      <c r="CJ207" s="158"/>
      <c r="CK207" s="158"/>
      <c r="CL207" s="158"/>
      <c r="CM207" s="158"/>
      <c r="CN207" s="158"/>
      <c r="CO207" s="158"/>
      <c r="CP207" s="158"/>
      <c r="CQ207" s="158"/>
      <c r="CR207" s="158"/>
      <c r="CS207" s="158"/>
    </row>
    <row r="208" spans="2:97" x14ac:dyDescent="0.2">
      <c r="B208" s="158" t="s">
        <v>589</v>
      </c>
      <c r="C208" s="158"/>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c r="AT208" s="158"/>
      <c r="AU208" s="158"/>
      <c r="AV208" s="158"/>
      <c r="AW208" s="158"/>
      <c r="AX208" s="158"/>
      <c r="AY208" s="158"/>
      <c r="AZ208" s="158"/>
      <c r="BA208" s="158"/>
      <c r="BB208" s="158"/>
      <c r="BC208" s="158"/>
      <c r="BD208" s="158"/>
      <c r="BE208" s="158"/>
      <c r="BF208" s="158"/>
      <c r="BG208" s="158"/>
      <c r="BH208" s="158"/>
      <c r="BI208" s="975">
        <f>40%*BI204</f>
        <v>215.75545894916809</v>
      </c>
      <c r="BJ208" s="158"/>
      <c r="BK208" s="158"/>
      <c r="BL208" s="158"/>
      <c r="BM208" s="158"/>
      <c r="BN208" s="158"/>
      <c r="BO208" s="158"/>
      <c r="BP208" s="158"/>
      <c r="BQ208" s="158"/>
      <c r="BR208" s="158"/>
      <c r="BS208" s="158"/>
      <c r="BT208" s="158"/>
      <c r="BU208" s="158"/>
      <c r="BV208" s="158"/>
      <c r="BW208" s="158"/>
      <c r="BX208" s="158"/>
      <c r="BY208" s="158"/>
      <c r="BZ208" s="158"/>
      <c r="CA208" s="158"/>
      <c r="CB208" s="158"/>
      <c r="CC208" s="158"/>
      <c r="CD208" s="158"/>
      <c r="CE208" s="158"/>
      <c r="CF208" s="158"/>
      <c r="CG208" s="158"/>
      <c r="CH208" s="158"/>
      <c r="CI208" s="158"/>
      <c r="CJ208" s="158"/>
      <c r="CK208" s="158"/>
      <c r="CL208" s="158"/>
      <c r="CM208" s="158"/>
      <c r="CN208" s="158"/>
      <c r="CO208" s="158"/>
      <c r="CP208" s="158"/>
      <c r="CQ208" s="158"/>
      <c r="CR208" s="158"/>
      <c r="CS208" s="158"/>
    </row>
    <row r="209" spans="2:97" x14ac:dyDescent="0.2">
      <c r="B209" s="350" t="s">
        <v>400</v>
      </c>
      <c r="C209" s="158"/>
      <c r="D209" s="158"/>
      <c r="E209" s="158"/>
      <c r="F209" s="158"/>
      <c r="G209" s="158"/>
      <c r="H209" s="158"/>
      <c r="I209" s="158"/>
      <c r="J209" s="158"/>
      <c r="K209" s="158"/>
      <c r="L209" s="158"/>
      <c r="M209" s="158"/>
      <c r="N209" s="158"/>
      <c r="O209" s="158"/>
      <c r="P209" s="158"/>
      <c r="Q209" s="158"/>
      <c r="R209" s="158"/>
      <c r="S209" s="158"/>
      <c r="T209" s="158"/>
      <c r="U209" s="158"/>
      <c r="V209" s="158"/>
      <c r="W209" s="158"/>
      <c r="X209" s="158"/>
      <c r="Y209" s="158"/>
      <c r="Z209" s="158"/>
      <c r="AA209" s="158"/>
      <c r="AB209" s="158"/>
      <c r="AC209" s="158"/>
      <c r="AD209" s="158"/>
      <c r="AE209" s="158"/>
      <c r="AF209" s="158"/>
      <c r="AG209" s="158"/>
      <c r="AH209" s="158"/>
      <c r="AI209" s="158"/>
      <c r="AJ209" s="158"/>
      <c r="AK209" s="158"/>
      <c r="AL209" s="158"/>
      <c r="AM209" s="158"/>
      <c r="AN209" s="158"/>
      <c r="AO209" s="158"/>
      <c r="AP209" s="158"/>
      <c r="AQ209" s="158"/>
      <c r="AR209" s="158"/>
      <c r="AS209" s="158"/>
      <c r="AT209" s="158"/>
      <c r="AU209" s="158"/>
      <c r="AV209" s="158"/>
      <c r="AW209" s="158"/>
      <c r="AX209" s="158"/>
      <c r="AY209" s="158"/>
      <c r="AZ209" s="158"/>
      <c r="BA209" s="158"/>
      <c r="BB209" s="158"/>
      <c r="BC209" s="158"/>
      <c r="BD209" s="158"/>
      <c r="BE209" s="158"/>
      <c r="BF209" s="158"/>
      <c r="BG209" s="158"/>
      <c r="BH209" s="158"/>
      <c r="BI209" s="55">
        <f>+BI208/BI204</f>
        <v>0.4</v>
      </c>
      <c r="BJ209" s="158"/>
      <c r="BK209" s="158"/>
      <c r="BL209" s="158"/>
      <c r="BM209" s="158"/>
      <c r="BN209" s="158"/>
      <c r="BO209" s="158"/>
      <c r="BP209" s="158"/>
      <c r="BQ209" s="158"/>
      <c r="BR209" s="158"/>
      <c r="BS209" s="158"/>
      <c r="BT209" s="158"/>
      <c r="BU209" s="158"/>
      <c r="BV209" s="158"/>
      <c r="BW209" s="158"/>
      <c r="BX209" s="158"/>
      <c r="BY209" s="158"/>
      <c r="BZ209" s="158"/>
      <c r="CA209" s="158"/>
      <c r="CB209" s="158"/>
      <c r="CC209" s="158"/>
      <c r="CD209" s="158"/>
      <c r="CE209" s="158"/>
      <c r="CF209" s="158"/>
      <c r="CG209" s="158"/>
      <c r="CH209" s="158"/>
      <c r="CI209" s="158"/>
      <c r="CJ209" s="158"/>
      <c r="CK209" s="158"/>
      <c r="CL209" s="158"/>
      <c r="CM209" s="158"/>
      <c r="CN209" s="158"/>
      <c r="CO209" s="158"/>
      <c r="CP209" s="158"/>
      <c r="CQ209" s="158"/>
      <c r="CR209" s="158"/>
      <c r="CS209" s="158"/>
    </row>
    <row r="210" spans="2:97" x14ac:dyDescent="0.2">
      <c r="B210" s="158"/>
      <c r="C210" s="158"/>
      <c r="D210" s="158"/>
      <c r="E210" s="158"/>
      <c r="F210" s="158"/>
      <c r="G210" s="158"/>
      <c r="H210" s="158"/>
      <c r="I210" s="158"/>
      <c r="J210" s="158"/>
      <c r="K210" s="158"/>
      <c r="L210" s="158"/>
      <c r="M210" s="158"/>
      <c r="N210" s="158"/>
      <c r="O210" s="158"/>
      <c r="P210" s="158"/>
      <c r="Q210" s="158"/>
      <c r="R210" s="158"/>
      <c r="S210" s="158"/>
      <c r="T210" s="158"/>
      <c r="U210" s="158"/>
      <c r="V210" s="158"/>
      <c r="W210" s="158"/>
      <c r="X210" s="158"/>
      <c r="Y210" s="158"/>
      <c r="Z210" s="158"/>
      <c r="AA210" s="158"/>
      <c r="AB210" s="158"/>
      <c r="AC210" s="158"/>
      <c r="AD210" s="158"/>
      <c r="AE210" s="158"/>
      <c r="AF210" s="158"/>
      <c r="AG210" s="158"/>
      <c r="AH210" s="158"/>
      <c r="AI210" s="158"/>
      <c r="AJ210" s="158"/>
      <c r="AK210" s="158"/>
      <c r="AL210" s="158"/>
      <c r="AM210" s="158"/>
      <c r="AN210" s="158"/>
      <c r="AO210" s="158"/>
      <c r="AP210" s="158"/>
      <c r="AQ210" s="158"/>
      <c r="AR210" s="158"/>
      <c r="AS210" s="158"/>
      <c r="AT210" s="158"/>
      <c r="AU210" s="158"/>
      <c r="AV210" s="158"/>
      <c r="AW210" s="158"/>
      <c r="AX210" s="158"/>
      <c r="AY210" s="158"/>
      <c r="AZ210" s="158"/>
      <c r="BA210" s="158"/>
      <c r="BB210" s="158"/>
      <c r="BC210" s="158"/>
      <c r="BD210" s="158"/>
      <c r="BE210" s="158"/>
      <c r="BF210" s="158"/>
      <c r="BG210" s="158"/>
      <c r="BH210" s="158"/>
      <c r="BI210" s="158"/>
      <c r="BJ210" s="158"/>
      <c r="BK210" s="158"/>
      <c r="BL210" s="158"/>
      <c r="BM210" s="158"/>
      <c r="BN210" s="158"/>
      <c r="BO210" s="158"/>
      <c r="BP210" s="158"/>
      <c r="BQ210" s="158"/>
      <c r="BR210" s="158"/>
      <c r="BS210" s="158"/>
      <c r="BT210" s="158"/>
      <c r="BU210" s="158"/>
      <c r="BV210" s="158"/>
      <c r="BW210" s="158"/>
      <c r="BX210" s="158"/>
      <c r="BY210" s="158"/>
      <c r="BZ210" s="158"/>
      <c r="CA210" s="158"/>
      <c r="CB210" s="158"/>
      <c r="CC210" s="158"/>
      <c r="CD210" s="158"/>
      <c r="CE210" s="158"/>
      <c r="CF210" s="158"/>
      <c r="CG210" s="158"/>
      <c r="CH210" s="158"/>
      <c r="CI210" s="158"/>
      <c r="CJ210" s="158"/>
      <c r="CK210" s="158"/>
      <c r="CL210" s="158"/>
      <c r="CM210" s="158"/>
      <c r="CN210" s="158"/>
      <c r="CO210" s="158"/>
      <c r="CP210" s="158"/>
      <c r="CQ210" s="158"/>
      <c r="CR210" s="158"/>
      <c r="CS210" s="158"/>
    </row>
    <row r="211" spans="2:97" x14ac:dyDescent="0.2">
      <c r="B211" s="158" t="s">
        <v>582</v>
      </c>
      <c r="C211" s="158"/>
      <c r="D211" s="158"/>
      <c r="E211" s="158"/>
      <c r="F211" s="158"/>
      <c r="G211" s="158"/>
      <c r="H211" s="158"/>
      <c r="I211" s="158"/>
      <c r="J211" s="158"/>
      <c r="K211" s="158"/>
      <c r="L211" s="158"/>
      <c r="M211" s="158"/>
      <c r="N211" s="158"/>
      <c r="O211" s="158"/>
      <c r="P211" s="158"/>
      <c r="Q211" s="158"/>
      <c r="R211" s="158"/>
      <c r="S211" s="158"/>
      <c r="T211" s="158"/>
      <c r="U211" s="158"/>
      <c r="V211" s="158"/>
      <c r="W211" s="158"/>
      <c r="X211" s="158"/>
      <c r="Y211" s="158"/>
      <c r="Z211" s="158"/>
      <c r="AA211" s="158"/>
      <c r="AB211" s="158"/>
      <c r="AC211" s="158"/>
      <c r="AD211" s="158"/>
      <c r="AE211" s="158"/>
      <c r="AF211" s="158"/>
      <c r="AG211" s="158"/>
      <c r="AH211" s="158"/>
      <c r="AI211" s="158"/>
      <c r="AJ211" s="158"/>
      <c r="AK211" s="158"/>
      <c r="AL211" s="158"/>
      <c r="AM211" s="158"/>
      <c r="AN211" s="158"/>
      <c r="AO211" s="158"/>
      <c r="AP211" s="158"/>
      <c r="AQ211" s="158"/>
      <c r="AR211" s="158"/>
      <c r="AS211" s="158"/>
      <c r="AT211" s="158"/>
      <c r="AU211" s="158"/>
      <c r="AV211" s="158"/>
      <c r="AW211" s="158"/>
      <c r="AX211" s="158"/>
      <c r="AY211" s="758">
        <v>1.42</v>
      </c>
      <c r="AZ211" s="758">
        <v>1.4</v>
      </c>
      <c r="BA211" s="758">
        <v>1.4</v>
      </c>
      <c r="BB211" s="758">
        <v>1.395</v>
      </c>
      <c r="BC211" s="699"/>
      <c r="BD211" s="115"/>
      <c r="BE211" s="758">
        <v>1.405</v>
      </c>
      <c r="BF211" s="758">
        <v>1.4450000000000001</v>
      </c>
      <c r="BG211" s="758">
        <v>1.38</v>
      </c>
      <c r="BH211" s="906">
        <v>1.335</v>
      </c>
      <c r="BI211" s="699"/>
      <c r="BJ211" s="115"/>
      <c r="BK211" s="758">
        <v>1.37</v>
      </c>
      <c r="BL211" s="758">
        <v>1.395</v>
      </c>
      <c r="BM211" s="758">
        <v>1.405</v>
      </c>
      <c r="BN211" s="758">
        <v>1.385</v>
      </c>
      <c r="BO211" s="699"/>
      <c r="BP211" s="158"/>
      <c r="BQ211" s="158"/>
      <c r="BR211" s="158"/>
      <c r="BS211" s="158"/>
      <c r="BT211" s="158"/>
      <c r="BU211" s="158"/>
      <c r="BV211" s="158"/>
      <c r="BW211" s="158"/>
      <c r="BX211" s="158"/>
      <c r="BY211" s="158"/>
      <c r="BZ211" s="158"/>
      <c r="CA211" s="158"/>
      <c r="CB211" s="158"/>
      <c r="CC211" s="158"/>
      <c r="CD211" s="158"/>
      <c r="CE211" s="158"/>
      <c r="CF211" s="158"/>
      <c r="CG211" s="158"/>
      <c r="CH211" s="158"/>
      <c r="CI211" s="158"/>
      <c r="CJ211" s="158"/>
      <c r="CK211" s="158"/>
      <c r="CL211" s="158"/>
      <c r="CM211" s="158"/>
      <c r="CN211" s="158"/>
      <c r="CO211" s="158"/>
      <c r="CP211" s="158"/>
      <c r="CQ211" s="158"/>
      <c r="CR211" s="158"/>
      <c r="CS211" s="158"/>
    </row>
    <row r="212" spans="2:97" x14ac:dyDescent="0.2">
      <c r="B212" s="158"/>
      <c r="C212" s="158"/>
      <c r="D212" s="158"/>
      <c r="E212" s="158"/>
      <c r="F212" s="158"/>
      <c r="G212" s="158"/>
      <c r="H212" s="158"/>
      <c r="I212" s="158"/>
      <c r="J212" s="158"/>
      <c r="K212" s="158"/>
      <c r="L212" s="158"/>
      <c r="M212" s="158"/>
      <c r="N212" s="158"/>
      <c r="O212" s="158"/>
      <c r="P212" s="158"/>
      <c r="Q212" s="158"/>
      <c r="R212" s="158"/>
      <c r="S212" s="158"/>
      <c r="T212" s="158"/>
      <c r="U212" s="158"/>
      <c r="V212" s="158"/>
      <c r="W212" s="158"/>
      <c r="X212" s="158"/>
      <c r="Y212" s="158"/>
      <c r="Z212" s="158"/>
      <c r="AA212" s="158"/>
      <c r="AB212" s="158"/>
      <c r="AC212" s="158"/>
      <c r="AD212" s="158"/>
      <c r="AE212" s="158"/>
      <c r="AF212" s="158"/>
      <c r="AG212" s="158"/>
      <c r="AH212" s="158"/>
      <c r="AI212" s="158"/>
      <c r="AJ212" s="158"/>
      <c r="AK212" s="158"/>
      <c r="AL212" s="158"/>
      <c r="AM212" s="158"/>
      <c r="AN212" s="158"/>
      <c r="AO212" s="158"/>
      <c r="AP212" s="158"/>
      <c r="AQ212" s="158"/>
      <c r="AR212" s="158"/>
      <c r="AS212" s="158"/>
      <c r="AT212" s="158"/>
      <c r="AU212" s="158"/>
      <c r="AV212" s="158"/>
      <c r="AW212" s="158"/>
      <c r="AX212" s="158"/>
      <c r="AY212" s="158"/>
      <c r="AZ212" s="158"/>
      <c r="BA212" s="158"/>
      <c r="BB212" s="158"/>
      <c r="BC212" s="158"/>
      <c r="BD212" s="158"/>
      <c r="BE212" s="158"/>
      <c r="BF212" s="158"/>
      <c r="BG212" s="158"/>
      <c r="BH212" s="158"/>
      <c r="BI212" s="158"/>
      <c r="BJ212" s="158"/>
      <c r="BK212" s="158"/>
      <c r="BL212" s="158"/>
      <c r="BM212" s="158"/>
      <c r="BN212" s="158"/>
      <c r="BO212" s="158"/>
      <c r="BP212" s="158"/>
      <c r="BQ212" s="158"/>
      <c r="BR212" s="158"/>
      <c r="BS212" s="158"/>
      <c r="BT212" s="158"/>
      <c r="BU212" s="158"/>
      <c r="BV212" s="158"/>
      <c r="BW212" s="158"/>
      <c r="BX212" s="158"/>
      <c r="BY212" s="158"/>
      <c r="BZ212" s="158"/>
      <c r="CA212" s="158"/>
      <c r="CB212" s="158"/>
      <c r="CC212" s="158"/>
      <c r="CD212" s="158"/>
      <c r="CE212" s="158"/>
      <c r="CF212" s="158"/>
      <c r="CG212" s="158"/>
      <c r="CH212" s="158"/>
      <c r="CI212" s="158"/>
      <c r="CJ212" s="158"/>
      <c r="CK212" s="158"/>
      <c r="CL212" s="158"/>
      <c r="CM212" s="158"/>
      <c r="CN212" s="158"/>
      <c r="CO212" s="158"/>
      <c r="CP212" s="158"/>
      <c r="CQ212" s="158"/>
      <c r="CR212" s="158"/>
      <c r="CS212" s="158"/>
    </row>
    <row r="213" spans="2:97" x14ac:dyDescent="0.2">
      <c r="B213" s="158" t="s">
        <v>583</v>
      </c>
      <c r="C213" s="158"/>
      <c r="D213" s="158"/>
      <c r="E213" s="158"/>
      <c r="F213" s="158"/>
      <c r="G213" s="158"/>
      <c r="H213" s="158"/>
      <c r="I213" s="158"/>
      <c r="J213" s="158"/>
      <c r="K213" s="158"/>
      <c r="L213" s="158"/>
      <c r="M213" s="158"/>
      <c r="N213" s="158"/>
      <c r="O213" s="158"/>
      <c r="P213" s="158"/>
      <c r="Q213" s="158"/>
      <c r="R213" s="158"/>
      <c r="S213" s="158"/>
      <c r="T213" s="158"/>
      <c r="U213" s="158"/>
      <c r="V213" s="158"/>
      <c r="W213" s="158"/>
      <c r="X213" s="158"/>
      <c r="Y213" s="158"/>
      <c r="Z213" s="158"/>
      <c r="AA213" s="158"/>
      <c r="AB213" s="158"/>
      <c r="AC213" s="158"/>
      <c r="AD213" s="158"/>
      <c r="AE213" s="158"/>
      <c r="AF213" s="158"/>
      <c r="AG213" s="158"/>
      <c r="AH213" s="158"/>
      <c r="AI213" s="158"/>
      <c r="AJ213" s="158"/>
      <c r="AK213" s="158"/>
      <c r="AL213" s="158"/>
      <c r="AM213" s="158"/>
      <c r="AN213" s="158"/>
      <c r="AO213" s="158"/>
      <c r="AP213" s="158"/>
      <c r="AQ213" s="158"/>
      <c r="AR213" s="158"/>
      <c r="AS213" s="158"/>
      <c r="AT213" s="158"/>
      <c r="AU213" s="158"/>
      <c r="AV213" s="158"/>
      <c r="AW213" s="158"/>
      <c r="AX213" s="158"/>
      <c r="AY213" s="758">
        <v>0.93</v>
      </c>
      <c r="AZ213" s="758">
        <v>0.86499999999999999</v>
      </c>
      <c r="BA213" s="758">
        <v>0.86499999999999999</v>
      </c>
      <c r="BB213" s="758">
        <v>0.86499999999999999</v>
      </c>
      <c r="BC213" s="699"/>
      <c r="BD213" s="192"/>
      <c r="BE213" s="758">
        <v>0.86499999999999999</v>
      </c>
      <c r="BF213" s="758">
        <v>0.86499999999999999</v>
      </c>
      <c r="BG213" s="758">
        <v>0.85</v>
      </c>
      <c r="BH213" s="906">
        <v>0.81</v>
      </c>
      <c r="BI213" s="699"/>
      <c r="BJ213" s="192"/>
      <c r="BK213" s="758">
        <v>0.87</v>
      </c>
      <c r="BL213" s="758">
        <v>0.9</v>
      </c>
      <c r="BM213" s="758">
        <v>0.95</v>
      </c>
      <c r="BN213" s="758">
        <v>0.99</v>
      </c>
      <c r="BO213" s="699"/>
      <c r="BP213" s="158"/>
      <c r="BQ213" s="158"/>
      <c r="BR213" s="158"/>
      <c r="BS213" s="158"/>
      <c r="BT213" s="158"/>
      <c r="BU213" s="158"/>
      <c r="BV213" s="158"/>
      <c r="BW213" s="158"/>
      <c r="BX213" s="158"/>
      <c r="BY213" s="158"/>
      <c r="BZ213" s="158"/>
      <c r="CA213" s="158"/>
      <c r="CB213" s="158"/>
      <c r="CC213" s="158"/>
      <c r="CD213" s="158"/>
      <c r="CE213" s="158"/>
      <c r="CF213" s="158"/>
      <c r="CG213" s="158"/>
      <c r="CH213" s="158"/>
      <c r="CI213" s="158"/>
      <c r="CJ213" s="158"/>
      <c r="CK213" s="158"/>
      <c r="CL213" s="158"/>
      <c r="CM213" s="158"/>
      <c r="CN213" s="158"/>
      <c r="CO213" s="158"/>
      <c r="CP213" s="158"/>
      <c r="CQ213" s="158"/>
      <c r="CR213" s="158"/>
      <c r="CS213" s="158"/>
    </row>
    <row r="214" spans="2:97" x14ac:dyDescent="0.2">
      <c r="B214" s="158"/>
      <c r="C214" s="158"/>
      <c r="D214" s="158"/>
      <c r="E214" s="158"/>
      <c r="F214" s="158"/>
      <c r="G214" s="158"/>
      <c r="H214" s="158"/>
      <c r="I214" s="158"/>
      <c r="J214" s="158"/>
      <c r="K214" s="158"/>
      <c r="L214" s="158"/>
      <c r="M214" s="158"/>
      <c r="N214" s="158"/>
      <c r="O214" s="158"/>
      <c r="P214" s="158"/>
      <c r="Q214" s="158"/>
      <c r="R214" s="158"/>
      <c r="S214" s="158"/>
      <c r="T214" s="158"/>
      <c r="U214" s="158"/>
      <c r="V214" s="158"/>
      <c r="W214" s="158"/>
      <c r="X214" s="158"/>
      <c r="Y214" s="158"/>
      <c r="Z214" s="158"/>
      <c r="AA214" s="158"/>
      <c r="AB214" s="158"/>
      <c r="AC214" s="158"/>
      <c r="AD214" s="158"/>
      <c r="AE214" s="158"/>
      <c r="AF214" s="158"/>
      <c r="AG214" s="158"/>
      <c r="AH214" s="158"/>
      <c r="AI214" s="158"/>
      <c r="AJ214" s="158"/>
      <c r="AK214" s="158"/>
      <c r="AL214" s="158"/>
      <c r="AM214" s="158"/>
      <c r="AN214" s="158"/>
      <c r="AO214" s="158"/>
      <c r="AP214" s="158"/>
      <c r="AQ214" s="158"/>
      <c r="AR214" s="158"/>
      <c r="AS214" s="158"/>
      <c r="AT214" s="158"/>
      <c r="AU214" s="158"/>
      <c r="AV214" s="158"/>
      <c r="AW214" s="158"/>
      <c r="AX214" s="158"/>
      <c r="AY214" s="158"/>
      <c r="AZ214" s="158"/>
      <c r="BA214" s="158"/>
      <c r="BB214" s="158"/>
      <c r="BC214" s="158"/>
      <c r="BD214" s="158"/>
      <c r="BE214" s="158"/>
      <c r="BF214" s="158"/>
      <c r="BG214" s="158"/>
      <c r="BH214" s="158"/>
      <c r="BI214" s="158"/>
      <c r="BJ214" s="158"/>
      <c r="BK214" s="158"/>
      <c r="BL214" s="158"/>
      <c r="BM214" s="158"/>
      <c r="BN214" s="158"/>
      <c r="BO214" s="158"/>
      <c r="BP214" s="158"/>
      <c r="BQ214" s="158"/>
      <c r="BR214" s="158"/>
      <c r="BS214" s="158"/>
      <c r="BT214" s="158"/>
      <c r="BU214" s="158"/>
      <c r="BV214" s="158"/>
      <c r="BW214" s="158"/>
      <c r="BX214" s="158"/>
      <c r="BY214" s="158"/>
      <c r="BZ214" s="158"/>
      <c r="CA214" s="158"/>
      <c r="CB214" s="158"/>
      <c r="CC214" s="158"/>
      <c r="CD214" s="158"/>
      <c r="CE214" s="158"/>
      <c r="CF214" s="158"/>
      <c r="CG214" s="158"/>
      <c r="CH214" s="158"/>
      <c r="CI214" s="158"/>
      <c r="CJ214" s="158"/>
      <c r="CK214" s="158"/>
      <c r="CL214" s="158"/>
      <c r="CM214" s="158"/>
      <c r="CN214" s="158"/>
      <c r="CO214" s="158"/>
      <c r="CP214" s="158"/>
      <c r="CQ214" s="158"/>
      <c r="CR214" s="158"/>
      <c r="CS214" s="158"/>
    </row>
    <row r="215" spans="2:97" x14ac:dyDescent="0.2">
      <c r="B215" s="158"/>
      <c r="C215" s="158"/>
      <c r="D215" s="158"/>
      <c r="E215" s="158"/>
      <c r="F215" s="158"/>
      <c r="G215" s="158"/>
      <c r="H215" s="158"/>
      <c r="I215" s="158"/>
      <c r="J215" s="158"/>
      <c r="K215" s="158"/>
      <c r="L215" s="158"/>
      <c r="M215" s="158"/>
      <c r="N215" s="158"/>
      <c r="O215" s="158"/>
      <c r="P215" s="158"/>
      <c r="Q215" s="158"/>
      <c r="R215" s="158"/>
      <c r="S215" s="158"/>
      <c r="T215" s="158"/>
      <c r="U215" s="158"/>
      <c r="V215" s="158"/>
      <c r="W215" s="158"/>
      <c r="X215" s="158"/>
      <c r="Y215" s="158"/>
      <c r="Z215" s="158"/>
      <c r="AA215" s="158"/>
      <c r="AB215" s="158"/>
      <c r="AC215" s="158"/>
      <c r="AD215" s="158"/>
      <c r="AE215" s="158"/>
      <c r="AF215" s="158"/>
      <c r="AG215" s="158"/>
      <c r="AH215" s="158"/>
      <c r="AI215" s="158"/>
      <c r="AJ215" s="158"/>
      <c r="AK215" s="158"/>
      <c r="AL215" s="158"/>
      <c r="AM215" s="158"/>
      <c r="AN215" s="158"/>
      <c r="AO215" s="158"/>
      <c r="AP215" s="158"/>
      <c r="AQ215" s="158"/>
      <c r="AR215" s="158"/>
      <c r="AS215" s="158"/>
      <c r="AT215" s="158"/>
      <c r="AU215" s="158"/>
      <c r="AV215" s="158"/>
      <c r="AW215" s="158"/>
      <c r="AX215" s="158"/>
      <c r="AY215" s="158"/>
      <c r="AZ215" s="158"/>
      <c r="BA215" s="158"/>
      <c r="BB215" s="158"/>
      <c r="BC215" s="158"/>
      <c r="BD215" s="158"/>
      <c r="BE215" s="158"/>
      <c r="BF215" s="158"/>
      <c r="BG215" s="158"/>
      <c r="BH215" s="158"/>
      <c r="BI215" s="158"/>
      <c r="BJ215" s="158"/>
      <c r="BK215" s="158"/>
      <c r="BL215" s="158"/>
      <c r="BM215" s="158"/>
      <c r="BN215" s="158"/>
      <c r="BO215" s="158"/>
      <c r="BP215" s="158"/>
      <c r="BQ215" s="158"/>
      <c r="BR215" s="158"/>
      <c r="BS215" s="158"/>
      <c r="BT215" s="158"/>
      <c r="BU215" s="158"/>
      <c r="BV215" s="158"/>
      <c r="BW215" s="158"/>
      <c r="BX215" s="158"/>
      <c r="BY215" s="158"/>
      <c r="BZ215" s="158"/>
      <c r="CA215" s="158"/>
      <c r="CB215" s="158"/>
      <c r="CC215" s="158"/>
      <c r="CD215" s="158"/>
      <c r="CE215" s="158"/>
      <c r="CF215" s="158"/>
      <c r="CG215" s="158"/>
      <c r="CH215" s="158"/>
      <c r="CI215" s="158"/>
      <c r="CJ215" s="158"/>
      <c r="CK215" s="158"/>
      <c r="CL215" s="158"/>
      <c r="CM215" s="158"/>
      <c r="CN215" s="158"/>
      <c r="CO215" s="158"/>
      <c r="CP215" s="158"/>
      <c r="CQ215" s="158"/>
      <c r="CR215" s="158"/>
      <c r="CS215" s="158"/>
    </row>
    <row r="216" spans="2:97" x14ac:dyDescent="0.2">
      <c r="B216" s="158"/>
      <c r="C216" s="158"/>
      <c r="D216" s="158"/>
      <c r="E216" s="158"/>
      <c r="F216" s="158"/>
      <c r="G216" s="158"/>
      <c r="H216" s="158"/>
      <c r="I216" s="158"/>
      <c r="J216" s="158"/>
      <c r="K216" s="158"/>
      <c r="L216" s="158"/>
      <c r="M216" s="158"/>
      <c r="N216" s="158"/>
      <c r="O216" s="158"/>
      <c r="P216" s="158"/>
      <c r="Q216" s="158"/>
      <c r="R216" s="158"/>
      <c r="S216" s="158"/>
      <c r="T216" s="158"/>
      <c r="U216" s="158"/>
      <c r="V216" s="158"/>
      <c r="W216" s="158"/>
      <c r="X216" s="158"/>
      <c r="Y216" s="158"/>
      <c r="Z216" s="158"/>
      <c r="AA216" s="158"/>
      <c r="AB216" s="158"/>
      <c r="AC216" s="158"/>
      <c r="AD216" s="158"/>
      <c r="AE216" s="158"/>
      <c r="AF216" s="158"/>
      <c r="AG216" s="158"/>
      <c r="AH216" s="158"/>
      <c r="AI216" s="158"/>
      <c r="AJ216" s="158"/>
      <c r="AK216" s="158"/>
      <c r="AL216" s="158"/>
      <c r="AM216" s="158"/>
      <c r="AN216" s="158"/>
      <c r="AO216" s="158"/>
      <c r="AP216" s="158"/>
      <c r="AQ216" s="158"/>
      <c r="AR216" s="158"/>
      <c r="AS216" s="158"/>
      <c r="AT216" s="158"/>
      <c r="AU216" s="158"/>
      <c r="AV216" s="158"/>
      <c r="AW216" s="158"/>
      <c r="AX216" s="158"/>
      <c r="AY216" s="158"/>
      <c r="AZ216" s="158"/>
      <c r="BA216" s="158"/>
      <c r="BB216" s="158"/>
      <c r="BC216" s="158"/>
      <c r="BD216" s="158"/>
      <c r="BE216" s="158"/>
      <c r="BF216" s="158"/>
      <c r="BG216" s="158"/>
      <c r="BH216" s="158"/>
      <c r="BI216" s="158"/>
      <c r="BJ216" s="158"/>
      <c r="BK216" s="158"/>
      <c r="BL216" s="158"/>
      <c r="BM216" s="158"/>
      <c r="BN216" s="158"/>
      <c r="BO216" s="158"/>
      <c r="BP216" s="158"/>
      <c r="BQ216" s="158"/>
      <c r="BR216" s="158"/>
      <c r="BS216" s="158"/>
      <c r="BT216" s="158"/>
      <c r="BU216" s="158"/>
      <c r="BV216" s="158"/>
      <c r="BW216" s="158"/>
      <c r="BX216" s="158"/>
      <c r="BY216" s="158"/>
      <c r="BZ216" s="158"/>
      <c r="CA216" s="158"/>
      <c r="CB216" s="158"/>
      <c r="CC216" s="158"/>
      <c r="CD216" s="158"/>
      <c r="CE216" s="158"/>
      <c r="CF216" s="158"/>
      <c r="CG216" s="158"/>
      <c r="CH216" s="158"/>
      <c r="CI216" s="158"/>
      <c r="CJ216" s="158"/>
      <c r="CK216" s="158"/>
      <c r="CL216" s="158"/>
      <c r="CM216" s="158"/>
      <c r="CN216" s="158"/>
      <c r="CO216" s="158"/>
      <c r="CP216" s="158"/>
      <c r="CQ216" s="158"/>
      <c r="CR216" s="158"/>
      <c r="CS216" s="158"/>
    </row>
    <row r="217" spans="2:97" ht="5.0999999999999996" customHeight="1" x14ac:dyDescent="0.2">
      <c r="B217" s="158"/>
      <c r="C217" s="158"/>
      <c r="D217" s="158"/>
      <c r="E217" s="158"/>
      <c r="F217" s="158"/>
      <c r="G217" s="158"/>
      <c r="H217" s="158"/>
      <c r="I217" s="158"/>
      <c r="J217" s="158"/>
      <c r="K217" s="158"/>
      <c r="L217" s="158"/>
      <c r="M217" s="158"/>
      <c r="N217" s="158"/>
      <c r="O217" s="158"/>
      <c r="P217" s="158"/>
      <c r="Q217" s="158"/>
      <c r="R217" s="158"/>
      <c r="S217" s="158"/>
      <c r="T217" s="158"/>
      <c r="U217" s="158"/>
      <c r="V217" s="158"/>
      <c r="W217" s="158"/>
      <c r="X217" s="158"/>
      <c r="Y217" s="158"/>
      <c r="Z217" s="158"/>
      <c r="AA217" s="158"/>
      <c r="AB217" s="158"/>
      <c r="AC217" s="158"/>
      <c r="AD217" s="158"/>
      <c r="AE217" s="158"/>
      <c r="AF217" s="158"/>
      <c r="AG217" s="158"/>
      <c r="AH217" s="158"/>
      <c r="AI217" s="158"/>
      <c r="AJ217" s="158"/>
      <c r="AK217" s="158"/>
      <c r="AL217" s="158"/>
      <c r="AM217" s="158"/>
      <c r="AN217" s="158"/>
      <c r="AO217" s="158"/>
      <c r="AP217" s="158"/>
      <c r="AQ217" s="158"/>
      <c r="AR217" s="158"/>
      <c r="AS217" s="158"/>
      <c r="AT217" s="158"/>
      <c r="AU217" s="158"/>
      <c r="AV217" s="158"/>
      <c r="AW217" s="158"/>
      <c r="AX217" s="158"/>
      <c r="AY217" s="158"/>
      <c r="AZ217" s="158"/>
      <c r="BA217" s="158"/>
      <c r="BB217" s="158"/>
      <c r="BC217" s="158"/>
      <c r="BD217" s="158"/>
      <c r="BE217" s="158"/>
      <c r="BF217" s="158"/>
      <c r="BG217" s="158"/>
      <c r="BH217" s="158"/>
      <c r="BI217" s="158"/>
      <c r="BJ217" s="158"/>
      <c r="BK217" s="158"/>
      <c r="BL217" s="158"/>
      <c r="BM217" s="158"/>
      <c r="BN217" s="158"/>
      <c r="BO217" s="158"/>
      <c r="BP217" s="158"/>
      <c r="BQ217" s="158"/>
      <c r="BR217" s="158"/>
      <c r="BS217" s="158"/>
      <c r="BT217" s="158"/>
      <c r="BU217" s="158"/>
      <c r="BV217" s="158"/>
      <c r="BW217" s="158"/>
      <c r="BX217" s="158"/>
      <c r="BY217" s="158"/>
      <c r="BZ217" s="158"/>
      <c r="CA217" s="158"/>
      <c r="CB217" s="158"/>
      <c r="CC217" s="158"/>
      <c r="CD217" s="158"/>
      <c r="CE217" s="158"/>
      <c r="CF217" s="158"/>
      <c r="CG217" s="158"/>
      <c r="CH217" s="158"/>
      <c r="CI217" s="158"/>
      <c r="CJ217" s="158"/>
      <c r="CK217" s="158"/>
      <c r="CL217" s="158"/>
      <c r="CM217" s="158"/>
      <c r="CN217" s="158"/>
      <c r="CO217" s="158"/>
      <c r="CP217" s="158"/>
      <c r="CQ217" s="158"/>
      <c r="CR217" s="158"/>
      <c r="CS217" s="158"/>
    </row>
    <row r="218" spans="2:97" x14ac:dyDescent="0.2">
      <c r="B218" s="158"/>
      <c r="C218" s="158"/>
      <c r="D218" s="158"/>
      <c r="E218" s="158"/>
      <c r="F218" s="158"/>
      <c r="G218" s="158"/>
      <c r="H218" s="158"/>
      <c r="I218" s="158"/>
      <c r="J218" s="158"/>
      <c r="K218" s="158"/>
      <c r="L218" s="158"/>
      <c r="M218" s="158"/>
      <c r="N218" s="158"/>
      <c r="O218" s="158"/>
      <c r="P218" s="158"/>
      <c r="Q218" s="158"/>
      <c r="R218" s="158"/>
      <c r="S218" s="158"/>
      <c r="T218" s="158"/>
      <c r="U218" s="158"/>
      <c r="V218" s="158"/>
      <c r="W218" s="158"/>
      <c r="X218" s="158"/>
      <c r="Y218" s="158"/>
      <c r="Z218" s="158"/>
      <c r="AA218" s="158"/>
      <c r="AB218" s="158"/>
      <c r="AC218" s="158"/>
      <c r="AD218" s="158"/>
      <c r="AE218" s="158"/>
      <c r="AF218" s="158"/>
      <c r="AG218" s="158"/>
      <c r="AH218" s="158"/>
      <c r="AI218" s="158"/>
      <c r="AJ218" s="158"/>
      <c r="AK218" s="158"/>
      <c r="AL218" s="158"/>
      <c r="AM218" s="158"/>
      <c r="AN218" s="158"/>
      <c r="AO218" s="158"/>
      <c r="AP218" s="158"/>
      <c r="AQ218" s="158"/>
      <c r="AR218" s="158"/>
      <c r="AS218" s="158"/>
      <c r="AT218" s="158"/>
      <c r="AU218" s="158"/>
      <c r="AV218" s="158"/>
      <c r="AW218" s="158"/>
      <c r="AX218" s="158"/>
      <c r="AY218" s="158"/>
      <c r="AZ218" s="158"/>
      <c r="BA218" s="158"/>
      <c r="BB218" s="158"/>
      <c r="BC218" s="158"/>
      <c r="BD218" s="158"/>
      <c r="BE218" s="158"/>
      <c r="BF218" s="158"/>
      <c r="BG218" s="158"/>
      <c r="BH218" s="158"/>
      <c r="BI218" s="158"/>
      <c r="BJ218" s="158"/>
      <c r="BK218" s="158"/>
      <c r="BL218" s="158"/>
      <c r="BM218" s="158"/>
      <c r="BN218" s="158"/>
      <c r="BO218" s="158"/>
      <c r="BP218" s="158"/>
      <c r="BQ218" s="158"/>
      <c r="BR218" s="158"/>
      <c r="BS218" s="158"/>
      <c r="BT218" s="158"/>
      <c r="BU218" s="158"/>
      <c r="BV218" s="158"/>
      <c r="BW218" s="158"/>
      <c r="BX218" s="158"/>
      <c r="BY218" s="158"/>
      <c r="BZ218" s="158"/>
      <c r="CA218" s="158"/>
      <c r="CB218" s="158"/>
      <c r="CC218" s="158"/>
      <c r="CD218" s="158"/>
      <c r="CE218" s="158"/>
      <c r="CF218" s="158"/>
      <c r="CG218" s="158"/>
      <c r="CH218" s="158"/>
      <c r="CI218" s="158"/>
      <c r="CJ218" s="158"/>
      <c r="CK218" s="158"/>
      <c r="CL218" s="158"/>
      <c r="CM218" s="158"/>
      <c r="CN218" s="158"/>
      <c r="CO218" s="158"/>
      <c r="CP218" s="158"/>
      <c r="CQ218" s="158"/>
      <c r="CR218" s="158"/>
      <c r="CS218" s="158"/>
    </row>
    <row r="219" spans="2:97" x14ac:dyDescent="0.2">
      <c r="B219" s="158"/>
      <c r="C219" s="158"/>
      <c r="D219" s="158"/>
      <c r="E219" s="158"/>
      <c r="F219" s="158"/>
      <c r="G219" s="158"/>
      <c r="H219" s="158"/>
      <c r="I219" s="158"/>
      <c r="J219" s="158"/>
      <c r="K219" s="158"/>
      <c r="L219" s="158"/>
      <c r="M219" s="158"/>
      <c r="N219" s="158"/>
      <c r="O219" s="158"/>
      <c r="P219" s="158"/>
      <c r="Q219" s="158"/>
      <c r="R219" s="158"/>
      <c r="S219" s="158"/>
      <c r="T219" s="158"/>
      <c r="U219" s="158"/>
      <c r="V219" s="158"/>
      <c r="W219" s="158"/>
      <c r="X219" s="158"/>
      <c r="Y219" s="158"/>
      <c r="Z219" s="158"/>
      <c r="AA219" s="158"/>
      <c r="AB219" s="158"/>
      <c r="AC219" s="158"/>
      <c r="AD219" s="158"/>
      <c r="AE219" s="158"/>
      <c r="AF219" s="158"/>
      <c r="AG219" s="158"/>
      <c r="AH219" s="158"/>
      <c r="AI219" s="158"/>
      <c r="AJ219" s="158"/>
      <c r="AK219" s="158"/>
      <c r="AL219" s="158"/>
      <c r="AM219" s="158"/>
      <c r="AN219" s="158"/>
      <c r="AO219" s="158"/>
      <c r="AP219" s="158"/>
      <c r="AQ219" s="158"/>
      <c r="AR219" s="158"/>
      <c r="AS219" s="158"/>
      <c r="AT219" s="158"/>
      <c r="AU219" s="158"/>
      <c r="AV219" s="158"/>
      <c r="AW219" s="158"/>
      <c r="AX219" s="158"/>
      <c r="AY219" s="158"/>
      <c r="AZ219" s="158"/>
      <c r="BA219" s="158"/>
      <c r="BB219" s="158"/>
      <c r="BC219" s="158"/>
      <c r="BD219" s="158"/>
      <c r="BE219" s="158"/>
      <c r="BF219" s="158"/>
      <c r="BG219" s="158"/>
      <c r="BH219" s="158"/>
      <c r="BI219" s="158"/>
      <c r="BJ219" s="158"/>
      <c r="BK219" s="158"/>
      <c r="BL219" s="158"/>
      <c r="BM219" s="158"/>
      <c r="BN219" s="158"/>
      <c r="BO219" s="158"/>
      <c r="BP219" s="158"/>
      <c r="BQ219" s="158"/>
      <c r="BR219" s="158"/>
      <c r="BS219" s="158"/>
      <c r="BT219" s="158"/>
      <c r="BU219" s="158"/>
      <c r="BV219" s="158"/>
      <c r="BW219" s="158"/>
      <c r="BX219" s="158"/>
      <c r="BY219" s="158"/>
      <c r="BZ219" s="158"/>
      <c r="CA219" s="158"/>
      <c r="CB219" s="158"/>
      <c r="CC219" s="158"/>
      <c r="CD219" s="158"/>
      <c r="CE219" s="158"/>
      <c r="CF219" s="158"/>
      <c r="CG219" s="158"/>
      <c r="CH219" s="158"/>
      <c r="CI219" s="158"/>
      <c r="CJ219" s="158"/>
      <c r="CK219" s="158"/>
      <c r="CL219" s="158"/>
      <c r="CM219" s="158"/>
      <c r="CN219" s="158"/>
      <c r="CO219" s="158"/>
      <c r="CP219" s="158"/>
      <c r="CQ219" s="158"/>
      <c r="CR219" s="158"/>
      <c r="CS219" s="158"/>
    </row>
    <row r="220" spans="2:97" x14ac:dyDescent="0.2">
      <c r="B220" s="158"/>
      <c r="C220" s="158"/>
      <c r="D220" s="158"/>
      <c r="E220" s="158"/>
      <c r="F220" s="158"/>
      <c r="G220" s="158"/>
      <c r="H220" s="158"/>
      <c r="I220" s="158"/>
      <c r="J220" s="158"/>
      <c r="K220" s="158"/>
      <c r="L220" s="158"/>
      <c r="M220" s="158"/>
      <c r="N220" s="158"/>
      <c r="O220" s="158"/>
      <c r="P220" s="158"/>
      <c r="Q220" s="158"/>
      <c r="R220" s="158"/>
      <c r="S220" s="158"/>
      <c r="T220" s="158"/>
      <c r="U220" s="158"/>
      <c r="V220" s="158"/>
      <c r="W220" s="158"/>
      <c r="X220" s="158"/>
      <c r="Y220" s="158"/>
      <c r="Z220" s="158"/>
      <c r="AA220" s="158"/>
      <c r="AB220" s="158"/>
      <c r="AC220" s="158"/>
      <c r="AD220" s="158"/>
      <c r="AE220" s="158"/>
      <c r="AF220" s="158"/>
      <c r="AG220" s="158"/>
      <c r="AH220" s="158"/>
      <c r="AI220" s="158"/>
      <c r="AJ220" s="158"/>
      <c r="AK220" s="158"/>
      <c r="AL220" s="158"/>
      <c r="AM220" s="158"/>
      <c r="AN220" s="158"/>
      <c r="AO220" s="158"/>
      <c r="AP220" s="158"/>
      <c r="AQ220" s="158"/>
      <c r="AR220" s="158"/>
      <c r="AS220" s="158"/>
      <c r="AT220" s="158"/>
      <c r="AU220" s="158"/>
      <c r="AV220" s="158"/>
      <c r="AW220" s="158"/>
      <c r="AX220" s="158"/>
      <c r="AY220" s="158"/>
      <c r="AZ220" s="158"/>
      <c r="BA220" s="158"/>
      <c r="BB220" s="158"/>
      <c r="BC220" s="158"/>
      <c r="BD220" s="158"/>
      <c r="BE220" s="158"/>
      <c r="BF220" s="158"/>
      <c r="BG220" s="158"/>
      <c r="BH220" s="158"/>
      <c r="BI220" s="158"/>
      <c r="BJ220" s="158"/>
      <c r="BK220" s="158"/>
      <c r="BL220" s="158"/>
      <c r="BM220" s="158"/>
      <c r="BN220" s="158"/>
      <c r="BO220" s="158"/>
      <c r="BP220" s="158"/>
      <c r="BQ220" s="158"/>
      <c r="BR220" s="158"/>
      <c r="BS220" s="158"/>
      <c r="BT220" s="158"/>
      <c r="BU220" s="158"/>
      <c r="BV220" s="158"/>
      <c r="BW220" s="158"/>
      <c r="BX220" s="158"/>
      <c r="BY220" s="158"/>
      <c r="BZ220" s="158"/>
      <c r="CA220" s="158"/>
      <c r="CB220" s="158"/>
      <c r="CC220" s="158"/>
      <c r="CD220" s="158"/>
      <c r="CE220" s="158"/>
      <c r="CF220" s="158"/>
      <c r="CG220" s="158"/>
      <c r="CH220" s="158"/>
      <c r="CI220" s="158"/>
      <c r="CJ220" s="158"/>
      <c r="CK220" s="158"/>
      <c r="CL220" s="158"/>
      <c r="CM220" s="158"/>
      <c r="CN220" s="158"/>
      <c r="CO220" s="158"/>
      <c r="CP220" s="158"/>
      <c r="CQ220" s="158"/>
      <c r="CR220" s="158"/>
      <c r="CS220" s="158"/>
    </row>
    <row r="221" spans="2:97" x14ac:dyDescent="0.2">
      <c r="B221" s="158"/>
      <c r="C221" s="158"/>
      <c r="D221" s="158"/>
      <c r="E221" s="158"/>
      <c r="F221" s="158"/>
      <c r="G221" s="158"/>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158"/>
      <c r="AJ221" s="158"/>
      <c r="AK221" s="158"/>
      <c r="AL221" s="158"/>
      <c r="AM221" s="158"/>
      <c r="AN221" s="158"/>
      <c r="AO221" s="158"/>
      <c r="AP221" s="158"/>
      <c r="AQ221" s="158"/>
      <c r="AR221" s="158"/>
      <c r="AS221" s="158"/>
      <c r="AT221" s="158"/>
      <c r="AU221" s="158"/>
      <c r="AV221" s="158"/>
      <c r="AW221" s="158"/>
      <c r="AX221" s="158"/>
      <c r="AY221" s="158"/>
      <c r="AZ221" s="158"/>
      <c r="BA221" s="158"/>
      <c r="BB221" s="158"/>
      <c r="BC221" s="158"/>
      <c r="BD221" s="158"/>
      <c r="BE221" s="158"/>
      <c r="BF221" s="158"/>
      <c r="BG221" s="158"/>
      <c r="BH221" s="158"/>
      <c r="BI221" s="158"/>
      <c r="BJ221" s="158"/>
      <c r="BK221" s="158"/>
      <c r="BL221" s="158"/>
      <c r="BM221" s="158"/>
      <c r="BN221" s="158"/>
      <c r="BO221" s="158"/>
      <c r="BP221" s="158"/>
      <c r="BQ221" s="158"/>
      <c r="BR221" s="158"/>
      <c r="BS221" s="158"/>
      <c r="BT221" s="158"/>
      <c r="BU221" s="158"/>
      <c r="BV221" s="158"/>
      <c r="BW221" s="158"/>
      <c r="BX221" s="158"/>
      <c r="BY221" s="158"/>
      <c r="BZ221" s="158"/>
      <c r="CA221" s="158"/>
      <c r="CB221" s="158"/>
      <c r="CC221" s="158"/>
      <c r="CD221" s="158"/>
      <c r="CE221" s="158"/>
      <c r="CF221" s="158"/>
      <c r="CG221" s="158"/>
      <c r="CH221" s="158"/>
      <c r="CI221" s="158"/>
      <c r="CJ221" s="158"/>
      <c r="CK221" s="158"/>
      <c r="CL221" s="158"/>
      <c r="CM221" s="158"/>
      <c r="CN221" s="158"/>
      <c r="CO221" s="158"/>
      <c r="CP221" s="158"/>
      <c r="CQ221" s="158"/>
      <c r="CR221" s="158"/>
      <c r="CS221" s="158"/>
    </row>
    <row r="222" spans="2:97" x14ac:dyDescent="0.2">
      <c r="B222" s="158"/>
      <c r="C222" s="158"/>
      <c r="D222" s="158"/>
      <c r="E222" s="158"/>
      <c r="F222" s="158"/>
      <c r="G222" s="158"/>
      <c r="H222" s="158"/>
      <c r="I222" s="158"/>
      <c r="J222" s="158"/>
      <c r="K222" s="158"/>
      <c r="L222" s="158"/>
      <c r="M222" s="158"/>
      <c r="N222" s="158"/>
      <c r="O222" s="158"/>
      <c r="P222" s="158"/>
      <c r="Q222" s="158"/>
      <c r="R222" s="158"/>
      <c r="S222" s="158"/>
      <c r="T222" s="158"/>
      <c r="U222" s="158"/>
      <c r="V222" s="158"/>
      <c r="W222" s="158"/>
      <c r="X222" s="158"/>
      <c r="Y222" s="158"/>
      <c r="Z222" s="158"/>
      <c r="AA222" s="158"/>
      <c r="AB222" s="158"/>
      <c r="AC222" s="158"/>
      <c r="AD222" s="158"/>
      <c r="AE222" s="158"/>
      <c r="AF222" s="158"/>
      <c r="AG222" s="158"/>
      <c r="AH222" s="158"/>
      <c r="AI222" s="158"/>
      <c r="AJ222" s="158"/>
      <c r="AK222" s="158"/>
      <c r="AL222" s="158"/>
      <c r="AM222" s="158"/>
      <c r="AN222" s="158"/>
      <c r="AO222" s="158"/>
      <c r="AP222" s="158"/>
      <c r="AQ222" s="158"/>
      <c r="AR222" s="158"/>
      <c r="AS222" s="158"/>
      <c r="AT222" s="158"/>
      <c r="AU222" s="158"/>
      <c r="AV222" s="158"/>
      <c r="AW222" s="158"/>
      <c r="AX222" s="158"/>
      <c r="AY222" s="158"/>
      <c r="AZ222" s="158"/>
      <c r="BA222" s="158"/>
      <c r="BB222" s="158"/>
      <c r="BC222" s="158"/>
      <c r="BD222" s="158"/>
      <c r="BE222" s="158"/>
      <c r="BF222" s="158"/>
      <c r="BG222" s="158"/>
      <c r="BH222" s="158"/>
      <c r="BI222" s="158"/>
      <c r="BJ222" s="158"/>
      <c r="BK222" s="158"/>
      <c r="BL222" s="158"/>
      <c r="BM222" s="158"/>
      <c r="BN222" s="158"/>
      <c r="BO222" s="158"/>
      <c r="BP222" s="158"/>
      <c r="BQ222" s="158"/>
      <c r="BR222" s="158"/>
      <c r="BS222" s="158"/>
      <c r="BT222" s="158"/>
      <c r="BU222" s="158"/>
      <c r="BV222" s="158"/>
      <c r="BW222" s="158"/>
      <c r="BX222" s="158"/>
      <c r="BY222" s="158"/>
      <c r="BZ222" s="158"/>
      <c r="CA222" s="158"/>
      <c r="CB222" s="158"/>
      <c r="CC222" s="158"/>
      <c r="CD222" s="158"/>
      <c r="CE222" s="158"/>
      <c r="CF222" s="158"/>
      <c r="CG222" s="158"/>
      <c r="CH222" s="158"/>
      <c r="CI222" s="158"/>
      <c r="CJ222" s="158"/>
      <c r="CK222" s="158"/>
      <c r="CL222" s="158"/>
      <c r="CM222" s="158"/>
      <c r="CN222" s="158"/>
      <c r="CO222" s="158"/>
      <c r="CP222" s="158"/>
      <c r="CQ222" s="158"/>
      <c r="CR222" s="158"/>
      <c r="CS222" s="158"/>
    </row>
    <row r="223" spans="2:97" x14ac:dyDescent="0.2">
      <c r="B223" s="158"/>
      <c r="C223" s="158"/>
      <c r="D223" s="158"/>
      <c r="E223" s="158"/>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158"/>
      <c r="AJ223" s="158"/>
      <c r="AK223" s="158"/>
      <c r="AL223" s="158"/>
      <c r="AM223" s="158"/>
      <c r="AN223" s="158"/>
      <c r="AO223" s="158"/>
      <c r="AP223" s="158"/>
      <c r="AQ223" s="158"/>
      <c r="AR223" s="158"/>
      <c r="AS223" s="158"/>
      <c r="AT223" s="158"/>
      <c r="AU223" s="158"/>
      <c r="AV223" s="158"/>
      <c r="AW223" s="158"/>
      <c r="AX223" s="158"/>
      <c r="AY223" s="158"/>
      <c r="AZ223" s="158"/>
      <c r="BA223" s="158"/>
      <c r="BB223" s="158"/>
      <c r="BC223" s="158"/>
      <c r="BD223" s="158"/>
      <c r="BE223" s="158"/>
      <c r="BF223" s="158"/>
      <c r="BG223" s="158"/>
      <c r="BH223" s="158"/>
      <c r="BI223" s="158"/>
      <c r="BJ223" s="158"/>
      <c r="BK223" s="158"/>
      <c r="BL223" s="158"/>
      <c r="BM223" s="158"/>
      <c r="BN223" s="158"/>
      <c r="BO223" s="158"/>
      <c r="BP223" s="158"/>
      <c r="BQ223" s="158"/>
      <c r="BR223" s="158"/>
      <c r="BS223" s="158"/>
      <c r="BT223" s="158"/>
      <c r="BU223" s="158"/>
      <c r="BV223" s="158"/>
      <c r="BW223" s="158"/>
      <c r="BX223" s="158"/>
      <c r="BY223" s="158"/>
      <c r="BZ223" s="158"/>
      <c r="CA223" s="158"/>
      <c r="CB223" s="158"/>
      <c r="CC223" s="158"/>
      <c r="CD223" s="158"/>
      <c r="CE223" s="158"/>
      <c r="CF223" s="158"/>
      <c r="CG223" s="158"/>
      <c r="CH223" s="158"/>
      <c r="CI223" s="158"/>
      <c r="CJ223" s="158"/>
      <c r="CK223" s="158"/>
      <c r="CL223" s="158"/>
      <c r="CM223" s="158"/>
      <c r="CN223" s="158"/>
      <c r="CO223" s="158"/>
      <c r="CP223" s="158"/>
      <c r="CQ223" s="158"/>
      <c r="CR223" s="158"/>
      <c r="CS223" s="158"/>
    </row>
    <row r="224" spans="2:97" x14ac:dyDescent="0.2">
      <c r="B224" s="158"/>
      <c r="C224" s="158"/>
      <c r="D224" s="158"/>
      <c r="E224" s="158"/>
      <c r="F224" s="158"/>
      <c r="G224" s="158"/>
      <c r="H224" s="158"/>
      <c r="I224" s="158"/>
      <c r="J224" s="158"/>
      <c r="K224" s="158"/>
      <c r="L224" s="158"/>
      <c r="M224" s="158"/>
      <c r="N224" s="158"/>
      <c r="O224" s="158"/>
      <c r="P224" s="158"/>
      <c r="Q224" s="158"/>
      <c r="R224" s="158"/>
      <c r="S224" s="158"/>
      <c r="T224" s="158"/>
      <c r="U224" s="158"/>
      <c r="V224" s="158"/>
      <c r="W224" s="158"/>
      <c r="X224" s="158"/>
      <c r="Y224" s="158"/>
      <c r="Z224" s="158"/>
      <c r="AA224" s="158"/>
      <c r="AB224" s="158"/>
      <c r="AC224" s="158"/>
      <c r="AD224" s="158"/>
      <c r="AE224" s="158"/>
      <c r="AF224" s="158"/>
      <c r="AG224" s="158"/>
      <c r="AH224" s="158"/>
      <c r="AI224" s="158"/>
      <c r="AJ224" s="158"/>
      <c r="AK224" s="158"/>
      <c r="AL224" s="158"/>
      <c r="AM224" s="158"/>
      <c r="AN224" s="158"/>
      <c r="AO224" s="158"/>
      <c r="AP224" s="158"/>
      <c r="AQ224" s="158"/>
      <c r="AR224" s="158"/>
      <c r="AS224" s="158"/>
      <c r="AT224" s="158"/>
      <c r="AU224" s="158"/>
      <c r="AV224" s="158"/>
      <c r="AW224" s="158"/>
      <c r="AX224" s="158"/>
      <c r="AY224" s="158"/>
      <c r="AZ224" s="158"/>
      <c r="BA224" s="158"/>
      <c r="BB224" s="158"/>
      <c r="BC224" s="158"/>
      <c r="BD224" s="158"/>
      <c r="BE224" s="158"/>
      <c r="BF224" s="158"/>
      <c r="BG224" s="158"/>
      <c r="BH224" s="158"/>
      <c r="BI224" s="158"/>
      <c r="BJ224" s="158"/>
      <c r="BK224" s="158"/>
      <c r="BL224" s="158"/>
      <c r="BM224" s="158"/>
      <c r="BN224" s="158"/>
      <c r="BO224" s="158"/>
      <c r="BP224" s="158"/>
      <c r="BQ224" s="158"/>
      <c r="BR224" s="158"/>
      <c r="BS224" s="158"/>
      <c r="BT224" s="158"/>
      <c r="BU224" s="158"/>
      <c r="BV224" s="158"/>
      <c r="BW224" s="158"/>
      <c r="BX224" s="158"/>
      <c r="BY224" s="158"/>
      <c r="BZ224" s="158"/>
      <c r="CA224" s="158"/>
      <c r="CB224" s="158"/>
      <c r="CC224" s="158"/>
      <c r="CD224" s="158"/>
      <c r="CE224" s="158"/>
      <c r="CF224" s="158"/>
      <c r="CG224" s="158"/>
      <c r="CH224" s="158"/>
      <c r="CI224" s="158"/>
      <c r="CJ224" s="158"/>
      <c r="CK224" s="158"/>
      <c r="CL224" s="158"/>
      <c r="CM224" s="158"/>
      <c r="CN224" s="158"/>
      <c r="CO224" s="158"/>
      <c r="CP224" s="158"/>
      <c r="CQ224" s="158"/>
      <c r="CR224" s="158"/>
      <c r="CS224" s="158"/>
    </row>
    <row r="225" spans="2:97" x14ac:dyDescent="0.2">
      <c r="B225" s="158"/>
      <c r="C225" s="158"/>
      <c r="D225" s="158"/>
      <c r="E225" s="158"/>
      <c r="F225" s="158"/>
      <c r="G225" s="158"/>
      <c r="H225" s="158"/>
      <c r="I225" s="158"/>
      <c r="J225" s="158"/>
      <c r="K225" s="158"/>
      <c r="L225" s="158"/>
      <c r="M225" s="158"/>
      <c r="N225" s="158"/>
      <c r="O225" s="158"/>
      <c r="P225" s="158"/>
      <c r="Q225" s="158"/>
      <c r="R225" s="158"/>
      <c r="S225" s="158"/>
      <c r="T225" s="158"/>
      <c r="U225" s="158"/>
      <c r="V225" s="158"/>
      <c r="W225" s="158"/>
      <c r="X225" s="158"/>
      <c r="Y225" s="158"/>
      <c r="Z225" s="158"/>
      <c r="AA225" s="158"/>
      <c r="AB225" s="158"/>
      <c r="AC225" s="158"/>
      <c r="AD225" s="158"/>
      <c r="AE225" s="158"/>
      <c r="AF225" s="158"/>
      <c r="AG225" s="158"/>
      <c r="AH225" s="158"/>
      <c r="AI225" s="158"/>
      <c r="AJ225" s="158"/>
      <c r="AK225" s="158"/>
      <c r="AL225" s="158"/>
      <c r="AM225" s="158"/>
      <c r="AN225" s="158"/>
      <c r="AO225" s="158"/>
      <c r="AP225" s="158"/>
      <c r="AQ225" s="158"/>
      <c r="AR225" s="158"/>
      <c r="AS225" s="158"/>
      <c r="AT225" s="158"/>
      <c r="AU225" s="158"/>
      <c r="AV225" s="158"/>
      <c r="AW225" s="158"/>
      <c r="AX225" s="158"/>
      <c r="AY225" s="158"/>
      <c r="AZ225" s="158"/>
      <c r="BA225" s="158"/>
      <c r="BB225" s="158"/>
      <c r="BC225" s="158"/>
      <c r="BD225" s="158"/>
      <c r="BE225" s="158"/>
      <c r="BF225" s="158"/>
      <c r="BG225" s="158"/>
      <c r="BH225" s="158"/>
      <c r="BI225" s="158"/>
      <c r="BJ225" s="158"/>
      <c r="BK225" s="158"/>
      <c r="BL225" s="158"/>
      <c r="BM225" s="158"/>
      <c r="BN225" s="158"/>
      <c r="BO225" s="158"/>
      <c r="BP225" s="158"/>
      <c r="BQ225" s="158"/>
      <c r="BR225" s="158"/>
      <c r="BS225" s="158"/>
      <c r="BT225" s="158"/>
      <c r="BU225" s="158"/>
      <c r="BV225" s="158"/>
      <c r="BW225" s="158"/>
      <c r="BX225" s="158"/>
      <c r="BY225" s="158"/>
      <c r="BZ225" s="158"/>
      <c r="CA225" s="158"/>
      <c r="CB225" s="158"/>
      <c r="CC225" s="158"/>
      <c r="CD225" s="158"/>
      <c r="CE225" s="158"/>
      <c r="CF225" s="158"/>
      <c r="CG225" s="158"/>
      <c r="CH225" s="158"/>
      <c r="CI225" s="158"/>
      <c r="CJ225" s="158"/>
      <c r="CK225" s="158"/>
      <c r="CL225" s="158"/>
      <c r="CM225" s="158"/>
      <c r="CN225" s="158"/>
      <c r="CO225" s="158"/>
      <c r="CP225" s="158"/>
      <c r="CQ225" s="158"/>
      <c r="CR225" s="158"/>
      <c r="CS225" s="158"/>
    </row>
    <row r="226" spans="2:97" x14ac:dyDescent="0.2">
      <c r="B226" s="158"/>
      <c r="C226" s="158"/>
      <c r="D226" s="158"/>
      <c r="E226" s="158"/>
      <c r="F226" s="158"/>
      <c r="G226" s="158"/>
      <c r="H226" s="158"/>
      <c r="I226" s="158"/>
      <c r="J226" s="158"/>
      <c r="K226" s="158"/>
      <c r="L226" s="158"/>
      <c r="M226" s="158"/>
      <c r="N226" s="158"/>
      <c r="O226" s="158"/>
      <c r="P226" s="158"/>
      <c r="Q226" s="158"/>
      <c r="R226" s="158"/>
      <c r="S226" s="158"/>
      <c r="T226" s="158"/>
      <c r="U226" s="158"/>
      <c r="V226" s="158"/>
      <c r="W226" s="158"/>
      <c r="X226" s="158"/>
      <c r="Y226" s="158"/>
      <c r="Z226" s="158"/>
      <c r="AA226" s="158"/>
      <c r="AB226" s="158"/>
      <c r="AC226" s="158"/>
      <c r="AD226" s="158"/>
      <c r="AE226" s="158"/>
      <c r="AF226" s="158"/>
      <c r="AG226" s="158"/>
      <c r="AH226" s="158"/>
      <c r="AI226" s="158"/>
      <c r="AJ226" s="158"/>
      <c r="AK226" s="158"/>
      <c r="AL226" s="158"/>
      <c r="AM226" s="158"/>
      <c r="AN226" s="158"/>
      <c r="AO226" s="158"/>
      <c r="AP226" s="158"/>
      <c r="AQ226" s="158"/>
      <c r="AR226" s="158"/>
      <c r="AS226" s="158"/>
      <c r="AT226" s="158"/>
      <c r="AU226" s="158"/>
      <c r="AV226" s="158"/>
      <c r="AW226" s="158"/>
      <c r="AX226" s="158"/>
      <c r="AY226" s="158"/>
      <c r="AZ226" s="158"/>
      <c r="BA226" s="158"/>
      <c r="BB226" s="158"/>
      <c r="BC226" s="158"/>
      <c r="BD226" s="158"/>
      <c r="BE226" s="158"/>
      <c r="BF226" s="158"/>
      <c r="BG226" s="158"/>
      <c r="BH226" s="158"/>
      <c r="BI226" s="158"/>
      <c r="BJ226" s="158"/>
      <c r="BK226" s="158"/>
      <c r="BL226" s="158"/>
      <c r="BM226" s="158"/>
      <c r="BN226" s="158"/>
      <c r="BO226" s="158"/>
      <c r="BP226" s="158"/>
      <c r="BQ226" s="158"/>
      <c r="BR226" s="158"/>
      <c r="BS226" s="158"/>
      <c r="BT226" s="158"/>
      <c r="BU226" s="158"/>
      <c r="BV226" s="158"/>
      <c r="BW226" s="158"/>
      <c r="BX226" s="158"/>
      <c r="BY226" s="158"/>
      <c r="BZ226" s="158"/>
      <c r="CA226" s="158"/>
      <c r="CB226" s="158"/>
      <c r="CC226" s="158"/>
      <c r="CD226" s="158"/>
      <c r="CE226" s="158"/>
      <c r="CF226" s="158"/>
      <c r="CG226" s="158"/>
      <c r="CH226" s="158"/>
      <c r="CI226" s="158"/>
      <c r="CJ226" s="158"/>
      <c r="CK226" s="158"/>
      <c r="CL226" s="158"/>
      <c r="CM226" s="158"/>
      <c r="CN226" s="158"/>
      <c r="CO226" s="158"/>
      <c r="CP226" s="158"/>
      <c r="CQ226" s="158"/>
      <c r="CR226" s="158"/>
      <c r="CS226" s="158"/>
    </row>
    <row r="227" spans="2:97" x14ac:dyDescent="0.2">
      <c r="B227" s="158"/>
      <c r="C227" s="158"/>
      <c r="D227" s="158"/>
      <c r="E227" s="158"/>
      <c r="F227" s="158"/>
      <c r="G227" s="158"/>
      <c r="H227" s="158"/>
      <c r="I227" s="158"/>
      <c r="J227" s="158"/>
      <c r="K227" s="158"/>
      <c r="L227" s="158"/>
      <c r="M227" s="158"/>
      <c r="N227" s="158"/>
      <c r="O227" s="158"/>
      <c r="P227" s="158"/>
      <c r="Q227" s="158"/>
      <c r="R227" s="158"/>
      <c r="S227" s="158"/>
      <c r="T227" s="158"/>
      <c r="U227" s="158"/>
      <c r="V227" s="158"/>
      <c r="W227" s="158"/>
      <c r="X227" s="158"/>
      <c r="Y227" s="158"/>
      <c r="Z227" s="158"/>
      <c r="AA227" s="158"/>
      <c r="AB227" s="158"/>
      <c r="AC227" s="158"/>
      <c r="AD227" s="158"/>
      <c r="AE227" s="158"/>
      <c r="AF227" s="158"/>
      <c r="AG227" s="158"/>
      <c r="AH227" s="158"/>
      <c r="AI227" s="158"/>
      <c r="AJ227" s="158"/>
      <c r="AK227" s="158"/>
      <c r="AL227" s="158"/>
      <c r="AM227" s="158"/>
      <c r="AN227" s="158"/>
      <c r="AO227" s="158"/>
      <c r="AP227" s="158"/>
      <c r="AQ227" s="158"/>
      <c r="AR227" s="158"/>
      <c r="AS227" s="158"/>
      <c r="AT227" s="158"/>
      <c r="AU227" s="158"/>
      <c r="AV227" s="158"/>
      <c r="AW227" s="158"/>
      <c r="AX227" s="158"/>
      <c r="AY227" s="158"/>
      <c r="AZ227" s="158"/>
      <c r="BA227" s="158"/>
      <c r="BB227" s="158"/>
      <c r="BC227" s="158"/>
      <c r="BD227" s="158"/>
      <c r="BE227" s="158"/>
      <c r="BF227" s="158"/>
      <c r="BG227" s="158"/>
      <c r="BH227" s="158"/>
      <c r="BI227" s="158"/>
      <c r="BJ227" s="158"/>
      <c r="BK227" s="158"/>
      <c r="BL227" s="158"/>
      <c r="BM227" s="158"/>
      <c r="BN227" s="158"/>
      <c r="BO227" s="158"/>
      <c r="BP227" s="158"/>
      <c r="BQ227" s="158"/>
      <c r="BR227" s="158"/>
      <c r="BS227" s="158"/>
      <c r="BT227" s="158"/>
      <c r="BU227" s="158"/>
      <c r="BV227" s="158"/>
      <c r="BW227" s="158"/>
      <c r="BX227" s="158"/>
      <c r="BY227" s="158"/>
      <c r="BZ227" s="158"/>
      <c r="CA227" s="158"/>
      <c r="CB227" s="158"/>
      <c r="CC227" s="158"/>
      <c r="CD227" s="158"/>
      <c r="CE227" s="158"/>
      <c r="CF227" s="158"/>
      <c r="CG227" s="158"/>
      <c r="CH227" s="158"/>
      <c r="CI227" s="158"/>
      <c r="CJ227" s="158"/>
      <c r="CK227" s="158"/>
      <c r="CL227" s="158"/>
      <c r="CM227" s="158"/>
      <c r="CN227" s="158"/>
      <c r="CO227" s="158"/>
      <c r="CP227" s="158"/>
      <c r="CQ227" s="158"/>
      <c r="CR227" s="158"/>
      <c r="CS227" s="158"/>
    </row>
    <row r="228" spans="2:97" x14ac:dyDescent="0.2">
      <c r="B228" s="158"/>
      <c r="C228" s="158"/>
      <c r="D228" s="158"/>
      <c r="E228" s="158"/>
      <c r="F228" s="158"/>
      <c r="G228" s="158"/>
      <c r="H228" s="158"/>
      <c r="I228" s="158"/>
      <c r="J228" s="158"/>
      <c r="K228" s="158"/>
      <c r="L228" s="158"/>
      <c r="M228" s="158"/>
      <c r="N228" s="158"/>
      <c r="O228" s="158"/>
      <c r="P228" s="158"/>
      <c r="Q228" s="158"/>
      <c r="R228" s="158"/>
      <c r="S228" s="158"/>
      <c r="T228" s="158"/>
      <c r="U228" s="158"/>
      <c r="V228" s="158"/>
      <c r="W228" s="158"/>
      <c r="X228" s="158"/>
      <c r="Y228" s="158"/>
      <c r="Z228" s="158"/>
      <c r="AA228" s="158"/>
      <c r="AB228" s="158"/>
      <c r="AC228" s="158"/>
      <c r="AD228" s="158"/>
      <c r="AE228" s="158"/>
      <c r="AF228" s="158"/>
      <c r="AG228" s="158"/>
      <c r="AH228" s="158"/>
      <c r="AI228" s="158"/>
      <c r="AJ228" s="158"/>
      <c r="AK228" s="158"/>
      <c r="AL228" s="158"/>
      <c r="AM228" s="158"/>
      <c r="AN228" s="158"/>
      <c r="AO228" s="158"/>
      <c r="AP228" s="158"/>
      <c r="AQ228" s="158"/>
      <c r="AR228" s="158"/>
      <c r="AS228" s="158"/>
      <c r="AT228" s="158"/>
      <c r="AU228" s="158"/>
      <c r="AV228" s="158"/>
      <c r="AW228" s="158"/>
      <c r="AX228" s="158"/>
      <c r="AY228" s="158"/>
      <c r="AZ228" s="158"/>
      <c r="BA228" s="158"/>
      <c r="BB228" s="158"/>
      <c r="BC228" s="158"/>
      <c r="BD228" s="158"/>
      <c r="BE228" s="158"/>
      <c r="BF228" s="158"/>
      <c r="BG228" s="158"/>
      <c r="BH228" s="158"/>
      <c r="BI228" s="158"/>
      <c r="BJ228" s="158"/>
      <c r="BK228" s="158"/>
      <c r="BL228" s="158"/>
      <c r="BM228" s="158"/>
      <c r="BN228" s="158"/>
      <c r="BO228" s="158"/>
      <c r="BP228" s="158"/>
      <c r="BQ228" s="158"/>
      <c r="BR228" s="158"/>
      <c r="BS228" s="158"/>
      <c r="BT228" s="158"/>
      <c r="BU228" s="158"/>
      <c r="BV228" s="158"/>
      <c r="BW228" s="158"/>
      <c r="BX228" s="158"/>
      <c r="BY228" s="158"/>
      <c r="BZ228" s="158"/>
      <c r="CA228" s="158"/>
      <c r="CB228" s="158"/>
      <c r="CC228" s="158"/>
      <c r="CD228" s="158"/>
      <c r="CE228" s="158"/>
      <c r="CF228" s="158"/>
      <c r="CG228" s="158"/>
      <c r="CH228" s="158"/>
      <c r="CI228" s="158"/>
      <c r="CJ228" s="158"/>
      <c r="CK228" s="158"/>
      <c r="CL228" s="158"/>
      <c r="CM228" s="158"/>
      <c r="CN228" s="158"/>
      <c r="CO228" s="158"/>
      <c r="CP228" s="158"/>
      <c r="CQ228" s="158"/>
      <c r="CR228" s="158"/>
      <c r="CS228" s="158"/>
    </row>
    <row r="229" spans="2:97" x14ac:dyDescent="0.2">
      <c r="B229" s="158"/>
      <c r="C229" s="158"/>
      <c r="D229" s="158"/>
      <c r="E229" s="158"/>
      <c r="F229" s="158"/>
      <c r="G229" s="158"/>
      <c r="H229" s="158"/>
      <c r="I229" s="158"/>
      <c r="J229" s="158"/>
      <c r="K229" s="158"/>
      <c r="L229" s="158"/>
      <c r="M229" s="158"/>
      <c r="N229" s="158"/>
      <c r="O229" s="158"/>
      <c r="P229" s="158"/>
      <c r="Q229" s="158"/>
      <c r="R229" s="158"/>
      <c r="S229" s="158"/>
      <c r="T229" s="158"/>
      <c r="U229" s="158"/>
      <c r="V229" s="158"/>
      <c r="W229" s="158"/>
      <c r="X229" s="158"/>
      <c r="Y229" s="158"/>
      <c r="Z229" s="158"/>
      <c r="AA229" s="158"/>
      <c r="AB229" s="158"/>
      <c r="AC229" s="158"/>
      <c r="AD229" s="158"/>
      <c r="AE229" s="158"/>
      <c r="AF229" s="158"/>
      <c r="AG229" s="158"/>
      <c r="AH229" s="158"/>
      <c r="AI229" s="158"/>
      <c r="AJ229" s="158"/>
      <c r="AK229" s="158"/>
      <c r="AL229" s="158"/>
      <c r="AM229" s="158"/>
      <c r="AN229" s="158"/>
      <c r="AO229" s="158"/>
      <c r="AP229" s="158"/>
      <c r="AQ229" s="158"/>
      <c r="AR229" s="158"/>
      <c r="AS229" s="158"/>
      <c r="AT229" s="158"/>
      <c r="AU229" s="158"/>
      <c r="AV229" s="158"/>
      <c r="AW229" s="158"/>
      <c r="AX229" s="158"/>
      <c r="AY229" s="158"/>
      <c r="AZ229" s="158"/>
      <c r="BA229" s="158"/>
      <c r="BB229" s="158"/>
      <c r="BC229" s="158"/>
      <c r="BD229" s="158"/>
      <c r="BE229" s="158"/>
      <c r="BF229" s="158"/>
      <c r="BG229" s="158"/>
      <c r="BH229" s="158"/>
      <c r="BI229" s="158"/>
      <c r="BJ229" s="158"/>
      <c r="BK229" s="158"/>
      <c r="BL229" s="158"/>
      <c r="BM229" s="158"/>
      <c r="BN229" s="158"/>
      <c r="BO229" s="158"/>
      <c r="BP229" s="158"/>
      <c r="BQ229" s="158"/>
      <c r="BR229" s="158"/>
      <c r="BS229" s="158"/>
      <c r="BT229" s="158"/>
      <c r="BU229" s="158"/>
      <c r="BV229" s="158"/>
      <c r="BW229" s="158"/>
      <c r="BX229" s="158"/>
      <c r="BY229" s="158"/>
      <c r="BZ229" s="158"/>
      <c r="CA229" s="158"/>
      <c r="CB229" s="158"/>
      <c r="CC229" s="158"/>
      <c r="CD229" s="158"/>
      <c r="CE229" s="158"/>
      <c r="CF229" s="158"/>
      <c r="CG229" s="158"/>
      <c r="CH229" s="158"/>
      <c r="CI229" s="158"/>
      <c r="CJ229" s="158"/>
      <c r="CK229" s="158"/>
      <c r="CL229" s="158"/>
      <c r="CM229" s="158"/>
      <c r="CN229" s="158"/>
      <c r="CO229" s="158"/>
      <c r="CP229" s="158"/>
      <c r="CQ229" s="158"/>
      <c r="CR229" s="158"/>
      <c r="CS229" s="158"/>
    </row>
    <row r="230" spans="2:97" x14ac:dyDescent="0.2">
      <c r="B230" s="158"/>
      <c r="C230" s="158"/>
      <c r="D230" s="158"/>
      <c r="E230" s="158"/>
      <c r="F230" s="158"/>
      <c r="G230" s="158"/>
      <c r="H230" s="158"/>
      <c r="I230" s="158"/>
      <c r="J230" s="158"/>
      <c r="K230" s="158"/>
      <c r="L230" s="158"/>
      <c r="M230" s="158"/>
      <c r="N230" s="158"/>
      <c r="O230" s="158"/>
      <c r="P230" s="158"/>
      <c r="Q230" s="158"/>
      <c r="R230" s="158"/>
      <c r="S230" s="158"/>
      <c r="T230" s="158"/>
      <c r="U230" s="158"/>
      <c r="V230" s="158"/>
      <c r="W230" s="158"/>
      <c r="X230" s="158"/>
      <c r="Y230" s="158"/>
      <c r="Z230" s="158"/>
      <c r="AA230" s="158"/>
      <c r="AB230" s="158"/>
      <c r="AC230" s="158"/>
      <c r="AD230" s="158"/>
      <c r="AE230" s="158"/>
      <c r="AF230" s="158"/>
      <c r="AG230" s="158"/>
      <c r="AH230" s="158"/>
      <c r="AI230" s="158"/>
      <c r="AJ230" s="158"/>
      <c r="AK230" s="158"/>
      <c r="AL230" s="158"/>
      <c r="AM230" s="158"/>
      <c r="AN230" s="158"/>
      <c r="AO230" s="158"/>
      <c r="AP230" s="158"/>
      <c r="AQ230" s="158"/>
      <c r="AR230" s="158"/>
      <c r="AS230" s="158"/>
      <c r="AT230" s="158"/>
      <c r="AU230" s="158"/>
      <c r="AV230" s="158"/>
      <c r="AW230" s="158"/>
      <c r="AX230" s="158"/>
      <c r="AY230" s="158"/>
      <c r="AZ230" s="158"/>
      <c r="BA230" s="158"/>
      <c r="BB230" s="158"/>
      <c r="BC230" s="158"/>
      <c r="BD230" s="158"/>
      <c r="BE230" s="158"/>
      <c r="BF230" s="158"/>
      <c r="BG230" s="158"/>
      <c r="BH230" s="158"/>
      <c r="BI230" s="158"/>
      <c r="BJ230" s="158"/>
      <c r="BK230" s="158"/>
      <c r="BL230" s="158"/>
      <c r="BM230" s="158"/>
      <c r="BN230" s="158"/>
      <c r="BO230" s="158"/>
      <c r="BP230" s="158"/>
      <c r="BQ230" s="158"/>
      <c r="BR230" s="158"/>
      <c r="BS230" s="158"/>
      <c r="BT230" s="158"/>
      <c r="BU230" s="158"/>
      <c r="BV230" s="158"/>
      <c r="BW230" s="158"/>
      <c r="BX230" s="158"/>
      <c r="BY230" s="158"/>
      <c r="BZ230" s="158"/>
      <c r="CA230" s="158"/>
      <c r="CB230" s="158"/>
      <c r="CC230" s="158"/>
      <c r="CD230" s="158"/>
      <c r="CE230" s="158"/>
      <c r="CF230" s="158"/>
      <c r="CG230" s="158"/>
      <c r="CH230" s="158"/>
      <c r="CI230" s="158"/>
      <c r="CJ230" s="158"/>
      <c r="CK230" s="158"/>
      <c r="CL230" s="158"/>
      <c r="CM230" s="158"/>
      <c r="CN230" s="158"/>
      <c r="CO230" s="158"/>
      <c r="CP230" s="158"/>
      <c r="CQ230" s="158"/>
      <c r="CR230" s="158"/>
      <c r="CS230" s="158"/>
    </row>
    <row r="231" spans="2:97" x14ac:dyDescent="0.2">
      <c r="B231" s="158"/>
      <c r="C231" s="158"/>
      <c r="D231" s="158"/>
      <c r="E231" s="158"/>
      <c r="F231" s="158"/>
      <c r="G231" s="158"/>
      <c r="H231" s="158"/>
      <c r="I231" s="158"/>
      <c r="J231" s="158"/>
      <c r="K231" s="158"/>
      <c r="L231" s="158"/>
      <c r="M231" s="158"/>
      <c r="N231" s="158"/>
      <c r="O231" s="158"/>
      <c r="P231" s="158"/>
      <c r="Q231" s="158"/>
      <c r="R231" s="158"/>
      <c r="S231" s="158"/>
      <c r="T231" s="158"/>
      <c r="U231" s="158"/>
      <c r="V231" s="158"/>
      <c r="W231" s="158"/>
      <c r="X231" s="158"/>
      <c r="Y231" s="158"/>
      <c r="Z231" s="158"/>
      <c r="AA231" s="158"/>
      <c r="AB231" s="158"/>
      <c r="AC231" s="158"/>
      <c r="AD231" s="158"/>
      <c r="AE231" s="158"/>
      <c r="AF231" s="158"/>
      <c r="AG231" s="158"/>
      <c r="AH231" s="158"/>
      <c r="AI231" s="158"/>
      <c r="AJ231" s="158"/>
      <c r="AK231" s="158"/>
      <c r="AL231" s="158"/>
      <c r="AM231" s="158"/>
      <c r="AN231" s="158"/>
      <c r="AO231" s="158"/>
      <c r="AP231" s="158"/>
      <c r="AQ231" s="158"/>
      <c r="AR231" s="158"/>
      <c r="AS231" s="158"/>
      <c r="AT231" s="158"/>
      <c r="AU231" s="158"/>
      <c r="AV231" s="158"/>
      <c r="AW231" s="158"/>
      <c r="AX231" s="158"/>
      <c r="AY231" s="158"/>
      <c r="AZ231" s="158"/>
      <c r="BA231" s="158"/>
      <c r="BB231" s="158"/>
      <c r="BC231" s="158"/>
      <c r="BD231" s="158"/>
      <c r="BE231" s="158"/>
      <c r="BF231" s="158"/>
      <c r="BG231" s="158"/>
      <c r="BH231" s="158"/>
      <c r="BI231" s="158"/>
      <c r="BJ231" s="158"/>
      <c r="BK231" s="158"/>
      <c r="BL231" s="158"/>
      <c r="BM231" s="158"/>
      <c r="BN231" s="158"/>
      <c r="BO231" s="158"/>
      <c r="BP231" s="158"/>
      <c r="BQ231" s="158"/>
      <c r="BR231" s="158"/>
      <c r="BS231" s="158"/>
      <c r="BT231" s="158"/>
      <c r="BU231" s="158"/>
      <c r="BV231" s="158"/>
      <c r="BW231" s="158"/>
      <c r="BX231" s="158"/>
      <c r="BY231" s="158"/>
      <c r="BZ231" s="158"/>
      <c r="CA231" s="158"/>
      <c r="CB231" s="158"/>
      <c r="CC231" s="158"/>
      <c r="CD231" s="158"/>
      <c r="CE231" s="158"/>
      <c r="CF231" s="158"/>
      <c r="CG231" s="158"/>
      <c r="CH231" s="158"/>
      <c r="CI231" s="158"/>
      <c r="CJ231" s="158"/>
      <c r="CK231" s="158"/>
      <c r="CL231" s="158"/>
      <c r="CM231" s="158"/>
      <c r="CN231" s="158"/>
      <c r="CO231" s="158"/>
      <c r="CP231" s="158"/>
      <c r="CQ231" s="158"/>
      <c r="CR231" s="158"/>
      <c r="CS231" s="158"/>
    </row>
    <row r="232" spans="2:97" x14ac:dyDescent="0.2">
      <c r="B232" s="158"/>
      <c r="C232" s="158"/>
      <c r="D232" s="158"/>
      <c r="E232" s="158"/>
      <c r="F232" s="158"/>
      <c r="G232" s="158"/>
      <c r="H232" s="158"/>
      <c r="I232" s="158"/>
      <c r="J232" s="158"/>
      <c r="K232" s="158"/>
      <c r="L232" s="158"/>
      <c r="M232" s="158"/>
      <c r="N232" s="158"/>
      <c r="O232" s="158"/>
      <c r="P232" s="158"/>
      <c r="Q232" s="158"/>
      <c r="R232" s="158"/>
      <c r="S232" s="158"/>
      <c r="T232" s="158"/>
      <c r="U232" s="158"/>
      <c r="V232" s="158"/>
      <c r="W232" s="158"/>
      <c r="X232" s="158"/>
      <c r="Y232" s="158"/>
      <c r="Z232" s="158"/>
      <c r="AA232" s="158"/>
      <c r="AB232" s="158"/>
      <c r="AC232" s="158"/>
      <c r="AD232" s="158"/>
      <c r="AE232" s="158"/>
      <c r="AF232" s="158"/>
      <c r="AG232" s="158"/>
      <c r="AH232" s="158"/>
      <c r="AI232" s="158"/>
      <c r="AJ232" s="158"/>
      <c r="AK232" s="158"/>
      <c r="AL232" s="158"/>
      <c r="AM232" s="158"/>
      <c r="AN232" s="158"/>
      <c r="AO232" s="158"/>
      <c r="AP232" s="158"/>
      <c r="AQ232" s="158"/>
      <c r="AR232" s="158"/>
      <c r="AS232" s="158"/>
      <c r="AT232" s="158"/>
      <c r="AU232" s="158"/>
      <c r="AV232" s="158"/>
      <c r="AW232" s="158"/>
      <c r="AX232" s="158"/>
      <c r="AY232" s="158"/>
      <c r="AZ232" s="158"/>
      <c r="BA232" s="158"/>
      <c r="BB232" s="158"/>
      <c r="BC232" s="158"/>
      <c r="BD232" s="158"/>
      <c r="BE232" s="158"/>
      <c r="BF232" s="158"/>
      <c r="BG232" s="158"/>
      <c r="BH232" s="158"/>
      <c r="BI232" s="158"/>
      <c r="BJ232" s="158"/>
      <c r="BK232" s="158"/>
      <c r="BL232" s="158"/>
      <c r="BM232" s="158"/>
      <c r="BN232" s="158"/>
      <c r="BO232" s="158"/>
      <c r="BP232" s="158"/>
      <c r="BQ232" s="158"/>
      <c r="BR232" s="158"/>
      <c r="BS232" s="158"/>
      <c r="BT232" s="158"/>
      <c r="BU232" s="158"/>
      <c r="BV232" s="158"/>
      <c r="BW232" s="158"/>
      <c r="BX232" s="158"/>
      <c r="BY232" s="158"/>
      <c r="BZ232" s="158"/>
      <c r="CA232" s="158"/>
      <c r="CB232" s="158"/>
      <c r="CC232" s="158"/>
      <c r="CD232" s="158"/>
      <c r="CE232" s="158"/>
      <c r="CF232" s="158"/>
      <c r="CG232" s="158"/>
      <c r="CH232" s="158"/>
      <c r="CI232" s="158"/>
      <c r="CJ232" s="158"/>
      <c r="CK232" s="158"/>
      <c r="CL232" s="158"/>
      <c r="CM232" s="158"/>
      <c r="CN232" s="158"/>
      <c r="CO232" s="158"/>
      <c r="CP232" s="158"/>
      <c r="CQ232" s="158"/>
      <c r="CR232" s="158"/>
      <c r="CS232" s="158"/>
    </row>
    <row r="233" spans="2:97" x14ac:dyDescent="0.2">
      <c r="B233" s="158"/>
      <c r="C233" s="158"/>
      <c r="D233" s="158"/>
      <c r="E233" s="158"/>
      <c r="F233" s="158"/>
      <c r="G233" s="158"/>
      <c r="H233" s="158"/>
      <c r="I233" s="158"/>
      <c r="J233" s="158"/>
      <c r="K233" s="158"/>
      <c r="L233" s="158"/>
      <c r="M233" s="158"/>
      <c r="N233" s="158"/>
      <c r="O233" s="158"/>
      <c r="P233" s="158"/>
      <c r="Q233" s="158"/>
      <c r="R233" s="158"/>
      <c r="S233" s="158"/>
      <c r="T233" s="158"/>
      <c r="U233" s="158"/>
      <c r="V233" s="158"/>
      <c r="W233" s="158"/>
      <c r="X233" s="158"/>
      <c r="Y233" s="158"/>
      <c r="Z233" s="158"/>
      <c r="AA233" s="158"/>
      <c r="AB233" s="158"/>
      <c r="AC233" s="158"/>
      <c r="AD233" s="158"/>
      <c r="AE233" s="158"/>
      <c r="AF233" s="158"/>
      <c r="AG233" s="158"/>
      <c r="AH233" s="158"/>
      <c r="AI233" s="158"/>
      <c r="AJ233" s="158"/>
      <c r="AK233" s="158"/>
      <c r="AL233" s="158"/>
      <c r="AM233" s="158"/>
      <c r="AN233" s="158"/>
      <c r="AO233" s="158"/>
      <c r="AP233" s="158"/>
      <c r="AQ233" s="158"/>
      <c r="AR233" s="158"/>
      <c r="AS233" s="158"/>
      <c r="AT233" s="158"/>
      <c r="AU233" s="158"/>
      <c r="AV233" s="158"/>
      <c r="AW233" s="158"/>
      <c r="AX233" s="158"/>
      <c r="AY233" s="158"/>
      <c r="AZ233" s="158"/>
      <c r="BA233" s="158"/>
      <c r="BB233" s="158"/>
      <c r="BC233" s="158"/>
      <c r="BD233" s="158"/>
      <c r="BE233" s="158"/>
      <c r="BF233" s="158"/>
      <c r="BG233" s="158"/>
      <c r="BH233" s="158"/>
      <c r="BI233" s="158"/>
      <c r="BJ233" s="158"/>
      <c r="BK233" s="158"/>
      <c r="BL233" s="158"/>
      <c r="BM233" s="158"/>
      <c r="BN233" s="158"/>
      <c r="BO233" s="158"/>
      <c r="BP233" s="158"/>
      <c r="BQ233" s="158"/>
      <c r="BR233" s="158"/>
      <c r="BS233" s="158"/>
      <c r="BT233" s="158"/>
      <c r="BU233" s="158"/>
      <c r="BV233" s="158"/>
      <c r="BW233" s="158"/>
      <c r="BX233" s="158"/>
      <c r="BY233" s="158"/>
      <c r="BZ233" s="158"/>
      <c r="CA233" s="158"/>
      <c r="CB233" s="158"/>
      <c r="CC233" s="158"/>
      <c r="CD233" s="158"/>
      <c r="CE233" s="158"/>
      <c r="CF233" s="158"/>
      <c r="CG233" s="158"/>
      <c r="CH233" s="158"/>
      <c r="CI233" s="158"/>
      <c r="CJ233" s="158"/>
      <c r="CK233" s="158"/>
      <c r="CL233" s="158"/>
      <c r="CM233" s="158"/>
      <c r="CN233" s="158"/>
      <c r="CO233" s="158"/>
      <c r="CP233" s="158"/>
      <c r="CQ233" s="158"/>
      <c r="CR233" s="158"/>
      <c r="CS233" s="158"/>
    </row>
    <row r="234" spans="2:97" x14ac:dyDescent="0.2">
      <c r="B234" s="158"/>
      <c r="C234" s="158"/>
      <c r="D234" s="158"/>
      <c r="E234" s="158"/>
      <c r="F234" s="158"/>
      <c r="G234" s="158"/>
      <c r="H234" s="158"/>
      <c r="I234" s="158"/>
      <c r="J234" s="158"/>
      <c r="K234" s="158"/>
      <c r="L234" s="158"/>
      <c r="M234" s="158"/>
      <c r="N234" s="158"/>
      <c r="O234" s="158"/>
      <c r="P234" s="158"/>
      <c r="Q234" s="158"/>
      <c r="R234" s="158"/>
      <c r="S234" s="158"/>
      <c r="T234" s="158"/>
      <c r="U234" s="158"/>
      <c r="V234" s="158"/>
      <c r="W234" s="158"/>
      <c r="X234" s="158"/>
      <c r="Y234" s="158"/>
      <c r="Z234" s="158"/>
      <c r="AA234" s="158"/>
      <c r="AB234" s="158"/>
      <c r="AC234" s="158"/>
      <c r="AD234" s="158"/>
      <c r="AE234" s="158"/>
      <c r="AF234" s="158"/>
      <c r="AG234" s="158"/>
      <c r="AH234" s="158"/>
      <c r="AI234" s="158"/>
      <c r="AJ234" s="158"/>
      <c r="AK234" s="158"/>
      <c r="AL234" s="158"/>
      <c r="AM234" s="158"/>
      <c r="AN234" s="158"/>
      <c r="AO234" s="158"/>
      <c r="AP234" s="158"/>
      <c r="AQ234" s="158"/>
      <c r="AR234" s="158"/>
      <c r="AS234" s="158"/>
      <c r="AT234" s="158"/>
      <c r="AU234" s="158"/>
      <c r="AV234" s="158"/>
      <c r="AW234" s="158"/>
      <c r="AX234" s="158"/>
      <c r="AY234" s="158"/>
      <c r="AZ234" s="158"/>
      <c r="BA234" s="158"/>
      <c r="BB234" s="158"/>
      <c r="BC234" s="158"/>
      <c r="BD234" s="158"/>
      <c r="BE234" s="158"/>
      <c r="BF234" s="158"/>
      <c r="BG234" s="158"/>
      <c r="BH234" s="158"/>
      <c r="BI234" s="158"/>
      <c r="BJ234" s="158"/>
      <c r="BK234" s="158"/>
      <c r="BL234" s="158"/>
      <c r="BM234" s="158"/>
      <c r="BN234" s="158"/>
      <c r="BO234" s="158"/>
      <c r="BP234" s="158"/>
      <c r="BQ234" s="158"/>
      <c r="BR234" s="158"/>
      <c r="BS234" s="158"/>
      <c r="BT234" s="158"/>
      <c r="BU234" s="158"/>
      <c r="BV234" s="158"/>
      <c r="BW234" s="158"/>
      <c r="BX234" s="158"/>
      <c r="BY234" s="158"/>
      <c r="BZ234" s="158"/>
      <c r="CA234" s="158"/>
      <c r="CB234" s="158"/>
      <c r="CC234" s="158"/>
      <c r="CD234" s="158"/>
      <c r="CE234" s="158"/>
      <c r="CF234" s="158"/>
      <c r="CG234" s="158"/>
      <c r="CH234" s="158"/>
      <c r="CI234" s="158"/>
      <c r="CJ234" s="158"/>
      <c r="CK234" s="158"/>
      <c r="CL234" s="158"/>
      <c r="CM234" s="158"/>
      <c r="CN234" s="158"/>
      <c r="CO234" s="158"/>
      <c r="CP234" s="158"/>
      <c r="CQ234" s="158"/>
      <c r="CR234" s="158"/>
      <c r="CS234" s="158"/>
    </row>
    <row r="235" spans="2:97" x14ac:dyDescent="0.2">
      <c r="B235" s="158"/>
      <c r="C235" s="158"/>
      <c r="D235" s="158"/>
      <c r="E235" s="158"/>
      <c r="F235" s="158"/>
      <c r="G235" s="158"/>
      <c r="H235" s="158"/>
      <c r="I235" s="158"/>
      <c r="J235" s="158"/>
      <c r="K235" s="158"/>
      <c r="L235" s="158"/>
      <c r="M235" s="158"/>
      <c r="N235" s="158"/>
      <c r="O235" s="158"/>
      <c r="P235" s="158"/>
      <c r="Q235" s="158"/>
      <c r="R235" s="158"/>
      <c r="S235" s="158"/>
      <c r="T235" s="158"/>
      <c r="U235" s="158"/>
      <c r="V235" s="158"/>
      <c r="W235" s="158"/>
      <c r="X235" s="158"/>
      <c r="Y235" s="158"/>
      <c r="Z235" s="158"/>
      <c r="AA235" s="158"/>
      <c r="AB235" s="158"/>
      <c r="AC235" s="158"/>
      <c r="AD235" s="158"/>
      <c r="AE235" s="158"/>
      <c r="AF235" s="158"/>
      <c r="AG235" s="158"/>
      <c r="AH235" s="158"/>
      <c r="AI235" s="158"/>
      <c r="AJ235" s="158"/>
      <c r="AK235" s="158"/>
      <c r="AL235" s="158"/>
      <c r="AM235" s="158"/>
      <c r="AN235" s="158"/>
      <c r="AO235" s="158"/>
      <c r="AP235" s="158"/>
      <c r="AQ235" s="158"/>
      <c r="AR235" s="158"/>
      <c r="AS235" s="158"/>
      <c r="AT235" s="158"/>
      <c r="AU235" s="158"/>
      <c r="AV235" s="158"/>
      <c r="AW235" s="158"/>
      <c r="AX235" s="158"/>
      <c r="AY235" s="158"/>
      <c r="AZ235" s="158"/>
      <c r="BA235" s="158"/>
      <c r="BB235" s="158"/>
      <c r="BC235" s="158"/>
      <c r="BD235" s="158"/>
      <c r="BE235" s="158"/>
      <c r="BF235" s="158"/>
      <c r="BG235" s="158"/>
      <c r="BH235" s="158"/>
      <c r="BI235" s="158"/>
      <c r="BJ235" s="158"/>
      <c r="BK235" s="158"/>
      <c r="BL235" s="158"/>
      <c r="BM235" s="158"/>
      <c r="BN235" s="158"/>
      <c r="BO235" s="158"/>
      <c r="BP235" s="158"/>
      <c r="BQ235" s="158"/>
      <c r="BR235" s="158"/>
      <c r="BS235" s="158"/>
      <c r="BT235" s="158"/>
      <c r="BU235" s="158"/>
      <c r="BV235" s="158"/>
      <c r="BW235" s="158"/>
      <c r="BX235" s="158"/>
      <c r="BY235" s="158"/>
      <c r="BZ235" s="158"/>
      <c r="CA235" s="158"/>
      <c r="CB235" s="158"/>
      <c r="CC235" s="158"/>
      <c r="CD235" s="158"/>
      <c r="CE235" s="158"/>
      <c r="CF235" s="158"/>
      <c r="CG235" s="158"/>
      <c r="CH235" s="158"/>
      <c r="CI235" s="158"/>
      <c r="CJ235" s="158"/>
      <c r="CK235" s="158"/>
      <c r="CL235" s="158"/>
      <c r="CM235" s="158"/>
      <c r="CN235" s="158"/>
      <c r="CO235" s="158"/>
      <c r="CP235" s="158"/>
      <c r="CQ235" s="158"/>
      <c r="CR235" s="158"/>
      <c r="CS235" s="158"/>
    </row>
    <row r="236" spans="2:97" x14ac:dyDescent="0.2">
      <c r="B236" s="158"/>
      <c r="C236" s="158"/>
      <c r="D236" s="158"/>
      <c r="E236" s="158"/>
      <c r="F236" s="158"/>
      <c r="G236" s="158"/>
      <c r="H236" s="158"/>
      <c r="I236" s="158"/>
      <c r="J236" s="158"/>
      <c r="K236" s="158"/>
      <c r="L236" s="158"/>
      <c r="M236" s="158"/>
      <c r="N236" s="158"/>
      <c r="O236" s="158"/>
      <c r="P236" s="158"/>
      <c r="Q236" s="158"/>
      <c r="R236" s="158"/>
      <c r="S236" s="158"/>
      <c r="T236" s="158"/>
      <c r="U236" s="158"/>
      <c r="V236" s="158"/>
      <c r="W236" s="158"/>
      <c r="X236" s="158"/>
      <c r="Y236" s="158"/>
      <c r="Z236" s="158"/>
      <c r="AA236" s="158"/>
      <c r="AB236" s="158"/>
      <c r="AC236" s="158"/>
      <c r="AD236" s="158"/>
      <c r="AE236" s="158"/>
      <c r="AF236" s="158"/>
      <c r="AG236" s="158"/>
      <c r="AH236" s="158"/>
      <c r="AI236" s="158"/>
      <c r="AJ236" s="158"/>
      <c r="AK236" s="158"/>
      <c r="AL236" s="158"/>
      <c r="AM236" s="158"/>
      <c r="AN236" s="158"/>
      <c r="AO236" s="158"/>
      <c r="AP236" s="158"/>
      <c r="AQ236" s="158"/>
      <c r="AR236" s="158"/>
      <c r="AS236" s="158"/>
      <c r="AT236" s="158"/>
      <c r="AU236" s="158"/>
      <c r="AV236" s="158"/>
      <c r="AW236" s="158"/>
      <c r="AX236" s="158"/>
      <c r="AY236" s="158"/>
      <c r="AZ236" s="158"/>
      <c r="BA236" s="158"/>
      <c r="BB236" s="158"/>
      <c r="BC236" s="158"/>
      <c r="BD236" s="158"/>
      <c r="BE236" s="158"/>
      <c r="BF236" s="158"/>
      <c r="BG236" s="158"/>
      <c r="BH236" s="158"/>
      <c r="BI236" s="158"/>
      <c r="BJ236" s="158"/>
      <c r="BK236" s="158"/>
      <c r="BL236" s="158"/>
      <c r="BM236" s="158"/>
      <c r="BN236" s="158"/>
      <c r="BO236" s="158"/>
      <c r="BP236" s="158"/>
      <c r="BQ236" s="158"/>
      <c r="BR236" s="158"/>
      <c r="BS236" s="158"/>
      <c r="BT236" s="158"/>
      <c r="BU236" s="158"/>
      <c r="BV236" s="158"/>
      <c r="BW236" s="158"/>
      <c r="BX236" s="158"/>
      <c r="BY236" s="158"/>
      <c r="BZ236" s="158"/>
      <c r="CA236" s="158"/>
      <c r="CB236" s="158"/>
      <c r="CC236" s="158"/>
      <c r="CD236" s="158"/>
      <c r="CE236" s="158"/>
      <c r="CF236" s="158"/>
      <c r="CG236" s="158"/>
      <c r="CH236" s="158"/>
      <c r="CI236" s="158"/>
      <c r="CJ236" s="158"/>
      <c r="CK236" s="158"/>
      <c r="CL236" s="158"/>
      <c r="CM236" s="158"/>
      <c r="CN236" s="158"/>
      <c r="CO236" s="158"/>
      <c r="CP236" s="158"/>
      <c r="CQ236" s="158"/>
      <c r="CR236" s="158"/>
      <c r="CS236" s="158"/>
    </row>
    <row r="237" spans="2:97" x14ac:dyDescent="0.2">
      <c r="B237" s="158"/>
      <c r="C237" s="158"/>
      <c r="D237" s="158"/>
      <c r="E237" s="158"/>
      <c r="F237" s="158"/>
      <c r="G237" s="158"/>
      <c r="H237" s="158"/>
      <c r="I237" s="158"/>
      <c r="J237" s="158"/>
      <c r="K237" s="158"/>
      <c r="L237" s="158"/>
      <c r="M237" s="158"/>
      <c r="N237" s="158"/>
      <c r="O237" s="158"/>
      <c r="P237" s="158"/>
      <c r="Q237" s="158"/>
      <c r="R237" s="158"/>
      <c r="S237" s="158"/>
      <c r="T237" s="158"/>
      <c r="U237" s="158"/>
      <c r="V237" s="158"/>
      <c r="W237" s="158"/>
      <c r="X237" s="158"/>
      <c r="Y237" s="158"/>
      <c r="Z237" s="158"/>
      <c r="AA237" s="158"/>
      <c r="AB237" s="158"/>
      <c r="AC237" s="158"/>
      <c r="AD237" s="158"/>
      <c r="AE237" s="158"/>
      <c r="AF237" s="158"/>
      <c r="AG237" s="158"/>
      <c r="AH237" s="158"/>
      <c r="AI237" s="158"/>
      <c r="AJ237" s="158"/>
      <c r="AK237" s="158"/>
      <c r="AL237" s="158"/>
      <c r="AM237" s="158"/>
      <c r="AN237" s="158"/>
      <c r="AO237" s="158"/>
      <c r="AP237" s="158"/>
      <c r="AQ237" s="158"/>
      <c r="AR237" s="158"/>
      <c r="AS237" s="158"/>
      <c r="AT237" s="158"/>
      <c r="AU237" s="158"/>
      <c r="AV237" s="158"/>
      <c r="AW237" s="158"/>
      <c r="AX237" s="158"/>
      <c r="AY237" s="158"/>
      <c r="AZ237" s="158"/>
      <c r="BA237" s="158"/>
      <c r="BB237" s="158"/>
      <c r="BC237" s="158"/>
      <c r="BD237" s="158"/>
      <c r="BE237" s="158"/>
      <c r="BF237" s="158"/>
      <c r="BG237" s="158"/>
      <c r="BH237" s="158"/>
      <c r="BI237" s="158"/>
      <c r="BJ237" s="158"/>
      <c r="BK237" s="158"/>
      <c r="BL237" s="158"/>
      <c r="BM237" s="158"/>
      <c r="BN237" s="158"/>
      <c r="BO237" s="158"/>
      <c r="BP237" s="158"/>
      <c r="BQ237" s="158"/>
      <c r="BR237" s="158"/>
      <c r="BS237" s="158"/>
      <c r="BT237" s="158"/>
      <c r="BU237" s="158"/>
      <c r="BV237" s="158"/>
      <c r="BW237" s="158"/>
      <c r="BX237" s="158"/>
      <c r="BY237" s="158"/>
      <c r="BZ237" s="158"/>
      <c r="CA237" s="158"/>
      <c r="CB237" s="158"/>
      <c r="CC237" s="158"/>
      <c r="CD237" s="158"/>
      <c r="CE237" s="158"/>
      <c r="CF237" s="158"/>
      <c r="CG237" s="158"/>
      <c r="CH237" s="158"/>
      <c r="CI237" s="158"/>
      <c r="CJ237" s="158"/>
      <c r="CK237" s="158"/>
      <c r="CL237" s="158"/>
      <c r="CM237" s="158"/>
      <c r="CN237" s="158"/>
      <c r="CO237" s="158"/>
      <c r="CP237" s="158"/>
      <c r="CQ237" s="158"/>
      <c r="CR237" s="158"/>
      <c r="CS237" s="158"/>
    </row>
    <row r="238" spans="2:97" x14ac:dyDescent="0.2">
      <c r="B238" s="158"/>
      <c r="C238" s="158"/>
      <c r="D238" s="158"/>
      <c r="E238" s="158"/>
      <c r="F238" s="158"/>
      <c r="G238" s="158"/>
      <c r="H238" s="158"/>
      <c r="I238" s="158"/>
      <c r="J238" s="158"/>
      <c r="K238" s="158"/>
      <c r="L238" s="158"/>
      <c r="M238" s="158"/>
      <c r="N238" s="158"/>
      <c r="O238" s="158"/>
      <c r="P238" s="158"/>
      <c r="Q238" s="158"/>
      <c r="R238" s="158"/>
      <c r="S238" s="158"/>
      <c r="T238" s="158"/>
      <c r="U238" s="158"/>
      <c r="V238" s="158"/>
      <c r="W238" s="158"/>
      <c r="X238" s="158"/>
      <c r="Y238" s="158"/>
      <c r="Z238" s="158"/>
      <c r="AA238" s="158"/>
      <c r="AB238" s="158"/>
      <c r="AC238" s="158"/>
      <c r="AD238" s="158"/>
      <c r="AE238" s="158"/>
      <c r="AF238" s="158"/>
      <c r="AG238" s="158"/>
      <c r="AH238" s="158"/>
      <c r="AI238" s="158"/>
      <c r="AJ238" s="158"/>
      <c r="AK238" s="158"/>
      <c r="AL238" s="158"/>
      <c r="AM238" s="158"/>
      <c r="AN238" s="158"/>
      <c r="AO238" s="158"/>
      <c r="AP238" s="158"/>
      <c r="AQ238" s="158"/>
      <c r="AR238" s="158"/>
      <c r="AS238" s="158"/>
      <c r="AT238" s="158"/>
      <c r="AU238" s="158"/>
      <c r="AV238" s="158"/>
      <c r="AW238" s="158"/>
      <c r="AX238" s="158"/>
      <c r="AY238" s="158"/>
      <c r="AZ238" s="158"/>
      <c r="BA238" s="158"/>
      <c r="BB238" s="158"/>
      <c r="BC238" s="158"/>
      <c r="BD238" s="158"/>
      <c r="BE238" s="158"/>
      <c r="BF238" s="158"/>
      <c r="BG238" s="158"/>
      <c r="BH238" s="158"/>
      <c r="BI238" s="158"/>
      <c r="BJ238" s="158"/>
      <c r="BK238" s="158"/>
      <c r="BL238" s="158"/>
      <c r="BM238" s="158"/>
      <c r="BN238" s="158"/>
      <c r="BO238" s="158"/>
      <c r="BP238" s="158"/>
      <c r="BQ238" s="158"/>
      <c r="BR238" s="158"/>
      <c r="BS238" s="158"/>
      <c r="BT238" s="158"/>
      <c r="BU238" s="158"/>
      <c r="BV238" s="158"/>
      <c r="BW238" s="158"/>
      <c r="BX238" s="158"/>
      <c r="BY238" s="158"/>
      <c r="BZ238" s="158"/>
      <c r="CA238" s="158"/>
      <c r="CB238" s="158"/>
      <c r="CC238" s="158"/>
      <c r="CD238" s="158"/>
      <c r="CE238" s="158"/>
      <c r="CF238" s="158"/>
      <c r="CG238" s="158"/>
      <c r="CH238" s="158"/>
      <c r="CI238" s="158"/>
      <c r="CJ238" s="158"/>
      <c r="CK238" s="158"/>
      <c r="CL238" s="158"/>
      <c r="CM238" s="158"/>
      <c r="CN238" s="158"/>
      <c r="CO238" s="158"/>
      <c r="CP238" s="158"/>
      <c r="CQ238" s="158"/>
      <c r="CR238" s="158"/>
      <c r="CS238" s="158"/>
    </row>
    <row r="239" spans="2:97" x14ac:dyDescent="0.2">
      <c r="B239" s="158"/>
      <c r="C239" s="158"/>
      <c r="D239" s="158"/>
      <c r="E239" s="158"/>
      <c r="F239" s="158"/>
      <c r="G239" s="158"/>
      <c r="H239" s="158"/>
      <c r="I239" s="158"/>
      <c r="J239" s="158"/>
      <c r="K239" s="158"/>
      <c r="L239" s="158"/>
      <c r="M239" s="158"/>
      <c r="N239" s="158"/>
      <c r="O239" s="158"/>
      <c r="P239" s="158"/>
      <c r="Q239" s="158"/>
      <c r="R239" s="158"/>
      <c r="S239" s="158"/>
      <c r="T239" s="158"/>
      <c r="U239" s="158"/>
      <c r="V239" s="158"/>
      <c r="W239" s="158"/>
      <c r="X239" s="158"/>
      <c r="Y239" s="158"/>
      <c r="Z239" s="158"/>
      <c r="AA239" s="158"/>
      <c r="AB239" s="158"/>
      <c r="AC239" s="158"/>
      <c r="AD239" s="158"/>
      <c r="AE239" s="158"/>
      <c r="AF239" s="158"/>
      <c r="AG239" s="158"/>
      <c r="AH239" s="158"/>
      <c r="AI239" s="158"/>
      <c r="AJ239" s="158"/>
      <c r="AK239" s="158"/>
      <c r="AL239" s="158"/>
      <c r="AM239" s="158"/>
      <c r="AN239" s="158"/>
      <c r="AO239" s="158"/>
      <c r="AP239" s="158"/>
      <c r="AQ239" s="158"/>
      <c r="AR239" s="158"/>
      <c r="AS239" s="158"/>
      <c r="AT239" s="158"/>
      <c r="AU239" s="158"/>
      <c r="AV239" s="158"/>
      <c r="AW239" s="158"/>
      <c r="AX239" s="158"/>
      <c r="AY239" s="158"/>
      <c r="AZ239" s="158"/>
      <c r="BA239" s="158"/>
      <c r="BB239" s="158"/>
      <c r="BC239" s="158"/>
      <c r="BD239" s="158"/>
      <c r="BE239" s="158"/>
      <c r="BF239" s="158"/>
      <c r="BG239" s="158"/>
      <c r="BH239" s="158"/>
      <c r="BI239" s="158"/>
      <c r="BJ239" s="158"/>
      <c r="BK239" s="158"/>
      <c r="BL239" s="158"/>
      <c r="BM239" s="158"/>
      <c r="BN239" s="158"/>
      <c r="BO239" s="158"/>
      <c r="BP239" s="158"/>
      <c r="BQ239" s="158"/>
      <c r="BR239" s="158"/>
      <c r="BS239" s="158"/>
      <c r="BT239" s="158"/>
      <c r="BU239" s="158"/>
      <c r="BV239" s="158"/>
      <c r="BW239" s="158"/>
      <c r="BX239" s="158"/>
      <c r="BY239" s="158"/>
      <c r="BZ239" s="158"/>
      <c r="CA239" s="158"/>
      <c r="CB239" s="158"/>
      <c r="CC239" s="158"/>
      <c r="CD239" s="158"/>
      <c r="CE239" s="158"/>
      <c r="CF239" s="158"/>
      <c r="CG239" s="158"/>
      <c r="CH239" s="158"/>
      <c r="CI239" s="158"/>
      <c r="CJ239" s="158"/>
      <c r="CK239" s="158"/>
      <c r="CL239" s="158"/>
      <c r="CM239" s="158"/>
      <c r="CN239" s="158"/>
      <c r="CO239" s="158"/>
      <c r="CP239" s="158"/>
      <c r="CQ239" s="158"/>
      <c r="CR239" s="158"/>
      <c r="CS239" s="158"/>
    </row>
    <row r="240" spans="2:97" x14ac:dyDescent="0.2">
      <c r="B240" s="158"/>
      <c r="C240" s="158"/>
      <c r="D240" s="158"/>
      <c r="E240" s="158"/>
      <c r="F240" s="158"/>
      <c r="G240" s="158"/>
      <c r="H240" s="158"/>
      <c r="I240" s="158"/>
      <c r="J240" s="158"/>
      <c r="K240" s="158"/>
      <c r="L240" s="158"/>
      <c r="M240" s="158"/>
      <c r="N240" s="158"/>
      <c r="O240" s="158"/>
      <c r="P240" s="158"/>
      <c r="Q240" s="158"/>
      <c r="R240" s="158"/>
      <c r="S240" s="158"/>
      <c r="T240" s="158"/>
      <c r="U240" s="158"/>
      <c r="V240" s="158"/>
      <c r="W240" s="158"/>
      <c r="X240" s="158"/>
      <c r="Y240" s="158"/>
      <c r="Z240" s="158"/>
      <c r="AA240" s="158"/>
      <c r="AB240" s="158"/>
      <c r="AC240" s="158"/>
      <c r="AD240" s="158"/>
      <c r="AE240" s="158"/>
      <c r="AF240" s="158"/>
      <c r="AG240" s="158"/>
      <c r="AH240" s="158"/>
      <c r="AI240" s="158"/>
      <c r="AJ240" s="158"/>
      <c r="AK240" s="158"/>
      <c r="AL240" s="158"/>
      <c r="AM240" s="158"/>
      <c r="AN240" s="158"/>
      <c r="AO240" s="158"/>
      <c r="AP240" s="158"/>
      <c r="AQ240" s="158"/>
      <c r="AR240" s="158"/>
      <c r="AS240" s="158"/>
      <c r="AT240" s="158"/>
      <c r="AU240" s="158"/>
      <c r="AV240" s="158"/>
      <c r="AW240" s="158"/>
      <c r="AX240" s="158"/>
      <c r="AY240" s="158"/>
      <c r="AZ240" s="158"/>
      <c r="BA240" s="158"/>
      <c r="BB240" s="158"/>
      <c r="BC240" s="158"/>
      <c r="BD240" s="158"/>
      <c r="BE240" s="158"/>
      <c r="BF240" s="158"/>
      <c r="BG240" s="158"/>
      <c r="BH240" s="158"/>
      <c r="BI240" s="158"/>
      <c r="BJ240" s="158"/>
      <c r="BK240" s="158"/>
      <c r="BL240" s="158"/>
      <c r="BM240" s="158"/>
      <c r="BN240" s="158"/>
      <c r="BO240" s="158"/>
      <c r="BP240" s="158"/>
      <c r="BQ240" s="158"/>
      <c r="BR240" s="158"/>
      <c r="BS240" s="158"/>
      <c r="BT240" s="158"/>
      <c r="BU240" s="158"/>
      <c r="BV240" s="158"/>
      <c r="BW240" s="158"/>
      <c r="BX240" s="158"/>
      <c r="BY240" s="158"/>
      <c r="BZ240" s="158"/>
      <c r="CA240" s="158"/>
      <c r="CB240" s="158"/>
      <c r="CC240" s="158"/>
      <c r="CD240" s="158"/>
      <c r="CE240" s="158"/>
      <c r="CF240" s="158"/>
      <c r="CG240" s="158"/>
      <c r="CH240" s="158"/>
      <c r="CI240" s="158"/>
      <c r="CJ240" s="158"/>
      <c r="CK240" s="158"/>
      <c r="CL240" s="158"/>
      <c r="CM240" s="158"/>
      <c r="CN240" s="158"/>
      <c r="CO240" s="158"/>
      <c r="CP240" s="158"/>
      <c r="CQ240" s="158"/>
      <c r="CR240" s="158"/>
      <c r="CS240" s="158"/>
    </row>
    <row r="241" spans="2:97" x14ac:dyDescent="0.2">
      <c r="B241" s="158"/>
      <c r="C241" s="158"/>
      <c r="D241" s="158"/>
      <c r="E241" s="158"/>
      <c r="F241" s="158"/>
      <c r="G241" s="158"/>
      <c r="H241" s="158"/>
      <c r="I241" s="158"/>
      <c r="J241" s="158"/>
      <c r="K241" s="158"/>
      <c r="L241" s="158"/>
      <c r="M241" s="158"/>
      <c r="N241" s="158"/>
      <c r="O241" s="158"/>
      <c r="P241" s="158"/>
      <c r="Q241" s="158"/>
      <c r="R241" s="158"/>
      <c r="S241" s="158"/>
      <c r="T241" s="158"/>
      <c r="U241" s="158"/>
      <c r="V241" s="158"/>
      <c r="W241" s="158"/>
      <c r="X241" s="158"/>
      <c r="Y241" s="158"/>
      <c r="Z241" s="158"/>
      <c r="AA241" s="158"/>
      <c r="AB241" s="158"/>
      <c r="AC241" s="158"/>
      <c r="AD241" s="158"/>
      <c r="AE241" s="158"/>
      <c r="AF241" s="158"/>
      <c r="AG241" s="158"/>
      <c r="AH241" s="158"/>
      <c r="AI241" s="158"/>
      <c r="AJ241" s="158"/>
      <c r="AK241" s="158"/>
      <c r="AL241" s="158"/>
      <c r="AM241" s="158"/>
      <c r="AN241" s="158"/>
      <c r="AO241" s="158"/>
      <c r="AP241" s="158"/>
      <c r="AQ241" s="158"/>
      <c r="AR241" s="158"/>
      <c r="AS241" s="158"/>
      <c r="AT241" s="158"/>
      <c r="AU241" s="158"/>
      <c r="AV241" s="158"/>
      <c r="AW241" s="158"/>
      <c r="AX241" s="158"/>
      <c r="AY241" s="158"/>
      <c r="AZ241" s="158"/>
      <c r="BA241" s="158"/>
      <c r="BB241" s="158"/>
      <c r="BC241" s="158"/>
      <c r="BD241" s="158"/>
      <c r="BE241" s="158"/>
      <c r="BF241" s="158"/>
      <c r="BG241" s="158"/>
      <c r="BH241" s="158"/>
      <c r="BI241" s="158"/>
      <c r="BJ241" s="158"/>
      <c r="BK241" s="158"/>
      <c r="BL241" s="158"/>
      <c r="BM241" s="158"/>
      <c r="BN241" s="158"/>
      <c r="BO241" s="158"/>
      <c r="BP241" s="158"/>
      <c r="BQ241" s="158"/>
      <c r="BR241" s="158"/>
      <c r="BS241" s="158"/>
      <c r="BT241" s="158"/>
      <c r="BU241" s="158"/>
      <c r="BV241" s="158"/>
      <c r="BW241" s="158"/>
      <c r="BX241" s="158"/>
      <c r="BY241" s="158"/>
      <c r="BZ241" s="158"/>
      <c r="CA241" s="158"/>
      <c r="CB241" s="158"/>
      <c r="CC241" s="158"/>
      <c r="CD241" s="158"/>
      <c r="CE241" s="158"/>
      <c r="CF241" s="158"/>
      <c r="CG241" s="158"/>
      <c r="CH241" s="158"/>
      <c r="CI241" s="158"/>
      <c r="CJ241" s="158"/>
      <c r="CK241" s="158"/>
      <c r="CL241" s="158"/>
      <c r="CM241" s="158"/>
      <c r="CN241" s="158"/>
      <c r="CO241" s="158"/>
      <c r="CP241" s="158"/>
      <c r="CQ241" s="158"/>
      <c r="CR241" s="158"/>
      <c r="CS241" s="158"/>
    </row>
    <row r="242" spans="2:97" x14ac:dyDescent="0.2">
      <c r="B242" s="158"/>
      <c r="C242" s="158"/>
      <c r="D242" s="158"/>
      <c r="E242" s="158"/>
      <c r="F242" s="158"/>
      <c r="G242" s="158"/>
      <c r="H242" s="158"/>
      <c r="I242" s="158"/>
      <c r="J242" s="158"/>
      <c r="K242" s="158"/>
      <c r="L242" s="158"/>
      <c r="M242" s="158"/>
      <c r="N242" s="158"/>
      <c r="O242" s="158"/>
      <c r="P242" s="158"/>
      <c r="Q242" s="158"/>
      <c r="R242" s="158"/>
      <c r="S242" s="158"/>
      <c r="T242" s="158"/>
      <c r="U242" s="158"/>
      <c r="V242" s="158"/>
      <c r="W242" s="158"/>
      <c r="X242" s="158"/>
      <c r="Y242" s="158"/>
      <c r="Z242" s="158"/>
      <c r="AA242" s="158"/>
      <c r="AB242" s="158"/>
      <c r="AC242" s="158"/>
      <c r="AD242" s="158"/>
      <c r="AE242" s="158"/>
      <c r="AF242" s="158"/>
      <c r="AG242" s="158"/>
      <c r="AH242" s="158"/>
      <c r="AI242" s="158"/>
      <c r="AJ242" s="158"/>
      <c r="AK242" s="158"/>
      <c r="AL242" s="158"/>
      <c r="AM242" s="158"/>
      <c r="AN242" s="158"/>
      <c r="AO242" s="158"/>
      <c r="AP242" s="158"/>
      <c r="AQ242" s="158"/>
      <c r="AR242" s="158"/>
      <c r="AS242" s="158"/>
      <c r="AT242" s="158"/>
      <c r="AU242" s="158"/>
      <c r="AV242" s="158"/>
      <c r="AW242" s="158"/>
      <c r="AX242" s="158"/>
      <c r="AY242" s="158"/>
      <c r="AZ242" s="158"/>
      <c r="BA242" s="158"/>
      <c r="BB242" s="158"/>
      <c r="BC242" s="158"/>
      <c r="BD242" s="158"/>
      <c r="BE242" s="158"/>
      <c r="BF242" s="158"/>
      <c r="BG242" s="158"/>
      <c r="BH242" s="158"/>
      <c r="BI242" s="158"/>
      <c r="BJ242" s="158"/>
      <c r="BK242" s="158"/>
      <c r="BL242" s="158"/>
      <c r="BM242" s="158"/>
      <c r="BN242" s="158"/>
      <c r="BO242" s="158"/>
      <c r="BP242" s="158"/>
      <c r="BQ242" s="158"/>
      <c r="BR242" s="158"/>
      <c r="BS242" s="158"/>
      <c r="BT242" s="158"/>
      <c r="BU242" s="158"/>
      <c r="BV242" s="158"/>
      <c r="BW242" s="158"/>
      <c r="BX242" s="158"/>
      <c r="BY242" s="158"/>
      <c r="BZ242" s="158"/>
      <c r="CA242" s="158"/>
      <c r="CB242" s="158"/>
      <c r="CC242" s="158"/>
      <c r="CD242" s="158"/>
      <c r="CE242" s="158"/>
      <c r="CF242" s="158"/>
      <c r="CG242" s="158"/>
      <c r="CH242" s="158"/>
      <c r="CI242" s="158"/>
      <c r="CJ242" s="158"/>
      <c r="CK242" s="158"/>
      <c r="CL242" s="158"/>
      <c r="CM242" s="158"/>
      <c r="CN242" s="158"/>
      <c r="CO242" s="158"/>
      <c r="CP242" s="158"/>
      <c r="CQ242" s="158"/>
      <c r="CR242" s="158"/>
      <c r="CS242" s="158"/>
    </row>
    <row r="243" spans="2:97" x14ac:dyDescent="0.2">
      <c r="B243" s="158"/>
      <c r="C243" s="158"/>
      <c r="D243" s="158"/>
      <c r="E243" s="158"/>
      <c r="F243" s="158"/>
      <c r="G243" s="158"/>
      <c r="H243" s="158"/>
      <c r="I243" s="158"/>
      <c r="J243" s="158"/>
      <c r="K243" s="158"/>
      <c r="L243" s="158"/>
      <c r="M243" s="158"/>
      <c r="N243" s="158"/>
      <c r="O243" s="158"/>
      <c r="P243" s="158"/>
      <c r="Q243" s="158"/>
      <c r="R243" s="158"/>
      <c r="S243" s="158"/>
      <c r="T243" s="158"/>
      <c r="U243" s="158"/>
      <c r="V243" s="158"/>
      <c r="W243" s="158"/>
      <c r="X243" s="158"/>
      <c r="Y243" s="158"/>
      <c r="Z243" s="158"/>
      <c r="AA243" s="158"/>
      <c r="AB243" s="158"/>
      <c r="AC243" s="158"/>
      <c r="AD243" s="158"/>
      <c r="AE243" s="158"/>
      <c r="AF243" s="158"/>
      <c r="AG243" s="158"/>
      <c r="AH243" s="158"/>
      <c r="AI243" s="158"/>
      <c r="AJ243" s="158"/>
      <c r="AK243" s="158"/>
      <c r="AL243" s="158"/>
      <c r="AM243" s="158"/>
      <c r="AN243" s="158"/>
      <c r="AO243" s="158"/>
      <c r="AP243" s="158"/>
      <c r="AQ243" s="158"/>
      <c r="AR243" s="158"/>
      <c r="AS243" s="158"/>
      <c r="AT243" s="158"/>
      <c r="AU243" s="158"/>
      <c r="AV243" s="158"/>
      <c r="AW243" s="158"/>
      <c r="AX243" s="158"/>
      <c r="AY243" s="158"/>
      <c r="AZ243" s="158"/>
      <c r="BA243" s="158"/>
      <c r="BB243" s="158"/>
      <c r="BC243" s="158"/>
      <c r="BD243" s="158"/>
      <c r="BE243" s="158"/>
      <c r="BF243" s="158"/>
      <c r="BG243" s="158"/>
      <c r="BH243" s="158"/>
      <c r="BI243" s="158"/>
      <c r="BJ243" s="158"/>
      <c r="BK243" s="158"/>
      <c r="BL243" s="158"/>
      <c r="BM243" s="158"/>
      <c r="BN243" s="158"/>
      <c r="BO243" s="158"/>
      <c r="BP243" s="158"/>
      <c r="BQ243" s="158"/>
      <c r="BR243" s="158"/>
      <c r="BS243" s="158"/>
      <c r="BT243" s="158"/>
      <c r="BU243" s="158"/>
      <c r="BV243" s="158"/>
      <c r="BW243" s="158"/>
      <c r="BX243" s="158"/>
      <c r="BY243" s="158"/>
      <c r="BZ243" s="158"/>
      <c r="CA243" s="158"/>
      <c r="CB243" s="158"/>
      <c r="CC243" s="158"/>
      <c r="CD243" s="158"/>
      <c r="CE243" s="158"/>
      <c r="CF243" s="158"/>
      <c r="CG243" s="158"/>
      <c r="CH243" s="158"/>
      <c r="CI243" s="158"/>
      <c r="CJ243" s="158"/>
      <c r="CK243" s="158"/>
      <c r="CL243" s="158"/>
      <c r="CM243" s="158"/>
      <c r="CN243" s="158"/>
      <c r="CO243" s="158"/>
      <c r="CP243" s="158"/>
      <c r="CQ243" s="158"/>
      <c r="CR243" s="158"/>
      <c r="CS243" s="158"/>
    </row>
    <row r="244" spans="2:97" x14ac:dyDescent="0.2">
      <c r="B244" s="158"/>
      <c r="C244" s="158"/>
      <c r="D244" s="158"/>
      <c r="E244" s="158"/>
      <c r="F244" s="158"/>
      <c r="G244" s="158"/>
      <c r="H244" s="158"/>
      <c r="I244" s="158"/>
      <c r="J244" s="158"/>
      <c r="K244" s="158"/>
      <c r="L244" s="158"/>
      <c r="M244" s="158"/>
      <c r="N244" s="158"/>
      <c r="O244" s="158"/>
      <c r="P244" s="158"/>
      <c r="Q244" s="158"/>
      <c r="R244" s="158"/>
      <c r="S244" s="158"/>
      <c r="T244" s="158"/>
      <c r="U244" s="158"/>
      <c r="V244" s="158"/>
      <c r="W244" s="158"/>
      <c r="X244" s="158"/>
      <c r="Y244" s="158"/>
      <c r="Z244" s="158"/>
      <c r="AA244" s="158"/>
      <c r="AB244" s="158"/>
      <c r="AC244" s="158"/>
      <c r="AD244" s="158"/>
      <c r="AE244" s="158"/>
      <c r="AF244" s="158"/>
      <c r="AG244" s="158"/>
      <c r="AH244" s="158"/>
      <c r="AI244" s="158"/>
      <c r="AJ244" s="158"/>
      <c r="AK244" s="158"/>
      <c r="AL244" s="158"/>
      <c r="AM244" s="158"/>
      <c r="AN244" s="158"/>
      <c r="AO244" s="158"/>
      <c r="AP244" s="158"/>
      <c r="AQ244" s="158"/>
      <c r="AR244" s="158"/>
      <c r="AS244" s="158"/>
      <c r="AT244" s="158"/>
      <c r="AU244" s="158"/>
      <c r="AV244" s="158"/>
      <c r="AW244" s="158"/>
      <c r="AX244" s="158"/>
      <c r="AY244" s="158"/>
      <c r="AZ244" s="158"/>
      <c r="BA244" s="158"/>
      <c r="BB244" s="158"/>
      <c r="BC244" s="158"/>
      <c r="BD244" s="158"/>
      <c r="BE244" s="158"/>
      <c r="BF244" s="158"/>
      <c r="BG244" s="158"/>
      <c r="BH244" s="158"/>
      <c r="BI244" s="158"/>
      <c r="BJ244" s="158"/>
      <c r="BK244" s="158"/>
      <c r="BL244" s="158"/>
      <c r="BM244" s="158"/>
      <c r="BN244" s="158"/>
      <c r="BO244" s="158"/>
      <c r="BP244" s="158"/>
      <c r="BQ244" s="158"/>
      <c r="BR244" s="158"/>
      <c r="BS244" s="158"/>
      <c r="BT244" s="158"/>
      <c r="BU244" s="158"/>
      <c r="BV244" s="158"/>
      <c r="BW244" s="158"/>
      <c r="BX244" s="158"/>
      <c r="BY244" s="158"/>
      <c r="BZ244" s="158"/>
      <c r="CA244" s="158"/>
      <c r="CB244" s="158"/>
      <c r="CC244" s="158"/>
      <c r="CD244" s="158"/>
      <c r="CE244" s="158"/>
      <c r="CF244" s="158"/>
      <c r="CG244" s="158"/>
      <c r="CH244" s="158"/>
      <c r="CI244" s="158"/>
      <c r="CJ244" s="158"/>
      <c r="CK244" s="158"/>
      <c r="CL244" s="158"/>
      <c r="CM244" s="158"/>
      <c r="CN244" s="158"/>
      <c r="CO244" s="158"/>
      <c r="CP244" s="158"/>
      <c r="CQ244" s="158"/>
      <c r="CR244" s="158"/>
      <c r="CS244" s="158"/>
    </row>
    <row r="245" spans="2:97" x14ac:dyDescent="0.2">
      <c r="B245" s="158"/>
      <c r="C245" s="158"/>
      <c r="D245" s="158"/>
      <c r="E245" s="158"/>
      <c r="F245" s="158"/>
      <c r="G245" s="158"/>
      <c r="H245" s="158"/>
      <c r="I245" s="158"/>
      <c r="J245" s="158"/>
      <c r="K245" s="158"/>
      <c r="L245" s="158"/>
      <c r="M245" s="158"/>
      <c r="N245" s="158"/>
      <c r="O245" s="158"/>
      <c r="P245" s="158"/>
      <c r="Q245" s="158"/>
      <c r="R245" s="158"/>
      <c r="S245" s="158"/>
      <c r="T245" s="158"/>
      <c r="U245" s="158"/>
      <c r="V245" s="158"/>
      <c r="W245" s="158"/>
      <c r="X245" s="158"/>
      <c r="Y245" s="158"/>
      <c r="Z245" s="158"/>
      <c r="AA245" s="158"/>
      <c r="AB245" s="158"/>
      <c r="AC245" s="158"/>
      <c r="AD245" s="158"/>
      <c r="AE245" s="158"/>
      <c r="AF245" s="158"/>
      <c r="AG245" s="158"/>
      <c r="AH245" s="158"/>
      <c r="AI245" s="158"/>
      <c r="AJ245" s="158"/>
      <c r="AK245" s="158"/>
      <c r="AL245" s="158"/>
      <c r="AM245" s="158"/>
      <c r="AN245" s="158"/>
      <c r="AO245" s="158"/>
      <c r="AP245" s="158"/>
      <c r="AQ245" s="158"/>
      <c r="AR245" s="158"/>
      <c r="AS245" s="158"/>
      <c r="AT245" s="158"/>
      <c r="AU245" s="158"/>
      <c r="AV245" s="158"/>
      <c r="AW245" s="158"/>
      <c r="AX245" s="158"/>
      <c r="AY245" s="158"/>
      <c r="AZ245" s="158"/>
      <c r="BA245" s="158"/>
      <c r="BB245" s="158"/>
      <c r="BC245" s="158"/>
      <c r="BD245" s="158"/>
      <c r="BE245" s="158"/>
      <c r="BF245" s="158"/>
      <c r="BG245" s="158"/>
      <c r="BH245" s="158"/>
      <c r="BI245" s="158"/>
      <c r="BJ245" s="158"/>
      <c r="BK245" s="158"/>
      <c r="BL245" s="158"/>
      <c r="BM245" s="158"/>
      <c r="BN245" s="158"/>
      <c r="BO245" s="158"/>
      <c r="BP245" s="158"/>
      <c r="BQ245" s="158"/>
      <c r="BR245" s="158"/>
      <c r="BS245" s="158"/>
      <c r="BT245" s="158"/>
      <c r="BU245" s="158"/>
      <c r="BV245" s="158"/>
      <c r="BW245" s="158"/>
      <c r="BX245" s="158"/>
      <c r="BY245" s="158"/>
      <c r="BZ245" s="158"/>
      <c r="CA245" s="158"/>
      <c r="CB245" s="158"/>
      <c r="CC245" s="158"/>
      <c r="CD245" s="158"/>
      <c r="CE245" s="158"/>
      <c r="CF245" s="158"/>
      <c r="CG245" s="158"/>
      <c r="CH245" s="158"/>
      <c r="CI245" s="158"/>
      <c r="CJ245" s="158"/>
      <c r="CK245" s="158"/>
      <c r="CL245" s="158"/>
      <c r="CM245" s="158"/>
      <c r="CN245" s="158"/>
      <c r="CO245" s="158"/>
      <c r="CP245" s="158"/>
      <c r="CQ245" s="158"/>
      <c r="CR245" s="158"/>
      <c r="CS245" s="158"/>
    </row>
    <row r="246" spans="2:97" x14ac:dyDescent="0.2">
      <c r="B246" s="158"/>
      <c r="C246" s="158"/>
      <c r="D246" s="158"/>
      <c r="E246" s="158"/>
      <c r="F246" s="158"/>
      <c r="G246" s="158"/>
      <c r="H246" s="158"/>
      <c r="I246" s="158"/>
      <c r="J246" s="158"/>
      <c r="K246" s="158"/>
      <c r="L246" s="158"/>
      <c r="M246" s="158"/>
      <c r="N246" s="158"/>
      <c r="O246" s="158"/>
      <c r="P246" s="158"/>
      <c r="Q246" s="158"/>
      <c r="R246" s="158"/>
      <c r="S246" s="158"/>
      <c r="T246" s="158"/>
      <c r="U246" s="158"/>
      <c r="V246" s="158"/>
      <c r="W246" s="158"/>
      <c r="X246" s="158"/>
      <c r="Y246" s="158"/>
      <c r="Z246" s="158"/>
      <c r="AA246" s="158"/>
      <c r="AB246" s="158"/>
      <c r="AC246" s="158"/>
      <c r="AD246" s="158"/>
      <c r="AE246" s="158"/>
      <c r="AF246" s="158"/>
      <c r="AG246" s="158"/>
      <c r="AH246" s="158"/>
      <c r="AI246" s="158"/>
      <c r="AJ246" s="158"/>
      <c r="AK246" s="158"/>
      <c r="AL246" s="158"/>
      <c r="AM246" s="158"/>
      <c r="AN246" s="158"/>
      <c r="AO246" s="158"/>
      <c r="AP246" s="158"/>
      <c r="AQ246" s="158"/>
      <c r="AR246" s="158"/>
      <c r="AS246" s="158"/>
      <c r="AT246" s="158"/>
      <c r="AU246" s="158"/>
      <c r="AV246" s="158"/>
      <c r="AW246" s="158"/>
      <c r="AX246" s="158"/>
      <c r="AY246" s="158"/>
      <c r="AZ246" s="158"/>
      <c r="BA246" s="158"/>
      <c r="BB246" s="158"/>
      <c r="BC246" s="158"/>
      <c r="BD246" s="158"/>
      <c r="BE246" s="158"/>
      <c r="BF246" s="158"/>
      <c r="BG246" s="158"/>
      <c r="BH246" s="158"/>
      <c r="BI246" s="158"/>
      <c r="BJ246" s="158"/>
      <c r="BK246" s="158"/>
      <c r="BL246" s="158"/>
      <c r="BM246" s="158"/>
      <c r="BN246" s="158"/>
      <c r="BO246" s="158"/>
      <c r="BP246" s="158"/>
      <c r="BQ246" s="158"/>
      <c r="BR246" s="158"/>
      <c r="BS246" s="158"/>
      <c r="BT246" s="158"/>
      <c r="BU246" s="158"/>
      <c r="BV246" s="158"/>
      <c r="BW246" s="158"/>
      <c r="BX246" s="158"/>
      <c r="BY246" s="158"/>
      <c r="BZ246" s="158"/>
      <c r="CA246" s="158"/>
      <c r="CB246" s="158"/>
      <c r="CC246" s="158"/>
      <c r="CD246" s="158"/>
      <c r="CE246" s="158"/>
      <c r="CF246" s="158"/>
      <c r="CG246" s="158"/>
      <c r="CH246" s="158"/>
      <c r="CI246" s="158"/>
      <c r="CJ246" s="158"/>
      <c r="CK246" s="158"/>
      <c r="CL246" s="158"/>
      <c r="CM246" s="158"/>
      <c r="CN246" s="158"/>
      <c r="CO246" s="158"/>
      <c r="CP246" s="158"/>
      <c r="CQ246" s="158"/>
      <c r="CR246" s="158"/>
      <c r="CS246" s="158"/>
    </row>
    <row r="247" spans="2:97" x14ac:dyDescent="0.2">
      <c r="B247" s="158"/>
      <c r="C247" s="158"/>
      <c r="D247" s="158"/>
      <c r="E247" s="158"/>
      <c r="F247" s="158"/>
      <c r="G247" s="158"/>
      <c r="H247" s="158"/>
      <c r="I247" s="158"/>
      <c r="J247" s="158"/>
      <c r="K247" s="158"/>
      <c r="L247" s="158"/>
      <c r="M247" s="158"/>
      <c r="N247" s="158"/>
      <c r="O247" s="158"/>
      <c r="P247" s="158"/>
      <c r="Q247" s="158"/>
      <c r="R247" s="158"/>
      <c r="S247" s="158"/>
      <c r="T247" s="158"/>
      <c r="U247" s="158"/>
      <c r="V247" s="158"/>
      <c r="W247" s="158"/>
      <c r="X247" s="158"/>
      <c r="Y247" s="158"/>
      <c r="Z247" s="158"/>
      <c r="AA247" s="158"/>
      <c r="AB247" s="158"/>
      <c r="AC247" s="158"/>
      <c r="AD247" s="158"/>
      <c r="AE247" s="158"/>
      <c r="AF247" s="158"/>
      <c r="AG247" s="158"/>
      <c r="AH247" s="158"/>
      <c r="AI247" s="158"/>
      <c r="AJ247" s="158"/>
      <c r="AK247" s="158"/>
      <c r="AL247" s="158"/>
      <c r="AM247" s="158"/>
      <c r="AN247" s="158"/>
      <c r="AO247" s="158"/>
      <c r="AP247" s="158"/>
      <c r="AQ247" s="158"/>
      <c r="AR247" s="158"/>
      <c r="AS247" s="158"/>
      <c r="AT247" s="158"/>
      <c r="AU247" s="158"/>
      <c r="AV247" s="158"/>
      <c r="AW247" s="158"/>
      <c r="AX247" s="158"/>
      <c r="AY247" s="158"/>
      <c r="AZ247" s="158"/>
      <c r="BA247" s="158"/>
      <c r="BB247" s="158"/>
      <c r="BC247" s="158"/>
      <c r="BD247" s="158"/>
      <c r="BE247" s="158"/>
      <c r="BF247" s="158"/>
      <c r="BG247" s="158"/>
      <c r="BH247" s="158"/>
      <c r="BI247" s="158"/>
      <c r="BJ247" s="158"/>
      <c r="BK247" s="158"/>
      <c r="BL247" s="158"/>
      <c r="BM247" s="158"/>
      <c r="BN247" s="158"/>
      <c r="BO247" s="158"/>
      <c r="BP247" s="158"/>
      <c r="BQ247" s="158"/>
      <c r="BR247" s="158"/>
      <c r="BS247" s="158"/>
      <c r="BT247" s="158"/>
      <c r="BU247" s="158"/>
      <c r="BV247" s="158"/>
      <c r="BW247" s="158"/>
      <c r="BX247" s="158"/>
      <c r="BY247" s="158"/>
      <c r="BZ247" s="158"/>
      <c r="CA247" s="158"/>
      <c r="CB247" s="158"/>
      <c r="CC247" s="158"/>
      <c r="CD247" s="158"/>
      <c r="CE247" s="158"/>
      <c r="CF247" s="158"/>
      <c r="CG247" s="158"/>
      <c r="CH247" s="158"/>
      <c r="CI247" s="158"/>
      <c r="CJ247" s="158"/>
      <c r="CK247" s="158"/>
      <c r="CL247" s="158"/>
      <c r="CM247" s="158"/>
      <c r="CN247" s="158"/>
      <c r="CO247" s="158"/>
      <c r="CP247" s="158"/>
      <c r="CQ247" s="158"/>
      <c r="CR247" s="158"/>
      <c r="CS247" s="158"/>
    </row>
    <row r="248" spans="2:97" ht="5.0999999999999996" customHeight="1" x14ac:dyDescent="0.2">
      <c r="B248" s="158"/>
      <c r="C248" s="158"/>
      <c r="D248" s="158"/>
      <c r="E248" s="158"/>
      <c r="F248" s="158"/>
      <c r="G248" s="158"/>
      <c r="H248" s="158"/>
      <c r="I248" s="158"/>
      <c r="J248" s="158"/>
      <c r="K248" s="158"/>
      <c r="L248" s="158"/>
      <c r="M248" s="158"/>
      <c r="N248" s="158"/>
      <c r="O248" s="158"/>
      <c r="P248" s="158"/>
      <c r="Q248" s="158"/>
      <c r="R248" s="158"/>
      <c r="S248" s="158"/>
      <c r="T248" s="158"/>
      <c r="U248" s="158"/>
      <c r="V248" s="158"/>
      <c r="W248" s="158"/>
      <c r="X248" s="158"/>
      <c r="Y248" s="158"/>
      <c r="Z248" s="158"/>
      <c r="AA248" s="158"/>
      <c r="AB248" s="158"/>
      <c r="AC248" s="158"/>
      <c r="AD248" s="158"/>
      <c r="AE248" s="158"/>
      <c r="AF248" s="158"/>
      <c r="AG248" s="158"/>
      <c r="AH248" s="158"/>
      <c r="AI248" s="158"/>
      <c r="AJ248" s="158"/>
      <c r="AK248" s="158"/>
      <c r="AL248" s="158"/>
      <c r="AM248" s="158"/>
      <c r="AN248" s="158"/>
      <c r="AO248" s="158"/>
      <c r="AP248" s="158"/>
      <c r="AQ248" s="158"/>
      <c r="AR248" s="158"/>
      <c r="AS248" s="158"/>
      <c r="AT248" s="158"/>
      <c r="AU248" s="158"/>
      <c r="AV248" s="158"/>
      <c r="AW248" s="158"/>
      <c r="AX248" s="158"/>
      <c r="AY248" s="158"/>
      <c r="AZ248" s="158"/>
      <c r="BA248" s="158"/>
      <c r="BB248" s="158"/>
      <c r="BC248" s="158"/>
      <c r="BD248" s="158"/>
      <c r="BE248" s="158"/>
      <c r="BF248" s="158"/>
      <c r="BG248" s="158"/>
      <c r="BH248" s="158"/>
      <c r="BI248" s="158"/>
      <c r="BJ248" s="158"/>
      <c r="BK248" s="158"/>
      <c r="BL248" s="158"/>
      <c r="BM248" s="158"/>
      <c r="BN248" s="158"/>
      <c r="BO248" s="158"/>
      <c r="BP248" s="158"/>
      <c r="BQ248" s="158"/>
      <c r="BR248" s="158"/>
      <c r="BS248" s="158"/>
      <c r="BT248" s="158"/>
      <c r="BU248" s="158"/>
      <c r="BV248" s="158"/>
      <c r="BW248" s="158"/>
      <c r="BX248" s="158"/>
      <c r="BY248" s="158"/>
      <c r="BZ248" s="158"/>
      <c r="CA248" s="158"/>
      <c r="CB248" s="158"/>
      <c r="CC248" s="158"/>
      <c r="CD248" s="158"/>
      <c r="CE248" s="158"/>
      <c r="CF248" s="158"/>
      <c r="CG248" s="158"/>
      <c r="CH248" s="158"/>
      <c r="CI248" s="158"/>
      <c r="CJ248" s="158"/>
      <c r="CK248" s="158"/>
      <c r="CL248" s="158"/>
      <c r="CM248" s="158"/>
      <c r="CN248" s="158"/>
      <c r="CO248" s="158"/>
      <c r="CP248" s="158"/>
      <c r="CQ248" s="158"/>
      <c r="CR248" s="158"/>
      <c r="CS248" s="158"/>
    </row>
    <row r="249" spans="2:97" x14ac:dyDescent="0.2">
      <c r="B249" s="158"/>
      <c r="C249" s="158"/>
      <c r="D249" s="158"/>
      <c r="E249" s="158"/>
      <c r="F249" s="158"/>
      <c r="G249" s="158"/>
      <c r="H249" s="158"/>
      <c r="I249" s="158"/>
      <c r="J249" s="158"/>
      <c r="K249" s="158"/>
      <c r="L249" s="158"/>
      <c r="M249" s="158"/>
      <c r="N249" s="158"/>
      <c r="O249" s="158"/>
      <c r="P249" s="158"/>
      <c r="Q249" s="158"/>
      <c r="R249" s="158"/>
      <c r="S249" s="158"/>
      <c r="T249" s="158"/>
      <c r="U249" s="158"/>
      <c r="V249" s="158"/>
      <c r="W249" s="158"/>
      <c r="X249" s="158"/>
      <c r="Y249" s="158"/>
      <c r="Z249" s="158"/>
      <c r="AA249" s="158"/>
      <c r="AB249" s="158"/>
      <c r="AC249" s="158"/>
      <c r="AD249" s="158"/>
      <c r="AE249" s="158"/>
      <c r="AF249" s="158"/>
      <c r="AG249" s="158"/>
      <c r="AH249" s="158"/>
      <c r="AI249" s="158"/>
      <c r="AJ249" s="158"/>
      <c r="AK249" s="158"/>
      <c r="AL249" s="158"/>
      <c r="AM249" s="158"/>
      <c r="AN249" s="158"/>
      <c r="AO249" s="158"/>
      <c r="AP249" s="158"/>
      <c r="AQ249" s="158"/>
      <c r="AR249" s="158"/>
      <c r="AS249" s="158"/>
      <c r="AT249" s="158"/>
      <c r="AU249" s="158"/>
      <c r="AV249" s="158"/>
      <c r="AW249" s="158"/>
      <c r="AX249" s="158"/>
      <c r="AY249" s="158"/>
      <c r="AZ249" s="158"/>
      <c r="BA249" s="158"/>
      <c r="BB249" s="158"/>
      <c r="BC249" s="158"/>
      <c r="BD249" s="158"/>
      <c r="BE249" s="158"/>
      <c r="BF249" s="158"/>
      <c r="BG249" s="158"/>
      <c r="BH249" s="158"/>
      <c r="BI249" s="158"/>
      <c r="BJ249" s="158"/>
      <c r="BK249" s="158"/>
      <c r="BL249" s="158"/>
      <c r="BM249" s="158"/>
      <c r="BN249" s="158"/>
      <c r="BO249" s="158"/>
      <c r="BP249" s="158"/>
      <c r="BQ249" s="158"/>
      <c r="BR249" s="158"/>
      <c r="BS249" s="158"/>
      <c r="BT249" s="158"/>
      <c r="BU249" s="158"/>
      <c r="BV249" s="158"/>
      <c r="BW249" s="158"/>
      <c r="BX249" s="158"/>
      <c r="BY249" s="158"/>
      <c r="BZ249" s="158"/>
      <c r="CA249" s="158"/>
      <c r="CB249" s="158"/>
      <c r="CC249" s="158"/>
      <c r="CD249" s="158"/>
      <c r="CE249" s="158"/>
      <c r="CF249" s="158"/>
      <c r="CG249" s="158"/>
      <c r="CH249" s="158"/>
      <c r="CI249" s="158"/>
      <c r="CJ249" s="158"/>
      <c r="CK249" s="158"/>
      <c r="CL249" s="158"/>
      <c r="CM249" s="158"/>
      <c r="CN249" s="158"/>
      <c r="CO249" s="158"/>
      <c r="CP249" s="158"/>
      <c r="CQ249" s="158"/>
      <c r="CR249" s="158"/>
      <c r="CS249" s="158"/>
    </row>
    <row r="250" spans="2:97" x14ac:dyDescent="0.2">
      <c r="B250" s="158"/>
      <c r="C250" s="158"/>
      <c r="D250" s="158"/>
      <c r="E250" s="158"/>
      <c r="F250" s="158"/>
      <c r="G250" s="158"/>
      <c r="H250" s="158"/>
      <c r="I250" s="158"/>
      <c r="J250" s="158"/>
      <c r="K250" s="158"/>
      <c r="L250" s="158"/>
      <c r="M250" s="158"/>
      <c r="N250" s="158"/>
      <c r="O250" s="158"/>
      <c r="P250" s="158"/>
      <c r="Q250" s="158"/>
      <c r="R250" s="158"/>
      <c r="S250" s="158"/>
      <c r="T250" s="158"/>
      <c r="U250" s="158"/>
      <c r="V250" s="158"/>
      <c r="W250" s="158"/>
      <c r="X250" s="158"/>
      <c r="Y250" s="158"/>
      <c r="Z250" s="158"/>
      <c r="AA250" s="158"/>
      <c r="AB250" s="158"/>
      <c r="AC250" s="158"/>
      <c r="AD250" s="158"/>
      <c r="AE250" s="158"/>
      <c r="AF250" s="158"/>
      <c r="AG250" s="158"/>
      <c r="AH250" s="158"/>
      <c r="AI250" s="158"/>
      <c r="AJ250" s="158"/>
      <c r="AK250" s="158"/>
      <c r="AL250" s="158"/>
      <c r="AM250" s="158"/>
      <c r="AN250" s="158"/>
      <c r="AO250" s="158"/>
      <c r="AP250" s="158"/>
      <c r="AQ250" s="158"/>
      <c r="AR250" s="158"/>
      <c r="AS250" s="158"/>
      <c r="AT250" s="158"/>
      <c r="AU250" s="158"/>
      <c r="AV250" s="158"/>
      <c r="AW250" s="158"/>
      <c r="AX250" s="158"/>
      <c r="AY250" s="158"/>
      <c r="AZ250" s="158"/>
      <c r="BA250" s="158"/>
      <c r="BB250" s="158"/>
      <c r="BC250" s="158"/>
      <c r="BD250" s="158"/>
      <c r="BE250" s="158"/>
      <c r="BF250" s="158"/>
      <c r="BG250" s="158"/>
      <c r="BH250" s="158"/>
      <c r="BI250" s="158"/>
      <c r="BJ250" s="158"/>
      <c r="BK250" s="158"/>
      <c r="BL250" s="158"/>
      <c r="BM250" s="158"/>
      <c r="BN250" s="158"/>
      <c r="BO250" s="158"/>
      <c r="BP250" s="158"/>
      <c r="BQ250" s="158"/>
      <c r="BR250" s="158"/>
      <c r="BS250" s="158"/>
      <c r="BT250" s="158"/>
      <c r="BU250" s="158"/>
      <c r="BV250" s="158"/>
      <c r="BW250" s="158"/>
      <c r="BX250" s="158"/>
      <c r="BY250" s="158"/>
      <c r="BZ250" s="158"/>
      <c r="CA250" s="158"/>
      <c r="CB250" s="158"/>
      <c r="CC250" s="158"/>
      <c r="CD250" s="158"/>
      <c r="CE250" s="158"/>
      <c r="CF250" s="158"/>
      <c r="CG250" s="158"/>
      <c r="CH250" s="158"/>
      <c r="CI250" s="158"/>
      <c r="CJ250" s="158"/>
      <c r="CK250" s="158"/>
      <c r="CL250" s="158"/>
      <c r="CM250" s="158"/>
      <c r="CN250" s="158"/>
      <c r="CO250" s="158"/>
      <c r="CP250" s="158"/>
      <c r="CQ250" s="158"/>
      <c r="CR250" s="158"/>
      <c r="CS250" s="158"/>
    </row>
    <row r="251" spans="2:97" x14ac:dyDescent="0.2">
      <c r="B251" s="158"/>
      <c r="C251" s="158"/>
      <c r="D251" s="158"/>
      <c r="E251" s="158"/>
      <c r="F251" s="158"/>
      <c r="G251" s="158"/>
      <c r="H251" s="158"/>
      <c r="I251" s="158"/>
      <c r="J251" s="158"/>
      <c r="K251" s="158"/>
      <c r="L251" s="158"/>
      <c r="M251" s="158"/>
      <c r="N251" s="158"/>
      <c r="O251" s="158"/>
      <c r="P251" s="158"/>
      <c r="Q251" s="158"/>
      <c r="R251" s="158"/>
      <c r="S251" s="158"/>
      <c r="T251" s="158"/>
      <c r="U251" s="158"/>
      <c r="V251" s="158"/>
      <c r="W251" s="158"/>
      <c r="X251" s="158"/>
      <c r="Y251" s="158"/>
      <c r="Z251" s="158"/>
      <c r="AA251" s="158"/>
      <c r="AB251" s="158"/>
      <c r="AC251" s="158"/>
      <c r="AD251" s="158"/>
      <c r="AE251" s="158"/>
      <c r="AF251" s="158"/>
      <c r="AG251" s="158"/>
      <c r="AH251" s="158"/>
      <c r="AI251" s="158"/>
      <c r="AJ251" s="158"/>
      <c r="AK251" s="158"/>
      <c r="AL251" s="158"/>
      <c r="AM251" s="158"/>
      <c r="AN251" s="158"/>
      <c r="AO251" s="158"/>
      <c r="AP251" s="158"/>
      <c r="AQ251" s="158"/>
      <c r="AR251" s="158"/>
      <c r="AS251" s="158"/>
      <c r="AT251" s="158"/>
      <c r="AU251" s="158"/>
      <c r="AV251" s="158"/>
      <c r="AW251" s="158"/>
      <c r="AX251" s="158"/>
      <c r="AY251" s="158"/>
      <c r="AZ251" s="158"/>
      <c r="BA251" s="158"/>
      <c r="BB251" s="158"/>
      <c r="BC251" s="158"/>
      <c r="BD251" s="158"/>
      <c r="BE251" s="158"/>
      <c r="BF251" s="158"/>
      <c r="BG251" s="158"/>
      <c r="BH251" s="158"/>
      <c r="BI251" s="158"/>
      <c r="BJ251" s="158"/>
      <c r="BK251" s="158"/>
      <c r="BL251" s="158"/>
      <c r="BM251" s="158"/>
      <c r="BN251" s="158"/>
      <c r="BO251" s="158"/>
      <c r="BP251" s="158"/>
      <c r="BQ251" s="158"/>
      <c r="BR251" s="158"/>
      <c r="BS251" s="158"/>
      <c r="BT251" s="158"/>
      <c r="BU251" s="158"/>
      <c r="BV251" s="158"/>
      <c r="BW251" s="158"/>
      <c r="BX251" s="158"/>
      <c r="BY251" s="158"/>
      <c r="BZ251" s="158"/>
      <c r="CA251" s="158"/>
      <c r="CB251" s="158"/>
      <c r="CC251" s="158"/>
      <c r="CD251" s="158"/>
      <c r="CE251" s="158"/>
      <c r="CF251" s="158"/>
      <c r="CG251" s="158"/>
      <c r="CH251" s="158"/>
      <c r="CI251" s="158"/>
      <c r="CJ251" s="158"/>
      <c r="CK251" s="158"/>
      <c r="CL251" s="158"/>
      <c r="CM251" s="158"/>
      <c r="CN251" s="158"/>
      <c r="CO251" s="158"/>
      <c r="CP251" s="158"/>
      <c r="CQ251" s="158"/>
      <c r="CR251" s="158"/>
      <c r="CS251" s="158"/>
    </row>
    <row r="252" spans="2:97" x14ac:dyDescent="0.2">
      <c r="B252" s="158"/>
      <c r="C252" s="158"/>
      <c r="D252" s="158"/>
      <c r="E252" s="158"/>
      <c r="F252" s="158"/>
      <c r="G252" s="158"/>
      <c r="H252" s="158"/>
      <c r="I252" s="158"/>
      <c r="J252" s="158"/>
      <c r="K252" s="158"/>
      <c r="L252" s="158"/>
      <c r="M252" s="158"/>
      <c r="N252" s="158"/>
      <c r="O252" s="158"/>
      <c r="P252" s="158"/>
      <c r="Q252" s="158"/>
      <c r="R252" s="158"/>
      <c r="S252" s="158"/>
      <c r="T252" s="158"/>
      <c r="U252" s="158"/>
      <c r="V252" s="158"/>
      <c r="W252" s="158"/>
      <c r="X252" s="158"/>
      <c r="Y252" s="158"/>
      <c r="Z252" s="158"/>
      <c r="AA252" s="158"/>
      <c r="AB252" s="158"/>
      <c r="AC252" s="158"/>
      <c r="AD252" s="158"/>
      <c r="AE252" s="158"/>
      <c r="AF252" s="158"/>
      <c r="AG252" s="158"/>
      <c r="AH252" s="158"/>
      <c r="AI252" s="158"/>
      <c r="AJ252" s="158"/>
      <c r="AK252" s="158"/>
      <c r="AL252" s="158"/>
      <c r="AM252" s="158"/>
      <c r="AN252" s="158"/>
      <c r="AO252" s="158"/>
      <c r="AP252" s="158"/>
      <c r="AQ252" s="158"/>
      <c r="AR252" s="158"/>
      <c r="AS252" s="158"/>
      <c r="AT252" s="158"/>
      <c r="AU252" s="158"/>
      <c r="AV252" s="158"/>
      <c r="AW252" s="158"/>
      <c r="AX252" s="158"/>
      <c r="AY252" s="158"/>
      <c r="AZ252" s="158"/>
      <c r="BA252" s="158"/>
      <c r="BB252" s="158"/>
      <c r="BC252" s="158"/>
      <c r="BD252" s="158"/>
      <c r="BE252" s="158"/>
      <c r="BF252" s="158"/>
      <c r="BG252" s="158"/>
      <c r="BH252" s="158"/>
      <c r="BI252" s="158"/>
      <c r="BJ252" s="158"/>
      <c r="BK252" s="158"/>
      <c r="BL252" s="158"/>
      <c r="BM252" s="158"/>
      <c r="BN252" s="158"/>
      <c r="BO252" s="158"/>
      <c r="BP252" s="158"/>
      <c r="BQ252" s="158"/>
      <c r="BR252" s="158"/>
      <c r="BS252" s="158"/>
      <c r="BT252" s="158"/>
      <c r="BU252" s="158"/>
      <c r="BV252" s="158"/>
      <c r="BW252" s="158"/>
      <c r="BX252" s="158"/>
      <c r="BY252" s="158"/>
      <c r="BZ252" s="158"/>
      <c r="CA252" s="158"/>
      <c r="CB252" s="158"/>
      <c r="CC252" s="158"/>
      <c r="CD252" s="158"/>
      <c r="CE252" s="158"/>
      <c r="CF252" s="158"/>
      <c r="CG252" s="158"/>
      <c r="CH252" s="158"/>
      <c r="CI252" s="158"/>
      <c r="CJ252" s="158"/>
      <c r="CK252" s="158"/>
      <c r="CL252" s="158"/>
      <c r="CM252" s="158"/>
      <c r="CN252" s="158"/>
      <c r="CO252" s="158"/>
      <c r="CP252" s="158"/>
      <c r="CQ252" s="158"/>
      <c r="CR252" s="158"/>
      <c r="CS252" s="158"/>
    </row>
    <row r="253" spans="2:97" x14ac:dyDescent="0.2">
      <c r="B253" s="158"/>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c r="AX253" s="158"/>
      <c r="AY253" s="158"/>
      <c r="AZ253" s="158"/>
      <c r="BA253" s="158"/>
      <c r="BB253" s="158"/>
      <c r="BC253" s="158"/>
      <c r="BD253" s="158"/>
      <c r="BE253" s="158"/>
      <c r="BF253" s="158"/>
      <c r="BG253" s="158"/>
      <c r="BH253" s="158"/>
      <c r="BI253" s="158"/>
      <c r="BJ253" s="158"/>
      <c r="BK253" s="158"/>
      <c r="BL253" s="158"/>
      <c r="BM253" s="158"/>
      <c r="BN253" s="158"/>
      <c r="BO253" s="158"/>
      <c r="BP253" s="158"/>
      <c r="BQ253" s="158"/>
      <c r="BR253" s="158"/>
      <c r="BS253" s="158"/>
      <c r="BT253" s="158"/>
      <c r="BU253" s="158"/>
      <c r="BV253" s="158"/>
      <c r="BW253" s="158"/>
      <c r="BX253" s="158"/>
      <c r="BY253" s="158"/>
      <c r="BZ253" s="158"/>
      <c r="CA253" s="158"/>
      <c r="CB253" s="158"/>
      <c r="CC253" s="158"/>
      <c r="CD253" s="158"/>
      <c r="CE253" s="158"/>
      <c r="CF253" s="158"/>
      <c r="CG253" s="158"/>
      <c r="CH253" s="158"/>
      <c r="CI253" s="158"/>
      <c r="CJ253" s="158"/>
      <c r="CK253" s="158"/>
      <c r="CL253" s="158"/>
      <c r="CM253" s="158"/>
      <c r="CN253" s="158"/>
      <c r="CO253" s="158"/>
      <c r="CP253" s="158"/>
      <c r="CQ253" s="158"/>
      <c r="CR253" s="158"/>
      <c r="CS253" s="158"/>
    </row>
    <row r="254" spans="2:97" ht="12.75" customHeight="1" x14ac:dyDescent="0.2">
      <c r="B254" s="158"/>
      <c r="C254" s="158"/>
      <c r="D254" s="158"/>
      <c r="E254" s="158"/>
      <c r="F254" s="158"/>
      <c r="G254" s="158"/>
      <c r="H254" s="158"/>
      <c r="I254" s="158"/>
      <c r="J254" s="158"/>
      <c r="K254" s="158"/>
      <c r="L254" s="158"/>
      <c r="M254" s="158"/>
      <c r="N254" s="158"/>
      <c r="O254" s="158"/>
      <c r="P254" s="158"/>
      <c r="Q254" s="158"/>
      <c r="R254" s="158"/>
      <c r="S254" s="158"/>
      <c r="T254" s="158"/>
      <c r="U254" s="158"/>
      <c r="V254" s="158"/>
      <c r="W254" s="158"/>
      <c r="X254" s="158"/>
      <c r="Y254" s="158"/>
      <c r="Z254" s="158"/>
      <c r="AA254" s="158"/>
      <c r="AB254" s="158"/>
      <c r="AC254" s="158"/>
      <c r="AD254" s="158"/>
      <c r="AE254" s="158"/>
      <c r="AF254" s="158"/>
      <c r="AG254" s="158"/>
      <c r="AH254" s="158"/>
      <c r="AI254" s="158"/>
      <c r="AJ254" s="158"/>
      <c r="AK254" s="158"/>
      <c r="AL254" s="158"/>
      <c r="AM254" s="158"/>
      <c r="AN254" s="158"/>
      <c r="AO254" s="158"/>
      <c r="AP254" s="158"/>
      <c r="AQ254" s="158"/>
      <c r="AR254" s="158"/>
      <c r="AS254" s="158"/>
      <c r="AT254" s="158"/>
      <c r="AU254" s="158"/>
      <c r="AV254" s="158"/>
      <c r="AW254" s="158"/>
      <c r="AX254" s="158"/>
      <c r="AY254" s="158"/>
      <c r="AZ254" s="158"/>
      <c r="BA254" s="158"/>
      <c r="BB254" s="158"/>
      <c r="BC254" s="158"/>
      <c r="BD254" s="158"/>
      <c r="BE254" s="158"/>
      <c r="BF254" s="158"/>
      <c r="BG254" s="158"/>
      <c r="BH254" s="158"/>
      <c r="BI254" s="158"/>
      <c r="BJ254" s="158"/>
      <c r="BK254" s="158"/>
      <c r="BL254" s="158"/>
      <c r="BM254" s="158"/>
      <c r="BN254" s="158"/>
      <c r="BO254" s="158"/>
      <c r="BP254" s="158"/>
      <c r="BQ254" s="158"/>
      <c r="BR254" s="158"/>
      <c r="BS254" s="158"/>
      <c r="BT254" s="158"/>
      <c r="BU254" s="158"/>
      <c r="BV254" s="158"/>
      <c r="BW254" s="158"/>
      <c r="BX254" s="158"/>
      <c r="BY254" s="158"/>
      <c r="BZ254" s="158"/>
      <c r="CA254" s="158"/>
      <c r="CB254" s="158"/>
      <c r="CC254" s="158"/>
      <c r="CD254" s="158"/>
      <c r="CE254" s="158"/>
      <c r="CF254" s="158"/>
      <c r="CG254" s="158"/>
      <c r="CH254" s="158"/>
      <c r="CI254" s="158"/>
      <c r="CJ254" s="158"/>
      <c r="CK254" s="158"/>
      <c r="CL254" s="158"/>
      <c r="CM254" s="158"/>
      <c r="CN254" s="158"/>
      <c r="CO254" s="158"/>
      <c r="CP254" s="158"/>
      <c r="CQ254" s="158"/>
      <c r="CR254" s="158"/>
      <c r="CS254" s="158"/>
    </row>
    <row r="255" spans="2:97" ht="12.75" customHeight="1" x14ac:dyDescent="0.2">
      <c r="B255" s="158"/>
      <c r="C255" s="158"/>
      <c r="D255" s="158"/>
      <c r="E255" s="158"/>
      <c r="F255" s="158"/>
      <c r="G255" s="158"/>
      <c r="H255" s="158"/>
      <c r="I255" s="158"/>
      <c r="J255" s="158"/>
      <c r="K255" s="158"/>
      <c r="L255" s="158"/>
      <c r="M255" s="158"/>
      <c r="N255" s="158"/>
      <c r="O255" s="158"/>
      <c r="P255" s="158"/>
      <c r="Q255" s="158"/>
      <c r="R255" s="158"/>
      <c r="S255" s="158"/>
      <c r="T255" s="158"/>
      <c r="U255" s="158"/>
      <c r="V255" s="158"/>
      <c r="W255" s="158"/>
      <c r="X255" s="158"/>
      <c r="Y255" s="158"/>
      <c r="Z255" s="158"/>
      <c r="AA255" s="158"/>
      <c r="AB255" s="158"/>
      <c r="AC255" s="158"/>
      <c r="AD255" s="158"/>
      <c r="AE255" s="158"/>
      <c r="AF255" s="158"/>
      <c r="AG255" s="158"/>
      <c r="AH255" s="158"/>
      <c r="AI255" s="158"/>
      <c r="AJ255" s="158"/>
      <c r="AK255" s="158"/>
      <c r="AL255" s="158"/>
      <c r="AM255" s="158"/>
      <c r="AN255" s="158"/>
      <c r="AO255" s="158"/>
      <c r="AP255" s="158"/>
      <c r="AQ255" s="158"/>
      <c r="AR255" s="158"/>
      <c r="AS255" s="158"/>
      <c r="AT255" s="158"/>
      <c r="AU255" s="158"/>
      <c r="AV255" s="158"/>
      <c r="AW255" s="158"/>
      <c r="AX255" s="158"/>
      <c r="AY255" s="158"/>
      <c r="AZ255" s="158"/>
      <c r="BA255" s="158"/>
      <c r="BB255" s="158"/>
      <c r="BC255" s="158"/>
      <c r="BD255" s="158"/>
      <c r="BE255" s="158"/>
      <c r="BF255" s="158"/>
      <c r="BG255" s="158"/>
      <c r="BH255" s="158"/>
      <c r="BI255" s="158"/>
      <c r="BJ255" s="158"/>
      <c r="BK255" s="158"/>
      <c r="BL255" s="158"/>
      <c r="BM255" s="158"/>
      <c r="BN255" s="158"/>
      <c r="BO255" s="158"/>
      <c r="BP255" s="158"/>
      <c r="BQ255" s="158"/>
      <c r="BR255" s="158"/>
      <c r="BS255" s="158"/>
      <c r="BT255" s="158"/>
      <c r="BU255" s="158"/>
      <c r="BV255" s="158"/>
      <c r="BW255" s="158"/>
      <c r="BX255" s="158"/>
      <c r="BY255" s="158"/>
      <c r="BZ255" s="158"/>
      <c r="CA255" s="158"/>
      <c r="CB255" s="158"/>
      <c r="CC255" s="158"/>
      <c r="CD255" s="158"/>
      <c r="CE255" s="158"/>
      <c r="CF255" s="158"/>
      <c r="CG255" s="158"/>
      <c r="CH255" s="158"/>
      <c r="CI255" s="158"/>
      <c r="CJ255" s="158"/>
      <c r="CK255" s="158"/>
      <c r="CL255" s="158"/>
      <c r="CM255" s="158"/>
      <c r="CN255" s="158"/>
      <c r="CO255" s="158"/>
      <c r="CP255" s="158"/>
      <c r="CQ255" s="158"/>
      <c r="CR255" s="158"/>
      <c r="CS255" s="158"/>
    </row>
    <row r="256" spans="2:97" ht="12.75" customHeight="1" x14ac:dyDescent="0.2">
      <c r="B256" s="158"/>
      <c r="C256" s="158"/>
      <c r="D256" s="158"/>
      <c r="E256" s="158"/>
      <c r="F256" s="158"/>
      <c r="G256" s="158"/>
      <c r="H256" s="158"/>
      <c r="I256" s="158"/>
      <c r="J256" s="158"/>
      <c r="K256" s="158"/>
      <c r="L256" s="158"/>
      <c r="M256" s="158"/>
      <c r="N256" s="158"/>
      <c r="O256" s="158"/>
      <c r="P256" s="158"/>
      <c r="Q256" s="158"/>
      <c r="R256" s="158"/>
      <c r="S256" s="158"/>
      <c r="T256" s="158"/>
      <c r="U256" s="158"/>
      <c r="V256" s="158"/>
      <c r="W256" s="158"/>
      <c r="X256" s="158"/>
      <c r="Y256" s="158"/>
      <c r="Z256" s="158"/>
      <c r="AA256" s="158"/>
      <c r="AB256" s="158"/>
      <c r="AC256" s="158"/>
      <c r="AD256" s="158"/>
      <c r="AE256" s="158"/>
      <c r="AF256" s="158"/>
      <c r="AG256" s="158"/>
      <c r="AH256" s="158"/>
      <c r="AI256" s="158"/>
      <c r="AJ256" s="158"/>
      <c r="AK256" s="158"/>
      <c r="AL256" s="158"/>
      <c r="AM256" s="158"/>
      <c r="AN256" s="158"/>
      <c r="AO256" s="158"/>
      <c r="AP256" s="158"/>
      <c r="AQ256" s="158"/>
      <c r="AR256" s="158"/>
      <c r="AS256" s="158"/>
      <c r="AT256" s="158"/>
      <c r="AU256" s="158"/>
      <c r="AV256" s="158"/>
      <c r="AW256" s="158"/>
      <c r="AX256" s="158"/>
      <c r="AY256" s="158"/>
      <c r="AZ256" s="158"/>
      <c r="BA256" s="158"/>
      <c r="BB256" s="158"/>
      <c r="BC256" s="158"/>
      <c r="BD256" s="158"/>
      <c r="BE256" s="158"/>
      <c r="BF256" s="158"/>
      <c r="BG256" s="158"/>
      <c r="BH256" s="158"/>
      <c r="BI256" s="158"/>
      <c r="BJ256" s="158"/>
      <c r="BK256" s="158"/>
      <c r="BL256" s="158"/>
      <c r="BM256" s="158"/>
      <c r="BN256" s="158"/>
      <c r="BO256" s="158"/>
      <c r="BP256" s="158"/>
      <c r="BQ256" s="158"/>
      <c r="BR256" s="158"/>
      <c r="BS256" s="158"/>
      <c r="BT256" s="158"/>
      <c r="BU256" s="158"/>
      <c r="BV256" s="158"/>
      <c r="BW256" s="158"/>
      <c r="BX256" s="158"/>
      <c r="BY256" s="158"/>
      <c r="BZ256" s="158"/>
      <c r="CA256" s="158"/>
      <c r="CB256" s="158"/>
      <c r="CC256" s="158"/>
      <c r="CD256" s="158"/>
      <c r="CE256" s="158"/>
      <c r="CF256" s="158"/>
      <c r="CG256" s="158"/>
      <c r="CH256" s="158"/>
      <c r="CI256" s="158"/>
      <c r="CJ256" s="158"/>
      <c r="CK256" s="158"/>
      <c r="CL256" s="158"/>
      <c r="CM256" s="158"/>
      <c r="CN256" s="158"/>
      <c r="CO256" s="158"/>
      <c r="CP256" s="158"/>
      <c r="CQ256" s="158"/>
      <c r="CR256" s="158"/>
      <c r="CS256" s="158"/>
    </row>
    <row r="257" spans="2:97" ht="12.75" customHeight="1" x14ac:dyDescent="0.2">
      <c r="B257" s="158"/>
      <c r="C257" s="158"/>
      <c r="D257" s="158"/>
      <c r="E257" s="158"/>
      <c r="F257" s="158"/>
      <c r="G257" s="158"/>
      <c r="H257" s="158"/>
      <c r="I257" s="158"/>
      <c r="J257" s="158"/>
      <c r="K257" s="158"/>
      <c r="L257" s="158"/>
      <c r="M257" s="158"/>
      <c r="N257" s="158"/>
      <c r="O257" s="158"/>
      <c r="P257" s="158"/>
      <c r="Q257" s="158"/>
      <c r="R257" s="158"/>
      <c r="S257" s="158"/>
      <c r="T257" s="158"/>
      <c r="U257" s="158"/>
      <c r="V257" s="158"/>
      <c r="W257" s="158"/>
      <c r="X257" s="158"/>
      <c r="Y257" s="158"/>
      <c r="Z257" s="158"/>
      <c r="AA257" s="158"/>
      <c r="AB257" s="158"/>
      <c r="AC257" s="158"/>
      <c r="AD257" s="158"/>
      <c r="AE257" s="158"/>
      <c r="AF257" s="158"/>
      <c r="AG257" s="158"/>
      <c r="AH257" s="158"/>
      <c r="AI257" s="158"/>
      <c r="AJ257" s="158"/>
      <c r="AK257" s="158"/>
      <c r="AL257" s="158"/>
      <c r="AM257" s="158"/>
      <c r="AN257" s="158"/>
      <c r="AO257" s="158"/>
      <c r="AP257" s="158"/>
      <c r="AQ257" s="158"/>
      <c r="AR257" s="158"/>
      <c r="AS257" s="158"/>
      <c r="AT257" s="158"/>
      <c r="AU257" s="158"/>
      <c r="AV257" s="158"/>
      <c r="AW257" s="158"/>
      <c r="AX257" s="158"/>
      <c r="AY257" s="158"/>
      <c r="AZ257" s="158"/>
      <c r="BA257" s="158"/>
      <c r="BB257" s="158"/>
      <c r="BC257" s="158"/>
      <c r="BD257" s="158"/>
      <c r="BE257" s="158"/>
      <c r="BF257" s="158"/>
      <c r="BG257" s="158"/>
      <c r="BH257" s="158"/>
      <c r="BI257" s="158"/>
      <c r="BJ257" s="158"/>
      <c r="BK257" s="158"/>
      <c r="BL257" s="158"/>
      <c r="BM257" s="158"/>
      <c r="BN257" s="158"/>
      <c r="BO257" s="158"/>
      <c r="BP257" s="158"/>
      <c r="BQ257" s="158"/>
      <c r="BR257" s="158"/>
      <c r="BS257" s="158"/>
      <c r="BT257" s="158"/>
      <c r="BU257" s="158"/>
      <c r="BV257" s="158"/>
      <c r="BW257" s="158"/>
      <c r="BX257" s="158"/>
      <c r="BY257" s="158"/>
      <c r="BZ257" s="158"/>
      <c r="CA257" s="158"/>
      <c r="CB257" s="158"/>
      <c r="CC257" s="158"/>
      <c r="CD257" s="158"/>
      <c r="CE257" s="158"/>
      <c r="CF257" s="158"/>
      <c r="CG257" s="158"/>
      <c r="CH257" s="158"/>
      <c r="CI257" s="158"/>
      <c r="CJ257" s="158"/>
      <c r="CK257" s="158"/>
      <c r="CL257" s="158"/>
      <c r="CM257" s="158"/>
      <c r="CN257" s="158"/>
      <c r="CO257" s="158"/>
      <c r="CP257" s="158"/>
      <c r="CQ257" s="158"/>
      <c r="CR257" s="158"/>
      <c r="CS257" s="158"/>
    </row>
    <row r="258" spans="2:97" ht="12.75" customHeight="1" x14ac:dyDescent="0.2">
      <c r="B258" s="158"/>
      <c r="C258" s="158"/>
      <c r="D258" s="158"/>
      <c r="E258" s="158"/>
      <c r="F258" s="158"/>
      <c r="G258" s="158"/>
      <c r="H258" s="158"/>
      <c r="I258" s="158"/>
      <c r="J258" s="158"/>
      <c r="K258" s="158"/>
      <c r="L258" s="158"/>
      <c r="M258" s="158"/>
      <c r="N258" s="158"/>
      <c r="O258" s="158"/>
      <c r="P258" s="158"/>
      <c r="Q258" s="158"/>
      <c r="R258" s="158"/>
      <c r="S258" s="158"/>
      <c r="T258" s="158"/>
      <c r="U258" s="158"/>
      <c r="V258" s="158"/>
      <c r="W258" s="158"/>
      <c r="X258" s="158"/>
      <c r="Y258" s="158"/>
      <c r="Z258" s="158"/>
      <c r="AA258" s="158"/>
      <c r="AB258" s="158"/>
      <c r="AC258" s="158"/>
      <c r="AD258" s="158"/>
      <c r="AE258" s="158"/>
      <c r="AF258" s="158"/>
      <c r="AG258" s="158"/>
      <c r="AH258" s="158"/>
      <c r="AI258" s="158"/>
      <c r="AJ258" s="158"/>
      <c r="AK258" s="158"/>
      <c r="AL258" s="158"/>
      <c r="AM258" s="158"/>
      <c r="AN258" s="158"/>
      <c r="AO258" s="158"/>
      <c r="AP258" s="158"/>
      <c r="AQ258" s="158"/>
      <c r="AR258" s="158"/>
      <c r="AS258" s="158"/>
      <c r="AT258" s="158"/>
      <c r="AU258" s="158"/>
      <c r="AV258" s="158"/>
      <c r="AW258" s="158"/>
      <c r="AX258" s="158"/>
      <c r="AY258" s="158"/>
      <c r="AZ258" s="158"/>
      <c r="BA258" s="158"/>
      <c r="BB258" s="158"/>
      <c r="BC258" s="158"/>
      <c r="BD258" s="158"/>
      <c r="BE258" s="158"/>
      <c r="BF258" s="158"/>
      <c r="BG258" s="158"/>
      <c r="BH258" s="158"/>
      <c r="BI258" s="158"/>
      <c r="BJ258" s="158"/>
      <c r="BK258" s="158"/>
      <c r="BL258" s="158"/>
      <c r="BM258" s="158"/>
      <c r="BN258" s="158"/>
      <c r="BO258" s="158"/>
      <c r="BP258" s="158"/>
      <c r="BQ258" s="158"/>
      <c r="BR258" s="158"/>
      <c r="BS258" s="158"/>
      <c r="BT258" s="158"/>
      <c r="BU258" s="158"/>
      <c r="BV258" s="158"/>
      <c r="BW258" s="158"/>
      <c r="BX258" s="158"/>
      <c r="BY258" s="158"/>
      <c r="BZ258" s="158"/>
      <c r="CA258" s="158"/>
      <c r="CB258" s="158"/>
      <c r="CC258" s="158"/>
      <c r="CD258" s="158"/>
      <c r="CE258" s="158"/>
      <c r="CF258" s="158"/>
      <c r="CG258" s="158"/>
      <c r="CH258" s="158"/>
      <c r="CI258" s="158"/>
      <c r="CJ258" s="158"/>
      <c r="CK258" s="158"/>
      <c r="CL258" s="158"/>
      <c r="CM258" s="158"/>
      <c r="CN258" s="158"/>
      <c r="CO258" s="158"/>
      <c r="CP258" s="158"/>
      <c r="CQ258" s="158"/>
      <c r="CR258" s="158"/>
      <c r="CS258" s="158"/>
    </row>
    <row r="259" spans="2:97" ht="12.75" customHeight="1" x14ac:dyDescent="0.2">
      <c r="B259" s="158"/>
      <c r="C259" s="158"/>
      <c r="D259" s="158"/>
      <c r="E259" s="158"/>
      <c r="F259" s="158"/>
      <c r="G259" s="158"/>
      <c r="H259" s="158"/>
      <c r="I259" s="158"/>
      <c r="J259" s="158"/>
      <c r="K259" s="158"/>
      <c r="L259" s="158"/>
      <c r="M259" s="158"/>
      <c r="N259" s="158"/>
      <c r="O259" s="158"/>
      <c r="P259" s="158"/>
      <c r="Q259" s="158"/>
      <c r="R259" s="158"/>
      <c r="S259" s="158"/>
      <c r="T259" s="158"/>
      <c r="U259" s="158"/>
      <c r="V259" s="158"/>
      <c r="W259" s="158"/>
      <c r="X259" s="158"/>
      <c r="Y259" s="158"/>
      <c r="Z259" s="158"/>
      <c r="AA259" s="158"/>
      <c r="AB259" s="158"/>
      <c r="AC259" s="158"/>
      <c r="AD259" s="158"/>
      <c r="AE259" s="158"/>
      <c r="AF259" s="158"/>
      <c r="AG259" s="158"/>
      <c r="AH259" s="158"/>
      <c r="AI259" s="158"/>
      <c r="AJ259" s="158"/>
      <c r="AK259" s="158"/>
      <c r="AL259" s="158"/>
      <c r="AM259" s="158"/>
      <c r="AN259" s="158"/>
      <c r="AO259" s="158"/>
      <c r="AP259" s="158"/>
      <c r="AQ259" s="158"/>
      <c r="AR259" s="158"/>
      <c r="AS259" s="158"/>
      <c r="AT259" s="158"/>
      <c r="AU259" s="158"/>
      <c r="AV259" s="158"/>
      <c r="AW259" s="158"/>
      <c r="AX259" s="158"/>
      <c r="AY259" s="158"/>
      <c r="AZ259" s="158"/>
      <c r="BA259" s="158"/>
      <c r="BB259" s="158"/>
      <c r="BC259" s="158"/>
      <c r="BD259" s="158"/>
      <c r="BE259" s="158"/>
      <c r="BF259" s="158"/>
      <c r="BG259" s="158"/>
      <c r="BH259" s="158"/>
      <c r="BI259" s="158"/>
      <c r="BJ259" s="158"/>
      <c r="BK259" s="158"/>
      <c r="BL259" s="158"/>
      <c r="BM259" s="158"/>
      <c r="BN259" s="158"/>
      <c r="BO259" s="158"/>
      <c r="BP259" s="158"/>
      <c r="BQ259" s="158"/>
      <c r="BR259" s="158"/>
      <c r="BS259" s="158"/>
      <c r="BT259" s="158"/>
      <c r="BU259" s="158"/>
      <c r="BV259" s="158"/>
      <c r="BW259" s="158"/>
      <c r="BX259" s="158"/>
      <c r="BY259" s="158"/>
      <c r="BZ259" s="158"/>
      <c r="CA259" s="158"/>
      <c r="CB259" s="158"/>
      <c r="CC259" s="158"/>
      <c r="CD259" s="158"/>
      <c r="CE259" s="158"/>
      <c r="CF259" s="158"/>
      <c r="CG259" s="158"/>
      <c r="CH259" s="158"/>
      <c r="CI259" s="158"/>
      <c r="CJ259" s="158"/>
      <c r="CK259" s="158"/>
      <c r="CL259" s="158"/>
      <c r="CM259" s="158"/>
      <c r="CN259" s="158"/>
      <c r="CO259" s="158"/>
      <c r="CP259" s="158"/>
      <c r="CQ259" s="158"/>
      <c r="CR259" s="158"/>
      <c r="CS259" s="158"/>
    </row>
    <row r="260" spans="2:97" ht="12.75" customHeight="1" x14ac:dyDescent="0.2">
      <c r="B260" s="158"/>
      <c r="C260" s="158"/>
      <c r="D260" s="158"/>
      <c r="E260" s="158"/>
      <c r="F260" s="158"/>
      <c r="G260" s="158"/>
      <c r="H260" s="158"/>
      <c r="I260" s="158"/>
      <c r="J260" s="158"/>
      <c r="K260" s="158"/>
      <c r="L260" s="158"/>
      <c r="M260" s="158"/>
      <c r="N260" s="158"/>
      <c r="O260" s="158"/>
      <c r="P260" s="158"/>
      <c r="Q260" s="158"/>
      <c r="R260" s="158"/>
      <c r="S260" s="158"/>
      <c r="T260" s="158"/>
      <c r="U260" s="158"/>
      <c r="V260" s="158"/>
      <c r="W260" s="158"/>
      <c r="X260" s="158"/>
      <c r="Y260" s="158"/>
      <c r="Z260" s="158"/>
      <c r="AA260" s="158"/>
      <c r="AB260" s="158"/>
      <c r="AC260" s="158"/>
      <c r="AD260" s="158"/>
      <c r="AE260" s="158"/>
      <c r="AF260" s="158"/>
      <c r="AG260" s="158"/>
      <c r="AH260" s="158"/>
      <c r="AI260" s="158"/>
      <c r="AJ260" s="158"/>
      <c r="AK260" s="158"/>
      <c r="AL260" s="158"/>
      <c r="AM260" s="158"/>
      <c r="AN260" s="158"/>
      <c r="AO260" s="158"/>
      <c r="AP260" s="158"/>
      <c r="AQ260" s="158"/>
      <c r="AR260" s="158"/>
      <c r="AS260" s="158"/>
      <c r="AT260" s="158"/>
      <c r="AU260" s="158"/>
      <c r="AV260" s="158"/>
      <c r="AW260" s="158"/>
      <c r="AX260" s="158"/>
      <c r="AY260" s="158"/>
      <c r="AZ260" s="158"/>
      <c r="BA260" s="158"/>
      <c r="BB260" s="158"/>
      <c r="BC260" s="158"/>
      <c r="BD260" s="158"/>
      <c r="BE260" s="158"/>
      <c r="BF260" s="158"/>
      <c r="BG260" s="158"/>
      <c r="BH260" s="158"/>
      <c r="BI260" s="158"/>
      <c r="BJ260" s="158"/>
      <c r="BK260" s="158"/>
      <c r="BL260" s="158"/>
      <c r="BM260" s="158"/>
      <c r="BN260" s="158"/>
      <c r="BO260" s="158"/>
      <c r="BP260" s="158"/>
      <c r="BQ260" s="158"/>
      <c r="BR260" s="158"/>
      <c r="BS260" s="158"/>
      <c r="BT260" s="158"/>
      <c r="BU260" s="158"/>
      <c r="BV260" s="158"/>
      <c r="BW260" s="158"/>
      <c r="BX260" s="158"/>
      <c r="BY260" s="158"/>
      <c r="BZ260" s="158"/>
      <c r="CA260" s="158"/>
      <c r="CB260" s="158"/>
      <c r="CC260" s="158"/>
      <c r="CD260" s="158"/>
      <c r="CE260" s="158"/>
      <c r="CF260" s="158"/>
      <c r="CG260" s="158"/>
      <c r="CH260" s="158"/>
      <c r="CI260" s="158"/>
      <c r="CJ260" s="158"/>
      <c r="CK260" s="158"/>
      <c r="CL260" s="158"/>
      <c r="CM260" s="158"/>
      <c r="CN260" s="158"/>
      <c r="CO260" s="158"/>
      <c r="CP260" s="158"/>
      <c r="CQ260" s="158"/>
      <c r="CR260" s="158"/>
      <c r="CS260" s="158"/>
    </row>
    <row r="261" spans="2:97" ht="12.75" customHeight="1" x14ac:dyDescent="0.2">
      <c r="B261" s="158"/>
      <c r="C261" s="158"/>
      <c r="D261" s="158"/>
      <c r="E261" s="158"/>
      <c r="F261" s="158"/>
      <c r="G261" s="158"/>
      <c r="H261" s="158"/>
      <c r="I261" s="158"/>
      <c r="J261" s="158"/>
      <c r="K261" s="158"/>
      <c r="L261" s="158"/>
      <c r="M261" s="158"/>
      <c r="N261" s="158"/>
      <c r="O261" s="158"/>
      <c r="P261" s="158"/>
      <c r="Q261" s="158"/>
      <c r="R261" s="158"/>
      <c r="S261" s="158"/>
      <c r="T261" s="158"/>
      <c r="U261" s="158"/>
      <c r="V261" s="158"/>
      <c r="W261" s="158"/>
      <c r="X261" s="158"/>
      <c r="Y261" s="158"/>
      <c r="Z261" s="158"/>
      <c r="AA261" s="158"/>
      <c r="AB261" s="158"/>
      <c r="AC261" s="158"/>
      <c r="AD261" s="158"/>
      <c r="AE261" s="158"/>
      <c r="AF261" s="158"/>
      <c r="AG261" s="158"/>
      <c r="AH261" s="158"/>
      <c r="AI261" s="158"/>
      <c r="AJ261" s="158"/>
      <c r="AK261" s="158"/>
      <c r="AL261" s="158"/>
      <c r="AM261" s="158"/>
      <c r="AN261" s="158"/>
      <c r="AO261" s="158"/>
      <c r="AP261" s="158"/>
      <c r="AQ261" s="158"/>
      <c r="AR261" s="158"/>
      <c r="AS261" s="158"/>
      <c r="AT261" s="158"/>
      <c r="AU261" s="158"/>
      <c r="AV261" s="158"/>
      <c r="AW261" s="158"/>
      <c r="AX261" s="158"/>
      <c r="AY261" s="158"/>
      <c r="AZ261" s="158"/>
      <c r="BA261" s="158"/>
      <c r="BB261" s="158"/>
      <c r="BC261" s="158"/>
      <c r="BD261" s="158"/>
      <c r="BE261" s="158"/>
      <c r="BF261" s="158"/>
      <c r="BG261" s="158"/>
      <c r="BH261" s="158"/>
      <c r="BI261" s="158"/>
      <c r="BJ261" s="158"/>
      <c r="BK261" s="158"/>
      <c r="BL261" s="158"/>
      <c r="BM261" s="158"/>
      <c r="BN261" s="158"/>
      <c r="BO261" s="158"/>
      <c r="BP261" s="158"/>
      <c r="BQ261" s="158"/>
      <c r="BR261" s="158"/>
      <c r="BS261" s="158"/>
      <c r="BT261" s="158"/>
      <c r="BU261" s="158"/>
      <c r="BV261" s="158"/>
      <c r="BW261" s="158"/>
      <c r="BX261" s="158"/>
      <c r="BY261" s="158"/>
      <c r="BZ261" s="158"/>
      <c r="CA261" s="158"/>
      <c r="CB261" s="158"/>
      <c r="CC261" s="158"/>
      <c r="CD261" s="158"/>
      <c r="CE261" s="158"/>
      <c r="CF261" s="158"/>
      <c r="CG261" s="158"/>
      <c r="CH261" s="158"/>
      <c r="CI261" s="158"/>
      <c r="CJ261" s="158"/>
      <c r="CK261" s="158"/>
      <c r="CL261" s="158"/>
      <c r="CM261" s="158"/>
      <c r="CN261" s="158"/>
      <c r="CO261" s="158"/>
      <c r="CP261" s="158"/>
      <c r="CQ261" s="158"/>
      <c r="CR261" s="158"/>
      <c r="CS261" s="158"/>
    </row>
    <row r="262" spans="2:97" ht="12.75" customHeight="1" x14ac:dyDescent="0.2">
      <c r="B262" s="158"/>
      <c r="C262" s="158"/>
      <c r="D262" s="158"/>
      <c r="E262" s="158"/>
      <c r="F262" s="158"/>
      <c r="G262" s="158"/>
      <c r="H262" s="158"/>
      <c r="I262" s="158"/>
      <c r="J262" s="158"/>
      <c r="K262" s="158"/>
      <c r="L262" s="158"/>
      <c r="M262" s="158"/>
      <c r="N262" s="158"/>
      <c r="O262" s="158"/>
      <c r="P262" s="158"/>
      <c r="Q262" s="158"/>
      <c r="R262" s="158"/>
      <c r="S262" s="158"/>
      <c r="T262" s="158"/>
      <c r="U262" s="158"/>
      <c r="V262" s="158"/>
      <c r="W262" s="158"/>
      <c r="X262" s="158"/>
      <c r="Y262" s="158"/>
      <c r="Z262" s="158"/>
      <c r="AA262" s="158"/>
      <c r="AB262" s="158"/>
      <c r="AC262" s="158"/>
      <c r="AD262" s="158"/>
      <c r="AE262" s="158"/>
      <c r="AF262" s="158"/>
      <c r="AG262" s="158"/>
      <c r="AH262" s="158"/>
      <c r="AI262" s="158"/>
      <c r="AJ262" s="158"/>
      <c r="AK262" s="158"/>
      <c r="AL262" s="158"/>
      <c r="AM262" s="158"/>
      <c r="AN262" s="158"/>
      <c r="AO262" s="158"/>
      <c r="AP262" s="158"/>
      <c r="AQ262" s="158"/>
      <c r="AR262" s="158"/>
      <c r="AS262" s="158"/>
      <c r="AT262" s="158"/>
      <c r="AU262" s="158"/>
      <c r="AV262" s="158"/>
      <c r="AW262" s="158"/>
      <c r="AX262" s="158"/>
      <c r="AY262" s="158"/>
      <c r="AZ262" s="158"/>
      <c r="BA262" s="158"/>
      <c r="BB262" s="158"/>
      <c r="BC262" s="158"/>
      <c r="BD262" s="158"/>
      <c r="BE262" s="158"/>
      <c r="BF262" s="158"/>
      <c r="BG262" s="158"/>
      <c r="BH262" s="158"/>
      <c r="BI262" s="158"/>
      <c r="BJ262" s="158"/>
      <c r="BK262" s="158"/>
      <c r="BL262" s="158"/>
      <c r="BM262" s="158"/>
      <c r="BN262" s="158"/>
      <c r="BO262" s="158"/>
      <c r="BP262" s="158"/>
      <c r="BQ262" s="158"/>
      <c r="BR262" s="158"/>
      <c r="BS262" s="158"/>
      <c r="BT262" s="158"/>
      <c r="BU262" s="158"/>
      <c r="BV262" s="158"/>
      <c r="BW262" s="158"/>
      <c r="BX262" s="158"/>
      <c r="BY262" s="158"/>
      <c r="BZ262" s="158"/>
      <c r="CA262" s="158"/>
      <c r="CB262" s="158"/>
      <c r="CC262" s="158"/>
      <c r="CD262" s="158"/>
      <c r="CE262" s="158"/>
      <c r="CF262" s="158"/>
      <c r="CG262" s="158"/>
      <c r="CH262" s="158"/>
      <c r="CI262" s="158"/>
      <c r="CJ262" s="158"/>
      <c r="CK262" s="158"/>
      <c r="CL262" s="158"/>
      <c r="CM262" s="158"/>
      <c r="CN262" s="158"/>
      <c r="CO262" s="158"/>
      <c r="CP262" s="158"/>
      <c r="CQ262" s="158"/>
      <c r="CR262" s="158"/>
      <c r="CS262" s="158"/>
    </row>
    <row r="263" spans="2:97" ht="12.75" customHeight="1" x14ac:dyDescent="0.2">
      <c r="B263" s="158"/>
      <c r="C263" s="158"/>
      <c r="D263" s="158"/>
      <c r="E263" s="158"/>
      <c r="F263" s="158"/>
      <c r="G263" s="158"/>
      <c r="H263" s="158"/>
      <c r="I263" s="158"/>
      <c r="J263" s="158"/>
      <c r="K263" s="158"/>
      <c r="L263" s="158"/>
      <c r="M263" s="158"/>
      <c r="N263" s="158"/>
      <c r="O263" s="158"/>
      <c r="P263" s="158"/>
      <c r="Q263" s="158"/>
      <c r="R263" s="158"/>
      <c r="S263" s="158"/>
      <c r="T263" s="158"/>
      <c r="U263" s="158"/>
      <c r="V263" s="158"/>
      <c r="W263" s="158"/>
      <c r="X263" s="158"/>
      <c r="Y263" s="158"/>
      <c r="Z263" s="158"/>
      <c r="AA263" s="158"/>
      <c r="AB263" s="158"/>
      <c r="AC263" s="158"/>
      <c r="AD263" s="158"/>
      <c r="AE263" s="158"/>
      <c r="AF263" s="158"/>
      <c r="AG263" s="158"/>
      <c r="AH263" s="158"/>
      <c r="AI263" s="158"/>
      <c r="AJ263" s="158"/>
      <c r="AK263" s="158"/>
      <c r="AL263" s="158"/>
      <c r="AM263" s="158"/>
      <c r="AN263" s="158"/>
      <c r="AO263" s="158"/>
      <c r="AP263" s="158"/>
      <c r="AQ263" s="158"/>
      <c r="AR263" s="158"/>
      <c r="AS263" s="158"/>
      <c r="AT263" s="158"/>
      <c r="AU263" s="158"/>
      <c r="AV263" s="158"/>
      <c r="AW263" s="158"/>
      <c r="AX263" s="158"/>
      <c r="AY263" s="158"/>
      <c r="AZ263" s="158"/>
      <c r="BA263" s="158"/>
      <c r="BB263" s="158"/>
      <c r="BC263" s="158"/>
      <c r="BD263" s="158"/>
      <c r="BE263" s="158"/>
      <c r="BF263" s="158"/>
      <c r="BG263" s="158"/>
      <c r="BH263" s="158"/>
      <c r="BI263" s="158"/>
      <c r="BJ263" s="158"/>
      <c r="BK263" s="158"/>
      <c r="BL263" s="158"/>
      <c r="BM263" s="158"/>
      <c r="BN263" s="158"/>
      <c r="BO263" s="158"/>
      <c r="BP263" s="158"/>
      <c r="BQ263" s="158"/>
      <c r="BR263" s="158"/>
      <c r="BS263" s="158"/>
      <c r="BT263" s="158"/>
      <c r="BU263" s="158"/>
      <c r="BV263" s="158"/>
      <c r="BW263" s="158"/>
      <c r="BX263" s="158"/>
      <c r="BY263" s="158"/>
      <c r="BZ263" s="158"/>
      <c r="CA263" s="158"/>
      <c r="CB263" s="158"/>
      <c r="CC263" s="158"/>
      <c r="CD263" s="158"/>
      <c r="CE263" s="158"/>
      <c r="CF263" s="158"/>
      <c r="CG263" s="158"/>
      <c r="CH263" s="158"/>
      <c r="CI263" s="158"/>
      <c r="CJ263" s="158"/>
      <c r="CK263" s="158"/>
      <c r="CL263" s="158"/>
      <c r="CM263" s="158"/>
      <c r="CN263" s="158"/>
      <c r="CO263" s="158"/>
      <c r="CP263" s="158"/>
      <c r="CQ263" s="158"/>
      <c r="CR263" s="158"/>
      <c r="CS263" s="158"/>
    </row>
    <row r="264" spans="2:97" ht="12.75" customHeight="1" x14ac:dyDescent="0.2">
      <c r="B264" s="158"/>
      <c r="C264" s="158"/>
      <c r="D264" s="158"/>
      <c r="E264" s="158"/>
      <c r="F264" s="158"/>
      <c r="G264" s="158"/>
      <c r="H264" s="158"/>
      <c r="I264" s="158"/>
      <c r="J264" s="158"/>
      <c r="K264" s="158"/>
      <c r="L264" s="158"/>
      <c r="M264" s="158"/>
      <c r="N264" s="158"/>
      <c r="O264" s="158"/>
      <c r="P264" s="158"/>
      <c r="Q264" s="158"/>
      <c r="R264" s="158"/>
      <c r="S264" s="158"/>
      <c r="T264" s="158"/>
      <c r="U264" s="158"/>
      <c r="V264" s="158"/>
      <c r="W264" s="158"/>
      <c r="X264" s="158"/>
      <c r="Y264" s="158"/>
      <c r="Z264" s="158"/>
      <c r="AA264" s="158"/>
      <c r="AB264" s="158"/>
      <c r="AC264" s="158"/>
      <c r="AD264" s="158"/>
      <c r="AE264" s="158"/>
      <c r="AF264" s="158"/>
      <c r="AG264" s="158"/>
      <c r="AH264" s="158"/>
      <c r="AI264" s="158"/>
      <c r="AJ264" s="158"/>
      <c r="AK264" s="158"/>
      <c r="AL264" s="158"/>
      <c r="AM264" s="158"/>
      <c r="AN264" s="158"/>
      <c r="AO264" s="158"/>
      <c r="AP264" s="158"/>
      <c r="AQ264" s="158"/>
      <c r="AR264" s="158"/>
      <c r="AS264" s="158"/>
      <c r="AT264" s="158"/>
      <c r="AU264" s="158"/>
      <c r="AV264" s="158"/>
      <c r="AW264" s="158"/>
      <c r="AX264" s="158"/>
      <c r="AY264" s="158"/>
      <c r="AZ264" s="158"/>
      <c r="BA264" s="158"/>
      <c r="BB264" s="158"/>
      <c r="BC264" s="158"/>
      <c r="BD264" s="158"/>
      <c r="BE264" s="158"/>
      <c r="BF264" s="158"/>
      <c r="BG264" s="158"/>
      <c r="BH264" s="158"/>
      <c r="BI264" s="158"/>
      <c r="BJ264" s="158"/>
      <c r="BK264" s="158"/>
      <c r="BL264" s="158"/>
      <c r="BM264" s="158"/>
      <c r="BN264" s="158"/>
      <c r="BO264" s="158"/>
      <c r="BP264" s="158"/>
      <c r="BQ264" s="158"/>
      <c r="BR264" s="158"/>
      <c r="BS264" s="158"/>
      <c r="BT264" s="158"/>
      <c r="BU264" s="158"/>
      <c r="BV264" s="158"/>
      <c r="BW264" s="158"/>
      <c r="BX264" s="158"/>
      <c r="BY264" s="158"/>
      <c r="BZ264" s="158"/>
      <c r="CA264" s="158"/>
      <c r="CB264" s="158"/>
      <c r="CC264" s="158"/>
      <c r="CD264" s="158"/>
      <c r="CE264" s="158"/>
      <c r="CF264" s="158"/>
      <c r="CG264" s="158"/>
      <c r="CH264" s="158"/>
      <c r="CI264" s="158"/>
      <c r="CJ264" s="158"/>
      <c r="CK264" s="158"/>
      <c r="CL264" s="158"/>
      <c r="CM264" s="158"/>
      <c r="CN264" s="158"/>
      <c r="CO264" s="158"/>
      <c r="CP264" s="158"/>
      <c r="CQ264" s="158"/>
      <c r="CR264" s="158"/>
      <c r="CS264" s="158"/>
    </row>
    <row r="265" spans="2:97" ht="12.75" customHeight="1" x14ac:dyDescent="0.2">
      <c r="B265" s="158"/>
      <c r="C265" s="158"/>
      <c r="D265" s="158"/>
      <c r="E265" s="158"/>
      <c r="F265" s="158"/>
      <c r="G265" s="158"/>
      <c r="H265" s="158"/>
      <c r="I265" s="158"/>
      <c r="J265" s="158"/>
      <c r="K265" s="158"/>
      <c r="L265" s="158"/>
      <c r="M265" s="158"/>
      <c r="N265" s="158"/>
      <c r="O265" s="158"/>
      <c r="P265" s="158"/>
      <c r="Q265" s="158"/>
      <c r="R265" s="158"/>
      <c r="S265" s="158"/>
      <c r="T265" s="158"/>
      <c r="U265" s="158"/>
      <c r="V265" s="158"/>
      <c r="W265" s="158"/>
      <c r="X265" s="158"/>
      <c r="Y265" s="158"/>
      <c r="Z265" s="158"/>
      <c r="AA265" s="158"/>
      <c r="AB265" s="158"/>
      <c r="AC265" s="158"/>
      <c r="AD265" s="158"/>
      <c r="AE265" s="158"/>
      <c r="AF265" s="158"/>
      <c r="AG265" s="158"/>
      <c r="AH265" s="158"/>
      <c r="AI265" s="158"/>
      <c r="AJ265" s="158"/>
      <c r="AK265" s="158"/>
      <c r="AL265" s="158"/>
      <c r="AM265" s="158"/>
      <c r="AN265" s="158"/>
      <c r="AO265" s="158"/>
      <c r="AP265" s="158"/>
      <c r="AQ265" s="158"/>
      <c r="AR265" s="158"/>
      <c r="AS265" s="158"/>
      <c r="AT265" s="158"/>
      <c r="AU265" s="158"/>
      <c r="AV265" s="158"/>
      <c r="AW265" s="158"/>
      <c r="AX265" s="158"/>
      <c r="AY265" s="158"/>
      <c r="AZ265" s="158"/>
      <c r="BA265" s="158"/>
      <c r="BB265" s="158"/>
      <c r="BC265" s="158"/>
      <c r="BD265" s="158"/>
      <c r="BE265" s="158"/>
      <c r="BF265" s="158"/>
      <c r="BG265" s="158"/>
      <c r="BH265" s="158"/>
      <c r="BI265" s="158"/>
      <c r="BJ265" s="158"/>
      <c r="BK265" s="158"/>
      <c r="BL265" s="158"/>
      <c r="BM265" s="158"/>
      <c r="BN265" s="158"/>
      <c r="BO265" s="158"/>
      <c r="BP265" s="158"/>
      <c r="BQ265" s="158"/>
      <c r="BR265" s="158"/>
      <c r="BS265" s="158"/>
      <c r="BT265" s="158"/>
      <c r="BU265" s="158"/>
      <c r="BV265" s="158"/>
      <c r="BW265" s="158"/>
      <c r="BX265" s="158"/>
      <c r="BY265" s="158"/>
      <c r="BZ265" s="158"/>
      <c r="CA265" s="158"/>
      <c r="CB265" s="158"/>
      <c r="CC265" s="158"/>
      <c r="CD265" s="158"/>
      <c r="CE265" s="158"/>
      <c r="CF265" s="158"/>
      <c r="CG265" s="158"/>
      <c r="CH265" s="158"/>
      <c r="CI265" s="158"/>
      <c r="CJ265" s="158"/>
      <c r="CK265" s="158"/>
      <c r="CL265" s="158"/>
      <c r="CM265" s="158"/>
      <c r="CN265" s="158"/>
      <c r="CO265" s="158"/>
      <c r="CP265" s="158"/>
      <c r="CQ265" s="158"/>
      <c r="CR265" s="158"/>
      <c r="CS265" s="158"/>
    </row>
    <row r="266" spans="2:97" ht="12.75" customHeight="1" x14ac:dyDescent="0.2">
      <c r="B266" s="158"/>
      <c r="C266" s="158"/>
      <c r="D266" s="158"/>
      <c r="E266" s="158"/>
      <c r="F266" s="158"/>
      <c r="G266" s="158"/>
      <c r="H266" s="158"/>
      <c r="I266" s="158"/>
      <c r="J266" s="158"/>
      <c r="K266" s="158"/>
      <c r="L266" s="158"/>
      <c r="M266" s="158"/>
      <c r="N266" s="158"/>
      <c r="O266" s="158"/>
      <c r="P266" s="158"/>
      <c r="Q266" s="158"/>
      <c r="R266" s="158"/>
      <c r="S266" s="158"/>
      <c r="T266" s="158"/>
      <c r="U266" s="158"/>
      <c r="V266" s="158"/>
      <c r="W266" s="158"/>
      <c r="X266" s="158"/>
      <c r="Y266" s="158"/>
      <c r="Z266" s="158"/>
      <c r="AA266" s="158"/>
      <c r="AB266" s="158"/>
      <c r="AC266" s="158"/>
      <c r="AD266" s="158"/>
      <c r="AE266" s="158"/>
      <c r="AF266" s="158"/>
      <c r="AG266" s="158"/>
      <c r="AH266" s="158"/>
      <c r="AI266" s="158"/>
      <c r="AJ266" s="158"/>
      <c r="AK266" s="158"/>
      <c r="AL266" s="158"/>
      <c r="AM266" s="158"/>
      <c r="AN266" s="158"/>
      <c r="AO266" s="158"/>
      <c r="AP266" s="158"/>
      <c r="AQ266" s="158"/>
      <c r="AR266" s="158"/>
      <c r="AS266" s="158"/>
      <c r="AT266" s="158"/>
      <c r="AU266" s="158"/>
      <c r="AV266" s="158"/>
      <c r="AW266" s="158"/>
      <c r="AX266" s="158"/>
      <c r="AY266" s="158"/>
      <c r="AZ266" s="158"/>
      <c r="BA266" s="158"/>
      <c r="BB266" s="158"/>
      <c r="BC266" s="158"/>
      <c r="BD266" s="158"/>
      <c r="BE266" s="158"/>
      <c r="BF266" s="158"/>
      <c r="BG266" s="158"/>
      <c r="BH266" s="158"/>
      <c r="BI266" s="158"/>
      <c r="BJ266" s="158"/>
      <c r="BK266" s="158"/>
      <c r="BL266" s="158"/>
      <c r="BM266" s="158"/>
      <c r="BN266" s="158"/>
      <c r="BO266" s="158"/>
      <c r="BP266" s="158"/>
      <c r="BQ266" s="158"/>
      <c r="BR266" s="158"/>
      <c r="BS266" s="158"/>
      <c r="BT266" s="158"/>
      <c r="BU266" s="158"/>
      <c r="BV266" s="158"/>
      <c r="BW266" s="158"/>
      <c r="BX266" s="158"/>
      <c r="BY266" s="158"/>
      <c r="BZ266" s="158"/>
      <c r="CA266" s="158"/>
      <c r="CB266" s="158"/>
      <c r="CC266" s="158"/>
      <c r="CD266" s="158"/>
      <c r="CE266" s="158"/>
      <c r="CF266" s="158"/>
      <c r="CG266" s="158"/>
      <c r="CH266" s="158"/>
      <c r="CI266" s="158"/>
      <c r="CJ266" s="158"/>
      <c r="CK266" s="158"/>
      <c r="CL266" s="158"/>
      <c r="CM266" s="158"/>
      <c r="CN266" s="158"/>
      <c r="CO266" s="158"/>
      <c r="CP266" s="158"/>
      <c r="CQ266" s="158"/>
      <c r="CR266" s="158"/>
      <c r="CS266" s="158"/>
    </row>
    <row r="267" spans="2:97" ht="12.75" customHeight="1" x14ac:dyDescent="0.2">
      <c r="B267" s="158"/>
      <c r="C267" s="158"/>
      <c r="D267" s="158"/>
      <c r="E267" s="158"/>
      <c r="F267" s="158"/>
      <c r="G267" s="158"/>
      <c r="H267" s="158"/>
      <c r="I267" s="158"/>
      <c r="J267" s="158"/>
      <c r="K267" s="158"/>
      <c r="L267" s="158"/>
      <c r="M267" s="158"/>
      <c r="N267" s="158"/>
      <c r="O267" s="158"/>
      <c r="P267" s="158"/>
      <c r="Q267" s="158"/>
      <c r="R267" s="158"/>
      <c r="S267" s="158"/>
      <c r="T267" s="158"/>
      <c r="U267" s="158"/>
      <c r="V267" s="158"/>
      <c r="W267" s="158"/>
      <c r="X267" s="158"/>
      <c r="Y267" s="158"/>
      <c r="Z267" s="158"/>
      <c r="AA267" s="158"/>
      <c r="AB267" s="158"/>
      <c r="AC267" s="158"/>
      <c r="AD267" s="158"/>
      <c r="AE267" s="158"/>
      <c r="AF267" s="158"/>
      <c r="AG267" s="158"/>
      <c r="AH267" s="158"/>
      <c r="AI267" s="158"/>
      <c r="AJ267" s="158"/>
      <c r="AK267" s="158"/>
      <c r="AL267" s="158"/>
      <c r="AM267" s="158"/>
      <c r="AN267" s="158"/>
      <c r="AO267" s="158"/>
      <c r="AP267" s="158"/>
      <c r="AQ267" s="158"/>
      <c r="AR267" s="158"/>
      <c r="AS267" s="158"/>
      <c r="AT267" s="158"/>
      <c r="AU267" s="158"/>
      <c r="AV267" s="158"/>
      <c r="AW267" s="158"/>
      <c r="AX267" s="158"/>
      <c r="AY267" s="158"/>
      <c r="AZ267" s="158"/>
      <c r="BA267" s="158"/>
      <c r="BB267" s="158"/>
      <c r="BC267" s="158"/>
      <c r="BD267" s="158"/>
      <c r="BE267" s="158"/>
      <c r="BF267" s="158"/>
      <c r="BG267" s="158"/>
      <c r="BH267" s="158"/>
      <c r="BI267" s="158"/>
      <c r="BJ267" s="158"/>
      <c r="BK267" s="158"/>
      <c r="BL267" s="158"/>
      <c r="BM267" s="158"/>
      <c r="BN267" s="158"/>
      <c r="BO267" s="158"/>
      <c r="BP267" s="158"/>
      <c r="BQ267" s="158"/>
      <c r="BR267" s="158"/>
      <c r="BS267" s="158"/>
      <c r="BT267" s="158"/>
      <c r="BU267" s="158"/>
      <c r="BV267" s="158"/>
      <c r="BW267" s="158"/>
      <c r="BX267" s="158"/>
      <c r="BY267" s="158"/>
      <c r="BZ267" s="158"/>
      <c r="CA267" s="158"/>
      <c r="CB267" s="158"/>
      <c r="CC267" s="158"/>
      <c r="CD267" s="158"/>
      <c r="CE267" s="158"/>
      <c r="CF267" s="158"/>
      <c r="CG267" s="158"/>
      <c r="CH267" s="158"/>
      <c r="CI267" s="158"/>
      <c r="CJ267" s="158"/>
      <c r="CK267" s="158"/>
      <c r="CL267" s="158"/>
      <c r="CM267" s="158"/>
      <c r="CN267" s="158"/>
      <c r="CO267" s="158"/>
      <c r="CP267" s="158"/>
      <c r="CQ267" s="158"/>
      <c r="CR267" s="158"/>
      <c r="CS267" s="158"/>
    </row>
    <row r="268" spans="2:97" ht="12.75" customHeight="1" x14ac:dyDescent="0.2">
      <c r="B268" s="158"/>
      <c r="C268" s="158"/>
      <c r="D268" s="158"/>
      <c r="E268" s="158"/>
      <c r="F268" s="158"/>
      <c r="G268" s="158"/>
      <c r="H268" s="158"/>
      <c r="I268" s="158"/>
      <c r="J268" s="158"/>
      <c r="K268" s="158"/>
      <c r="L268" s="158"/>
      <c r="M268" s="158"/>
      <c r="N268" s="158"/>
      <c r="O268" s="158"/>
      <c r="P268" s="158"/>
      <c r="Q268" s="158"/>
      <c r="R268" s="158"/>
      <c r="S268" s="158"/>
      <c r="T268" s="158"/>
      <c r="U268" s="158"/>
      <c r="V268" s="158"/>
      <c r="W268" s="158"/>
      <c r="X268" s="158"/>
      <c r="Y268" s="158"/>
      <c r="Z268" s="158"/>
      <c r="AA268" s="158"/>
      <c r="AB268" s="158"/>
      <c r="AC268" s="158"/>
      <c r="AD268" s="158"/>
      <c r="AE268" s="158"/>
      <c r="AF268" s="158"/>
      <c r="AG268" s="158"/>
      <c r="AH268" s="158"/>
      <c r="AI268" s="158"/>
      <c r="AJ268" s="158"/>
      <c r="AK268" s="158"/>
      <c r="AL268" s="158"/>
      <c r="AM268" s="158"/>
      <c r="AN268" s="158"/>
      <c r="AO268" s="158"/>
      <c r="AP268" s="158"/>
      <c r="AQ268" s="158"/>
      <c r="AR268" s="158"/>
      <c r="AS268" s="158"/>
      <c r="AT268" s="158"/>
      <c r="AU268" s="158"/>
      <c r="AV268" s="158"/>
      <c r="AW268" s="158"/>
      <c r="AX268" s="158"/>
      <c r="AY268" s="158"/>
      <c r="AZ268" s="158"/>
      <c r="BA268" s="158"/>
      <c r="BB268" s="158"/>
      <c r="BC268" s="158"/>
      <c r="BD268" s="158"/>
      <c r="BE268" s="158"/>
      <c r="BF268" s="158"/>
      <c r="BG268" s="158"/>
      <c r="BH268" s="158"/>
      <c r="BI268" s="158"/>
      <c r="BJ268" s="158"/>
      <c r="BK268" s="158"/>
      <c r="BL268" s="158"/>
      <c r="BM268" s="158"/>
      <c r="BN268" s="158"/>
      <c r="BO268" s="158"/>
      <c r="BP268" s="158"/>
      <c r="BQ268" s="158"/>
      <c r="BR268" s="158"/>
      <c r="BS268" s="158"/>
      <c r="BT268" s="158"/>
      <c r="BU268" s="158"/>
      <c r="BV268" s="158"/>
      <c r="BW268" s="158"/>
      <c r="BX268" s="158"/>
      <c r="BY268" s="158"/>
      <c r="BZ268" s="158"/>
      <c r="CA268" s="158"/>
      <c r="CB268" s="158"/>
      <c r="CC268" s="158"/>
      <c r="CD268" s="158"/>
      <c r="CE268" s="158"/>
      <c r="CF268" s="158"/>
      <c r="CG268" s="158"/>
      <c r="CH268" s="158"/>
      <c r="CI268" s="158"/>
      <c r="CJ268" s="158"/>
      <c r="CK268" s="158"/>
      <c r="CL268" s="158"/>
      <c r="CM268" s="158"/>
      <c r="CN268" s="158"/>
      <c r="CO268" s="158"/>
      <c r="CP268" s="158"/>
      <c r="CQ268" s="158"/>
      <c r="CR268" s="158"/>
      <c r="CS268" s="158"/>
    </row>
    <row r="269" spans="2:97" ht="12.75" customHeight="1" x14ac:dyDescent="0.2">
      <c r="B269" s="158"/>
      <c r="C269" s="158"/>
      <c r="D269" s="158"/>
      <c r="E269" s="158"/>
      <c r="F269" s="158"/>
      <c r="G269" s="158"/>
      <c r="H269" s="158"/>
      <c r="I269" s="158"/>
      <c r="J269" s="158"/>
      <c r="K269" s="158"/>
      <c r="L269" s="158"/>
      <c r="M269" s="158"/>
      <c r="N269" s="158"/>
      <c r="O269" s="158"/>
      <c r="P269" s="158"/>
      <c r="Q269" s="158"/>
      <c r="R269" s="158"/>
      <c r="S269" s="158"/>
      <c r="T269" s="158"/>
      <c r="U269" s="158"/>
      <c r="V269" s="158"/>
      <c r="W269" s="158"/>
      <c r="X269" s="158"/>
      <c r="Y269" s="158"/>
      <c r="Z269" s="158"/>
      <c r="AA269" s="158"/>
      <c r="AB269" s="158"/>
      <c r="AC269" s="158"/>
      <c r="AD269" s="158"/>
      <c r="AE269" s="158"/>
      <c r="AF269" s="158"/>
      <c r="AG269" s="158"/>
      <c r="AH269" s="158"/>
      <c r="AI269" s="158"/>
      <c r="AJ269" s="158"/>
      <c r="AK269" s="158"/>
      <c r="AL269" s="158"/>
      <c r="AM269" s="158"/>
      <c r="AN269" s="158"/>
      <c r="AO269" s="158"/>
      <c r="AP269" s="158"/>
      <c r="AQ269" s="158"/>
      <c r="AR269" s="158"/>
      <c r="AS269" s="158"/>
      <c r="AT269" s="158"/>
      <c r="AU269" s="158"/>
      <c r="AV269" s="158"/>
      <c r="AW269" s="158"/>
      <c r="AX269" s="158"/>
      <c r="AY269" s="158"/>
      <c r="AZ269" s="158"/>
      <c r="BA269" s="158"/>
      <c r="BB269" s="158"/>
      <c r="BC269" s="158"/>
      <c r="BD269" s="158"/>
      <c r="BE269" s="158"/>
      <c r="BF269" s="158"/>
      <c r="BG269" s="158"/>
      <c r="BH269" s="158"/>
      <c r="BI269" s="158"/>
      <c r="BJ269" s="158"/>
      <c r="BK269" s="158"/>
      <c r="BL269" s="158"/>
      <c r="BM269" s="158"/>
      <c r="BN269" s="158"/>
      <c r="BO269" s="158"/>
      <c r="BP269" s="158"/>
      <c r="BQ269" s="158"/>
      <c r="BR269" s="158"/>
      <c r="BS269" s="158"/>
      <c r="BT269" s="158"/>
      <c r="BU269" s="158"/>
      <c r="BV269" s="158"/>
      <c r="BW269" s="158"/>
      <c r="BX269" s="158"/>
      <c r="BY269" s="158"/>
      <c r="BZ269" s="158"/>
      <c r="CA269" s="158"/>
      <c r="CB269" s="158"/>
      <c r="CC269" s="158"/>
      <c r="CD269" s="158"/>
      <c r="CE269" s="158"/>
      <c r="CF269" s="158"/>
      <c r="CG269" s="158"/>
      <c r="CH269" s="158"/>
      <c r="CI269" s="158"/>
      <c r="CJ269" s="158"/>
      <c r="CK269" s="158"/>
      <c r="CL269" s="158"/>
      <c r="CM269" s="158"/>
      <c r="CN269" s="158"/>
      <c r="CO269" s="158"/>
      <c r="CP269" s="158"/>
      <c r="CQ269" s="158"/>
      <c r="CR269" s="158"/>
      <c r="CS269" s="158"/>
    </row>
    <row r="270" spans="2:97" ht="12.75" customHeight="1" x14ac:dyDescent="0.2">
      <c r="B270" s="158"/>
      <c r="C270" s="158"/>
      <c r="D270" s="158"/>
      <c r="E270" s="158"/>
      <c r="F270" s="158"/>
      <c r="G270" s="158"/>
      <c r="H270" s="158"/>
      <c r="I270" s="158"/>
      <c r="J270" s="158"/>
      <c r="K270" s="158"/>
      <c r="L270" s="158"/>
      <c r="M270" s="158"/>
      <c r="N270" s="158"/>
      <c r="O270" s="158"/>
      <c r="P270" s="158"/>
      <c r="Q270" s="158"/>
      <c r="R270" s="158"/>
      <c r="S270" s="158"/>
      <c r="T270" s="158"/>
      <c r="U270" s="158"/>
      <c r="V270" s="158"/>
      <c r="W270" s="158"/>
      <c r="X270" s="158"/>
      <c r="Y270" s="158"/>
      <c r="Z270" s="158"/>
      <c r="AA270" s="158"/>
      <c r="AB270" s="158"/>
      <c r="AC270" s="158"/>
      <c r="AD270" s="158"/>
      <c r="AE270" s="158"/>
      <c r="AF270" s="158"/>
      <c r="AG270" s="158"/>
      <c r="AH270" s="158"/>
      <c r="AI270" s="158"/>
      <c r="AJ270" s="158"/>
      <c r="AK270" s="158"/>
      <c r="AL270" s="158"/>
      <c r="AM270" s="158"/>
      <c r="AN270" s="158"/>
      <c r="AO270" s="158"/>
      <c r="AP270" s="158"/>
      <c r="AQ270" s="158"/>
      <c r="AR270" s="158"/>
      <c r="AS270" s="158"/>
      <c r="AT270" s="158"/>
      <c r="AU270" s="158"/>
      <c r="AV270" s="158"/>
      <c r="AW270" s="158"/>
      <c r="AX270" s="158"/>
      <c r="AY270" s="158"/>
      <c r="AZ270" s="158"/>
      <c r="BA270" s="158"/>
      <c r="BB270" s="158"/>
      <c r="BC270" s="158"/>
      <c r="BD270" s="158"/>
      <c r="BE270" s="158"/>
      <c r="BF270" s="158"/>
      <c r="BG270" s="158"/>
      <c r="BH270" s="158"/>
      <c r="BI270" s="158"/>
      <c r="BJ270" s="158"/>
      <c r="BK270" s="158"/>
      <c r="BL270" s="158"/>
      <c r="BM270" s="158"/>
      <c r="BN270" s="158"/>
      <c r="BO270" s="158"/>
      <c r="BP270" s="158"/>
      <c r="BQ270" s="158"/>
      <c r="BR270" s="158"/>
      <c r="BS270" s="158"/>
      <c r="BT270" s="158"/>
      <c r="BU270" s="158"/>
      <c r="BV270" s="158"/>
      <c r="BW270" s="158"/>
      <c r="BX270" s="158"/>
      <c r="BY270" s="158"/>
      <c r="BZ270" s="158"/>
      <c r="CA270" s="158"/>
      <c r="CB270" s="158"/>
      <c r="CC270" s="158"/>
      <c r="CD270" s="158"/>
      <c r="CE270" s="158"/>
      <c r="CF270" s="158"/>
      <c r="CG270" s="158"/>
      <c r="CH270" s="158"/>
      <c r="CI270" s="158"/>
      <c r="CJ270" s="158"/>
      <c r="CK270" s="158"/>
      <c r="CL270" s="158"/>
      <c r="CM270" s="158"/>
      <c r="CN270" s="158"/>
      <c r="CO270" s="158"/>
      <c r="CP270" s="158"/>
      <c r="CQ270" s="158"/>
      <c r="CR270" s="158"/>
      <c r="CS270" s="158"/>
    </row>
    <row r="271" spans="2:97" ht="12.75" customHeight="1" x14ac:dyDescent="0.2">
      <c r="B271" s="158"/>
      <c r="C271" s="158"/>
      <c r="D271" s="158"/>
      <c r="E271" s="158"/>
      <c r="F271" s="158"/>
      <c r="G271" s="158"/>
      <c r="H271" s="158"/>
      <c r="I271" s="158"/>
      <c r="J271" s="158"/>
      <c r="K271" s="158"/>
      <c r="L271" s="158"/>
      <c r="M271" s="158"/>
      <c r="N271" s="158"/>
      <c r="O271" s="158"/>
      <c r="P271" s="158"/>
      <c r="Q271" s="158"/>
      <c r="R271" s="158"/>
      <c r="S271" s="158"/>
      <c r="T271" s="158"/>
      <c r="U271" s="158"/>
      <c r="V271" s="158"/>
      <c r="W271" s="158"/>
      <c r="X271" s="158"/>
      <c r="Y271" s="158"/>
      <c r="Z271" s="158"/>
      <c r="AA271" s="158"/>
      <c r="AB271" s="158"/>
      <c r="AC271" s="158"/>
      <c r="AD271" s="158"/>
      <c r="AE271" s="158"/>
      <c r="AF271" s="158"/>
      <c r="AG271" s="158"/>
      <c r="AH271" s="158"/>
      <c r="AI271" s="158"/>
      <c r="AJ271" s="158"/>
      <c r="AK271" s="158"/>
      <c r="AL271" s="158"/>
      <c r="AM271" s="158"/>
      <c r="AN271" s="158"/>
      <c r="AO271" s="158"/>
      <c r="AP271" s="158"/>
      <c r="AQ271" s="158"/>
      <c r="AR271" s="158"/>
      <c r="AS271" s="158"/>
      <c r="AT271" s="158"/>
      <c r="AU271" s="158"/>
      <c r="AV271" s="158"/>
      <c r="AW271" s="158"/>
      <c r="AX271" s="158"/>
      <c r="AY271" s="158"/>
      <c r="AZ271" s="158"/>
      <c r="BA271" s="158"/>
      <c r="BB271" s="158"/>
      <c r="BC271" s="158"/>
      <c r="BD271" s="158"/>
      <c r="BE271" s="158"/>
      <c r="BF271" s="158"/>
      <c r="BG271" s="158"/>
      <c r="BH271" s="158"/>
      <c r="BI271" s="158"/>
      <c r="BJ271" s="158"/>
      <c r="BK271" s="158"/>
      <c r="BL271" s="158"/>
      <c r="BM271" s="158"/>
      <c r="BN271" s="158"/>
      <c r="BO271" s="158"/>
      <c r="BP271" s="158"/>
      <c r="BQ271" s="158"/>
      <c r="BR271" s="158"/>
      <c r="BS271" s="158"/>
      <c r="BT271" s="158"/>
      <c r="BU271" s="158"/>
      <c r="BV271" s="158"/>
      <c r="BW271" s="158"/>
      <c r="BX271" s="158"/>
      <c r="BY271" s="158"/>
      <c r="BZ271" s="158"/>
      <c r="CA271" s="158"/>
      <c r="CB271" s="158"/>
      <c r="CC271" s="158"/>
      <c r="CD271" s="158"/>
      <c r="CE271" s="158"/>
      <c r="CF271" s="158"/>
      <c r="CG271" s="158"/>
      <c r="CH271" s="158"/>
      <c r="CI271" s="158"/>
      <c r="CJ271" s="158"/>
      <c r="CK271" s="158"/>
      <c r="CL271" s="158"/>
      <c r="CM271" s="158"/>
      <c r="CN271" s="158"/>
      <c r="CO271" s="158"/>
      <c r="CP271" s="158"/>
      <c r="CQ271" s="158"/>
      <c r="CR271" s="158"/>
      <c r="CS271" s="158"/>
    </row>
    <row r="272" spans="2:97" ht="12.75" customHeight="1" x14ac:dyDescent="0.2">
      <c r="B272" s="158"/>
      <c r="C272" s="158"/>
      <c r="D272" s="158"/>
      <c r="E272" s="158"/>
      <c r="F272" s="158"/>
      <c r="G272" s="158"/>
      <c r="H272" s="158"/>
      <c r="I272" s="158"/>
      <c r="J272" s="158"/>
      <c r="K272" s="158"/>
      <c r="L272" s="158"/>
      <c r="M272" s="158"/>
      <c r="N272" s="158"/>
      <c r="O272" s="158"/>
      <c r="P272" s="158"/>
      <c r="Q272" s="158"/>
      <c r="R272" s="158"/>
      <c r="S272" s="158"/>
      <c r="T272" s="158"/>
      <c r="U272" s="158"/>
      <c r="V272" s="158"/>
      <c r="W272" s="158"/>
      <c r="X272" s="158"/>
      <c r="Y272" s="158"/>
      <c r="Z272" s="158"/>
      <c r="AA272" s="158"/>
      <c r="AB272" s="158"/>
      <c r="AC272" s="158"/>
      <c r="AD272" s="158"/>
      <c r="AE272" s="158"/>
      <c r="AF272" s="158"/>
      <c r="AG272" s="158"/>
      <c r="AH272" s="158"/>
      <c r="AI272" s="158"/>
      <c r="AJ272" s="158"/>
      <c r="AK272" s="158"/>
      <c r="AL272" s="158"/>
      <c r="AM272" s="158"/>
      <c r="AN272" s="158"/>
      <c r="AO272" s="158"/>
      <c r="AP272" s="158"/>
      <c r="AQ272" s="158"/>
      <c r="AR272" s="158"/>
      <c r="AS272" s="158"/>
      <c r="AT272" s="158"/>
      <c r="AU272" s="158"/>
      <c r="AV272" s="158"/>
      <c r="AW272" s="158"/>
      <c r="AX272" s="158"/>
      <c r="AY272" s="158"/>
      <c r="AZ272" s="158"/>
      <c r="BA272" s="158"/>
      <c r="BB272" s="158"/>
      <c r="BC272" s="158"/>
      <c r="BD272" s="158"/>
      <c r="BE272" s="158"/>
      <c r="BF272" s="158"/>
      <c r="BG272" s="158"/>
      <c r="BH272" s="158"/>
      <c r="BI272" s="158"/>
      <c r="BJ272" s="158"/>
      <c r="BK272" s="158"/>
      <c r="BL272" s="158"/>
      <c r="BM272" s="158"/>
      <c r="BN272" s="158"/>
      <c r="BO272" s="158"/>
      <c r="BP272" s="158"/>
      <c r="BQ272" s="158"/>
      <c r="BR272" s="158"/>
      <c r="BS272" s="158"/>
      <c r="BT272" s="158"/>
      <c r="BU272" s="158"/>
      <c r="BV272" s="158"/>
      <c r="BW272" s="158"/>
      <c r="BX272" s="158"/>
      <c r="BY272" s="158"/>
      <c r="BZ272" s="158"/>
      <c r="CA272" s="158"/>
      <c r="CB272" s="158"/>
      <c r="CC272" s="158"/>
      <c r="CD272" s="158"/>
      <c r="CE272" s="158"/>
      <c r="CF272" s="158"/>
      <c r="CG272" s="158"/>
      <c r="CH272" s="158"/>
      <c r="CI272" s="158"/>
      <c r="CJ272" s="158"/>
      <c r="CK272" s="158"/>
      <c r="CL272" s="158"/>
      <c r="CM272" s="158"/>
      <c r="CN272" s="158"/>
      <c r="CO272" s="158"/>
      <c r="CP272" s="158"/>
      <c r="CQ272" s="158"/>
      <c r="CR272" s="158"/>
      <c r="CS272" s="158"/>
    </row>
    <row r="273" spans="2:97" ht="12.75" customHeight="1" x14ac:dyDescent="0.2">
      <c r="B273" s="158"/>
      <c r="C273" s="158"/>
      <c r="D273" s="158"/>
      <c r="E273" s="158"/>
      <c r="F273" s="158"/>
      <c r="G273" s="158"/>
      <c r="H273" s="158"/>
      <c r="I273" s="158"/>
      <c r="J273" s="158"/>
      <c r="K273" s="158"/>
      <c r="L273" s="158"/>
      <c r="M273" s="158"/>
      <c r="N273" s="158"/>
      <c r="O273" s="158"/>
      <c r="P273" s="158"/>
      <c r="Q273" s="158"/>
      <c r="R273" s="158"/>
      <c r="S273" s="158"/>
      <c r="T273" s="158"/>
      <c r="U273" s="158"/>
      <c r="V273" s="158"/>
      <c r="W273" s="158"/>
      <c r="X273" s="158"/>
      <c r="Y273" s="158"/>
      <c r="Z273" s="158"/>
      <c r="AA273" s="158"/>
      <c r="AB273" s="158"/>
      <c r="AC273" s="158"/>
      <c r="AD273" s="158"/>
      <c r="AE273" s="158"/>
      <c r="AF273" s="158"/>
      <c r="AG273" s="158"/>
      <c r="AH273" s="158"/>
      <c r="AI273" s="158"/>
      <c r="AJ273" s="158"/>
      <c r="AK273" s="158"/>
      <c r="AL273" s="158"/>
      <c r="AM273" s="158"/>
      <c r="AN273" s="158"/>
      <c r="AO273" s="158"/>
      <c r="AP273" s="158"/>
      <c r="AQ273" s="158"/>
      <c r="AR273" s="158"/>
      <c r="AS273" s="158"/>
      <c r="AT273" s="158"/>
      <c r="AU273" s="158"/>
      <c r="AV273" s="158"/>
      <c r="AW273" s="158"/>
      <c r="AX273" s="158"/>
      <c r="AY273" s="158"/>
      <c r="AZ273" s="158"/>
      <c r="BA273" s="158"/>
      <c r="BB273" s="158"/>
      <c r="BC273" s="158"/>
      <c r="BD273" s="158"/>
      <c r="BE273" s="158"/>
      <c r="BF273" s="158"/>
      <c r="BG273" s="158"/>
      <c r="BH273" s="158"/>
      <c r="BI273" s="158"/>
      <c r="BJ273" s="158"/>
      <c r="BK273" s="158"/>
      <c r="BL273" s="158"/>
      <c r="BM273" s="158"/>
      <c r="BN273" s="158"/>
      <c r="BO273" s="158"/>
      <c r="BP273" s="158"/>
      <c r="BQ273" s="158"/>
      <c r="BR273" s="158"/>
      <c r="BS273" s="158"/>
      <c r="BT273" s="158"/>
      <c r="BU273" s="158"/>
      <c r="BV273" s="158"/>
      <c r="BW273" s="158"/>
      <c r="BX273" s="158"/>
      <c r="BY273" s="158"/>
      <c r="BZ273" s="158"/>
      <c r="CA273" s="158"/>
      <c r="CB273" s="158"/>
      <c r="CC273" s="158"/>
      <c r="CD273" s="158"/>
      <c r="CE273" s="158"/>
      <c r="CF273" s="158"/>
      <c r="CG273" s="158"/>
      <c r="CH273" s="158"/>
      <c r="CI273" s="158"/>
      <c r="CJ273" s="158"/>
      <c r="CK273" s="158"/>
      <c r="CL273" s="158"/>
      <c r="CM273" s="158"/>
      <c r="CN273" s="158"/>
      <c r="CO273" s="158"/>
      <c r="CP273" s="158"/>
      <c r="CQ273" s="158"/>
      <c r="CR273" s="158"/>
      <c r="CS273" s="158"/>
    </row>
    <row r="274" spans="2:97" ht="12.75" customHeight="1" x14ac:dyDescent="0.2">
      <c r="B274" s="158"/>
      <c r="C274" s="158"/>
      <c r="D274" s="158"/>
      <c r="E274" s="158"/>
      <c r="F274" s="158"/>
      <c r="G274" s="158"/>
      <c r="H274" s="158"/>
      <c r="I274" s="158"/>
      <c r="J274" s="158"/>
      <c r="K274" s="158"/>
      <c r="L274" s="158"/>
      <c r="M274" s="158"/>
      <c r="N274" s="158"/>
      <c r="O274" s="158"/>
      <c r="P274" s="158"/>
      <c r="Q274" s="158"/>
      <c r="R274" s="158"/>
      <c r="S274" s="158"/>
      <c r="T274" s="158"/>
      <c r="U274" s="158"/>
      <c r="V274" s="158"/>
      <c r="W274" s="158"/>
      <c r="X274" s="158"/>
      <c r="Y274" s="158"/>
      <c r="Z274" s="158"/>
      <c r="AA274" s="158"/>
      <c r="AB274" s="158"/>
      <c r="AC274" s="158"/>
      <c r="AD274" s="158"/>
      <c r="AE274" s="158"/>
      <c r="AF274" s="158"/>
      <c r="AG274" s="158"/>
      <c r="AH274" s="158"/>
      <c r="AI274" s="158"/>
      <c r="AJ274" s="158"/>
      <c r="AK274" s="158"/>
      <c r="AL274" s="158"/>
      <c r="AM274" s="158"/>
      <c r="AN274" s="158"/>
      <c r="AO274" s="158"/>
      <c r="AP274" s="158"/>
      <c r="AQ274" s="158"/>
      <c r="AR274" s="158"/>
      <c r="AS274" s="158"/>
      <c r="AT274" s="158"/>
      <c r="AU274" s="158"/>
      <c r="AV274" s="158"/>
      <c r="AW274" s="158"/>
      <c r="AX274" s="158"/>
      <c r="AY274" s="158"/>
      <c r="AZ274" s="158"/>
      <c r="BA274" s="158"/>
      <c r="BB274" s="158"/>
      <c r="BC274" s="158"/>
      <c r="BD274" s="158"/>
      <c r="BE274" s="158"/>
      <c r="BF274" s="158"/>
      <c r="BG274" s="158"/>
      <c r="BH274" s="158"/>
      <c r="BI274" s="158"/>
      <c r="BJ274" s="158"/>
      <c r="BK274" s="158"/>
      <c r="BL274" s="158"/>
      <c r="BM274" s="158"/>
      <c r="BN274" s="158"/>
      <c r="BO274" s="158"/>
      <c r="BP274" s="158"/>
      <c r="BQ274" s="158"/>
      <c r="BR274" s="158"/>
      <c r="BS274" s="158"/>
      <c r="BT274" s="158"/>
      <c r="BU274" s="158"/>
      <c r="BV274" s="158"/>
      <c r="BW274" s="158"/>
      <c r="BX274" s="158"/>
      <c r="BY274" s="158"/>
      <c r="BZ274" s="158"/>
      <c r="CA274" s="158"/>
      <c r="CB274" s="158"/>
      <c r="CC274" s="158"/>
      <c r="CD274" s="158"/>
      <c r="CE274" s="158"/>
      <c r="CF274" s="158"/>
      <c r="CG274" s="158"/>
      <c r="CH274" s="158"/>
      <c r="CI274" s="158"/>
      <c r="CJ274" s="158"/>
      <c r="CK274" s="158"/>
      <c r="CL274" s="158"/>
      <c r="CM274" s="158"/>
      <c r="CN274" s="158"/>
      <c r="CO274" s="158"/>
      <c r="CP274" s="158"/>
      <c r="CQ274" s="158"/>
      <c r="CR274" s="158"/>
      <c r="CS274" s="158"/>
    </row>
    <row r="275" spans="2:97" ht="12.75" customHeight="1" x14ac:dyDescent="0.2">
      <c r="B275" s="158"/>
      <c r="C275" s="158"/>
      <c r="D275" s="158"/>
      <c r="E275" s="158"/>
      <c r="F275" s="158"/>
      <c r="G275" s="158"/>
      <c r="H275" s="158"/>
      <c r="I275" s="158"/>
      <c r="J275" s="158"/>
      <c r="K275" s="158"/>
      <c r="L275" s="158"/>
      <c r="M275" s="158"/>
      <c r="N275" s="158"/>
      <c r="O275" s="158"/>
      <c r="P275" s="158"/>
      <c r="Q275" s="158"/>
      <c r="R275" s="158"/>
      <c r="S275" s="158"/>
      <c r="T275" s="158"/>
      <c r="U275" s="158"/>
      <c r="V275" s="158"/>
      <c r="W275" s="158"/>
      <c r="X275" s="158"/>
      <c r="Y275" s="158"/>
      <c r="Z275" s="158"/>
      <c r="AA275" s="158"/>
      <c r="AB275" s="158"/>
      <c r="AC275" s="158"/>
      <c r="AD275" s="158"/>
      <c r="AE275" s="158"/>
      <c r="AF275" s="158"/>
      <c r="AG275" s="158"/>
      <c r="AH275" s="158"/>
      <c r="AI275" s="158"/>
      <c r="AJ275" s="158"/>
      <c r="AK275" s="158"/>
      <c r="AL275" s="158"/>
      <c r="AM275" s="158"/>
      <c r="AN275" s="158"/>
      <c r="AO275" s="158"/>
      <c r="AP275" s="158"/>
      <c r="AQ275" s="158"/>
      <c r="AR275" s="158"/>
      <c r="AS275" s="158"/>
      <c r="AT275" s="158"/>
      <c r="AU275" s="158"/>
      <c r="AV275" s="158"/>
      <c r="AW275" s="158"/>
      <c r="AX275" s="158"/>
      <c r="AY275" s="158"/>
      <c r="AZ275" s="158"/>
      <c r="BA275" s="158"/>
      <c r="BB275" s="158"/>
      <c r="BC275" s="158"/>
      <c r="BD275" s="158"/>
      <c r="BE275" s="158"/>
      <c r="BF275" s="158"/>
      <c r="BG275" s="158"/>
      <c r="BH275" s="158"/>
      <c r="BI275" s="158"/>
      <c r="BJ275" s="158"/>
      <c r="BK275" s="158"/>
      <c r="BL275" s="158"/>
      <c r="BM275" s="158"/>
      <c r="BN275" s="158"/>
      <c r="BO275" s="158"/>
      <c r="BP275" s="158"/>
      <c r="BQ275" s="158"/>
      <c r="BR275" s="158"/>
      <c r="BS275" s="158"/>
      <c r="BT275" s="158"/>
      <c r="BU275" s="158"/>
      <c r="BV275" s="158"/>
      <c r="BW275" s="158"/>
      <c r="BX275" s="158"/>
      <c r="BY275" s="158"/>
      <c r="BZ275" s="158"/>
      <c r="CA275" s="158"/>
      <c r="CB275" s="158"/>
      <c r="CC275" s="158"/>
      <c r="CD275" s="158"/>
      <c r="CE275" s="158"/>
      <c r="CF275" s="158"/>
      <c r="CG275" s="158"/>
      <c r="CH275" s="158"/>
      <c r="CI275" s="158"/>
      <c r="CJ275" s="158"/>
      <c r="CK275" s="158"/>
      <c r="CL275" s="158"/>
      <c r="CM275" s="158"/>
      <c r="CN275" s="158"/>
      <c r="CO275" s="158"/>
      <c r="CP275" s="158"/>
      <c r="CQ275" s="158"/>
      <c r="CR275" s="158"/>
      <c r="CS275" s="158"/>
    </row>
    <row r="276" spans="2:97" ht="12.75" customHeight="1" x14ac:dyDescent="0.2">
      <c r="B276" s="158"/>
      <c r="C276" s="158"/>
      <c r="D276" s="158"/>
      <c r="E276" s="158"/>
      <c r="F276" s="158"/>
      <c r="G276" s="158"/>
      <c r="H276" s="158"/>
      <c r="I276" s="158"/>
      <c r="J276" s="158"/>
      <c r="K276" s="158"/>
      <c r="L276" s="158"/>
      <c r="M276" s="158"/>
      <c r="N276" s="158"/>
      <c r="O276" s="158"/>
      <c r="P276" s="158"/>
      <c r="Q276" s="158"/>
      <c r="R276" s="158"/>
      <c r="S276" s="158"/>
      <c r="T276" s="158"/>
      <c r="U276" s="158"/>
      <c r="V276" s="158"/>
      <c r="W276" s="158"/>
      <c r="X276" s="158"/>
      <c r="Y276" s="158"/>
      <c r="Z276" s="158"/>
      <c r="AA276" s="158"/>
      <c r="AB276" s="158"/>
      <c r="AC276" s="158"/>
      <c r="AD276" s="158"/>
      <c r="AE276" s="158"/>
      <c r="AF276" s="158"/>
      <c r="AG276" s="158"/>
      <c r="AH276" s="158"/>
      <c r="AI276" s="158"/>
      <c r="AJ276" s="158"/>
      <c r="AK276" s="158"/>
      <c r="AL276" s="158"/>
      <c r="AM276" s="158"/>
      <c r="AN276" s="158"/>
      <c r="AO276" s="158"/>
      <c r="AP276" s="158"/>
      <c r="AQ276" s="158"/>
      <c r="AR276" s="158"/>
      <c r="AS276" s="158"/>
      <c r="AT276" s="158"/>
      <c r="AU276" s="158"/>
      <c r="AV276" s="158"/>
      <c r="AW276" s="158"/>
      <c r="AX276" s="158"/>
      <c r="AY276" s="158"/>
      <c r="AZ276" s="158"/>
      <c r="BA276" s="158"/>
      <c r="BB276" s="158"/>
      <c r="BC276" s="158"/>
      <c r="BD276" s="158"/>
      <c r="BE276" s="158"/>
      <c r="BF276" s="158"/>
      <c r="BG276" s="158"/>
      <c r="BH276" s="158"/>
      <c r="BI276" s="158"/>
      <c r="BJ276" s="158"/>
      <c r="BK276" s="158"/>
      <c r="BL276" s="158"/>
      <c r="BM276" s="158"/>
      <c r="BN276" s="158"/>
      <c r="BO276" s="158"/>
      <c r="BP276" s="158"/>
      <c r="BQ276" s="158"/>
      <c r="BR276" s="158"/>
      <c r="BS276" s="158"/>
      <c r="BT276" s="158"/>
      <c r="BU276" s="158"/>
      <c r="BV276" s="158"/>
      <c r="BW276" s="158"/>
      <c r="BX276" s="158"/>
      <c r="BY276" s="158"/>
      <c r="BZ276" s="158"/>
      <c r="CA276" s="158"/>
      <c r="CB276" s="158"/>
      <c r="CC276" s="158"/>
      <c r="CD276" s="158"/>
      <c r="CE276" s="158"/>
      <c r="CF276" s="158"/>
      <c r="CG276" s="158"/>
      <c r="CH276" s="158"/>
      <c r="CI276" s="158"/>
      <c r="CJ276" s="158"/>
      <c r="CK276" s="158"/>
      <c r="CL276" s="158"/>
      <c r="CM276" s="158"/>
      <c r="CN276" s="158"/>
      <c r="CO276" s="158"/>
      <c r="CP276" s="158"/>
      <c r="CQ276" s="158"/>
      <c r="CR276" s="158"/>
      <c r="CS276" s="158"/>
    </row>
    <row r="277" spans="2:97" ht="12.75" customHeight="1" x14ac:dyDescent="0.2">
      <c r="B277" s="158"/>
      <c r="C277" s="158"/>
      <c r="D277" s="158"/>
      <c r="E277" s="158"/>
      <c r="F277" s="158"/>
      <c r="G277" s="158"/>
      <c r="H277" s="158"/>
      <c r="I277" s="158"/>
      <c r="J277" s="158"/>
      <c r="K277" s="158"/>
      <c r="L277" s="158"/>
      <c r="M277" s="158"/>
      <c r="N277" s="158"/>
      <c r="O277" s="158"/>
      <c r="P277" s="158"/>
      <c r="Q277" s="158"/>
      <c r="R277" s="158"/>
      <c r="S277" s="158"/>
      <c r="T277" s="158"/>
      <c r="U277" s="158"/>
      <c r="V277" s="158"/>
      <c r="W277" s="158"/>
      <c r="X277" s="158"/>
      <c r="Y277" s="158"/>
      <c r="Z277" s="158"/>
      <c r="AA277" s="158"/>
      <c r="AB277" s="158"/>
      <c r="AC277" s="158"/>
      <c r="AD277" s="158"/>
      <c r="AE277" s="158"/>
      <c r="AF277" s="158"/>
      <c r="AG277" s="158"/>
      <c r="AH277" s="158"/>
      <c r="AI277" s="158"/>
      <c r="AJ277" s="158"/>
      <c r="AK277" s="158"/>
      <c r="AL277" s="158"/>
      <c r="AM277" s="158"/>
      <c r="AN277" s="158"/>
      <c r="AO277" s="158"/>
      <c r="AP277" s="158"/>
      <c r="AQ277" s="158"/>
      <c r="AR277" s="158"/>
      <c r="AS277" s="158"/>
      <c r="AT277" s="158"/>
      <c r="AU277" s="158"/>
      <c r="AV277" s="158"/>
      <c r="AW277" s="158"/>
      <c r="AX277" s="158"/>
      <c r="AY277" s="158"/>
      <c r="AZ277" s="158"/>
      <c r="BA277" s="158"/>
      <c r="BB277" s="158"/>
      <c r="BC277" s="158"/>
      <c r="BD277" s="158"/>
      <c r="BE277" s="158"/>
      <c r="BF277" s="158"/>
      <c r="BG277" s="158"/>
      <c r="BH277" s="158"/>
      <c r="BI277" s="158"/>
      <c r="BJ277" s="158"/>
      <c r="BK277" s="158"/>
      <c r="BL277" s="158"/>
      <c r="BM277" s="158"/>
      <c r="BN277" s="158"/>
      <c r="BO277" s="158"/>
      <c r="BP277" s="158"/>
      <c r="BQ277" s="158"/>
      <c r="BR277" s="158"/>
      <c r="BS277" s="158"/>
      <c r="BT277" s="158"/>
      <c r="BU277" s="158"/>
      <c r="BV277" s="158"/>
      <c r="BW277" s="158"/>
      <c r="BX277" s="158"/>
      <c r="BY277" s="158"/>
      <c r="BZ277" s="158"/>
      <c r="CA277" s="158"/>
      <c r="CB277" s="158"/>
      <c r="CC277" s="158"/>
      <c r="CD277" s="158"/>
      <c r="CE277" s="158"/>
      <c r="CF277" s="158"/>
      <c r="CG277" s="158"/>
      <c r="CH277" s="158"/>
      <c r="CI277" s="158"/>
      <c r="CJ277" s="158"/>
      <c r="CK277" s="158"/>
      <c r="CL277" s="158"/>
      <c r="CM277" s="158"/>
      <c r="CN277" s="158"/>
      <c r="CO277" s="158"/>
      <c r="CP277" s="158"/>
      <c r="CQ277" s="158"/>
      <c r="CR277" s="158"/>
      <c r="CS277" s="158"/>
    </row>
    <row r="278" spans="2:97" ht="12.75" customHeight="1" x14ac:dyDescent="0.2">
      <c r="B278" s="158"/>
      <c r="C278" s="158"/>
      <c r="D278" s="158"/>
      <c r="E278" s="158"/>
      <c r="F278" s="158"/>
      <c r="G278" s="158"/>
      <c r="H278" s="158"/>
      <c r="I278" s="158"/>
      <c r="J278" s="158"/>
      <c r="K278" s="158"/>
      <c r="L278" s="158"/>
      <c r="M278" s="158"/>
      <c r="N278" s="158"/>
      <c r="O278" s="158"/>
      <c r="P278" s="158"/>
      <c r="Q278" s="158"/>
      <c r="R278" s="158"/>
      <c r="S278" s="158"/>
      <c r="T278" s="158"/>
      <c r="U278" s="158"/>
      <c r="V278" s="158"/>
      <c r="W278" s="158"/>
      <c r="X278" s="158"/>
      <c r="Y278" s="158"/>
      <c r="Z278" s="158"/>
      <c r="AA278" s="158"/>
      <c r="AB278" s="158"/>
      <c r="AC278" s="158"/>
      <c r="AD278" s="158"/>
      <c r="AE278" s="158"/>
      <c r="AF278" s="158"/>
      <c r="AG278" s="158"/>
      <c r="AH278" s="158"/>
      <c r="AI278" s="158"/>
      <c r="AJ278" s="158"/>
      <c r="AK278" s="158"/>
      <c r="AL278" s="158"/>
      <c r="AM278" s="158"/>
      <c r="AN278" s="158"/>
      <c r="AO278" s="158"/>
      <c r="AP278" s="158"/>
      <c r="AQ278" s="158"/>
      <c r="AR278" s="158"/>
      <c r="AS278" s="158"/>
      <c r="AT278" s="158"/>
      <c r="AU278" s="158"/>
      <c r="AV278" s="158"/>
      <c r="AW278" s="158"/>
      <c r="AX278" s="158"/>
      <c r="AY278" s="158"/>
      <c r="AZ278" s="158"/>
      <c r="BA278" s="158"/>
      <c r="BB278" s="158"/>
      <c r="BC278" s="158"/>
      <c r="BD278" s="158"/>
      <c r="BE278" s="158"/>
      <c r="BF278" s="158"/>
      <c r="BG278" s="158"/>
      <c r="BH278" s="158"/>
      <c r="BI278" s="158"/>
      <c r="BJ278" s="158"/>
      <c r="BK278" s="158"/>
      <c r="BL278" s="158"/>
      <c r="BM278" s="158"/>
      <c r="BN278" s="158"/>
      <c r="BO278" s="158"/>
      <c r="BP278" s="158"/>
      <c r="BQ278" s="158"/>
      <c r="BR278" s="158"/>
      <c r="BS278" s="158"/>
      <c r="BT278" s="158"/>
      <c r="BU278" s="158"/>
      <c r="BV278" s="158"/>
      <c r="BW278" s="158"/>
      <c r="BX278" s="158"/>
      <c r="BY278" s="158"/>
      <c r="BZ278" s="158"/>
      <c r="CA278" s="158"/>
      <c r="CB278" s="158"/>
      <c r="CC278" s="158"/>
      <c r="CD278" s="158"/>
      <c r="CE278" s="158"/>
      <c r="CF278" s="158"/>
      <c r="CG278" s="158"/>
      <c r="CH278" s="158"/>
      <c r="CI278" s="158"/>
      <c r="CJ278" s="158"/>
      <c r="CK278" s="158"/>
      <c r="CL278" s="158"/>
      <c r="CM278" s="158"/>
      <c r="CN278" s="158"/>
      <c r="CO278" s="158"/>
      <c r="CP278" s="158"/>
      <c r="CQ278" s="158"/>
      <c r="CR278" s="158"/>
      <c r="CS278" s="158"/>
    </row>
    <row r="279" spans="2:97" ht="12.75" customHeight="1" x14ac:dyDescent="0.2">
      <c r="B279" s="158"/>
      <c r="C279" s="158"/>
      <c r="D279" s="158"/>
      <c r="E279" s="158"/>
      <c r="F279" s="158"/>
      <c r="G279" s="158"/>
      <c r="H279" s="158"/>
      <c r="I279" s="158"/>
      <c r="J279" s="158"/>
      <c r="K279" s="158"/>
      <c r="L279" s="158"/>
      <c r="M279" s="158"/>
      <c r="N279" s="158"/>
      <c r="O279" s="158"/>
      <c r="P279" s="158"/>
      <c r="Q279" s="158"/>
      <c r="R279" s="158"/>
      <c r="S279" s="158"/>
      <c r="T279" s="158"/>
      <c r="U279" s="158"/>
      <c r="V279" s="158"/>
      <c r="W279" s="158"/>
      <c r="X279" s="158"/>
      <c r="Y279" s="158"/>
      <c r="Z279" s="158"/>
      <c r="AA279" s="158"/>
      <c r="AB279" s="158"/>
      <c r="AC279" s="158"/>
      <c r="AD279" s="158"/>
      <c r="AE279" s="158"/>
      <c r="AF279" s="158"/>
      <c r="AG279" s="158"/>
      <c r="AH279" s="158"/>
      <c r="AI279" s="158"/>
      <c r="AJ279" s="158"/>
      <c r="AK279" s="158"/>
      <c r="AL279" s="158"/>
      <c r="AM279" s="158"/>
      <c r="AN279" s="158"/>
      <c r="AO279" s="158"/>
      <c r="AP279" s="158"/>
      <c r="AQ279" s="158"/>
      <c r="AR279" s="158"/>
      <c r="AS279" s="158"/>
      <c r="AT279" s="158"/>
      <c r="AU279" s="158"/>
      <c r="AV279" s="158"/>
      <c r="AW279" s="158"/>
      <c r="AX279" s="158"/>
      <c r="AY279" s="158"/>
      <c r="AZ279" s="158"/>
      <c r="BA279" s="158"/>
      <c r="BB279" s="158"/>
      <c r="BC279" s="158"/>
      <c r="BD279" s="158"/>
      <c r="BE279" s="158"/>
      <c r="BF279" s="158"/>
      <c r="BG279" s="158"/>
      <c r="BH279" s="158"/>
      <c r="BI279" s="158"/>
      <c r="BJ279" s="158"/>
      <c r="BK279" s="158"/>
      <c r="BL279" s="158"/>
      <c r="BM279" s="158"/>
      <c r="BN279" s="158"/>
      <c r="BO279" s="158"/>
      <c r="BP279" s="158"/>
      <c r="BQ279" s="158"/>
      <c r="BR279" s="158"/>
      <c r="BS279" s="158"/>
      <c r="BT279" s="158"/>
      <c r="BU279" s="158"/>
      <c r="BV279" s="158"/>
      <c r="BW279" s="158"/>
      <c r="BX279" s="158"/>
      <c r="BY279" s="158"/>
      <c r="BZ279" s="158"/>
      <c r="CA279" s="158"/>
      <c r="CB279" s="158"/>
      <c r="CC279" s="158"/>
      <c r="CD279" s="158"/>
      <c r="CE279" s="158"/>
      <c r="CF279" s="158"/>
      <c r="CG279" s="158"/>
      <c r="CH279" s="158"/>
      <c r="CI279" s="158"/>
      <c r="CJ279" s="158"/>
      <c r="CK279" s="158"/>
      <c r="CL279" s="158"/>
      <c r="CM279" s="158"/>
      <c r="CN279" s="158"/>
      <c r="CO279" s="158"/>
      <c r="CP279" s="158"/>
      <c r="CQ279" s="158"/>
      <c r="CR279" s="158"/>
      <c r="CS279" s="158"/>
    </row>
    <row r="280" spans="2:97" ht="12.75" customHeight="1" x14ac:dyDescent="0.2">
      <c r="B280" s="158"/>
      <c r="C280" s="158"/>
      <c r="D280" s="158"/>
      <c r="E280" s="158"/>
      <c r="F280" s="158"/>
      <c r="G280" s="158"/>
      <c r="H280" s="158"/>
      <c r="I280" s="158"/>
      <c r="J280" s="158"/>
      <c r="K280" s="158"/>
      <c r="L280" s="158"/>
      <c r="M280" s="158"/>
      <c r="N280" s="158"/>
      <c r="O280" s="158"/>
      <c r="P280" s="158"/>
      <c r="Q280" s="158"/>
      <c r="R280" s="158"/>
      <c r="S280" s="158"/>
      <c r="T280" s="158"/>
      <c r="U280" s="158"/>
      <c r="V280" s="158"/>
      <c r="W280" s="158"/>
      <c r="X280" s="158"/>
      <c r="Y280" s="158"/>
      <c r="Z280" s="158"/>
      <c r="AA280" s="158"/>
      <c r="AB280" s="158"/>
      <c r="AC280" s="158"/>
      <c r="AD280" s="158"/>
      <c r="AE280" s="158"/>
      <c r="AF280" s="158"/>
      <c r="AG280" s="158"/>
      <c r="AH280" s="158"/>
      <c r="AI280" s="158"/>
      <c r="AJ280" s="158"/>
      <c r="AK280" s="158"/>
      <c r="AL280" s="158"/>
      <c r="AM280" s="158"/>
      <c r="AN280" s="158"/>
      <c r="AO280" s="158"/>
      <c r="AP280" s="158"/>
      <c r="AQ280" s="158"/>
      <c r="AR280" s="158"/>
      <c r="AS280" s="158"/>
      <c r="AT280" s="158"/>
      <c r="AU280" s="158"/>
      <c r="AV280" s="158"/>
      <c r="AW280" s="158"/>
      <c r="AX280" s="158"/>
      <c r="AY280" s="158"/>
      <c r="AZ280" s="158"/>
      <c r="BA280" s="158"/>
      <c r="BB280" s="158"/>
      <c r="BC280" s="158"/>
      <c r="BD280" s="158"/>
      <c r="BE280" s="158"/>
      <c r="BF280" s="158"/>
      <c r="BG280" s="158"/>
      <c r="BH280" s="158"/>
      <c r="BI280" s="158"/>
      <c r="BJ280" s="158"/>
      <c r="BK280" s="158"/>
      <c r="BL280" s="158"/>
      <c r="BM280" s="158"/>
      <c r="BN280" s="158"/>
      <c r="BO280" s="158"/>
      <c r="BP280" s="158"/>
      <c r="BQ280" s="158"/>
      <c r="BR280" s="158"/>
      <c r="BS280" s="158"/>
      <c r="BT280" s="158"/>
      <c r="BU280" s="158"/>
      <c r="BV280" s="158"/>
      <c r="BW280" s="158"/>
      <c r="BX280" s="158"/>
      <c r="BY280" s="158"/>
      <c r="BZ280" s="158"/>
      <c r="CA280" s="158"/>
      <c r="CB280" s="158"/>
      <c r="CC280" s="158"/>
      <c r="CD280" s="158"/>
      <c r="CE280" s="158"/>
      <c r="CF280" s="158"/>
      <c r="CG280" s="158"/>
      <c r="CH280" s="158"/>
      <c r="CI280" s="158"/>
      <c r="CJ280" s="158"/>
      <c r="CK280" s="158"/>
      <c r="CL280" s="158"/>
      <c r="CM280" s="158"/>
      <c r="CN280" s="158"/>
      <c r="CO280" s="158"/>
      <c r="CP280" s="158"/>
      <c r="CQ280" s="158"/>
      <c r="CR280" s="158"/>
      <c r="CS280" s="158"/>
    </row>
    <row r="281" spans="2:97" ht="12.75" customHeight="1" x14ac:dyDescent="0.2">
      <c r="B281" s="158"/>
      <c r="C281" s="158"/>
      <c r="D281" s="158"/>
      <c r="E281" s="158"/>
      <c r="F281" s="158"/>
      <c r="G281" s="158"/>
      <c r="H281" s="158"/>
      <c r="I281" s="158"/>
      <c r="J281" s="158"/>
      <c r="K281" s="158"/>
      <c r="L281" s="158"/>
      <c r="M281" s="158"/>
      <c r="N281" s="158"/>
      <c r="O281" s="158"/>
      <c r="P281" s="158"/>
      <c r="Q281" s="158"/>
      <c r="R281" s="158"/>
      <c r="S281" s="158"/>
      <c r="T281" s="158"/>
      <c r="U281" s="158"/>
      <c r="V281" s="158"/>
      <c r="W281" s="158"/>
      <c r="X281" s="158"/>
      <c r="Y281" s="158"/>
      <c r="Z281" s="158"/>
      <c r="AA281" s="158"/>
      <c r="AB281" s="158"/>
      <c r="AC281" s="158"/>
      <c r="AD281" s="158"/>
      <c r="AE281" s="158"/>
      <c r="AF281" s="158"/>
      <c r="AG281" s="158"/>
      <c r="AH281" s="158"/>
      <c r="AI281" s="158"/>
      <c r="AJ281" s="158"/>
      <c r="AK281" s="158"/>
      <c r="AL281" s="158"/>
      <c r="AM281" s="158"/>
      <c r="AN281" s="158"/>
      <c r="AO281" s="158"/>
      <c r="AP281" s="158"/>
      <c r="AQ281" s="158"/>
      <c r="AR281" s="158"/>
      <c r="AS281" s="158"/>
      <c r="AT281" s="158"/>
      <c r="AU281" s="158"/>
      <c r="AV281" s="158"/>
      <c r="AW281" s="158"/>
      <c r="AX281" s="158"/>
      <c r="AY281" s="158"/>
      <c r="AZ281" s="158"/>
      <c r="BA281" s="158"/>
      <c r="BB281" s="158"/>
      <c r="BC281" s="158"/>
      <c r="BD281" s="158"/>
      <c r="BE281" s="158"/>
      <c r="BF281" s="158"/>
      <c r="BG281" s="158"/>
      <c r="BH281" s="158"/>
      <c r="BI281" s="158"/>
      <c r="BJ281" s="158"/>
      <c r="BK281" s="158"/>
      <c r="BL281" s="158"/>
      <c r="BM281" s="158"/>
      <c r="BN281" s="158"/>
      <c r="BO281" s="158"/>
      <c r="BP281" s="158"/>
      <c r="BQ281" s="158"/>
      <c r="BR281" s="158"/>
      <c r="BS281" s="158"/>
      <c r="BT281" s="158"/>
      <c r="BU281" s="158"/>
      <c r="BV281" s="158"/>
      <c r="BW281" s="158"/>
      <c r="BX281" s="158"/>
      <c r="BY281" s="158"/>
      <c r="BZ281" s="158"/>
      <c r="CA281" s="158"/>
      <c r="CB281" s="158"/>
      <c r="CC281" s="158"/>
      <c r="CD281" s="158"/>
      <c r="CE281" s="158"/>
      <c r="CF281" s="158"/>
      <c r="CG281" s="158"/>
      <c r="CH281" s="158"/>
      <c r="CI281" s="158"/>
      <c r="CJ281" s="158"/>
      <c r="CK281" s="158"/>
      <c r="CL281" s="158"/>
      <c r="CM281" s="158"/>
      <c r="CN281" s="158"/>
      <c r="CO281" s="158"/>
      <c r="CP281" s="158"/>
      <c r="CQ281" s="158"/>
      <c r="CR281" s="158"/>
      <c r="CS281" s="158"/>
    </row>
    <row r="282" spans="2:97" ht="12.75" customHeight="1" x14ac:dyDescent="0.2">
      <c r="B282" s="158"/>
      <c r="C282" s="158"/>
      <c r="D282" s="158"/>
      <c r="E282" s="158"/>
      <c r="F282" s="158"/>
      <c r="G282" s="158"/>
      <c r="H282" s="158"/>
      <c r="I282" s="158"/>
      <c r="J282" s="158"/>
      <c r="K282" s="158"/>
      <c r="L282" s="158"/>
      <c r="M282" s="158"/>
      <c r="N282" s="158"/>
      <c r="O282" s="158"/>
      <c r="P282" s="158"/>
      <c r="Q282" s="158"/>
      <c r="R282" s="158"/>
      <c r="S282" s="158"/>
      <c r="T282" s="158"/>
      <c r="U282" s="158"/>
      <c r="V282" s="158"/>
      <c r="W282" s="158"/>
      <c r="X282" s="158"/>
      <c r="Y282" s="158"/>
      <c r="Z282" s="158"/>
      <c r="AA282" s="158"/>
      <c r="AB282" s="158"/>
      <c r="AC282" s="158"/>
      <c r="AD282" s="158"/>
      <c r="AE282" s="158"/>
      <c r="AF282" s="158"/>
      <c r="AG282" s="158"/>
      <c r="AH282" s="158"/>
      <c r="AI282" s="158"/>
      <c r="AJ282" s="158"/>
      <c r="AK282" s="158"/>
      <c r="AL282" s="158"/>
      <c r="AM282" s="158"/>
      <c r="AN282" s="158"/>
      <c r="AO282" s="158"/>
      <c r="AP282" s="158"/>
      <c r="AQ282" s="158"/>
      <c r="AR282" s="158"/>
      <c r="AS282" s="158"/>
      <c r="AT282" s="158"/>
      <c r="AU282" s="158"/>
      <c r="AV282" s="158"/>
      <c r="AW282" s="158"/>
      <c r="AX282" s="158"/>
      <c r="AY282" s="158"/>
      <c r="AZ282" s="158"/>
      <c r="BA282" s="158"/>
      <c r="BB282" s="158"/>
      <c r="BC282" s="158"/>
      <c r="BD282" s="158"/>
      <c r="BE282" s="158"/>
      <c r="BF282" s="158"/>
      <c r="BG282" s="158"/>
      <c r="BH282" s="158"/>
      <c r="BI282" s="158"/>
      <c r="BJ282" s="158"/>
      <c r="BK282" s="158"/>
      <c r="BL282" s="158"/>
      <c r="BM282" s="158"/>
      <c r="BN282" s="158"/>
      <c r="BO282" s="158"/>
      <c r="BP282" s="158"/>
      <c r="BQ282" s="158"/>
      <c r="BR282" s="158"/>
      <c r="BS282" s="158"/>
      <c r="BT282" s="158"/>
      <c r="BU282" s="158"/>
      <c r="BV282" s="158"/>
      <c r="BW282" s="158"/>
      <c r="BX282" s="158"/>
      <c r="BY282" s="158"/>
      <c r="BZ282" s="158"/>
      <c r="CA282" s="158"/>
      <c r="CB282" s="158"/>
      <c r="CC282" s="158"/>
      <c r="CD282" s="158"/>
      <c r="CE282" s="158"/>
      <c r="CF282" s="158"/>
      <c r="CG282" s="158"/>
      <c r="CH282" s="158"/>
      <c r="CI282" s="158"/>
      <c r="CJ282" s="158"/>
      <c r="CK282" s="158"/>
      <c r="CL282" s="158"/>
      <c r="CM282" s="158"/>
      <c r="CN282" s="158"/>
      <c r="CO282" s="158"/>
      <c r="CP282" s="158"/>
      <c r="CQ282" s="158"/>
      <c r="CR282" s="158"/>
      <c r="CS282" s="158"/>
    </row>
    <row r="283" spans="2:97" ht="12.75" customHeight="1" x14ac:dyDescent="0.2">
      <c r="B283" s="158"/>
      <c r="C283" s="158"/>
      <c r="D283" s="158"/>
      <c r="E283" s="158"/>
      <c r="F283" s="158"/>
      <c r="G283" s="158"/>
      <c r="H283" s="158"/>
      <c r="I283" s="158"/>
      <c r="J283" s="158"/>
      <c r="K283" s="158"/>
      <c r="L283" s="158"/>
      <c r="M283" s="158"/>
      <c r="N283" s="158"/>
      <c r="O283" s="158"/>
      <c r="P283" s="158"/>
      <c r="Q283" s="158"/>
      <c r="R283" s="158"/>
      <c r="S283" s="158"/>
      <c r="T283" s="158"/>
      <c r="U283" s="158"/>
      <c r="V283" s="158"/>
      <c r="W283" s="158"/>
      <c r="X283" s="158"/>
      <c r="Y283" s="158"/>
      <c r="Z283" s="158"/>
      <c r="AA283" s="158"/>
      <c r="AB283" s="158"/>
      <c r="AC283" s="158"/>
      <c r="AD283" s="158"/>
      <c r="AE283" s="158"/>
      <c r="AF283" s="158"/>
      <c r="AG283" s="158"/>
      <c r="AH283" s="158"/>
      <c r="AI283" s="158"/>
      <c r="AJ283" s="158"/>
      <c r="AK283" s="158"/>
      <c r="AL283" s="158"/>
      <c r="AM283" s="158"/>
      <c r="AN283" s="158"/>
      <c r="AO283" s="158"/>
      <c r="AP283" s="158"/>
      <c r="AQ283" s="158"/>
      <c r="AR283" s="158"/>
      <c r="AS283" s="158"/>
      <c r="AT283" s="158"/>
      <c r="AU283" s="158"/>
      <c r="AV283" s="158"/>
      <c r="AW283" s="158"/>
      <c r="AX283" s="158"/>
      <c r="AY283" s="158"/>
      <c r="AZ283" s="158"/>
      <c r="BA283" s="158"/>
      <c r="BB283" s="158"/>
      <c r="BC283" s="158"/>
      <c r="BD283" s="158"/>
      <c r="BE283" s="158"/>
      <c r="BF283" s="158"/>
      <c r="BG283" s="158"/>
      <c r="BH283" s="158"/>
      <c r="BI283" s="158"/>
      <c r="BJ283" s="158"/>
      <c r="BK283" s="158"/>
      <c r="BL283" s="158"/>
      <c r="BM283" s="158"/>
      <c r="BN283" s="158"/>
      <c r="BO283" s="158"/>
      <c r="BP283" s="158"/>
      <c r="BQ283" s="158"/>
      <c r="BR283" s="158"/>
      <c r="BS283" s="158"/>
      <c r="BT283" s="158"/>
      <c r="BU283" s="158"/>
      <c r="BV283" s="158"/>
      <c r="BW283" s="158"/>
      <c r="BX283" s="158"/>
      <c r="BY283" s="158"/>
      <c r="BZ283" s="158"/>
      <c r="CA283" s="158"/>
      <c r="CB283" s="158"/>
      <c r="CC283" s="158"/>
      <c r="CD283" s="158"/>
      <c r="CE283" s="158"/>
      <c r="CF283" s="158"/>
      <c r="CG283" s="158"/>
      <c r="CH283" s="158"/>
      <c r="CI283" s="158"/>
      <c r="CJ283" s="158"/>
      <c r="CK283" s="158"/>
      <c r="CL283" s="158"/>
      <c r="CM283" s="158"/>
      <c r="CN283" s="158"/>
      <c r="CO283" s="158"/>
      <c r="CP283" s="158"/>
      <c r="CQ283" s="158"/>
      <c r="CR283" s="158"/>
      <c r="CS283" s="158"/>
    </row>
    <row r="284" spans="2:97" ht="12.75" customHeight="1" x14ac:dyDescent="0.2">
      <c r="B284" s="158"/>
      <c r="C284" s="158"/>
      <c r="D284" s="158"/>
      <c r="E284" s="158"/>
      <c r="F284" s="158"/>
      <c r="G284" s="158"/>
      <c r="H284" s="158"/>
      <c r="I284" s="158"/>
      <c r="J284" s="158"/>
      <c r="K284" s="158"/>
      <c r="L284" s="158"/>
      <c r="M284" s="158"/>
      <c r="N284" s="158"/>
      <c r="O284" s="158"/>
      <c r="P284" s="158"/>
      <c r="Q284" s="158"/>
      <c r="R284" s="158"/>
      <c r="S284" s="158"/>
      <c r="T284" s="158"/>
      <c r="U284" s="158"/>
      <c r="V284" s="158"/>
      <c r="W284" s="158"/>
      <c r="X284" s="158"/>
      <c r="Y284" s="158"/>
      <c r="Z284" s="158"/>
      <c r="AA284" s="158"/>
      <c r="AB284" s="158"/>
      <c r="AC284" s="158"/>
      <c r="AD284" s="158"/>
      <c r="AE284" s="158"/>
      <c r="AF284" s="158"/>
      <c r="AG284" s="158"/>
      <c r="AH284" s="158"/>
      <c r="AI284" s="158"/>
      <c r="AJ284" s="158"/>
      <c r="AK284" s="158"/>
      <c r="AL284" s="158"/>
      <c r="AM284" s="158"/>
      <c r="AN284" s="158"/>
      <c r="AO284" s="158"/>
      <c r="AP284" s="158"/>
      <c r="AQ284" s="158"/>
      <c r="AR284" s="158"/>
      <c r="AS284" s="158"/>
      <c r="AT284" s="158"/>
      <c r="AU284" s="158"/>
      <c r="AV284" s="158"/>
      <c r="AW284" s="158"/>
      <c r="AX284" s="158"/>
      <c r="AY284" s="158"/>
      <c r="AZ284" s="158"/>
      <c r="BA284" s="158"/>
      <c r="BB284" s="158"/>
      <c r="BC284" s="158"/>
      <c r="BD284" s="158"/>
      <c r="BE284" s="158"/>
      <c r="BF284" s="158"/>
      <c r="BG284" s="158"/>
      <c r="BH284" s="158"/>
      <c r="BI284" s="158"/>
      <c r="BJ284" s="158"/>
      <c r="BK284" s="158"/>
      <c r="BL284" s="158"/>
      <c r="BM284" s="158"/>
      <c r="BN284" s="158"/>
      <c r="BO284" s="158"/>
      <c r="BP284" s="158"/>
      <c r="BQ284" s="158"/>
      <c r="BR284" s="158"/>
      <c r="BS284" s="158"/>
      <c r="BT284" s="158"/>
      <c r="BU284" s="158"/>
      <c r="BV284" s="158"/>
      <c r="BW284" s="158"/>
      <c r="BX284" s="158"/>
      <c r="BY284" s="158"/>
      <c r="BZ284" s="158"/>
      <c r="CA284" s="158"/>
      <c r="CB284" s="158"/>
      <c r="CC284" s="158"/>
      <c r="CD284" s="158"/>
      <c r="CE284" s="158"/>
      <c r="CF284" s="158"/>
      <c r="CG284" s="158"/>
      <c r="CH284" s="158"/>
      <c r="CI284" s="158"/>
      <c r="CJ284" s="158"/>
      <c r="CK284" s="158"/>
      <c r="CL284" s="158"/>
      <c r="CM284" s="158"/>
      <c r="CN284" s="158"/>
      <c r="CO284" s="158"/>
      <c r="CP284" s="158"/>
      <c r="CQ284" s="158"/>
      <c r="CR284" s="158"/>
      <c r="CS284" s="158"/>
    </row>
    <row r="285" spans="2:97" ht="12.75" customHeight="1" x14ac:dyDescent="0.2">
      <c r="B285" s="158"/>
      <c r="C285" s="158"/>
      <c r="D285" s="158"/>
      <c r="E285" s="158"/>
      <c r="F285" s="158"/>
      <c r="G285" s="158"/>
      <c r="H285" s="158"/>
      <c r="I285" s="158"/>
      <c r="J285" s="158"/>
      <c r="K285" s="158"/>
      <c r="L285" s="158"/>
      <c r="M285" s="158"/>
      <c r="N285" s="158"/>
      <c r="O285" s="158"/>
      <c r="P285" s="158"/>
      <c r="Q285" s="158"/>
      <c r="R285" s="158"/>
      <c r="S285" s="158"/>
      <c r="T285" s="158"/>
      <c r="U285" s="158"/>
      <c r="V285" s="158"/>
      <c r="W285" s="158"/>
      <c r="X285" s="158"/>
      <c r="Y285" s="158"/>
      <c r="Z285" s="158"/>
      <c r="AA285" s="158"/>
      <c r="AB285" s="158"/>
      <c r="AC285" s="158"/>
      <c r="AD285" s="158"/>
      <c r="AE285" s="158"/>
      <c r="AF285" s="158"/>
      <c r="AG285" s="158"/>
      <c r="AH285" s="158"/>
      <c r="AI285" s="158"/>
      <c r="AJ285" s="158"/>
      <c r="AK285" s="158"/>
      <c r="AL285" s="158"/>
      <c r="AM285" s="158"/>
      <c r="AN285" s="158"/>
      <c r="AO285" s="158"/>
      <c r="AP285" s="158"/>
      <c r="AQ285" s="158"/>
      <c r="AR285" s="158"/>
      <c r="AS285" s="158"/>
      <c r="AT285" s="158"/>
      <c r="AU285" s="158"/>
      <c r="AV285" s="158"/>
      <c r="AW285" s="158"/>
      <c r="AX285" s="158"/>
      <c r="AY285" s="158"/>
      <c r="AZ285" s="158"/>
      <c r="BA285" s="158"/>
      <c r="BB285" s="158"/>
      <c r="BC285" s="158"/>
      <c r="BD285" s="158"/>
      <c r="BE285" s="158"/>
      <c r="BF285" s="158"/>
      <c r="BG285" s="158"/>
      <c r="BH285" s="158"/>
      <c r="BI285" s="158"/>
      <c r="BJ285" s="158"/>
      <c r="BK285" s="158"/>
      <c r="BL285" s="158"/>
      <c r="BM285" s="158"/>
      <c r="BN285" s="158"/>
      <c r="BO285" s="158"/>
      <c r="BP285" s="158"/>
      <c r="BQ285" s="158"/>
      <c r="BR285" s="158"/>
      <c r="BS285" s="158"/>
      <c r="BT285" s="158"/>
      <c r="BU285" s="158"/>
      <c r="BV285" s="158"/>
      <c r="BW285" s="158"/>
      <c r="BX285" s="158"/>
      <c r="BY285" s="158"/>
      <c r="BZ285" s="158"/>
      <c r="CA285" s="158"/>
      <c r="CB285" s="158"/>
      <c r="CC285" s="158"/>
      <c r="CD285" s="158"/>
      <c r="CE285" s="158"/>
      <c r="CF285" s="158"/>
      <c r="CG285" s="158"/>
      <c r="CH285" s="158"/>
      <c r="CI285" s="158"/>
      <c r="CJ285" s="158"/>
      <c r="CK285" s="158"/>
      <c r="CL285" s="158"/>
      <c r="CM285" s="158"/>
      <c r="CN285" s="158"/>
      <c r="CO285" s="158"/>
      <c r="CP285" s="158"/>
      <c r="CQ285" s="158"/>
      <c r="CR285" s="158"/>
      <c r="CS285" s="158"/>
    </row>
    <row r="286" spans="2:97" ht="12.75" customHeight="1" x14ac:dyDescent="0.2">
      <c r="B286" s="158"/>
      <c r="C286" s="158"/>
      <c r="D286" s="158"/>
      <c r="E286" s="158"/>
      <c r="F286" s="158"/>
      <c r="G286" s="158"/>
      <c r="H286" s="158"/>
      <c r="I286" s="158"/>
      <c r="J286" s="158"/>
      <c r="K286" s="158"/>
      <c r="L286" s="158"/>
      <c r="M286" s="158"/>
      <c r="N286" s="158"/>
      <c r="O286" s="158"/>
      <c r="P286" s="158"/>
      <c r="Q286" s="158"/>
      <c r="R286" s="158"/>
      <c r="S286" s="158"/>
      <c r="T286" s="158"/>
      <c r="U286" s="158"/>
      <c r="V286" s="158"/>
      <c r="W286" s="158"/>
      <c r="X286" s="158"/>
      <c r="Y286" s="158"/>
      <c r="Z286" s="158"/>
      <c r="AA286" s="158"/>
      <c r="AB286" s="158"/>
      <c r="AC286" s="158"/>
      <c r="AD286" s="158"/>
      <c r="AE286" s="158"/>
      <c r="AF286" s="158"/>
      <c r="AG286" s="158"/>
      <c r="AH286" s="158"/>
      <c r="AI286" s="158"/>
      <c r="AJ286" s="158"/>
      <c r="AK286" s="158"/>
      <c r="AL286" s="158"/>
      <c r="AM286" s="158"/>
      <c r="AN286" s="158"/>
      <c r="AO286" s="158"/>
      <c r="AP286" s="158"/>
      <c r="AQ286" s="158"/>
      <c r="AR286" s="158"/>
      <c r="AS286" s="158"/>
      <c r="AT286" s="158"/>
      <c r="AU286" s="158"/>
      <c r="AV286" s="158"/>
      <c r="AW286" s="158"/>
      <c r="AX286" s="158"/>
      <c r="AY286" s="158"/>
      <c r="AZ286" s="158"/>
      <c r="BA286" s="158"/>
      <c r="BB286" s="158"/>
      <c r="BC286" s="158"/>
      <c r="BD286" s="158"/>
      <c r="BE286" s="158"/>
      <c r="BF286" s="158"/>
      <c r="BG286" s="158"/>
      <c r="BH286" s="158"/>
      <c r="BI286" s="158"/>
      <c r="BJ286" s="158"/>
      <c r="BK286" s="158"/>
      <c r="BL286" s="158"/>
      <c r="BM286" s="158"/>
      <c r="BN286" s="158"/>
      <c r="BO286" s="158"/>
      <c r="BP286" s="158"/>
      <c r="BQ286" s="158"/>
      <c r="BR286" s="158"/>
      <c r="BS286" s="158"/>
      <c r="BT286" s="158"/>
      <c r="BU286" s="158"/>
      <c r="BV286" s="158"/>
      <c r="BW286" s="158"/>
      <c r="BX286" s="158"/>
      <c r="BY286" s="158"/>
      <c r="BZ286" s="158"/>
      <c r="CA286" s="158"/>
      <c r="CB286" s="158"/>
      <c r="CC286" s="158"/>
      <c r="CD286" s="158"/>
      <c r="CE286" s="158"/>
      <c r="CF286" s="158"/>
      <c r="CG286" s="158"/>
      <c r="CH286" s="158"/>
      <c r="CI286" s="158"/>
      <c r="CJ286" s="158"/>
      <c r="CK286" s="158"/>
      <c r="CL286" s="158"/>
      <c r="CM286" s="158"/>
      <c r="CN286" s="158"/>
      <c r="CO286" s="158"/>
      <c r="CP286" s="158"/>
      <c r="CQ286" s="158"/>
      <c r="CR286" s="158"/>
      <c r="CS286" s="158"/>
    </row>
    <row r="287" spans="2:97" x14ac:dyDescent="0.2">
      <c r="B287" s="158"/>
      <c r="C287" s="158"/>
      <c r="D287" s="158"/>
      <c r="E287" s="158"/>
      <c r="F287" s="158"/>
      <c r="G287" s="158"/>
      <c r="H287" s="158"/>
      <c r="I287" s="158"/>
      <c r="J287" s="158"/>
      <c r="K287" s="158"/>
      <c r="L287" s="158"/>
      <c r="M287" s="158"/>
      <c r="N287" s="158"/>
      <c r="O287" s="158"/>
      <c r="P287" s="158"/>
      <c r="Q287" s="158"/>
      <c r="R287" s="158"/>
      <c r="S287" s="158"/>
      <c r="T287" s="158"/>
      <c r="U287" s="158"/>
      <c r="V287" s="158"/>
      <c r="W287" s="158"/>
      <c r="X287" s="158"/>
      <c r="Y287" s="158"/>
      <c r="Z287" s="158"/>
      <c r="AA287" s="158"/>
      <c r="AB287" s="158"/>
      <c r="AC287" s="158"/>
      <c r="AD287" s="158"/>
      <c r="AE287" s="158"/>
      <c r="AF287" s="158"/>
      <c r="AG287" s="158"/>
      <c r="AH287" s="158"/>
      <c r="AI287" s="158"/>
      <c r="AJ287" s="158"/>
      <c r="AK287" s="158"/>
      <c r="AL287" s="158"/>
      <c r="AM287" s="158"/>
      <c r="AN287" s="158"/>
      <c r="AO287" s="158"/>
      <c r="AP287" s="158"/>
      <c r="AQ287" s="158"/>
      <c r="AR287" s="158"/>
      <c r="AS287" s="158"/>
      <c r="AT287" s="158"/>
      <c r="AU287" s="158"/>
      <c r="AV287" s="158"/>
      <c r="AW287" s="158"/>
      <c r="AX287" s="158"/>
      <c r="AY287" s="158"/>
      <c r="AZ287" s="158"/>
      <c r="BA287" s="158"/>
      <c r="BB287" s="158"/>
      <c r="BC287" s="158"/>
      <c r="BD287" s="158"/>
      <c r="BE287" s="158"/>
      <c r="BF287" s="158"/>
      <c r="BG287" s="158"/>
      <c r="BH287" s="158"/>
      <c r="BI287" s="158"/>
      <c r="BJ287" s="158"/>
      <c r="BK287" s="158"/>
      <c r="BL287" s="158"/>
      <c r="BM287" s="158"/>
      <c r="BN287" s="158"/>
      <c r="BO287" s="158"/>
      <c r="BP287" s="158"/>
      <c r="BQ287" s="158"/>
      <c r="BR287" s="158"/>
      <c r="BS287" s="158"/>
      <c r="BT287" s="158"/>
      <c r="BU287" s="158"/>
      <c r="BV287" s="158"/>
      <c r="BW287" s="158"/>
      <c r="BX287" s="158"/>
      <c r="BY287" s="158"/>
      <c r="BZ287" s="158"/>
      <c r="CA287" s="158"/>
      <c r="CB287" s="158"/>
      <c r="CC287" s="158"/>
      <c r="CD287" s="158"/>
      <c r="CE287" s="158"/>
      <c r="CF287" s="158"/>
      <c r="CG287" s="158"/>
      <c r="CH287" s="158"/>
      <c r="CI287" s="158"/>
      <c r="CJ287" s="158"/>
      <c r="CK287" s="158"/>
      <c r="CL287" s="158"/>
      <c r="CM287" s="158"/>
      <c r="CN287" s="158"/>
      <c r="CO287" s="158"/>
      <c r="CP287" s="158"/>
      <c r="CQ287" s="158"/>
      <c r="CR287" s="158"/>
      <c r="CS287" s="158"/>
    </row>
    <row r="288" spans="2:97" x14ac:dyDescent="0.2">
      <c r="B288" s="158"/>
      <c r="C288" s="158"/>
      <c r="D288" s="158"/>
      <c r="E288" s="158"/>
      <c r="F288" s="158"/>
      <c r="G288" s="158"/>
      <c r="H288" s="158"/>
      <c r="I288" s="158"/>
      <c r="J288" s="158"/>
      <c r="K288" s="158"/>
      <c r="L288" s="158"/>
      <c r="M288" s="158"/>
      <c r="N288" s="158"/>
      <c r="O288" s="158"/>
      <c r="P288" s="158"/>
      <c r="Q288" s="158"/>
      <c r="R288" s="158"/>
      <c r="S288" s="158"/>
      <c r="T288" s="158"/>
      <c r="U288" s="158"/>
      <c r="V288" s="158"/>
      <c r="W288" s="158"/>
      <c r="X288" s="158"/>
      <c r="Y288" s="158"/>
      <c r="Z288" s="158"/>
      <c r="AA288" s="158"/>
      <c r="AB288" s="158"/>
      <c r="AC288" s="158"/>
      <c r="AD288" s="158"/>
      <c r="AE288" s="158"/>
      <c r="AF288" s="158"/>
      <c r="AG288" s="158"/>
      <c r="AH288" s="158"/>
      <c r="AI288" s="158"/>
      <c r="AJ288" s="158"/>
      <c r="AK288" s="158"/>
      <c r="AL288" s="158"/>
      <c r="AM288" s="158"/>
      <c r="AN288" s="158"/>
      <c r="AO288" s="158"/>
      <c r="AP288" s="158"/>
      <c r="AQ288" s="158"/>
      <c r="AR288" s="158"/>
      <c r="AS288" s="158"/>
      <c r="AT288" s="158"/>
      <c r="AU288" s="158"/>
      <c r="AV288" s="158"/>
      <c r="AW288" s="158"/>
      <c r="AX288" s="158"/>
      <c r="AY288" s="158"/>
      <c r="AZ288" s="158"/>
      <c r="BA288" s="158"/>
      <c r="BB288" s="158"/>
      <c r="BC288" s="158"/>
      <c r="BD288" s="158"/>
      <c r="BE288" s="158"/>
      <c r="BF288" s="158"/>
      <c r="BG288" s="158"/>
      <c r="BH288" s="158"/>
      <c r="BI288" s="158"/>
      <c r="BJ288" s="158"/>
      <c r="BK288" s="158"/>
      <c r="BL288" s="158"/>
      <c r="BM288" s="158"/>
      <c r="BN288" s="158"/>
      <c r="BO288" s="158"/>
      <c r="BP288" s="158"/>
      <c r="BQ288" s="158"/>
      <c r="BR288" s="158"/>
      <c r="BS288" s="158"/>
      <c r="BT288" s="158"/>
      <c r="BU288" s="158"/>
      <c r="BV288" s="158"/>
      <c r="BW288" s="158"/>
      <c r="BX288" s="158"/>
      <c r="BY288" s="158"/>
      <c r="BZ288" s="158"/>
      <c r="CA288" s="158"/>
      <c r="CB288" s="158"/>
      <c r="CC288" s="158"/>
      <c r="CD288" s="158"/>
      <c r="CE288" s="158"/>
      <c r="CF288" s="158"/>
      <c r="CG288" s="158"/>
      <c r="CH288" s="158"/>
      <c r="CI288" s="158"/>
      <c r="CJ288" s="158"/>
      <c r="CK288" s="158"/>
      <c r="CL288" s="158"/>
      <c r="CM288" s="158"/>
      <c r="CN288" s="158"/>
      <c r="CO288" s="158"/>
      <c r="CP288" s="158"/>
      <c r="CQ288" s="158"/>
      <c r="CR288" s="158"/>
      <c r="CS288" s="158"/>
    </row>
    <row r="289" spans="2:97" x14ac:dyDescent="0.2">
      <c r="B289" s="158"/>
      <c r="C289" s="158"/>
      <c r="D289" s="158"/>
      <c r="E289" s="158"/>
      <c r="F289" s="158"/>
      <c r="G289" s="158"/>
      <c r="H289" s="158"/>
      <c r="I289" s="158"/>
      <c r="J289" s="158"/>
      <c r="K289" s="158"/>
      <c r="L289" s="158"/>
      <c r="M289" s="158"/>
      <c r="N289" s="158"/>
      <c r="O289" s="158"/>
      <c r="P289" s="158"/>
      <c r="Q289" s="158"/>
      <c r="R289" s="158"/>
      <c r="S289" s="158"/>
      <c r="T289" s="158"/>
      <c r="U289" s="158"/>
      <c r="V289" s="158"/>
      <c r="W289" s="158"/>
      <c r="X289" s="158"/>
      <c r="Y289" s="158"/>
      <c r="Z289" s="158"/>
      <c r="AA289" s="158"/>
      <c r="AB289" s="158"/>
      <c r="AC289" s="158"/>
      <c r="AD289" s="158"/>
      <c r="AE289" s="158"/>
      <c r="AF289" s="158"/>
      <c r="AG289" s="158"/>
      <c r="AH289" s="158"/>
      <c r="AI289" s="158"/>
      <c r="AJ289" s="158"/>
      <c r="AK289" s="158"/>
      <c r="AL289" s="158"/>
      <c r="AM289" s="158"/>
      <c r="AN289" s="158"/>
      <c r="AO289" s="158"/>
      <c r="AP289" s="158"/>
      <c r="AQ289" s="158"/>
      <c r="AR289" s="158"/>
      <c r="AS289" s="158"/>
      <c r="AT289" s="158"/>
      <c r="AU289" s="158"/>
      <c r="AV289" s="158"/>
      <c r="AW289" s="158"/>
      <c r="AX289" s="158"/>
      <c r="AY289" s="158"/>
      <c r="AZ289" s="158"/>
      <c r="BA289" s="158"/>
      <c r="BB289" s="158"/>
      <c r="BC289" s="158"/>
      <c r="BD289" s="158"/>
      <c r="BE289" s="158"/>
      <c r="BF289" s="158"/>
      <c r="BG289" s="158"/>
      <c r="BH289" s="158"/>
      <c r="BI289" s="158"/>
      <c r="BJ289" s="158"/>
      <c r="BK289" s="158"/>
      <c r="BL289" s="158"/>
      <c r="BM289" s="158"/>
      <c r="BN289" s="158"/>
      <c r="BO289" s="158"/>
      <c r="BP289" s="158"/>
      <c r="BQ289" s="158"/>
      <c r="BR289" s="158"/>
      <c r="BS289" s="158"/>
      <c r="BT289" s="158"/>
      <c r="BU289" s="158"/>
      <c r="BV289" s="158"/>
      <c r="BW289" s="158"/>
      <c r="BX289" s="158"/>
      <c r="BY289" s="158"/>
      <c r="BZ289" s="158"/>
      <c r="CA289" s="158"/>
      <c r="CB289" s="158"/>
      <c r="CC289" s="158"/>
      <c r="CD289" s="158"/>
      <c r="CE289" s="158"/>
      <c r="CF289" s="158"/>
      <c r="CG289" s="158"/>
      <c r="CH289" s="158"/>
      <c r="CI289" s="158"/>
      <c r="CJ289" s="158"/>
      <c r="CK289" s="158"/>
      <c r="CL289" s="158"/>
      <c r="CM289" s="158"/>
      <c r="CN289" s="158"/>
      <c r="CO289" s="158"/>
      <c r="CP289" s="158"/>
      <c r="CQ289" s="158"/>
      <c r="CR289" s="158"/>
      <c r="CS289" s="158"/>
    </row>
    <row r="290" spans="2:97" x14ac:dyDescent="0.2">
      <c r="B290" s="158"/>
      <c r="C290" s="158"/>
      <c r="D290" s="158"/>
      <c r="E290" s="158"/>
      <c r="F290" s="158"/>
      <c r="G290" s="158"/>
      <c r="H290" s="158"/>
      <c r="I290" s="158"/>
      <c r="J290" s="158"/>
      <c r="K290" s="158"/>
      <c r="L290" s="158"/>
      <c r="M290" s="158"/>
      <c r="N290" s="158"/>
      <c r="O290" s="158"/>
      <c r="P290" s="158"/>
      <c r="Q290" s="158"/>
      <c r="R290" s="158"/>
      <c r="S290" s="158"/>
      <c r="T290" s="158"/>
      <c r="U290" s="158"/>
      <c r="V290" s="158"/>
      <c r="W290" s="158"/>
      <c r="X290" s="158"/>
      <c r="Y290" s="158"/>
      <c r="Z290" s="158"/>
      <c r="AA290" s="158"/>
      <c r="AB290" s="158"/>
      <c r="AC290" s="158"/>
      <c r="AD290" s="158"/>
      <c r="AE290" s="158"/>
      <c r="AF290" s="158"/>
      <c r="AG290" s="158"/>
      <c r="AH290" s="158"/>
      <c r="AI290" s="158"/>
      <c r="AJ290" s="158"/>
      <c r="AK290" s="158"/>
      <c r="AL290" s="158"/>
      <c r="AM290" s="158"/>
      <c r="AN290" s="158"/>
      <c r="AO290" s="158"/>
      <c r="AP290" s="158"/>
      <c r="AQ290" s="158"/>
      <c r="AR290" s="158"/>
      <c r="AS290" s="158"/>
      <c r="AT290" s="158"/>
      <c r="AU290" s="158"/>
      <c r="AV290" s="158"/>
      <c r="AW290" s="158"/>
      <c r="AX290" s="158"/>
      <c r="AY290" s="158"/>
      <c r="AZ290" s="158"/>
      <c r="BA290" s="158"/>
      <c r="BB290" s="158"/>
      <c r="BC290" s="158"/>
      <c r="BD290" s="158"/>
      <c r="BE290" s="158"/>
      <c r="BF290" s="158"/>
      <c r="BG290" s="158"/>
      <c r="BH290" s="158"/>
      <c r="BI290" s="158"/>
      <c r="BJ290" s="158"/>
      <c r="BK290" s="158"/>
      <c r="BL290" s="158"/>
      <c r="BM290" s="158"/>
      <c r="BN290" s="158"/>
      <c r="BO290" s="158"/>
      <c r="BP290" s="158"/>
      <c r="BQ290" s="158"/>
      <c r="BR290" s="158"/>
      <c r="BS290" s="158"/>
      <c r="BT290" s="158"/>
      <c r="BU290" s="158"/>
      <c r="BV290" s="158"/>
      <c r="BW290" s="158"/>
      <c r="BX290" s="158"/>
      <c r="BY290" s="158"/>
      <c r="BZ290" s="158"/>
      <c r="CA290" s="158"/>
      <c r="CB290" s="158"/>
      <c r="CC290" s="158"/>
      <c r="CD290" s="158"/>
      <c r="CE290" s="158"/>
      <c r="CF290" s="158"/>
      <c r="CG290" s="158"/>
      <c r="CH290" s="158"/>
      <c r="CI290" s="158"/>
      <c r="CJ290" s="158"/>
      <c r="CK290" s="158"/>
      <c r="CL290" s="158"/>
      <c r="CM290" s="158"/>
      <c r="CN290" s="158"/>
      <c r="CO290" s="158"/>
      <c r="CP290" s="158"/>
      <c r="CQ290" s="158"/>
      <c r="CR290" s="158"/>
      <c r="CS290" s="158"/>
    </row>
    <row r="291" spans="2:97" x14ac:dyDescent="0.2">
      <c r="B291" s="158"/>
      <c r="C291" s="158"/>
      <c r="D291" s="158"/>
      <c r="E291" s="158"/>
      <c r="F291" s="158"/>
      <c r="G291" s="158"/>
      <c r="H291" s="158"/>
      <c r="I291" s="158"/>
      <c r="J291" s="158"/>
      <c r="K291" s="158"/>
      <c r="L291" s="158"/>
      <c r="M291" s="158"/>
      <c r="N291" s="158"/>
      <c r="O291" s="158"/>
      <c r="P291" s="158"/>
      <c r="Q291" s="158"/>
      <c r="R291" s="158"/>
      <c r="S291" s="158"/>
      <c r="T291" s="158"/>
      <c r="U291" s="158"/>
      <c r="V291" s="158"/>
      <c r="W291" s="158"/>
      <c r="X291" s="158"/>
      <c r="Y291" s="158"/>
      <c r="Z291" s="158"/>
      <c r="AA291" s="158"/>
      <c r="AB291" s="158"/>
      <c r="AC291" s="158"/>
      <c r="AD291" s="158"/>
      <c r="AE291" s="158"/>
      <c r="AF291" s="158"/>
      <c r="AG291" s="158"/>
      <c r="AH291" s="158"/>
      <c r="AI291" s="158"/>
      <c r="AJ291" s="158"/>
      <c r="AK291" s="158"/>
      <c r="AL291" s="158"/>
      <c r="AM291" s="158"/>
      <c r="AN291" s="158"/>
      <c r="AO291" s="158"/>
      <c r="AP291" s="158"/>
      <c r="AQ291" s="158"/>
      <c r="AR291" s="158"/>
      <c r="AS291" s="158"/>
      <c r="AT291" s="158"/>
      <c r="AU291" s="158"/>
      <c r="AV291" s="158"/>
      <c r="AW291" s="158"/>
      <c r="AX291" s="158"/>
      <c r="AY291" s="158"/>
      <c r="AZ291" s="158"/>
      <c r="BA291" s="158"/>
      <c r="BB291" s="158"/>
      <c r="BC291" s="158"/>
      <c r="BD291" s="158"/>
      <c r="BE291" s="158"/>
      <c r="BF291" s="158"/>
      <c r="BG291" s="158"/>
      <c r="BH291" s="158"/>
      <c r="BI291" s="158"/>
      <c r="BJ291" s="158"/>
      <c r="BK291" s="158"/>
      <c r="BL291" s="158"/>
      <c r="BM291" s="158"/>
      <c r="BN291" s="158"/>
      <c r="BO291" s="158"/>
      <c r="BP291" s="158"/>
      <c r="BQ291" s="158"/>
      <c r="BR291" s="158"/>
      <c r="BS291" s="158"/>
      <c r="BT291" s="158"/>
      <c r="BU291" s="158"/>
      <c r="BV291" s="158"/>
      <c r="BW291" s="158"/>
      <c r="BX291" s="158"/>
      <c r="BY291" s="158"/>
      <c r="BZ291" s="158"/>
      <c r="CA291" s="158"/>
      <c r="CB291" s="158"/>
      <c r="CC291" s="158"/>
      <c r="CD291" s="158"/>
      <c r="CE291" s="158"/>
      <c r="CF291" s="158"/>
      <c r="CG291" s="158"/>
      <c r="CH291" s="158"/>
      <c r="CI291" s="158"/>
      <c r="CJ291" s="158"/>
      <c r="CK291" s="158"/>
      <c r="CL291" s="158"/>
      <c r="CM291" s="158"/>
      <c r="CN291" s="158"/>
      <c r="CO291" s="158"/>
      <c r="CP291" s="158"/>
      <c r="CQ291" s="158"/>
      <c r="CR291" s="158"/>
      <c r="CS291" s="158"/>
    </row>
    <row r="292" spans="2:97" x14ac:dyDescent="0.2">
      <c r="B292" s="158"/>
      <c r="C292" s="158"/>
      <c r="D292" s="158"/>
      <c r="E292" s="158"/>
      <c r="F292" s="158"/>
      <c r="G292" s="158"/>
      <c r="H292" s="158"/>
      <c r="I292" s="158"/>
      <c r="J292" s="158"/>
      <c r="K292" s="158"/>
      <c r="L292" s="158"/>
      <c r="M292" s="158"/>
      <c r="N292" s="158"/>
      <c r="O292" s="158"/>
      <c r="P292" s="158"/>
      <c r="Q292" s="158"/>
      <c r="R292" s="158"/>
      <c r="S292" s="158"/>
      <c r="T292" s="158"/>
      <c r="U292" s="158"/>
      <c r="V292" s="158"/>
      <c r="W292" s="158"/>
      <c r="X292" s="158"/>
      <c r="Y292" s="158"/>
      <c r="Z292" s="158"/>
      <c r="AA292" s="158"/>
      <c r="AB292" s="158"/>
      <c r="AC292" s="158"/>
      <c r="AD292" s="158"/>
      <c r="AE292" s="158"/>
      <c r="AF292" s="158"/>
      <c r="AG292" s="158"/>
      <c r="AH292" s="158"/>
      <c r="AI292" s="158"/>
      <c r="AJ292" s="158"/>
      <c r="AK292" s="158"/>
      <c r="AL292" s="158"/>
      <c r="AM292" s="158"/>
      <c r="AN292" s="158"/>
      <c r="AO292" s="158"/>
      <c r="AP292" s="158"/>
      <c r="AQ292" s="158"/>
      <c r="AR292" s="158"/>
      <c r="AS292" s="158"/>
      <c r="AT292" s="158"/>
      <c r="AU292" s="158"/>
      <c r="AV292" s="158"/>
      <c r="AW292" s="158"/>
      <c r="AX292" s="158"/>
      <c r="AY292" s="158"/>
      <c r="AZ292" s="158"/>
      <c r="BA292" s="158"/>
      <c r="BB292" s="158"/>
      <c r="BC292" s="158"/>
      <c r="BD292" s="158"/>
      <c r="BE292" s="158"/>
      <c r="BF292" s="158"/>
      <c r="BG292" s="158"/>
      <c r="BH292" s="158"/>
      <c r="BI292" s="158"/>
      <c r="BJ292" s="158"/>
      <c r="BK292" s="158"/>
      <c r="BL292" s="158"/>
      <c r="BM292" s="158"/>
      <c r="BN292" s="158"/>
      <c r="BO292" s="158"/>
      <c r="BP292" s="158"/>
      <c r="BQ292" s="158"/>
      <c r="BR292" s="158"/>
      <c r="BS292" s="158"/>
      <c r="BT292" s="158"/>
      <c r="BU292" s="158"/>
      <c r="BV292" s="158"/>
      <c r="BW292" s="158"/>
      <c r="BX292" s="158"/>
      <c r="BY292" s="158"/>
      <c r="BZ292" s="158"/>
      <c r="CA292" s="158"/>
      <c r="CB292" s="158"/>
      <c r="CC292" s="158"/>
      <c r="CD292" s="158"/>
      <c r="CE292" s="158"/>
      <c r="CF292" s="158"/>
      <c r="CG292" s="158"/>
      <c r="CH292" s="158"/>
      <c r="CI292" s="158"/>
      <c r="CJ292" s="158"/>
      <c r="CK292" s="158"/>
      <c r="CL292" s="158"/>
      <c r="CM292" s="158"/>
      <c r="CN292" s="158"/>
      <c r="CO292" s="158"/>
      <c r="CP292" s="158"/>
      <c r="CQ292" s="158"/>
      <c r="CR292" s="158"/>
      <c r="CS292" s="158"/>
    </row>
    <row r="293" spans="2:97" x14ac:dyDescent="0.2">
      <c r="B293" s="158"/>
      <c r="C293" s="158"/>
      <c r="D293" s="158"/>
      <c r="E293" s="158"/>
      <c r="F293" s="158"/>
      <c r="G293" s="158"/>
      <c r="H293" s="158"/>
      <c r="I293" s="158"/>
      <c r="J293" s="158"/>
      <c r="K293" s="158"/>
      <c r="L293" s="158"/>
      <c r="M293" s="158"/>
      <c r="N293" s="158"/>
      <c r="O293" s="158"/>
      <c r="P293" s="158"/>
      <c r="Q293" s="158"/>
      <c r="R293" s="158"/>
      <c r="S293" s="158"/>
      <c r="T293" s="158"/>
      <c r="U293" s="158"/>
      <c r="V293" s="158"/>
      <c r="W293" s="158"/>
      <c r="X293" s="158"/>
      <c r="Y293" s="158"/>
      <c r="Z293" s="158"/>
      <c r="AA293" s="158"/>
      <c r="AB293" s="158"/>
      <c r="AC293" s="158"/>
      <c r="AD293" s="158"/>
      <c r="AE293" s="158"/>
      <c r="AF293" s="158"/>
      <c r="AG293" s="158"/>
      <c r="AH293" s="158"/>
      <c r="AI293" s="158"/>
      <c r="AJ293" s="158"/>
      <c r="AK293" s="158"/>
      <c r="AL293" s="158"/>
      <c r="AM293" s="158"/>
      <c r="AN293" s="158"/>
      <c r="AO293" s="158"/>
      <c r="AP293" s="158"/>
      <c r="AQ293" s="158"/>
      <c r="AR293" s="158"/>
      <c r="AS293" s="158"/>
      <c r="AT293" s="158"/>
      <c r="AU293" s="158"/>
      <c r="AV293" s="158"/>
      <c r="AW293" s="158"/>
      <c r="AX293" s="158"/>
      <c r="AY293" s="158"/>
      <c r="AZ293" s="158"/>
      <c r="BA293" s="158"/>
      <c r="BB293" s="158"/>
      <c r="BC293" s="158"/>
      <c r="BD293" s="158"/>
      <c r="BE293" s="158"/>
      <c r="BF293" s="158"/>
      <c r="BG293" s="158"/>
      <c r="BH293" s="158"/>
      <c r="BI293" s="158"/>
      <c r="BJ293" s="158"/>
      <c r="BK293" s="158"/>
      <c r="BL293" s="158"/>
      <c r="BM293" s="158"/>
      <c r="BN293" s="158"/>
      <c r="BO293" s="158"/>
      <c r="BP293" s="158"/>
      <c r="BQ293" s="158"/>
      <c r="BR293" s="158"/>
      <c r="BS293" s="158"/>
      <c r="BT293" s="158"/>
      <c r="BU293" s="158"/>
      <c r="BV293" s="158"/>
      <c r="BW293" s="158"/>
      <c r="BX293" s="158"/>
      <c r="BY293" s="158"/>
      <c r="BZ293" s="158"/>
      <c r="CA293" s="158"/>
      <c r="CB293" s="158"/>
      <c r="CC293" s="158"/>
      <c r="CD293" s="158"/>
      <c r="CE293" s="158"/>
      <c r="CF293" s="158"/>
      <c r="CG293" s="158"/>
      <c r="CH293" s="158"/>
      <c r="CI293" s="158"/>
      <c r="CJ293" s="158"/>
      <c r="CK293" s="158"/>
      <c r="CL293" s="158"/>
      <c r="CM293" s="158"/>
      <c r="CN293" s="158"/>
      <c r="CO293" s="158"/>
      <c r="CP293" s="158"/>
      <c r="CQ293" s="158"/>
      <c r="CR293" s="158"/>
      <c r="CS293" s="158"/>
    </row>
    <row r="294" spans="2:97" x14ac:dyDescent="0.2">
      <c r="B294" s="158"/>
      <c r="C294" s="158"/>
      <c r="D294" s="158"/>
      <c r="E294" s="158"/>
      <c r="F294" s="158"/>
      <c r="G294" s="158"/>
      <c r="H294" s="158"/>
      <c r="I294" s="158"/>
      <c r="J294" s="158"/>
      <c r="K294" s="158"/>
      <c r="L294" s="158"/>
      <c r="M294" s="158"/>
      <c r="N294" s="158"/>
      <c r="O294" s="158"/>
      <c r="P294" s="158"/>
      <c r="Q294" s="158"/>
      <c r="R294" s="158"/>
      <c r="S294" s="158"/>
      <c r="T294" s="158"/>
      <c r="U294" s="158"/>
      <c r="V294" s="158"/>
      <c r="W294" s="158"/>
      <c r="X294" s="158"/>
      <c r="Y294" s="158"/>
      <c r="Z294" s="158"/>
      <c r="AA294" s="158"/>
      <c r="AB294" s="158"/>
      <c r="AC294" s="158"/>
      <c r="AD294" s="158"/>
      <c r="AE294" s="158"/>
      <c r="AF294" s="158"/>
      <c r="AG294" s="158"/>
      <c r="AH294" s="158"/>
      <c r="AI294" s="158"/>
      <c r="AJ294" s="158"/>
      <c r="AK294" s="158"/>
      <c r="AL294" s="158"/>
      <c r="AM294" s="158"/>
      <c r="AN294" s="158"/>
      <c r="AO294" s="158"/>
      <c r="AP294" s="158"/>
      <c r="AQ294" s="158"/>
      <c r="AR294" s="158"/>
      <c r="AS294" s="158"/>
      <c r="AT294" s="158"/>
      <c r="AU294" s="158"/>
      <c r="AV294" s="158"/>
      <c r="AW294" s="158"/>
      <c r="AX294" s="158"/>
      <c r="AY294" s="158"/>
      <c r="AZ294" s="158"/>
      <c r="BA294" s="158"/>
      <c r="BB294" s="158"/>
      <c r="BC294" s="158"/>
      <c r="BD294" s="158"/>
      <c r="BE294" s="158"/>
      <c r="BF294" s="158"/>
      <c r="BG294" s="158"/>
      <c r="BH294" s="158"/>
      <c r="BI294" s="158"/>
      <c r="BJ294" s="158"/>
      <c r="BK294" s="158"/>
      <c r="BL294" s="158"/>
      <c r="BM294" s="158"/>
      <c r="BN294" s="158"/>
      <c r="BO294" s="158"/>
      <c r="BP294" s="158"/>
      <c r="BQ294" s="158"/>
      <c r="BR294" s="158"/>
      <c r="BS294" s="158"/>
      <c r="BT294" s="158"/>
      <c r="BU294" s="158"/>
      <c r="BV294" s="158"/>
      <c r="BW294" s="158"/>
      <c r="BX294" s="158"/>
      <c r="BY294" s="158"/>
      <c r="BZ294" s="158"/>
      <c r="CA294" s="158"/>
      <c r="CB294" s="158"/>
      <c r="CC294" s="158"/>
      <c r="CD294" s="158"/>
      <c r="CE294" s="158"/>
      <c r="CF294" s="158"/>
      <c r="CG294" s="158"/>
      <c r="CH294" s="158"/>
      <c r="CI294" s="158"/>
      <c r="CJ294" s="158"/>
      <c r="CK294" s="158"/>
      <c r="CL294" s="158"/>
      <c r="CM294" s="158"/>
      <c r="CN294" s="158"/>
      <c r="CO294" s="158"/>
      <c r="CP294" s="158"/>
      <c r="CQ294" s="158"/>
      <c r="CR294" s="158"/>
      <c r="CS294" s="158"/>
    </row>
    <row r="295" spans="2:97" ht="12.75" customHeight="1" x14ac:dyDescent="0.2">
      <c r="B295" s="158"/>
      <c r="C295" s="158"/>
      <c r="D295" s="158"/>
      <c r="E295" s="158"/>
      <c r="F295" s="158"/>
      <c r="G295" s="158"/>
      <c r="H295" s="158"/>
      <c r="I295" s="158"/>
      <c r="J295" s="158"/>
      <c r="K295" s="158"/>
      <c r="L295" s="158"/>
      <c r="M295" s="158"/>
      <c r="N295" s="158"/>
      <c r="O295" s="158"/>
      <c r="P295" s="158"/>
      <c r="Q295" s="158"/>
      <c r="R295" s="158"/>
      <c r="S295" s="158"/>
      <c r="T295" s="158"/>
      <c r="U295" s="158"/>
      <c r="V295" s="158"/>
      <c r="W295" s="158"/>
      <c r="X295" s="158"/>
      <c r="Y295" s="158"/>
      <c r="Z295" s="158"/>
      <c r="AA295" s="158"/>
      <c r="AB295" s="158"/>
      <c r="AC295" s="158"/>
      <c r="AD295" s="158"/>
      <c r="AE295" s="158"/>
      <c r="AF295" s="158"/>
      <c r="AG295" s="158"/>
      <c r="AH295" s="158"/>
      <c r="AI295" s="158"/>
      <c r="AJ295" s="158"/>
      <c r="AK295" s="158"/>
      <c r="AL295" s="158"/>
      <c r="AM295" s="158"/>
      <c r="AN295" s="158"/>
      <c r="AO295" s="158"/>
      <c r="AP295" s="158"/>
      <c r="AQ295" s="158"/>
      <c r="AR295" s="158"/>
      <c r="AS295" s="158"/>
      <c r="AT295" s="158"/>
      <c r="AU295" s="158"/>
      <c r="AV295" s="158"/>
      <c r="AW295" s="158"/>
      <c r="AX295" s="158"/>
      <c r="AY295" s="158"/>
      <c r="AZ295" s="158"/>
      <c r="BA295" s="158"/>
      <c r="BB295" s="158"/>
      <c r="BC295" s="158"/>
      <c r="BD295" s="158"/>
      <c r="BE295" s="158"/>
      <c r="BF295" s="158"/>
      <c r="BG295" s="158"/>
      <c r="BH295" s="158"/>
      <c r="BI295" s="158"/>
      <c r="BJ295" s="158"/>
      <c r="BK295" s="158"/>
      <c r="BL295" s="158"/>
      <c r="BM295" s="158"/>
      <c r="BN295" s="158"/>
      <c r="BO295" s="158"/>
      <c r="BP295" s="158"/>
      <c r="BQ295" s="158"/>
      <c r="BR295" s="158"/>
      <c r="BS295" s="158"/>
      <c r="BT295" s="158"/>
      <c r="BU295" s="158"/>
      <c r="BV295" s="158"/>
      <c r="BW295" s="158"/>
      <c r="BX295" s="158"/>
      <c r="BY295" s="158"/>
      <c r="BZ295" s="158"/>
      <c r="CA295" s="158"/>
      <c r="CB295" s="158"/>
      <c r="CC295" s="158"/>
      <c r="CD295" s="158"/>
      <c r="CE295" s="158"/>
      <c r="CF295" s="158"/>
      <c r="CG295" s="158"/>
      <c r="CH295" s="158"/>
      <c r="CI295" s="158"/>
      <c r="CJ295" s="158"/>
      <c r="CK295" s="158"/>
      <c r="CL295" s="158"/>
      <c r="CM295" s="158"/>
      <c r="CN295" s="158"/>
      <c r="CO295" s="158"/>
      <c r="CP295" s="158"/>
      <c r="CQ295" s="158"/>
      <c r="CR295" s="158"/>
      <c r="CS295" s="158"/>
    </row>
    <row r="296" spans="2:97" x14ac:dyDescent="0.2">
      <c r="B296" s="158"/>
      <c r="C296" s="158"/>
      <c r="D296" s="158"/>
      <c r="E296" s="158"/>
      <c r="F296" s="158"/>
      <c r="G296" s="158"/>
      <c r="H296" s="158"/>
      <c r="I296" s="158"/>
      <c r="J296" s="158"/>
      <c r="K296" s="158"/>
      <c r="L296" s="158"/>
      <c r="M296" s="158"/>
      <c r="N296" s="158"/>
      <c r="O296" s="158"/>
      <c r="P296" s="158"/>
      <c r="Q296" s="158"/>
      <c r="R296" s="158"/>
      <c r="S296" s="158"/>
      <c r="T296" s="158"/>
      <c r="U296" s="158"/>
      <c r="V296" s="158"/>
      <c r="W296" s="158"/>
      <c r="X296" s="158"/>
      <c r="Y296" s="158"/>
      <c r="Z296" s="158"/>
      <c r="AA296" s="158"/>
      <c r="AB296" s="158"/>
      <c r="AC296" s="158"/>
      <c r="AD296" s="158"/>
      <c r="AE296" s="158"/>
      <c r="AF296" s="158"/>
      <c r="AG296" s="158"/>
      <c r="AH296" s="158"/>
      <c r="AI296" s="158"/>
      <c r="AJ296" s="158"/>
      <c r="AK296" s="158"/>
      <c r="AL296" s="158"/>
      <c r="AM296" s="158"/>
      <c r="AN296" s="158"/>
      <c r="AO296" s="158"/>
      <c r="AP296" s="158"/>
      <c r="AQ296" s="158"/>
      <c r="AR296" s="158"/>
      <c r="AS296" s="158"/>
      <c r="AT296" s="158"/>
      <c r="AU296" s="158"/>
      <c r="AV296" s="158"/>
      <c r="AW296" s="158"/>
      <c r="AX296" s="158"/>
      <c r="AY296" s="158"/>
      <c r="AZ296" s="158"/>
      <c r="BA296" s="158"/>
      <c r="BB296" s="158"/>
      <c r="BC296" s="158"/>
      <c r="BD296" s="158"/>
      <c r="BE296" s="158"/>
      <c r="BF296" s="158"/>
      <c r="BG296" s="158"/>
      <c r="BH296" s="158"/>
      <c r="BI296" s="158"/>
      <c r="BJ296" s="158"/>
      <c r="BK296" s="158"/>
      <c r="BL296" s="158"/>
      <c r="BM296" s="158"/>
      <c r="BN296" s="158"/>
      <c r="BO296" s="158"/>
      <c r="BP296" s="158"/>
      <c r="BQ296" s="158"/>
      <c r="BR296" s="158"/>
      <c r="BS296" s="158"/>
      <c r="BT296" s="158"/>
      <c r="BU296" s="158"/>
      <c r="BV296" s="158"/>
      <c r="BW296" s="158"/>
      <c r="BX296" s="158"/>
      <c r="BY296" s="158"/>
      <c r="BZ296" s="158"/>
      <c r="CA296" s="158"/>
      <c r="CB296" s="158"/>
      <c r="CC296" s="158"/>
      <c r="CD296" s="158"/>
      <c r="CE296" s="158"/>
      <c r="CF296" s="158"/>
      <c r="CG296" s="158"/>
      <c r="CH296" s="158"/>
      <c r="CI296" s="158"/>
      <c r="CJ296" s="158"/>
      <c r="CK296" s="158"/>
      <c r="CL296" s="158"/>
      <c r="CM296" s="158"/>
      <c r="CN296" s="158"/>
      <c r="CO296" s="158"/>
      <c r="CP296" s="158"/>
      <c r="CQ296" s="158"/>
      <c r="CR296" s="158"/>
      <c r="CS296" s="158"/>
    </row>
    <row r="297" spans="2:97" x14ac:dyDescent="0.2">
      <c r="B297" s="158"/>
      <c r="C297" s="158"/>
      <c r="D297" s="158"/>
      <c r="E297" s="158"/>
      <c r="F297" s="158"/>
      <c r="G297" s="158"/>
      <c r="H297" s="158"/>
      <c r="I297" s="158"/>
      <c r="J297" s="158"/>
      <c r="K297" s="158"/>
      <c r="L297" s="158"/>
      <c r="M297" s="158"/>
      <c r="N297" s="158"/>
      <c r="O297" s="158"/>
      <c r="P297" s="158"/>
      <c r="Q297" s="158"/>
      <c r="R297" s="158"/>
      <c r="S297" s="158"/>
      <c r="T297" s="158"/>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c r="AW297" s="158"/>
      <c r="AX297" s="158"/>
      <c r="AY297" s="158"/>
      <c r="AZ297" s="158"/>
      <c r="BA297" s="158"/>
      <c r="BB297" s="158"/>
      <c r="BC297" s="158"/>
      <c r="BD297" s="158"/>
      <c r="BE297" s="158"/>
      <c r="BF297" s="158"/>
      <c r="BG297" s="158"/>
      <c r="BH297" s="158"/>
      <c r="BI297" s="158"/>
      <c r="BJ297" s="158"/>
      <c r="BK297" s="158"/>
      <c r="BL297" s="158"/>
      <c r="BM297" s="158"/>
      <c r="BN297" s="158"/>
      <c r="BO297" s="158"/>
      <c r="BP297" s="158"/>
      <c r="BQ297" s="158"/>
      <c r="BR297" s="158"/>
      <c r="BS297" s="158"/>
      <c r="BT297" s="158"/>
      <c r="BU297" s="158"/>
      <c r="BV297" s="158"/>
      <c r="BW297" s="158"/>
      <c r="BX297" s="158"/>
      <c r="BY297" s="158"/>
      <c r="BZ297" s="158"/>
      <c r="CA297" s="158"/>
      <c r="CB297" s="158"/>
      <c r="CC297" s="158"/>
      <c r="CD297" s="158"/>
      <c r="CE297" s="158"/>
      <c r="CF297" s="158"/>
      <c r="CG297" s="158"/>
      <c r="CH297" s="158"/>
      <c r="CI297" s="158"/>
      <c r="CJ297" s="158"/>
      <c r="CK297" s="158"/>
      <c r="CL297" s="158"/>
      <c r="CM297" s="158"/>
      <c r="CN297" s="158"/>
      <c r="CO297" s="158"/>
      <c r="CP297" s="158"/>
      <c r="CQ297" s="158"/>
      <c r="CR297" s="158"/>
      <c r="CS297" s="158"/>
    </row>
    <row r="298" spans="2:97" x14ac:dyDescent="0.2">
      <c r="B298" s="158"/>
      <c r="C298" s="158"/>
      <c r="D298" s="158"/>
      <c r="E298" s="158"/>
      <c r="F298" s="158"/>
      <c r="G298" s="158"/>
      <c r="H298" s="158"/>
      <c r="I298" s="158"/>
      <c r="J298" s="158"/>
      <c r="K298" s="158"/>
      <c r="L298" s="158"/>
      <c r="M298" s="158"/>
      <c r="N298" s="158"/>
      <c r="O298" s="158"/>
      <c r="P298" s="158"/>
      <c r="Q298" s="158"/>
      <c r="R298" s="158"/>
      <c r="S298" s="158"/>
      <c r="T298" s="158"/>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c r="AW298" s="158"/>
      <c r="AX298" s="158"/>
      <c r="AY298" s="158"/>
      <c r="AZ298" s="158"/>
      <c r="BA298" s="158"/>
      <c r="BB298" s="158"/>
      <c r="BC298" s="158"/>
      <c r="BD298" s="158"/>
      <c r="BE298" s="158"/>
      <c r="BF298" s="158"/>
      <c r="BG298" s="158"/>
      <c r="BH298" s="158"/>
      <c r="BI298" s="158"/>
      <c r="BJ298" s="158"/>
      <c r="BK298" s="158"/>
      <c r="BL298" s="158"/>
      <c r="BM298" s="158"/>
      <c r="BN298" s="158"/>
      <c r="BO298" s="158"/>
      <c r="BP298" s="158"/>
      <c r="BQ298" s="158"/>
      <c r="BR298" s="158"/>
      <c r="BS298" s="158"/>
      <c r="BT298" s="158"/>
      <c r="BU298" s="158"/>
      <c r="BV298" s="158"/>
      <c r="BW298" s="158"/>
      <c r="BX298" s="158"/>
      <c r="BY298" s="158"/>
      <c r="BZ298" s="158"/>
      <c r="CA298" s="158"/>
      <c r="CB298" s="158"/>
      <c r="CC298" s="158"/>
      <c r="CD298" s="158"/>
      <c r="CE298" s="158"/>
      <c r="CF298" s="158"/>
      <c r="CG298" s="158"/>
      <c r="CH298" s="158"/>
      <c r="CI298" s="158"/>
      <c r="CJ298" s="158"/>
      <c r="CK298" s="158"/>
      <c r="CL298" s="158"/>
      <c r="CM298" s="158"/>
      <c r="CN298" s="158"/>
      <c r="CO298" s="158"/>
      <c r="CP298" s="158"/>
      <c r="CQ298" s="158"/>
      <c r="CR298" s="158"/>
      <c r="CS298" s="158"/>
    </row>
    <row r="299" spans="2:97" x14ac:dyDescent="0.2">
      <c r="B299" s="158"/>
      <c r="C299" s="158"/>
      <c r="D299" s="158"/>
      <c r="E299" s="158"/>
      <c r="F299" s="158"/>
      <c r="G299" s="158"/>
      <c r="H299" s="158"/>
      <c r="I299" s="158"/>
      <c r="J299" s="158"/>
      <c r="K299" s="158"/>
      <c r="L299" s="158"/>
      <c r="M299" s="158"/>
      <c r="N299" s="158"/>
      <c r="O299" s="158"/>
      <c r="P299" s="158"/>
      <c r="Q299" s="158"/>
      <c r="R299" s="158"/>
      <c r="S299" s="158"/>
      <c r="T299" s="158"/>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c r="AW299" s="158"/>
      <c r="AX299" s="158"/>
      <c r="AY299" s="158"/>
      <c r="AZ299" s="158"/>
      <c r="BA299" s="158"/>
      <c r="BB299" s="158"/>
      <c r="BC299" s="158"/>
      <c r="BD299" s="158"/>
      <c r="BE299" s="158"/>
      <c r="BF299" s="158"/>
      <c r="BG299" s="158"/>
      <c r="BH299" s="158"/>
      <c r="BI299" s="158"/>
      <c r="BJ299" s="158"/>
      <c r="BK299" s="158"/>
      <c r="BL299" s="158"/>
      <c r="BM299" s="158"/>
      <c r="BN299" s="158"/>
      <c r="BO299" s="158"/>
      <c r="BP299" s="158"/>
      <c r="BQ299" s="158"/>
      <c r="BR299" s="158"/>
      <c r="BS299" s="158"/>
      <c r="BT299" s="158"/>
      <c r="BU299" s="158"/>
      <c r="BV299" s="158"/>
      <c r="BW299" s="158"/>
      <c r="BX299" s="158"/>
      <c r="BY299" s="158"/>
      <c r="BZ299" s="158"/>
      <c r="CA299" s="158"/>
      <c r="CB299" s="158"/>
      <c r="CC299" s="158"/>
      <c r="CD299" s="158"/>
      <c r="CE299" s="158"/>
      <c r="CF299" s="158"/>
      <c r="CG299" s="158"/>
      <c r="CH299" s="158"/>
      <c r="CI299" s="158"/>
      <c r="CJ299" s="158"/>
      <c r="CK299" s="158"/>
      <c r="CL299" s="158"/>
      <c r="CM299" s="158"/>
      <c r="CN299" s="158"/>
      <c r="CO299" s="158"/>
      <c r="CP299" s="158"/>
      <c r="CQ299" s="158"/>
      <c r="CR299" s="158"/>
      <c r="CS299" s="158"/>
    </row>
    <row r="300" spans="2:97" x14ac:dyDescent="0.2">
      <c r="B300" s="158"/>
      <c r="C300" s="158"/>
      <c r="D300" s="158"/>
      <c r="E300" s="158"/>
      <c r="F300" s="158"/>
      <c r="G300" s="158"/>
      <c r="H300" s="158"/>
      <c r="I300" s="158"/>
      <c r="J300" s="158"/>
      <c r="K300" s="158"/>
      <c r="L300" s="158"/>
      <c r="M300" s="158"/>
      <c r="N300" s="158"/>
      <c r="O300" s="158"/>
      <c r="P300" s="158"/>
      <c r="Q300" s="158"/>
      <c r="R300" s="158"/>
      <c r="S300" s="158"/>
      <c r="T300" s="158"/>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c r="AW300" s="158"/>
      <c r="AX300" s="158"/>
      <c r="AY300" s="158"/>
      <c r="AZ300" s="158"/>
      <c r="BA300" s="158"/>
      <c r="BB300" s="158"/>
      <c r="BC300" s="158"/>
      <c r="BD300" s="158"/>
      <c r="BE300" s="158"/>
      <c r="BF300" s="158"/>
      <c r="BG300" s="158"/>
      <c r="BH300" s="158"/>
      <c r="BI300" s="158"/>
      <c r="BJ300" s="158"/>
      <c r="BK300" s="158"/>
      <c r="BL300" s="158"/>
      <c r="BM300" s="158"/>
      <c r="BN300" s="158"/>
      <c r="BO300" s="158"/>
      <c r="BP300" s="158"/>
      <c r="BQ300" s="158"/>
      <c r="BR300" s="158"/>
      <c r="BS300" s="158"/>
      <c r="BT300" s="158"/>
      <c r="BU300" s="158"/>
      <c r="BV300" s="158"/>
      <c r="BW300" s="158"/>
      <c r="BX300" s="158"/>
      <c r="BY300" s="158"/>
      <c r="BZ300" s="158"/>
      <c r="CA300" s="158"/>
      <c r="CB300" s="158"/>
      <c r="CC300" s="158"/>
      <c r="CD300" s="158"/>
      <c r="CE300" s="158"/>
      <c r="CF300" s="158"/>
      <c r="CG300" s="158"/>
      <c r="CH300" s="158"/>
      <c r="CI300" s="158"/>
      <c r="CJ300" s="158"/>
      <c r="CK300" s="158"/>
      <c r="CL300" s="158"/>
      <c r="CM300" s="158"/>
      <c r="CN300" s="158"/>
      <c r="CO300" s="158"/>
      <c r="CP300" s="158"/>
      <c r="CQ300" s="158"/>
      <c r="CR300" s="158"/>
      <c r="CS300" s="158"/>
    </row>
    <row r="301" spans="2:97" x14ac:dyDescent="0.2">
      <c r="B301" s="158"/>
      <c r="C301" s="158"/>
      <c r="D301" s="158"/>
      <c r="E301" s="158"/>
      <c r="F301" s="158"/>
      <c r="G301" s="158"/>
      <c r="H301" s="158"/>
      <c r="I301" s="158"/>
      <c r="J301" s="158"/>
      <c r="K301" s="158"/>
      <c r="L301" s="158"/>
      <c r="M301" s="158"/>
      <c r="N301" s="158"/>
      <c r="O301" s="158"/>
      <c r="P301" s="158"/>
      <c r="Q301" s="158"/>
      <c r="R301" s="158"/>
      <c r="S301" s="158"/>
      <c r="T301" s="158"/>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c r="AW301" s="158"/>
      <c r="AX301" s="158"/>
      <c r="AY301" s="158"/>
      <c r="AZ301" s="158"/>
      <c r="BA301" s="158"/>
      <c r="BB301" s="158"/>
      <c r="BC301" s="158"/>
      <c r="BD301" s="158"/>
      <c r="BE301" s="158"/>
      <c r="BF301" s="158"/>
      <c r="BG301" s="158"/>
      <c r="BH301" s="158"/>
      <c r="BI301" s="158"/>
      <c r="BJ301" s="158"/>
      <c r="BK301" s="158"/>
      <c r="BL301" s="158"/>
      <c r="BM301" s="158"/>
      <c r="BN301" s="158"/>
      <c r="BO301" s="158"/>
      <c r="BP301" s="158"/>
      <c r="BQ301" s="158"/>
      <c r="BR301" s="158"/>
      <c r="BS301" s="158"/>
      <c r="BT301" s="158"/>
      <c r="BU301" s="158"/>
      <c r="BV301" s="158"/>
      <c r="BW301" s="158"/>
      <c r="BX301" s="158"/>
      <c r="BY301" s="158"/>
      <c r="BZ301" s="158"/>
      <c r="CA301" s="158"/>
      <c r="CB301" s="158"/>
      <c r="CC301" s="158"/>
      <c r="CD301" s="158"/>
      <c r="CE301" s="158"/>
      <c r="CF301" s="158"/>
      <c r="CG301" s="158"/>
      <c r="CH301" s="158"/>
      <c r="CI301" s="158"/>
      <c r="CJ301" s="158"/>
      <c r="CK301" s="158"/>
      <c r="CL301" s="158"/>
      <c r="CM301" s="158"/>
      <c r="CN301" s="158"/>
      <c r="CO301" s="158"/>
      <c r="CP301" s="158"/>
      <c r="CQ301" s="158"/>
      <c r="CR301" s="158"/>
      <c r="CS301" s="158"/>
    </row>
    <row r="302" spans="2:97" x14ac:dyDescent="0.2">
      <c r="B302" s="158"/>
      <c r="C302" s="158"/>
      <c r="D302" s="158"/>
      <c r="E302" s="158"/>
      <c r="F302" s="158"/>
      <c r="G302" s="158"/>
      <c r="H302" s="158"/>
      <c r="I302" s="158"/>
      <c r="J302" s="158"/>
      <c r="K302" s="158"/>
      <c r="L302" s="158"/>
      <c r="M302" s="158"/>
      <c r="N302" s="158"/>
      <c r="O302" s="158"/>
      <c r="P302" s="158"/>
      <c r="Q302" s="158"/>
      <c r="R302" s="158"/>
      <c r="S302" s="158"/>
      <c r="T302" s="158"/>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c r="AW302" s="158"/>
      <c r="AX302" s="158"/>
      <c r="AY302" s="158"/>
      <c r="AZ302" s="158"/>
      <c r="BA302" s="158"/>
      <c r="BB302" s="158"/>
      <c r="BC302" s="158"/>
      <c r="BD302" s="158"/>
      <c r="BE302" s="158"/>
      <c r="BF302" s="158"/>
      <c r="BG302" s="158"/>
      <c r="BH302" s="158"/>
      <c r="BI302" s="158"/>
      <c r="BJ302" s="158"/>
      <c r="BK302" s="158"/>
      <c r="BL302" s="158"/>
      <c r="BM302" s="158"/>
      <c r="BN302" s="158"/>
      <c r="BO302" s="158"/>
      <c r="BP302" s="158"/>
      <c r="BQ302" s="158"/>
      <c r="BR302" s="158"/>
      <c r="BS302" s="158"/>
      <c r="BT302" s="158"/>
      <c r="BU302" s="158"/>
      <c r="BV302" s="158"/>
      <c r="BW302" s="158"/>
      <c r="BX302" s="158"/>
      <c r="BY302" s="158"/>
      <c r="BZ302" s="158"/>
      <c r="CA302" s="158"/>
      <c r="CB302" s="158"/>
      <c r="CC302" s="158"/>
      <c r="CD302" s="158"/>
      <c r="CE302" s="158"/>
      <c r="CF302" s="158"/>
      <c r="CG302" s="158"/>
      <c r="CH302" s="158"/>
      <c r="CI302" s="158"/>
      <c r="CJ302" s="158"/>
      <c r="CK302" s="158"/>
      <c r="CL302" s="158"/>
      <c r="CM302" s="158"/>
      <c r="CN302" s="158"/>
      <c r="CO302" s="158"/>
      <c r="CP302" s="158"/>
      <c r="CQ302" s="158"/>
      <c r="CR302" s="158"/>
      <c r="CS302" s="158"/>
    </row>
    <row r="303" spans="2:97" x14ac:dyDescent="0.2">
      <c r="B303" s="158"/>
      <c r="C303" s="158"/>
      <c r="D303" s="158"/>
      <c r="E303" s="158"/>
      <c r="F303" s="158"/>
      <c r="G303" s="158"/>
      <c r="H303" s="158"/>
      <c r="I303" s="158"/>
      <c r="J303" s="158"/>
      <c r="K303" s="158"/>
      <c r="L303" s="158"/>
      <c r="M303" s="158"/>
      <c r="N303" s="158"/>
      <c r="O303" s="158"/>
      <c r="P303" s="158"/>
      <c r="Q303" s="158"/>
      <c r="R303" s="158"/>
      <c r="S303" s="158"/>
      <c r="T303" s="158"/>
      <c r="U303" s="158"/>
      <c r="V303" s="158"/>
      <c r="W303" s="158"/>
      <c r="X303" s="158"/>
      <c r="Y303" s="158"/>
      <c r="Z303" s="158"/>
      <c r="AA303" s="158"/>
      <c r="AB303" s="158"/>
      <c r="AC303" s="158"/>
      <c r="AD303" s="158"/>
      <c r="AE303" s="158"/>
      <c r="AF303" s="158"/>
      <c r="AG303" s="158"/>
      <c r="AH303" s="158"/>
      <c r="AI303" s="158"/>
      <c r="AJ303" s="158"/>
      <c r="AK303" s="158"/>
      <c r="AL303" s="158"/>
      <c r="AM303" s="158"/>
      <c r="AN303" s="158"/>
      <c r="AO303" s="158"/>
      <c r="AP303" s="158"/>
      <c r="AQ303" s="158"/>
      <c r="AR303" s="158"/>
      <c r="AS303" s="158"/>
      <c r="AT303" s="158"/>
      <c r="AU303" s="158"/>
      <c r="AV303" s="158"/>
      <c r="AW303" s="158"/>
      <c r="AX303" s="158"/>
      <c r="AY303" s="158"/>
      <c r="AZ303" s="158"/>
      <c r="BA303" s="158"/>
      <c r="BB303" s="158"/>
      <c r="BC303" s="158"/>
      <c r="BD303" s="158"/>
      <c r="BE303" s="158"/>
      <c r="BF303" s="158"/>
      <c r="BG303" s="158"/>
      <c r="BH303" s="158"/>
      <c r="BI303" s="158"/>
      <c r="BJ303" s="158"/>
      <c r="BK303" s="158"/>
      <c r="BL303" s="158"/>
      <c r="BM303" s="158"/>
      <c r="BN303" s="158"/>
      <c r="BO303" s="158"/>
      <c r="BP303" s="158"/>
      <c r="BQ303" s="158"/>
      <c r="BR303" s="158"/>
      <c r="BS303" s="158"/>
      <c r="BT303" s="158"/>
      <c r="BU303" s="158"/>
      <c r="BV303" s="158"/>
      <c r="BW303" s="158"/>
      <c r="BX303" s="158"/>
      <c r="BY303" s="158"/>
      <c r="BZ303" s="158"/>
      <c r="CA303" s="158"/>
      <c r="CB303" s="158"/>
      <c r="CC303" s="158"/>
      <c r="CD303" s="158"/>
      <c r="CE303" s="158"/>
      <c r="CF303" s="158"/>
      <c r="CG303" s="158"/>
      <c r="CH303" s="158"/>
      <c r="CI303" s="158"/>
      <c r="CJ303" s="158"/>
      <c r="CK303" s="158"/>
      <c r="CL303" s="158"/>
      <c r="CM303" s="158"/>
      <c r="CN303" s="158"/>
      <c r="CO303" s="158"/>
      <c r="CP303" s="158"/>
      <c r="CQ303" s="158"/>
      <c r="CR303" s="158"/>
      <c r="CS303" s="158"/>
    </row>
    <row r="304" spans="2:97" x14ac:dyDescent="0.2">
      <c r="B304" s="158"/>
      <c r="C304" s="158"/>
      <c r="D304" s="158"/>
      <c r="E304" s="158"/>
      <c r="F304" s="158"/>
      <c r="G304" s="158"/>
      <c r="H304" s="158"/>
      <c r="I304" s="158"/>
      <c r="J304" s="158"/>
      <c r="K304" s="158"/>
      <c r="L304" s="158"/>
      <c r="M304" s="158"/>
      <c r="N304" s="158"/>
      <c r="O304" s="158"/>
      <c r="P304" s="158"/>
      <c r="Q304" s="158"/>
      <c r="R304" s="158"/>
      <c r="S304" s="158"/>
      <c r="T304" s="158"/>
      <c r="U304" s="158"/>
      <c r="V304" s="158"/>
      <c r="W304" s="158"/>
      <c r="X304" s="158"/>
      <c r="Y304" s="158"/>
      <c r="Z304" s="158"/>
      <c r="AA304" s="158"/>
      <c r="AB304" s="158"/>
      <c r="AC304" s="158"/>
      <c r="AD304" s="158"/>
      <c r="AE304" s="158"/>
      <c r="AF304" s="158"/>
      <c r="AG304" s="158"/>
      <c r="AH304" s="158"/>
      <c r="AI304" s="158"/>
      <c r="AJ304" s="158"/>
      <c r="AK304" s="158"/>
      <c r="AL304" s="158"/>
      <c r="AM304" s="158"/>
      <c r="AN304" s="158"/>
      <c r="AO304" s="158"/>
      <c r="AP304" s="158"/>
      <c r="AQ304" s="158"/>
      <c r="AR304" s="158"/>
      <c r="AS304" s="158"/>
      <c r="AT304" s="158"/>
      <c r="AU304" s="158"/>
      <c r="AV304" s="158"/>
      <c r="AW304" s="158"/>
      <c r="AX304" s="158"/>
      <c r="AY304" s="158"/>
      <c r="AZ304" s="158"/>
      <c r="BA304" s="158"/>
      <c r="BB304" s="158"/>
      <c r="BC304" s="158"/>
      <c r="BD304" s="158"/>
      <c r="BE304" s="158"/>
      <c r="BF304" s="158"/>
      <c r="BG304" s="158"/>
      <c r="BH304" s="158"/>
      <c r="BI304" s="158"/>
      <c r="BJ304" s="158"/>
      <c r="BK304" s="158"/>
      <c r="BL304" s="158"/>
      <c r="BM304" s="158"/>
      <c r="BN304" s="158"/>
      <c r="BO304" s="158"/>
      <c r="BP304" s="158"/>
      <c r="BQ304" s="158"/>
      <c r="BR304" s="158"/>
      <c r="BS304" s="158"/>
      <c r="BT304" s="158"/>
      <c r="BU304" s="158"/>
      <c r="BV304" s="158"/>
      <c r="BW304" s="158"/>
      <c r="BX304" s="158"/>
      <c r="BY304" s="158"/>
      <c r="BZ304" s="158"/>
      <c r="CA304" s="158"/>
      <c r="CB304" s="158"/>
      <c r="CC304" s="158"/>
      <c r="CD304" s="158"/>
      <c r="CE304" s="158"/>
      <c r="CF304" s="158"/>
      <c r="CG304" s="158"/>
      <c r="CH304" s="158"/>
      <c r="CI304" s="158"/>
      <c r="CJ304" s="158"/>
      <c r="CK304" s="158"/>
      <c r="CL304" s="158"/>
      <c r="CM304" s="158"/>
      <c r="CN304" s="158"/>
      <c r="CO304" s="158"/>
      <c r="CP304" s="158"/>
      <c r="CQ304" s="158"/>
      <c r="CR304" s="158"/>
      <c r="CS304" s="158"/>
    </row>
    <row r="305" spans="2:97" x14ac:dyDescent="0.2">
      <c r="B305" s="158"/>
      <c r="C305" s="158"/>
      <c r="D305" s="158"/>
      <c r="E305" s="158"/>
      <c r="F305" s="158"/>
      <c r="G305" s="158"/>
      <c r="H305" s="158"/>
      <c r="I305" s="158"/>
      <c r="J305" s="158"/>
      <c r="K305" s="158"/>
      <c r="L305" s="158"/>
      <c r="M305" s="158"/>
      <c r="N305" s="158"/>
      <c r="O305" s="158"/>
      <c r="P305" s="158"/>
      <c r="Q305" s="158"/>
      <c r="R305" s="158"/>
      <c r="S305" s="158"/>
      <c r="T305" s="158"/>
      <c r="U305" s="158"/>
      <c r="V305" s="158"/>
      <c r="W305" s="158"/>
      <c r="X305" s="158"/>
      <c r="Y305" s="158"/>
      <c r="Z305" s="158"/>
      <c r="AA305" s="158"/>
      <c r="AB305" s="158"/>
      <c r="AC305" s="158"/>
      <c r="AD305" s="158"/>
      <c r="AE305" s="158"/>
      <c r="AF305" s="158"/>
      <c r="AG305" s="158"/>
      <c r="AH305" s="158"/>
      <c r="AI305" s="158"/>
      <c r="AJ305" s="158"/>
      <c r="AK305" s="158"/>
      <c r="AL305" s="158"/>
      <c r="AM305" s="158"/>
      <c r="AN305" s="158"/>
      <c r="AO305" s="158"/>
      <c r="AP305" s="158"/>
      <c r="AQ305" s="158"/>
      <c r="AR305" s="158"/>
      <c r="AS305" s="158"/>
      <c r="AT305" s="158"/>
      <c r="AU305" s="158"/>
      <c r="AV305" s="158"/>
      <c r="AW305" s="158"/>
      <c r="AX305" s="158"/>
      <c r="AY305" s="158"/>
      <c r="AZ305" s="158"/>
      <c r="BA305" s="158"/>
      <c r="BB305" s="158"/>
      <c r="BC305" s="158"/>
      <c r="BD305" s="158"/>
      <c r="BE305" s="158"/>
      <c r="BF305" s="158"/>
      <c r="BG305" s="158"/>
      <c r="BH305" s="158"/>
      <c r="BI305" s="158"/>
      <c r="BJ305" s="158"/>
      <c r="BK305" s="158"/>
      <c r="BL305" s="158"/>
      <c r="BM305" s="158"/>
      <c r="BN305" s="158"/>
      <c r="BO305" s="158"/>
      <c r="BP305" s="158"/>
      <c r="BQ305" s="158"/>
      <c r="BR305" s="158"/>
      <c r="BS305" s="158"/>
      <c r="BT305" s="158"/>
      <c r="BU305" s="158"/>
      <c r="BV305" s="158"/>
      <c r="BW305" s="158"/>
      <c r="BX305" s="158"/>
      <c r="BY305" s="158"/>
      <c r="BZ305" s="158"/>
      <c r="CA305" s="158"/>
      <c r="CB305" s="158"/>
      <c r="CC305" s="158"/>
      <c r="CD305" s="158"/>
      <c r="CE305" s="158"/>
      <c r="CF305" s="158"/>
      <c r="CG305" s="158"/>
      <c r="CH305" s="158"/>
      <c r="CI305" s="158"/>
      <c r="CJ305" s="158"/>
      <c r="CK305" s="158"/>
      <c r="CL305" s="158"/>
      <c r="CM305" s="158"/>
      <c r="CN305" s="158"/>
      <c r="CO305" s="158"/>
      <c r="CP305" s="158"/>
      <c r="CQ305" s="158"/>
      <c r="CR305" s="158"/>
      <c r="CS305" s="158"/>
    </row>
    <row r="306" spans="2:97" x14ac:dyDescent="0.2">
      <c r="B306" s="158"/>
      <c r="C306" s="158"/>
      <c r="D306" s="158"/>
      <c r="E306" s="158"/>
      <c r="F306" s="158"/>
      <c r="G306" s="158"/>
      <c r="H306" s="158"/>
      <c r="I306" s="158"/>
      <c r="J306" s="158"/>
      <c r="K306" s="158"/>
      <c r="L306" s="158"/>
      <c r="M306" s="158"/>
      <c r="N306" s="158"/>
      <c r="O306" s="158"/>
      <c r="P306" s="158"/>
      <c r="Q306" s="158"/>
      <c r="R306" s="158"/>
      <c r="S306" s="158"/>
      <c r="T306" s="158"/>
      <c r="U306" s="158"/>
      <c r="V306" s="158"/>
      <c r="W306" s="158"/>
      <c r="X306" s="158"/>
      <c r="Y306" s="158"/>
      <c r="Z306" s="158"/>
      <c r="AA306" s="158"/>
      <c r="AB306" s="158"/>
      <c r="AC306" s="158"/>
      <c r="AD306" s="158"/>
      <c r="AE306" s="158"/>
      <c r="AF306" s="158"/>
      <c r="AG306" s="158"/>
      <c r="AH306" s="158"/>
      <c r="AI306" s="158"/>
      <c r="AJ306" s="158"/>
      <c r="AK306" s="158"/>
      <c r="AL306" s="158"/>
      <c r="AM306" s="158"/>
      <c r="AN306" s="158"/>
      <c r="AO306" s="158"/>
      <c r="AP306" s="158"/>
      <c r="AQ306" s="158"/>
      <c r="AR306" s="158"/>
      <c r="AS306" s="158"/>
      <c r="AT306" s="158"/>
      <c r="AU306" s="158"/>
      <c r="AV306" s="158"/>
      <c r="AW306" s="158"/>
      <c r="AX306" s="158"/>
      <c r="AY306" s="158"/>
      <c r="AZ306" s="158"/>
      <c r="BA306" s="158"/>
      <c r="BB306" s="158"/>
      <c r="BC306" s="158"/>
      <c r="BD306" s="158"/>
      <c r="BE306" s="158"/>
      <c r="BF306" s="158"/>
      <c r="BG306" s="158"/>
      <c r="BH306" s="158"/>
      <c r="BI306" s="158"/>
      <c r="BJ306" s="158"/>
      <c r="BK306" s="158"/>
      <c r="BL306" s="158"/>
      <c r="BM306" s="158"/>
      <c r="BN306" s="158"/>
      <c r="BO306" s="158"/>
      <c r="BP306" s="158"/>
      <c r="BQ306" s="158"/>
      <c r="BR306" s="158"/>
      <c r="BS306" s="158"/>
      <c r="BT306" s="158"/>
      <c r="BU306" s="158"/>
      <c r="BV306" s="158"/>
      <c r="BW306" s="158"/>
      <c r="BX306" s="158"/>
      <c r="BY306" s="158"/>
      <c r="BZ306" s="158"/>
      <c r="CA306" s="158"/>
      <c r="CB306" s="158"/>
      <c r="CC306" s="158"/>
      <c r="CD306" s="158"/>
      <c r="CE306" s="158"/>
      <c r="CF306" s="158"/>
      <c r="CG306" s="158"/>
      <c r="CH306" s="158"/>
      <c r="CI306" s="158"/>
      <c r="CJ306" s="158"/>
      <c r="CK306" s="158"/>
      <c r="CL306" s="158"/>
      <c r="CM306" s="158"/>
      <c r="CN306" s="158"/>
      <c r="CO306" s="158"/>
      <c r="CP306" s="158"/>
      <c r="CQ306" s="158"/>
      <c r="CR306" s="158"/>
      <c r="CS306" s="158"/>
    </row>
    <row r="307" spans="2:97" x14ac:dyDescent="0.2">
      <c r="B307" s="158"/>
      <c r="C307" s="158"/>
      <c r="D307" s="158"/>
      <c r="E307" s="158"/>
      <c r="F307" s="158"/>
      <c r="G307" s="158"/>
      <c r="H307" s="158"/>
      <c r="I307" s="158"/>
      <c r="J307" s="158"/>
      <c r="K307" s="158"/>
      <c r="L307" s="158"/>
      <c r="M307" s="158"/>
      <c r="N307" s="158"/>
      <c r="O307" s="158"/>
      <c r="P307" s="158"/>
      <c r="Q307" s="158"/>
      <c r="R307" s="158"/>
      <c r="S307" s="158"/>
      <c r="T307" s="158"/>
      <c r="U307" s="158"/>
      <c r="V307" s="158"/>
      <c r="W307" s="158"/>
      <c r="X307" s="158"/>
      <c r="Y307" s="158"/>
      <c r="Z307" s="158"/>
      <c r="AA307" s="158"/>
      <c r="AB307" s="158"/>
      <c r="AC307" s="158"/>
      <c r="AD307" s="158"/>
      <c r="AE307" s="158"/>
      <c r="AF307" s="158"/>
      <c r="AG307" s="158"/>
      <c r="AH307" s="158"/>
      <c r="AI307" s="158"/>
      <c r="AJ307" s="158"/>
      <c r="AK307" s="158"/>
      <c r="AL307" s="158"/>
      <c r="AM307" s="158"/>
      <c r="AN307" s="158"/>
      <c r="AO307" s="158"/>
      <c r="AP307" s="158"/>
      <c r="AQ307" s="158"/>
      <c r="AR307" s="158"/>
      <c r="AS307" s="158"/>
      <c r="AT307" s="158"/>
      <c r="AU307" s="158"/>
      <c r="AV307" s="158"/>
      <c r="AW307" s="158"/>
      <c r="AX307" s="158"/>
      <c r="AY307" s="158"/>
      <c r="AZ307" s="158"/>
      <c r="BA307" s="158"/>
      <c r="BB307" s="158"/>
      <c r="BC307" s="158"/>
      <c r="BD307" s="158"/>
      <c r="BE307" s="158"/>
      <c r="BF307" s="158"/>
      <c r="BG307" s="158"/>
      <c r="BH307" s="158"/>
      <c r="BI307" s="158"/>
      <c r="BJ307" s="158"/>
      <c r="BK307" s="158"/>
      <c r="BL307" s="158"/>
      <c r="BM307" s="158"/>
      <c r="BN307" s="158"/>
      <c r="BO307" s="158"/>
      <c r="BP307" s="158"/>
      <c r="BQ307" s="158"/>
      <c r="BR307" s="158"/>
      <c r="BS307" s="158"/>
      <c r="BT307" s="158"/>
      <c r="BU307" s="158"/>
      <c r="BV307" s="158"/>
      <c r="BW307" s="158"/>
      <c r="BX307" s="158"/>
      <c r="BY307" s="158"/>
      <c r="BZ307" s="158"/>
      <c r="CA307" s="158"/>
      <c r="CB307" s="158"/>
      <c r="CC307" s="158"/>
      <c r="CD307" s="158"/>
      <c r="CE307" s="158"/>
      <c r="CF307" s="158"/>
      <c r="CG307" s="158"/>
      <c r="CH307" s="158"/>
      <c r="CI307" s="158"/>
      <c r="CJ307" s="158"/>
      <c r="CK307" s="158"/>
      <c r="CL307" s="158"/>
      <c r="CM307" s="158"/>
      <c r="CN307" s="158"/>
      <c r="CO307" s="158"/>
      <c r="CP307" s="158"/>
      <c r="CQ307" s="158"/>
      <c r="CR307" s="158"/>
      <c r="CS307" s="158"/>
    </row>
    <row r="308" spans="2:97" x14ac:dyDescent="0.2">
      <c r="B308" s="158"/>
      <c r="C308" s="158"/>
      <c r="D308" s="158"/>
      <c r="E308" s="158"/>
      <c r="F308" s="158"/>
      <c r="G308" s="158"/>
      <c r="H308" s="158"/>
      <c r="I308" s="158"/>
      <c r="J308" s="158"/>
      <c r="K308" s="158"/>
      <c r="L308" s="158"/>
      <c r="M308" s="158"/>
      <c r="N308" s="158"/>
      <c r="O308" s="158"/>
      <c r="P308" s="158"/>
      <c r="Q308" s="158"/>
      <c r="R308" s="158"/>
      <c r="S308" s="158"/>
      <c r="T308" s="158"/>
      <c r="U308" s="158"/>
      <c r="V308" s="158"/>
      <c r="W308" s="158"/>
      <c r="X308" s="158"/>
      <c r="Y308" s="158"/>
      <c r="Z308" s="158"/>
      <c r="AA308" s="158"/>
      <c r="AB308" s="158"/>
      <c r="AC308" s="158"/>
      <c r="AD308" s="158"/>
      <c r="AE308" s="158"/>
      <c r="AF308" s="158"/>
      <c r="AG308" s="158"/>
      <c r="AH308" s="158"/>
      <c r="AI308" s="158"/>
      <c r="AJ308" s="158"/>
      <c r="AK308" s="158"/>
      <c r="AL308" s="158"/>
      <c r="AM308" s="158"/>
      <c r="AN308" s="158"/>
      <c r="AO308" s="158"/>
      <c r="AP308" s="158"/>
      <c r="AQ308" s="158"/>
      <c r="AR308" s="158"/>
      <c r="AS308" s="158"/>
      <c r="AT308" s="158"/>
      <c r="AU308" s="158"/>
      <c r="AV308" s="158"/>
      <c r="AW308" s="158"/>
      <c r="AX308" s="158"/>
      <c r="AY308" s="158"/>
      <c r="AZ308" s="158"/>
      <c r="BA308" s="158"/>
      <c r="BB308" s="158"/>
      <c r="BC308" s="158"/>
      <c r="BD308" s="158"/>
      <c r="BE308" s="158"/>
      <c r="BF308" s="158"/>
      <c r="BG308" s="158"/>
      <c r="BH308" s="158"/>
      <c r="BI308" s="158"/>
      <c r="BJ308" s="158"/>
      <c r="BK308" s="158"/>
      <c r="BL308" s="158"/>
      <c r="BM308" s="158"/>
      <c r="BN308" s="158"/>
      <c r="BO308" s="158"/>
      <c r="BP308" s="158"/>
      <c r="BQ308" s="158"/>
      <c r="BR308" s="158"/>
      <c r="BS308" s="158"/>
      <c r="BT308" s="158"/>
      <c r="BU308" s="158"/>
      <c r="BV308" s="158"/>
      <c r="BW308" s="158"/>
      <c r="BX308" s="158"/>
      <c r="BY308" s="158"/>
      <c r="BZ308" s="158"/>
      <c r="CA308" s="158"/>
      <c r="CB308" s="158"/>
      <c r="CC308" s="158"/>
      <c r="CD308" s="158"/>
      <c r="CE308" s="158"/>
      <c r="CF308" s="158"/>
      <c r="CG308" s="158"/>
      <c r="CH308" s="158"/>
      <c r="CI308" s="158"/>
      <c r="CJ308" s="158"/>
      <c r="CK308" s="158"/>
      <c r="CL308" s="158"/>
      <c r="CM308" s="158"/>
      <c r="CN308" s="158"/>
      <c r="CO308" s="158"/>
      <c r="CP308" s="158"/>
      <c r="CQ308" s="158"/>
      <c r="CR308" s="158"/>
      <c r="CS308" s="158"/>
    </row>
    <row r="309" spans="2:97" x14ac:dyDescent="0.2">
      <c r="B309" s="158"/>
      <c r="C309" s="158"/>
      <c r="D309" s="158"/>
      <c r="E309" s="158"/>
      <c r="F309" s="158"/>
      <c r="G309" s="158"/>
      <c r="H309" s="158"/>
      <c r="I309" s="158"/>
      <c r="J309" s="158"/>
      <c r="K309" s="158"/>
      <c r="L309" s="158"/>
      <c r="M309" s="158"/>
      <c r="N309" s="158"/>
      <c r="O309" s="158"/>
      <c r="P309" s="158"/>
      <c r="Q309" s="158"/>
      <c r="R309" s="158"/>
      <c r="S309" s="158"/>
      <c r="T309" s="158"/>
      <c r="U309" s="158"/>
      <c r="V309" s="158"/>
      <c r="W309" s="158"/>
      <c r="X309" s="158"/>
      <c r="Y309" s="158"/>
      <c r="Z309" s="158"/>
      <c r="AA309" s="158"/>
      <c r="AB309" s="158"/>
      <c r="AC309" s="158"/>
      <c r="AD309" s="158"/>
      <c r="AE309" s="158"/>
      <c r="AF309" s="158"/>
      <c r="AG309" s="158"/>
      <c r="AH309" s="158"/>
      <c r="AI309" s="158"/>
      <c r="AJ309" s="158"/>
      <c r="AK309" s="158"/>
      <c r="AL309" s="158"/>
      <c r="AM309" s="158"/>
      <c r="AN309" s="158"/>
      <c r="AO309" s="158"/>
      <c r="AP309" s="158"/>
      <c r="AQ309" s="158"/>
      <c r="AR309" s="158"/>
      <c r="AS309" s="158"/>
      <c r="AT309" s="158"/>
      <c r="AU309" s="158"/>
      <c r="AV309" s="158"/>
      <c r="AW309" s="158"/>
      <c r="AX309" s="158"/>
      <c r="AY309" s="158"/>
      <c r="AZ309" s="158"/>
      <c r="BA309" s="158"/>
      <c r="BB309" s="158"/>
      <c r="BC309" s="158"/>
      <c r="BD309" s="158"/>
      <c r="BE309" s="158"/>
      <c r="BF309" s="158"/>
      <c r="BG309" s="158"/>
      <c r="BH309" s="158"/>
      <c r="BI309" s="158"/>
      <c r="BJ309" s="158"/>
      <c r="BK309" s="158"/>
      <c r="BL309" s="158"/>
      <c r="BM309" s="158"/>
      <c r="BN309" s="158"/>
      <c r="BO309" s="158"/>
      <c r="BP309" s="158"/>
      <c r="BQ309" s="158"/>
      <c r="BR309" s="158"/>
      <c r="BS309" s="158"/>
      <c r="BT309" s="158"/>
      <c r="BU309" s="158"/>
      <c r="BV309" s="158"/>
      <c r="BW309" s="158"/>
      <c r="BX309" s="158"/>
      <c r="BY309" s="158"/>
      <c r="BZ309" s="158"/>
      <c r="CA309" s="158"/>
      <c r="CB309" s="158"/>
      <c r="CC309" s="158"/>
      <c r="CD309" s="158"/>
      <c r="CE309" s="158"/>
      <c r="CF309" s="158"/>
      <c r="CG309" s="158"/>
      <c r="CH309" s="158"/>
      <c r="CI309" s="158"/>
      <c r="CJ309" s="158"/>
      <c r="CK309" s="158"/>
      <c r="CL309" s="158"/>
      <c r="CM309" s="158"/>
      <c r="CN309" s="158"/>
      <c r="CO309" s="158"/>
      <c r="CP309" s="158"/>
      <c r="CQ309" s="158"/>
      <c r="CR309" s="158"/>
      <c r="CS309" s="158"/>
    </row>
    <row r="310" spans="2:97" x14ac:dyDescent="0.2">
      <c r="B310" s="158"/>
      <c r="C310" s="158"/>
      <c r="D310" s="158"/>
      <c r="E310" s="158"/>
      <c r="F310" s="158"/>
      <c r="G310" s="158"/>
      <c r="H310" s="158"/>
      <c r="I310" s="158"/>
      <c r="J310" s="158"/>
      <c r="K310" s="158"/>
      <c r="L310" s="158"/>
      <c r="M310" s="158"/>
      <c r="N310" s="158"/>
      <c r="O310" s="158"/>
      <c r="P310" s="158"/>
      <c r="Q310" s="158"/>
      <c r="R310" s="158"/>
      <c r="S310" s="158"/>
      <c r="T310" s="158"/>
      <c r="U310" s="158"/>
      <c r="V310" s="158"/>
      <c r="W310" s="158"/>
      <c r="X310" s="158"/>
      <c r="Y310" s="158"/>
      <c r="Z310" s="158"/>
      <c r="AA310" s="158"/>
      <c r="AB310" s="158"/>
      <c r="AC310" s="158"/>
      <c r="AD310" s="158"/>
      <c r="AE310" s="158"/>
      <c r="AF310" s="158"/>
      <c r="AG310" s="158"/>
      <c r="AH310" s="158"/>
      <c r="AI310" s="158"/>
      <c r="AJ310" s="158"/>
      <c r="AK310" s="158"/>
      <c r="AL310" s="158"/>
      <c r="AM310" s="158"/>
      <c r="AN310" s="158"/>
      <c r="AO310" s="158"/>
      <c r="AP310" s="158"/>
      <c r="AQ310" s="158"/>
      <c r="AR310" s="158"/>
      <c r="AS310" s="158"/>
      <c r="AT310" s="158"/>
      <c r="AU310" s="158"/>
      <c r="AV310" s="158"/>
      <c r="AW310" s="158"/>
      <c r="AX310" s="158"/>
      <c r="AY310" s="158"/>
      <c r="AZ310" s="158"/>
      <c r="BA310" s="158"/>
      <c r="BB310" s="158"/>
      <c r="BC310" s="158"/>
      <c r="BD310" s="158"/>
      <c r="BE310" s="158"/>
      <c r="BF310" s="158"/>
      <c r="BG310" s="158"/>
      <c r="BH310" s="158"/>
      <c r="BI310" s="158"/>
      <c r="BJ310" s="158"/>
      <c r="BK310" s="158"/>
      <c r="BL310" s="158"/>
      <c r="BM310" s="158"/>
      <c r="BN310" s="158"/>
      <c r="BO310" s="158"/>
      <c r="BP310" s="158"/>
      <c r="BQ310" s="158"/>
      <c r="BR310" s="158"/>
      <c r="BS310" s="158"/>
      <c r="BT310" s="158"/>
      <c r="BU310" s="158"/>
      <c r="BV310" s="158"/>
      <c r="BW310" s="158"/>
      <c r="BX310" s="158"/>
      <c r="BY310" s="158"/>
      <c r="BZ310" s="158"/>
      <c r="CA310" s="158"/>
      <c r="CB310" s="158"/>
      <c r="CC310" s="158"/>
      <c r="CD310" s="158"/>
      <c r="CE310" s="158"/>
      <c r="CF310" s="158"/>
      <c r="CG310" s="158"/>
      <c r="CH310" s="158"/>
      <c r="CI310" s="158"/>
      <c r="CJ310" s="158"/>
      <c r="CK310" s="158"/>
      <c r="CL310" s="158"/>
      <c r="CM310" s="158"/>
      <c r="CN310" s="158"/>
      <c r="CO310" s="158"/>
      <c r="CP310" s="158"/>
      <c r="CQ310" s="158"/>
      <c r="CR310" s="158"/>
      <c r="CS310" s="158"/>
    </row>
    <row r="311" spans="2:97" x14ac:dyDescent="0.2">
      <c r="B311" s="158"/>
      <c r="C311" s="158"/>
      <c r="D311" s="158"/>
      <c r="E311" s="158"/>
      <c r="F311" s="158"/>
      <c r="G311" s="158"/>
      <c r="H311" s="158"/>
      <c r="I311" s="158"/>
      <c r="J311" s="158"/>
      <c r="K311" s="158"/>
      <c r="L311" s="158"/>
      <c r="M311" s="158"/>
      <c r="N311" s="158"/>
      <c r="O311" s="158"/>
      <c r="P311" s="158"/>
      <c r="Q311" s="158"/>
      <c r="R311" s="158"/>
      <c r="S311" s="158"/>
      <c r="T311" s="158"/>
      <c r="U311" s="158"/>
      <c r="V311" s="158"/>
      <c r="W311" s="158"/>
      <c r="X311" s="158"/>
      <c r="Y311" s="158"/>
      <c r="Z311" s="158"/>
      <c r="AA311" s="158"/>
      <c r="AB311" s="158"/>
      <c r="AC311" s="158"/>
      <c r="AD311" s="158"/>
      <c r="AE311" s="158"/>
      <c r="AF311" s="158"/>
      <c r="AG311" s="158"/>
      <c r="AH311" s="158"/>
      <c r="AI311" s="158"/>
      <c r="AJ311" s="158"/>
      <c r="AK311" s="158"/>
      <c r="AL311" s="158"/>
      <c r="AM311" s="158"/>
      <c r="AN311" s="158"/>
      <c r="AO311" s="158"/>
      <c r="AP311" s="158"/>
      <c r="AQ311" s="158"/>
      <c r="AR311" s="158"/>
      <c r="AS311" s="158"/>
      <c r="AT311" s="158"/>
      <c r="AU311" s="158"/>
      <c r="AV311" s="158"/>
      <c r="AW311" s="158"/>
      <c r="AX311" s="158"/>
      <c r="AY311" s="158"/>
      <c r="AZ311" s="158"/>
      <c r="BA311" s="158"/>
      <c r="BB311" s="158"/>
      <c r="BC311" s="158"/>
      <c r="BD311" s="158"/>
      <c r="BE311" s="158"/>
      <c r="BF311" s="158"/>
      <c r="BG311" s="158"/>
      <c r="BH311" s="158"/>
      <c r="BI311" s="158"/>
      <c r="BJ311" s="158"/>
      <c r="BK311" s="158"/>
      <c r="BL311" s="158"/>
      <c r="BM311" s="158"/>
      <c r="BN311" s="158"/>
      <c r="BO311" s="158"/>
      <c r="BP311" s="158"/>
      <c r="BQ311" s="158"/>
      <c r="BR311" s="158"/>
      <c r="BS311" s="158"/>
      <c r="BT311" s="158"/>
      <c r="BU311" s="158"/>
      <c r="BV311" s="158"/>
      <c r="BW311" s="158"/>
      <c r="BX311" s="158"/>
      <c r="BY311" s="158"/>
      <c r="BZ311" s="158"/>
      <c r="CA311" s="158"/>
      <c r="CB311" s="158"/>
      <c r="CC311" s="158"/>
      <c r="CD311" s="158"/>
      <c r="CE311" s="158"/>
      <c r="CF311" s="158"/>
      <c r="CG311" s="158"/>
      <c r="CH311" s="158"/>
      <c r="CI311" s="158"/>
      <c r="CJ311" s="158"/>
      <c r="CK311" s="158"/>
      <c r="CL311" s="158"/>
      <c r="CM311" s="158"/>
      <c r="CN311" s="158"/>
      <c r="CO311" s="158"/>
      <c r="CP311" s="158"/>
      <c r="CQ311" s="158"/>
      <c r="CR311" s="158"/>
      <c r="CS311" s="158"/>
    </row>
    <row r="313" spans="2:97" x14ac:dyDescent="0.2">
      <c r="B313" s="53"/>
    </row>
  </sheetData>
  <mergeCells count="14">
    <mergeCell ref="C1:G1"/>
    <mergeCell ref="I1:M1"/>
    <mergeCell ref="O1:S1"/>
    <mergeCell ref="U1:Y1"/>
    <mergeCell ref="AY1:BC1"/>
    <mergeCell ref="AA1:AE1"/>
    <mergeCell ref="AG1:AK1"/>
    <mergeCell ref="BW1:CA1"/>
    <mergeCell ref="CC1:CG1"/>
    <mergeCell ref="AM1:AQ1"/>
    <mergeCell ref="AS1:AW1"/>
    <mergeCell ref="BE1:BI1"/>
    <mergeCell ref="BK1:BO1"/>
    <mergeCell ref="BQ1:BU1"/>
  </mergeCells>
  <phoneticPr fontId="13" type="noConversion"/>
  <printOptions horizontalCentered="1" verticalCentered="1"/>
  <pageMargins left="0" right="0" top="0" bottom="0" header="0" footer="0"/>
  <pageSetup scale="41" orientation="portrait" r:id="rId1"/>
  <headerFooter alignWithMargins="0"/>
  <ignoredErrors>
    <ignoredError sqref="BU57:CG57 BO57 BI174 BO172:BO175 BU174:CG174 BR168 BX168:BY168 CA168:CB168 BU168:BV168 CA172 BU172:BU173 BU175 CG168 BK109:BK111 BR181:BU181 BX181:CF181 BK107:BL108 BL109 AK89:CG89 BM107:BN109 BE124:BM124 AK57:BC57 BR174:BT174 BS47"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L2"/>
  <sheetViews>
    <sheetView workbookViewId="0"/>
  </sheetViews>
  <sheetFormatPr defaultRowHeight="12.75" x14ac:dyDescent="0.2"/>
  <sheetData>
    <row r="1" spans="1:64" x14ac:dyDescent="0.2">
      <c r="A1" t="s">
        <v>465</v>
      </c>
    </row>
    <row r="2" spans="1:64" x14ac:dyDescent="0.2">
      <c r="A2" s="199" t="s">
        <v>0</v>
      </c>
      <c r="B2" s="199" t="s">
        <v>60</v>
      </c>
      <c r="C2" s="199" t="s">
        <v>43</v>
      </c>
      <c r="D2" s="199">
        <v>1.7799999713897701</v>
      </c>
      <c r="E2" s="199" t="s">
        <v>194</v>
      </c>
      <c r="F2" s="199" t="s">
        <v>84</v>
      </c>
      <c r="G2" s="199" t="s">
        <v>89</v>
      </c>
      <c r="H2" s="199" t="s">
        <v>90</v>
      </c>
      <c r="I2" s="199" t="s">
        <v>39</v>
      </c>
      <c r="J2" s="199" t="s">
        <v>370</v>
      </c>
      <c r="K2" s="199" t="s">
        <v>392</v>
      </c>
      <c r="L2" s="199" t="s">
        <v>60</v>
      </c>
      <c r="M2" s="199" t="s">
        <v>41</v>
      </c>
      <c r="N2" s="199" t="s">
        <v>11</v>
      </c>
      <c r="O2" s="199" t="s">
        <v>87</v>
      </c>
      <c r="P2" s="199" t="s">
        <v>591</v>
      </c>
      <c r="Q2" s="199" t="s">
        <v>452</v>
      </c>
      <c r="R2" s="199" t="s">
        <v>460</v>
      </c>
      <c r="S2" s="199" t="s">
        <v>426</v>
      </c>
      <c r="T2" s="199" t="s">
        <v>444</v>
      </c>
      <c r="U2" s="199" t="s">
        <v>448</v>
      </c>
      <c r="V2" s="199" t="s">
        <v>60</v>
      </c>
      <c r="W2" s="199" t="s">
        <v>38</v>
      </c>
      <c r="X2" s="199" t="s">
        <v>427</v>
      </c>
      <c r="Y2" s="199" t="s">
        <v>390</v>
      </c>
      <c r="Z2" s="199" t="s">
        <v>428</v>
      </c>
      <c r="AA2" s="199" t="s">
        <v>450</v>
      </c>
      <c r="AB2" s="199" t="s">
        <v>459</v>
      </c>
      <c r="AC2" s="199" t="s">
        <v>396</v>
      </c>
      <c r="AD2" s="199" t="s">
        <v>458</v>
      </c>
      <c r="AE2" s="199" t="s">
        <v>153</v>
      </c>
      <c r="AF2" s="199" t="s">
        <v>60</v>
      </c>
      <c r="AG2" s="199" t="s">
        <v>451</v>
      </c>
      <c r="AH2" s="199" t="s">
        <v>397</v>
      </c>
      <c r="AI2" s="199" t="s">
        <v>40</v>
      </c>
      <c r="AJ2" s="199" t="s">
        <v>369</v>
      </c>
      <c r="AK2" s="199" t="s">
        <v>463</v>
      </c>
      <c r="AL2" s="199" t="s">
        <v>464</v>
      </c>
      <c r="AM2" s="199" t="s">
        <v>449</v>
      </c>
      <c r="AN2" s="199" t="s">
        <v>60</v>
      </c>
      <c r="AO2" s="199" t="s">
        <v>42</v>
      </c>
      <c r="AP2" s="199" t="s">
        <v>354</v>
      </c>
      <c r="AQ2" s="199" t="s">
        <v>393</v>
      </c>
      <c r="AR2" s="199" t="s">
        <v>455</v>
      </c>
      <c r="AS2" s="199" t="s">
        <v>453</v>
      </c>
      <c r="AT2" s="199" t="s">
        <v>462</v>
      </c>
      <c r="AU2" s="199" t="s">
        <v>389</v>
      </c>
      <c r="AV2" s="199" t="s">
        <v>429</v>
      </c>
      <c r="AW2" s="199" t="s">
        <v>88</v>
      </c>
      <c r="AX2" s="199" t="s">
        <v>355</v>
      </c>
      <c r="AY2" s="199" t="s">
        <v>395</v>
      </c>
      <c r="AZ2" s="199" t="s">
        <v>457</v>
      </c>
      <c r="BA2" s="199" t="s">
        <v>191</v>
      </c>
      <c r="BB2" s="199" t="s">
        <v>445</v>
      </c>
      <c r="BC2" s="199" t="s">
        <v>447</v>
      </c>
      <c r="BD2" s="199" t="s">
        <v>456</v>
      </c>
      <c r="BE2" s="199" t="s">
        <v>446</v>
      </c>
      <c r="BF2" s="199" t="s">
        <v>454</v>
      </c>
      <c r="BG2" s="199" t="s">
        <v>391</v>
      </c>
      <c r="BH2" s="199" t="s">
        <v>430</v>
      </c>
      <c r="BI2" s="199" t="s">
        <v>192</v>
      </c>
      <c r="BJ2" s="199" t="s">
        <v>461</v>
      </c>
      <c r="BK2" s="199" t="s">
        <v>394</v>
      </c>
      <c r="BL2" s="199" t="s">
        <v>60</v>
      </c>
    </row>
  </sheetData>
  <phoneticPr fontId="13"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66CCFF"/>
    <pageSetUpPr fitToPage="1"/>
  </sheetPr>
  <dimension ref="A1:CP177"/>
  <sheetViews>
    <sheetView showGridLines="0" zoomScaleNormal="100" zoomScaleSheetLayoutView="85" workbookViewId="0">
      <pane xSplit="1" ySplit="6" topLeftCell="AK65" activePane="bottomRight" state="frozen"/>
      <selection activeCell="G46" sqref="G46"/>
      <selection pane="topRight" activeCell="G46" sqref="G46"/>
      <selection pane="bottomLeft" activeCell="G46" sqref="G46"/>
      <selection pane="bottomRight" sqref="A1:XFD1048576"/>
    </sheetView>
  </sheetViews>
  <sheetFormatPr defaultRowHeight="12.75" outlineLevelRow="1" outlineLevelCol="1" x14ac:dyDescent="0.2"/>
  <cols>
    <col min="1" max="1" width="25.42578125" customWidth="1"/>
    <col min="2" max="2" width="1.42578125" hidden="1" customWidth="1" outlineLevel="1"/>
    <col min="3" max="6" width="7.28515625" hidden="1" customWidth="1" outlineLevel="1"/>
    <col min="7" max="7" width="7.28515625" hidden="1" customWidth="1" outlineLevel="1" collapsed="1"/>
    <col min="8" max="8" width="1.42578125" hidden="1" customWidth="1" outlineLevel="1"/>
    <col min="9" max="12" width="7.28515625" hidden="1" customWidth="1" outlineLevel="1"/>
    <col min="13" max="13" width="7.28515625" hidden="1" customWidth="1" outlineLevel="1" collapsed="1"/>
    <col min="14" max="14" width="1.42578125" hidden="1" customWidth="1" outlineLevel="1"/>
    <col min="15" max="19" width="7.28515625" hidden="1" customWidth="1" outlineLevel="1"/>
    <col min="20" max="20" width="1.42578125" hidden="1" customWidth="1" outlineLevel="1"/>
    <col min="21" max="25" width="7.28515625" hidden="1" customWidth="1" outlineLevel="1"/>
    <col min="26" max="26" width="1.42578125" hidden="1" customWidth="1" outlineLevel="1"/>
    <col min="27" max="30" width="7.28515625" hidden="1" customWidth="1" outlineLevel="1"/>
    <col min="31" max="31" width="7.28515625" hidden="1" customWidth="1" outlineLevel="1" collapsed="1"/>
    <col min="32" max="32" width="1.42578125" hidden="1" customWidth="1" outlineLevel="1"/>
    <col min="33" max="36" width="7.28515625" hidden="1" customWidth="1" outlineLevel="1"/>
    <col min="37" max="37" width="7.28515625" customWidth="1" collapsed="1"/>
    <col min="38" max="38" width="1.42578125" customWidth="1"/>
    <col min="39" max="42" width="7.28515625" hidden="1" customWidth="1" outlineLevel="1"/>
    <col min="43" max="43" width="7.28515625" customWidth="1" collapsed="1"/>
    <col min="44" max="44" width="1.42578125" customWidth="1"/>
    <col min="45" max="48" width="7.28515625" hidden="1" customWidth="1" outlineLevel="1"/>
    <col min="49" max="49" width="7.28515625" customWidth="1" collapsed="1"/>
    <col min="50" max="50" width="1.42578125" customWidth="1"/>
    <col min="51" max="54" width="7.28515625" hidden="1" customWidth="1" outlineLevel="1"/>
    <col min="55" max="55" width="7.28515625" customWidth="1" collapsed="1"/>
    <col min="56" max="56" width="1.42578125" customWidth="1"/>
    <col min="57" max="60" width="7.28515625" hidden="1" customWidth="1" outlineLevel="1"/>
    <col min="61" max="61" width="7.28515625" customWidth="1" collapsed="1"/>
    <col min="62" max="62" width="1.42578125" customWidth="1"/>
    <col min="63" max="66" width="7.28515625" customWidth="1" outlineLevel="1"/>
    <col min="67" max="67" width="7.28515625" customWidth="1"/>
    <col min="68" max="68" width="1.42578125" customWidth="1"/>
    <col min="69" max="72" width="7.28515625" hidden="1" customWidth="1" outlineLevel="1"/>
    <col min="73" max="73" width="7.28515625" customWidth="1" collapsed="1"/>
    <col min="74" max="74" width="1.42578125" customWidth="1"/>
    <col min="75" max="78" width="7.28515625" hidden="1" customWidth="1" outlineLevel="1"/>
    <col min="79" max="79" width="7.28515625" customWidth="1" collapsed="1"/>
    <col min="80" max="80" width="1.42578125" customWidth="1"/>
    <col min="81" max="84" width="7.28515625" hidden="1" customWidth="1" outlineLevel="1"/>
    <col min="85" max="85" width="7.28515625" customWidth="1" collapsed="1"/>
    <col min="86" max="87" width="7" customWidth="1"/>
    <col min="88" max="88" width="30.5703125" hidden="1" customWidth="1" outlineLevel="1"/>
    <col min="89" max="89" width="7.140625" hidden="1" customWidth="1" outlineLevel="1"/>
    <col min="90" max="93" width="9.140625" hidden="1" customWidth="1" outlineLevel="1"/>
    <col min="94" max="94" width="9.140625" collapsed="1"/>
  </cols>
  <sheetData>
    <row r="1" spans="1:87" x14ac:dyDescent="0.2">
      <c r="A1" s="237" t="s">
        <v>124</v>
      </c>
      <c r="B1" s="61"/>
      <c r="H1" s="61"/>
      <c r="N1" s="61"/>
      <c r="T1" s="61"/>
      <c r="Z1" s="61"/>
      <c r="AF1" s="61"/>
      <c r="AL1" s="61"/>
      <c r="AR1" s="61"/>
      <c r="AX1" s="61"/>
      <c r="BD1" s="61"/>
      <c r="BJ1" s="61"/>
      <c r="BP1" s="61"/>
      <c r="BV1" s="61"/>
      <c r="CB1" s="61"/>
      <c r="CH1" s="42"/>
      <c r="CI1" s="42"/>
    </row>
    <row r="2" spans="1:87" x14ac:dyDescent="0.2">
      <c r="A2" s="8" t="s">
        <v>388</v>
      </c>
      <c r="B2" s="61"/>
      <c r="G2" s="77"/>
      <c r="H2" s="61"/>
      <c r="I2" s="77"/>
      <c r="J2" s="77"/>
      <c r="K2" s="77"/>
      <c r="L2" s="77"/>
      <c r="M2" s="77"/>
      <c r="N2" s="61"/>
      <c r="O2" s="77"/>
      <c r="P2" s="77"/>
      <c r="Q2" s="77"/>
      <c r="R2" s="77"/>
      <c r="S2" s="77"/>
      <c r="T2" s="61"/>
      <c r="U2" s="77"/>
      <c r="Z2" s="61"/>
      <c r="AF2" s="61"/>
      <c r="AL2" s="61"/>
      <c r="AR2" s="61"/>
      <c r="AX2" s="61"/>
      <c r="BD2" s="61"/>
      <c r="BJ2" s="61"/>
      <c r="BP2" s="61"/>
      <c r="BV2" s="61"/>
      <c r="CB2" s="61"/>
      <c r="CH2" s="42"/>
      <c r="CI2" s="42"/>
    </row>
    <row r="3" spans="1:87" x14ac:dyDescent="0.2">
      <c r="A3" s="9" t="s">
        <v>223</v>
      </c>
      <c r="B3" s="2"/>
      <c r="G3" s="345"/>
      <c r="H3" s="2"/>
      <c r="I3" s="77"/>
      <c r="J3" s="77"/>
      <c r="K3" s="77"/>
      <c r="L3" s="77"/>
      <c r="M3" s="345"/>
      <c r="N3" s="2"/>
      <c r="O3" s="77"/>
      <c r="P3" s="77"/>
      <c r="Q3" s="77"/>
      <c r="R3" s="77"/>
      <c r="S3" s="345"/>
      <c r="T3" s="2"/>
      <c r="U3" s="77"/>
      <c r="Y3" s="340"/>
      <c r="Z3" s="2"/>
      <c r="AA3" s="340"/>
      <c r="AB3" s="340"/>
      <c r="AC3" s="340"/>
      <c r="AD3" s="340"/>
      <c r="AE3" s="340"/>
      <c r="AF3" s="2"/>
      <c r="AK3" s="340"/>
      <c r="AL3" s="2"/>
      <c r="AQ3" s="340"/>
      <c r="AR3" s="2"/>
      <c r="AW3" s="340"/>
      <c r="AX3" s="2"/>
      <c r="BC3" s="340"/>
      <c r="BD3" s="2"/>
      <c r="BI3" s="340"/>
      <c r="BJ3" s="2"/>
      <c r="BO3" s="340"/>
      <c r="BP3" s="2"/>
      <c r="BU3" s="340"/>
      <c r="BV3" s="2"/>
      <c r="CA3" s="340"/>
      <c r="CB3" s="2"/>
      <c r="CG3" s="340"/>
      <c r="CH3" s="42"/>
      <c r="CI3" s="42"/>
    </row>
    <row r="4" spans="1:87" x14ac:dyDescent="0.2">
      <c r="A4" s="10" t="s">
        <v>125</v>
      </c>
      <c r="B4" s="2"/>
      <c r="G4" s="340"/>
      <c r="H4" s="2"/>
      <c r="M4" s="340"/>
      <c r="N4" s="2"/>
      <c r="S4" s="340"/>
      <c r="T4" s="2"/>
      <c r="Y4" s="340"/>
      <c r="Z4" s="2"/>
      <c r="AA4" s="340"/>
      <c r="AB4" s="340"/>
      <c r="AC4" s="340"/>
      <c r="AD4" s="340"/>
      <c r="AE4" s="340"/>
      <c r="AF4" s="2"/>
      <c r="AK4" s="340"/>
      <c r="AL4" s="2"/>
      <c r="AQ4" s="340"/>
      <c r="AR4" s="2"/>
      <c r="AW4" s="340"/>
      <c r="AX4" s="2"/>
      <c r="BC4" s="340"/>
      <c r="BD4" s="2"/>
      <c r="BI4" s="340"/>
      <c r="BJ4" s="2"/>
      <c r="BO4" s="340"/>
      <c r="BP4" s="2"/>
      <c r="BU4" s="340"/>
      <c r="BV4" s="2"/>
      <c r="CA4" s="340"/>
      <c r="CB4" s="2"/>
      <c r="CG4" s="340"/>
      <c r="CH4" s="42"/>
      <c r="CI4" s="42"/>
    </row>
    <row r="5" spans="1:87" ht="13.5" thickBot="1" x14ac:dyDescent="0.25">
      <c r="A5" s="340"/>
      <c r="B5" s="2"/>
      <c r="C5" s="1006" t="s">
        <v>208</v>
      </c>
      <c r="D5" s="1006"/>
      <c r="E5" s="1006"/>
      <c r="F5" s="1006"/>
      <c r="G5" s="1006"/>
      <c r="H5" s="2"/>
      <c r="I5" s="1006" t="s">
        <v>209</v>
      </c>
      <c r="J5" s="1006"/>
      <c r="K5" s="1006"/>
      <c r="L5" s="1006"/>
      <c r="M5" s="1006"/>
      <c r="N5" s="2"/>
      <c r="O5" s="1006" t="s">
        <v>210</v>
      </c>
      <c r="P5" s="1006"/>
      <c r="Q5" s="1006"/>
      <c r="R5" s="1006"/>
      <c r="S5" s="1006"/>
      <c r="T5" s="2"/>
      <c r="U5" s="1006" t="s">
        <v>301</v>
      </c>
      <c r="V5" s="1006"/>
      <c r="W5" s="1006"/>
      <c r="X5" s="1006"/>
      <c r="Y5" s="1006"/>
      <c r="Z5" s="2"/>
      <c r="AA5" s="1005" t="s">
        <v>263</v>
      </c>
      <c r="AB5" s="1005"/>
      <c r="AC5" s="1005"/>
      <c r="AD5" s="1005"/>
      <c r="AE5" s="1005"/>
      <c r="AF5" s="2"/>
      <c r="AG5" s="1005" t="str">
        <f>+'P&amp;L'!AG5</f>
        <v>2012A</v>
      </c>
      <c r="AH5" s="1005"/>
      <c r="AI5" s="1005"/>
      <c r="AJ5" s="1005"/>
      <c r="AK5" s="1005"/>
      <c r="AL5" s="2"/>
      <c r="AM5" s="1005" t="str">
        <f>+'P&amp;L'!AM5</f>
        <v>2013A</v>
      </c>
      <c r="AN5" s="1005"/>
      <c r="AO5" s="1005"/>
      <c r="AP5" s="1005"/>
      <c r="AQ5" s="1005"/>
      <c r="AR5" s="2"/>
      <c r="AS5" s="1005" t="str">
        <f>+'P&amp;L'!AS5</f>
        <v>2014A</v>
      </c>
      <c r="AT5" s="1005"/>
      <c r="AU5" s="1005"/>
      <c r="AV5" s="1005"/>
      <c r="AW5" s="1005"/>
      <c r="AX5" s="2"/>
      <c r="AY5" s="1005" t="str">
        <f>+'P&amp;L'!AY5</f>
        <v>2015A</v>
      </c>
      <c r="AZ5" s="1005"/>
      <c r="BA5" s="1005"/>
      <c r="BB5" s="1005"/>
      <c r="BC5" s="1005"/>
      <c r="BD5" s="2"/>
      <c r="BE5" s="1005" t="s">
        <v>505</v>
      </c>
      <c r="BF5" s="1005"/>
      <c r="BG5" s="1005"/>
      <c r="BH5" s="1005"/>
      <c r="BI5" s="1005"/>
      <c r="BJ5" s="2"/>
      <c r="BK5" s="1005" t="str">
        <f>+'P&amp;L'!BK5</f>
        <v>2017A</v>
      </c>
      <c r="BL5" s="1005"/>
      <c r="BM5" s="1005"/>
      <c r="BN5" s="1005"/>
      <c r="BO5" s="1005"/>
      <c r="BP5" s="2"/>
      <c r="BQ5" s="1005" t="str">
        <f>+'P&amp;L'!BQ5</f>
        <v>2018E</v>
      </c>
      <c r="BR5" s="1005"/>
      <c r="BS5" s="1005"/>
      <c r="BT5" s="1005"/>
      <c r="BU5" s="1005"/>
      <c r="BV5" s="2"/>
      <c r="BW5" s="1005" t="str">
        <f>+'P&amp;L'!BW5</f>
        <v>2019E</v>
      </c>
      <c r="BX5" s="1005"/>
      <c r="BY5" s="1005"/>
      <c r="BZ5" s="1005"/>
      <c r="CA5" s="1005"/>
      <c r="CB5" s="2"/>
      <c r="CC5" s="1005" t="str">
        <f>+'P&amp;L'!CC5</f>
        <v>2020E</v>
      </c>
      <c r="CD5" s="1005"/>
      <c r="CE5" s="1005"/>
      <c r="CF5" s="1005"/>
      <c r="CG5" s="1005"/>
      <c r="CH5" s="42"/>
      <c r="CI5" s="42"/>
    </row>
    <row r="6" spans="1:87" x14ac:dyDescent="0.2">
      <c r="A6" s="340"/>
      <c r="B6" s="4"/>
      <c r="C6" s="3">
        <f>+'P&amp;L'!C6</f>
        <v>39172</v>
      </c>
      <c r="D6" s="3">
        <f>+'P&amp;L'!D6</f>
        <v>39263</v>
      </c>
      <c r="E6" s="3">
        <f>+'P&amp;L'!E6</f>
        <v>39355</v>
      </c>
      <c r="F6" s="3">
        <f>+'P&amp;L'!F6</f>
        <v>39447</v>
      </c>
      <c r="G6" s="132" t="str">
        <f>+'P&amp;L'!G6</f>
        <v>2007A</v>
      </c>
      <c r="H6" s="4"/>
      <c r="I6" s="3">
        <f>+'P&amp;L'!I6</f>
        <v>39538</v>
      </c>
      <c r="J6" s="3">
        <f>+'P&amp;L'!J6</f>
        <v>39629</v>
      </c>
      <c r="K6" s="3">
        <f>+'P&amp;L'!K6</f>
        <v>39721</v>
      </c>
      <c r="L6" s="3">
        <f>+'P&amp;L'!L6</f>
        <v>39813</v>
      </c>
      <c r="M6" s="132" t="str">
        <f>+'P&amp;L'!M6</f>
        <v>2008A</v>
      </c>
      <c r="N6" s="4"/>
      <c r="O6" s="3">
        <f>+'P&amp;L'!O6</f>
        <v>39903</v>
      </c>
      <c r="P6" s="3">
        <f>+'P&amp;L'!P6</f>
        <v>39994</v>
      </c>
      <c r="Q6" s="3">
        <f>+'P&amp;L'!Q6</f>
        <v>40086</v>
      </c>
      <c r="R6" s="3">
        <f>+'P&amp;L'!R6</f>
        <v>40178</v>
      </c>
      <c r="S6" s="132" t="str">
        <f>+'P&amp;L'!S6</f>
        <v>2009A</v>
      </c>
      <c r="T6" s="4"/>
      <c r="U6" s="3">
        <f>+'P&amp;L'!U6</f>
        <v>40268</v>
      </c>
      <c r="V6" s="3">
        <f>+'P&amp;L'!V6</f>
        <v>40359</v>
      </c>
      <c r="W6" s="3">
        <f>+'P&amp;L'!W6</f>
        <v>40451</v>
      </c>
      <c r="X6" s="3">
        <f>+'P&amp;L'!X6</f>
        <v>40543</v>
      </c>
      <c r="Y6" s="132" t="str">
        <f>+'P&amp;L'!Y6</f>
        <v>2010A</v>
      </c>
      <c r="Z6" s="4"/>
      <c r="AA6" s="3">
        <f>+'P&amp;L'!AA6</f>
        <v>40633</v>
      </c>
      <c r="AB6" s="3">
        <f>+'P&amp;L'!AB6</f>
        <v>40724</v>
      </c>
      <c r="AC6" s="3">
        <f>+'P&amp;L'!AC6</f>
        <v>40816</v>
      </c>
      <c r="AD6" s="3">
        <f>+'P&amp;L'!AD6</f>
        <v>40908</v>
      </c>
      <c r="AE6" s="225" t="str">
        <f>+'P&amp;L'!AE6</f>
        <v>2011A</v>
      </c>
      <c r="AF6" s="4"/>
      <c r="AG6" s="3">
        <f>+'P&amp;L'!AG6</f>
        <v>40998.25</v>
      </c>
      <c r="AH6" s="3">
        <f>+'P&amp;L'!AH6</f>
        <v>41089.25</v>
      </c>
      <c r="AI6" s="3">
        <f>+'P&amp;L'!AI6</f>
        <v>41181.25</v>
      </c>
      <c r="AJ6" s="3">
        <f>+'P&amp;L'!AJ6</f>
        <v>41273.25</v>
      </c>
      <c r="AK6" s="225" t="str">
        <f>+'P&amp;L'!AK6</f>
        <v>2012A</v>
      </c>
      <c r="AL6" s="4"/>
      <c r="AM6" s="3">
        <f>+'P&amp;L'!AM6</f>
        <v>41363.5</v>
      </c>
      <c r="AN6" s="3">
        <f>+'P&amp;L'!AN6</f>
        <v>41454.5</v>
      </c>
      <c r="AO6" s="3">
        <f>+'P&amp;L'!AO6</f>
        <v>41546.5</v>
      </c>
      <c r="AP6" s="3">
        <f>+'P&amp;L'!AP6</f>
        <v>41638.5</v>
      </c>
      <c r="AQ6" s="225" t="str">
        <f>+'P&amp;L'!AQ6</f>
        <v>2013A</v>
      </c>
      <c r="AR6" s="4"/>
      <c r="AS6" s="3">
        <f>+'P&amp;L'!AS6</f>
        <v>41728.75</v>
      </c>
      <c r="AT6" s="3">
        <f>+'P&amp;L'!AT6</f>
        <v>41819.75</v>
      </c>
      <c r="AU6" s="3">
        <f>+'P&amp;L'!AU6</f>
        <v>41911.75</v>
      </c>
      <c r="AV6" s="3">
        <f>+'P&amp;L'!AV6</f>
        <v>42003.75</v>
      </c>
      <c r="AW6" s="225" t="str">
        <f>+'P&amp;L'!AW6</f>
        <v>2014A</v>
      </c>
      <c r="AX6" s="4"/>
      <c r="AY6" s="3">
        <f>+'P&amp;L'!AY6</f>
        <v>42094</v>
      </c>
      <c r="AZ6" s="3">
        <f>+'P&amp;L'!AZ6</f>
        <v>42185</v>
      </c>
      <c r="BA6" s="3">
        <f>+'P&amp;L'!BA6</f>
        <v>42277</v>
      </c>
      <c r="BB6" s="3">
        <f>+'P&amp;L'!BB6</f>
        <v>42369</v>
      </c>
      <c r="BC6" s="225" t="str">
        <f>+'P&amp;L'!BC6</f>
        <v>2015A</v>
      </c>
      <c r="BD6" s="4"/>
      <c r="BE6" s="3">
        <f>+'P&amp;L'!BE6</f>
        <v>42459.25</v>
      </c>
      <c r="BF6" s="3">
        <f>+'P&amp;L'!BF6</f>
        <v>42550.25</v>
      </c>
      <c r="BG6" s="3">
        <f>+'P&amp;L'!BG6</f>
        <v>42642.25</v>
      </c>
      <c r="BH6" s="3">
        <f>+'P&amp;L'!BH6</f>
        <v>42734.25</v>
      </c>
      <c r="BI6" s="225" t="str">
        <f>+'P&amp;L'!BI6</f>
        <v>2016A</v>
      </c>
      <c r="BJ6" s="4"/>
      <c r="BK6" s="3">
        <f>+'P&amp;L'!BK6</f>
        <v>42824.5</v>
      </c>
      <c r="BL6" s="3">
        <f>+'P&amp;L'!BL6</f>
        <v>42915.5</v>
      </c>
      <c r="BM6" s="3">
        <f>+'P&amp;L'!BM6</f>
        <v>43007.5</v>
      </c>
      <c r="BN6" s="3">
        <f>+'P&amp;L'!BN6</f>
        <v>43099.5</v>
      </c>
      <c r="BO6" s="225" t="str">
        <f>+'P&amp;L'!BO6</f>
        <v>2017A</v>
      </c>
      <c r="BP6" s="4"/>
      <c r="BQ6" s="224">
        <f>+'P&amp;L'!BQ6</f>
        <v>43189.75</v>
      </c>
      <c r="BR6" s="224">
        <f>+'P&amp;L'!BR6</f>
        <v>43280.75</v>
      </c>
      <c r="BS6" s="224">
        <f>+'P&amp;L'!BS6</f>
        <v>43372.75</v>
      </c>
      <c r="BT6" s="224">
        <f>+'P&amp;L'!BT6</f>
        <v>43464.75</v>
      </c>
      <c r="BU6" s="225" t="str">
        <f>+'P&amp;L'!BU6</f>
        <v>2018E</v>
      </c>
      <c r="BV6" s="4"/>
      <c r="BW6" s="224">
        <f>+'P&amp;L'!BW6</f>
        <v>43555</v>
      </c>
      <c r="BX6" s="224">
        <f>+'P&amp;L'!BX6</f>
        <v>43646</v>
      </c>
      <c r="BY6" s="224">
        <f>+'P&amp;L'!BY6</f>
        <v>43738</v>
      </c>
      <c r="BZ6" s="224">
        <f>+'P&amp;L'!BZ6</f>
        <v>43830</v>
      </c>
      <c r="CA6" s="225" t="str">
        <f>+'P&amp;L'!CA6</f>
        <v>2019E</v>
      </c>
      <c r="CB6" s="4"/>
      <c r="CC6" s="224">
        <f>+'P&amp;L'!CC6</f>
        <v>43920.25</v>
      </c>
      <c r="CD6" s="224">
        <f>+'P&amp;L'!CD6</f>
        <v>44011.25</v>
      </c>
      <c r="CE6" s="224">
        <f>+'P&amp;L'!CE6</f>
        <v>44103.25</v>
      </c>
      <c r="CF6" s="224">
        <f>+'P&amp;L'!CF6</f>
        <v>44195.25</v>
      </c>
      <c r="CG6" s="225" t="str">
        <f>+'P&amp;L'!CG6</f>
        <v>2020E</v>
      </c>
      <c r="CH6" s="42"/>
      <c r="CI6" s="42"/>
    </row>
    <row r="7" spans="1:87" x14ac:dyDescent="0.2">
      <c r="A7" s="6" t="s">
        <v>211</v>
      </c>
      <c r="B7" s="4"/>
      <c r="G7" s="340"/>
      <c r="H7" s="4"/>
      <c r="M7" s="340"/>
      <c r="N7" s="4"/>
      <c r="S7" s="340"/>
      <c r="T7" s="4"/>
      <c r="Y7" s="340"/>
      <c r="Z7" s="4"/>
      <c r="AA7" s="57"/>
      <c r="AB7" s="57"/>
      <c r="AC7" s="57"/>
      <c r="AD7" s="57"/>
      <c r="AE7" s="57"/>
      <c r="AF7" s="4"/>
      <c r="AG7" s="57"/>
      <c r="AH7" s="57"/>
      <c r="AI7" s="57"/>
      <c r="AJ7" s="57"/>
      <c r="AK7" s="57"/>
      <c r="AL7" s="4"/>
      <c r="AM7" s="57"/>
      <c r="AN7" s="57"/>
      <c r="AO7" s="57"/>
      <c r="AP7" s="57"/>
      <c r="AQ7" s="57"/>
      <c r="AR7" s="4"/>
      <c r="AS7" s="57"/>
      <c r="AT7" s="57"/>
      <c r="AU7" s="57"/>
      <c r="AV7" s="57"/>
      <c r="AW7" s="57"/>
      <c r="AX7" s="4"/>
      <c r="AY7" s="57"/>
      <c r="AZ7" s="57"/>
      <c r="BA7" s="57"/>
      <c r="BB7" s="57"/>
      <c r="BC7" s="57"/>
      <c r="BD7" s="4"/>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42"/>
      <c r="CI7" s="42"/>
    </row>
    <row r="8" spans="1:87" x14ac:dyDescent="0.2">
      <c r="A8" s="2" t="s">
        <v>6</v>
      </c>
      <c r="B8" s="5"/>
      <c r="C8" s="168">
        <f>+'Cash Flow'!B49</f>
        <v>56.209000000000003</v>
      </c>
      <c r="D8" s="168">
        <f>+'Cash Flow'!C49</f>
        <v>65.593999999999994</v>
      </c>
      <c r="E8" s="168">
        <f>+'Cash Flow'!D49</f>
        <v>87.968999999999994</v>
      </c>
      <c r="F8" s="168">
        <f>+'Cash Flow'!E49</f>
        <v>89.118999999999986</v>
      </c>
      <c r="G8" s="168">
        <f t="shared" ref="G8:G13" si="0">F8</f>
        <v>89.118999999999986</v>
      </c>
      <c r="H8" s="5"/>
      <c r="I8" s="168">
        <f>+'Cash Flow'!H49</f>
        <v>113.67999999999996</v>
      </c>
      <c r="J8" s="168">
        <f>+'Cash Flow'!I49</f>
        <v>64.33899999999997</v>
      </c>
      <c r="K8" s="168">
        <f>+'Cash Flow'!J49</f>
        <v>79.755999999999986</v>
      </c>
      <c r="L8" s="168">
        <f>+'Cash Flow'!K49</f>
        <v>87.1</v>
      </c>
      <c r="M8" s="168">
        <f t="shared" ref="M8:M13" si="1">L8</f>
        <v>87.1</v>
      </c>
      <c r="N8" s="5"/>
      <c r="O8" s="168">
        <f>+'Cash Flow'!N49</f>
        <v>97.050999999999959</v>
      </c>
      <c r="P8" s="168">
        <f>+'Cash Flow'!O49</f>
        <v>122.18199999999996</v>
      </c>
      <c r="Q8" s="168">
        <f>+'Cash Flow'!P49</f>
        <v>135.96099999999996</v>
      </c>
      <c r="R8" s="168">
        <f>+'Cash Flow'!Q49</f>
        <v>166.48699999999991</v>
      </c>
      <c r="S8" s="254">
        <f t="shared" ref="S8:S13" si="2">R8</f>
        <v>166.48699999999991</v>
      </c>
      <c r="T8" s="5"/>
      <c r="U8" s="168">
        <f>+'Cash Flow'!T49</f>
        <v>190.40699999999993</v>
      </c>
      <c r="V8" s="168">
        <f>+'Cash Flow'!U49</f>
        <v>235.80099999999993</v>
      </c>
      <c r="W8" s="168">
        <f>+'Cash Flow'!V49</f>
        <v>264.92399999999992</v>
      </c>
      <c r="X8" s="168">
        <f>+'Cash Flow'!W49</f>
        <v>294.66399999999987</v>
      </c>
      <c r="Y8" s="168">
        <f t="shared" ref="Y8:Y13" si="3">X8</f>
        <v>294.66399999999987</v>
      </c>
      <c r="Z8" s="5"/>
      <c r="AA8" s="168">
        <f>+'Cash Flow'!Z49</f>
        <v>308.60799999999989</v>
      </c>
      <c r="AB8" s="167">
        <v>168.607</v>
      </c>
      <c r="AC8" s="167">
        <v>202.22900000000001</v>
      </c>
      <c r="AD8" s="167">
        <v>240.67500000000001</v>
      </c>
      <c r="AE8" s="168">
        <f t="shared" ref="AE8:AE13" si="4">AD8</f>
        <v>240.67500000000001</v>
      </c>
      <c r="AF8" s="52"/>
      <c r="AG8" s="419">
        <v>224.36099999999999</v>
      </c>
      <c r="AH8" s="419">
        <v>262.79899999999998</v>
      </c>
      <c r="AI8" s="167">
        <v>304.90699999999998</v>
      </c>
      <c r="AJ8" s="167">
        <v>306.38600000000002</v>
      </c>
      <c r="AK8" s="254">
        <f t="shared" ref="AK8:AK13" si="5">AJ8</f>
        <v>306.38600000000002</v>
      </c>
      <c r="AL8" s="52"/>
      <c r="AM8" s="167">
        <v>328.745</v>
      </c>
      <c r="AN8" s="167">
        <v>164.49700000000001</v>
      </c>
      <c r="AO8" s="167">
        <v>175.839</v>
      </c>
      <c r="AP8" s="167">
        <v>242.953</v>
      </c>
      <c r="AQ8" s="254">
        <f t="shared" ref="AQ8:AQ13" si="6">AP8</f>
        <v>242.953</v>
      </c>
      <c r="AR8" s="52"/>
      <c r="AS8" s="167">
        <v>182.76599999999999</v>
      </c>
      <c r="AT8" s="167">
        <v>167.471</v>
      </c>
      <c r="AU8" s="167">
        <v>180.67599999999999</v>
      </c>
      <c r="AV8" s="167">
        <v>199.87100000000001</v>
      </c>
      <c r="AW8" s="254">
        <f t="shared" ref="AW8:AW13" si="7">AV8</f>
        <v>199.87100000000001</v>
      </c>
      <c r="AX8" s="52"/>
      <c r="AY8" s="167">
        <v>189.97800000000001</v>
      </c>
      <c r="AZ8" s="167">
        <v>161.75299999999999</v>
      </c>
      <c r="BA8" s="167">
        <v>174.04</v>
      </c>
      <c r="BB8" s="167">
        <v>167.714</v>
      </c>
      <c r="BC8" s="254">
        <f t="shared" ref="BC8:BC13" si="8">BB8</f>
        <v>167.714</v>
      </c>
      <c r="BD8" s="52"/>
      <c r="BE8" s="167">
        <v>154.41800000000001</v>
      </c>
      <c r="BF8" s="167">
        <v>167.70599999999999</v>
      </c>
      <c r="BG8" s="167">
        <v>419.94799999999998</v>
      </c>
      <c r="BH8" s="829">
        <v>389.27499999999998</v>
      </c>
      <c r="BI8" s="254">
        <f t="shared" ref="BI8:BI13" si="9">BH8</f>
        <v>389.27499999999998</v>
      </c>
      <c r="BJ8" s="52"/>
      <c r="BK8" s="167">
        <v>261.02699999999999</v>
      </c>
      <c r="BL8" s="167">
        <v>358.18200000000002</v>
      </c>
      <c r="BM8" s="167">
        <v>362.613</v>
      </c>
      <c r="BN8" s="829">
        <v>449.51100000000002</v>
      </c>
      <c r="BO8" s="254">
        <f t="shared" ref="BO8:BO13" si="10">BN8</f>
        <v>449.51100000000002</v>
      </c>
      <c r="BP8" s="470"/>
      <c r="BQ8" s="469">
        <f>+'Cash Flow'!BP49</f>
        <v>401.34818807637788</v>
      </c>
      <c r="BR8" s="469">
        <f>+'Cash Flow'!BQ49</f>
        <v>406.59477609408833</v>
      </c>
      <c r="BS8" s="469">
        <f>+'Cash Flow'!BR49</f>
        <v>383.46798777497236</v>
      </c>
      <c r="BT8" s="469">
        <f>+'Cash Flow'!BS49</f>
        <v>403.59098942337386</v>
      </c>
      <c r="BU8" s="469">
        <f t="shared" ref="BU8:BU13" si="11">BT8</f>
        <v>403.59098942337386</v>
      </c>
      <c r="BV8" s="470"/>
      <c r="BW8" s="469">
        <f>+'Cash Flow'!BV49</f>
        <v>408.01666206685667</v>
      </c>
      <c r="BX8" s="469">
        <f>+'Cash Flow'!BW49</f>
        <v>470.86342329483398</v>
      </c>
      <c r="BY8" s="469">
        <f>+'Cash Flow'!BX49</f>
        <v>510.72116793859152</v>
      </c>
      <c r="BZ8" s="469">
        <f>+'Cash Flow'!BY49</f>
        <v>609.08842684248475</v>
      </c>
      <c r="CA8" s="469">
        <f t="shared" ref="CA8:CA13" si="12">BZ8</f>
        <v>609.08842684248475</v>
      </c>
      <c r="CB8" s="470"/>
      <c r="CC8" s="469">
        <f>+'Cash Flow'!CB49</f>
        <v>643.86821552323659</v>
      </c>
      <c r="CD8" s="469">
        <f>+'Cash Flow'!CC49</f>
        <v>751.15138289299966</v>
      </c>
      <c r="CE8" s="469">
        <f>+'Cash Flow'!CD49</f>
        <v>833.16954767329457</v>
      </c>
      <c r="CF8" s="469">
        <f>+'Cash Flow'!CE49</f>
        <v>987.69303895009909</v>
      </c>
      <c r="CG8" s="469">
        <f t="shared" ref="CG8:CG13" si="13">CF8</f>
        <v>987.69303895009909</v>
      </c>
      <c r="CH8" s="42"/>
      <c r="CI8" s="42"/>
    </row>
    <row r="9" spans="1:87" x14ac:dyDescent="0.2">
      <c r="A9" s="2" t="s">
        <v>142</v>
      </c>
      <c r="B9" s="5"/>
      <c r="C9" s="169">
        <v>9.5000000000000001E-2</v>
      </c>
      <c r="D9" s="169">
        <v>9.5000000000000001E-2</v>
      </c>
      <c r="E9" s="169">
        <v>0.02</v>
      </c>
      <c r="F9" s="169">
        <v>2.1000000000000001E-2</v>
      </c>
      <c r="G9" s="83">
        <f t="shared" si="0"/>
        <v>2.1000000000000001E-2</v>
      </c>
      <c r="H9" s="5"/>
      <c r="I9" s="169">
        <v>0</v>
      </c>
      <c r="J9" s="169">
        <v>0</v>
      </c>
      <c r="K9" s="169">
        <v>0</v>
      </c>
      <c r="L9" s="169">
        <v>0</v>
      </c>
      <c r="M9" s="83">
        <f t="shared" si="1"/>
        <v>0</v>
      </c>
      <c r="N9" s="5"/>
      <c r="O9" s="169">
        <v>0</v>
      </c>
      <c r="P9" s="169">
        <v>0</v>
      </c>
      <c r="Q9" s="169">
        <v>0</v>
      </c>
      <c r="R9" s="169">
        <v>0</v>
      </c>
      <c r="S9" s="254">
        <f t="shared" si="2"/>
        <v>0</v>
      </c>
      <c r="T9" s="5"/>
      <c r="U9" s="169">
        <v>0</v>
      </c>
      <c r="V9" s="169">
        <v>0</v>
      </c>
      <c r="W9" s="169">
        <v>0</v>
      </c>
      <c r="X9" s="169">
        <v>0</v>
      </c>
      <c r="Y9" s="83">
        <f t="shared" si="3"/>
        <v>0</v>
      </c>
      <c r="Z9" s="5"/>
      <c r="AA9" s="263">
        <v>8.3279999999999994</v>
      </c>
      <c r="AB9" s="263">
        <v>0</v>
      </c>
      <c r="AC9" s="263">
        <v>0</v>
      </c>
      <c r="AD9" s="263">
        <v>4.0259999999999998</v>
      </c>
      <c r="AE9" s="177">
        <f t="shared" si="4"/>
        <v>4.0259999999999998</v>
      </c>
      <c r="AF9" s="52"/>
      <c r="AG9" s="263">
        <v>4.0229999999999997</v>
      </c>
      <c r="AH9" s="263">
        <v>1.1779999999999999</v>
      </c>
      <c r="AI9" s="263">
        <v>1.5640000000000001</v>
      </c>
      <c r="AJ9" s="263">
        <v>1.575</v>
      </c>
      <c r="AK9" s="177">
        <f t="shared" si="5"/>
        <v>1.575</v>
      </c>
      <c r="AL9" s="52"/>
      <c r="AM9" s="263">
        <v>0.50800000000000001</v>
      </c>
      <c r="AN9" s="263">
        <v>0.51600000000000001</v>
      </c>
      <c r="AO9" s="497">
        <v>0</v>
      </c>
      <c r="AP9" s="497">
        <v>0</v>
      </c>
      <c r="AQ9" s="177">
        <f t="shared" si="6"/>
        <v>0</v>
      </c>
      <c r="AR9" s="52"/>
      <c r="AS9" s="497">
        <v>0</v>
      </c>
      <c r="AT9" s="497">
        <v>0</v>
      </c>
      <c r="AU9" s="497">
        <v>0</v>
      </c>
      <c r="AV9" s="497">
        <v>0</v>
      </c>
      <c r="AW9" s="177">
        <f t="shared" si="7"/>
        <v>0</v>
      </c>
      <c r="AX9" s="52"/>
      <c r="AY9" s="497">
        <v>0</v>
      </c>
      <c r="AZ9" s="497">
        <v>0</v>
      </c>
      <c r="BA9" s="497">
        <v>0</v>
      </c>
      <c r="BB9" s="497">
        <v>0</v>
      </c>
      <c r="BC9" s="177">
        <f t="shared" si="8"/>
        <v>0</v>
      </c>
      <c r="BD9" s="52"/>
      <c r="BE9" s="497">
        <v>0</v>
      </c>
      <c r="BF9" s="497">
        <f>+BE9-'Cash Flow'!BE30</f>
        <v>0</v>
      </c>
      <c r="BG9" s="497">
        <v>0</v>
      </c>
      <c r="BH9" s="830">
        <v>0</v>
      </c>
      <c r="BI9" s="177">
        <f t="shared" si="9"/>
        <v>0</v>
      </c>
      <c r="BJ9" s="52"/>
      <c r="BK9" s="497">
        <v>0</v>
      </c>
      <c r="BL9" s="497">
        <v>0</v>
      </c>
      <c r="BM9" s="497">
        <v>0</v>
      </c>
      <c r="BN9" s="830">
        <v>0</v>
      </c>
      <c r="BO9" s="177">
        <f t="shared" si="10"/>
        <v>0</v>
      </c>
      <c r="BP9" s="52"/>
      <c r="BQ9" s="177">
        <f>+BO9-'Cash Flow'!BP30</f>
        <v>0</v>
      </c>
      <c r="BR9" s="177">
        <f>+BQ9-'Cash Flow'!BQ30</f>
        <v>0</v>
      </c>
      <c r="BS9" s="177">
        <f>+BR9-'Cash Flow'!BR30</f>
        <v>0</v>
      </c>
      <c r="BT9" s="177">
        <f>+BS9-'Cash Flow'!BS30</f>
        <v>0</v>
      </c>
      <c r="BU9" s="177">
        <f t="shared" si="11"/>
        <v>0</v>
      </c>
      <c r="BV9" s="52"/>
      <c r="BW9" s="177">
        <f>+BU9-'Cash Flow'!BV30</f>
        <v>0</v>
      </c>
      <c r="BX9" s="177">
        <f>+BW9-'Cash Flow'!BW30</f>
        <v>0</v>
      </c>
      <c r="BY9" s="177">
        <f>+BX9-'Cash Flow'!BX30</f>
        <v>0</v>
      </c>
      <c r="BZ9" s="177">
        <f>+BY9-'Cash Flow'!BY30</f>
        <v>0</v>
      </c>
      <c r="CA9" s="177">
        <f t="shared" si="12"/>
        <v>0</v>
      </c>
      <c r="CB9" s="52"/>
      <c r="CC9" s="177">
        <f>+CA9-'Cash Flow'!CB30</f>
        <v>0</v>
      </c>
      <c r="CD9" s="177">
        <f>+CC9-'Cash Flow'!CC30</f>
        <v>0</v>
      </c>
      <c r="CE9" s="177">
        <f>+CD9-'Cash Flow'!CD30</f>
        <v>0</v>
      </c>
      <c r="CF9" s="177">
        <f>+CE9-'Cash Flow'!CE30</f>
        <v>0</v>
      </c>
      <c r="CG9" s="177">
        <f t="shared" si="13"/>
        <v>0</v>
      </c>
      <c r="CH9" s="42"/>
      <c r="CI9" s="42"/>
    </row>
    <row r="10" spans="1:87" x14ac:dyDescent="0.2">
      <c r="A10" s="2" t="s">
        <v>129</v>
      </c>
      <c r="B10" s="64"/>
      <c r="C10" s="169">
        <v>9.3840000000000003</v>
      </c>
      <c r="D10" s="169">
        <v>13.551</v>
      </c>
      <c r="E10" s="169">
        <v>22.021999999999998</v>
      </c>
      <c r="F10" s="169">
        <v>38.771000000000001</v>
      </c>
      <c r="G10" s="83">
        <f t="shared" si="0"/>
        <v>38.771000000000001</v>
      </c>
      <c r="H10" s="64"/>
      <c r="I10" s="169">
        <v>18.683</v>
      </c>
      <c r="J10" s="169">
        <v>45.722999999999999</v>
      </c>
      <c r="K10" s="169">
        <v>34.499000000000002</v>
      </c>
      <c r="L10" s="169">
        <v>23.065999999999999</v>
      </c>
      <c r="M10" s="83">
        <f t="shared" si="1"/>
        <v>23.065999999999999</v>
      </c>
      <c r="N10" s="64"/>
      <c r="O10" s="169">
        <v>27.632999999999999</v>
      </c>
      <c r="P10" s="169">
        <v>20.895</v>
      </c>
      <c r="Q10" s="169">
        <v>18.978999999999999</v>
      </c>
      <c r="R10" s="169">
        <v>19.978000000000002</v>
      </c>
      <c r="S10" s="177">
        <f t="shared" si="2"/>
        <v>19.978000000000002</v>
      </c>
      <c r="T10" s="64"/>
      <c r="U10" s="169">
        <v>14.991</v>
      </c>
      <c r="V10" s="169">
        <v>8.9979999999999993</v>
      </c>
      <c r="W10" s="169">
        <v>7.3959999999999999</v>
      </c>
      <c r="X10" s="169">
        <v>8.6150000000000002</v>
      </c>
      <c r="Y10" s="83">
        <f t="shared" si="3"/>
        <v>8.6150000000000002</v>
      </c>
      <c r="Z10" s="64"/>
      <c r="AA10" s="263">
        <f>7.991</f>
        <v>7.9909999999999997</v>
      </c>
      <c r="AB10" s="263">
        <v>6.7549999999999999</v>
      </c>
      <c r="AC10" s="263">
        <v>8.1850000000000005</v>
      </c>
      <c r="AD10" s="263">
        <v>7.3949999999999996</v>
      </c>
      <c r="AE10" s="177">
        <f t="shared" si="4"/>
        <v>7.3949999999999996</v>
      </c>
      <c r="AF10" s="178"/>
      <c r="AG10" s="263">
        <v>16.018000000000001</v>
      </c>
      <c r="AH10" s="263">
        <v>20.751999999999999</v>
      </c>
      <c r="AI10" s="263">
        <v>23.141999999999999</v>
      </c>
      <c r="AJ10" s="263">
        <v>28.484999999999999</v>
      </c>
      <c r="AK10" s="177">
        <f t="shared" si="5"/>
        <v>28.484999999999999</v>
      </c>
      <c r="AL10" s="178"/>
      <c r="AM10" s="263">
        <v>37.975000000000001</v>
      </c>
      <c r="AN10" s="263">
        <v>113.93300000000001</v>
      </c>
      <c r="AO10" s="263">
        <v>147.74</v>
      </c>
      <c r="AP10" s="263">
        <v>127.04</v>
      </c>
      <c r="AQ10" s="177">
        <f t="shared" si="6"/>
        <v>127.04</v>
      </c>
      <c r="AR10" s="178"/>
      <c r="AS10" s="263">
        <v>183.67699999999999</v>
      </c>
      <c r="AT10" s="263">
        <v>198.059</v>
      </c>
      <c r="AU10" s="263">
        <v>244.82</v>
      </c>
      <c r="AV10" s="263">
        <v>254.78700000000001</v>
      </c>
      <c r="AW10" s="177">
        <f t="shared" si="7"/>
        <v>254.78700000000001</v>
      </c>
      <c r="AX10" s="178"/>
      <c r="AY10" s="497">
        <v>254.82300000000001</v>
      </c>
      <c r="AZ10" s="497">
        <v>276.78899999999999</v>
      </c>
      <c r="BA10" s="497">
        <v>310.71499999999997</v>
      </c>
      <c r="BB10" s="263">
        <v>359.58100000000002</v>
      </c>
      <c r="BC10" s="177">
        <f t="shared" si="8"/>
        <v>359.58100000000002</v>
      </c>
      <c r="BD10" s="178"/>
      <c r="BE10" s="497">
        <v>393.66</v>
      </c>
      <c r="BF10" s="497">
        <v>404.10700000000003</v>
      </c>
      <c r="BG10" s="497">
        <v>193.018</v>
      </c>
      <c r="BH10" s="831">
        <v>250.98099999999999</v>
      </c>
      <c r="BI10" s="177">
        <f t="shared" si="9"/>
        <v>250.98099999999999</v>
      </c>
      <c r="BJ10" s="178"/>
      <c r="BK10" s="497">
        <v>284.55900000000003</v>
      </c>
      <c r="BL10" s="497">
        <v>243.786</v>
      </c>
      <c r="BM10" s="497">
        <v>316.45400000000001</v>
      </c>
      <c r="BN10" s="831">
        <v>272.03100000000001</v>
      </c>
      <c r="BO10" s="177">
        <f t="shared" si="10"/>
        <v>272.03100000000001</v>
      </c>
      <c r="BP10" s="178"/>
      <c r="BQ10" s="177">
        <f>+BO10</f>
        <v>272.03100000000001</v>
      </c>
      <c r="BR10" s="177">
        <f>+BQ10</f>
        <v>272.03100000000001</v>
      </c>
      <c r="BS10" s="177">
        <f>+BR10</f>
        <v>272.03100000000001</v>
      </c>
      <c r="BT10" s="177">
        <f>+BS10</f>
        <v>272.03100000000001</v>
      </c>
      <c r="BU10" s="177">
        <f t="shared" si="11"/>
        <v>272.03100000000001</v>
      </c>
      <c r="BV10" s="178"/>
      <c r="BW10" s="177">
        <f>+BU10</f>
        <v>272.03100000000001</v>
      </c>
      <c r="BX10" s="177">
        <f>+BW10</f>
        <v>272.03100000000001</v>
      </c>
      <c r="BY10" s="177">
        <f>+BX10</f>
        <v>272.03100000000001</v>
      </c>
      <c r="BZ10" s="177">
        <f>+BY10</f>
        <v>272.03100000000001</v>
      </c>
      <c r="CA10" s="177">
        <f t="shared" si="12"/>
        <v>272.03100000000001</v>
      </c>
      <c r="CB10" s="178"/>
      <c r="CC10" s="177">
        <f>+CA10</f>
        <v>272.03100000000001</v>
      </c>
      <c r="CD10" s="177">
        <f>+CC10</f>
        <v>272.03100000000001</v>
      </c>
      <c r="CE10" s="177">
        <f>+CD10</f>
        <v>272.03100000000001</v>
      </c>
      <c r="CF10" s="177">
        <f>+CE10</f>
        <v>272.03100000000001</v>
      </c>
      <c r="CG10" s="177">
        <f t="shared" si="13"/>
        <v>272.03100000000001</v>
      </c>
      <c r="CH10" s="42"/>
      <c r="CI10" s="42"/>
    </row>
    <row r="11" spans="1:87" x14ac:dyDescent="0.2">
      <c r="A11" s="2" t="s">
        <v>7</v>
      </c>
      <c r="B11" s="63"/>
      <c r="C11" s="263">
        <v>38.203000000000003</v>
      </c>
      <c r="D11" s="263">
        <v>47.237000000000002</v>
      </c>
      <c r="E11" s="263">
        <v>46.002000000000002</v>
      </c>
      <c r="F11" s="263">
        <v>44.85</v>
      </c>
      <c r="G11" s="83">
        <f t="shared" si="0"/>
        <v>44.85</v>
      </c>
      <c r="H11" s="63"/>
      <c r="I11" s="263">
        <v>47.475000000000001</v>
      </c>
      <c r="J11" s="263">
        <v>51.173000000000002</v>
      </c>
      <c r="K11" s="263">
        <v>48.872</v>
      </c>
      <c r="L11" s="263">
        <v>52.362000000000002</v>
      </c>
      <c r="M11" s="83">
        <f t="shared" si="1"/>
        <v>52.362000000000002</v>
      </c>
      <c r="N11" s="63"/>
      <c r="O11" s="263">
        <v>51.664999999999999</v>
      </c>
      <c r="P11" s="263">
        <v>53.235999999999997</v>
      </c>
      <c r="Q11" s="263">
        <v>55.034999999999997</v>
      </c>
      <c r="R11" s="263">
        <v>54.536999999999999</v>
      </c>
      <c r="S11" s="177">
        <f t="shared" si="2"/>
        <v>54.536999999999999</v>
      </c>
      <c r="T11" s="63"/>
      <c r="U11" s="263">
        <v>58.801000000000002</v>
      </c>
      <c r="V11" s="263">
        <v>62.93</v>
      </c>
      <c r="W11" s="263">
        <v>63.811</v>
      </c>
      <c r="X11" s="263">
        <v>65.430000000000007</v>
      </c>
      <c r="Y11" s="83">
        <f t="shared" si="3"/>
        <v>65.430000000000007</v>
      </c>
      <c r="Z11" s="63"/>
      <c r="AA11" s="263">
        <v>73.903999999999996</v>
      </c>
      <c r="AB11" s="263">
        <v>82.13</v>
      </c>
      <c r="AC11" s="263">
        <v>86.647999999999996</v>
      </c>
      <c r="AD11" s="263">
        <v>91.537000000000006</v>
      </c>
      <c r="AE11" s="177">
        <f t="shared" si="4"/>
        <v>91.537000000000006</v>
      </c>
      <c r="AF11" s="236"/>
      <c r="AG11" s="263">
        <v>94.441000000000003</v>
      </c>
      <c r="AH11" s="263">
        <v>102.149</v>
      </c>
      <c r="AI11" s="263">
        <v>105.902</v>
      </c>
      <c r="AJ11" s="263">
        <v>98.992000000000004</v>
      </c>
      <c r="AK11" s="177">
        <f t="shared" si="5"/>
        <v>98.992000000000004</v>
      </c>
      <c r="AL11" s="236"/>
      <c r="AM11" s="263">
        <v>108.672</v>
      </c>
      <c r="AN11" s="263">
        <v>112.367</v>
      </c>
      <c r="AO11" s="263">
        <v>109.179</v>
      </c>
      <c r="AP11" s="263">
        <v>113.25</v>
      </c>
      <c r="AQ11" s="177">
        <f t="shared" si="6"/>
        <v>113.25</v>
      </c>
      <c r="AR11" s="236"/>
      <c r="AS11" s="263">
        <v>126.18300000000001</v>
      </c>
      <c r="AT11" s="263">
        <v>131.02799999999999</v>
      </c>
      <c r="AU11" s="263">
        <v>130.047</v>
      </c>
      <c r="AV11" s="263">
        <v>129.751</v>
      </c>
      <c r="AW11" s="177">
        <f t="shared" si="7"/>
        <v>129.751</v>
      </c>
      <c r="AX11" s="236"/>
      <c r="AY11" s="497">
        <v>138.15899999999999</v>
      </c>
      <c r="AZ11" s="497">
        <v>146.46600000000001</v>
      </c>
      <c r="BA11" s="497">
        <v>148.39500000000001</v>
      </c>
      <c r="BB11" s="263">
        <v>158.55000000000001</v>
      </c>
      <c r="BC11" s="177">
        <f t="shared" si="8"/>
        <v>158.55000000000001</v>
      </c>
      <c r="BD11" s="236"/>
      <c r="BE11" s="497">
        <v>178</v>
      </c>
      <c r="BF11" s="497">
        <v>192.66</v>
      </c>
      <c r="BG11" s="497">
        <v>244.99199999999999</v>
      </c>
      <c r="BH11" s="831">
        <v>247.41499999999999</v>
      </c>
      <c r="BI11" s="177">
        <f t="shared" si="9"/>
        <v>247.41499999999999</v>
      </c>
      <c r="BJ11" s="236"/>
      <c r="BK11" s="497">
        <v>267.12799999999999</v>
      </c>
      <c r="BL11" s="497">
        <v>291.69400000000002</v>
      </c>
      <c r="BM11" s="497">
        <v>321.32799999999997</v>
      </c>
      <c r="BN11" s="831">
        <v>322.82499999999999</v>
      </c>
      <c r="BO11" s="177">
        <f t="shared" si="10"/>
        <v>322.82499999999999</v>
      </c>
      <c r="BP11" s="236"/>
      <c r="BQ11" s="177">
        <f>+BQ78*('P&amp;L'!BQ8/'P&amp;L'!BQ7)</f>
        <v>338.8884210526316</v>
      </c>
      <c r="BR11" s="177">
        <f>+BR78*('P&amp;L'!BR8/'P&amp;L'!BR7)</f>
        <v>365.01974986317151</v>
      </c>
      <c r="BS11" s="177">
        <f>+BS78*('P&amp;L'!BS8/'P&amp;L'!BS7)</f>
        <v>363.8284905035157</v>
      </c>
      <c r="BT11" s="177">
        <f>+BT78*('P&amp;L'!BT8/'P&amp;L'!BT7)</f>
        <v>393.37009116837623</v>
      </c>
      <c r="BU11" s="177">
        <f t="shared" si="11"/>
        <v>393.37009116837623</v>
      </c>
      <c r="BV11" s="236"/>
      <c r="BW11" s="177">
        <f>+BW78*('P&amp;L'!BW8/'P&amp;L'!BW7)</f>
        <v>405.05577321331066</v>
      </c>
      <c r="BX11" s="177">
        <f>+BX78*('P&amp;L'!BX8/'P&amp;L'!BX7)</f>
        <v>448.88412076548542</v>
      </c>
      <c r="BY11" s="177">
        <f>+BY78*('P&amp;L'!BY8/'P&amp;L'!BY7)</f>
        <v>443.14316804117573</v>
      </c>
      <c r="BZ11" s="177">
        <f>+BZ78*('P&amp;L'!BZ8/'P&amp;L'!BZ7)</f>
        <v>479.19822841147811</v>
      </c>
      <c r="CA11" s="177">
        <f t="shared" si="12"/>
        <v>479.19822841147811</v>
      </c>
      <c r="CB11" s="236"/>
      <c r="CC11" s="177">
        <f>+CC78*('P&amp;L'!CC8/'P&amp;L'!CC7)</f>
        <v>470.04650729443028</v>
      </c>
      <c r="CD11" s="177">
        <f>+CD78*('P&amp;L'!CD8/'P&amp;L'!CD7)</f>
        <v>515.2250372561914</v>
      </c>
      <c r="CE11" s="177">
        <f>+CE78*('P&amp;L'!CE8/'P&amp;L'!CE7)</f>
        <v>507.2620948109718</v>
      </c>
      <c r="CF11" s="177">
        <f>+CF78*('P&amp;L'!CF8/'P&amp;L'!CF7)</f>
        <v>545.20895942175798</v>
      </c>
      <c r="CG11" s="177">
        <f t="shared" si="13"/>
        <v>545.20895942175798</v>
      </c>
      <c r="CH11" s="42"/>
      <c r="CI11" s="42"/>
    </row>
    <row r="12" spans="1:87" x14ac:dyDescent="0.2">
      <c r="A12" s="2" t="s">
        <v>213</v>
      </c>
      <c r="B12" s="64"/>
      <c r="C12" s="169">
        <v>3.7250000000000001</v>
      </c>
      <c r="D12" s="169">
        <v>3.3879999999999999</v>
      </c>
      <c r="E12" s="169">
        <v>3.5419999999999998</v>
      </c>
      <c r="F12" s="169">
        <v>2.91</v>
      </c>
      <c r="G12" s="83">
        <f t="shared" si="0"/>
        <v>2.91</v>
      </c>
      <c r="H12" s="64"/>
      <c r="I12" s="169">
        <v>3.01</v>
      </c>
      <c r="J12" s="169">
        <v>3.0169999999999999</v>
      </c>
      <c r="K12" s="169">
        <v>3.0150000000000001</v>
      </c>
      <c r="L12" s="169">
        <v>1.9650000000000001</v>
      </c>
      <c r="M12" s="83">
        <f t="shared" si="1"/>
        <v>1.9650000000000001</v>
      </c>
      <c r="N12" s="64"/>
      <c r="O12" s="169">
        <v>2.0680000000000001</v>
      </c>
      <c r="P12" s="169">
        <v>2.1110000000000002</v>
      </c>
      <c r="Q12" s="169">
        <v>1.8919999999999999</v>
      </c>
      <c r="R12" s="169">
        <v>2.0459999999999998</v>
      </c>
      <c r="S12" s="177">
        <f t="shared" si="2"/>
        <v>2.0459999999999998</v>
      </c>
      <c r="T12" s="64"/>
      <c r="U12" s="169">
        <v>2.3559999999999999</v>
      </c>
      <c r="V12" s="169">
        <v>2.4870000000000001</v>
      </c>
      <c r="W12" s="169">
        <v>2.3820000000000001</v>
      </c>
      <c r="X12" s="169">
        <v>2.544</v>
      </c>
      <c r="Y12" s="83">
        <f t="shared" si="3"/>
        <v>2.544</v>
      </c>
      <c r="Z12" s="64"/>
      <c r="AA12" s="169">
        <v>2.867</v>
      </c>
      <c r="AB12" s="169">
        <v>6.2720000000000002</v>
      </c>
      <c r="AC12" s="169">
        <v>8.2780000000000005</v>
      </c>
      <c r="AD12" s="169">
        <v>9.4019999999999992</v>
      </c>
      <c r="AE12" s="177">
        <f t="shared" si="4"/>
        <v>9.4019999999999992</v>
      </c>
      <c r="AF12" s="178"/>
      <c r="AG12" s="169">
        <v>13.433999999999999</v>
      </c>
      <c r="AH12" s="263">
        <v>14.622999999999999</v>
      </c>
      <c r="AI12" s="169">
        <v>15.137</v>
      </c>
      <c r="AJ12" s="169">
        <v>15.122</v>
      </c>
      <c r="AK12" s="177">
        <f t="shared" si="5"/>
        <v>15.122</v>
      </c>
      <c r="AL12" s="178"/>
      <c r="AM12" s="169">
        <v>15.442</v>
      </c>
      <c r="AN12" s="169">
        <v>15.704000000000001</v>
      </c>
      <c r="AO12" s="169">
        <v>14.662000000000001</v>
      </c>
      <c r="AP12" s="169">
        <v>13.968</v>
      </c>
      <c r="AQ12" s="177">
        <f t="shared" si="6"/>
        <v>13.968</v>
      </c>
      <c r="AR12" s="178"/>
      <c r="AS12" s="169">
        <v>15.84</v>
      </c>
      <c r="AT12" s="169">
        <v>13.115</v>
      </c>
      <c r="AU12" s="169">
        <v>15.983000000000001</v>
      </c>
      <c r="AV12" s="169">
        <v>15.928000000000001</v>
      </c>
      <c r="AW12" s="177">
        <f t="shared" si="7"/>
        <v>15.928000000000001</v>
      </c>
      <c r="AX12" s="178"/>
      <c r="AY12" s="497">
        <v>14.571999999999999</v>
      </c>
      <c r="AZ12" s="497">
        <v>16.414999999999999</v>
      </c>
      <c r="BA12" s="497">
        <v>18.939</v>
      </c>
      <c r="BB12" s="169">
        <v>19.465</v>
      </c>
      <c r="BC12" s="177">
        <f t="shared" si="8"/>
        <v>19.465</v>
      </c>
      <c r="BD12" s="178"/>
      <c r="BE12" s="497">
        <v>22.617999999999999</v>
      </c>
      <c r="BF12" s="497">
        <v>22.992000000000001</v>
      </c>
      <c r="BG12" s="497">
        <v>26.341000000000001</v>
      </c>
      <c r="BH12" s="832">
        <v>27.131</v>
      </c>
      <c r="BI12" s="177">
        <f t="shared" si="9"/>
        <v>27.131</v>
      </c>
      <c r="BJ12" s="178"/>
      <c r="BK12" s="497">
        <v>35.173999999999999</v>
      </c>
      <c r="BL12" s="497">
        <v>35.133000000000003</v>
      </c>
      <c r="BM12" s="497">
        <v>36.941000000000003</v>
      </c>
      <c r="BN12" s="832">
        <v>31.687999999999999</v>
      </c>
      <c r="BO12" s="177">
        <f t="shared" si="10"/>
        <v>31.687999999999999</v>
      </c>
      <c r="BP12" s="178"/>
      <c r="BQ12" s="163">
        <f>+BQ79*('P&amp;L'!BQ11/'P&amp;L'!BQ7)</f>
        <v>49.129824728586286</v>
      </c>
      <c r="BR12" s="163">
        <f>+BR79*('P&amp;L'!BR11/'P&amp;L'!BR7)</f>
        <v>48.819658247924892</v>
      </c>
      <c r="BS12" s="163">
        <f>+BS79*('P&amp;L'!BS11/'P&amp;L'!BS7)</f>
        <v>46.293152773347032</v>
      </c>
      <c r="BT12" s="163">
        <f>+BT79*('P&amp;L'!BT11/'P&amp;L'!BT7)</f>
        <v>49.199066743734939</v>
      </c>
      <c r="BU12" s="177">
        <f t="shared" si="11"/>
        <v>49.199066743734939</v>
      </c>
      <c r="BV12" s="178"/>
      <c r="BW12" s="163">
        <f>+BW79*('P&amp;L'!BW11/'P&amp;L'!BW7)</f>
        <v>54.883197354632209</v>
      </c>
      <c r="BX12" s="163">
        <f>+BX79*('P&amp;L'!BX11/'P&amp;L'!BX7)</f>
        <v>55.452431762527851</v>
      </c>
      <c r="BY12" s="163">
        <f>+BY79*('P&amp;L'!BY11/'P&amp;L'!BY7)</f>
        <v>51.970629586831613</v>
      </c>
      <c r="BZ12" s="163">
        <f>+BZ79*('P&amp;L'!BZ11/'P&amp;L'!BZ7)</f>
        <v>56.255039613769299</v>
      </c>
      <c r="CA12" s="177">
        <f t="shared" si="12"/>
        <v>56.255039613769299</v>
      </c>
      <c r="CB12" s="178"/>
      <c r="CC12" s="163">
        <f>+CC79*('P&amp;L'!CC11/'P&amp;L'!CC7)</f>
        <v>59.89733033610905</v>
      </c>
      <c r="CD12" s="163">
        <f>+CD79*('P&amp;L'!CD11/'P&amp;L'!CD7)</f>
        <v>60.025486616040119</v>
      </c>
      <c r="CE12" s="163">
        <f>+CE79*('P&amp;L'!CE11/'P&amp;L'!CE7)</f>
        <v>55.717576326882032</v>
      </c>
      <c r="CF12" s="163">
        <f>+CF79*('P&amp;L'!CF11/'P&amp;L'!CF7)</f>
        <v>60.465468668909651</v>
      </c>
      <c r="CG12" s="177">
        <f t="shared" si="13"/>
        <v>60.465468668909651</v>
      </c>
      <c r="CH12" s="42"/>
      <c r="CI12" s="42"/>
    </row>
    <row r="13" spans="1:87" x14ac:dyDescent="0.2">
      <c r="A13" s="2" t="s">
        <v>130</v>
      </c>
      <c r="B13" s="63"/>
      <c r="C13" s="122">
        <v>7.6239999999999997</v>
      </c>
      <c r="D13" s="122">
        <v>8.56</v>
      </c>
      <c r="E13" s="122">
        <v>7.5919999999999996</v>
      </c>
      <c r="F13" s="122">
        <v>8.8460000000000001</v>
      </c>
      <c r="G13" s="170">
        <f t="shared" si="0"/>
        <v>8.8460000000000001</v>
      </c>
      <c r="H13" s="63"/>
      <c r="I13" s="122">
        <v>8.3019999999999996</v>
      </c>
      <c r="J13" s="122">
        <v>10.132</v>
      </c>
      <c r="K13" s="122">
        <v>7.4119999999999999</v>
      </c>
      <c r="L13" s="122">
        <v>13.414</v>
      </c>
      <c r="M13" s="170">
        <f t="shared" si="1"/>
        <v>13.414</v>
      </c>
      <c r="N13" s="63"/>
      <c r="O13" s="122">
        <v>14.587999999999999</v>
      </c>
      <c r="P13" s="122">
        <v>15.324</v>
      </c>
      <c r="Q13" s="122">
        <v>25.670999999999999</v>
      </c>
      <c r="R13" s="122">
        <v>18.251000000000001</v>
      </c>
      <c r="S13" s="250">
        <f t="shared" si="2"/>
        <v>18.251000000000001</v>
      </c>
      <c r="T13" s="63"/>
      <c r="U13" s="122">
        <v>18.055</v>
      </c>
      <c r="V13" s="122">
        <v>20.881</v>
      </c>
      <c r="W13" s="122">
        <v>19.428999999999998</v>
      </c>
      <c r="X13" s="122">
        <v>17.358000000000001</v>
      </c>
      <c r="Y13" s="170">
        <f t="shared" si="3"/>
        <v>17.358000000000001</v>
      </c>
      <c r="Z13" s="63"/>
      <c r="AA13" s="122">
        <v>16.242999999999999</v>
      </c>
      <c r="AB13" s="122">
        <v>22.809000000000001</v>
      </c>
      <c r="AC13" s="122">
        <v>21.794</v>
      </c>
      <c r="AD13" s="122">
        <v>31.780999999999999</v>
      </c>
      <c r="AE13" s="250">
        <f t="shared" si="4"/>
        <v>31.780999999999999</v>
      </c>
      <c r="AF13" s="236"/>
      <c r="AG13" s="122">
        <v>33.219000000000001</v>
      </c>
      <c r="AH13" s="122">
        <v>33.634</v>
      </c>
      <c r="AI13" s="122">
        <v>33.594000000000001</v>
      </c>
      <c r="AJ13" s="122">
        <v>35.232999999999997</v>
      </c>
      <c r="AK13" s="250">
        <f t="shared" si="5"/>
        <v>35.232999999999997</v>
      </c>
      <c r="AL13" s="236"/>
      <c r="AM13" s="122">
        <v>35.988999999999997</v>
      </c>
      <c r="AN13" s="122">
        <v>35.076000000000001</v>
      </c>
      <c r="AO13" s="122">
        <v>34.838999999999999</v>
      </c>
      <c r="AP13" s="122">
        <v>47.465000000000003</v>
      </c>
      <c r="AQ13" s="250">
        <f t="shared" si="6"/>
        <v>47.465000000000003</v>
      </c>
      <c r="AR13" s="236"/>
      <c r="AS13" s="122">
        <v>43.710999999999999</v>
      </c>
      <c r="AT13" s="122">
        <v>44.838999999999999</v>
      </c>
      <c r="AU13" s="122">
        <v>44.146000000000001</v>
      </c>
      <c r="AV13" s="122">
        <f>19.77+37.053</f>
        <v>56.822999999999993</v>
      </c>
      <c r="AW13" s="250">
        <f t="shared" si="7"/>
        <v>56.822999999999993</v>
      </c>
      <c r="AX13" s="236"/>
      <c r="AY13" s="703">
        <f>29.869+29.911</f>
        <v>59.78</v>
      </c>
      <c r="AZ13" s="703">
        <f>26.511+29.972</f>
        <v>56.483000000000004</v>
      </c>
      <c r="BA13" s="703">
        <f>29.554+30.09</f>
        <v>59.643999999999998</v>
      </c>
      <c r="BB13" s="122">
        <v>26.7</v>
      </c>
      <c r="BC13" s="250">
        <f t="shared" si="8"/>
        <v>26.7</v>
      </c>
      <c r="BD13" s="236"/>
      <c r="BE13" s="703">
        <v>34.307000000000002</v>
      </c>
      <c r="BF13" s="703">
        <v>37.942</v>
      </c>
      <c r="BG13" s="703">
        <v>27.469000000000001</v>
      </c>
      <c r="BH13" s="833">
        <v>38.176000000000002</v>
      </c>
      <c r="BI13" s="250">
        <f t="shared" si="9"/>
        <v>38.176000000000002</v>
      </c>
      <c r="BJ13" s="236"/>
      <c r="BK13" s="703">
        <v>70.278999999999996</v>
      </c>
      <c r="BL13" s="703">
        <v>74.427000000000007</v>
      </c>
      <c r="BM13" s="703">
        <v>63.667000000000002</v>
      </c>
      <c r="BN13" s="833">
        <v>80.947999999999993</v>
      </c>
      <c r="BO13" s="250">
        <f t="shared" si="10"/>
        <v>80.947999999999993</v>
      </c>
      <c r="BP13" s="236"/>
      <c r="BQ13" s="250">
        <f>+'P&amp;L'!BQ8*'Bal Sht'!BQ92*4</f>
        <v>87.384799999999998</v>
      </c>
      <c r="BR13" s="250">
        <f>+'P&amp;L'!BR8*'Bal Sht'!BR92*4</f>
        <v>96.280571703039442</v>
      </c>
      <c r="BS13" s="250">
        <f>+'P&amp;L'!BS8*'Bal Sht'!BS92*4</f>
        <v>98.447709195068967</v>
      </c>
      <c r="BT13" s="250">
        <f>+'P&amp;L'!BT8*'Bal Sht'!BT92*4</f>
        <v>108.02999518653915</v>
      </c>
      <c r="BU13" s="250">
        <f t="shared" si="11"/>
        <v>108.02999518653915</v>
      </c>
      <c r="BV13" s="236"/>
      <c r="BW13" s="250">
        <f>+'P&amp;L'!BW8*'Bal Sht'!BW92*4</f>
        <v>105.96024212319215</v>
      </c>
      <c r="BX13" s="250">
        <f>+'P&amp;L'!BX8*'Bal Sht'!BX92*4</f>
        <v>120.14251467546815</v>
      </c>
      <c r="BY13" s="250">
        <f>+'P&amp;L'!BY8*'Bal Sht'!BY92*4</f>
        <v>121.69901928294976</v>
      </c>
      <c r="BZ13" s="250">
        <f>+'P&amp;L'!BZ8*'Bal Sht'!BZ92*4</f>
        <v>133.59465761774541</v>
      </c>
      <c r="CA13" s="250">
        <f t="shared" si="12"/>
        <v>133.59465761774541</v>
      </c>
      <c r="CB13" s="236"/>
      <c r="CC13" s="250">
        <f>+'P&amp;L'!CC8*'Bal Sht'!CC92*4</f>
        <v>124.76969789212451</v>
      </c>
      <c r="CD13" s="250">
        <f>+'P&amp;L'!CD8*'Bal Sht'!CD92*4</f>
        <v>139.95665191138335</v>
      </c>
      <c r="CE13" s="250">
        <f>+'P&amp;L'!CE8*'Bal Sht'!CE92*4</f>
        <v>141.4185234018467</v>
      </c>
      <c r="CF13" s="250">
        <f>+'P&amp;L'!CF8*'Bal Sht'!CF92*4</f>
        <v>154.33607466708224</v>
      </c>
      <c r="CG13" s="250">
        <f t="shared" si="13"/>
        <v>154.33607466708224</v>
      </c>
      <c r="CH13" s="42"/>
      <c r="CI13" s="42"/>
    </row>
    <row r="14" spans="1:87" x14ac:dyDescent="0.2">
      <c r="A14" s="6" t="s">
        <v>214</v>
      </c>
      <c r="B14" s="63"/>
      <c r="C14" s="14">
        <f>C12+C13+C11+C10+C8+C9</f>
        <v>115.24000000000001</v>
      </c>
      <c r="D14" s="14">
        <f>D12+D13+D11+D10+D8+D9</f>
        <v>138.42499999999998</v>
      </c>
      <c r="E14" s="14">
        <f>E12+E13+E11+E10+E8+E9</f>
        <v>167.14700000000002</v>
      </c>
      <c r="F14" s="14">
        <f>F12+F13+F11+F10+F8+F9</f>
        <v>184.51699999999997</v>
      </c>
      <c r="G14" s="14">
        <f>G12+G13+G11+G10+G8+G9</f>
        <v>184.51699999999997</v>
      </c>
      <c r="H14" s="63"/>
      <c r="I14" s="14">
        <f>I12+I13+I11+I10+I8+I9</f>
        <v>191.14999999999998</v>
      </c>
      <c r="J14" s="14">
        <f>J12+J13+J11+J10+J8+J9</f>
        <v>174.38399999999996</v>
      </c>
      <c r="K14" s="14">
        <f>K12+K13+K11+K10+K8+K9</f>
        <v>173.55399999999997</v>
      </c>
      <c r="L14" s="14">
        <f>L12+L13+L11+L10+L8+L9</f>
        <v>177.90699999999998</v>
      </c>
      <c r="M14" s="14">
        <f>M12+M13+M11+M10+M8+M9</f>
        <v>177.90699999999998</v>
      </c>
      <c r="N14" s="63"/>
      <c r="O14" s="14">
        <f t="shared" ref="O14:AD14" si="14">O12+O13+O11+O10+O8+O9</f>
        <v>193.00499999999994</v>
      </c>
      <c r="P14" s="14">
        <f t="shared" si="14"/>
        <v>213.74799999999993</v>
      </c>
      <c r="Q14" s="14">
        <f t="shared" si="14"/>
        <v>237.53799999999995</v>
      </c>
      <c r="R14" s="14">
        <f t="shared" si="14"/>
        <v>261.29899999999992</v>
      </c>
      <c r="S14" s="251">
        <f t="shared" si="14"/>
        <v>261.29899999999992</v>
      </c>
      <c r="T14" s="63"/>
      <c r="U14" s="14">
        <f t="shared" si="14"/>
        <v>284.6099999999999</v>
      </c>
      <c r="V14" s="14">
        <f t="shared" si="14"/>
        <v>331.09699999999992</v>
      </c>
      <c r="W14" s="14">
        <f t="shared" si="14"/>
        <v>357.94199999999989</v>
      </c>
      <c r="X14" s="14">
        <f t="shared" si="14"/>
        <v>388.61099999999988</v>
      </c>
      <c r="Y14" s="14">
        <f t="shared" si="14"/>
        <v>388.61099999999988</v>
      </c>
      <c r="Z14" s="63"/>
      <c r="AA14" s="14">
        <f t="shared" si="14"/>
        <v>417.94099999999986</v>
      </c>
      <c r="AB14" s="14">
        <f t="shared" si="14"/>
        <v>286.57299999999998</v>
      </c>
      <c r="AC14" s="14">
        <f t="shared" si="14"/>
        <v>327.13400000000001</v>
      </c>
      <c r="AD14" s="14">
        <f t="shared" si="14"/>
        <v>384.81600000000003</v>
      </c>
      <c r="AE14" s="251">
        <f>AE12+AE13+AE11+AE10+AE8+AE9</f>
        <v>384.81600000000003</v>
      </c>
      <c r="AF14" s="236"/>
      <c r="AG14" s="14">
        <f>AG12+AG13+AG11+AG10+AG8+AG9</f>
        <v>385.49599999999998</v>
      </c>
      <c r="AH14" s="251">
        <f>AH12+AH13+AH11+AH10+AH8+AH9</f>
        <v>435.13499999999999</v>
      </c>
      <c r="AI14" s="14">
        <f>AI12+AI13+AI11+AI10+AI8+AI9</f>
        <v>484.24600000000004</v>
      </c>
      <c r="AJ14" s="14">
        <f>AJ12+AJ13+AJ11+AJ10+AJ8+AJ9</f>
        <v>485.79300000000001</v>
      </c>
      <c r="AK14" s="251">
        <f>AK12+AK13+AK11+AK10+AK8+AK9</f>
        <v>485.79300000000001</v>
      </c>
      <c r="AL14" s="236"/>
      <c r="AM14" s="251">
        <f>AM12+AM13+AM11+AM10+AM8+AM9</f>
        <v>527.33100000000002</v>
      </c>
      <c r="AN14" s="251">
        <f>AN12+AN13+AN11+AN10+AN8+AN9</f>
        <v>442.09300000000002</v>
      </c>
      <c r="AO14" s="14">
        <f>AO12+AO13+AO11+AO10+AO8+AO9</f>
        <v>482.25900000000001</v>
      </c>
      <c r="AP14" s="14">
        <f>AP12+AP13+AP11+AP10+AP8+AP9</f>
        <v>544.67600000000004</v>
      </c>
      <c r="AQ14" s="251">
        <f>AQ12+AQ13+AQ11+AQ10+AQ8+AQ9</f>
        <v>544.67600000000004</v>
      </c>
      <c r="AR14" s="236"/>
      <c r="AS14" s="14">
        <f>AS12+AS13+AS11+AS10+AS8+AS9</f>
        <v>552.17700000000002</v>
      </c>
      <c r="AT14" s="14">
        <f>AT12+AT13+AT11+AT10+AT8+AT9</f>
        <v>554.51199999999994</v>
      </c>
      <c r="AU14" s="14">
        <f>AU12+AU13+AU11+AU10+AU8+AU9</f>
        <v>615.67200000000003</v>
      </c>
      <c r="AV14" s="14">
        <f>AV12+AV13+AV11+AV10+AV8+AV9</f>
        <v>657.16</v>
      </c>
      <c r="AW14" s="251">
        <f>AW12+AW13+AW11+AW10+AW8+AW9</f>
        <v>657.16</v>
      </c>
      <c r="AX14" s="236"/>
      <c r="AY14" s="251">
        <f>AY12+AY13+AY11+AY10+AY8+AY9</f>
        <v>657.31200000000001</v>
      </c>
      <c r="AZ14" s="251">
        <f>AZ12+AZ13+AZ11+AZ10+AZ8+AZ9</f>
        <v>657.90599999999995</v>
      </c>
      <c r="BA14" s="251">
        <f>BA12+BA13+BA11+BA10+BA8+BA9</f>
        <v>711.73299999999995</v>
      </c>
      <c r="BB14" s="14">
        <f>BB12+BB13+BB11+BB10+BB8+BB9</f>
        <v>732.01</v>
      </c>
      <c r="BC14" s="251">
        <f>BC12+BC13+BC11+BC10+BC8+BC9</f>
        <v>732.01</v>
      </c>
      <c r="BD14" s="236"/>
      <c r="BE14" s="251">
        <f>BE12+BE13+BE11+BE10+BE8+BE9</f>
        <v>783.00300000000004</v>
      </c>
      <c r="BF14" s="251">
        <f>BF12+BF13+BF11+BF10+BF8+BF9</f>
        <v>825.40700000000004</v>
      </c>
      <c r="BG14" s="251">
        <f>BG12+BG13+BG11+BG10+BG8+BG9</f>
        <v>911.76800000000003</v>
      </c>
      <c r="BH14" s="14">
        <f>BH12+BH13+BH11+BH10+BH8+BH9</f>
        <v>952.97799999999995</v>
      </c>
      <c r="BI14" s="251">
        <f>BI12+BI13+BI11+BI10+BI8+BI9</f>
        <v>952.97799999999995</v>
      </c>
      <c r="BJ14" s="236"/>
      <c r="BK14" s="251">
        <f>BK12+BK13+BK11+BK10+BK8+BK9</f>
        <v>918.16700000000014</v>
      </c>
      <c r="BL14" s="251">
        <f>BL12+BL13+BL11+BL10+BL8+BL9</f>
        <v>1003.222</v>
      </c>
      <c r="BM14" s="251">
        <f>BM12+BM13+BM11+BM10+BM8+BM9</f>
        <v>1101.0029999999999</v>
      </c>
      <c r="BN14" s="14">
        <f>BN12+BN13+BN11+BN10+BN8+BN9</f>
        <v>1157.0029999999999</v>
      </c>
      <c r="BO14" s="251">
        <f>BO12+BO13+BO11+BO10+BO8+BO9</f>
        <v>1157.0029999999999</v>
      </c>
      <c r="BP14" s="236"/>
      <c r="BQ14" s="251">
        <f>BQ12+BQ13+BQ11+BQ10+BQ8+BQ9</f>
        <v>1148.7822338575959</v>
      </c>
      <c r="BR14" s="251">
        <f>BR12+BR13+BR11+BR10+BR8+BR9</f>
        <v>1188.7457559082241</v>
      </c>
      <c r="BS14" s="251">
        <f>BS12+BS13+BS11+BS10+BS8+BS9</f>
        <v>1164.068340246904</v>
      </c>
      <c r="BT14" s="251">
        <f>BT12+BT13+BT11+BT10+BT8+BT9</f>
        <v>1226.2211425220241</v>
      </c>
      <c r="BU14" s="251">
        <f>BU12+BU13+BU11+BU10+BU8+BU9</f>
        <v>1226.2211425220241</v>
      </c>
      <c r="BV14" s="236"/>
      <c r="BW14" s="251">
        <f>BW12+BW13+BW11+BW10+BW8+BW9</f>
        <v>1245.9468747579917</v>
      </c>
      <c r="BX14" s="251">
        <f>BX12+BX13+BX11+BX10+BX8+BX9</f>
        <v>1367.3734904983153</v>
      </c>
      <c r="BY14" s="251">
        <f>BY12+BY13+BY11+BY10+BY8+BY9</f>
        <v>1399.5649848495486</v>
      </c>
      <c r="BZ14" s="251">
        <f>BZ12+BZ13+BZ11+BZ10+BZ8+BZ9</f>
        <v>1550.1673524854775</v>
      </c>
      <c r="CA14" s="251">
        <f>CA12+CA13+CA11+CA10+CA8+CA9</f>
        <v>1550.1673524854775</v>
      </c>
      <c r="CB14" s="236"/>
      <c r="CC14" s="251">
        <f>CC12+CC13+CC11+CC10+CC8+CC9</f>
        <v>1570.6127510459005</v>
      </c>
      <c r="CD14" s="251">
        <f>CD12+CD13+CD11+CD10+CD8+CD9</f>
        <v>1738.3895586766146</v>
      </c>
      <c r="CE14" s="251">
        <f>CE12+CE13+CE11+CE10+CE8+CE9</f>
        <v>1809.5987422129951</v>
      </c>
      <c r="CF14" s="251">
        <f>CF12+CF13+CF11+CF10+CF8+CF9</f>
        <v>2019.7345417078491</v>
      </c>
      <c r="CG14" s="251">
        <f>CG12+CG13+CG11+CG10+CG8+CG9</f>
        <v>2019.7345417078491</v>
      </c>
      <c r="CH14" s="42"/>
      <c r="CI14" s="42"/>
    </row>
    <row r="15" spans="1:87" x14ac:dyDescent="0.2">
      <c r="A15" s="2"/>
      <c r="B15" s="65"/>
      <c r="C15" s="13"/>
      <c r="D15" s="13"/>
      <c r="E15" s="13"/>
      <c r="F15" s="13"/>
      <c r="G15" s="13"/>
      <c r="H15" s="65"/>
      <c r="I15" s="13"/>
      <c r="J15" s="13"/>
      <c r="K15" s="13"/>
      <c r="L15" s="13"/>
      <c r="M15" s="13"/>
      <c r="N15" s="65"/>
      <c r="O15" s="13"/>
      <c r="P15" s="13"/>
      <c r="Q15" s="13"/>
      <c r="R15" s="13"/>
      <c r="S15" s="292"/>
      <c r="T15" s="65"/>
      <c r="U15" s="13"/>
      <c r="V15" s="13"/>
      <c r="W15" s="13"/>
      <c r="X15" s="13"/>
      <c r="Y15" s="13"/>
      <c r="Z15" s="65"/>
      <c r="AA15" s="13"/>
      <c r="AB15" s="13"/>
      <c r="AC15" s="13"/>
      <c r="AD15" s="13"/>
      <c r="AE15" s="292"/>
      <c r="AF15" s="252"/>
      <c r="AG15" s="13"/>
      <c r="AH15" s="163"/>
      <c r="AI15" s="13"/>
      <c r="AJ15" s="13"/>
      <c r="AK15" s="292"/>
      <c r="AL15" s="252"/>
      <c r="AM15" s="163"/>
      <c r="AN15" s="163"/>
      <c r="AO15" s="13"/>
      <c r="AP15" s="13"/>
      <c r="AQ15" s="292"/>
      <c r="AR15" s="252"/>
      <c r="AS15" s="13"/>
      <c r="AT15" s="13"/>
      <c r="AU15" s="13"/>
      <c r="AV15" s="13"/>
      <c r="AW15" s="292"/>
      <c r="AX15" s="252"/>
      <c r="AY15" s="163"/>
      <c r="AZ15" s="163"/>
      <c r="BA15" s="163"/>
      <c r="BB15" s="13"/>
      <c r="BC15" s="292"/>
      <c r="BD15" s="252"/>
      <c r="BE15" s="163"/>
      <c r="BF15" s="163"/>
      <c r="BG15" s="163"/>
      <c r="BH15" s="834"/>
      <c r="BI15" s="292"/>
      <c r="BJ15" s="252"/>
      <c r="BK15" s="163"/>
      <c r="BL15" s="163"/>
      <c r="BM15" s="163"/>
      <c r="BN15" s="834"/>
      <c r="BO15" s="292"/>
      <c r="BP15" s="252"/>
      <c r="BQ15" s="163"/>
      <c r="BR15" s="163"/>
      <c r="BS15" s="163"/>
      <c r="BT15" s="163"/>
      <c r="BU15" s="292"/>
      <c r="BV15" s="252"/>
      <c r="BW15" s="163"/>
      <c r="BX15" s="163"/>
      <c r="BY15" s="163"/>
      <c r="BZ15" s="163"/>
      <c r="CA15" s="292"/>
      <c r="CB15" s="252"/>
      <c r="CC15" s="163"/>
      <c r="CD15" s="163"/>
      <c r="CE15" s="163"/>
      <c r="CF15" s="163"/>
      <c r="CG15" s="292"/>
      <c r="CH15" s="42"/>
      <c r="CI15" s="42"/>
    </row>
    <row r="16" spans="1:87" x14ac:dyDescent="0.2">
      <c r="A16" s="2" t="s">
        <v>131</v>
      </c>
      <c r="B16" s="66"/>
      <c r="C16" s="169">
        <v>0</v>
      </c>
      <c r="D16" s="169">
        <v>2.7759999999999998</v>
      </c>
      <c r="E16" s="169">
        <v>0</v>
      </c>
      <c r="F16" s="169">
        <v>0</v>
      </c>
      <c r="G16" s="83">
        <f t="shared" ref="G16:G21" si="15">F16</f>
        <v>0</v>
      </c>
      <c r="H16" s="66"/>
      <c r="I16" s="169">
        <v>0</v>
      </c>
      <c r="J16" s="169">
        <v>0</v>
      </c>
      <c r="K16" s="169">
        <v>0</v>
      </c>
      <c r="L16" s="169">
        <v>0</v>
      </c>
      <c r="M16" s="83">
        <f t="shared" ref="M16:M21" si="16">L16</f>
        <v>0</v>
      </c>
      <c r="N16" s="66"/>
      <c r="O16" s="169">
        <v>0</v>
      </c>
      <c r="P16" s="169">
        <v>0</v>
      </c>
      <c r="Q16" s="169">
        <v>0</v>
      </c>
      <c r="R16" s="169">
        <v>0</v>
      </c>
      <c r="S16" s="177">
        <f t="shared" ref="S16:S21" si="17">R16</f>
        <v>0</v>
      </c>
      <c r="T16" s="66"/>
      <c r="U16" s="169">
        <v>0</v>
      </c>
      <c r="V16" s="169">
        <v>0</v>
      </c>
      <c r="W16" s="169">
        <v>7.8289999999999997</v>
      </c>
      <c r="X16" s="169">
        <v>9.0890000000000004</v>
      </c>
      <c r="Y16" s="83">
        <f t="shared" ref="Y16:Y21" si="18">X16</f>
        <v>9.0890000000000004</v>
      </c>
      <c r="Z16" s="66"/>
      <c r="AA16" s="169">
        <v>5.6150000000000002</v>
      </c>
      <c r="AB16" s="169">
        <v>4.1120000000000001</v>
      </c>
      <c r="AC16" s="169">
        <v>0.67700000000000005</v>
      </c>
      <c r="AD16" s="169">
        <v>0</v>
      </c>
      <c r="AE16" s="177">
        <f t="shared" ref="AE16:AE21" si="19">AD16</f>
        <v>0</v>
      </c>
      <c r="AF16" s="253"/>
      <c r="AG16" s="169">
        <v>16.803999999999998</v>
      </c>
      <c r="AH16" s="169">
        <v>20.475000000000001</v>
      </c>
      <c r="AI16" s="169">
        <v>20.802</v>
      </c>
      <c r="AJ16" s="169">
        <v>21.251999999999999</v>
      </c>
      <c r="AK16" s="177">
        <f t="shared" ref="AK16:AK21" si="20">AJ16</f>
        <v>21.251999999999999</v>
      </c>
      <c r="AL16" s="253"/>
      <c r="AM16" s="169">
        <v>10.68</v>
      </c>
      <c r="AN16" s="169">
        <v>62.884999999999998</v>
      </c>
      <c r="AO16" s="169">
        <v>76.835999999999999</v>
      </c>
      <c r="AP16" s="169">
        <v>101.97799999999999</v>
      </c>
      <c r="AQ16" s="177">
        <f t="shared" ref="AQ16:AQ21" si="21">AP16</f>
        <v>101.97799999999999</v>
      </c>
      <c r="AR16" s="253"/>
      <c r="AS16" s="169">
        <v>138.929</v>
      </c>
      <c r="AT16" s="169">
        <v>137.148</v>
      </c>
      <c r="AU16" s="169">
        <v>136.017</v>
      </c>
      <c r="AV16" s="169">
        <v>147.892</v>
      </c>
      <c r="AW16" s="177">
        <f t="shared" ref="AW16:AW21" si="22">AV16</f>
        <v>147.892</v>
      </c>
      <c r="AX16" s="253"/>
      <c r="AY16" s="497">
        <v>168.17099999999999</v>
      </c>
      <c r="AZ16" s="497">
        <v>158.161</v>
      </c>
      <c r="BA16" s="497">
        <v>145.24600000000001</v>
      </c>
      <c r="BB16" s="169">
        <v>151.37</v>
      </c>
      <c r="BC16" s="177">
        <f t="shared" ref="BC16:BC21" si="23">BB16</f>
        <v>151.37</v>
      </c>
      <c r="BD16" s="253"/>
      <c r="BE16" s="497">
        <v>132.69</v>
      </c>
      <c r="BF16" s="497">
        <v>113.158</v>
      </c>
      <c r="BG16" s="497">
        <v>62.82</v>
      </c>
      <c r="BH16" s="832">
        <v>59.783000000000001</v>
      </c>
      <c r="BI16" s="177">
        <f t="shared" ref="BI16:BI21" si="24">BH16</f>
        <v>59.783000000000001</v>
      </c>
      <c r="BJ16" s="253"/>
      <c r="BK16" s="497">
        <v>98.573999999999998</v>
      </c>
      <c r="BL16" s="497">
        <v>74.619</v>
      </c>
      <c r="BM16" s="497">
        <v>58.841999999999999</v>
      </c>
      <c r="BN16" s="832">
        <v>39.948</v>
      </c>
      <c r="BO16" s="177">
        <f t="shared" ref="BO16:BO21" si="25">BN16</f>
        <v>39.948</v>
      </c>
      <c r="BP16" s="253"/>
      <c r="BQ16" s="177">
        <f>+BO16</f>
        <v>39.948</v>
      </c>
      <c r="BR16" s="177">
        <f>+BQ16</f>
        <v>39.948</v>
      </c>
      <c r="BS16" s="177">
        <f>+BR16</f>
        <v>39.948</v>
      </c>
      <c r="BT16" s="177">
        <f>+BS16</f>
        <v>39.948</v>
      </c>
      <c r="BU16" s="177">
        <f t="shared" ref="BU16:BU21" si="26">BT16</f>
        <v>39.948</v>
      </c>
      <c r="BV16" s="253"/>
      <c r="BW16" s="177">
        <f>+BU16</f>
        <v>39.948</v>
      </c>
      <c r="BX16" s="177">
        <f>+BW16</f>
        <v>39.948</v>
      </c>
      <c r="BY16" s="177">
        <f>+BX16</f>
        <v>39.948</v>
      </c>
      <c r="BZ16" s="177">
        <f>+BY16</f>
        <v>39.948</v>
      </c>
      <c r="CA16" s="177">
        <f t="shared" ref="CA16:CA21" si="27">BZ16</f>
        <v>39.948</v>
      </c>
      <c r="CB16" s="253"/>
      <c r="CC16" s="177">
        <f>+CA16</f>
        <v>39.948</v>
      </c>
      <c r="CD16" s="177">
        <f>+CC16</f>
        <v>39.948</v>
      </c>
      <c r="CE16" s="177">
        <f>+CD16</f>
        <v>39.948</v>
      </c>
      <c r="CF16" s="177">
        <f>+CE16</f>
        <v>39.948</v>
      </c>
      <c r="CG16" s="177">
        <f t="shared" ref="CG16:CG21" si="28">CF16</f>
        <v>39.948</v>
      </c>
      <c r="CH16" s="42"/>
      <c r="CI16" s="42"/>
    </row>
    <row r="17" spans="1:87" x14ac:dyDescent="0.2">
      <c r="A17" s="2" t="s">
        <v>132</v>
      </c>
      <c r="B17" s="63"/>
      <c r="C17" s="169">
        <v>26.207999999999998</v>
      </c>
      <c r="D17" s="169">
        <v>26.675000000000001</v>
      </c>
      <c r="E17" s="169">
        <v>26.013999999999999</v>
      </c>
      <c r="F17" s="169">
        <v>25.32</v>
      </c>
      <c r="G17" s="83">
        <f t="shared" si="15"/>
        <v>25.32</v>
      </c>
      <c r="H17" s="63"/>
      <c r="I17" s="169">
        <v>27.762</v>
      </c>
      <c r="J17" s="169">
        <v>29.524999999999999</v>
      </c>
      <c r="K17" s="169">
        <v>29.568000000000001</v>
      </c>
      <c r="L17" s="169">
        <v>26.978999999999999</v>
      </c>
      <c r="M17" s="83">
        <f t="shared" si="16"/>
        <v>26.978999999999999</v>
      </c>
      <c r="N17" s="63"/>
      <c r="O17" s="169">
        <v>26</v>
      </c>
      <c r="P17" s="169">
        <v>24.518000000000001</v>
      </c>
      <c r="Q17" s="169">
        <v>24.428999999999998</v>
      </c>
      <c r="R17" s="169">
        <v>24.971</v>
      </c>
      <c r="S17" s="177">
        <f t="shared" si="17"/>
        <v>24.971</v>
      </c>
      <c r="T17" s="63"/>
      <c r="U17" s="169">
        <v>25.417999999999999</v>
      </c>
      <c r="V17" s="169">
        <v>27.248999999999999</v>
      </c>
      <c r="W17" s="169">
        <v>28.102</v>
      </c>
      <c r="X17" s="169">
        <v>30.684000000000001</v>
      </c>
      <c r="Y17" s="83">
        <f t="shared" si="18"/>
        <v>30.684000000000001</v>
      </c>
      <c r="Z17" s="63"/>
      <c r="AA17" s="169">
        <v>30.722000000000001</v>
      </c>
      <c r="AB17" s="169">
        <v>37.122</v>
      </c>
      <c r="AC17" s="169">
        <v>46.387999999999998</v>
      </c>
      <c r="AD17" s="169">
        <v>53.965000000000003</v>
      </c>
      <c r="AE17" s="177">
        <f t="shared" si="19"/>
        <v>53.965000000000003</v>
      </c>
      <c r="AF17" s="236"/>
      <c r="AG17" s="169">
        <v>62.911999999999999</v>
      </c>
      <c r="AH17" s="169">
        <v>72.206999999999994</v>
      </c>
      <c r="AI17" s="169">
        <v>75.248000000000005</v>
      </c>
      <c r="AJ17" s="169">
        <v>79.191000000000003</v>
      </c>
      <c r="AK17" s="177">
        <f t="shared" si="20"/>
        <v>79.191000000000003</v>
      </c>
      <c r="AL17" s="236"/>
      <c r="AM17" s="169">
        <v>72.671999999999997</v>
      </c>
      <c r="AN17" s="169">
        <v>76.932000000000002</v>
      </c>
      <c r="AO17" s="169">
        <v>76.552000000000007</v>
      </c>
      <c r="AP17" s="169">
        <v>75.742999999999995</v>
      </c>
      <c r="AQ17" s="177">
        <f t="shared" si="21"/>
        <v>75.742999999999995</v>
      </c>
      <c r="AR17" s="236"/>
      <c r="AS17" s="169">
        <v>79.093000000000004</v>
      </c>
      <c r="AT17" s="169">
        <v>81.311999999999998</v>
      </c>
      <c r="AU17" s="169">
        <v>86.447000000000003</v>
      </c>
      <c r="AV17" s="169">
        <v>90.125</v>
      </c>
      <c r="AW17" s="177">
        <f t="shared" si="22"/>
        <v>90.125</v>
      </c>
      <c r="AX17" s="236"/>
      <c r="AY17" s="497">
        <v>99.763999999999996</v>
      </c>
      <c r="AZ17" s="497">
        <v>108.029</v>
      </c>
      <c r="BA17" s="497">
        <v>120.738</v>
      </c>
      <c r="BB17" s="169">
        <v>136.47300000000001</v>
      </c>
      <c r="BC17" s="177">
        <f t="shared" si="23"/>
        <v>136.47300000000001</v>
      </c>
      <c r="BD17" s="236"/>
      <c r="BE17" s="497">
        <v>148.029</v>
      </c>
      <c r="BF17" s="497">
        <v>161.685</v>
      </c>
      <c r="BG17" s="497">
        <v>172.65799999999999</v>
      </c>
      <c r="BH17" s="832">
        <v>175.167</v>
      </c>
      <c r="BI17" s="177">
        <f t="shared" si="24"/>
        <v>175.167</v>
      </c>
      <c r="BJ17" s="236"/>
      <c r="BK17" s="497">
        <f>231.692</f>
        <v>231.69200000000001</v>
      </c>
      <c r="BL17" s="497">
        <v>255.53899999999999</v>
      </c>
      <c r="BM17" s="497">
        <v>295.90100000000001</v>
      </c>
      <c r="BN17" s="832">
        <v>348.79300000000001</v>
      </c>
      <c r="BO17" s="177">
        <f t="shared" si="25"/>
        <v>348.79300000000001</v>
      </c>
      <c r="BP17" s="236"/>
      <c r="BQ17" s="177">
        <f>+BQ122</f>
        <v>406.768505</v>
      </c>
      <c r="BR17" s="177">
        <f>+BR122</f>
        <v>470.28770096243159</v>
      </c>
      <c r="BS17" s="177">
        <f>+BS122</f>
        <v>533.80755662783201</v>
      </c>
      <c r="BT17" s="177">
        <f>+BT122</f>
        <v>603.22118232089747</v>
      </c>
      <c r="BU17" s="177">
        <f t="shared" si="26"/>
        <v>603.22118232089747</v>
      </c>
      <c r="BV17" s="236"/>
      <c r="BW17" s="177">
        <f>+BW122</f>
        <v>637.24639301296975</v>
      </c>
      <c r="BX17" s="177">
        <f>+BX122</f>
        <v>677.17068725729428</v>
      </c>
      <c r="BY17" s="177">
        <f>+BY122</f>
        <v>716.52163051526054</v>
      </c>
      <c r="BZ17" s="177">
        <f>+BZ122</f>
        <v>760.45127897369139</v>
      </c>
      <c r="CA17" s="177">
        <f t="shared" si="27"/>
        <v>760.45127897369139</v>
      </c>
      <c r="CB17" s="236"/>
      <c r="CC17" s="177">
        <f>+CC122</f>
        <v>798.46550767111228</v>
      </c>
      <c r="CD17" s="177">
        <f>+CD122</f>
        <v>842.66955427687617</v>
      </c>
      <c r="CE17" s="177">
        <f>+CE122</f>
        <v>886.03002429386868</v>
      </c>
      <c r="CF17" s="177">
        <f>+CF122</f>
        <v>934.25831155520814</v>
      </c>
      <c r="CG17" s="177">
        <f t="shared" si="28"/>
        <v>934.25831155520814</v>
      </c>
      <c r="CH17" s="42"/>
      <c r="CI17" s="42"/>
    </row>
    <row r="18" spans="1:87" x14ac:dyDescent="0.2">
      <c r="A18" s="2" t="s">
        <v>215</v>
      </c>
      <c r="B18" s="63"/>
      <c r="C18" s="169">
        <v>0.47799999999999998</v>
      </c>
      <c r="D18" s="169">
        <v>0.47799999999999998</v>
      </c>
      <c r="E18" s="169">
        <v>0.47799999999999998</v>
      </c>
      <c r="F18" s="169">
        <v>0.47799999999999998</v>
      </c>
      <c r="G18" s="83">
        <f t="shared" si="15"/>
        <v>0.47799999999999998</v>
      </c>
      <c r="H18" s="63"/>
      <c r="I18" s="169">
        <v>0.47799999999999998</v>
      </c>
      <c r="J18" s="169">
        <v>0.47799999999999998</v>
      </c>
      <c r="K18" s="169">
        <v>0.47799999999999998</v>
      </c>
      <c r="L18" s="169">
        <v>0.47799999999999998</v>
      </c>
      <c r="M18" s="83">
        <f t="shared" si="16"/>
        <v>0.47799999999999998</v>
      </c>
      <c r="N18" s="63"/>
      <c r="O18" s="169">
        <v>0.47799999999999998</v>
      </c>
      <c r="P18" s="169">
        <v>0.47799999999999998</v>
      </c>
      <c r="Q18" s="169">
        <v>0.47799999999999998</v>
      </c>
      <c r="R18" s="169">
        <v>0.47799999999999998</v>
      </c>
      <c r="S18" s="177">
        <f t="shared" si="17"/>
        <v>0.47799999999999998</v>
      </c>
      <c r="T18" s="63"/>
      <c r="U18" s="169">
        <v>0.47799999999999998</v>
      </c>
      <c r="V18" s="169">
        <v>0.47799999999999998</v>
      </c>
      <c r="W18" s="169">
        <v>0.47799999999999998</v>
      </c>
      <c r="X18" s="169">
        <v>0.47799999999999998</v>
      </c>
      <c r="Y18" s="83">
        <f t="shared" si="18"/>
        <v>0.47799999999999998</v>
      </c>
      <c r="Z18" s="63"/>
      <c r="AA18" s="169">
        <v>0.47799999999999998</v>
      </c>
      <c r="AB18" s="169">
        <v>135.768</v>
      </c>
      <c r="AC18" s="169">
        <v>135.74299999999999</v>
      </c>
      <c r="AD18" s="169">
        <v>135.38300000000001</v>
      </c>
      <c r="AE18" s="177">
        <f t="shared" si="19"/>
        <v>135.38300000000001</v>
      </c>
      <c r="AF18" s="236"/>
      <c r="AG18" s="169">
        <v>135.827</v>
      </c>
      <c r="AH18" s="169">
        <v>135.827</v>
      </c>
      <c r="AI18" s="169">
        <v>111.16200000000001</v>
      </c>
      <c r="AJ18" s="169">
        <v>99.236000000000004</v>
      </c>
      <c r="AK18" s="177">
        <f t="shared" si="20"/>
        <v>99.236000000000004</v>
      </c>
      <c r="AL18" s="236"/>
      <c r="AM18" s="169">
        <v>58.542999999999999</v>
      </c>
      <c r="AN18" s="169">
        <v>61.713000000000001</v>
      </c>
      <c r="AO18" s="169">
        <v>61.744999999999997</v>
      </c>
      <c r="AP18" s="169">
        <v>61.622999999999998</v>
      </c>
      <c r="AQ18" s="177">
        <f t="shared" si="21"/>
        <v>61.622999999999998</v>
      </c>
      <c r="AR18" s="236"/>
      <c r="AS18" s="169">
        <v>61.750999999999998</v>
      </c>
      <c r="AT18" s="169">
        <v>61.807000000000002</v>
      </c>
      <c r="AU18" s="169">
        <v>61.588999999999999</v>
      </c>
      <c r="AV18" s="169">
        <v>61.369</v>
      </c>
      <c r="AW18" s="177">
        <f t="shared" si="22"/>
        <v>61.369</v>
      </c>
      <c r="AX18" s="236"/>
      <c r="AY18" s="497">
        <v>61.237000000000002</v>
      </c>
      <c r="AZ18" s="497">
        <v>61.203000000000003</v>
      </c>
      <c r="BA18" s="497">
        <v>60.978000000000002</v>
      </c>
      <c r="BB18" s="169">
        <v>61.073999999999998</v>
      </c>
      <c r="BC18" s="177">
        <f t="shared" si="23"/>
        <v>61.073999999999998</v>
      </c>
      <c r="BD18" s="236"/>
      <c r="BE18" s="497">
        <v>61.167999999999999</v>
      </c>
      <c r="BF18" s="497">
        <v>61.119</v>
      </c>
      <c r="BG18" s="497">
        <v>61.195</v>
      </c>
      <c r="BH18" s="832">
        <v>61.043999999999997</v>
      </c>
      <c r="BI18" s="177">
        <f t="shared" si="24"/>
        <v>61.043999999999997</v>
      </c>
      <c r="BJ18" s="236"/>
      <c r="BK18" s="497">
        <v>64.545000000000002</v>
      </c>
      <c r="BL18" s="497">
        <v>64.525000000000006</v>
      </c>
      <c r="BM18" s="497">
        <v>64.614999999999995</v>
      </c>
      <c r="BN18" s="606">
        <v>64.614000000000004</v>
      </c>
      <c r="BO18" s="177">
        <f t="shared" si="25"/>
        <v>64.614000000000004</v>
      </c>
      <c r="BP18" s="236"/>
      <c r="BQ18" s="177">
        <f>+BQ135</f>
        <v>64.614000000000004</v>
      </c>
      <c r="BR18" s="177">
        <f>+BR135</f>
        <v>64.614000000000004</v>
      </c>
      <c r="BS18" s="177">
        <f>+BS135</f>
        <v>64.614000000000004</v>
      </c>
      <c r="BT18" s="177">
        <f>+BT135</f>
        <v>64.614000000000004</v>
      </c>
      <c r="BU18" s="177">
        <f t="shared" si="26"/>
        <v>64.614000000000004</v>
      </c>
      <c r="BV18" s="236"/>
      <c r="BW18" s="177">
        <f>+BW135</f>
        <v>64.614000000000004</v>
      </c>
      <c r="BX18" s="177">
        <f>+BX135</f>
        <v>64.614000000000004</v>
      </c>
      <c r="BY18" s="177">
        <f>+BY135</f>
        <v>64.614000000000004</v>
      </c>
      <c r="BZ18" s="177">
        <f>+BZ135</f>
        <v>64.614000000000004</v>
      </c>
      <c r="CA18" s="177">
        <f t="shared" si="27"/>
        <v>64.614000000000004</v>
      </c>
      <c r="CB18" s="236"/>
      <c r="CC18" s="177">
        <f>+CC135</f>
        <v>64.614000000000004</v>
      </c>
      <c r="CD18" s="177">
        <f>+CD135</f>
        <v>64.614000000000004</v>
      </c>
      <c r="CE18" s="177">
        <f>+CE135</f>
        <v>64.614000000000004</v>
      </c>
      <c r="CF18" s="177">
        <f>+CF135</f>
        <v>64.614000000000004</v>
      </c>
      <c r="CG18" s="177">
        <f t="shared" si="28"/>
        <v>64.614000000000004</v>
      </c>
      <c r="CH18" s="42"/>
      <c r="CI18" s="42"/>
    </row>
    <row r="19" spans="1:87" x14ac:dyDescent="0.2">
      <c r="A19" s="2" t="s">
        <v>133</v>
      </c>
      <c r="B19" s="63"/>
      <c r="C19" s="169">
        <v>12.978999999999999</v>
      </c>
      <c r="D19" s="169">
        <v>12.032999999999999</v>
      </c>
      <c r="E19" s="169">
        <v>11.324</v>
      </c>
      <c r="F19" s="169">
        <v>10.615</v>
      </c>
      <c r="G19" s="83">
        <f t="shared" si="15"/>
        <v>10.615</v>
      </c>
      <c r="H19" s="63"/>
      <c r="I19" s="169">
        <v>9.9060000000000006</v>
      </c>
      <c r="J19" s="169">
        <v>9.1969999999999992</v>
      </c>
      <c r="K19" s="169">
        <v>8.4879999999999995</v>
      </c>
      <c r="L19" s="169">
        <v>7.7880000000000003</v>
      </c>
      <c r="M19" s="83">
        <f t="shared" si="16"/>
        <v>7.7880000000000003</v>
      </c>
      <c r="N19" s="63"/>
      <c r="O19" s="169">
        <v>7.0880000000000001</v>
      </c>
      <c r="P19" s="169">
        <v>6.3879999999999999</v>
      </c>
      <c r="Q19" s="169">
        <v>5.6879999999999997</v>
      </c>
      <c r="R19" s="169">
        <v>4.9880000000000004</v>
      </c>
      <c r="S19" s="177">
        <f t="shared" si="17"/>
        <v>4.9880000000000004</v>
      </c>
      <c r="T19" s="63"/>
      <c r="U19" s="169">
        <v>4.2880000000000003</v>
      </c>
      <c r="V19" s="169">
        <v>3.5880000000000001</v>
      </c>
      <c r="W19" s="169">
        <v>2.8879999999999999</v>
      </c>
      <c r="X19" s="169">
        <v>2.1880000000000002</v>
      </c>
      <c r="Y19" s="83">
        <f t="shared" si="18"/>
        <v>2.1880000000000002</v>
      </c>
      <c r="Z19" s="63"/>
      <c r="AA19" s="169">
        <v>1.488</v>
      </c>
      <c r="AB19" s="169">
        <v>52.113</v>
      </c>
      <c r="AC19" s="169">
        <v>50.279000000000003</v>
      </c>
      <c r="AD19" s="169">
        <v>50.021999999999998</v>
      </c>
      <c r="AE19" s="177">
        <f t="shared" si="19"/>
        <v>50.021999999999998</v>
      </c>
      <c r="AF19" s="236"/>
      <c r="AG19" s="169">
        <v>48.875999999999998</v>
      </c>
      <c r="AH19" s="169">
        <v>47.901000000000003</v>
      </c>
      <c r="AI19" s="169">
        <v>46.817</v>
      </c>
      <c r="AJ19" s="169">
        <v>45.777000000000001</v>
      </c>
      <c r="AK19" s="177">
        <f t="shared" si="20"/>
        <v>45.777000000000001</v>
      </c>
      <c r="AL19" s="236"/>
      <c r="AM19" s="169">
        <v>25.428999999999998</v>
      </c>
      <c r="AN19" s="169">
        <v>24.975000000000001</v>
      </c>
      <c r="AO19" s="169">
        <v>24.361999999999998</v>
      </c>
      <c r="AP19" s="169">
        <v>23.739000000000001</v>
      </c>
      <c r="AQ19" s="177">
        <f t="shared" si="21"/>
        <v>23.739000000000001</v>
      </c>
      <c r="AR19" s="236"/>
      <c r="AS19" s="169">
        <v>22.637</v>
      </c>
      <c r="AT19" s="169">
        <v>21.988</v>
      </c>
      <c r="AU19" s="169">
        <v>21.337000000000003</v>
      </c>
      <c r="AV19" s="169">
        <v>20.687000000000001</v>
      </c>
      <c r="AW19" s="177">
        <f t="shared" si="22"/>
        <v>20.687000000000001</v>
      </c>
      <c r="AX19" s="236"/>
      <c r="AY19" s="497">
        <v>20.036999999999999</v>
      </c>
      <c r="AZ19" s="497">
        <v>19.387</v>
      </c>
      <c r="BA19" s="497">
        <v>18.736999999999998</v>
      </c>
      <c r="BB19" s="169">
        <v>18.088000000000001</v>
      </c>
      <c r="BC19" s="177">
        <f t="shared" si="23"/>
        <v>18.088000000000001</v>
      </c>
      <c r="BD19" s="236"/>
      <c r="BE19" s="497">
        <v>17.437999999999999</v>
      </c>
      <c r="BF19" s="497">
        <v>22.63</v>
      </c>
      <c r="BG19" s="497">
        <v>21.792000000000002</v>
      </c>
      <c r="BH19" s="832">
        <v>20.954000000000001</v>
      </c>
      <c r="BI19" s="177">
        <f t="shared" si="24"/>
        <v>20.954000000000001</v>
      </c>
      <c r="BJ19" s="236"/>
      <c r="BK19" s="497">
        <v>27.902000000000001</v>
      </c>
      <c r="BL19" s="497">
        <f>91.308-BL18</f>
        <v>26.783000000000001</v>
      </c>
      <c r="BM19" s="497">
        <f>90.07-BM18</f>
        <v>25.454999999999998</v>
      </c>
      <c r="BN19" s="606">
        <v>24.454000000000001</v>
      </c>
      <c r="BO19" s="177">
        <f t="shared" si="25"/>
        <v>24.454000000000001</v>
      </c>
      <c r="BP19" s="236"/>
      <c r="BQ19" s="177">
        <f>+BQ130</f>
        <v>24.454000000000001</v>
      </c>
      <c r="BR19" s="177">
        <f>+BR130</f>
        <v>24.454000000000001</v>
      </c>
      <c r="BS19" s="177">
        <f>+BS130</f>
        <v>24.454000000000001</v>
      </c>
      <c r="BT19" s="177">
        <f>+BT130</f>
        <v>24.454000000000001</v>
      </c>
      <c r="BU19" s="177">
        <f t="shared" si="26"/>
        <v>24.454000000000001</v>
      </c>
      <c r="BV19" s="236"/>
      <c r="BW19" s="177">
        <f>+BW130</f>
        <v>24.454000000000001</v>
      </c>
      <c r="BX19" s="177">
        <f>+BX130</f>
        <v>24.454000000000001</v>
      </c>
      <c r="BY19" s="177">
        <f>+BY130</f>
        <v>24.454000000000001</v>
      </c>
      <c r="BZ19" s="177">
        <f>+BZ130</f>
        <v>24.454000000000001</v>
      </c>
      <c r="CA19" s="177">
        <f t="shared" si="27"/>
        <v>24.454000000000001</v>
      </c>
      <c r="CB19" s="236"/>
      <c r="CC19" s="177">
        <f>+CC130</f>
        <v>24.454000000000001</v>
      </c>
      <c r="CD19" s="177">
        <f>+CD130</f>
        <v>24.454000000000001</v>
      </c>
      <c r="CE19" s="177">
        <f>+CE130</f>
        <v>24.454000000000001</v>
      </c>
      <c r="CF19" s="177">
        <f>+CF130</f>
        <v>24.454000000000001</v>
      </c>
      <c r="CG19" s="177">
        <f t="shared" si="28"/>
        <v>24.454000000000001</v>
      </c>
      <c r="CH19" s="42"/>
      <c r="CI19" s="42"/>
    </row>
    <row r="20" spans="1:87" x14ac:dyDescent="0.2">
      <c r="A20" s="2" t="s">
        <v>134</v>
      </c>
      <c r="B20" s="64"/>
      <c r="C20" s="169">
        <v>0</v>
      </c>
      <c r="D20" s="169">
        <v>0</v>
      </c>
      <c r="E20" s="169">
        <v>0</v>
      </c>
      <c r="F20" s="169">
        <v>0</v>
      </c>
      <c r="G20" s="83">
        <f t="shared" si="15"/>
        <v>0</v>
      </c>
      <c r="H20" s="64"/>
      <c r="I20" s="169">
        <v>0</v>
      </c>
      <c r="J20" s="169">
        <v>0</v>
      </c>
      <c r="K20" s="169">
        <v>0</v>
      </c>
      <c r="L20" s="169">
        <v>61.695999999999998</v>
      </c>
      <c r="M20" s="83">
        <f t="shared" si="16"/>
        <v>61.695999999999998</v>
      </c>
      <c r="N20" s="64"/>
      <c r="O20" s="89">
        <v>61.133000000000003</v>
      </c>
      <c r="P20" s="89">
        <v>61.133000000000003</v>
      </c>
      <c r="Q20" s="89">
        <v>61.048000000000002</v>
      </c>
      <c r="R20" s="89">
        <v>61.534999999999997</v>
      </c>
      <c r="S20" s="177">
        <f t="shared" si="17"/>
        <v>61.534999999999997</v>
      </c>
      <c r="T20" s="64"/>
      <c r="U20" s="89">
        <v>56.56</v>
      </c>
      <c r="V20" s="89">
        <v>44.170999999999999</v>
      </c>
      <c r="W20" s="89">
        <v>43.777999999999999</v>
      </c>
      <c r="X20" s="89">
        <v>42.439</v>
      </c>
      <c r="Y20" s="83">
        <f t="shared" si="18"/>
        <v>42.439</v>
      </c>
      <c r="Z20" s="64"/>
      <c r="AA20" s="89">
        <v>38.024000000000001</v>
      </c>
      <c r="AB20" s="89">
        <v>28.545999999999999</v>
      </c>
      <c r="AC20" s="89">
        <v>22.945</v>
      </c>
      <c r="AD20" s="89">
        <v>22.337</v>
      </c>
      <c r="AE20" s="177">
        <f t="shared" si="19"/>
        <v>22.337</v>
      </c>
      <c r="AF20" s="178"/>
      <c r="AG20" s="89">
        <v>17.611999999999998</v>
      </c>
      <c r="AH20" s="89">
        <v>29.853000000000002</v>
      </c>
      <c r="AI20" s="89">
        <v>27.189</v>
      </c>
      <c r="AJ20" s="89">
        <v>21.609000000000002</v>
      </c>
      <c r="AK20" s="177">
        <f t="shared" si="20"/>
        <v>21.609000000000002</v>
      </c>
      <c r="AL20" s="178"/>
      <c r="AM20" s="89">
        <v>28.417000000000002</v>
      </c>
      <c r="AN20" s="89">
        <v>30.622</v>
      </c>
      <c r="AO20" s="89">
        <v>28.821999999999999</v>
      </c>
      <c r="AP20" s="89">
        <v>15.766</v>
      </c>
      <c r="AQ20" s="177">
        <f t="shared" si="21"/>
        <v>15.766</v>
      </c>
      <c r="AR20" s="178"/>
      <c r="AS20" s="89">
        <v>22.739000000000001</v>
      </c>
      <c r="AT20" s="89">
        <v>20.456</v>
      </c>
      <c r="AU20" s="89">
        <v>19.713999999999999</v>
      </c>
      <c r="AV20" s="169">
        <v>3.0990000000000002</v>
      </c>
      <c r="AW20" s="177">
        <f t="shared" si="22"/>
        <v>3.0990000000000002</v>
      </c>
      <c r="AX20" s="178"/>
      <c r="AY20" s="497">
        <v>14.63</v>
      </c>
      <c r="AZ20" s="497">
        <v>16.013999999999999</v>
      </c>
      <c r="BA20" s="497">
        <v>14.542</v>
      </c>
      <c r="BB20" s="169">
        <v>51.415999999999997</v>
      </c>
      <c r="BC20" s="177">
        <f t="shared" si="23"/>
        <v>51.415999999999997</v>
      </c>
      <c r="BD20" s="178"/>
      <c r="BE20" s="497">
        <v>57.527000000000001</v>
      </c>
      <c r="BF20" s="497">
        <v>60.051000000000002</v>
      </c>
      <c r="BG20" s="497">
        <v>68.918000000000006</v>
      </c>
      <c r="BH20" s="832">
        <v>67.843999999999994</v>
      </c>
      <c r="BI20" s="177">
        <f t="shared" si="24"/>
        <v>67.843999999999994</v>
      </c>
      <c r="BJ20" s="178"/>
      <c r="BK20" s="497">
        <v>60.067999999999998</v>
      </c>
      <c r="BL20" s="497">
        <v>61.783000000000001</v>
      </c>
      <c r="BM20" s="497">
        <v>73.531999999999996</v>
      </c>
      <c r="BN20" s="832">
        <v>50.058999999999997</v>
      </c>
      <c r="BO20" s="177">
        <f t="shared" si="25"/>
        <v>50.058999999999997</v>
      </c>
      <c r="BP20" s="178"/>
      <c r="BQ20" s="177">
        <f>+BQ93*'P&amp;L'!BQ21*4</f>
        <v>69.982773539367187</v>
      </c>
      <c r="BR20" s="177">
        <f>+BR93*'P&amp;L'!BR21*4</f>
        <v>73.6173806260866</v>
      </c>
      <c r="BS20" s="177">
        <f>+BS93*'P&amp;L'!BS21*4</f>
        <v>85.21416131943559</v>
      </c>
      <c r="BT20" s="177">
        <f>+BT93*'P&amp;L'!BT21*4</f>
        <v>53.783857734231113</v>
      </c>
      <c r="BU20" s="177">
        <f t="shared" si="26"/>
        <v>53.783857734231113</v>
      </c>
      <c r="BV20" s="178"/>
      <c r="BW20" s="177">
        <f>+BW93*'P&amp;L'!BW21*4</f>
        <v>72.757487862739012</v>
      </c>
      <c r="BX20" s="177">
        <f>+BX93*'P&amp;L'!BX21*4</f>
        <v>78.131766045080099</v>
      </c>
      <c r="BY20" s="177">
        <f>+BY93*'P&amp;L'!BY21*4</f>
        <v>91.655308027211518</v>
      </c>
      <c r="BZ20" s="177">
        <f>+BZ93*'P&amp;L'!BZ21*4</f>
        <v>52.480135892017628</v>
      </c>
      <c r="CA20" s="177">
        <f t="shared" si="27"/>
        <v>52.480135892017628</v>
      </c>
      <c r="CB20" s="178"/>
      <c r="CC20" s="177">
        <f>+CC93*'P&amp;L'!CC21*4</f>
        <v>71.772566722766598</v>
      </c>
      <c r="CD20" s="177">
        <f>+CD93*'P&amp;L'!CD21*4</f>
        <v>75.414015319432366</v>
      </c>
      <c r="CE20" s="177">
        <f>+CE93*'P&amp;L'!CE21*4</f>
        <v>91.000580495240428</v>
      </c>
      <c r="CF20" s="177">
        <f>+CF93*'P&amp;L'!CF21*4</f>
        <v>44.850338548273335</v>
      </c>
      <c r="CG20" s="177">
        <f t="shared" si="28"/>
        <v>44.850338548273335</v>
      </c>
      <c r="CH20" s="246"/>
      <c r="CI20" s="246"/>
    </row>
    <row r="21" spans="1:87" x14ac:dyDescent="0.2">
      <c r="A21" s="2" t="s">
        <v>135</v>
      </c>
      <c r="B21" s="63"/>
      <c r="C21" s="63">
        <v>2.1339999999999999</v>
      </c>
      <c r="D21" s="63">
        <v>1.968</v>
      </c>
      <c r="E21" s="63">
        <v>1.931</v>
      </c>
      <c r="F21" s="63">
        <v>1.831</v>
      </c>
      <c r="G21" s="64">
        <f t="shared" si="15"/>
        <v>1.831</v>
      </c>
      <c r="H21" s="63"/>
      <c r="I21" s="63">
        <v>1.754</v>
      </c>
      <c r="J21" s="63">
        <v>3.585</v>
      </c>
      <c r="K21" s="63">
        <v>4.4320000000000004</v>
      </c>
      <c r="L21" s="63">
        <v>4.4930000000000003</v>
      </c>
      <c r="M21" s="64">
        <f t="shared" si="16"/>
        <v>4.4930000000000003</v>
      </c>
      <c r="N21" s="63"/>
      <c r="O21" s="63">
        <v>1.573</v>
      </c>
      <c r="P21" s="63">
        <v>1.5289999999999999</v>
      </c>
      <c r="Q21" s="63">
        <v>1.603</v>
      </c>
      <c r="R21" s="63">
        <v>1.9690000000000001</v>
      </c>
      <c r="S21" s="178">
        <f t="shared" si="17"/>
        <v>1.9690000000000001</v>
      </c>
      <c r="T21" s="63"/>
      <c r="U21" s="63">
        <v>2.198</v>
      </c>
      <c r="V21" s="63">
        <v>2.109</v>
      </c>
      <c r="W21" s="63">
        <v>4.218</v>
      </c>
      <c r="X21" s="63">
        <v>3.4540000000000002</v>
      </c>
      <c r="Y21" s="64">
        <f t="shared" si="18"/>
        <v>3.4540000000000002</v>
      </c>
      <c r="Z21" s="63"/>
      <c r="AA21" s="63">
        <v>2.714</v>
      </c>
      <c r="AB21" s="63">
        <v>2.8149999999999999</v>
      </c>
      <c r="AC21" s="63">
        <v>2.754</v>
      </c>
      <c r="AD21" s="63">
        <v>2.7410000000000001</v>
      </c>
      <c r="AE21" s="178">
        <f t="shared" si="19"/>
        <v>2.7410000000000001</v>
      </c>
      <c r="AF21" s="236"/>
      <c r="AG21" s="63">
        <v>2.9089999999999998</v>
      </c>
      <c r="AH21" s="63">
        <v>2.7650000000000001</v>
      </c>
      <c r="AI21" s="63">
        <v>2.7</v>
      </c>
      <c r="AJ21" s="63">
        <v>3.4540000000000002</v>
      </c>
      <c r="AK21" s="178">
        <f t="shared" si="20"/>
        <v>3.4540000000000002</v>
      </c>
      <c r="AL21" s="236"/>
      <c r="AM21" s="63">
        <v>3.173</v>
      </c>
      <c r="AN21" s="63">
        <v>4.6740000000000004</v>
      </c>
      <c r="AO21" s="63">
        <v>8.6300000000000008</v>
      </c>
      <c r="AP21" s="63">
        <v>8.6219999999999999</v>
      </c>
      <c r="AQ21" s="178">
        <f t="shared" si="21"/>
        <v>8.6219999999999999</v>
      </c>
      <c r="AR21" s="236"/>
      <c r="AS21" s="63">
        <v>8.3149999999999995</v>
      </c>
      <c r="AT21" s="63">
        <v>8.2100000000000009</v>
      </c>
      <c r="AU21" s="63">
        <v>7.5129999999999999</v>
      </c>
      <c r="AV21" s="169">
        <v>7.665</v>
      </c>
      <c r="AW21" s="178">
        <f t="shared" si="22"/>
        <v>7.665</v>
      </c>
      <c r="AX21" s="236"/>
      <c r="AY21" s="497">
        <v>7.2539999999999996</v>
      </c>
      <c r="AZ21" s="497">
        <v>7.8810000000000002</v>
      </c>
      <c r="BA21" s="497">
        <v>7.5880000000000001</v>
      </c>
      <c r="BB21" s="169">
        <v>8.202</v>
      </c>
      <c r="BC21" s="178">
        <f t="shared" si="23"/>
        <v>8.202</v>
      </c>
      <c r="BD21" s="236"/>
      <c r="BE21" s="497">
        <v>7.7050000000000001</v>
      </c>
      <c r="BF21" s="497">
        <v>7.2229999999999999</v>
      </c>
      <c r="BG21" s="497">
        <f>46.268+13.474</f>
        <v>59.742000000000004</v>
      </c>
      <c r="BH21" s="832">
        <f>45.061+13.32</f>
        <v>58.381</v>
      </c>
      <c r="BI21" s="178">
        <f t="shared" si="24"/>
        <v>58.381</v>
      </c>
      <c r="BJ21" s="236"/>
      <c r="BK21" s="497">
        <f>43.94+14.405</f>
        <v>58.344999999999999</v>
      </c>
      <c r="BL21" s="830">
        <f>41.724+22.992</f>
        <v>64.715999999999994</v>
      </c>
      <c r="BM21" s="497">
        <f>52.875+25.4</f>
        <v>78.275000000000006</v>
      </c>
      <c r="BN21" s="832">
        <f>54.606+38.379</f>
        <v>92.984999999999999</v>
      </c>
      <c r="BO21" s="178">
        <f t="shared" si="25"/>
        <v>92.984999999999999</v>
      </c>
      <c r="BP21" s="236"/>
      <c r="BQ21" s="177">
        <f>+BO21-'Cash Flow'!BP32-'Cash Flow'!BP13</f>
        <v>92.984999999999999</v>
      </c>
      <c r="BR21" s="177">
        <f>+BQ21-'Cash Flow'!BQ32-'Cash Flow'!BQ13</f>
        <v>92.984999999999999</v>
      </c>
      <c r="BS21" s="177">
        <f>+BR21-'Cash Flow'!BR32-'Cash Flow'!BR13</f>
        <v>92.984999999999999</v>
      </c>
      <c r="BT21" s="177">
        <f>+BS21-'Cash Flow'!BS32-'Cash Flow'!BS13</f>
        <v>92.984999999999999</v>
      </c>
      <c r="BU21" s="178">
        <f t="shared" si="26"/>
        <v>92.984999999999999</v>
      </c>
      <c r="BV21" s="236"/>
      <c r="BW21" s="177">
        <f>+BU21-'Cash Flow'!BV32-'Cash Flow'!BV13</f>
        <v>92.984999999999999</v>
      </c>
      <c r="BX21" s="177">
        <f>+BW21-'Cash Flow'!BW32-'Cash Flow'!BW13</f>
        <v>92.984999999999999</v>
      </c>
      <c r="BY21" s="177">
        <f>+BX21-'Cash Flow'!BX32-'Cash Flow'!BX13</f>
        <v>92.984999999999999</v>
      </c>
      <c r="BZ21" s="177">
        <f>+BY21-'Cash Flow'!BY32-'Cash Flow'!BY13</f>
        <v>92.984999999999999</v>
      </c>
      <c r="CA21" s="178">
        <f t="shared" si="27"/>
        <v>92.984999999999999</v>
      </c>
      <c r="CB21" s="236"/>
      <c r="CC21" s="177">
        <f>+CA21-'Cash Flow'!CB32-'Cash Flow'!CB13</f>
        <v>92.984999999999999</v>
      </c>
      <c r="CD21" s="177">
        <f>+CC21-'Cash Flow'!CC32-'Cash Flow'!CC13</f>
        <v>92.984999999999999</v>
      </c>
      <c r="CE21" s="177">
        <f>+CD21-'Cash Flow'!CD32-'Cash Flow'!CD13</f>
        <v>92.984999999999999</v>
      </c>
      <c r="CF21" s="177">
        <f>+CE21-'Cash Flow'!CE32-'Cash Flow'!CE13</f>
        <v>92.984999999999999</v>
      </c>
      <c r="CG21" s="178">
        <f t="shared" si="28"/>
        <v>92.984999999999999</v>
      </c>
      <c r="CH21" s="42"/>
      <c r="CI21" s="42"/>
    </row>
    <row r="22" spans="1:87" ht="13.5" thickBot="1" x14ac:dyDescent="0.25">
      <c r="A22" s="6" t="s">
        <v>217</v>
      </c>
      <c r="B22" s="63"/>
      <c r="C22" s="171">
        <f>C14+SUM(C16:C21)</f>
        <v>157.03900000000002</v>
      </c>
      <c r="D22" s="171">
        <f>D14+SUM(D16:D21)</f>
        <v>182.35499999999999</v>
      </c>
      <c r="E22" s="171">
        <f>E14+SUM(E16:E21)</f>
        <v>206.89400000000001</v>
      </c>
      <c r="F22" s="171">
        <f>F14+SUM(F16:F21)</f>
        <v>222.76099999999997</v>
      </c>
      <c r="G22" s="171">
        <f>G14+SUM(G16:G21)</f>
        <v>222.76099999999997</v>
      </c>
      <c r="H22" s="63"/>
      <c r="I22" s="171">
        <f>I14+SUM(I16:I21)</f>
        <v>231.04999999999998</v>
      </c>
      <c r="J22" s="171">
        <f>J14+SUM(J16:J21)</f>
        <v>217.16899999999995</v>
      </c>
      <c r="K22" s="171">
        <f>K14+SUM(K16:K21)</f>
        <v>216.51999999999998</v>
      </c>
      <c r="L22" s="171">
        <f>L14+SUM(L16:L21)</f>
        <v>279.34100000000001</v>
      </c>
      <c r="M22" s="171">
        <f>M14+SUM(M16:M21)</f>
        <v>279.34100000000001</v>
      </c>
      <c r="N22" s="63"/>
      <c r="O22" s="171">
        <f>O14+SUM(O16:O21)</f>
        <v>289.27699999999993</v>
      </c>
      <c r="P22" s="171">
        <f>P14+SUM(P16:P21)</f>
        <v>307.79399999999993</v>
      </c>
      <c r="Q22" s="171">
        <f>Q14+SUM(Q16:Q21)</f>
        <v>330.78399999999993</v>
      </c>
      <c r="R22" s="171">
        <f>R14+SUM(R16:R21)</f>
        <v>355.2399999999999</v>
      </c>
      <c r="S22" s="171">
        <f>S14+SUM(S16:S21)</f>
        <v>355.2399999999999</v>
      </c>
      <c r="T22" s="63"/>
      <c r="U22" s="171">
        <f>U14+SUM(U16:U21)</f>
        <v>373.55199999999991</v>
      </c>
      <c r="V22" s="171">
        <f>V14+SUM(V16:V21)</f>
        <v>408.69199999999989</v>
      </c>
      <c r="W22" s="171">
        <f>W14+SUM(W16:W21)</f>
        <v>445.2349999999999</v>
      </c>
      <c r="X22" s="171">
        <f>X14+SUM(X16:X21)</f>
        <v>476.94299999999987</v>
      </c>
      <c r="Y22" s="171">
        <f>Y14+SUM(Y16:Y21)</f>
        <v>476.94299999999987</v>
      </c>
      <c r="Z22" s="63"/>
      <c r="AA22" s="171">
        <f>AA14+SUM(AA16:AA21)</f>
        <v>496.98199999999986</v>
      </c>
      <c r="AB22" s="171">
        <f>AB14+SUM(AB16:AB21)</f>
        <v>547.04899999999998</v>
      </c>
      <c r="AC22" s="171">
        <f>AC14+SUM(AC16:AC21)</f>
        <v>585.92000000000007</v>
      </c>
      <c r="AD22" s="171">
        <f>AD14+SUM(AD16:AD21)</f>
        <v>649.26400000000001</v>
      </c>
      <c r="AE22" s="284">
        <f>AE14+SUM(AE16:AE21)</f>
        <v>649.26400000000001</v>
      </c>
      <c r="AF22" s="236"/>
      <c r="AG22" s="171">
        <f>AG14+SUM(AG16:AG21)</f>
        <v>670.43599999999992</v>
      </c>
      <c r="AH22" s="171">
        <f>AH14+SUM(AH16:AH21)</f>
        <v>744.16300000000001</v>
      </c>
      <c r="AI22" s="171">
        <f>AI14+SUM(AI16:AI21)</f>
        <v>768.16399999999999</v>
      </c>
      <c r="AJ22" s="171">
        <f>AJ14+SUM(AJ16:AJ21)</f>
        <v>756.31200000000001</v>
      </c>
      <c r="AK22" s="284">
        <f>AK14+SUM(AK16:AK21)</f>
        <v>756.31200000000001</v>
      </c>
      <c r="AL22" s="236"/>
      <c r="AM22" s="284">
        <f>AM14+SUM(AM16:AM21)</f>
        <v>726.245</v>
      </c>
      <c r="AN22" s="284">
        <f>AN14+SUM(AN16:AN21)</f>
        <v>703.89400000000001</v>
      </c>
      <c r="AO22" s="171">
        <f>AO14+SUM(AO16:AO21)</f>
        <v>759.20600000000002</v>
      </c>
      <c r="AP22" s="171">
        <f>AP14+SUM(AP16:AP21)</f>
        <v>832.14700000000005</v>
      </c>
      <c r="AQ22" s="284">
        <f>AQ14+SUM(AQ16:AQ21)</f>
        <v>832.14700000000005</v>
      </c>
      <c r="AR22" s="236"/>
      <c r="AS22" s="171">
        <f>AS14+SUM(AS16:AS21)</f>
        <v>885.64099999999996</v>
      </c>
      <c r="AT22" s="171">
        <f>AT14+SUM(AT16:AT21)</f>
        <v>885.43299999999999</v>
      </c>
      <c r="AU22" s="171">
        <f>AU14+SUM(AU16:AU21)</f>
        <v>948.28899999999999</v>
      </c>
      <c r="AV22" s="171">
        <f>AV14+SUM(AV16:AV21)</f>
        <v>987.99699999999996</v>
      </c>
      <c r="AW22" s="284">
        <f>AW14+SUM(AW16:AW21)</f>
        <v>987.99699999999996</v>
      </c>
      <c r="AX22" s="236"/>
      <c r="AY22" s="284">
        <f>AY14+SUM(AY16:AY21)</f>
        <v>1028.405</v>
      </c>
      <c r="AZ22" s="284">
        <f>AZ14+SUM(AZ16:AZ21)</f>
        <v>1028.5810000000001</v>
      </c>
      <c r="BA22" s="284">
        <f>BA14+SUM(BA16:BA21)</f>
        <v>1079.5619999999999</v>
      </c>
      <c r="BB22" s="171">
        <f>BB14+SUM(BB16:BB21)</f>
        <v>1158.633</v>
      </c>
      <c r="BC22" s="284">
        <f>BC14+SUM(BC16:BC21)</f>
        <v>1158.633</v>
      </c>
      <c r="BD22" s="236"/>
      <c r="BE22" s="468">
        <f>BE14+SUM(BE16:BE21)</f>
        <v>1207.56</v>
      </c>
      <c r="BF22" s="468">
        <f>BF14+SUM(BF16:BF21)</f>
        <v>1251.2730000000001</v>
      </c>
      <c r="BG22" s="468">
        <f>BG14+SUM(BG16:BG21)</f>
        <v>1358.893</v>
      </c>
      <c r="BH22" s="171">
        <f>BH14+SUM(BH16:BH21)</f>
        <v>1396.1509999999998</v>
      </c>
      <c r="BI22" s="468">
        <f>BI14+SUM(BI16:BI21)</f>
        <v>1396.1509999999998</v>
      </c>
      <c r="BJ22" s="236"/>
      <c r="BK22" s="468">
        <f>BK14+SUM(BK16:BK21)</f>
        <v>1459.2930000000001</v>
      </c>
      <c r="BL22" s="468">
        <f>BL14+SUM(BL16:BL21)</f>
        <v>1551.1869999999999</v>
      </c>
      <c r="BM22" s="468">
        <f>BM14+SUM(BM16:BM21)</f>
        <v>1697.623</v>
      </c>
      <c r="BN22" s="171">
        <f>BN14+SUM(BN16:BN21)</f>
        <v>1777.856</v>
      </c>
      <c r="BO22" s="468">
        <f>BO14+SUM(BO16:BO21)</f>
        <v>1777.856</v>
      </c>
      <c r="BP22" s="236"/>
      <c r="BQ22" s="468">
        <f>BQ14+SUM(BQ16:BQ21)</f>
        <v>1847.534512396963</v>
      </c>
      <c r="BR22" s="468">
        <f>BR14+SUM(BR16:BR21)</f>
        <v>1954.6518374967422</v>
      </c>
      <c r="BS22" s="468">
        <f>BS14+SUM(BS16:BS21)</f>
        <v>2005.0910581941716</v>
      </c>
      <c r="BT22" s="468">
        <f>BT14+SUM(BT16:BT21)</f>
        <v>2105.2271825771527</v>
      </c>
      <c r="BU22" s="468">
        <f>BU14+SUM(BU16:BU21)</f>
        <v>2105.2271825771527</v>
      </c>
      <c r="BV22" s="236"/>
      <c r="BW22" s="468">
        <f>BW14+SUM(BW16:BW21)</f>
        <v>2177.9517556337005</v>
      </c>
      <c r="BX22" s="468">
        <f>BX14+SUM(BX16:BX21)</f>
        <v>2344.6769438006895</v>
      </c>
      <c r="BY22" s="468">
        <f>BY14+SUM(BY16:BY21)</f>
        <v>2429.7429233920207</v>
      </c>
      <c r="BZ22" s="468">
        <f>BZ14+SUM(BZ16:BZ21)</f>
        <v>2585.0997673511865</v>
      </c>
      <c r="CA22" s="468">
        <f>CA14+SUM(CA16:CA21)</f>
        <v>2585.0997673511865</v>
      </c>
      <c r="CB22" s="236"/>
      <c r="CC22" s="468">
        <f>CC14+SUM(CC16:CC21)</f>
        <v>2662.8518254397795</v>
      </c>
      <c r="CD22" s="468">
        <f>CD14+SUM(CD16:CD21)</f>
        <v>2878.4741282729228</v>
      </c>
      <c r="CE22" s="468">
        <f>CE14+SUM(CE16:CE21)</f>
        <v>3008.6303470021039</v>
      </c>
      <c r="CF22" s="468">
        <f>CF14+SUM(CF16:CF21)</f>
        <v>3220.8441918113303</v>
      </c>
      <c r="CG22" s="468">
        <f>CG14+SUM(CG16:CG21)</f>
        <v>3220.8441918113303</v>
      </c>
      <c r="CH22" s="42"/>
      <c r="CI22" s="42"/>
    </row>
    <row r="23" spans="1:87" ht="13.5" thickTop="1" x14ac:dyDescent="0.2">
      <c r="A23" s="2"/>
      <c r="B23" s="63"/>
      <c r="C23" s="13"/>
      <c r="D23" s="13"/>
      <c r="E23" s="13"/>
      <c r="F23" s="13"/>
      <c r="G23" s="13"/>
      <c r="H23" s="63"/>
      <c r="I23" s="13"/>
      <c r="J23" s="13"/>
      <c r="K23" s="13"/>
      <c r="L23" s="13"/>
      <c r="M23" s="13"/>
      <c r="N23" s="63"/>
      <c r="O23" s="13"/>
      <c r="P23" s="13"/>
      <c r="Q23" s="13"/>
      <c r="R23" s="13"/>
      <c r="S23" s="292"/>
      <c r="T23" s="63"/>
      <c r="U23" s="13"/>
      <c r="V23" s="13"/>
      <c r="W23" s="13"/>
      <c r="X23" s="13"/>
      <c r="Y23" s="13"/>
      <c r="Z23" s="63"/>
      <c r="AA23" s="13"/>
      <c r="AB23" s="13"/>
      <c r="AC23" s="13"/>
      <c r="AD23" s="13"/>
      <c r="AE23" s="292"/>
      <c r="AF23" s="236"/>
      <c r="AG23" s="13"/>
      <c r="AH23" s="285"/>
      <c r="AI23" s="13"/>
      <c r="AJ23" s="13"/>
      <c r="AK23" s="292"/>
      <c r="AL23" s="236"/>
      <c r="AM23" s="285"/>
      <c r="AN23" s="285"/>
      <c r="AO23" s="13"/>
      <c r="AP23" s="13"/>
      <c r="AQ23" s="292"/>
      <c r="AR23" s="236"/>
      <c r="AS23" s="13"/>
      <c r="AT23" s="13"/>
      <c r="AU23" s="285"/>
      <c r="AV23" s="13"/>
      <c r="AW23" s="292"/>
      <c r="AX23" s="236"/>
      <c r="AY23" s="285"/>
      <c r="AZ23" s="285"/>
      <c r="BA23" s="285"/>
      <c r="BB23" s="13"/>
      <c r="BC23" s="292"/>
      <c r="BD23" s="236"/>
      <c r="BE23" s="285"/>
      <c r="BF23" s="285"/>
      <c r="BG23" s="285"/>
      <c r="BH23" s="834"/>
      <c r="BI23" s="292"/>
      <c r="BJ23" s="236"/>
      <c r="BK23" s="285"/>
      <c r="BL23" s="285"/>
      <c r="BM23" s="285"/>
      <c r="BN23" s="834"/>
      <c r="BO23" s="292"/>
      <c r="BP23" s="236"/>
      <c r="BQ23" s="285"/>
      <c r="BR23" s="285"/>
      <c r="BS23" s="285"/>
      <c r="BT23" s="285"/>
      <c r="BU23" s="292"/>
      <c r="BV23" s="236"/>
      <c r="BW23" s="285"/>
      <c r="BX23" s="285"/>
      <c r="BY23" s="285"/>
      <c r="BZ23" s="285"/>
      <c r="CA23" s="292"/>
      <c r="CB23" s="236"/>
      <c r="CC23" s="285"/>
      <c r="CD23" s="285"/>
      <c r="CE23" s="285"/>
      <c r="CF23" s="285"/>
      <c r="CG23" s="292"/>
      <c r="CH23" s="42"/>
      <c r="CI23" s="42"/>
    </row>
    <row r="24" spans="1:87" x14ac:dyDescent="0.2">
      <c r="A24" s="6" t="s">
        <v>218</v>
      </c>
      <c r="B24" s="63"/>
      <c r="C24" s="13"/>
      <c r="D24" s="13"/>
      <c r="E24" s="13"/>
      <c r="F24" s="13"/>
      <c r="G24" s="13"/>
      <c r="H24" s="63"/>
      <c r="I24" s="13"/>
      <c r="J24" s="13"/>
      <c r="K24" s="13"/>
      <c r="L24" s="13"/>
      <c r="M24" s="13"/>
      <c r="N24" s="63"/>
      <c r="O24" s="13"/>
      <c r="P24" s="13"/>
      <c r="Q24" s="13"/>
      <c r="R24" s="13"/>
      <c r="S24" s="292"/>
      <c r="T24" s="63"/>
      <c r="U24" s="13"/>
      <c r="V24" s="13"/>
      <c r="W24" s="13"/>
      <c r="X24" s="13"/>
      <c r="Y24" s="13"/>
      <c r="Z24" s="63"/>
      <c r="AA24" s="13"/>
      <c r="AB24" s="13"/>
      <c r="AC24" s="13"/>
      <c r="AD24" s="13"/>
      <c r="AE24" s="292"/>
      <c r="AF24" s="236"/>
      <c r="AG24" s="13"/>
      <c r="AH24" s="163"/>
      <c r="AI24" s="13"/>
      <c r="AJ24" s="13"/>
      <c r="AK24" s="292"/>
      <c r="AL24" s="236"/>
      <c r="AM24" s="163"/>
      <c r="AN24" s="163"/>
      <c r="AO24" s="13"/>
      <c r="AP24" s="13"/>
      <c r="AQ24" s="292"/>
      <c r="AR24" s="236"/>
      <c r="AS24" s="13"/>
      <c r="AT24" s="13"/>
      <c r="AU24" s="163"/>
      <c r="AV24" s="13"/>
      <c r="AW24" s="292"/>
      <c r="AX24" s="236"/>
      <c r="AY24" s="163"/>
      <c r="AZ24" s="163"/>
      <c r="BA24" s="163"/>
      <c r="BB24" s="13"/>
      <c r="BC24" s="292"/>
      <c r="BD24" s="236"/>
      <c r="BE24" s="163"/>
      <c r="BF24" s="163"/>
      <c r="BG24" s="163"/>
      <c r="BH24" s="834"/>
      <c r="BI24" s="292"/>
      <c r="BJ24" s="236"/>
      <c r="BK24" s="163"/>
      <c r="BL24" s="163"/>
      <c r="BM24" s="163"/>
      <c r="BN24" s="834"/>
      <c r="BO24" s="292"/>
      <c r="BP24" s="236"/>
      <c r="BQ24" s="163"/>
      <c r="BR24" s="163"/>
      <c r="BS24" s="163"/>
      <c r="BT24" s="163"/>
      <c r="BU24" s="292"/>
      <c r="BV24" s="236"/>
      <c r="BW24" s="163"/>
      <c r="BX24" s="163"/>
      <c r="BY24" s="163"/>
      <c r="BZ24" s="163"/>
      <c r="CA24" s="292"/>
      <c r="CB24" s="236"/>
      <c r="CC24" s="163"/>
      <c r="CD24" s="163"/>
      <c r="CE24" s="163"/>
      <c r="CF24" s="163"/>
      <c r="CG24" s="292"/>
      <c r="CH24" s="42"/>
      <c r="CI24" s="42"/>
    </row>
    <row r="25" spans="1:87" x14ac:dyDescent="0.2">
      <c r="A25" s="79" t="s">
        <v>296</v>
      </c>
      <c r="B25" s="67"/>
      <c r="C25" s="167">
        <v>6.7610000000000001</v>
      </c>
      <c r="D25" s="167">
        <v>5.7279999999999998</v>
      </c>
      <c r="E25" s="167">
        <v>6.3440000000000003</v>
      </c>
      <c r="F25" s="167">
        <v>9.2219999999999995</v>
      </c>
      <c r="G25" s="168">
        <f>F25</f>
        <v>9.2219999999999995</v>
      </c>
      <c r="H25" s="67"/>
      <c r="I25" s="167">
        <v>10.1</v>
      </c>
      <c r="J25" s="167">
        <v>8.9649999999999999</v>
      </c>
      <c r="K25" s="167">
        <v>7.4850000000000003</v>
      </c>
      <c r="L25" s="167">
        <v>5.58</v>
      </c>
      <c r="M25" s="168">
        <f>L25</f>
        <v>5.58</v>
      </c>
      <c r="N25" s="67"/>
      <c r="O25" s="167">
        <v>6.0640000000000001</v>
      </c>
      <c r="P25" s="167">
        <v>6.4729999999999999</v>
      </c>
      <c r="Q25" s="167">
        <v>7.4980000000000002</v>
      </c>
      <c r="R25" s="167">
        <v>6.1219999999999999</v>
      </c>
      <c r="S25" s="254">
        <f>R25</f>
        <v>6.1219999999999999</v>
      </c>
      <c r="T25" s="67"/>
      <c r="U25" s="167">
        <v>4.5129999999999999</v>
      </c>
      <c r="V25" s="167">
        <v>5.3159999999999998</v>
      </c>
      <c r="W25" s="167">
        <v>5.8259999999999996</v>
      </c>
      <c r="X25" s="167">
        <v>7.7679999999999998</v>
      </c>
      <c r="Y25" s="168">
        <f>X25</f>
        <v>7.7679999999999998</v>
      </c>
      <c r="Z25" s="67"/>
      <c r="AA25" s="167">
        <v>6.5940000000000003</v>
      </c>
      <c r="AB25" s="167">
        <v>10.407</v>
      </c>
      <c r="AC25" s="167">
        <v>14.138</v>
      </c>
      <c r="AD25" s="167">
        <v>19.265000000000001</v>
      </c>
      <c r="AE25" s="254">
        <f>AD25</f>
        <v>19.265000000000001</v>
      </c>
      <c r="AF25" s="255"/>
      <c r="AG25" s="167">
        <v>14.64</v>
      </c>
      <c r="AH25" s="419">
        <v>15.226000000000001</v>
      </c>
      <c r="AI25" s="167">
        <v>14.414999999999999</v>
      </c>
      <c r="AJ25" s="167">
        <v>19.548999999999999</v>
      </c>
      <c r="AK25" s="254">
        <f>AJ25</f>
        <v>19.548999999999999</v>
      </c>
      <c r="AL25" s="255"/>
      <c r="AM25" s="167">
        <v>19.748000000000001</v>
      </c>
      <c r="AN25" s="167">
        <v>21.556000000000001</v>
      </c>
      <c r="AO25" s="167">
        <v>19.157</v>
      </c>
      <c r="AP25" s="167">
        <v>17.718</v>
      </c>
      <c r="AQ25" s="254">
        <f>AP25</f>
        <v>17.718</v>
      </c>
      <c r="AR25" s="255"/>
      <c r="AS25" s="167">
        <v>18.506</v>
      </c>
      <c r="AT25" s="167">
        <v>20.939</v>
      </c>
      <c r="AU25" s="167">
        <v>24.516999999999999</v>
      </c>
      <c r="AV25" s="167">
        <v>23.247</v>
      </c>
      <c r="AW25" s="254">
        <f>AV25</f>
        <v>23.247</v>
      </c>
      <c r="AX25" s="255"/>
      <c r="AY25" s="497">
        <v>24.995999999999999</v>
      </c>
      <c r="AZ25" s="497">
        <v>29.513000000000002</v>
      </c>
      <c r="BA25" s="497">
        <v>32.598999999999997</v>
      </c>
      <c r="BB25" s="167">
        <v>34.353999999999999</v>
      </c>
      <c r="BC25" s="254">
        <f>BB25</f>
        <v>34.353999999999999</v>
      </c>
      <c r="BD25" s="255"/>
      <c r="BE25" s="497">
        <v>36.258000000000003</v>
      </c>
      <c r="BF25" s="497">
        <v>30.927</v>
      </c>
      <c r="BG25" s="497">
        <v>33.103999999999999</v>
      </c>
      <c r="BH25" s="829">
        <v>28.596</v>
      </c>
      <c r="BI25" s="254">
        <f>BH25</f>
        <v>28.596</v>
      </c>
      <c r="BJ25" s="255"/>
      <c r="BK25" s="497">
        <v>37.027999999999999</v>
      </c>
      <c r="BL25" s="497">
        <v>45.953000000000003</v>
      </c>
      <c r="BM25" s="497">
        <v>45.942</v>
      </c>
      <c r="BN25" s="829">
        <v>36.776000000000003</v>
      </c>
      <c r="BO25" s="254">
        <f>BN25</f>
        <v>36.776000000000003</v>
      </c>
      <c r="BP25" s="255"/>
      <c r="BQ25" s="254">
        <f>+BQ80*('P&amp;L'!BQ11/'P&amp;L'!BQ7)</f>
        <v>56.701245350111734</v>
      </c>
      <c r="BR25" s="254">
        <f>+BR80*('P&amp;L'!BR11/'P&amp;L'!BR7)</f>
        <v>64.529649376543119</v>
      </c>
      <c r="BS25" s="254">
        <f>+BS80*('P&amp;L'!BS11/'P&amp;L'!BS7)</f>
        <v>60.337470313642186</v>
      </c>
      <c r="BT25" s="254">
        <f>+BT80*('P&amp;L'!BT11/'P&amp;L'!BT7)</f>
        <v>49.530841944439139</v>
      </c>
      <c r="BU25" s="254">
        <f>BT25</f>
        <v>49.530841944439139</v>
      </c>
      <c r="BV25" s="255"/>
      <c r="BW25" s="254">
        <f>+BW80*('P&amp;L'!BW11/'P&amp;L'!BW7)</f>
        <v>66.335288168231003</v>
      </c>
      <c r="BX25" s="254">
        <f>+BX80*('P&amp;L'!BX11/'P&amp;L'!BX7)</f>
        <v>76.73133617192903</v>
      </c>
      <c r="BY25" s="254">
        <f>+BY80*('P&amp;L'!BY11/'P&amp;L'!BY7)</f>
        <v>71.110666045236584</v>
      </c>
      <c r="BZ25" s="254">
        <f>+BZ80*('P&amp;L'!BZ11/'P&amp;L'!BZ7)</f>
        <v>60.005546080464967</v>
      </c>
      <c r="CA25" s="254">
        <f>BZ25</f>
        <v>60.005546080464967</v>
      </c>
      <c r="CB25" s="255"/>
      <c r="CC25" s="254">
        <f>+CC80*('P&amp;L'!CC11/'P&amp;L'!CC7)</f>
        <v>75.833034100375727</v>
      </c>
      <c r="CD25" s="254">
        <f>+CD80*('P&amp;L'!CD11/'P&amp;L'!CD7)</f>
        <v>86.980754294219309</v>
      </c>
      <c r="CE25" s="254">
        <f>+CE80*('P&amp;L'!CE11/'P&amp;L'!CE7)</f>
        <v>80.063795476113427</v>
      </c>
      <c r="CF25" s="254">
        <f>+CF80*('P&amp;L'!CF11/'P&amp;L'!CF7)</f>
        <v>68.343219292674362</v>
      </c>
      <c r="CG25" s="254">
        <f>CF25</f>
        <v>68.343219292674362</v>
      </c>
      <c r="CH25" s="42"/>
      <c r="CI25" s="42"/>
    </row>
    <row r="26" spans="1:87" x14ac:dyDescent="0.2">
      <c r="A26" s="79" t="s">
        <v>136</v>
      </c>
      <c r="B26" s="66"/>
      <c r="C26" s="169">
        <v>31.831</v>
      </c>
      <c r="D26" s="169">
        <v>35.948999999999998</v>
      </c>
      <c r="E26" s="169">
        <v>36.706000000000003</v>
      </c>
      <c r="F26" s="169">
        <v>39.875</v>
      </c>
      <c r="G26" s="83">
        <f>F26</f>
        <v>39.875</v>
      </c>
      <c r="H26" s="66"/>
      <c r="I26" s="169">
        <v>30.562999999999999</v>
      </c>
      <c r="J26" s="169">
        <v>34.707999999999998</v>
      </c>
      <c r="K26" s="169">
        <v>33.877000000000002</v>
      </c>
      <c r="L26" s="169">
        <v>38.281999999999996</v>
      </c>
      <c r="M26" s="83">
        <f>L26</f>
        <v>38.281999999999996</v>
      </c>
      <c r="N26" s="66"/>
      <c r="O26" s="169">
        <v>35.655999999999999</v>
      </c>
      <c r="P26" s="169">
        <v>40.200000000000003</v>
      </c>
      <c r="Q26" s="169">
        <v>37.484000000000002</v>
      </c>
      <c r="R26" s="169">
        <v>42.822000000000003</v>
      </c>
      <c r="S26" s="177">
        <f>R26</f>
        <v>42.822000000000003</v>
      </c>
      <c r="T26" s="66"/>
      <c r="U26" s="169">
        <v>34.69</v>
      </c>
      <c r="V26" s="169">
        <v>41.454999999999998</v>
      </c>
      <c r="W26" s="169">
        <v>44.073999999999998</v>
      </c>
      <c r="X26" s="169">
        <v>51.357999999999997</v>
      </c>
      <c r="Y26" s="83">
        <f>X26</f>
        <v>51.357999999999997</v>
      </c>
      <c r="Z26" s="66"/>
      <c r="AA26" s="169">
        <v>44.201000000000001</v>
      </c>
      <c r="AB26" s="169">
        <v>56.02</v>
      </c>
      <c r="AC26" s="169">
        <v>58.280999999999999</v>
      </c>
      <c r="AD26" s="169">
        <v>76.599999999999994</v>
      </c>
      <c r="AE26" s="177">
        <f>AD26</f>
        <v>76.599999999999994</v>
      </c>
      <c r="AF26" s="253"/>
      <c r="AG26" s="169">
        <v>66.537999999999997</v>
      </c>
      <c r="AH26" s="235">
        <v>69.206999999999994</v>
      </c>
      <c r="AI26" s="169">
        <v>71.948999999999998</v>
      </c>
      <c r="AJ26" s="169">
        <v>74.247</v>
      </c>
      <c r="AK26" s="177">
        <f>AJ26</f>
        <v>74.247</v>
      </c>
      <c r="AL26" s="253"/>
      <c r="AM26" s="169">
        <v>64.635000000000005</v>
      </c>
      <c r="AN26" s="169">
        <v>75.775999999999996</v>
      </c>
      <c r="AO26" s="169">
        <v>73.713999999999999</v>
      </c>
      <c r="AP26" s="169">
        <v>80.344999999999999</v>
      </c>
      <c r="AQ26" s="177">
        <f>AP26</f>
        <v>80.344999999999999</v>
      </c>
      <c r="AR26" s="253"/>
      <c r="AS26" s="169">
        <v>71.349000000000004</v>
      </c>
      <c r="AT26" s="169">
        <v>81.049000000000007</v>
      </c>
      <c r="AU26" s="169">
        <v>86.6</v>
      </c>
      <c r="AV26" s="169">
        <v>87.88</v>
      </c>
      <c r="AW26" s="177">
        <f>AV26</f>
        <v>87.88</v>
      </c>
      <c r="AX26" s="253"/>
      <c r="AY26" s="497">
        <v>81.710999999999999</v>
      </c>
      <c r="AZ26" s="497">
        <v>91.992000000000004</v>
      </c>
      <c r="BA26" s="497">
        <v>95.914000000000001</v>
      </c>
      <c r="BB26" s="169">
        <v>107.765</v>
      </c>
      <c r="BC26" s="177">
        <f>BB26</f>
        <v>107.765</v>
      </c>
      <c r="BD26" s="253"/>
      <c r="BE26" s="497">
        <v>92.722999999999999</v>
      </c>
      <c r="BF26" s="497">
        <v>107.505</v>
      </c>
      <c r="BG26" s="497">
        <v>132.53800000000001</v>
      </c>
      <c r="BH26" s="832">
        <v>134.33199999999999</v>
      </c>
      <c r="BI26" s="177">
        <f>BH26</f>
        <v>134.33199999999999</v>
      </c>
      <c r="BJ26" s="253"/>
      <c r="BK26" s="497">
        <v>125.631</v>
      </c>
      <c r="BL26" s="497">
        <v>158.83799999999999</v>
      </c>
      <c r="BM26" s="497">
        <v>173.851</v>
      </c>
      <c r="BN26" s="832">
        <v>194.19800000000001</v>
      </c>
      <c r="BO26" s="177">
        <f>BN26</f>
        <v>194.19800000000001</v>
      </c>
      <c r="BP26" s="253"/>
      <c r="BQ26" s="177">
        <f>+BQ91*'P&amp;L'!BQ21*4</f>
        <v>201.71008</v>
      </c>
      <c r="BR26" s="177">
        <f>+BR91*'P&amp;L'!BR21*4</f>
        <v>223.56283699174389</v>
      </c>
      <c r="BS26" s="177">
        <f>+BS91*'P&amp;L'!BS21*4</f>
        <v>220.83425495059117</v>
      </c>
      <c r="BT26" s="177">
        <f>+BT91*'P&amp;L'!BT21*4</f>
        <v>236.28396124335117</v>
      </c>
      <c r="BU26" s="177">
        <f>BT26</f>
        <v>236.28396124335117</v>
      </c>
      <c r="BV26" s="253"/>
      <c r="BW26" s="177">
        <f>+BW91*'P&amp;L'!BW21*4</f>
        <v>241.324143636641</v>
      </c>
      <c r="BX26" s="177">
        <f>+BX91*'P&amp;L'!BX21*4</f>
        <v>275.26971790270676</v>
      </c>
      <c r="BY26" s="177">
        <f>+BY91*'P&amp;L'!BY21*4</f>
        <v>269.24240276153569</v>
      </c>
      <c r="BZ26" s="177">
        <f>+BZ91*'P&amp;L'!BZ21*4</f>
        <v>288.08445430710066</v>
      </c>
      <c r="CA26" s="177">
        <f>BZ26</f>
        <v>288.08445430710066</v>
      </c>
      <c r="CB26" s="253"/>
      <c r="CC26" s="177">
        <f>+CC91*'P&amp;L'!CC21*4</f>
        <v>280.31971781660269</v>
      </c>
      <c r="CD26" s="177">
        <f>+CD91*'P&amp;L'!CD21*4</f>
        <v>316.35707038803901</v>
      </c>
      <c r="CE26" s="177">
        <f>+CE91*'P&amp;L'!CE21*4</f>
        <v>308.51341278050302</v>
      </c>
      <c r="CF26" s="177">
        <f>+CF91*'P&amp;L'!CF21*4</f>
        <v>328.05784003825141</v>
      </c>
      <c r="CG26" s="177">
        <f>CF26</f>
        <v>328.05784003825141</v>
      </c>
      <c r="CH26" s="42"/>
      <c r="CI26" s="42"/>
    </row>
    <row r="27" spans="1:87" x14ac:dyDescent="0.2">
      <c r="A27" s="79" t="s">
        <v>137</v>
      </c>
      <c r="B27" s="63"/>
      <c r="C27" s="122">
        <f>11.226+8</f>
        <v>19.225999999999999</v>
      </c>
      <c r="D27" s="122">
        <v>12.159000000000001</v>
      </c>
      <c r="E27" s="122">
        <v>12.942</v>
      </c>
      <c r="F27" s="122">
        <v>12.362</v>
      </c>
      <c r="G27" s="170">
        <f>F27</f>
        <v>12.362</v>
      </c>
      <c r="H27" s="63"/>
      <c r="I27" s="122">
        <v>13.295</v>
      </c>
      <c r="J27" s="122">
        <v>14.144</v>
      </c>
      <c r="K27" s="122">
        <v>15.38</v>
      </c>
      <c r="L27" s="122">
        <v>16.71</v>
      </c>
      <c r="M27" s="170">
        <f>L27</f>
        <v>16.71</v>
      </c>
      <c r="N27" s="63"/>
      <c r="O27" s="122">
        <v>19.654</v>
      </c>
      <c r="P27" s="122">
        <v>23.138000000000002</v>
      </c>
      <c r="Q27" s="122">
        <v>27.92</v>
      </c>
      <c r="R27" s="122">
        <v>32.298999999999999</v>
      </c>
      <c r="S27" s="250">
        <f>R27</f>
        <v>32.298999999999999</v>
      </c>
      <c r="T27" s="63"/>
      <c r="U27" s="122">
        <v>37.046999999999997</v>
      </c>
      <c r="V27" s="122">
        <v>27.036000000000001</v>
      </c>
      <c r="W27" s="122">
        <v>30.135999999999999</v>
      </c>
      <c r="X27" s="122">
        <v>33.847999999999999</v>
      </c>
      <c r="Y27" s="170">
        <f>X27</f>
        <v>33.847999999999999</v>
      </c>
      <c r="Z27" s="63"/>
      <c r="AA27" s="122">
        <v>37.198999999999998</v>
      </c>
      <c r="AB27" s="122">
        <v>43.024000000000001</v>
      </c>
      <c r="AC27" s="122">
        <v>47.768000000000001</v>
      </c>
      <c r="AD27" s="122">
        <v>52.252000000000002</v>
      </c>
      <c r="AE27" s="250">
        <f>AD27</f>
        <v>52.252000000000002</v>
      </c>
      <c r="AF27" s="236"/>
      <c r="AG27" s="122">
        <v>54.65</v>
      </c>
      <c r="AH27" s="420">
        <v>59.402999999999999</v>
      </c>
      <c r="AI27" s="122">
        <v>65.323999999999998</v>
      </c>
      <c r="AJ27" s="122">
        <v>61.975000000000001</v>
      </c>
      <c r="AK27" s="250">
        <f>AJ27</f>
        <v>61.975000000000001</v>
      </c>
      <c r="AL27" s="236"/>
      <c r="AM27" s="122">
        <v>59.472000000000001</v>
      </c>
      <c r="AN27" s="122">
        <v>63.322000000000003</v>
      </c>
      <c r="AO27" s="122">
        <v>70.397000000000006</v>
      </c>
      <c r="AP27" s="122">
        <v>77.275000000000006</v>
      </c>
      <c r="AQ27" s="250">
        <f>AP27</f>
        <v>77.275000000000006</v>
      </c>
      <c r="AR27" s="236"/>
      <c r="AS27" s="122">
        <v>81</v>
      </c>
      <c r="AT27" s="122">
        <v>85.125</v>
      </c>
      <c r="AU27" s="122">
        <v>87.442999999999998</v>
      </c>
      <c r="AV27" s="122">
        <v>90.683999999999997</v>
      </c>
      <c r="AW27" s="250">
        <f>AV27</f>
        <v>90.683999999999997</v>
      </c>
      <c r="AX27" s="236"/>
      <c r="AY27" s="703">
        <v>93.867999999999995</v>
      </c>
      <c r="AZ27" s="703">
        <v>101.42</v>
      </c>
      <c r="BA27" s="703">
        <v>115.998</v>
      </c>
      <c r="BB27" s="122">
        <v>129.553</v>
      </c>
      <c r="BC27" s="250">
        <f>BB27</f>
        <v>129.553</v>
      </c>
      <c r="BD27" s="236"/>
      <c r="BE27" s="703">
        <v>145.76900000000001</v>
      </c>
      <c r="BF27" s="703">
        <v>160.55699999999999</v>
      </c>
      <c r="BG27" s="703">
        <v>177.40899999999999</v>
      </c>
      <c r="BH27" s="833">
        <v>191.40700000000001</v>
      </c>
      <c r="BI27" s="250">
        <f>BH27</f>
        <v>191.40700000000001</v>
      </c>
      <c r="BJ27" s="236"/>
      <c r="BK27" s="703">
        <v>202.89500000000001</v>
      </c>
      <c r="BL27" s="703">
        <v>220.005</v>
      </c>
      <c r="BM27" s="703">
        <v>241.57599999999999</v>
      </c>
      <c r="BN27" s="833">
        <v>266.84199999999998</v>
      </c>
      <c r="BO27" s="250">
        <f>BN27</f>
        <v>266.84199999999998</v>
      </c>
      <c r="BP27" s="236"/>
      <c r="BQ27" s="250">
        <f>+BQ94*'P&amp;L'!BQ8*4</f>
        <v>262.15439999999995</v>
      </c>
      <c r="BR27" s="250">
        <f>+BR94*'P&amp;L'!BR8*4</f>
        <v>288.8417151091183</v>
      </c>
      <c r="BS27" s="250">
        <f>+BS94*'P&amp;L'!BS8*4</f>
        <v>295.34312758520684</v>
      </c>
      <c r="BT27" s="250">
        <f>+BT94*'P&amp;L'!BT8*4</f>
        <v>324.08998555961745</v>
      </c>
      <c r="BU27" s="250">
        <f>BT27</f>
        <v>324.08998555961745</v>
      </c>
      <c r="BV27" s="236"/>
      <c r="BW27" s="250">
        <f>+BW94*'P&amp;L'!BW8*4</f>
        <v>317.88072636957639</v>
      </c>
      <c r="BX27" s="250">
        <f>+BX94*'P&amp;L'!BX8*4</f>
        <v>360.42754402640441</v>
      </c>
      <c r="BY27" s="250">
        <f>+BY94*'P&amp;L'!BY8*4</f>
        <v>365.09705784884926</v>
      </c>
      <c r="BZ27" s="250">
        <f>+BZ94*'P&amp;L'!BZ8*4</f>
        <v>400.78397285323621</v>
      </c>
      <c r="CA27" s="250">
        <f>BZ27</f>
        <v>400.78397285323621</v>
      </c>
      <c r="CB27" s="236"/>
      <c r="CC27" s="250">
        <f>+CC94*'P&amp;L'!CC8*4</f>
        <v>374.30909367637349</v>
      </c>
      <c r="CD27" s="250">
        <f>+CD94*'P&amp;L'!CD8*4</f>
        <v>419.86995573415004</v>
      </c>
      <c r="CE27" s="250">
        <f>+CE94*'P&amp;L'!CE8*4</f>
        <v>424.25557020554004</v>
      </c>
      <c r="CF27" s="250">
        <f>+CF94*'P&amp;L'!CF8*4</f>
        <v>463.00822400124673</v>
      </c>
      <c r="CG27" s="250">
        <f>CF27</f>
        <v>463.00822400124673</v>
      </c>
      <c r="CH27" s="42"/>
      <c r="CI27" s="42"/>
    </row>
    <row r="28" spans="1:87" x14ac:dyDescent="0.2">
      <c r="A28" s="6" t="s">
        <v>220</v>
      </c>
      <c r="B28" s="63"/>
      <c r="C28" s="14">
        <f>SUM(C25:C27)</f>
        <v>57.817999999999998</v>
      </c>
      <c r="D28" s="14">
        <f>SUM(D25:D27)</f>
        <v>53.835999999999999</v>
      </c>
      <c r="E28" s="14">
        <f>SUM(E25:E27)</f>
        <v>55.992000000000004</v>
      </c>
      <c r="F28" s="14">
        <f>SUM(F25:F27)</f>
        <v>61.459000000000003</v>
      </c>
      <c r="G28" s="14">
        <f>SUM(G25:G27)</f>
        <v>61.459000000000003</v>
      </c>
      <c r="H28" s="63"/>
      <c r="I28" s="14">
        <f>SUM(I25:I27)</f>
        <v>53.957999999999998</v>
      </c>
      <c r="J28" s="14">
        <f>SUM(J25:J27)</f>
        <v>57.817</v>
      </c>
      <c r="K28" s="14">
        <f>SUM(K25:K27)</f>
        <v>56.742000000000004</v>
      </c>
      <c r="L28" s="14">
        <f>SUM(L25:L27)</f>
        <v>60.571999999999996</v>
      </c>
      <c r="M28" s="14">
        <f>SUM(M25:M27)</f>
        <v>60.571999999999996</v>
      </c>
      <c r="N28" s="63"/>
      <c r="O28" s="14">
        <f>SUM(O25:O27)</f>
        <v>61.373999999999995</v>
      </c>
      <c r="P28" s="14">
        <f>SUM(P25:P27)</f>
        <v>69.811000000000007</v>
      </c>
      <c r="Q28" s="14">
        <f>SUM(Q25:Q27)</f>
        <v>72.902000000000001</v>
      </c>
      <c r="R28" s="14">
        <f>SUM(R25:R27)</f>
        <v>81.242999999999995</v>
      </c>
      <c r="S28" s="251">
        <f>SUM(S25:S27)</f>
        <v>81.242999999999995</v>
      </c>
      <c r="T28" s="63"/>
      <c r="U28" s="14">
        <f>SUM(U25:U27)</f>
        <v>76.25</v>
      </c>
      <c r="V28" s="14">
        <f>SUM(V25:V27)</f>
        <v>73.807000000000002</v>
      </c>
      <c r="W28" s="14">
        <f>SUM(W25:W27)</f>
        <v>80.036000000000001</v>
      </c>
      <c r="X28" s="14">
        <f>SUM(X25:X27)</f>
        <v>92.97399999999999</v>
      </c>
      <c r="Y28" s="14">
        <f>SUM(Y25:Y27)</f>
        <v>92.97399999999999</v>
      </c>
      <c r="Z28" s="63"/>
      <c r="AA28" s="14">
        <f>SUM(AA25:AA27)</f>
        <v>87.994</v>
      </c>
      <c r="AB28" s="14">
        <f>SUM(AB25:AB27)</f>
        <v>109.45100000000001</v>
      </c>
      <c r="AC28" s="14">
        <f>SUM(AC25:AC27)</f>
        <v>120.187</v>
      </c>
      <c r="AD28" s="14">
        <f>SUM(AD25:AD27)</f>
        <v>148.11699999999999</v>
      </c>
      <c r="AE28" s="14">
        <f>SUM(AE25:AE27)</f>
        <v>148.11699999999999</v>
      </c>
      <c r="AF28" s="236"/>
      <c r="AG28" s="14">
        <f>SUM(AG25:AG27)</f>
        <v>135.828</v>
      </c>
      <c r="AH28" s="14">
        <f>SUM(AH25:AH27)</f>
        <v>143.83599999999998</v>
      </c>
      <c r="AI28" s="14">
        <f>SUM(AI25:AI27)</f>
        <v>151.68799999999999</v>
      </c>
      <c r="AJ28" s="14">
        <f>SUM(AJ25:AJ27)</f>
        <v>155.77099999999999</v>
      </c>
      <c r="AK28" s="251">
        <f>SUM(AK25:AK27)</f>
        <v>155.77099999999999</v>
      </c>
      <c r="AL28" s="236"/>
      <c r="AM28" s="251">
        <f>SUM(AM25:AM27)</f>
        <v>143.85500000000002</v>
      </c>
      <c r="AN28" s="251">
        <f>SUM(AN25:AN27)</f>
        <v>160.654</v>
      </c>
      <c r="AO28" s="14">
        <f>SUM(AO25:AO27)</f>
        <v>163.268</v>
      </c>
      <c r="AP28" s="14">
        <f>SUM(AP25:AP27)</f>
        <v>175.33800000000002</v>
      </c>
      <c r="AQ28" s="251">
        <f>SUM(AQ25:AQ27)</f>
        <v>175.33800000000002</v>
      </c>
      <c r="AR28" s="236"/>
      <c r="AS28" s="14">
        <f>SUM(AS25:AS27)</f>
        <v>170.85500000000002</v>
      </c>
      <c r="AT28" s="14">
        <f>SUM(AT25:AT27)</f>
        <v>187.113</v>
      </c>
      <c r="AU28" s="14">
        <f>SUM(AU25:AU27)</f>
        <v>198.56</v>
      </c>
      <c r="AV28" s="14">
        <f>SUM(AV25:AV27)</f>
        <v>201.81099999999998</v>
      </c>
      <c r="AW28" s="251">
        <f>SUM(AW25:AW27)</f>
        <v>201.81099999999998</v>
      </c>
      <c r="AX28" s="236"/>
      <c r="AY28" s="251">
        <f>SUM(AY25:AY27)</f>
        <v>200.57499999999999</v>
      </c>
      <c r="AZ28" s="251">
        <f>SUM(AZ25:AZ27)</f>
        <v>222.92500000000001</v>
      </c>
      <c r="BA28" s="251">
        <f>SUM(BA25:BA27)</f>
        <v>244.51100000000002</v>
      </c>
      <c r="BB28" s="14">
        <f>SUM(BB25:BB27)</f>
        <v>271.67200000000003</v>
      </c>
      <c r="BC28" s="251">
        <f>SUM(BC25:BC27)</f>
        <v>271.67200000000003</v>
      </c>
      <c r="BD28" s="236"/>
      <c r="BE28" s="251">
        <f>SUM(BE25:BE27)</f>
        <v>274.75</v>
      </c>
      <c r="BF28" s="251">
        <f>SUM(BF25:BF27)</f>
        <v>298.98899999999998</v>
      </c>
      <c r="BG28" s="251">
        <f>SUM(BG25:BG27)</f>
        <v>343.05099999999999</v>
      </c>
      <c r="BH28" s="14">
        <f>SUM(BH25:BH27)</f>
        <v>354.33500000000004</v>
      </c>
      <c r="BI28" s="251">
        <f>SUM(BI25:BI27)</f>
        <v>354.33500000000004</v>
      </c>
      <c r="BJ28" s="236"/>
      <c r="BK28" s="251">
        <f>SUM(BK25:BK27)</f>
        <v>365.55399999999997</v>
      </c>
      <c r="BL28" s="251">
        <f>SUM(BL25:BL27)</f>
        <v>424.79599999999999</v>
      </c>
      <c r="BM28" s="251">
        <f>SUM(BM25:BM27)</f>
        <v>461.36900000000003</v>
      </c>
      <c r="BN28" s="14">
        <f>SUM(BN25:BN27)</f>
        <v>497.81600000000003</v>
      </c>
      <c r="BO28" s="251">
        <f>SUM(BO25:BO27)</f>
        <v>497.81600000000003</v>
      </c>
      <c r="BP28" s="236"/>
      <c r="BQ28" s="251">
        <f>SUM(BQ25:BQ27)</f>
        <v>520.56572535011173</v>
      </c>
      <c r="BR28" s="251">
        <f>SUM(BR25:BR27)</f>
        <v>576.9342014774054</v>
      </c>
      <c r="BS28" s="251">
        <f>SUM(BS25:BS27)</f>
        <v>576.51485284944022</v>
      </c>
      <c r="BT28" s="251">
        <f>SUM(BT25:BT27)</f>
        <v>609.90478874740779</v>
      </c>
      <c r="BU28" s="251">
        <f>SUM(BU25:BU27)</f>
        <v>609.90478874740779</v>
      </c>
      <c r="BV28" s="236"/>
      <c r="BW28" s="251">
        <f>SUM(BW25:BW27)</f>
        <v>625.54015817444838</v>
      </c>
      <c r="BX28" s="251">
        <f>SUM(BX25:BX27)</f>
        <v>712.42859810104028</v>
      </c>
      <c r="BY28" s="251">
        <f>SUM(BY25:BY27)</f>
        <v>705.45012665562149</v>
      </c>
      <c r="BZ28" s="251">
        <f>SUM(BZ25:BZ27)</f>
        <v>748.87397324080189</v>
      </c>
      <c r="CA28" s="251">
        <f>SUM(CA25:CA27)</f>
        <v>748.87397324080189</v>
      </c>
      <c r="CB28" s="236"/>
      <c r="CC28" s="251">
        <f>SUM(CC25:CC27)</f>
        <v>730.46184559335188</v>
      </c>
      <c r="CD28" s="251">
        <f>SUM(CD25:CD27)</f>
        <v>823.20778041640835</v>
      </c>
      <c r="CE28" s="251">
        <f>SUM(CE25:CE27)</f>
        <v>812.83277846215651</v>
      </c>
      <c r="CF28" s="251">
        <f>SUM(CF25:CF27)</f>
        <v>859.40928333217244</v>
      </c>
      <c r="CG28" s="251">
        <f>SUM(CG25:CG27)</f>
        <v>859.40928333217244</v>
      </c>
      <c r="CH28" s="42"/>
      <c r="CI28" s="42"/>
    </row>
    <row r="29" spans="1:87" x14ac:dyDescent="0.2">
      <c r="A29" s="2"/>
      <c r="B29" s="63"/>
      <c r="C29" s="13"/>
      <c r="D29" s="13"/>
      <c r="E29" s="13"/>
      <c r="F29" s="13"/>
      <c r="G29" s="13"/>
      <c r="H29" s="63"/>
      <c r="I29" s="13"/>
      <c r="J29" s="13"/>
      <c r="K29" s="13"/>
      <c r="L29" s="13"/>
      <c r="M29" s="13"/>
      <c r="N29" s="63"/>
      <c r="O29" s="13"/>
      <c r="P29" s="13"/>
      <c r="Q29" s="13"/>
      <c r="R29" s="13"/>
      <c r="S29" s="292"/>
      <c r="T29" s="63"/>
      <c r="U29" s="13"/>
      <c r="V29" s="13"/>
      <c r="W29" s="13"/>
      <c r="X29" s="13"/>
      <c r="Y29" s="13"/>
      <c r="Z29" s="63"/>
      <c r="AA29" s="13"/>
      <c r="AB29" s="13"/>
      <c r="AC29" s="13"/>
      <c r="AD29" s="13"/>
      <c r="AE29" s="13"/>
      <c r="AF29" s="236"/>
      <c r="AG29" s="13"/>
      <c r="AH29" s="163"/>
      <c r="AI29" s="13"/>
      <c r="AJ29" s="13"/>
      <c r="AK29" s="292"/>
      <c r="AL29" s="236"/>
      <c r="AM29" s="163"/>
      <c r="AN29" s="163"/>
      <c r="AO29" s="13"/>
      <c r="AP29" s="13"/>
      <c r="AQ29" s="292"/>
      <c r="AR29" s="236"/>
      <c r="AS29" s="13"/>
      <c r="AT29" s="13"/>
      <c r="AU29" s="13"/>
      <c r="AV29" s="13"/>
      <c r="AW29" s="292"/>
      <c r="AX29" s="236"/>
      <c r="AY29" s="163"/>
      <c r="AZ29" s="163"/>
      <c r="BA29" s="163"/>
      <c r="BB29" s="13"/>
      <c r="BC29" s="292"/>
      <c r="BD29" s="236"/>
      <c r="BE29" s="163"/>
      <c r="BF29" s="163"/>
      <c r="BG29" s="163"/>
      <c r="BH29" s="834"/>
      <c r="BI29" s="292"/>
      <c r="BJ29" s="236"/>
      <c r="BK29" s="163"/>
      <c r="BL29" s="163"/>
      <c r="BM29" s="163"/>
      <c r="BN29" s="834"/>
      <c r="BO29" s="292"/>
      <c r="BP29" s="236"/>
      <c r="BQ29" s="163"/>
      <c r="BR29" s="163"/>
      <c r="BS29" s="163"/>
      <c r="BT29" s="163"/>
      <c r="BU29" s="292"/>
      <c r="BV29" s="236"/>
      <c r="BW29" s="163"/>
      <c r="BX29" s="163"/>
      <c r="BY29" s="163"/>
      <c r="BZ29" s="163"/>
      <c r="CA29" s="292"/>
      <c r="CB29" s="236"/>
      <c r="CC29" s="163"/>
      <c r="CD29" s="163"/>
      <c r="CE29" s="163"/>
      <c r="CF29" s="163"/>
      <c r="CG29" s="292"/>
      <c r="CH29" s="42"/>
      <c r="CI29" s="42"/>
    </row>
    <row r="30" spans="1:87" x14ac:dyDescent="0.2">
      <c r="A30" s="2" t="s">
        <v>138</v>
      </c>
      <c r="B30" s="65"/>
      <c r="C30" s="169">
        <v>0.23300000000000001</v>
      </c>
      <c r="D30" s="169">
        <v>0.189</v>
      </c>
      <c r="E30" s="169">
        <v>0.19500000000000001</v>
      </c>
      <c r="F30" s="169">
        <v>0.14799999999999999</v>
      </c>
      <c r="G30" s="83">
        <f>F30</f>
        <v>0.14799999999999999</v>
      </c>
      <c r="H30" s="65"/>
      <c r="I30" s="169">
        <v>0.159</v>
      </c>
      <c r="J30" s="169">
        <v>0.13300000000000001</v>
      </c>
      <c r="K30" s="169">
        <v>0.124</v>
      </c>
      <c r="L30" s="169">
        <v>0.22900000000000001</v>
      </c>
      <c r="M30" s="83">
        <f>L30</f>
        <v>0.22900000000000001</v>
      </c>
      <c r="N30" s="65"/>
      <c r="O30" s="169">
        <v>0.20399999999999999</v>
      </c>
      <c r="P30" s="169">
        <v>0.20499999999999999</v>
      </c>
      <c r="Q30" s="169">
        <v>0.20200000000000001</v>
      </c>
      <c r="R30" s="169">
        <v>0.96099999999999997</v>
      </c>
      <c r="S30" s="177">
        <f>R30</f>
        <v>0.96099999999999997</v>
      </c>
      <c r="T30" s="65"/>
      <c r="U30" s="169">
        <v>0.94599999999999995</v>
      </c>
      <c r="V30" s="169">
        <v>0.93200000000000005</v>
      </c>
      <c r="W30" s="169">
        <v>5.7969999999999997</v>
      </c>
      <c r="X30" s="169">
        <v>6.2220000000000004</v>
      </c>
      <c r="Y30" s="83">
        <f>X30</f>
        <v>6.2220000000000004</v>
      </c>
      <c r="Z30" s="65"/>
      <c r="AA30" s="169">
        <v>6.883</v>
      </c>
      <c r="AB30" s="169">
        <v>7.8159999999999998</v>
      </c>
      <c r="AC30" s="169">
        <v>8.8569999999999993</v>
      </c>
      <c r="AD30" s="169">
        <v>10.366</v>
      </c>
      <c r="AE30" s="83">
        <f>AD30</f>
        <v>10.366</v>
      </c>
      <c r="AF30" s="252"/>
      <c r="AG30" s="169">
        <v>11.586</v>
      </c>
      <c r="AH30" s="169">
        <v>14.032</v>
      </c>
      <c r="AI30" s="169">
        <v>14.311</v>
      </c>
      <c r="AJ30" s="169">
        <v>19.224</v>
      </c>
      <c r="AK30" s="177">
        <f>AJ30</f>
        <v>19.224</v>
      </c>
      <c r="AL30" s="252"/>
      <c r="AM30" s="169">
        <v>21.271999999999998</v>
      </c>
      <c r="AN30" s="169">
        <v>23.042000000000002</v>
      </c>
      <c r="AO30" s="169">
        <v>20.254000000000001</v>
      </c>
      <c r="AP30" s="169">
        <v>22.838999999999999</v>
      </c>
      <c r="AQ30" s="177">
        <f>AP30</f>
        <v>22.838999999999999</v>
      </c>
      <c r="AR30" s="252"/>
      <c r="AS30" s="169">
        <v>18.033000000000001</v>
      </c>
      <c r="AT30" s="169">
        <v>22.524000000000001</v>
      </c>
      <c r="AU30" s="169">
        <v>27.273</v>
      </c>
      <c r="AV30" s="169">
        <f>2.932+30.483</f>
        <v>33.414999999999999</v>
      </c>
      <c r="AW30" s="177">
        <f>AV30</f>
        <v>33.414999999999999</v>
      </c>
      <c r="AX30" s="252"/>
      <c r="AY30" s="497">
        <f>31.831+2.465</f>
        <v>34.295999999999999</v>
      </c>
      <c r="AZ30" s="497">
        <f>33.726+2.129</f>
        <v>35.854999999999997</v>
      </c>
      <c r="BA30" s="497">
        <f>34.916+1.876</f>
        <v>36.791999999999994</v>
      </c>
      <c r="BB30" s="169">
        <f>37.512+1.523</f>
        <v>39.035000000000004</v>
      </c>
      <c r="BC30" s="177">
        <f>BB30</f>
        <v>39.035000000000004</v>
      </c>
      <c r="BD30" s="252"/>
      <c r="BE30" s="497">
        <f>39.269+1.511</f>
        <v>40.78</v>
      </c>
      <c r="BF30" s="497">
        <f>1.182+41.244</f>
        <v>42.426000000000002</v>
      </c>
      <c r="BG30" s="497">
        <f>42.539+0.993</f>
        <v>43.532000000000004</v>
      </c>
      <c r="BH30" s="832">
        <f>45.133+1.294</f>
        <v>46.427</v>
      </c>
      <c r="BI30" s="177">
        <f>BH30</f>
        <v>46.427</v>
      </c>
      <c r="BJ30" s="252"/>
      <c r="BK30" s="497">
        <f>46.322+2.542</f>
        <v>48.864000000000004</v>
      </c>
      <c r="BL30" s="497">
        <f>44.581+3.522</f>
        <v>48.103000000000002</v>
      </c>
      <c r="BM30" s="497">
        <f>45.375+8.921</f>
        <v>54.295999999999999</v>
      </c>
      <c r="BN30" s="832">
        <f>15.579+114.091</f>
        <v>129.66999999999999</v>
      </c>
      <c r="BO30" s="177">
        <f>BN30</f>
        <v>129.66999999999999</v>
      </c>
      <c r="BP30" s="252"/>
      <c r="BQ30" s="177">
        <f>+BO30+'Cash Flow'!BP16+'Cash Flow'!BP37</f>
        <v>129.66999999999999</v>
      </c>
      <c r="BR30" s="177">
        <f>+BQ30+'Cash Flow'!BQ16+'Cash Flow'!BQ37</f>
        <v>129.66999999999999</v>
      </c>
      <c r="BS30" s="177">
        <f>+BR30+'Cash Flow'!BR16+'Cash Flow'!BR37</f>
        <v>129.66999999999999</v>
      </c>
      <c r="BT30" s="177">
        <f>+BS30+'Cash Flow'!BS16+'Cash Flow'!BS37</f>
        <v>129.66999999999999</v>
      </c>
      <c r="BU30" s="177">
        <f>BT30</f>
        <v>129.66999999999999</v>
      </c>
      <c r="BV30" s="252"/>
      <c r="BW30" s="177">
        <f>+BU30+'Cash Flow'!BV16+'Cash Flow'!BV37</f>
        <v>129.66999999999999</v>
      </c>
      <c r="BX30" s="177">
        <f>+BW30+'Cash Flow'!BW16+'Cash Flow'!BW37</f>
        <v>129.66999999999999</v>
      </c>
      <c r="BY30" s="177">
        <f>+BX30+'Cash Flow'!BX16+'Cash Flow'!BX37</f>
        <v>129.66999999999999</v>
      </c>
      <c r="BZ30" s="177">
        <f>+BY30+'Cash Flow'!BY16+'Cash Flow'!BY37</f>
        <v>129.66999999999999</v>
      </c>
      <c r="CA30" s="177">
        <f>BZ30</f>
        <v>129.66999999999999</v>
      </c>
      <c r="CB30" s="252"/>
      <c r="CC30" s="177">
        <f>+CA30+'Cash Flow'!CB16+'Cash Flow'!CB37</f>
        <v>129.66999999999999</v>
      </c>
      <c r="CD30" s="177">
        <f>+CC30+'Cash Flow'!CC16+'Cash Flow'!CC37</f>
        <v>129.66999999999999</v>
      </c>
      <c r="CE30" s="177">
        <f>+CD30+'Cash Flow'!CD16+'Cash Flow'!CD37</f>
        <v>129.66999999999999</v>
      </c>
      <c r="CF30" s="177">
        <f>+CE30+'Cash Flow'!CE16+'Cash Flow'!CE37</f>
        <v>129.66999999999999</v>
      </c>
      <c r="CG30" s="177">
        <f>CF30</f>
        <v>129.66999999999999</v>
      </c>
      <c r="CH30" s="42"/>
      <c r="CI30" s="42"/>
    </row>
    <row r="31" spans="1:87" x14ac:dyDescent="0.2">
      <c r="A31" s="2"/>
      <c r="B31" s="64"/>
      <c r="C31" s="169"/>
      <c r="D31" s="169"/>
      <c r="E31" s="169"/>
      <c r="F31" s="169"/>
      <c r="G31" s="83"/>
      <c r="H31" s="64"/>
      <c r="I31" s="169"/>
      <c r="J31" s="169"/>
      <c r="K31" s="169"/>
      <c r="L31" s="169"/>
      <c r="M31" s="83"/>
      <c r="N31" s="64"/>
      <c r="O31" s="169"/>
      <c r="P31" s="169"/>
      <c r="Q31" s="169"/>
      <c r="R31" s="169"/>
      <c r="S31" s="177"/>
      <c r="T31" s="64"/>
      <c r="U31" s="169"/>
      <c r="V31" s="169"/>
      <c r="W31" s="169"/>
      <c r="X31" s="169"/>
      <c r="Y31" s="83"/>
      <c r="Z31" s="64"/>
      <c r="AA31" s="169"/>
      <c r="AB31" s="169"/>
      <c r="AC31" s="169"/>
      <c r="AD31" s="169"/>
      <c r="AE31" s="83"/>
      <c r="AF31" s="178"/>
      <c r="AG31" s="169"/>
      <c r="AH31" s="177"/>
      <c r="AI31" s="169"/>
      <c r="AJ31" s="169"/>
      <c r="AK31" s="177"/>
      <c r="AL31" s="178"/>
      <c r="AM31" s="177"/>
      <c r="AN31" s="177"/>
      <c r="AO31" s="169"/>
      <c r="AP31" s="169"/>
      <c r="AQ31" s="177"/>
      <c r="AR31" s="178"/>
      <c r="AS31" s="169"/>
      <c r="AT31" s="169"/>
      <c r="AU31" s="169"/>
      <c r="AV31" s="169"/>
      <c r="AW31" s="177"/>
      <c r="AX31" s="178"/>
      <c r="AY31" s="177"/>
      <c r="AZ31" s="177"/>
      <c r="BA31" s="177"/>
      <c r="BB31" s="169"/>
      <c r="BC31" s="177"/>
      <c r="BD31" s="178"/>
      <c r="BE31" s="177"/>
      <c r="BF31" s="177"/>
      <c r="BG31" s="177"/>
      <c r="BH31" s="832"/>
      <c r="BI31" s="177"/>
      <c r="BJ31" s="178"/>
      <c r="BK31" s="177"/>
      <c r="BL31" s="177"/>
      <c r="BM31" s="177"/>
      <c r="BN31" s="832"/>
      <c r="BO31" s="177"/>
      <c r="BP31" s="178"/>
      <c r="BQ31" s="177"/>
      <c r="BR31" s="177"/>
      <c r="BS31" s="177"/>
      <c r="BT31" s="177"/>
      <c r="BU31" s="177"/>
      <c r="BV31" s="178"/>
      <c r="BW31" s="177"/>
      <c r="BX31" s="177"/>
      <c r="BY31" s="177"/>
      <c r="BZ31" s="177"/>
      <c r="CA31" s="177"/>
      <c r="CB31" s="178"/>
      <c r="CC31" s="177"/>
      <c r="CD31" s="177"/>
      <c r="CE31" s="177"/>
      <c r="CF31" s="177"/>
      <c r="CG31" s="177"/>
      <c r="CH31" s="42"/>
      <c r="CI31" s="42"/>
    </row>
    <row r="32" spans="1:87" x14ac:dyDescent="0.2">
      <c r="A32" s="6" t="s">
        <v>222</v>
      </c>
      <c r="B32" s="65"/>
      <c r="C32" s="172">
        <f>C28+C30</f>
        <v>58.050999999999995</v>
      </c>
      <c r="D32" s="172">
        <f>D28+D30</f>
        <v>54.024999999999999</v>
      </c>
      <c r="E32" s="172">
        <f>E28+E30</f>
        <v>56.187000000000005</v>
      </c>
      <c r="F32" s="172">
        <f>F28+F30</f>
        <v>61.607000000000006</v>
      </c>
      <c r="G32" s="172">
        <f>G28+G30</f>
        <v>61.607000000000006</v>
      </c>
      <c r="H32" s="65"/>
      <c r="I32" s="172">
        <f>I28+I30</f>
        <v>54.116999999999997</v>
      </c>
      <c r="J32" s="172">
        <f>J28+J30</f>
        <v>57.95</v>
      </c>
      <c r="K32" s="172">
        <f>K28+K30</f>
        <v>56.866000000000007</v>
      </c>
      <c r="L32" s="172">
        <f>L28+L30</f>
        <v>60.800999999999995</v>
      </c>
      <c r="M32" s="172">
        <f>M28+M30</f>
        <v>60.800999999999995</v>
      </c>
      <c r="N32" s="65"/>
      <c r="O32" s="172">
        <f>O28+O30</f>
        <v>61.577999999999996</v>
      </c>
      <c r="P32" s="172">
        <f>P28+P30</f>
        <v>70.016000000000005</v>
      </c>
      <c r="Q32" s="172">
        <f>Q28+Q30</f>
        <v>73.103999999999999</v>
      </c>
      <c r="R32" s="172">
        <f>R28+R30</f>
        <v>82.203999999999994</v>
      </c>
      <c r="S32" s="172">
        <f>S28+S30</f>
        <v>82.203999999999994</v>
      </c>
      <c r="T32" s="65"/>
      <c r="U32" s="172">
        <f>U28+U30</f>
        <v>77.195999999999998</v>
      </c>
      <c r="V32" s="172">
        <f>V28+V30</f>
        <v>74.739000000000004</v>
      </c>
      <c r="W32" s="172">
        <f>W28+W30</f>
        <v>85.832999999999998</v>
      </c>
      <c r="X32" s="172">
        <f>X28+X30</f>
        <v>99.195999999999984</v>
      </c>
      <c r="Y32" s="172">
        <f>Y28+Y30</f>
        <v>99.195999999999984</v>
      </c>
      <c r="Z32" s="65"/>
      <c r="AA32" s="172">
        <f>AA28+AA30</f>
        <v>94.876999999999995</v>
      </c>
      <c r="AB32" s="172">
        <f>AB28+AB30</f>
        <v>117.26700000000001</v>
      </c>
      <c r="AC32" s="172">
        <f>AC28+AC30</f>
        <v>129.04399999999998</v>
      </c>
      <c r="AD32" s="172">
        <f>AD28+AD30</f>
        <v>158.483</v>
      </c>
      <c r="AE32" s="172">
        <f>AE28+AE30</f>
        <v>158.483</v>
      </c>
      <c r="AF32" s="252"/>
      <c r="AG32" s="172">
        <f>AG28+AG30</f>
        <v>147.41400000000002</v>
      </c>
      <c r="AH32" s="256">
        <f>AH28+AH30</f>
        <v>157.86799999999999</v>
      </c>
      <c r="AI32" s="172">
        <f>AI28+AI30</f>
        <v>165.999</v>
      </c>
      <c r="AJ32" s="172">
        <f>AJ28+AJ30</f>
        <v>174.99499999999998</v>
      </c>
      <c r="AK32" s="256">
        <f>AK28+AK30</f>
        <v>174.99499999999998</v>
      </c>
      <c r="AL32" s="252"/>
      <c r="AM32" s="256">
        <f>AM28+AM30</f>
        <v>165.12700000000001</v>
      </c>
      <c r="AN32" s="256">
        <f>AN28+AN30</f>
        <v>183.696</v>
      </c>
      <c r="AO32" s="172">
        <f>AO28+AO30</f>
        <v>183.52199999999999</v>
      </c>
      <c r="AP32" s="172">
        <f>AP28+AP30</f>
        <v>198.17700000000002</v>
      </c>
      <c r="AQ32" s="256">
        <f>AQ28+AQ30</f>
        <v>198.17700000000002</v>
      </c>
      <c r="AR32" s="252"/>
      <c r="AS32" s="172">
        <f>AS28+AS30</f>
        <v>188.88800000000003</v>
      </c>
      <c r="AT32" s="172">
        <f>AT28+AT30</f>
        <v>209.637</v>
      </c>
      <c r="AU32" s="172">
        <f>AU28+AU30</f>
        <v>225.833</v>
      </c>
      <c r="AV32" s="172">
        <f>AV28+AV30</f>
        <v>235.22599999999997</v>
      </c>
      <c r="AW32" s="256">
        <f>AW28+AW30</f>
        <v>235.22599999999997</v>
      </c>
      <c r="AX32" s="252"/>
      <c r="AY32" s="256">
        <f>AY28+AY30</f>
        <v>234.87099999999998</v>
      </c>
      <c r="AZ32" s="256">
        <f>AZ28+AZ30</f>
        <v>258.78000000000003</v>
      </c>
      <c r="BA32" s="256">
        <f>BA28+BA30</f>
        <v>281.303</v>
      </c>
      <c r="BB32" s="172">
        <f>BB28+BB30</f>
        <v>310.70700000000005</v>
      </c>
      <c r="BC32" s="256">
        <f>BC28+BC30</f>
        <v>310.70700000000005</v>
      </c>
      <c r="BD32" s="252"/>
      <c r="BE32" s="256">
        <f>BE28+BE30</f>
        <v>315.52999999999997</v>
      </c>
      <c r="BF32" s="256">
        <f>BF28+BF30</f>
        <v>341.41499999999996</v>
      </c>
      <c r="BG32" s="256">
        <f>BG28+BG30</f>
        <v>386.58299999999997</v>
      </c>
      <c r="BH32" s="172">
        <f>BH28+BH30</f>
        <v>400.76200000000006</v>
      </c>
      <c r="BI32" s="256">
        <f>BI28+BI30</f>
        <v>400.76200000000006</v>
      </c>
      <c r="BJ32" s="252"/>
      <c r="BK32" s="256">
        <f>BK28+BK30</f>
        <v>414.41800000000001</v>
      </c>
      <c r="BL32" s="256">
        <f>BL28+BL30</f>
        <v>472.899</v>
      </c>
      <c r="BM32" s="256">
        <f>BM28+BM30</f>
        <v>515.66500000000008</v>
      </c>
      <c r="BN32" s="172">
        <f>BN28+BN30</f>
        <v>627.48599999999999</v>
      </c>
      <c r="BO32" s="256">
        <f>BO28+BO30</f>
        <v>627.48599999999999</v>
      </c>
      <c r="BP32" s="252"/>
      <c r="BQ32" s="256">
        <f>BQ28+BQ30</f>
        <v>650.23572535011169</v>
      </c>
      <c r="BR32" s="256">
        <f>BR28+BR30</f>
        <v>706.60420147740535</v>
      </c>
      <c r="BS32" s="256">
        <f>BS28+BS30</f>
        <v>706.18485284944018</v>
      </c>
      <c r="BT32" s="256">
        <f>BT28+BT30</f>
        <v>739.57478874740775</v>
      </c>
      <c r="BU32" s="256">
        <f>BU28+BU30</f>
        <v>739.57478874740775</v>
      </c>
      <c r="BV32" s="252"/>
      <c r="BW32" s="256">
        <f>BW28+BW30</f>
        <v>755.21015817444834</v>
      </c>
      <c r="BX32" s="256">
        <f>BX28+BX30</f>
        <v>842.09859810104024</v>
      </c>
      <c r="BY32" s="256">
        <f>BY28+BY30</f>
        <v>835.12012665562145</v>
      </c>
      <c r="BZ32" s="256">
        <f>BZ28+BZ30</f>
        <v>878.54397324080185</v>
      </c>
      <c r="CA32" s="256">
        <f>CA28+CA30</f>
        <v>878.54397324080185</v>
      </c>
      <c r="CB32" s="252"/>
      <c r="CC32" s="256">
        <f>CC28+CC30</f>
        <v>860.13184559335184</v>
      </c>
      <c r="CD32" s="256">
        <f>CD28+CD30</f>
        <v>952.87778041640831</v>
      </c>
      <c r="CE32" s="256">
        <f>CE28+CE30</f>
        <v>942.50277846215647</v>
      </c>
      <c r="CF32" s="256">
        <f>CF28+CF30</f>
        <v>989.07928333217239</v>
      </c>
      <c r="CG32" s="256">
        <f>CG28+CG30</f>
        <v>989.07928333217239</v>
      </c>
      <c r="CH32" s="42"/>
      <c r="CI32" s="42"/>
    </row>
    <row r="33" spans="1:87" x14ac:dyDescent="0.2">
      <c r="A33" s="2"/>
      <c r="B33" s="63"/>
      <c r="C33" s="15"/>
      <c r="D33" s="15"/>
      <c r="E33" s="15"/>
      <c r="F33" s="15"/>
      <c r="G33" s="15"/>
      <c r="H33" s="63"/>
      <c r="I33" s="15"/>
      <c r="J33" s="15"/>
      <c r="K33" s="15"/>
      <c r="L33" s="15"/>
      <c r="M33" s="15"/>
      <c r="N33" s="63"/>
      <c r="O33" s="15"/>
      <c r="P33" s="15"/>
      <c r="Q33" s="15"/>
      <c r="R33" s="15"/>
      <c r="S33" s="15"/>
      <c r="T33" s="63"/>
      <c r="U33" s="15"/>
      <c r="V33" s="15"/>
      <c r="W33" s="15"/>
      <c r="X33" s="15"/>
      <c r="Y33" s="15"/>
      <c r="Z33" s="63"/>
      <c r="AA33" s="15"/>
      <c r="AB33" s="15"/>
      <c r="AC33" s="15"/>
      <c r="AD33" s="15"/>
      <c r="AE33" s="15"/>
      <c r="AF33" s="117"/>
      <c r="AG33" s="15"/>
      <c r="AH33" s="173"/>
      <c r="AI33" s="15"/>
      <c r="AJ33" s="15"/>
      <c r="AK33" s="127"/>
      <c r="AL33" s="117"/>
      <c r="AM33" s="173"/>
      <c r="AN33" s="173"/>
      <c r="AO33" s="15"/>
      <c r="AP33" s="15"/>
      <c r="AQ33" s="127"/>
      <c r="AR33" s="117"/>
      <c r="AS33" s="15"/>
      <c r="AT33" s="15"/>
      <c r="AU33" s="15"/>
      <c r="AV33" s="15"/>
      <c r="AW33" s="127"/>
      <c r="AX33" s="117"/>
      <c r="AY33" s="173"/>
      <c r="AZ33" s="173"/>
      <c r="BA33" s="173"/>
      <c r="BB33" s="15"/>
      <c r="BC33" s="127"/>
      <c r="BD33" s="117"/>
      <c r="BE33" s="173"/>
      <c r="BF33" s="173"/>
      <c r="BG33" s="173"/>
      <c r="BH33" s="835"/>
      <c r="BI33" s="127"/>
      <c r="BJ33" s="117"/>
      <c r="BK33" s="173"/>
      <c r="BL33" s="173"/>
      <c r="BM33" s="173"/>
      <c r="BN33" s="835"/>
      <c r="BO33" s="127"/>
      <c r="BP33" s="117"/>
      <c r="BQ33" s="173"/>
      <c r="BR33" s="173"/>
      <c r="BS33" s="173"/>
      <c r="BT33" s="173"/>
      <c r="BU33" s="127"/>
      <c r="BV33" s="117"/>
      <c r="BW33" s="173"/>
      <c r="BX33" s="173"/>
      <c r="BY33" s="173"/>
      <c r="BZ33" s="173"/>
      <c r="CA33" s="127"/>
      <c r="CB33" s="117"/>
      <c r="CC33" s="173"/>
      <c r="CD33" s="173"/>
      <c r="CE33" s="173"/>
      <c r="CF33" s="173"/>
      <c r="CG33" s="127"/>
      <c r="CH33" s="42"/>
      <c r="CI33" s="42"/>
    </row>
    <row r="34" spans="1:87" x14ac:dyDescent="0.2">
      <c r="A34" s="6" t="s">
        <v>119</v>
      </c>
      <c r="B34" s="63"/>
      <c r="C34" s="15"/>
      <c r="D34" s="15"/>
      <c r="E34" s="15"/>
      <c r="F34" s="15"/>
      <c r="G34" s="15"/>
      <c r="H34" s="63"/>
      <c r="I34" s="15"/>
      <c r="J34" s="15"/>
      <c r="K34" s="15"/>
      <c r="L34" s="15"/>
      <c r="M34" s="15"/>
      <c r="N34" s="63"/>
      <c r="O34" s="15"/>
      <c r="P34" s="15"/>
      <c r="Q34" s="15"/>
      <c r="R34" s="15"/>
      <c r="S34" s="15"/>
      <c r="T34" s="63"/>
      <c r="U34" s="15"/>
      <c r="V34" s="15"/>
      <c r="W34" s="15"/>
      <c r="X34" s="15"/>
      <c r="Y34" s="15"/>
      <c r="Z34" s="63"/>
      <c r="AA34" s="15"/>
      <c r="AB34" s="15"/>
      <c r="AC34" s="15"/>
      <c r="AD34" s="15"/>
      <c r="AE34" s="15"/>
      <c r="AF34" s="236"/>
      <c r="AG34" s="15"/>
      <c r="AH34" s="173"/>
      <c r="AI34" s="15"/>
      <c r="AJ34" s="15"/>
      <c r="AK34" s="127"/>
      <c r="AL34" s="236"/>
      <c r="AM34" s="173"/>
      <c r="AN34" s="173"/>
      <c r="AO34" s="15"/>
      <c r="AP34" s="15"/>
      <c r="AQ34" s="127"/>
      <c r="AR34" s="236"/>
      <c r="AS34" s="15"/>
      <c r="AT34" s="15"/>
      <c r="AU34" s="15"/>
      <c r="AV34" s="15"/>
      <c r="AW34" s="127"/>
      <c r="AX34" s="236"/>
      <c r="AY34" s="173"/>
      <c r="AZ34" s="173"/>
      <c r="BA34" s="173"/>
      <c r="BB34" s="15"/>
      <c r="BC34" s="127"/>
      <c r="BD34" s="236"/>
      <c r="BE34" s="173"/>
      <c r="BF34" s="173"/>
      <c r="BG34" s="173"/>
      <c r="BH34" s="835"/>
      <c r="BI34" s="127"/>
      <c r="BJ34" s="236"/>
      <c r="BK34" s="173"/>
      <c r="BL34" s="173"/>
      <c r="BM34" s="173"/>
      <c r="BN34" s="835"/>
      <c r="BO34" s="127"/>
      <c r="BP34" s="236"/>
      <c r="BQ34" s="173"/>
      <c r="BR34" s="173"/>
      <c r="BS34" s="173"/>
      <c r="BT34" s="173"/>
      <c r="BU34" s="127"/>
      <c r="BV34" s="236"/>
      <c r="BW34" s="173"/>
      <c r="BX34" s="173"/>
      <c r="BY34" s="173"/>
      <c r="BZ34" s="173"/>
      <c r="CA34" s="127"/>
      <c r="CB34" s="236"/>
      <c r="CC34" s="173"/>
      <c r="CD34" s="173"/>
      <c r="CE34" s="173"/>
      <c r="CF34" s="173"/>
      <c r="CG34" s="127"/>
      <c r="CH34" s="42"/>
      <c r="CI34" s="42"/>
    </row>
    <row r="35" spans="1:87" x14ac:dyDescent="0.2">
      <c r="A35" s="2" t="s">
        <v>224</v>
      </c>
      <c r="B35" s="63"/>
      <c r="C35" s="169">
        <v>7.0000000000000001E-3</v>
      </c>
      <c r="D35" s="169">
        <v>7.0000000000000001E-3</v>
      </c>
      <c r="E35" s="169">
        <v>7.0000000000000001E-3</v>
      </c>
      <c r="F35" s="169">
        <v>7.0000000000000001E-3</v>
      </c>
      <c r="G35" s="83">
        <f>F35</f>
        <v>7.0000000000000001E-3</v>
      </c>
      <c r="H35" s="63"/>
      <c r="I35" s="169">
        <v>7.0000000000000001E-3</v>
      </c>
      <c r="J35" s="169">
        <v>7.0000000000000001E-3</v>
      </c>
      <c r="K35" s="169">
        <v>7.0000000000000001E-3</v>
      </c>
      <c r="L35" s="169">
        <v>7.0000000000000001E-3</v>
      </c>
      <c r="M35" s="83">
        <f>L35</f>
        <v>7.0000000000000001E-3</v>
      </c>
      <c r="N35" s="63"/>
      <c r="O35" s="169">
        <v>7.0000000000000001E-3</v>
      </c>
      <c r="P35" s="169">
        <v>7.0000000000000001E-3</v>
      </c>
      <c r="Q35" s="169">
        <v>7.0000000000000001E-3</v>
      </c>
      <c r="R35" s="169">
        <v>7.0000000000000001E-3</v>
      </c>
      <c r="S35" s="83">
        <f>R35</f>
        <v>7.0000000000000001E-3</v>
      </c>
      <c r="T35" s="63"/>
      <c r="U35" s="169">
        <v>8.0000000000000002E-3</v>
      </c>
      <c r="V35" s="169">
        <v>8.0000000000000002E-3</v>
      </c>
      <c r="W35" s="169">
        <v>8.0000000000000002E-3</v>
      </c>
      <c r="X35" s="169">
        <v>8.0000000000000002E-3</v>
      </c>
      <c r="Y35" s="83">
        <f>X35</f>
        <v>8.0000000000000002E-3</v>
      </c>
      <c r="Z35" s="63"/>
      <c r="AA35" s="169">
        <v>8.0000000000000002E-3</v>
      </c>
      <c r="AB35" s="169">
        <v>8.0000000000000002E-3</v>
      </c>
      <c r="AC35" s="169">
        <v>8.0000000000000002E-3</v>
      </c>
      <c r="AD35" s="169">
        <v>8.0000000000000002E-3</v>
      </c>
      <c r="AE35" s="83">
        <f>AD35</f>
        <v>8.0000000000000002E-3</v>
      </c>
      <c r="AF35" s="236"/>
      <c r="AG35" s="169">
        <v>8.0000000000000002E-3</v>
      </c>
      <c r="AH35" s="169">
        <v>8.0000000000000002E-3</v>
      </c>
      <c r="AI35" s="169">
        <v>8.0000000000000002E-3</v>
      </c>
      <c r="AJ35" s="169">
        <v>8.0000000000000002E-3</v>
      </c>
      <c r="AK35" s="177">
        <f>AJ35</f>
        <v>8.0000000000000002E-3</v>
      </c>
      <c r="AL35" s="236"/>
      <c r="AM35" s="169">
        <v>8.0000000000000002E-3</v>
      </c>
      <c r="AN35" s="169">
        <v>8.0000000000000002E-3</v>
      </c>
      <c r="AO35" s="169">
        <v>8.0000000000000002E-3</v>
      </c>
      <c r="AP35" s="169">
        <v>8.0000000000000002E-3</v>
      </c>
      <c r="AQ35" s="177">
        <f>AP35</f>
        <v>8.0000000000000002E-3</v>
      </c>
      <c r="AR35" s="236"/>
      <c r="AS35" s="169">
        <v>8.0000000000000002E-3</v>
      </c>
      <c r="AT35" s="169">
        <v>8.0000000000000002E-3</v>
      </c>
      <c r="AU35" s="169">
        <v>8.0000000000000002E-3</v>
      </c>
      <c r="AV35" s="169">
        <v>8.0000000000000002E-3</v>
      </c>
      <c r="AW35" s="177">
        <f>AV35</f>
        <v>8.0000000000000002E-3</v>
      </c>
      <c r="AX35" s="236"/>
      <c r="AY35" s="497">
        <v>8.0000000000000002E-3</v>
      </c>
      <c r="AZ35" s="497">
        <v>8.0000000000000002E-3</v>
      </c>
      <c r="BA35" s="497">
        <v>8.0000000000000002E-3</v>
      </c>
      <c r="BB35" s="169">
        <v>8.0000000000000002E-3</v>
      </c>
      <c r="BC35" s="177">
        <f>BB35</f>
        <v>8.0000000000000002E-3</v>
      </c>
      <c r="BD35" s="236"/>
      <c r="BE35" s="169">
        <v>8.0000000000000002E-3</v>
      </c>
      <c r="BF35" s="169">
        <v>8.0000000000000002E-3</v>
      </c>
      <c r="BG35" s="169">
        <v>8.0000000000000002E-3</v>
      </c>
      <c r="BH35" s="832">
        <v>8.0000000000000002E-3</v>
      </c>
      <c r="BI35" s="177">
        <f>BH35</f>
        <v>8.0000000000000002E-3</v>
      </c>
      <c r="BJ35" s="236"/>
      <c r="BK35" s="169">
        <v>8.0000000000000002E-3</v>
      </c>
      <c r="BL35" s="169">
        <v>8.0000000000000002E-3</v>
      </c>
      <c r="BM35" s="169">
        <v>8.0000000000000002E-3</v>
      </c>
      <c r="BN35" s="832">
        <v>8.0000000000000002E-3</v>
      </c>
      <c r="BO35" s="177">
        <f>BN35</f>
        <v>8.0000000000000002E-3</v>
      </c>
      <c r="BP35" s="236"/>
      <c r="BQ35" s="177">
        <f>+BO35</f>
        <v>8.0000000000000002E-3</v>
      </c>
      <c r="BR35" s="177">
        <f>+BQ35</f>
        <v>8.0000000000000002E-3</v>
      </c>
      <c r="BS35" s="177">
        <f>+BR35</f>
        <v>8.0000000000000002E-3</v>
      </c>
      <c r="BT35" s="177">
        <f>+BS35</f>
        <v>8.0000000000000002E-3</v>
      </c>
      <c r="BU35" s="177">
        <f>BT35</f>
        <v>8.0000000000000002E-3</v>
      </c>
      <c r="BV35" s="236"/>
      <c r="BW35" s="177">
        <f>+BU35</f>
        <v>8.0000000000000002E-3</v>
      </c>
      <c r="BX35" s="177">
        <f>+BW35</f>
        <v>8.0000000000000002E-3</v>
      </c>
      <c r="BY35" s="177">
        <f>+BX35</f>
        <v>8.0000000000000002E-3</v>
      </c>
      <c r="BZ35" s="177">
        <f>+BY35</f>
        <v>8.0000000000000002E-3</v>
      </c>
      <c r="CA35" s="177">
        <f>BZ35</f>
        <v>8.0000000000000002E-3</v>
      </c>
      <c r="CB35" s="236"/>
      <c r="CC35" s="177">
        <f>+CA35</f>
        <v>8.0000000000000002E-3</v>
      </c>
      <c r="CD35" s="177">
        <f>+CC35</f>
        <v>8.0000000000000002E-3</v>
      </c>
      <c r="CE35" s="177">
        <f>+CD35</f>
        <v>8.0000000000000002E-3</v>
      </c>
      <c r="CF35" s="177">
        <f>+CE35</f>
        <v>8.0000000000000002E-3</v>
      </c>
      <c r="CG35" s="177">
        <f>CF35</f>
        <v>8.0000000000000002E-3</v>
      </c>
      <c r="CH35" s="42"/>
      <c r="CI35" s="42"/>
    </row>
    <row r="36" spans="1:87" x14ac:dyDescent="0.2">
      <c r="A36" s="2" t="s">
        <v>225</v>
      </c>
      <c r="B36" s="63"/>
      <c r="C36" s="169">
        <v>417.279</v>
      </c>
      <c r="D36" s="169">
        <v>432.935</v>
      </c>
      <c r="E36" s="169">
        <v>445.47800000000001</v>
      </c>
      <c r="F36" s="169">
        <v>450.14</v>
      </c>
      <c r="G36" s="83">
        <f>F36</f>
        <v>450.14</v>
      </c>
      <c r="H36" s="63"/>
      <c r="I36" s="169">
        <v>460.27300000000002</v>
      </c>
      <c r="J36" s="169">
        <v>446.72300000000001</v>
      </c>
      <c r="K36" s="169">
        <v>445.92599999999999</v>
      </c>
      <c r="L36" s="169">
        <v>439.49400000000003</v>
      </c>
      <c r="M36" s="83">
        <f>L36</f>
        <v>439.49400000000003</v>
      </c>
      <c r="N36" s="63"/>
      <c r="O36" s="169">
        <v>446.35399999999998</v>
      </c>
      <c r="P36" s="169">
        <v>451.50400000000002</v>
      </c>
      <c r="Q36" s="169">
        <v>521.13300000000004</v>
      </c>
      <c r="R36" s="169">
        <v>525.07299999999998</v>
      </c>
      <c r="S36" s="83">
        <f>R36</f>
        <v>525.07299999999998</v>
      </c>
      <c r="T36" s="63"/>
      <c r="U36" s="169">
        <v>533.80799999999999</v>
      </c>
      <c r="V36" s="169">
        <v>539.16</v>
      </c>
      <c r="W36" s="169">
        <v>547.22799999999995</v>
      </c>
      <c r="X36" s="169">
        <v>555.851</v>
      </c>
      <c r="Y36" s="83">
        <f>X36</f>
        <v>555.851</v>
      </c>
      <c r="Z36" s="63"/>
      <c r="AA36" s="169">
        <v>563.87800000000004</v>
      </c>
      <c r="AB36" s="169">
        <v>580.274</v>
      </c>
      <c r="AC36" s="169">
        <v>588.50099999999998</v>
      </c>
      <c r="AD36" s="169">
        <v>607.24</v>
      </c>
      <c r="AE36" s="83">
        <f>AD36</f>
        <v>607.24</v>
      </c>
      <c r="AF36" s="236"/>
      <c r="AG36" s="169">
        <v>619.99099999999999</v>
      </c>
      <c r="AH36" s="169">
        <v>655.30700000000002</v>
      </c>
      <c r="AI36" s="169">
        <v>676.60500000000002</v>
      </c>
      <c r="AJ36" s="169">
        <v>670.73199999999997</v>
      </c>
      <c r="AK36" s="177">
        <f>AJ36</f>
        <v>670.73199999999997</v>
      </c>
      <c r="AL36" s="236"/>
      <c r="AM36" s="169">
        <v>694.33399999999995</v>
      </c>
      <c r="AN36" s="169">
        <v>693.10199999999998</v>
      </c>
      <c r="AO36" s="169">
        <v>713.67600000000004</v>
      </c>
      <c r="AP36" s="169">
        <v>729.57799999999997</v>
      </c>
      <c r="AQ36" s="177">
        <f>AP36</f>
        <v>729.57799999999997</v>
      </c>
      <c r="AR36" s="236"/>
      <c r="AS36" s="169">
        <v>759.76800000000003</v>
      </c>
      <c r="AT36" s="169">
        <v>742.88599999999997</v>
      </c>
      <c r="AU36" s="169">
        <v>775.52300000000002</v>
      </c>
      <c r="AV36" s="169">
        <v>783.41</v>
      </c>
      <c r="AW36" s="177">
        <f>AV36</f>
        <v>783.41</v>
      </c>
      <c r="AX36" s="236"/>
      <c r="AY36" s="497">
        <v>789.45299999999997</v>
      </c>
      <c r="AZ36" s="497">
        <v>775.80600000000004</v>
      </c>
      <c r="BA36" s="497">
        <v>810.11599999999999</v>
      </c>
      <c r="BB36" s="169">
        <v>821.50699999999995</v>
      </c>
      <c r="BC36" s="177">
        <f>BB36</f>
        <v>821.50699999999995</v>
      </c>
      <c r="BD36" s="236"/>
      <c r="BE36" s="497">
        <v>824.06299999999999</v>
      </c>
      <c r="BF36" s="497">
        <v>821.81500000000005</v>
      </c>
      <c r="BG36" s="497">
        <v>854.42200000000003</v>
      </c>
      <c r="BH36" s="832">
        <v>864.87099999999998</v>
      </c>
      <c r="BI36" s="177">
        <f>BH36</f>
        <v>864.87099999999998</v>
      </c>
      <c r="BJ36" s="236"/>
      <c r="BK36" s="497">
        <v>850.09199999999998</v>
      </c>
      <c r="BL36" s="497">
        <v>845.56</v>
      </c>
      <c r="BM36" s="497">
        <v>880.04499999999996</v>
      </c>
      <c r="BN36" s="832">
        <v>886.43499999999995</v>
      </c>
      <c r="BO36" s="177">
        <f>BN36</f>
        <v>886.43499999999995</v>
      </c>
      <c r="BP36" s="236"/>
      <c r="BQ36" s="177">
        <f>+BO36+'Cash Flow'!BP11+'Cash Flow'!BP36+'Cash Flow'!BP38+'Cash Flow'!BP40+'Cash Flow'!BP15</f>
        <v>837.49778704685139</v>
      </c>
      <c r="BR36" s="177">
        <f>+BQ36+'Cash Flow'!BQ11+'Cash Flow'!BQ36+'Cash Flow'!BQ38+'Cash Flow'!BQ40+'Cash Flow'!BQ15</f>
        <v>791.00083372704285</v>
      </c>
      <c r="BS36" s="177">
        <f>+BR36+'Cash Flow'!BR11+'Cash Flow'!BR36+'Cash Flow'!BR38+'Cash Flow'!BR40+'Cash Flow'!BR15</f>
        <v>744.69936603531426</v>
      </c>
      <c r="BT36" s="177">
        <f>+BS36+'Cash Flow'!BS11+'Cash Flow'!BS36+'Cash Flow'!BS38+'Cash Flow'!BS40+'Cash Flow'!BS15</f>
        <v>701.74666597222449</v>
      </c>
      <c r="BU36" s="177">
        <f>BT36</f>
        <v>701.74666597222449</v>
      </c>
      <c r="BV36" s="236"/>
      <c r="BW36" s="177">
        <f>+BU36+'Cash Flow'!BV11+'Cash Flow'!BV36+'Cash Flow'!BV38+'Cash Flow'!BV40+'Cash Flow'!BV15</f>
        <v>651.19917190405636</v>
      </c>
      <c r="BX36" s="177">
        <f>+BW36+'Cash Flow'!BW11+'Cash Flow'!BW36+'Cash Flow'!BW38+'Cash Flow'!BW40+'Cash Flow'!BW15</f>
        <v>604.39067954730808</v>
      </c>
      <c r="BY36" s="177">
        <f>+BX36+'Cash Flow'!BX11+'Cash Flow'!BX36+'Cash Flow'!BX38+'Cash Flow'!BX40+'Cash Flow'!BX15</f>
        <v>557.68039581155438</v>
      </c>
      <c r="BZ36" s="177">
        <f>+BY36+'Cash Flow'!BY11+'Cash Flow'!BY36+'Cash Flow'!BY38+'Cash Flow'!BY40+'Cash Flow'!BY15</f>
        <v>515.71146516760462</v>
      </c>
      <c r="CA36" s="177">
        <f>BZ36</f>
        <v>515.71146516760462</v>
      </c>
      <c r="CB36" s="236"/>
      <c r="CC36" s="177">
        <f>+CA36+'Cash Flow'!CB11+'Cash Flow'!CB36+'Cash Flow'!CB38+'Cash Flow'!CB40+'Cash Flow'!CB15</f>
        <v>458.03097178614291</v>
      </c>
      <c r="CD36" s="177">
        <f>+CC36+'Cash Flow'!CC11+'Cash Flow'!CC36+'Cash Flow'!CC38+'Cash Flow'!CC40+'Cash Flow'!CC15</f>
        <v>404.88520024164103</v>
      </c>
      <c r="CE36" s="177">
        <f>+CD36+'Cash Flow'!CD11+'Cash Flow'!CD36+'Cash Flow'!CD38+'Cash Flow'!CD40+'Cash Flow'!CD15</f>
        <v>351.89839854007704</v>
      </c>
      <c r="CF36" s="177">
        <f>+CE36+'Cash Flow'!CE11+'Cash Flow'!CE36+'Cash Flow'!CE38+'Cash Flow'!CE40+'Cash Flow'!CE15</f>
        <v>305.23889966649438</v>
      </c>
      <c r="CG36" s="177">
        <f>CF36</f>
        <v>305.23889966649438</v>
      </c>
      <c r="CH36" s="42"/>
      <c r="CI36" s="42"/>
    </row>
    <row r="37" spans="1:87" x14ac:dyDescent="0.2">
      <c r="A37" s="2" t="s">
        <v>226</v>
      </c>
      <c r="B37" s="66"/>
      <c r="C37" s="169">
        <v>9.8000000000000004E-2</v>
      </c>
      <c r="D37" s="169">
        <v>0.16600000000000001</v>
      </c>
      <c r="E37" s="169">
        <v>0.54</v>
      </c>
      <c r="F37" s="169">
        <v>0.65700000000000003</v>
      </c>
      <c r="G37" s="83">
        <f>F37</f>
        <v>0.65700000000000003</v>
      </c>
      <c r="H37" s="66"/>
      <c r="I37" s="169">
        <v>0.999</v>
      </c>
      <c r="J37" s="169">
        <v>0.91900000000000004</v>
      </c>
      <c r="K37" s="169">
        <v>0.44700000000000001</v>
      </c>
      <c r="L37" s="169">
        <v>0.26900000000000002</v>
      </c>
      <c r="M37" s="83">
        <f>L37</f>
        <v>0.26900000000000002</v>
      </c>
      <c r="N37" s="66"/>
      <c r="O37" s="169">
        <v>-6.8000000000000005E-2</v>
      </c>
      <c r="P37" s="169">
        <v>0.316</v>
      </c>
      <c r="Q37" s="169">
        <v>0.53100000000000003</v>
      </c>
      <c r="R37" s="169">
        <v>0.45500000000000002</v>
      </c>
      <c r="S37" s="83">
        <f>R37</f>
        <v>0.45500000000000002</v>
      </c>
      <c r="T37" s="66"/>
      <c r="U37" s="169">
        <v>0.109</v>
      </c>
      <c r="V37" s="169">
        <v>-0.249</v>
      </c>
      <c r="W37" s="169">
        <v>0.317</v>
      </c>
      <c r="X37" s="169">
        <v>0.13400000000000001</v>
      </c>
      <c r="Y37" s="83">
        <f>X37</f>
        <v>0.13400000000000001</v>
      </c>
      <c r="Z37" s="66"/>
      <c r="AA37" s="169">
        <v>0.624</v>
      </c>
      <c r="AB37" s="169">
        <v>0.74299999999999999</v>
      </c>
      <c r="AC37" s="169">
        <v>0.34599999999999997</v>
      </c>
      <c r="AD37" s="169">
        <v>4.5999999999999999E-2</v>
      </c>
      <c r="AE37" s="83">
        <f>AD37</f>
        <v>4.5999999999999999E-2</v>
      </c>
      <c r="AF37" s="253"/>
      <c r="AG37" s="169">
        <v>0.193</v>
      </c>
      <c r="AH37" s="169">
        <v>-0.34</v>
      </c>
      <c r="AI37" s="169">
        <v>-1.9E-2</v>
      </c>
      <c r="AJ37" s="169">
        <v>0.20300000000000001</v>
      </c>
      <c r="AK37" s="177">
        <f>AJ37</f>
        <v>0.20300000000000001</v>
      </c>
      <c r="AL37" s="253"/>
      <c r="AM37" s="169">
        <v>0.151</v>
      </c>
      <c r="AN37" s="169">
        <v>-4.3999999999999997E-2</v>
      </c>
      <c r="AO37" s="169">
        <v>0.33200000000000002</v>
      </c>
      <c r="AP37" s="169">
        <v>0.29399999999999998</v>
      </c>
      <c r="AQ37" s="177">
        <f>AP37</f>
        <v>0.29399999999999998</v>
      </c>
      <c r="AR37" s="253"/>
      <c r="AS37" s="169">
        <v>0.442</v>
      </c>
      <c r="AT37" s="169">
        <v>0.50800000000000001</v>
      </c>
      <c r="AU37" s="169">
        <v>0.06</v>
      </c>
      <c r="AV37" s="169">
        <v>-0.14000000000000001</v>
      </c>
      <c r="AW37" s="177">
        <f>AV37</f>
        <v>-0.14000000000000001</v>
      </c>
      <c r="AX37" s="253"/>
      <c r="AY37" s="497">
        <v>-0.106</v>
      </c>
      <c r="AZ37" s="497">
        <v>-0.187</v>
      </c>
      <c r="BA37" s="497">
        <v>2.5000000000000001E-2</v>
      </c>
      <c r="BB37" s="169">
        <v>-0.98</v>
      </c>
      <c r="BC37" s="177">
        <f>BB37</f>
        <v>-0.98</v>
      </c>
      <c r="BD37" s="253"/>
      <c r="BE37" s="497">
        <v>2.1999999999999999E-2</v>
      </c>
      <c r="BF37" s="497">
        <v>0.42799999999999999</v>
      </c>
      <c r="BG37" s="497">
        <v>-8.5000000000000006E-2</v>
      </c>
      <c r="BH37" s="832">
        <v>-0.93799999999999994</v>
      </c>
      <c r="BI37" s="177">
        <f>BH37</f>
        <v>-0.93799999999999994</v>
      </c>
      <c r="BJ37" s="253"/>
      <c r="BK37" s="497">
        <v>-1.3819999999999999</v>
      </c>
      <c r="BL37" s="497">
        <v>-0.156</v>
      </c>
      <c r="BM37" s="497">
        <v>0.78800000000000003</v>
      </c>
      <c r="BN37" s="832">
        <v>0.57099999999999995</v>
      </c>
      <c r="BO37" s="177">
        <f>BN37</f>
        <v>0.57099999999999995</v>
      </c>
      <c r="BP37" s="253"/>
      <c r="BQ37" s="177">
        <f>+BO37+'Cash Flow'!BP44+'Cash Flow'!BP45</f>
        <v>0.57099999999999995</v>
      </c>
      <c r="BR37" s="177">
        <f>+BQ37+'Cash Flow'!BQ44+'Cash Flow'!BQ45</f>
        <v>0.57099999999999995</v>
      </c>
      <c r="BS37" s="177">
        <f>+BR37+'Cash Flow'!BR44+'Cash Flow'!BR45</f>
        <v>0.57099999999999995</v>
      </c>
      <c r="BT37" s="177">
        <f>+BS37+'Cash Flow'!BS44+'Cash Flow'!BS45</f>
        <v>0.57099999999999995</v>
      </c>
      <c r="BU37" s="177">
        <f>BT37</f>
        <v>0.57099999999999995</v>
      </c>
      <c r="BV37" s="253"/>
      <c r="BW37" s="177">
        <f>+BU37+'Cash Flow'!BV44+'Cash Flow'!BV45</f>
        <v>0.57099999999999995</v>
      </c>
      <c r="BX37" s="177">
        <f>+BW37+'Cash Flow'!BW44+'Cash Flow'!BW45</f>
        <v>0.57099999999999995</v>
      </c>
      <c r="BY37" s="177">
        <f>+BX37+'Cash Flow'!BX44+'Cash Flow'!BX45</f>
        <v>0.57099999999999995</v>
      </c>
      <c r="BZ37" s="177">
        <f>+BY37+'Cash Flow'!BY44+'Cash Flow'!BY45</f>
        <v>0.57099999999999995</v>
      </c>
      <c r="CA37" s="177">
        <f>BZ37</f>
        <v>0.57099999999999995</v>
      </c>
      <c r="CB37" s="253"/>
      <c r="CC37" s="177">
        <f>+CA37+'Cash Flow'!CB44+'Cash Flow'!CB45</f>
        <v>0.57099999999999995</v>
      </c>
      <c r="CD37" s="177">
        <f>+CC37+'Cash Flow'!CC44+'Cash Flow'!CC45</f>
        <v>0.57099999999999995</v>
      </c>
      <c r="CE37" s="177">
        <f>+CD37+'Cash Flow'!CD44+'Cash Flow'!CD45</f>
        <v>0.57099999999999995</v>
      </c>
      <c r="CF37" s="177">
        <f>+CE37+'Cash Flow'!CE44+'Cash Flow'!CE45</f>
        <v>0.57099999999999995</v>
      </c>
      <c r="CG37" s="177">
        <f>CF37</f>
        <v>0.57099999999999995</v>
      </c>
      <c r="CH37" s="42"/>
      <c r="CI37" s="42"/>
    </row>
    <row r="38" spans="1:87" x14ac:dyDescent="0.2">
      <c r="A38" s="2" t="s">
        <v>227</v>
      </c>
      <c r="B38" s="66"/>
      <c r="C38" s="169">
        <v>-318.39600000000002</v>
      </c>
      <c r="D38" s="169">
        <v>-304.77800000000002</v>
      </c>
      <c r="E38" s="169">
        <v>-295.31799999999998</v>
      </c>
      <c r="F38" s="169">
        <v>-289.64999999999998</v>
      </c>
      <c r="G38" s="83">
        <f>F38</f>
        <v>-289.64999999999998</v>
      </c>
      <c r="H38" s="66"/>
      <c r="I38" s="169">
        <v>-284.346</v>
      </c>
      <c r="J38" s="169">
        <v>-288.43</v>
      </c>
      <c r="K38" s="169">
        <v>-286.726</v>
      </c>
      <c r="L38" s="169">
        <v>-221.23</v>
      </c>
      <c r="M38" s="83">
        <f>L38</f>
        <v>-221.23</v>
      </c>
      <c r="N38" s="66"/>
      <c r="O38" s="169">
        <v>-218.59399999999999</v>
      </c>
      <c r="P38" s="169">
        <v>-214.04900000000001</v>
      </c>
      <c r="Q38" s="169">
        <v>-263.99099999999999</v>
      </c>
      <c r="R38" s="169">
        <v>-252.499</v>
      </c>
      <c r="S38" s="83">
        <f>R38</f>
        <v>-252.499</v>
      </c>
      <c r="T38" s="66"/>
      <c r="U38" s="169">
        <v>-237.56899999999999</v>
      </c>
      <c r="V38" s="169">
        <v>-204.96600000000001</v>
      </c>
      <c r="W38" s="169">
        <v>-188.15100000000001</v>
      </c>
      <c r="X38" s="169">
        <v>-178.24600000000001</v>
      </c>
      <c r="Y38" s="83">
        <f>X38</f>
        <v>-178.24600000000001</v>
      </c>
      <c r="Z38" s="66"/>
      <c r="AA38" s="169">
        <v>-162.405</v>
      </c>
      <c r="AB38" s="169">
        <v>-151.24299999999999</v>
      </c>
      <c r="AC38" s="169">
        <v>-131.97900000000001</v>
      </c>
      <c r="AD38" s="169">
        <v>-116.51300000000001</v>
      </c>
      <c r="AE38" s="83">
        <f>AD38</f>
        <v>-116.51300000000001</v>
      </c>
      <c r="AF38" s="253"/>
      <c r="AG38" s="169">
        <v>-97.17</v>
      </c>
      <c r="AH38" s="169">
        <v>-68.680000000000007</v>
      </c>
      <c r="AI38" s="169">
        <v>-74.429000000000002</v>
      </c>
      <c r="AJ38" s="169">
        <v>-89.626000000000005</v>
      </c>
      <c r="AK38" s="83">
        <f>AJ38</f>
        <v>-89.626000000000005</v>
      </c>
      <c r="AL38" s="253"/>
      <c r="AM38" s="169">
        <v>-133.375</v>
      </c>
      <c r="AN38" s="169">
        <v>-172.86799999999999</v>
      </c>
      <c r="AO38" s="169">
        <v>-138.33199999999999</v>
      </c>
      <c r="AP38" s="169">
        <v>-95.91</v>
      </c>
      <c r="AQ38" s="83">
        <f>AP38</f>
        <v>-95.91</v>
      </c>
      <c r="AR38" s="253"/>
      <c r="AS38" s="169">
        <v>-63.465000000000003</v>
      </c>
      <c r="AT38" s="169">
        <v>-67.605999999999995</v>
      </c>
      <c r="AU38" s="169">
        <v>-53.134999999999998</v>
      </c>
      <c r="AV38" s="169">
        <v>-30.507000000000001</v>
      </c>
      <c r="AW38" s="83">
        <f>AV38</f>
        <v>-30.507000000000001</v>
      </c>
      <c r="AX38" s="253"/>
      <c r="AY38" s="497">
        <v>4.1790000000000003</v>
      </c>
      <c r="AZ38" s="497">
        <v>-5.8259999999999996</v>
      </c>
      <c r="BA38" s="497">
        <v>-11.89</v>
      </c>
      <c r="BB38" s="169">
        <v>27.390999999999998</v>
      </c>
      <c r="BC38" s="83">
        <f>BB38</f>
        <v>27.390999999999998</v>
      </c>
      <c r="BD38" s="253"/>
      <c r="BE38" s="497">
        <v>67.936999999999998</v>
      </c>
      <c r="BF38" s="497">
        <v>87.606999999999999</v>
      </c>
      <c r="BG38" s="497">
        <v>117.965</v>
      </c>
      <c r="BH38" s="832">
        <v>131.44800000000001</v>
      </c>
      <c r="BI38" s="83">
        <f>BH38</f>
        <v>131.44800000000001</v>
      </c>
      <c r="BJ38" s="253"/>
      <c r="BK38" s="497">
        <v>196.15700000000001</v>
      </c>
      <c r="BL38" s="497">
        <v>232.876</v>
      </c>
      <c r="BM38" s="497">
        <v>301.11700000000002</v>
      </c>
      <c r="BN38" s="832">
        <v>263.35599999999999</v>
      </c>
      <c r="BO38" s="83">
        <f>BN38</f>
        <v>263.35599999999999</v>
      </c>
      <c r="BP38" s="253"/>
      <c r="BQ38" s="177">
        <f>+BO38+'Cash Flow'!BP8+'Cash Flow'!BP39</f>
        <v>359.22199999999998</v>
      </c>
      <c r="BR38" s="177">
        <f>+BQ38+'Cash Flow'!BQ8+'Cash Flow'!BQ39</f>
        <v>456.46780229229427</v>
      </c>
      <c r="BS38" s="177">
        <f>+BR38+'Cash Flow'!BR8+'Cash Flow'!BR39</f>
        <v>553.62783930941725</v>
      </c>
      <c r="BT38" s="177">
        <f>+BS38+'Cash Flow'!BS8+'Cash Flow'!BS39</f>
        <v>663.32672785752038</v>
      </c>
      <c r="BU38" s="83">
        <f>BT38</f>
        <v>663.32672785752038</v>
      </c>
      <c r="BV38" s="253"/>
      <c r="BW38" s="177">
        <f>+BU38+'Cash Flow'!BV8+'Cash Flow'!BV39</f>
        <v>770.96342555519573</v>
      </c>
      <c r="BX38" s="177">
        <f>+BW38+'Cash Flow'!BW8+'Cash Flow'!BW39</f>
        <v>897.60866615234158</v>
      </c>
      <c r="BY38" s="177">
        <f>+BX38+'Cash Flow'!BX8+'Cash Flow'!BX39</f>
        <v>1036.3634009248449</v>
      </c>
      <c r="BZ38" s="177">
        <f>+BY38+'Cash Flow'!BY8+'Cash Flow'!BY39</f>
        <v>1190.2653289427803</v>
      </c>
      <c r="CA38" s="83">
        <f>BZ38</f>
        <v>1190.2653289427803</v>
      </c>
      <c r="CB38" s="253"/>
      <c r="CC38" s="177">
        <f>+CA38+'Cash Flow'!CB8+'Cash Flow'!CB39</f>
        <v>1344.1100080602846</v>
      </c>
      <c r="CD38" s="177">
        <f>+CC38+'Cash Flow'!CC8+'Cash Flow'!CC39</f>
        <v>1520.1321476148737</v>
      </c>
      <c r="CE38" s="177">
        <f>+CD38+'Cash Flow'!CD8+'Cash Flow'!CD39</f>
        <v>1713.6501699998707</v>
      </c>
      <c r="CF38" s="177">
        <f>+CE38+'Cash Flow'!CE8+'Cash Flow'!CE39</f>
        <v>1925.9470088126636</v>
      </c>
      <c r="CG38" s="83">
        <f>CF38</f>
        <v>1925.9470088126636</v>
      </c>
      <c r="CH38" s="42"/>
      <c r="CI38" s="42"/>
    </row>
    <row r="39" spans="1:87" x14ac:dyDescent="0.2">
      <c r="A39" s="6" t="s">
        <v>106</v>
      </c>
      <c r="B39" s="67"/>
      <c r="C39" s="172">
        <f>SUM(C35:C38)</f>
        <v>98.988</v>
      </c>
      <c r="D39" s="172">
        <f>SUM(D35:D38)</f>
        <v>128.32999999999998</v>
      </c>
      <c r="E39" s="172">
        <f>SUM(E35:E38)</f>
        <v>150.70700000000005</v>
      </c>
      <c r="F39" s="172">
        <f>SUM(F35:F38)</f>
        <v>161.154</v>
      </c>
      <c r="G39" s="172">
        <f>SUM(G35:G38)</f>
        <v>161.154</v>
      </c>
      <c r="H39" s="67"/>
      <c r="I39" s="172">
        <f>SUM(I35:I38)</f>
        <v>176.93300000000005</v>
      </c>
      <c r="J39" s="172">
        <f>SUM(J35:J38)</f>
        <v>159.21899999999999</v>
      </c>
      <c r="K39" s="172">
        <f>SUM(K35:K38)</f>
        <v>159.654</v>
      </c>
      <c r="L39" s="172">
        <f>SUM(L35:L38)</f>
        <v>218.54000000000005</v>
      </c>
      <c r="M39" s="172">
        <f>SUM(M35:M38)</f>
        <v>218.54000000000005</v>
      </c>
      <c r="N39" s="67"/>
      <c r="O39" s="172">
        <f>SUM(O35:O38)</f>
        <v>227.69900000000001</v>
      </c>
      <c r="P39" s="172">
        <f>SUM(P35:P38)</f>
        <v>237.77799999999999</v>
      </c>
      <c r="Q39" s="172">
        <f>SUM(Q35:Q38)</f>
        <v>257.67999999999995</v>
      </c>
      <c r="R39" s="172">
        <f>SUM(R35:R38)</f>
        <v>273.03599999999994</v>
      </c>
      <c r="S39" s="172">
        <f>SUM(S35:S38)</f>
        <v>273.03599999999994</v>
      </c>
      <c r="T39" s="67"/>
      <c r="U39" s="172">
        <f>SUM(U35:U38)</f>
        <v>296.35600000000011</v>
      </c>
      <c r="V39" s="172">
        <f>SUM(V35:V38)</f>
        <v>333.95299999999997</v>
      </c>
      <c r="W39" s="172">
        <f>SUM(W35:W38)</f>
        <v>359.40199999999999</v>
      </c>
      <c r="X39" s="172">
        <f>SUM(X35:X38)</f>
        <v>377.74700000000007</v>
      </c>
      <c r="Y39" s="172">
        <f>SUM(Y35:Y38)</f>
        <v>377.74700000000007</v>
      </c>
      <c r="Z39" s="67"/>
      <c r="AA39" s="172">
        <f>SUM(AA35:AA38)</f>
        <v>402.10500000000013</v>
      </c>
      <c r="AB39" s="172">
        <f>SUM(AB35:AB38)</f>
        <v>429.7820000000001</v>
      </c>
      <c r="AC39" s="172">
        <f>SUM(AC35:AC38)</f>
        <v>456.87599999999998</v>
      </c>
      <c r="AD39" s="172">
        <f>SUM(AD35:AD38)</f>
        <v>490.78100000000006</v>
      </c>
      <c r="AE39" s="172">
        <f>SUM(AE35:AE38)</f>
        <v>490.78100000000006</v>
      </c>
      <c r="AF39" s="253"/>
      <c r="AG39" s="172">
        <f>SUM(AG35:AG38)</f>
        <v>523.02200000000005</v>
      </c>
      <c r="AH39" s="172">
        <f>SUM(AH35:AH38)</f>
        <v>586.29500000000007</v>
      </c>
      <c r="AI39" s="172">
        <f>SUM(AI35:AI38)</f>
        <v>602.16500000000008</v>
      </c>
      <c r="AJ39" s="172">
        <f>SUM(AJ35:AJ38)</f>
        <v>581.31700000000001</v>
      </c>
      <c r="AK39" s="172">
        <f>SUM(AK35:AK38)</f>
        <v>581.31700000000001</v>
      </c>
      <c r="AL39" s="253"/>
      <c r="AM39" s="172">
        <f>SUM(AM35:AM38)</f>
        <v>561.11799999999994</v>
      </c>
      <c r="AN39" s="172">
        <f>SUM(AN35:AN38)</f>
        <v>520.19800000000009</v>
      </c>
      <c r="AO39" s="172">
        <f>SUM(AO35:AO38)</f>
        <v>575.68400000000008</v>
      </c>
      <c r="AP39" s="256">
        <f>SUM(AP35:AP38)</f>
        <v>633.97</v>
      </c>
      <c r="AQ39" s="172">
        <f>SUM(AQ35:AQ38)</f>
        <v>633.97</v>
      </c>
      <c r="AR39" s="253"/>
      <c r="AS39" s="256">
        <f>SUM(AS35:AS38)</f>
        <v>696.75300000000004</v>
      </c>
      <c r="AT39" s="256">
        <f>SUM(AT35:AT38)</f>
        <v>675.79600000000005</v>
      </c>
      <c r="AU39" s="256">
        <f>SUM(AU35:AU38)</f>
        <v>722.45600000000002</v>
      </c>
      <c r="AV39" s="256">
        <f>SUM(AV35:AV38)</f>
        <v>752.77100000000007</v>
      </c>
      <c r="AW39" s="172">
        <f>SUM(AW35:AW38)</f>
        <v>752.77100000000007</v>
      </c>
      <c r="AX39" s="253"/>
      <c r="AY39" s="256">
        <f>SUM(AY35:AY38)</f>
        <v>793.53399999999999</v>
      </c>
      <c r="AZ39" s="256">
        <f>SUM(AZ35:AZ38)</f>
        <v>769.80100000000004</v>
      </c>
      <c r="BA39" s="256">
        <f>SUM(BA35:BA38)</f>
        <v>798.25900000000001</v>
      </c>
      <c r="BB39" s="256">
        <f>SUM(BB35:BB38)</f>
        <v>847.92599999999993</v>
      </c>
      <c r="BC39" s="172">
        <f>SUM(BC35:BC38)</f>
        <v>847.92599999999993</v>
      </c>
      <c r="BD39" s="253"/>
      <c r="BE39" s="256">
        <f>SUM(BE35:BE38)</f>
        <v>892.03000000000009</v>
      </c>
      <c r="BF39" s="256">
        <f>SUM(BF35:BF38)</f>
        <v>909.85800000000006</v>
      </c>
      <c r="BG39" s="802">
        <f>SUM(BG35:BG38)</f>
        <v>972.31000000000006</v>
      </c>
      <c r="BH39" s="256">
        <f>SUM(BH35:BH38)</f>
        <v>995.38900000000001</v>
      </c>
      <c r="BI39" s="172">
        <f>SUM(BI35:BI38)</f>
        <v>995.38900000000001</v>
      </c>
      <c r="BJ39" s="253"/>
      <c r="BK39" s="256">
        <f>SUM(BK35:BK38)</f>
        <v>1044.875</v>
      </c>
      <c r="BL39" s="256">
        <f>SUM(BL35:BL38)</f>
        <v>1078.288</v>
      </c>
      <c r="BM39" s="256">
        <f>SUM(BM35:BM38)</f>
        <v>1181.9580000000001</v>
      </c>
      <c r="BN39" s="256">
        <f>SUM(BN35:BN38)</f>
        <v>1150.3699999999999</v>
      </c>
      <c r="BO39" s="172">
        <f>SUM(BO35:BO38)</f>
        <v>1150.3699999999999</v>
      </c>
      <c r="BP39" s="253"/>
      <c r="BQ39" s="256">
        <f>SUM(BQ35:BQ38)</f>
        <v>1197.2987870468514</v>
      </c>
      <c r="BR39" s="256">
        <f>SUM(BR35:BR38)</f>
        <v>1248.0476360193372</v>
      </c>
      <c r="BS39" s="256">
        <f>SUM(BS35:BS38)</f>
        <v>1298.9062053447315</v>
      </c>
      <c r="BT39" s="256">
        <f>SUM(BT35:BT38)</f>
        <v>1365.6523938297451</v>
      </c>
      <c r="BU39" s="172">
        <f>SUM(BU35:BU38)</f>
        <v>1365.6523938297451</v>
      </c>
      <c r="BV39" s="253"/>
      <c r="BW39" s="256">
        <f>SUM(BW35:BW38)</f>
        <v>1422.7415974592523</v>
      </c>
      <c r="BX39" s="256">
        <f>SUM(BX35:BX38)</f>
        <v>1502.5783456996496</v>
      </c>
      <c r="BY39" s="256">
        <f>SUM(BY35:BY38)</f>
        <v>1594.6227967363993</v>
      </c>
      <c r="BZ39" s="256">
        <f>SUM(BZ35:BZ38)</f>
        <v>1706.555794110385</v>
      </c>
      <c r="CA39" s="172">
        <f>SUM(CA35:CA38)</f>
        <v>1706.555794110385</v>
      </c>
      <c r="CB39" s="253"/>
      <c r="CC39" s="256">
        <f>SUM(CC35:CC38)</f>
        <v>1802.7199798464276</v>
      </c>
      <c r="CD39" s="256">
        <f>SUM(CD35:CD38)</f>
        <v>1925.5963478565147</v>
      </c>
      <c r="CE39" s="256">
        <f>SUM(CE35:CE38)</f>
        <v>2066.1275685399478</v>
      </c>
      <c r="CF39" s="256">
        <f>SUM(CF35:CF38)</f>
        <v>2231.7649084791578</v>
      </c>
      <c r="CG39" s="172">
        <f>SUM(CG35:CG38)</f>
        <v>2231.7649084791578</v>
      </c>
      <c r="CH39" s="42"/>
      <c r="CI39" s="42"/>
    </row>
    <row r="40" spans="1:87" ht="13.5" thickBot="1" x14ac:dyDescent="0.25">
      <c r="A40" s="6" t="s">
        <v>228</v>
      </c>
      <c r="B40" s="70"/>
      <c r="C40" s="171">
        <f>+C39+C32</f>
        <v>157.03899999999999</v>
      </c>
      <c r="D40" s="171">
        <f>+D39+D32</f>
        <v>182.35499999999999</v>
      </c>
      <c r="E40" s="171">
        <f>+E39+E32</f>
        <v>206.89400000000006</v>
      </c>
      <c r="F40" s="171">
        <f>+F39+F32</f>
        <v>222.761</v>
      </c>
      <c r="G40" s="171">
        <f>+G39+G32</f>
        <v>222.761</v>
      </c>
      <c r="H40" s="70"/>
      <c r="I40" s="171">
        <f>+I39+I32</f>
        <v>231.05000000000004</v>
      </c>
      <c r="J40" s="171">
        <f>+J39+J32</f>
        <v>217.16899999999998</v>
      </c>
      <c r="K40" s="171">
        <f>+K39+K32</f>
        <v>216.52</v>
      </c>
      <c r="L40" s="171">
        <f>+L39+L32</f>
        <v>279.34100000000007</v>
      </c>
      <c r="M40" s="171">
        <f>+M39+M32</f>
        <v>279.34100000000007</v>
      </c>
      <c r="N40" s="70"/>
      <c r="O40" s="171">
        <f>+O39+O32</f>
        <v>289.27699999999999</v>
      </c>
      <c r="P40" s="171">
        <f>+P39+P32</f>
        <v>307.79399999999998</v>
      </c>
      <c r="Q40" s="171">
        <f>+Q39+Q32</f>
        <v>330.78399999999993</v>
      </c>
      <c r="R40" s="171">
        <f>+R39+R32</f>
        <v>355.23999999999995</v>
      </c>
      <c r="S40" s="171">
        <f>+S39+S32</f>
        <v>355.23999999999995</v>
      </c>
      <c r="T40" s="70"/>
      <c r="U40" s="171">
        <f>+U39+U32</f>
        <v>373.55200000000013</v>
      </c>
      <c r="V40" s="171">
        <f>+V39+V32</f>
        <v>408.69200000000001</v>
      </c>
      <c r="W40" s="171">
        <f>+W39+W32</f>
        <v>445.23500000000001</v>
      </c>
      <c r="X40" s="171">
        <f>+X39+X32</f>
        <v>476.94300000000004</v>
      </c>
      <c r="Y40" s="171">
        <f>+Y39+Y32</f>
        <v>476.94300000000004</v>
      </c>
      <c r="Z40" s="70"/>
      <c r="AA40" s="171">
        <f>+AA39+AA32</f>
        <v>496.98200000000014</v>
      </c>
      <c r="AB40" s="171">
        <f>+AB39+AB32</f>
        <v>547.04900000000009</v>
      </c>
      <c r="AC40" s="171">
        <f>+AC39+AC32</f>
        <v>585.91999999999996</v>
      </c>
      <c r="AD40" s="171">
        <f>+AD39+AD32</f>
        <v>649.26400000000012</v>
      </c>
      <c r="AE40" s="171">
        <f>+AE39+AE32</f>
        <v>649.26400000000012</v>
      </c>
      <c r="AF40" s="109"/>
      <c r="AG40" s="171">
        <f>+AG39+AG32</f>
        <v>670.43600000000004</v>
      </c>
      <c r="AH40" s="171">
        <f>+AH39+AH32</f>
        <v>744.16300000000001</v>
      </c>
      <c r="AI40" s="171">
        <f>+AI39+AI32</f>
        <v>768.1640000000001</v>
      </c>
      <c r="AJ40" s="171">
        <f>+AJ39+AJ32</f>
        <v>756.31200000000001</v>
      </c>
      <c r="AK40" s="171">
        <f>+AK39+AK32</f>
        <v>756.31200000000001</v>
      </c>
      <c r="AL40" s="109"/>
      <c r="AM40" s="171">
        <f>+AM39+AM32</f>
        <v>726.24499999999989</v>
      </c>
      <c r="AN40" s="171">
        <f>+AN39+AN32</f>
        <v>703.89400000000012</v>
      </c>
      <c r="AO40" s="171">
        <f>+AO39+AO32</f>
        <v>759.20600000000013</v>
      </c>
      <c r="AP40" s="284">
        <f>+AP39+AP32</f>
        <v>832.14700000000005</v>
      </c>
      <c r="AQ40" s="171">
        <f>+AQ39+AQ32</f>
        <v>832.14700000000005</v>
      </c>
      <c r="AR40" s="109"/>
      <c r="AS40" s="284">
        <f>+AS39+AS32</f>
        <v>885.64100000000008</v>
      </c>
      <c r="AT40" s="284">
        <f>+AT39+AT32</f>
        <v>885.43299999999999</v>
      </c>
      <c r="AU40" s="284">
        <f>+AU39+AU32</f>
        <v>948.28899999999999</v>
      </c>
      <c r="AV40" s="284">
        <f>+AV39+AV32</f>
        <v>987.99700000000007</v>
      </c>
      <c r="AW40" s="171">
        <f>+AW39+AW32</f>
        <v>987.99700000000007</v>
      </c>
      <c r="AX40" s="109"/>
      <c r="AY40" s="284">
        <f>+AY39+AY32</f>
        <v>1028.405</v>
      </c>
      <c r="AZ40" s="284">
        <f>+AZ39+AZ32</f>
        <v>1028.5810000000001</v>
      </c>
      <c r="BA40" s="284">
        <f>+BA39+BA32</f>
        <v>1079.5619999999999</v>
      </c>
      <c r="BB40" s="284">
        <f>+BB39+BB32</f>
        <v>1158.633</v>
      </c>
      <c r="BC40" s="171">
        <f>+BC39+BC32</f>
        <v>1158.633</v>
      </c>
      <c r="BD40" s="109"/>
      <c r="BE40" s="284">
        <f>+BE39+BE32</f>
        <v>1207.56</v>
      </c>
      <c r="BF40" s="284">
        <f>+BF39+BF32</f>
        <v>1251.2730000000001</v>
      </c>
      <c r="BG40" s="284">
        <f>+BG39+BG32</f>
        <v>1358.893</v>
      </c>
      <c r="BH40" s="284">
        <f>+BH39+BH32</f>
        <v>1396.1510000000001</v>
      </c>
      <c r="BI40" s="171">
        <f>+BI39+BI32</f>
        <v>1396.1510000000001</v>
      </c>
      <c r="BJ40" s="109"/>
      <c r="BK40" s="284">
        <f>+BK39+BK32</f>
        <v>1459.2930000000001</v>
      </c>
      <c r="BL40" s="284">
        <f>+BL39+BL32</f>
        <v>1551.1869999999999</v>
      </c>
      <c r="BM40" s="468">
        <f>+BM39+BM32</f>
        <v>1697.623</v>
      </c>
      <c r="BN40" s="284">
        <f>+BN39+BN32</f>
        <v>1777.8559999999998</v>
      </c>
      <c r="BO40" s="171">
        <f>+BO39+BO32</f>
        <v>1777.8559999999998</v>
      </c>
      <c r="BP40" s="109"/>
      <c r="BQ40" s="468">
        <f>+BQ39+BQ32</f>
        <v>1847.5345123969632</v>
      </c>
      <c r="BR40" s="468">
        <f>+BR39+BR32</f>
        <v>1954.6518374967427</v>
      </c>
      <c r="BS40" s="468">
        <f>+BS39+BS32</f>
        <v>2005.0910581941716</v>
      </c>
      <c r="BT40" s="468">
        <f>+BT39+BT32</f>
        <v>2105.2271825771527</v>
      </c>
      <c r="BU40" s="171">
        <f>+BU39+BU32</f>
        <v>2105.2271825771527</v>
      </c>
      <c r="BV40" s="109"/>
      <c r="BW40" s="468">
        <f>+BW39+BW32</f>
        <v>2177.9517556337005</v>
      </c>
      <c r="BX40" s="468">
        <f>+BX39+BX32</f>
        <v>2344.67694380069</v>
      </c>
      <c r="BY40" s="468">
        <f>+BY39+BY32</f>
        <v>2429.7429233920207</v>
      </c>
      <c r="BZ40" s="468">
        <f>+BZ39+BZ32</f>
        <v>2585.099767351187</v>
      </c>
      <c r="CA40" s="171">
        <f>+CA39+CA32</f>
        <v>2585.099767351187</v>
      </c>
      <c r="CB40" s="109"/>
      <c r="CC40" s="468">
        <f>+CC39+CC32</f>
        <v>2662.8518254397795</v>
      </c>
      <c r="CD40" s="468">
        <f>+CD39+CD32</f>
        <v>2878.4741282729228</v>
      </c>
      <c r="CE40" s="468">
        <f>+CE39+CE32</f>
        <v>3008.6303470021044</v>
      </c>
      <c r="CF40" s="468">
        <f>+CF39+CF32</f>
        <v>3220.8441918113303</v>
      </c>
      <c r="CG40" s="171">
        <f>+CG39+CG32</f>
        <v>3220.8441918113303</v>
      </c>
      <c r="CH40" s="42"/>
      <c r="CI40" s="42"/>
    </row>
    <row r="41" spans="1:87" ht="13.5" thickTop="1" x14ac:dyDescent="0.2">
      <c r="B41" s="70"/>
      <c r="H41" s="70"/>
      <c r="N41" s="70"/>
      <c r="O41" s="39"/>
      <c r="P41" s="39"/>
      <c r="Q41" s="39"/>
      <c r="R41" s="39"/>
      <c r="T41" s="70"/>
      <c r="U41" s="39"/>
      <c r="V41" s="39"/>
      <c r="W41" s="39"/>
      <c r="X41" s="39"/>
      <c r="Z41" s="70"/>
      <c r="AA41" s="39"/>
      <c r="AB41" s="39"/>
      <c r="AC41" s="39"/>
      <c r="AD41" s="39"/>
      <c r="AE41" s="39"/>
      <c r="AF41" s="70"/>
      <c r="AG41" s="340"/>
      <c r="AH41" s="39"/>
      <c r="AI41" s="39"/>
      <c r="AJ41" s="39"/>
      <c r="AK41" s="39"/>
      <c r="AL41" s="70"/>
      <c r="AM41" s="39"/>
      <c r="AN41" s="39"/>
      <c r="AO41" s="39"/>
      <c r="AP41" s="39"/>
      <c r="AQ41" s="39"/>
      <c r="AR41" s="70"/>
      <c r="AS41" s="39"/>
      <c r="AT41" s="39"/>
      <c r="AU41" s="39"/>
      <c r="AV41" s="39"/>
      <c r="AW41" s="39"/>
      <c r="AX41" s="70"/>
      <c r="AY41" s="39"/>
      <c r="AZ41" s="39"/>
      <c r="BA41" s="39"/>
      <c r="BB41" s="39"/>
      <c r="BC41" s="39"/>
      <c r="BD41" s="70"/>
      <c r="BE41" s="39"/>
      <c r="BF41" s="39"/>
      <c r="BG41" s="39"/>
      <c r="BH41" s="340"/>
      <c r="BI41" s="39"/>
      <c r="BJ41" s="70"/>
      <c r="BK41" s="39"/>
      <c r="BL41" s="39"/>
      <c r="BM41" s="39"/>
      <c r="BN41" s="340"/>
      <c r="BO41" s="39"/>
      <c r="BP41" s="70"/>
      <c r="BQ41" s="39"/>
      <c r="BR41" s="39"/>
      <c r="BS41" s="39"/>
      <c r="BT41" s="39"/>
      <c r="BU41" s="39"/>
      <c r="BV41" s="70"/>
      <c r="BW41" s="39"/>
      <c r="BX41" s="39"/>
      <c r="BY41" s="39"/>
      <c r="BZ41" s="39"/>
      <c r="CA41" s="39"/>
      <c r="CB41" s="70"/>
      <c r="CC41" s="39"/>
      <c r="CD41" s="39"/>
      <c r="CE41" s="39"/>
      <c r="CF41" s="39"/>
      <c r="CG41" s="39"/>
      <c r="CH41" s="42"/>
      <c r="CI41" s="42"/>
    </row>
    <row r="42" spans="1:87" ht="11.25" hidden="1" customHeight="1" outlineLevel="1" x14ac:dyDescent="0.2">
      <c r="A42" s="220" t="s">
        <v>229</v>
      </c>
      <c r="B42" s="222"/>
      <c r="C42" s="221">
        <f>C40-C22</f>
        <v>0</v>
      </c>
      <c r="D42" s="221">
        <f>D40-D22</f>
        <v>0</v>
      </c>
      <c r="E42" s="221">
        <f>E40-E22</f>
        <v>0</v>
      </c>
      <c r="F42" s="221">
        <f>F40-F22</f>
        <v>0</v>
      </c>
      <c r="G42" s="221">
        <f>G40-G22</f>
        <v>0</v>
      </c>
      <c r="H42" s="222"/>
      <c r="I42" s="221">
        <f>I40-I22</f>
        <v>0</v>
      </c>
      <c r="J42" s="221">
        <f>J40-J22</f>
        <v>0</v>
      </c>
      <c r="K42" s="221">
        <f>K40-K22</f>
        <v>0</v>
      </c>
      <c r="L42" s="221">
        <f>L40-L22</f>
        <v>0</v>
      </c>
      <c r="M42" s="221">
        <f>M40-M22</f>
        <v>0</v>
      </c>
      <c r="N42" s="222"/>
      <c r="O42" s="221">
        <f>O40-O22</f>
        <v>0</v>
      </c>
      <c r="P42" s="221">
        <f>P40-P22</f>
        <v>0</v>
      </c>
      <c r="Q42" s="221">
        <f>Q40-Q22</f>
        <v>0</v>
      </c>
      <c r="R42" s="221">
        <f>R40-R22</f>
        <v>0</v>
      </c>
      <c r="S42" s="221">
        <f>S40-S22</f>
        <v>0</v>
      </c>
      <c r="T42" s="222"/>
      <c r="U42" s="221">
        <f>U40-U22</f>
        <v>0</v>
      </c>
      <c r="V42" s="221">
        <f>V40-V22</f>
        <v>0</v>
      </c>
      <c r="W42" s="221">
        <f>W40-W22</f>
        <v>0</v>
      </c>
      <c r="X42" s="221">
        <f>X40-X22</f>
        <v>0</v>
      </c>
      <c r="Y42" s="221">
        <f>Y40-Y22</f>
        <v>0</v>
      </c>
      <c r="Z42" s="222"/>
      <c r="AA42" s="221">
        <f>AA40-AA22</f>
        <v>0</v>
      </c>
      <c r="AB42" s="221">
        <f>AB40-AB22</f>
        <v>0</v>
      </c>
      <c r="AC42" s="221">
        <f>AC40-AC22</f>
        <v>0</v>
      </c>
      <c r="AD42" s="221">
        <f>AD40-AD22</f>
        <v>0</v>
      </c>
      <c r="AE42" s="221">
        <f>AE40-AE22</f>
        <v>0</v>
      </c>
      <c r="AF42" s="223"/>
      <c r="AG42" s="221">
        <f>AG40-AG22</f>
        <v>0</v>
      </c>
      <c r="AH42" s="221">
        <f>AH40-AH22</f>
        <v>0</v>
      </c>
      <c r="AI42" s="221">
        <f>AI40-AI22</f>
        <v>0</v>
      </c>
      <c r="AJ42" s="221">
        <f>AJ40-AJ22</f>
        <v>0</v>
      </c>
      <c r="AK42" s="221">
        <f>AK40-AK22</f>
        <v>0</v>
      </c>
      <c r="AL42" s="223"/>
      <c r="AM42" s="221">
        <f>AM40-AM22</f>
        <v>0</v>
      </c>
      <c r="AN42" s="221">
        <f>AN40-AN22</f>
        <v>0</v>
      </c>
      <c r="AO42" s="462">
        <f>AO40-AO22</f>
        <v>0</v>
      </c>
      <c r="AP42" s="462">
        <f>AP40-AP22</f>
        <v>0</v>
      </c>
      <c r="AQ42" s="462">
        <f>AQ40-AQ22</f>
        <v>0</v>
      </c>
      <c r="AR42" s="223"/>
      <c r="AS42" s="498">
        <f>AS40-AS22</f>
        <v>0</v>
      </c>
      <c r="AT42" s="498">
        <f>AT40-AT22</f>
        <v>0</v>
      </c>
      <c r="AU42" s="498">
        <f>AU40-AU22</f>
        <v>0</v>
      </c>
      <c r="AV42" s="462">
        <f>AV40-AV22</f>
        <v>0</v>
      </c>
      <c r="AW42" s="462">
        <f>AW40-AW22</f>
        <v>0</v>
      </c>
      <c r="AX42" s="463"/>
      <c r="AY42" s="462">
        <f>AY40-AY22</f>
        <v>0</v>
      </c>
      <c r="AZ42" s="462">
        <f>AZ40-AZ22</f>
        <v>0</v>
      </c>
      <c r="BA42" s="462">
        <f>BA40-BA22</f>
        <v>0</v>
      </c>
      <c r="BB42" s="462">
        <f>BB40-BB22</f>
        <v>0</v>
      </c>
      <c r="BC42" s="462">
        <f>BC40-BC22</f>
        <v>0</v>
      </c>
      <c r="BD42" s="463"/>
      <c r="BE42" s="462">
        <f>BE40-BE22</f>
        <v>0</v>
      </c>
      <c r="BF42" s="462">
        <f>BF40-BF22</f>
        <v>0</v>
      </c>
      <c r="BG42" s="462">
        <f>BG40-BG22</f>
        <v>0</v>
      </c>
      <c r="BH42" s="462">
        <f>BH40-BH22</f>
        <v>0</v>
      </c>
      <c r="BI42" s="462">
        <f>BI40-BI22</f>
        <v>0</v>
      </c>
      <c r="BJ42" s="463"/>
      <c r="BK42" s="462">
        <f>BK40-BK22</f>
        <v>0</v>
      </c>
      <c r="BL42" s="462">
        <f>BL40-BL22</f>
        <v>0</v>
      </c>
      <c r="BM42" s="462">
        <f>BM40-BM22</f>
        <v>0</v>
      </c>
      <c r="BN42" s="462">
        <f>BN40-BN22</f>
        <v>0</v>
      </c>
      <c r="BO42" s="462">
        <f>BO40-BO22</f>
        <v>0</v>
      </c>
      <c r="BP42" s="463"/>
      <c r="BQ42" s="462">
        <f>BQ40-BQ22</f>
        <v>0</v>
      </c>
      <c r="BR42" s="462">
        <f>BR40-BR22</f>
        <v>0</v>
      </c>
      <c r="BS42" s="462">
        <f>BS40-BS22</f>
        <v>0</v>
      </c>
      <c r="BT42" s="462">
        <f>BT40-BT22</f>
        <v>0</v>
      </c>
      <c r="BU42" s="462">
        <f>BU40-BU22</f>
        <v>0</v>
      </c>
      <c r="BV42" s="463"/>
      <c r="BW42" s="462">
        <f>BW40-BW22</f>
        <v>0</v>
      </c>
      <c r="BX42" s="462">
        <f>BX40-BX22</f>
        <v>0</v>
      </c>
      <c r="BY42" s="462">
        <f>BY40-BY22</f>
        <v>0</v>
      </c>
      <c r="BZ42" s="462">
        <f>BZ40-BZ22</f>
        <v>0</v>
      </c>
      <c r="CA42" s="462">
        <f>CA40-CA22</f>
        <v>0</v>
      </c>
      <c r="CB42" s="463"/>
      <c r="CC42" s="462">
        <f>CC40-CC22</f>
        <v>0</v>
      </c>
      <c r="CD42" s="462">
        <f>CD40-CD22</f>
        <v>0</v>
      </c>
      <c r="CE42" s="462">
        <f>CE40-CE22</f>
        <v>0</v>
      </c>
      <c r="CF42" s="462">
        <f>CF40-CF22</f>
        <v>0</v>
      </c>
      <c r="CG42" s="462">
        <f>CG40-CG22</f>
        <v>0</v>
      </c>
      <c r="CH42" s="218"/>
      <c r="CI42" s="218"/>
    </row>
    <row r="43" spans="1:87" hidden="1" outlineLevel="1" x14ac:dyDescent="0.2">
      <c r="B43" s="70"/>
      <c r="H43" s="70"/>
      <c r="N43" s="70"/>
      <c r="T43" s="70"/>
      <c r="Z43" s="70"/>
      <c r="AE43" s="42"/>
      <c r="AF43" s="91"/>
      <c r="AK43" s="42"/>
      <c r="AL43" s="91"/>
      <c r="AM43" s="458"/>
      <c r="AN43" s="458"/>
      <c r="AQ43" s="42"/>
      <c r="AR43" s="91"/>
      <c r="AS43" s="322"/>
      <c r="AW43" s="42"/>
      <c r="AX43" s="91"/>
      <c r="AY43" s="322"/>
      <c r="BC43" s="42"/>
      <c r="BD43" s="91"/>
      <c r="BE43" s="322"/>
      <c r="BI43" s="42"/>
      <c r="BJ43" s="91"/>
      <c r="BK43" s="322"/>
      <c r="BL43" s="322"/>
      <c r="BO43" s="42"/>
      <c r="BP43" s="91"/>
      <c r="BQ43" s="322"/>
      <c r="BU43" s="42"/>
      <c r="BV43" s="91"/>
      <c r="BW43" s="322"/>
      <c r="CA43" s="42"/>
      <c r="CB43" s="91"/>
      <c r="CC43" s="322"/>
      <c r="CG43" s="42"/>
      <c r="CH43" s="42"/>
      <c r="CI43" s="42"/>
    </row>
    <row r="44" spans="1:87" hidden="1" outlineLevel="1" x14ac:dyDescent="0.2">
      <c r="A44" s="16" t="s">
        <v>230</v>
      </c>
      <c r="B44" s="70"/>
      <c r="C44" s="73"/>
      <c r="D44" s="73"/>
      <c r="E44" s="73"/>
      <c r="F44" s="73"/>
      <c r="G44" s="73"/>
      <c r="H44" s="70"/>
      <c r="I44" s="73"/>
      <c r="J44" s="73"/>
      <c r="K44" s="73"/>
      <c r="L44" s="73"/>
      <c r="M44" s="73"/>
      <c r="N44" s="70"/>
      <c r="O44" s="73"/>
      <c r="P44" s="73"/>
      <c r="Q44" s="73"/>
      <c r="R44" s="73"/>
      <c r="S44" s="73"/>
      <c r="T44" s="70"/>
      <c r="U44" s="73"/>
      <c r="V44" s="73"/>
      <c r="W44" s="73"/>
      <c r="X44" s="73"/>
      <c r="Y44" s="73"/>
      <c r="Z44" s="70"/>
      <c r="AA44" s="73"/>
      <c r="AB44" s="73"/>
      <c r="AC44" s="73"/>
      <c r="AD44" s="73"/>
      <c r="AE44" s="73"/>
      <c r="AF44" s="109"/>
      <c r="AG44" s="73"/>
      <c r="AH44" s="73"/>
      <c r="AI44" s="73"/>
      <c r="AJ44" s="73"/>
      <c r="AK44" s="73"/>
      <c r="AL44" s="109"/>
      <c r="AM44" s="73"/>
      <c r="AN44" s="73"/>
      <c r="AO44" s="73"/>
      <c r="AP44" s="73"/>
      <c r="AQ44" s="73"/>
      <c r="AR44" s="109"/>
      <c r="AS44" s="73"/>
      <c r="AT44" s="73"/>
      <c r="AU44" s="73"/>
      <c r="AV44" s="73"/>
      <c r="AW44" s="73"/>
      <c r="AX44" s="109"/>
      <c r="AY44" s="73"/>
      <c r="AZ44" s="73"/>
      <c r="BA44" s="73"/>
      <c r="BB44" s="73"/>
      <c r="BC44" s="73"/>
      <c r="BD44" s="109"/>
      <c r="BE44" s="73"/>
      <c r="BF44" s="73"/>
      <c r="BG44" s="73"/>
      <c r="BH44" s="73"/>
      <c r="BI44" s="73"/>
      <c r="BJ44" s="109"/>
      <c r="BK44" s="73"/>
      <c r="BL44" s="73"/>
      <c r="BM44" s="73"/>
      <c r="BN44" s="73"/>
      <c r="BO44" s="73"/>
      <c r="BP44" s="109"/>
      <c r="BQ44" s="73"/>
      <c r="BR44" s="73"/>
      <c r="BS44" s="73"/>
      <c r="BT44" s="73"/>
      <c r="BU44" s="73"/>
      <c r="BV44" s="109"/>
      <c r="BW44" s="73"/>
      <c r="BX44" s="73"/>
      <c r="BY44" s="73"/>
      <c r="BZ44" s="73"/>
      <c r="CA44" s="73"/>
      <c r="CB44" s="109"/>
      <c r="CC44" s="73"/>
      <c r="CD44" s="73"/>
      <c r="CE44" s="73"/>
      <c r="CF44" s="73"/>
      <c r="CG44" s="73"/>
      <c r="CH44" s="79"/>
      <c r="CI44" s="79"/>
    </row>
    <row r="45" spans="1:87" hidden="1" outlineLevel="1" x14ac:dyDescent="0.2">
      <c r="A45" s="2" t="s">
        <v>231</v>
      </c>
      <c r="B45" s="282"/>
      <c r="C45" s="300">
        <v>0</v>
      </c>
      <c r="D45" s="300">
        <v>0</v>
      </c>
      <c r="E45" s="300">
        <v>0</v>
      </c>
      <c r="F45" s="300">
        <v>0</v>
      </c>
      <c r="G45" s="300">
        <v>0</v>
      </c>
      <c r="H45" s="282"/>
      <c r="I45" s="300">
        <v>0</v>
      </c>
      <c r="J45" s="300">
        <v>0</v>
      </c>
      <c r="K45" s="300">
        <v>0</v>
      </c>
      <c r="L45" s="300">
        <v>0</v>
      </c>
      <c r="M45" s="300">
        <v>0</v>
      </c>
      <c r="N45" s="282"/>
      <c r="O45" s="300">
        <v>0</v>
      </c>
      <c r="P45" s="300">
        <v>0</v>
      </c>
      <c r="Q45" s="300">
        <v>0</v>
      </c>
      <c r="R45" s="300">
        <v>0</v>
      </c>
      <c r="S45" s="300">
        <v>0</v>
      </c>
      <c r="T45" s="282"/>
      <c r="U45" s="300">
        <v>0</v>
      </c>
      <c r="V45" s="300">
        <v>0</v>
      </c>
      <c r="W45" s="300">
        <v>0</v>
      </c>
      <c r="X45" s="300">
        <v>0</v>
      </c>
      <c r="Y45" s="300">
        <v>0</v>
      </c>
      <c r="Z45" s="282"/>
      <c r="AA45" s="300">
        <v>0</v>
      </c>
      <c r="AB45" s="300">
        <v>0</v>
      </c>
      <c r="AC45" s="300">
        <v>0</v>
      </c>
      <c r="AD45" s="300">
        <v>0</v>
      </c>
      <c r="AE45" s="300">
        <v>0</v>
      </c>
      <c r="AF45" s="282"/>
      <c r="AG45" s="300">
        <v>0</v>
      </c>
      <c r="AH45" s="300">
        <v>0</v>
      </c>
      <c r="AI45" s="300">
        <v>0</v>
      </c>
      <c r="AJ45" s="300">
        <v>0</v>
      </c>
      <c r="AK45" s="300">
        <v>0</v>
      </c>
      <c r="AL45" s="282"/>
      <c r="AM45" s="300">
        <v>0</v>
      </c>
      <c r="AN45" s="300">
        <v>0</v>
      </c>
      <c r="AO45" s="300">
        <v>0</v>
      </c>
      <c r="AP45" s="300">
        <v>0</v>
      </c>
      <c r="AQ45" s="300">
        <v>0</v>
      </c>
      <c r="AR45" s="282"/>
      <c r="AS45" s="300">
        <v>0</v>
      </c>
      <c r="AT45" s="300">
        <v>0</v>
      </c>
      <c r="AU45" s="300">
        <v>0</v>
      </c>
      <c r="AV45" s="300">
        <v>0</v>
      </c>
      <c r="AW45" s="300">
        <v>0</v>
      </c>
      <c r="AX45" s="282"/>
      <c r="AY45" s="300">
        <v>0</v>
      </c>
      <c r="AZ45" s="300">
        <v>0</v>
      </c>
      <c r="BA45" s="300">
        <v>0</v>
      </c>
      <c r="BB45" s="300">
        <v>0</v>
      </c>
      <c r="BC45" s="300">
        <v>0</v>
      </c>
      <c r="BD45" s="282"/>
      <c r="BE45" s="300">
        <v>0</v>
      </c>
      <c r="BF45" s="300">
        <v>0</v>
      </c>
      <c r="BG45" s="300">
        <v>0</v>
      </c>
      <c r="BH45" s="300">
        <v>0</v>
      </c>
      <c r="BI45" s="300">
        <v>0</v>
      </c>
      <c r="BJ45" s="282"/>
      <c r="BK45" s="300">
        <v>0</v>
      </c>
      <c r="BL45" s="300">
        <v>0</v>
      </c>
      <c r="BM45" s="300">
        <v>0</v>
      </c>
      <c r="BN45" s="300">
        <v>0</v>
      </c>
      <c r="BO45" s="300">
        <v>0</v>
      </c>
      <c r="BP45" s="282"/>
      <c r="BQ45" s="300">
        <v>0</v>
      </c>
      <c r="BR45" s="300">
        <v>0</v>
      </c>
      <c r="BS45" s="300">
        <v>0</v>
      </c>
      <c r="BT45" s="300">
        <v>0</v>
      </c>
      <c r="BU45" s="300">
        <v>0</v>
      </c>
      <c r="BV45" s="282"/>
      <c r="BW45" s="300">
        <v>0</v>
      </c>
      <c r="BX45" s="300">
        <v>0</v>
      </c>
      <c r="BY45" s="300">
        <v>0</v>
      </c>
      <c r="BZ45" s="300">
        <v>0</v>
      </c>
      <c r="CA45" s="300">
        <v>0</v>
      </c>
      <c r="CB45" s="282"/>
      <c r="CC45" s="300">
        <v>0</v>
      </c>
      <c r="CD45" s="300">
        <v>0</v>
      </c>
      <c r="CE45" s="300">
        <v>0</v>
      </c>
      <c r="CF45" s="300">
        <v>0</v>
      </c>
      <c r="CG45" s="300">
        <v>0</v>
      </c>
      <c r="CH45" s="79"/>
      <c r="CI45" s="79"/>
    </row>
    <row r="46" spans="1:87" hidden="1" outlineLevel="1" x14ac:dyDescent="0.2">
      <c r="A46" s="2" t="s">
        <v>181</v>
      </c>
      <c r="B46" s="109"/>
      <c r="C46" s="173">
        <f>C45-C8-C9-C10-C16</f>
        <v>-65.688000000000002</v>
      </c>
      <c r="D46" s="173">
        <f>D45-D8-D9-D10-D16</f>
        <v>-82.015999999999991</v>
      </c>
      <c r="E46" s="173">
        <f>E45-E8-E9-E10-E16</f>
        <v>-110.011</v>
      </c>
      <c r="F46" s="173">
        <f>F45-F8-F9-F10-F16</f>
        <v>-127.91099999999999</v>
      </c>
      <c r="G46" s="173">
        <f>G45-G8-G9-G10-G16</f>
        <v>-127.91099999999999</v>
      </c>
      <c r="H46" s="109"/>
      <c r="I46" s="173">
        <f>I45-I8-I9-I10-I16</f>
        <v>-132.36299999999997</v>
      </c>
      <c r="J46" s="173">
        <f>J45-J8-J9-J10-J16</f>
        <v>-110.06199999999997</v>
      </c>
      <c r="K46" s="173">
        <f>K45-K8-K9-K10-K16</f>
        <v>-114.255</v>
      </c>
      <c r="L46" s="173">
        <f>L45-L8-L9-L10-L16</f>
        <v>-110.166</v>
      </c>
      <c r="M46" s="173">
        <f>M45-M8-M9-M10-M16</f>
        <v>-110.166</v>
      </c>
      <c r="N46" s="109"/>
      <c r="O46" s="173">
        <f>O45-O8-O9-O10-O16</f>
        <v>-124.68399999999995</v>
      </c>
      <c r="P46" s="173">
        <f>P45-P8-P9-P10-P16</f>
        <v>-143.07699999999997</v>
      </c>
      <c r="Q46" s="173">
        <f>Q45-Q8-Q9-Q10-Q16</f>
        <v>-154.93999999999994</v>
      </c>
      <c r="R46" s="173">
        <f>R45-R8-R9-R10-R16</f>
        <v>-186.46499999999992</v>
      </c>
      <c r="S46" s="173">
        <f>S45-S8-S9-S10-S16</f>
        <v>-186.46499999999992</v>
      </c>
      <c r="T46" s="109"/>
      <c r="U46" s="173">
        <f>U45-U8-U9-U10-U16</f>
        <v>-205.39799999999991</v>
      </c>
      <c r="V46" s="173">
        <f>V45-V8-V9-V10-V16</f>
        <v>-244.79899999999992</v>
      </c>
      <c r="W46" s="173">
        <f>W45-W8-W9-W10-W16</f>
        <v>-280.14899999999994</v>
      </c>
      <c r="X46" s="173">
        <f>X45-X8-X9-X10-X16</f>
        <v>-312.36799999999988</v>
      </c>
      <c r="Y46" s="173">
        <f>Y45-Y8-Y9-Y10-Y16</f>
        <v>-312.36799999999988</v>
      </c>
      <c r="Z46" s="109"/>
      <c r="AA46" s="173">
        <f>AA45-AA8-AA9-AA10-AA16</f>
        <v>-330.54199999999986</v>
      </c>
      <c r="AB46" s="173">
        <f>AB45-AB8-AB9-AB10-AB16</f>
        <v>-179.47399999999999</v>
      </c>
      <c r="AC46" s="173">
        <f>AC45-AC8-AC9-AC10-AC16</f>
        <v>-211.09100000000001</v>
      </c>
      <c r="AD46" s="173">
        <f>AD45-AD8-AD9-AD10-AD16</f>
        <v>-252.09600000000003</v>
      </c>
      <c r="AE46" s="173">
        <f>AE45-AE8-AE9-AE10-AE16</f>
        <v>-252.09600000000003</v>
      </c>
      <c r="AF46" s="109"/>
      <c r="AG46" s="173">
        <f>AG45-AG8-AG9-AG10-AG16</f>
        <v>-261.20599999999996</v>
      </c>
      <c r="AH46" s="173">
        <f>AH45-AH8-AH9-AH10-AH16</f>
        <v>-305.20400000000001</v>
      </c>
      <c r="AI46" s="173">
        <f>AI45-AI8-AI9-AI10-AI16</f>
        <v>-350.41500000000002</v>
      </c>
      <c r="AJ46" s="173">
        <f>AJ45-AJ8-AJ9-AJ10-AJ16</f>
        <v>-357.69800000000004</v>
      </c>
      <c r="AK46" s="173">
        <f>AK45-AK8-AK9-AK10-AK16</f>
        <v>-357.69800000000004</v>
      </c>
      <c r="AL46" s="109"/>
      <c r="AM46" s="173">
        <f>AM45-AM8-AM9-AM10-AM16</f>
        <v>-377.90800000000002</v>
      </c>
      <c r="AN46" s="173">
        <f>AN45-AN8-AN9-AN10-AN16</f>
        <v>-341.83100000000002</v>
      </c>
      <c r="AO46" s="173">
        <f>AO45-AO8-AO9-AO10-AO16</f>
        <v>-400.41500000000002</v>
      </c>
      <c r="AP46" s="173">
        <f>AP45-AP8-AP9-AP10-AP16</f>
        <v>-471.971</v>
      </c>
      <c r="AQ46" s="173">
        <f>AQ45-AQ8-AQ9-AQ10-AQ16</f>
        <v>-471.971</v>
      </c>
      <c r="AR46" s="109"/>
      <c r="AS46" s="173">
        <f>AS45-AS8-AS9-AS10-AS16</f>
        <v>-505.37199999999996</v>
      </c>
      <c r="AT46" s="173">
        <f>AT45-AT8-AT9-AT10-AT16</f>
        <v>-502.678</v>
      </c>
      <c r="AU46" s="173">
        <f>AU45-AU8-AU9-AU10-AU16</f>
        <v>-561.51299999999992</v>
      </c>
      <c r="AV46" s="173">
        <f>AV45-AV8-AV9-AV10-AV16</f>
        <v>-602.54999999999995</v>
      </c>
      <c r="AW46" s="173">
        <f>AW45-AW8-AW9-AW10-AW16</f>
        <v>-602.54999999999995</v>
      </c>
      <c r="AX46" s="109"/>
      <c r="AY46" s="173">
        <f>AY45-AY8-AY9-AY10-AY16</f>
        <v>-612.97199999999998</v>
      </c>
      <c r="AZ46" s="173">
        <f>AZ45-AZ8-AZ9-AZ10-AZ16</f>
        <v>-596.70299999999997</v>
      </c>
      <c r="BA46" s="173">
        <f>BA45-BA8-BA9-BA10-BA16</f>
        <v>-630.00099999999998</v>
      </c>
      <c r="BB46" s="173">
        <f>BB45-BB8-BB9-BB10-BB16</f>
        <v>-678.66500000000008</v>
      </c>
      <c r="BC46" s="173">
        <f>BC45-BC8-BC9-BC10-BC16</f>
        <v>-678.66500000000008</v>
      </c>
      <c r="BD46" s="109"/>
      <c r="BE46" s="173">
        <f>BE45-BE8-BE9-BE10-BE16</f>
        <v>-680.76800000000003</v>
      </c>
      <c r="BF46" s="173">
        <f>BF45-BF8-BF9-BF10-BF16</f>
        <v>-684.971</v>
      </c>
      <c r="BG46" s="173">
        <f>BG45-BG8-BG9-BG10-BG16</f>
        <v>-675.78600000000006</v>
      </c>
      <c r="BH46" s="173">
        <f>BH45-BH8-BH9-BH10-BH16</f>
        <v>-700.03899999999999</v>
      </c>
      <c r="BI46" s="173">
        <f>BI45-BI8-BI9-BI10-BI16</f>
        <v>-700.03899999999999</v>
      </c>
      <c r="BJ46" s="109"/>
      <c r="BK46" s="173">
        <f>BK45-BK8-BK9-BK10-BK16</f>
        <v>-644.16</v>
      </c>
      <c r="BL46" s="173">
        <f>BL45-BL8-BL9-BL10-BL16</f>
        <v>-676.5870000000001</v>
      </c>
      <c r="BM46" s="173">
        <f>BM45-BM8-BM9-BM10-BM16</f>
        <v>-737.90899999999999</v>
      </c>
      <c r="BN46" s="173">
        <f>BN45-BN8-BN9-BN10-BN16</f>
        <v>-761.49</v>
      </c>
      <c r="BO46" s="173">
        <f>BO45-BO8-BO9-BO10-BO16</f>
        <v>-761.49</v>
      </c>
      <c r="BP46" s="109"/>
      <c r="BQ46" s="173">
        <f>BQ45-BQ8-BQ9-BQ10-BQ16</f>
        <v>-713.32718807637787</v>
      </c>
      <c r="BR46" s="173">
        <f>BR45-BR8-BR9-BR10-BR16</f>
        <v>-718.57377609408832</v>
      </c>
      <c r="BS46" s="173">
        <f>BS45-BS8-BS9-BS10-BS16</f>
        <v>-695.4469877749724</v>
      </c>
      <c r="BT46" s="173">
        <f>BT45-BT8-BT9-BT10-BT16</f>
        <v>-715.56998942337384</v>
      </c>
      <c r="BU46" s="173">
        <f>BU45-BU8-BU9-BU10-BU16</f>
        <v>-715.56998942337384</v>
      </c>
      <c r="BV46" s="109"/>
      <c r="BW46" s="173">
        <f>BW45-BW8-BW9-BW10-BW16</f>
        <v>-719.99566206685665</v>
      </c>
      <c r="BX46" s="173">
        <f>BX45-BX8-BX9-BX10-BX16</f>
        <v>-782.84242329483402</v>
      </c>
      <c r="BY46" s="173">
        <f>BY45-BY8-BY9-BY10-BY16</f>
        <v>-822.70016793859156</v>
      </c>
      <c r="BZ46" s="173">
        <f>BZ45-BZ8-BZ9-BZ10-BZ16</f>
        <v>-921.06742684248468</v>
      </c>
      <c r="CA46" s="173">
        <f>CA45-CA8-CA9-CA10-CA16</f>
        <v>-921.06742684248468</v>
      </c>
      <c r="CB46" s="109"/>
      <c r="CC46" s="173">
        <f>CC45-CC8-CC9-CC10-CC16</f>
        <v>-955.84721552323651</v>
      </c>
      <c r="CD46" s="173">
        <f>CD45-CD8-CD9-CD10-CD16</f>
        <v>-1063.1303828929997</v>
      </c>
      <c r="CE46" s="173">
        <f>CE45-CE8-CE9-CE10-CE16</f>
        <v>-1145.1485476732946</v>
      </c>
      <c r="CF46" s="173">
        <f>CF45-CF8-CF9-CF10-CF16</f>
        <v>-1299.6720389500992</v>
      </c>
      <c r="CG46" s="173">
        <f>CG45-CG8-CG9-CG10-CG16</f>
        <v>-1299.6720389500992</v>
      </c>
      <c r="CH46" s="79"/>
      <c r="CI46" s="79"/>
    </row>
    <row r="47" spans="1:87" hidden="1" outlineLevel="1" x14ac:dyDescent="0.2">
      <c r="A47" s="2" t="s">
        <v>182</v>
      </c>
      <c r="B47" s="174"/>
      <c r="C47" s="174">
        <f>+(C46)/'P&amp;L'!C39</f>
        <v>-0.94745496242662008</v>
      </c>
      <c r="D47" s="174">
        <f>+(D46)/'P&amp;L'!D39</f>
        <v>-1.1517968739028466</v>
      </c>
      <c r="E47" s="174">
        <f>+(E46)/'P&amp;L'!E39</f>
        <v>-1.5230652083621763</v>
      </c>
      <c r="F47" s="174">
        <f>+(F46)/'P&amp;L'!F39</f>
        <v>-1.7799037070021149</v>
      </c>
      <c r="G47" s="174">
        <f>+(G46)/'P&amp;L'!G39</f>
        <v>-1.7903672806673756</v>
      </c>
      <c r="H47" s="174"/>
      <c r="I47" s="174">
        <f>+(I46)/'P&amp;L'!I39</f>
        <v>-1.8679508890770529</v>
      </c>
      <c r="J47" s="174">
        <f>+(J46)/'P&amp;L'!J39</f>
        <v>-1.5742033297099374</v>
      </c>
      <c r="K47" s="174">
        <f>+(K46)/'P&amp;L'!K39</f>
        <v>-1.6630036096879368</v>
      </c>
      <c r="L47" s="174">
        <f>+(L46)/'P&amp;L'!L39</f>
        <v>-1.6487966954022988</v>
      </c>
      <c r="M47" s="174">
        <f>+(M46)/'P&amp;L'!M39</f>
        <v>-1.6185648801128352</v>
      </c>
      <c r="N47" s="174"/>
      <c r="O47" s="174">
        <f>+(O46)/'P&amp;L'!O39</f>
        <v>-1.8764428792872507</v>
      </c>
      <c r="P47" s="174">
        <f>+(P46)/'P&amp;L'!P39</f>
        <v>-2.1236548765826067</v>
      </c>
      <c r="Q47" s="174">
        <f>+(Q46)/'P&amp;L'!Q39</f>
        <v>-2.2284547232769523</v>
      </c>
      <c r="R47" s="174">
        <f>+(R46)/'P&amp;L'!R39</f>
        <v>-2.4269500592208861</v>
      </c>
      <c r="S47" s="174">
        <f>+(S46)/'P&amp;L'!S39</f>
        <v>-2.6987147943381471</v>
      </c>
      <c r="T47" s="174"/>
      <c r="U47" s="174">
        <f>+(U46)/'P&amp;L'!U39</f>
        <v>-2.6469837751459453</v>
      </c>
      <c r="V47" s="174">
        <f>+(V46)/'P&amp;L'!V39</f>
        <v>-3.154341747522774</v>
      </c>
      <c r="W47" s="174">
        <f>+(W46)/'P&amp;L'!W39</f>
        <v>-3.5866417442292176</v>
      </c>
      <c r="X47" s="174">
        <f>+(X46)/'P&amp;L'!X39</f>
        <v>-3.9678878105787292</v>
      </c>
      <c r="Y47" s="174">
        <f>+(Y46)/'P&amp;L'!Y39</f>
        <v>-4.0006147540983594</v>
      </c>
      <c r="Z47" s="174"/>
      <c r="AA47" s="174">
        <f>+(AA46)/'P&amp;L'!AA39</f>
        <v>-4.1650432832247555</v>
      </c>
      <c r="AB47" s="174">
        <f>+(AB46)/'P&amp;L'!AB39</f>
        <v>-2.2344592323302748</v>
      </c>
      <c r="AC47" s="174">
        <f>+(AC46)/'P&amp;L'!AC39</f>
        <v>-2.6298931054244634</v>
      </c>
      <c r="AD47" s="174">
        <f>+(AD46)/'P&amp;L'!AD39</f>
        <v>-3.1181090675209342</v>
      </c>
      <c r="AE47" s="174">
        <f>+(AE46)/'P&amp;L'!AE39</f>
        <v>-3.1433710414997647</v>
      </c>
      <c r="AF47" s="174"/>
      <c r="AG47" s="174">
        <f>+(AG46)/'P&amp;L'!AG39</f>
        <v>-3.1910428068803749</v>
      </c>
      <c r="AH47" s="174">
        <f>+(AH46)/'P&amp;L'!AH39</f>
        <v>-3.6791956988210339</v>
      </c>
      <c r="AI47" s="174">
        <f>+(AI46)/'P&amp;L'!AI39</f>
        <v>-4.1762805997187327</v>
      </c>
      <c r="AJ47" s="174">
        <f>+(AJ46)/'P&amp;L'!AJ39</f>
        <v>-4.3106012219664747</v>
      </c>
      <c r="AK47" s="174">
        <f>+(AK46)/'P&amp;L'!AK39</f>
        <v>-4.3135512229534791</v>
      </c>
      <c r="AL47" s="174"/>
      <c r="AM47" s="174">
        <f>+(AM46)/'P&amp;L'!AM39</f>
        <v>-4.651289877904687</v>
      </c>
      <c r="AN47" s="174">
        <f>+(AN46)/'P&amp;L'!AN39</f>
        <v>-4.1611096909274616</v>
      </c>
      <c r="AO47" s="174">
        <f>+(AO46)/'P&amp;L'!AO39</f>
        <v>-4.8921781839507386</v>
      </c>
      <c r="AP47" s="174">
        <f>+(AP46)/'P&amp;L'!AP39</f>
        <v>-5.7251631529149174</v>
      </c>
      <c r="AQ47" s="174">
        <f>+(AQ46)/'P&amp;L'!AQ39</f>
        <v>-5.7613119997070337</v>
      </c>
      <c r="AR47" s="174"/>
      <c r="AS47" s="174">
        <f>+(AS46)/'P&amp;L'!AS39</f>
        <v>-6.1022736877694195</v>
      </c>
      <c r="AT47" s="174">
        <f>+(AT46)/'P&amp;L'!AT39</f>
        <v>-6.1048323435469571</v>
      </c>
      <c r="AU47" s="174">
        <f>+(AU46)/'P&amp;L'!AU39</f>
        <v>-6.8465505889238418</v>
      </c>
      <c r="AV47" s="174">
        <f>+(AV46)/'P&amp;L'!AV39</f>
        <v>-7.3759655286384049</v>
      </c>
      <c r="AW47" s="174">
        <f>+(AW46)/'P&amp;L'!AW39</f>
        <v>-7.3228978039206147</v>
      </c>
      <c r="AX47" s="174"/>
      <c r="AY47" s="174">
        <f>+(AY46)/'P&amp;L'!AY39</f>
        <v>-7.49134728197106</v>
      </c>
      <c r="AZ47" s="174">
        <f>+(AZ46)/'P&amp;L'!AZ39</f>
        <v>-7.3310440573015203</v>
      </c>
      <c r="BA47" s="174">
        <f>+(BA46)/'P&amp;L'!BA39</f>
        <v>-7.7689661125635077</v>
      </c>
      <c r="BB47" s="174">
        <f>+(BB46)/'P&amp;L'!BB39</f>
        <v>-8.3733081639955103</v>
      </c>
      <c r="BC47" s="174">
        <f>+(BC46)/'P&amp;L'!BC39</f>
        <v>-8.3435322610884537</v>
      </c>
      <c r="BD47" s="174"/>
      <c r="BE47" s="174">
        <f>+(BE46)/'P&amp;L'!BE39</f>
        <v>-8.371470732907035</v>
      </c>
      <c r="BF47" s="174">
        <f>+(BF46)/'P&amp;L'!BF39</f>
        <v>-8.4271970079108272</v>
      </c>
      <c r="BG47" s="174">
        <f>+(BG46)/'P&amp;L'!BG39</f>
        <v>-8.2953133822699048</v>
      </c>
      <c r="BH47" s="174">
        <f>+(BH46)/'P&amp;L'!BH39</f>
        <v>-8.6160767034265451</v>
      </c>
      <c r="BI47" s="174">
        <f>+(BI46)/'P&amp;L'!BI39</f>
        <v>-8.6075219402732728</v>
      </c>
      <c r="BJ47" s="174"/>
      <c r="BK47" s="174">
        <f>+(BK46)/'P&amp;L'!BK39</f>
        <v>-7.9005077636323486</v>
      </c>
      <c r="BL47" s="174">
        <f>+(BL46)/'P&amp;L'!BL39</f>
        <v>-8.2883585892614331</v>
      </c>
      <c r="BM47" s="174">
        <f>+(BM46)/'P&amp;L'!BM39</f>
        <v>-9.0221056621306044</v>
      </c>
      <c r="BN47" s="174">
        <f>+(BN46)/'P&amp;L'!BN39</f>
        <v>-9.3020045686085293</v>
      </c>
      <c r="BO47" s="174">
        <f>+(BO46)/'P&amp;L'!BO39</f>
        <v>-9.3200782089059011</v>
      </c>
      <c r="BP47" s="174"/>
      <c r="BQ47" s="174">
        <f>+(BQ46)/'P&amp;L'!BQ39</f>
        <v>-8.7387561630369213</v>
      </c>
      <c r="BR47" s="174">
        <f>+(BR46)/'P&amp;L'!BR39</f>
        <v>-8.9518204814063385</v>
      </c>
      <c r="BS47" s="174">
        <f>+(BS46)/'P&amp;L'!BS39</f>
        <v>-8.6951388417773856</v>
      </c>
      <c r="BT47" s="174">
        <f>+(BT46)/'P&amp;L'!BT39</f>
        <v>-8.974472836052918</v>
      </c>
      <c r="BU47" s="174">
        <f>+(BU46)/'P&amp;L'!BU39</f>
        <v>-8.8997285100072556</v>
      </c>
      <c r="BV47" s="174"/>
      <c r="BW47" s="174">
        <f>+(BW46)/'P&amp;L'!BW39</f>
        <v>-9.0574152366416314</v>
      </c>
      <c r="BX47" s="174">
        <f>+(BX46)/'P&amp;L'!BX39</f>
        <v>-9.88148583817242</v>
      </c>
      <c r="BY47" s="174">
        <f>+(BY46)/'P&amp;L'!BY39</f>
        <v>-10.418756136755549</v>
      </c>
      <c r="BZ47" s="174">
        <f>+(BZ46)/'P&amp;L'!BZ39</f>
        <v>-11.696940952636076</v>
      </c>
      <c r="CA47" s="174">
        <f>+(CA46)/'P&amp;L'!CA39</f>
        <v>-11.643487028005232</v>
      </c>
      <c r="CB47" s="174"/>
      <c r="CC47" s="174">
        <f>+(CC46)/'P&amp;L'!CC39</f>
        <v>-12.173320212229701</v>
      </c>
      <c r="CD47" s="174">
        <f>+(CD46)/'P&amp;L'!CD39</f>
        <v>-13.584517420559214</v>
      </c>
      <c r="CE47" s="174">
        <f>+(CE46)/'P&amp;L'!CE39</f>
        <v>-14.671671690064976</v>
      </c>
      <c r="CF47" s="174">
        <f>+(CF46)/'P&amp;L'!CF39</f>
        <v>-16.767297165875689</v>
      </c>
      <c r="CG47" s="174">
        <f>+(CG46)/'P&amp;L'!CG39</f>
        <v>-16.644095852327052</v>
      </c>
      <c r="CH47" s="79"/>
      <c r="CI47" s="79"/>
    </row>
    <row r="48" spans="1:87" hidden="1" outlineLevel="1" x14ac:dyDescent="0.2">
      <c r="A48" s="2" t="s">
        <v>185</v>
      </c>
      <c r="B48" s="174"/>
      <c r="C48" s="174"/>
      <c r="D48" s="174"/>
      <c r="E48" s="174"/>
      <c r="F48" s="174"/>
      <c r="G48" s="421">
        <f>(G22-G8)-(G40)</f>
        <v>-89.119</v>
      </c>
      <c r="H48" s="174"/>
      <c r="I48" s="421">
        <f>(I22-I8)-(I40)</f>
        <v>-113.68000000000002</v>
      </c>
      <c r="J48" s="421">
        <f>(J22-J8)-(J40)</f>
        <v>-64.338999999999999</v>
      </c>
      <c r="K48" s="421">
        <f>(K22-K8)-(K40)</f>
        <v>-79.756</v>
      </c>
      <c r="L48" s="421">
        <f>(L22-L8)-(L40)</f>
        <v>-87.100000000000051</v>
      </c>
      <c r="M48" s="421">
        <f>(M22-M8)-(M40)</f>
        <v>-87.100000000000051</v>
      </c>
      <c r="N48" s="174"/>
      <c r="O48" s="421">
        <f>(O22-O8)-(O40)</f>
        <v>-97.051000000000016</v>
      </c>
      <c r="P48" s="421">
        <f>(P22-P8)-(P40)</f>
        <v>-122.18200000000002</v>
      </c>
      <c r="Q48" s="421">
        <f>(Q22-Q8)-(Q40)</f>
        <v>-135.96099999999996</v>
      </c>
      <c r="R48" s="421">
        <f>(R22-R8)-(R40)</f>
        <v>-166.48699999999997</v>
      </c>
      <c r="S48" s="421">
        <f>(S22-S8)-(S40)</f>
        <v>-166.48699999999997</v>
      </c>
      <c r="T48" s="174"/>
      <c r="U48" s="421">
        <f>(U22-U8)-(U40)</f>
        <v>-190.40700000000015</v>
      </c>
      <c r="V48" s="421">
        <f>(V22-V8)-(V40)</f>
        <v>-235.80100000000004</v>
      </c>
      <c r="W48" s="421">
        <f>(W22-W8)-(W40)</f>
        <v>-264.92400000000004</v>
      </c>
      <c r="X48" s="421">
        <f>(X22-X8)-(X40)</f>
        <v>-294.66400000000004</v>
      </c>
      <c r="Y48" s="421">
        <f>(Y22-Y8)-(Y40)</f>
        <v>-294.66400000000004</v>
      </c>
      <c r="Z48" s="174"/>
      <c r="AA48" s="421">
        <f>(AA22-AA8)-(AA40)</f>
        <v>-308.60800000000017</v>
      </c>
      <c r="AB48" s="421">
        <f>(AB22-AB8)-(AB40)</f>
        <v>-168.60700000000008</v>
      </c>
      <c r="AC48" s="421">
        <f>(AC22-AC8)-(AC40)</f>
        <v>-202.22899999999993</v>
      </c>
      <c r="AD48" s="421">
        <f>(AD22-AD8)-(AD40)</f>
        <v>-240.67500000000013</v>
      </c>
      <c r="AE48" s="421">
        <f>(AE22-AE8)-(AE40)</f>
        <v>-240.67500000000013</v>
      </c>
      <c r="AF48" s="174"/>
      <c r="AG48" s="421">
        <f>(AG22-AG8)-(AG40)</f>
        <v>-224.3610000000001</v>
      </c>
      <c r="AH48" s="421">
        <f>(AH22-AH8)-(AH40)</f>
        <v>-262.79899999999998</v>
      </c>
      <c r="AI48" s="421">
        <f>(AI22-AI8)-(AI40)</f>
        <v>-304.9070000000001</v>
      </c>
      <c r="AJ48" s="421">
        <f>(AJ22-AJ8)-(AJ40)</f>
        <v>-306.38600000000002</v>
      </c>
      <c r="AK48" s="421">
        <f>(AK22-AK8)-(AK40)</f>
        <v>-306.38600000000002</v>
      </c>
      <c r="AL48" s="174"/>
      <c r="AM48" s="421">
        <f>(AM22-AM8)-(AM40)</f>
        <v>-328.74499999999989</v>
      </c>
      <c r="AN48" s="421">
        <f>(AN22-AN8)-(AN40)</f>
        <v>-164.49700000000018</v>
      </c>
      <c r="AO48" s="421">
        <f>(AO22-AO8)-(AO40)</f>
        <v>-175.83900000000017</v>
      </c>
      <c r="AP48" s="421">
        <f>(AP22-AP8)-(AP40)</f>
        <v>-242.95299999999997</v>
      </c>
      <c r="AQ48" s="421">
        <f>(AQ22-AQ8)-(AQ40)</f>
        <v>-242.95299999999997</v>
      </c>
      <c r="AR48" s="174"/>
      <c r="AS48" s="421">
        <f>(AS22-AS8)-(AS40)</f>
        <v>-182.76600000000008</v>
      </c>
      <c r="AT48" s="421">
        <f>(AT22-AT8)-(AT40)</f>
        <v>-167.471</v>
      </c>
      <c r="AU48" s="421">
        <f>(AU22-AU8)-(AU40)</f>
        <v>-180.67599999999993</v>
      </c>
      <c r="AV48" s="421">
        <f>(AV22-AV8)-(AV40)</f>
        <v>-199.87100000000009</v>
      </c>
      <c r="AW48" s="421">
        <f>(AW22-AW8)-(AW40)</f>
        <v>-199.87100000000009</v>
      </c>
      <c r="AX48" s="174"/>
      <c r="AY48" s="421">
        <f>(AY22-AY8)-(AY40)</f>
        <v>-189.97800000000007</v>
      </c>
      <c r="AZ48" s="421">
        <f>(AZ22-AZ8)-(AZ40)</f>
        <v>-161.75299999999993</v>
      </c>
      <c r="BA48" s="421">
        <f>(BA22-BA8)-(BA40)</f>
        <v>-174.03999999999996</v>
      </c>
      <c r="BB48" s="421">
        <f>(BB22-BB8)-(BB40)</f>
        <v>-167.71399999999994</v>
      </c>
      <c r="BC48" s="421">
        <f>(BC22-BC8)-(BC40)</f>
        <v>-167.71399999999994</v>
      </c>
      <c r="BD48" s="174"/>
      <c r="BE48" s="421">
        <f>(BE22-BE8)-(BE40)</f>
        <v>-154.41800000000012</v>
      </c>
      <c r="BF48" s="421">
        <f>(BF22-BF8)-(BF40)</f>
        <v>-167.7059999999999</v>
      </c>
      <c r="BG48" s="421">
        <f>(BG22-BG8)-(BG40)</f>
        <v>-419.94799999999998</v>
      </c>
      <c r="BH48" s="421">
        <f>(BH22-BH8)-(BH40)</f>
        <v>-389.2750000000002</v>
      </c>
      <c r="BI48" s="421">
        <f>(BI22-BI8)-(BI40)</f>
        <v>-389.2750000000002</v>
      </c>
      <c r="BJ48" s="174"/>
      <c r="BK48" s="421">
        <f>(BK22-BK8)-(BK40)</f>
        <v>-261.02700000000004</v>
      </c>
      <c r="BL48" s="421">
        <f>(BL22-BL8)-(BL40)</f>
        <v>-358.18200000000002</v>
      </c>
      <c r="BM48" s="421">
        <f>(BM22-BM8)-(BM40)</f>
        <v>-362.61300000000006</v>
      </c>
      <c r="BN48" s="421">
        <f>(BN22-BN8)-(BN40)</f>
        <v>-449.51099999999974</v>
      </c>
      <c r="BO48" s="421">
        <f>(BO22-BO8)-(BO40)</f>
        <v>-449.51099999999974</v>
      </c>
      <c r="BP48" s="174"/>
      <c r="BQ48" s="421">
        <f>(BQ22-BQ8)-(BQ40)</f>
        <v>-401.34818807637816</v>
      </c>
      <c r="BR48" s="421">
        <f>(BR22-BR8)-(BR40)</f>
        <v>-406.59477609408873</v>
      </c>
      <c r="BS48" s="421">
        <f>(BS22-BS8)-(BS40)</f>
        <v>-383.46798777497224</v>
      </c>
      <c r="BT48" s="421">
        <f>(BT22-BT8)-(BT40)</f>
        <v>-403.59098942337391</v>
      </c>
      <c r="BU48" s="421">
        <f>(BU22-BU8)-(BU40)</f>
        <v>-403.59098942337391</v>
      </c>
      <c r="BV48" s="174"/>
      <c r="BW48" s="421">
        <f>(BW22-BW8)-(BW40)</f>
        <v>-408.01666206685672</v>
      </c>
      <c r="BX48" s="421">
        <f>(BX22-BX8)-(BX40)</f>
        <v>-470.86342329483432</v>
      </c>
      <c r="BY48" s="421">
        <f>(BY22-BY8)-(BY40)</f>
        <v>-510.72116793859141</v>
      </c>
      <c r="BZ48" s="421">
        <f>(BZ22-BZ8)-(BZ40)</f>
        <v>-609.08842684248521</v>
      </c>
      <c r="CA48" s="421">
        <f>(CA22-CA8)-(CA40)</f>
        <v>-609.08842684248521</v>
      </c>
      <c r="CB48" s="174"/>
      <c r="CC48" s="421">
        <f>(CC22-CC8)-(CC40)</f>
        <v>-643.86821552323659</v>
      </c>
      <c r="CD48" s="421">
        <f>(CD22-CD8)-(CD40)</f>
        <v>-751.15138289299966</v>
      </c>
      <c r="CE48" s="421">
        <f>(CE22-CE8)-(CE40)</f>
        <v>-833.16954767329526</v>
      </c>
      <c r="CF48" s="421">
        <f>(CF22-CF8)-(CF40)</f>
        <v>-987.69303895009898</v>
      </c>
      <c r="CG48" s="421">
        <f>(CG22-CG8)-(CG40)</f>
        <v>-987.69303895009898</v>
      </c>
      <c r="CH48" s="79"/>
      <c r="CI48" s="79"/>
    </row>
    <row r="49" spans="1:87" hidden="1" outlineLevel="1" x14ac:dyDescent="0.2">
      <c r="A49" s="2" t="s">
        <v>186</v>
      </c>
      <c r="B49" s="174"/>
      <c r="C49" s="174"/>
      <c r="D49" s="174"/>
      <c r="E49" s="174"/>
      <c r="F49" s="174"/>
      <c r="G49" s="421"/>
      <c r="H49" s="174"/>
      <c r="I49" s="180">
        <f>(I48-C48)/I22</f>
        <v>-0.49201471542956082</v>
      </c>
      <c r="J49" s="180">
        <f>(J48-D48)/J22</f>
        <v>-0.29626235788717548</v>
      </c>
      <c r="K49" s="180">
        <f>(K48-E48)/K22</f>
        <v>-0.3683539626824312</v>
      </c>
      <c r="L49" s="180">
        <f>(L48-F48)/L22</f>
        <v>-0.311805284580495</v>
      </c>
      <c r="M49" s="180">
        <f>(M48-G48)/M22</f>
        <v>7.2277252533639834E-3</v>
      </c>
      <c r="N49" s="174"/>
      <c r="O49" s="180">
        <f>(O48-I48)/O22</f>
        <v>5.7484694600676893E-2</v>
      </c>
      <c r="P49" s="180">
        <f>(P48-J48)/P22</f>
        <v>-0.18792763991500819</v>
      </c>
      <c r="Q49" s="180">
        <f>(Q48-K48)/Q22</f>
        <v>-0.16991450614298143</v>
      </c>
      <c r="R49" s="180">
        <f>(R48-L48)/R22</f>
        <v>-0.22347427091543728</v>
      </c>
      <c r="S49" s="180">
        <f>(S48-M48)/S22</f>
        <v>-0.22347427091543728</v>
      </c>
      <c r="T49" s="174"/>
      <c r="U49" s="180">
        <f>(U48-O48)/U22</f>
        <v>-0.24991433588897974</v>
      </c>
      <c r="V49" s="180">
        <f>(V48-P48)/V22</f>
        <v>-0.27800642048290658</v>
      </c>
      <c r="W49" s="180">
        <f>(W48-Q48)/W22</f>
        <v>-0.28965153233685609</v>
      </c>
      <c r="X49" s="180">
        <f>(X48-R48)/X22</f>
        <v>-0.26874699911729516</v>
      </c>
      <c r="Y49" s="180">
        <f>(Y48-S48)/Y22</f>
        <v>-0.26874699911729516</v>
      </c>
      <c r="Z49" s="174"/>
      <c r="AA49" s="180">
        <f>(AA48-U48)/AA22</f>
        <v>-0.23783758767923197</v>
      </c>
      <c r="AB49" s="180">
        <f>(AB48-V48)/AB22</f>
        <v>0.12282994759153196</v>
      </c>
      <c r="AC49" s="180">
        <f>(AC48-W48)/AC22</f>
        <v>0.10700266247951956</v>
      </c>
      <c r="AD49" s="180">
        <f>(AD48-X48)/AD22</f>
        <v>8.3154156090588599E-2</v>
      </c>
      <c r="AE49" s="180">
        <f>(AE48-Y48)/AE22</f>
        <v>8.3154156090588599E-2</v>
      </c>
      <c r="AF49" s="174"/>
      <c r="AG49" s="180">
        <f>(AG48-AA48)/AG22</f>
        <v>0.12566001825677631</v>
      </c>
      <c r="AH49" s="180">
        <f>(AH48-AB48)/AH22</f>
        <v>-0.12657441985156465</v>
      </c>
      <c r="AI49" s="180">
        <f>(AI48-AC48)/AI22</f>
        <v>-0.13366676907535391</v>
      </c>
      <c r="AJ49" s="180">
        <f>(AJ48-AD48)/AJ22</f>
        <v>-8.6883455505135307E-2</v>
      </c>
      <c r="AK49" s="180">
        <f>(AK48-AE48)/AK22</f>
        <v>-8.6883455505135307E-2</v>
      </c>
      <c r="AL49" s="174"/>
      <c r="AM49" s="180">
        <f>(AM48-AG48)/AM22</f>
        <v>-0.14373111002485359</v>
      </c>
      <c r="AN49" s="180">
        <f>(AN48-AH48)/AN22</f>
        <v>0.13965455025898757</v>
      </c>
      <c r="AO49" s="180">
        <f>(AO48-AI48)/AO22</f>
        <v>0.17000392515338383</v>
      </c>
      <c r="AP49" s="180">
        <f>(AP48-AJ48)/AP22</f>
        <v>7.6228118349282087E-2</v>
      </c>
      <c r="AQ49" s="180">
        <f>(AQ48-AK48)/AQ22</f>
        <v>7.6228118349282087E-2</v>
      </c>
      <c r="AR49" s="174"/>
      <c r="AS49" s="180">
        <f>(AS48-AM48)/AS22</f>
        <v>0.164828638240551</v>
      </c>
      <c r="AT49" s="180">
        <f>(AT48-AN48)/AT22</f>
        <v>-3.3588086280947503E-3</v>
      </c>
      <c r="AU49" s="180">
        <f>(AU48-AO48)/AU22</f>
        <v>-5.1007656948459405E-3</v>
      </c>
      <c r="AV49" s="180">
        <f>(AV48-AP48)/AV22</f>
        <v>4.3605395562941872E-2</v>
      </c>
      <c r="AW49" s="180">
        <f>(AW48-AQ48)/AW22</f>
        <v>4.3605395562941872E-2</v>
      </c>
      <c r="AX49" s="174"/>
      <c r="AY49" s="180">
        <f>(AY48-AS48)/AY22</f>
        <v>-7.0128013768894449E-3</v>
      </c>
      <c r="AZ49" s="180">
        <f>(AZ48-AT48)/AZ22</f>
        <v>5.5591149360138615E-3</v>
      </c>
      <c r="BA49" s="180">
        <f>(BA48-AU48)/BA22</f>
        <v>6.1469373690440825E-3</v>
      </c>
      <c r="BB49" s="180">
        <f>(BB48-AV48)/BB22</f>
        <v>2.7754258682430203E-2</v>
      </c>
      <c r="BC49" s="180">
        <f>(BC48-AW48)/BC22</f>
        <v>2.7754258682430203E-2</v>
      </c>
      <c r="BD49" s="174"/>
      <c r="BE49" s="180">
        <f>(BE48-AY48)/BE22</f>
        <v>2.9447812116996212E-2</v>
      </c>
      <c r="BF49" s="180">
        <f>(BF48-AZ48)/BF22</f>
        <v>-4.7575549060836237E-3</v>
      </c>
      <c r="BG49" s="180">
        <f>(BG48-BA48)/BG22</f>
        <v>-0.18096200363089662</v>
      </c>
      <c r="BH49" s="180">
        <f>(BH48-BB48)/BH22</f>
        <v>-0.15869415270984319</v>
      </c>
      <c r="BI49" s="180">
        <f>(BI48-BC48)/BI22</f>
        <v>-0.15869415270984319</v>
      </c>
      <c r="BJ49" s="174"/>
      <c r="BK49" s="180">
        <f>(BK48-BE48)/BK22</f>
        <v>-7.305523976336481E-2</v>
      </c>
      <c r="BL49" s="180">
        <f>(BL48-BF48)/BL22</f>
        <v>-0.1227937057234235</v>
      </c>
      <c r="BM49" s="180">
        <f>(BM48-BG48)/BM22</f>
        <v>3.3773694159421684E-2</v>
      </c>
      <c r="BN49" s="180">
        <f>(BN48-BH48)/BN22</f>
        <v>-3.3881259224593854E-2</v>
      </c>
      <c r="BO49" s="180">
        <f>(BO48-BI48)/BO22</f>
        <v>-3.3881259224593854E-2</v>
      </c>
      <c r="BP49" s="174"/>
      <c r="BQ49" s="180">
        <f>(BQ48-BK48)/BQ22</f>
        <v>-7.5950509792819809E-2</v>
      </c>
      <c r="BR49" s="180">
        <f>(BR48-BL48)/BR22</f>
        <v>-2.4767979220324653E-2</v>
      </c>
      <c r="BS49" s="180">
        <f>(BS48-BM48)/BS22</f>
        <v>-1.0401017794052028E-2</v>
      </c>
      <c r="BT49" s="180">
        <f>(BT48-BN48)/BT22</f>
        <v>2.1812377759825426E-2</v>
      </c>
      <c r="BU49" s="180">
        <f>(BU48-BO48)/BU22</f>
        <v>2.1812377759825426E-2</v>
      </c>
      <c r="BV49" s="174"/>
      <c r="BW49" s="180">
        <f>(BW48-BQ48)/BW22</f>
        <v>-3.0618097821630995E-3</v>
      </c>
      <c r="BX49" s="180">
        <f>(BX48-BR48)/BX22</f>
        <v>-2.7410448748886908E-2</v>
      </c>
      <c r="BY49" s="180">
        <f>(BY48-BS48)/BY22</f>
        <v>-5.2373104552957607E-2</v>
      </c>
      <c r="BZ49" s="180">
        <f>(BZ48-BT48)/BZ22</f>
        <v>-7.9493039307211549E-2</v>
      </c>
      <c r="CA49" s="180">
        <f>(CA48-BU48)/CA22</f>
        <v>-7.9493039307211549E-2</v>
      </c>
      <c r="CB49" s="174"/>
      <c r="CC49" s="180">
        <f>(CC48-BW48)/CC22</f>
        <v>-8.8571039215607925E-2</v>
      </c>
      <c r="CD49" s="180">
        <f>(CD48-BX48)/CD22</f>
        <v>-9.737379844589307E-2</v>
      </c>
      <c r="CE49" s="180">
        <f>(CE48-BY48)/CE22</f>
        <v>-0.10717447560681617</v>
      </c>
      <c r="CF49" s="180">
        <f>(CF48-BZ48)/CF22</f>
        <v>-0.11754825429624245</v>
      </c>
      <c r="CG49" s="180">
        <f>(CG48-CA48)/CG22</f>
        <v>-0.11754825429624245</v>
      </c>
      <c r="CH49" s="79"/>
      <c r="CI49" s="79"/>
    </row>
    <row r="50" spans="1:87" hidden="1" outlineLevel="1" x14ac:dyDescent="0.2">
      <c r="A50" s="2"/>
      <c r="B50" s="174"/>
      <c r="C50" s="174"/>
      <c r="D50" s="174"/>
      <c r="E50" s="174"/>
      <c r="F50" s="174"/>
      <c r="G50" s="421"/>
      <c r="H50" s="174"/>
      <c r="I50" s="180"/>
      <c r="J50" s="180"/>
      <c r="K50" s="180"/>
      <c r="L50" s="180"/>
      <c r="M50" s="180"/>
      <c r="N50" s="174"/>
      <c r="O50" s="180"/>
      <c r="P50" s="180"/>
      <c r="Q50" s="180"/>
      <c r="R50" s="180"/>
      <c r="S50" s="180"/>
      <c r="T50" s="174"/>
      <c r="U50" s="180"/>
      <c r="V50" s="180"/>
      <c r="W50" s="180"/>
      <c r="X50" s="180"/>
      <c r="Y50" s="180"/>
      <c r="Z50" s="174"/>
      <c r="AA50" s="180"/>
      <c r="AB50" s="180"/>
      <c r="AC50" s="180"/>
      <c r="AD50" s="180"/>
      <c r="AE50" s="180"/>
      <c r="AF50" s="174"/>
      <c r="AG50" s="180"/>
      <c r="AH50" s="180"/>
      <c r="AI50" s="180"/>
      <c r="AJ50" s="180"/>
      <c r="AK50" s="180"/>
      <c r="AL50" s="174"/>
      <c r="AM50" s="180"/>
      <c r="AN50" s="180"/>
      <c r="AO50" s="180"/>
      <c r="AP50" s="180"/>
      <c r="AQ50" s="180"/>
      <c r="AR50" s="174"/>
      <c r="AS50" s="180"/>
      <c r="AT50" s="180"/>
      <c r="AU50" s="180"/>
      <c r="AV50" s="180"/>
      <c r="AW50" s="180"/>
      <c r="AX50" s="174"/>
      <c r="AY50" s="180"/>
      <c r="AZ50" s="180"/>
      <c r="BA50" s="180"/>
      <c r="BB50" s="180"/>
      <c r="BC50" s="180"/>
      <c r="BD50" s="174"/>
      <c r="BE50" s="180"/>
      <c r="BF50" s="180"/>
      <c r="BG50" s="180"/>
      <c r="BH50" s="180"/>
      <c r="BI50" s="180"/>
      <c r="BJ50" s="174"/>
      <c r="BK50" s="180"/>
      <c r="BL50" s="180"/>
      <c r="BM50" s="180"/>
      <c r="BN50" s="180"/>
      <c r="BO50" s="180"/>
      <c r="BP50" s="174"/>
      <c r="BQ50" s="180"/>
      <c r="BR50" s="180"/>
      <c r="BS50" s="180"/>
      <c r="BT50" s="180"/>
      <c r="BU50" s="180"/>
      <c r="BV50" s="174"/>
      <c r="BW50" s="180"/>
      <c r="BX50" s="180"/>
      <c r="BY50" s="180"/>
      <c r="BZ50" s="180"/>
      <c r="CA50" s="180"/>
      <c r="CB50" s="174"/>
      <c r="CC50" s="180"/>
      <c r="CD50" s="180"/>
      <c r="CE50" s="180"/>
      <c r="CF50" s="180"/>
      <c r="CG50" s="180"/>
      <c r="CH50" s="79"/>
      <c r="CI50" s="79"/>
    </row>
    <row r="51" spans="1:87" hidden="1" outlineLevel="1" x14ac:dyDescent="0.2">
      <c r="A51" s="16" t="s">
        <v>525</v>
      </c>
      <c r="B51" s="174"/>
      <c r="C51" s="174"/>
      <c r="D51" s="174"/>
      <c r="E51" s="174"/>
      <c r="F51" s="174"/>
      <c r="G51" s="421"/>
      <c r="H51" s="174"/>
      <c r="I51" s="180"/>
      <c r="J51" s="180"/>
      <c r="K51" s="180"/>
      <c r="L51" s="180"/>
      <c r="M51" s="180"/>
      <c r="N51" s="174"/>
      <c r="O51" s="180"/>
      <c r="P51" s="180"/>
      <c r="Q51" s="180"/>
      <c r="R51" s="180"/>
      <c r="S51" s="180"/>
      <c r="T51" s="174"/>
      <c r="U51" s="180"/>
      <c r="V51" s="180"/>
      <c r="W51" s="180"/>
      <c r="X51" s="180"/>
      <c r="Y51" s="180"/>
      <c r="Z51" s="174"/>
      <c r="AA51" s="180"/>
      <c r="AB51" s="180"/>
      <c r="AC51" s="180"/>
      <c r="AD51" s="180"/>
      <c r="AE51" s="180"/>
      <c r="AF51" s="174"/>
      <c r="AG51" s="180"/>
      <c r="AH51" s="180"/>
      <c r="AI51" s="180"/>
      <c r="AJ51" s="180"/>
      <c r="AK51" s="180"/>
      <c r="AL51" s="174"/>
      <c r="AM51" s="180"/>
      <c r="AN51" s="180"/>
      <c r="AO51" s="180"/>
      <c r="AP51" s="180"/>
      <c r="AQ51" s="180"/>
      <c r="AR51" s="174"/>
      <c r="AS51" s="180"/>
      <c r="AT51" s="180"/>
      <c r="AU51" s="180"/>
      <c r="AV51" s="180"/>
      <c r="AW51" s="180"/>
      <c r="AX51" s="174"/>
      <c r="AY51" s="180"/>
      <c r="AZ51" s="180"/>
      <c r="BA51" s="180"/>
      <c r="BB51" s="180"/>
      <c r="BC51" s="180"/>
      <c r="BD51" s="174"/>
      <c r="BE51" s="180"/>
      <c r="BF51" s="180"/>
      <c r="BG51" s="180"/>
      <c r="BH51" s="180"/>
      <c r="BI51" s="180"/>
      <c r="BJ51" s="174"/>
      <c r="BK51" s="180"/>
      <c r="BL51" s="180"/>
      <c r="BM51" s="180"/>
      <c r="BN51" s="180"/>
      <c r="BO51" s="180"/>
      <c r="BP51" s="174"/>
      <c r="BQ51" s="180"/>
      <c r="BR51" s="180"/>
      <c r="BS51" s="180"/>
      <c r="BT51" s="180"/>
      <c r="BU51" s="180"/>
      <c r="BV51" s="174"/>
      <c r="BW51" s="180"/>
      <c r="BX51" s="180"/>
      <c r="BY51" s="180"/>
      <c r="BZ51" s="180"/>
      <c r="CA51" s="180"/>
      <c r="CB51" s="174"/>
      <c r="CC51" s="180"/>
      <c r="CD51" s="180"/>
      <c r="CE51" s="180"/>
      <c r="CF51" s="180"/>
      <c r="CG51" s="180"/>
      <c r="CH51" s="79"/>
      <c r="CI51" s="79"/>
    </row>
    <row r="52" spans="1:87" hidden="1" outlineLevel="1" x14ac:dyDescent="0.2">
      <c r="A52" s="2" t="s">
        <v>526</v>
      </c>
      <c r="B52" s="174"/>
      <c r="C52" s="890">
        <f>+C8</f>
        <v>56.209000000000003</v>
      </c>
      <c r="D52" s="890">
        <f t="shared" ref="D52:G52" si="29">+D8</f>
        <v>65.593999999999994</v>
      </c>
      <c r="E52" s="890">
        <f t="shared" si="29"/>
        <v>87.968999999999994</v>
      </c>
      <c r="F52" s="890">
        <f t="shared" si="29"/>
        <v>89.118999999999986</v>
      </c>
      <c r="G52" s="890">
        <f t="shared" si="29"/>
        <v>89.118999999999986</v>
      </c>
      <c r="H52" s="174"/>
      <c r="I52" s="890">
        <f>+I8</f>
        <v>113.67999999999996</v>
      </c>
      <c r="J52" s="890">
        <f t="shared" ref="J52:M52" si="30">+J8</f>
        <v>64.33899999999997</v>
      </c>
      <c r="K52" s="890">
        <f t="shared" si="30"/>
        <v>79.755999999999986</v>
      </c>
      <c r="L52" s="890">
        <f t="shared" si="30"/>
        <v>87.1</v>
      </c>
      <c r="M52" s="890">
        <f t="shared" si="30"/>
        <v>87.1</v>
      </c>
      <c r="N52" s="174"/>
      <c r="O52" s="890">
        <f t="shared" ref="O52:BI52" si="31">+O8</f>
        <v>97.050999999999959</v>
      </c>
      <c r="P52" s="890">
        <f t="shared" si="31"/>
        <v>122.18199999999996</v>
      </c>
      <c r="Q52" s="890">
        <f t="shared" si="31"/>
        <v>135.96099999999996</v>
      </c>
      <c r="R52" s="890">
        <f t="shared" si="31"/>
        <v>166.48699999999991</v>
      </c>
      <c r="S52" s="890">
        <f t="shared" si="31"/>
        <v>166.48699999999991</v>
      </c>
      <c r="T52" s="174"/>
      <c r="U52" s="890">
        <f t="shared" ref="U52" si="32">+U8</f>
        <v>190.40699999999993</v>
      </c>
      <c r="V52" s="890">
        <f t="shared" si="31"/>
        <v>235.80099999999993</v>
      </c>
      <c r="W52" s="890">
        <f t="shared" si="31"/>
        <v>264.92399999999992</v>
      </c>
      <c r="X52" s="890">
        <f t="shared" si="31"/>
        <v>294.66399999999987</v>
      </c>
      <c r="Y52" s="890">
        <f t="shared" si="31"/>
        <v>294.66399999999987</v>
      </c>
      <c r="Z52" s="174"/>
      <c r="AA52" s="890">
        <f t="shared" ref="AA52" si="33">+AA8</f>
        <v>308.60799999999989</v>
      </c>
      <c r="AB52" s="890">
        <f t="shared" si="31"/>
        <v>168.607</v>
      </c>
      <c r="AC52" s="890">
        <f t="shared" si="31"/>
        <v>202.22900000000001</v>
      </c>
      <c r="AD52" s="890">
        <f t="shared" si="31"/>
        <v>240.67500000000001</v>
      </c>
      <c r="AE52" s="890">
        <f t="shared" si="31"/>
        <v>240.67500000000001</v>
      </c>
      <c r="AF52" s="174"/>
      <c r="AG52" s="890">
        <f t="shared" ref="AG52" si="34">+AG8</f>
        <v>224.36099999999999</v>
      </c>
      <c r="AH52" s="890">
        <f t="shared" si="31"/>
        <v>262.79899999999998</v>
      </c>
      <c r="AI52" s="890">
        <f t="shared" si="31"/>
        <v>304.90699999999998</v>
      </c>
      <c r="AJ52" s="890">
        <f t="shared" si="31"/>
        <v>306.38600000000002</v>
      </c>
      <c r="AK52" s="890">
        <f t="shared" si="31"/>
        <v>306.38600000000002</v>
      </c>
      <c r="AL52" s="174"/>
      <c r="AM52" s="890">
        <f t="shared" ref="AM52" si="35">+AM8</f>
        <v>328.745</v>
      </c>
      <c r="AN52" s="890">
        <f t="shared" si="31"/>
        <v>164.49700000000001</v>
      </c>
      <c r="AO52" s="890">
        <f t="shared" si="31"/>
        <v>175.839</v>
      </c>
      <c r="AP52" s="890">
        <f t="shared" si="31"/>
        <v>242.953</v>
      </c>
      <c r="AQ52" s="890">
        <f t="shared" si="31"/>
        <v>242.953</v>
      </c>
      <c r="AR52" s="174"/>
      <c r="AS52" s="890">
        <f t="shared" ref="AS52" si="36">+AS8</f>
        <v>182.76599999999999</v>
      </c>
      <c r="AT52" s="890">
        <f t="shared" si="31"/>
        <v>167.471</v>
      </c>
      <c r="AU52" s="890">
        <f t="shared" si="31"/>
        <v>180.67599999999999</v>
      </c>
      <c r="AV52" s="890">
        <f t="shared" si="31"/>
        <v>199.87100000000001</v>
      </c>
      <c r="AW52" s="890">
        <f t="shared" si="31"/>
        <v>199.87100000000001</v>
      </c>
      <c r="AX52" s="174"/>
      <c r="AY52" s="890">
        <f t="shared" ref="AY52" si="37">+AY8</f>
        <v>189.97800000000001</v>
      </c>
      <c r="AZ52" s="890">
        <f t="shared" si="31"/>
        <v>161.75299999999999</v>
      </c>
      <c r="BA52" s="890">
        <f t="shared" si="31"/>
        <v>174.04</v>
      </c>
      <c r="BB52" s="890">
        <f t="shared" si="31"/>
        <v>167.714</v>
      </c>
      <c r="BC52" s="890">
        <f t="shared" si="31"/>
        <v>167.714</v>
      </c>
      <c r="BD52" s="174"/>
      <c r="BE52" s="890">
        <f t="shared" ref="BE52" si="38">+BE8</f>
        <v>154.41800000000001</v>
      </c>
      <c r="BF52" s="890">
        <f t="shared" si="31"/>
        <v>167.70599999999999</v>
      </c>
      <c r="BG52" s="890">
        <f t="shared" si="31"/>
        <v>419.94799999999998</v>
      </c>
      <c r="BH52" s="890">
        <f t="shared" si="31"/>
        <v>389.27499999999998</v>
      </c>
      <c r="BI52" s="890">
        <f t="shared" si="31"/>
        <v>389.27499999999998</v>
      </c>
      <c r="BJ52" s="174"/>
      <c r="BK52" s="890">
        <f t="shared" ref="BK52:BL52" si="39">+BK8</f>
        <v>261.02699999999999</v>
      </c>
      <c r="BL52" s="890">
        <f t="shared" si="39"/>
        <v>358.18200000000002</v>
      </c>
      <c r="BM52" s="890">
        <f t="shared" ref="BM52:BO52" si="40">+BM8</f>
        <v>362.613</v>
      </c>
      <c r="BN52" s="890">
        <f t="shared" si="40"/>
        <v>449.51100000000002</v>
      </c>
      <c r="BO52" s="890">
        <f t="shared" si="40"/>
        <v>449.51100000000002</v>
      </c>
      <c r="BP52" s="174"/>
      <c r="BQ52" s="890">
        <f>+BO8</f>
        <v>449.51100000000002</v>
      </c>
      <c r="BR52" s="890">
        <f>+BQ8</f>
        <v>401.34818807637788</v>
      </c>
      <c r="BS52" s="890">
        <f t="shared" ref="BS52:BU52" si="41">+BR8</f>
        <v>406.59477609408833</v>
      </c>
      <c r="BT52" s="890">
        <f t="shared" si="41"/>
        <v>383.46798777497236</v>
      </c>
      <c r="BU52" s="890">
        <f t="shared" si="41"/>
        <v>403.59098942337386</v>
      </c>
      <c r="BV52" s="174"/>
      <c r="BW52" s="890">
        <f>+BU8</f>
        <v>403.59098942337386</v>
      </c>
      <c r="BX52" s="890">
        <f>+BW8</f>
        <v>408.01666206685667</v>
      </c>
      <c r="BY52" s="890">
        <f t="shared" ref="BY52:CA52" si="42">+BX8</f>
        <v>470.86342329483398</v>
      </c>
      <c r="BZ52" s="890">
        <f t="shared" si="42"/>
        <v>510.72116793859152</v>
      </c>
      <c r="CA52" s="890">
        <f t="shared" si="42"/>
        <v>609.08842684248475</v>
      </c>
      <c r="CB52" s="174"/>
      <c r="CC52" s="890">
        <f>+CA8</f>
        <v>609.08842684248475</v>
      </c>
      <c r="CD52" s="890">
        <f>+CC8</f>
        <v>643.86821552323659</v>
      </c>
      <c r="CE52" s="890">
        <f t="shared" ref="CE52:CG52" si="43">+CD8</f>
        <v>751.15138289299966</v>
      </c>
      <c r="CF52" s="890">
        <f t="shared" si="43"/>
        <v>833.16954767329457</v>
      </c>
      <c r="CG52" s="890">
        <f t="shared" si="43"/>
        <v>987.69303895009909</v>
      </c>
      <c r="CH52" s="79"/>
      <c r="CI52" s="79"/>
    </row>
    <row r="53" spans="1:87" hidden="1" outlineLevel="1" x14ac:dyDescent="0.2">
      <c r="A53" s="2" t="s">
        <v>528</v>
      </c>
      <c r="B53" s="174"/>
      <c r="C53" s="174"/>
      <c r="D53" s="174"/>
      <c r="E53" s="174"/>
      <c r="F53" s="174"/>
      <c r="G53" s="421"/>
      <c r="H53" s="174"/>
      <c r="I53" s="180">
        <f>+I54/I52*4</f>
        <v>3.399014778325124E-2</v>
      </c>
      <c r="J53" s="180">
        <f>+J54/J52*4</f>
        <v>2.7541615505370005E-2</v>
      </c>
      <c r="K53" s="180">
        <f>+K54/K52*4</f>
        <v>1.3240383168664429E-2</v>
      </c>
      <c r="L53" s="180">
        <f>+L54/L52*4</f>
        <v>-5.0975889781859933E-3</v>
      </c>
      <c r="M53" s="180">
        <f>+M54/M52</f>
        <v>1.7933409873708384E-2</v>
      </c>
      <c r="N53" s="174"/>
      <c r="O53" s="180">
        <f t="shared" ref="O53:R53" si="44">+O54/O52*4</f>
        <v>6.0998856271444937E-3</v>
      </c>
      <c r="P53" s="180">
        <f t="shared" si="44"/>
        <v>1.8235091912065616E-2</v>
      </c>
      <c r="Q53" s="180">
        <f t="shared" si="44"/>
        <v>-7.9728745743264644E-3</v>
      </c>
      <c r="R53" s="180">
        <f t="shared" si="44"/>
        <v>-7.56815847483588E-3</v>
      </c>
      <c r="S53" s="180">
        <f t="shared" ref="S53" si="45">+S54/S52</f>
        <v>7.1477052262338802E-4</v>
      </c>
      <c r="T53" s="174"/>
      <c r="U53" s="180">
        <f t="shared" ref="U53:X53" si="46">+U54/U52*4</f>
        <v>-1.1617219955148713E-2</v>
      </c>
      <c r="V53" s="180">
        <f t="shared" si="46"/>
        <v>2.6462992099270154E-3</v>
      </c>
      <c r="W53" s="180">
        <f t="shared" si="46"/>
        <v>-1.2531895939967693E-3</v>
      </c>
      <c r="X53" s="180">
        <f t="shared" si="46"/>
        <v>-3.4072706540330673E-3</v>
      </c>
      <c r="Y53" s="180">
        <f t="shared" ref="Y53" si="47">+Y54/Y52</f>
        <v>-2.4807916813726827E-3</v>
      </c>
      <c r="Z53" s="174"/>
      <c r="AA53" s="180">
        <f t="shared" ref="AA53:AD53" si="48">+AA54/AA52*4</f>
        <v>1.1535669846536711E-3</v>
      </c>
      <c r="AB53" s="180">
        <f t="shared" si="48"/>
        <v>-7.2594850747596477E-3</v>
      </c>
      <c r="AC53" s="180">
        <f t="shared" si="48"/>
        <v>-2.3339877070054243E-3</v>
      </c>
      <c r="AD53" s="180">
        <f t="shared" si="48"/>
        <v>-1.3960735431598629E-3</v>
      </c>
      <c r="AE53" s="180">
        <f t="shared" ref="AE53" si="49">+AE54/AE52</f>
        <v>-1.7409369481666147E-3</v>
      </c>
      <c r="AF53" s="174"/>
      <c r="AG53" s="180">
        <f t="shared" ref="AG53:AJ53" si="50">+AG54/AG52*4</f>
        <v>-1.4476669296357212E-2</v>
      </c>
      <c r="AH53" s="180">
        <f t="shared" si="50"/>
        <v>8.2344301157919186E-3</v>
      </c>
      <c r="AI53" s="180">
        <f t="shared" si="50"/>
        <v>-4.6309202478132675E-3</v>
      </c>
      <c r="AJ53" s="180">
        <f t="shared" si="50"/>
        <v>-8.7732468193716419E-3</v>
      </c>
      <c r="AK53" s="180">
        <f t="shared" ref="AK53" si="51">+AK54/AK52</f>
        <v>-4.2299582879113274E-3</v>
      </c>
      <c r="AL53" s="174"/>
      <c r="AM53" s="180">
        <f t="shared" ref="AM53:AP53" si="52">+AM54/AM52*4</f>
        <v>-1.2021475611796378E-2</v>
      </c>
      <c r="AN53" s="180">
        <f t="shared" si="52"/>
        <v>-8.1460452166300899E-3</v>
      </c>
      <c r="AO53" s="180">
        <f t="shared" si="52"/>
        <v>1.0213888841497052E-2</v>
      </c>
      <c r="AP53" s="180">
        <f t="shared" si="52"/>
        <v>-3.2763538626812594E-3</v>
      </c>
      <c r="AQ53" s="180">
        <f t="shared" ref="AQ53" si="53">+AQ54/AQ52</f>
        <v>-4.4164920787148126E-3</v>
      </c>
      <c r="AR53" s="174"/>
      <c r="AS53" s="180">
        <f t="shared" ref="AS53:AV53" si="54">+AS54/AS52*4</f>
        <v>1.315343116334548E-2</v>
      </c>
      <c r="AT53" s="180">
        <f t="shared" si="54"/>
        <v>-2.2212801022266542E-3</v>
      </c>
      <c r="AU53" s="180">
        <f t="shared" si="54"/>
        <v>-4.4256016294361183E-2</v>
      </c>
      <c r="AV53" s="180">
        <f t="shared" si="54"/>
        <v>-3.4342150687193235E-2</v>
      </c>
      <c r="AW53" s="180">
        <f t="shared" ref="AW53" si="55">+AW54/AW52</f>
        <v>-1.6045349250266419E-2</v>
      </c>
      <c r="AX53" s="174"/>
      <c r="AY53" s="180">
        <f t="shared" ref="AY53:BB53" si="56">+AY54/AY52*4</f>
        <v>-3.0571960963901083E-2</v>
      </c>
      <c r="AZ53" s="180">
        <f t="shared" si="56"/>
        <v>4.3028568249120569E-3</v>
      </c>
      <c r="BA53" s="180">
        <f t="shared" si="56"/>
        <v>-3.6037692484486329E-2</v>
      </c>
      <c r="BB53" s="180">
        <f t="shared" si="56"/>
        <v>7.4650893783464707E-3</v>
      </c>
      <c r="BC53" s="180">
        <f t="shared" ref="BC53" si="57">+BC54/BC52</f>
        <v>-1.5103092168811191E-2</v>
      </c>
      <c r="BD53" s="174"/>
      <c r="BE53" s="180">
        <f t="shared" ref="BE53:BH53" si="58">+BE54/BE52*4</f>
        <v>-1.1060886684194847E-2</v>
      </c>
      <c r="BF53" s="180">
        <f t="shared" si="58"/>
        <v>2.9814079400856263E-3</v>
      </c>
      <c r="BG53" s="180">
        <f t="shared" si="58"/>
        <v>1.3935058626306115E-2</v>
      </c>
      <c r="BH53" s="180">
        <f t="shared" si="58"/>
        <v>-7.7230749470168905E-2</v>
      </c>
      <c r="BI53" s="180">
        <f t="shared" ref="BI53" si="59">+BI54/BI52</f>
        <v>-1.6325219960182394E-2</v>
      </c>
      <c r="BJ53" s="174"/>
      <c r="BK53" s="180">
        <f>+BK54/BK52*4</f>
        <v>2.5208120232772857E-2</v>
      </c>
      <c r="BL53" s="180">
        <f t="shared" ref="BL53:BN53" si="60">+BL54/BL52*4</f>
        <v>3.5870032553282971E-2</v>
      </c>
      <c r="BM53" s="180">
        <f t="shared" si="60"/>
        <v>4.1366415434636927E-2</v>
      </c>
      <c r="BN53" s="180">
        <f t="shared" si="60"/>
        <v>2.2967179891037148E-2</v>
      </c>
      <c r="BO53" s="180">
        <f t="shared" ref="BO53" si="61">+BO54/BO52</f>
        <v>2.4889268560724872E-2</v>
      </c>
      <c r="BP53" s="891"/>
      <c r="BQ53" s="893">
        <v>1.4999999999999999E-2</v>
      </c>
      <c r="BR53" s="893">
        <f>+BQ53</f>
        <v>1.4999999999999999E-2</v>
      </c>
      <c r="BS53" s="893">
        <f>+BR53</f>
        <v>1.4999999999999999E-2</v>
      </c>
      <c r="BT53" s="893">
        <f>+BS53</f>
        <v>1.4999999999999999E-2</v>
      </c>
      <c r="BU53" s="180">
        <f>+BU54/BU52</f>
        <v>1.5246765862109751E-2</v>
      </c>
      <c r="BV53" s="893"/>
      <c r="BW53" s="893">
        <v>1.4999999999999999E-2</v>
      </c>
      <c r="BX53" s="893">
        <f>+BW53</f>
        <v>1.4999999999999999E-2</v>
      </c>
      <c r="BY53" s="893">
        <f>+BX53</f>
        <v>1.4999999999999999E-2</v>
      </c>
      <c r="BZ53" s="893">
        <f>+BY53</f>
        <v>1.4999999999999999E-2</v>
      </c>
      <c r="CA53" s="180">
        <f>+CA54/CA52</f>
        <v>1.1040221113826406E-2</v>
      </c>
      <c r="CB53" s="893"/>
      <c r="CC53" s="951">
        <v>0.15</v>
      </c>
      <c r="CD53" s="951">
        <f>+CC53</f>
        <v>0.15</v>
      </c>
      <c r="CE53" s="951">
        <f>+CD53</f>
        <v>0.15</v>
      </c>
      <c r="CF53" s="951">
        <f>+CE53</f>
        <v>0.15</v>
      </c>
      <c r="CG53" s="180">
        <f>+CG54/CG52</f>
        <v>0.10772365987113745</v>
      </c>
      <c r="CH53" s="79"/>
      <c r="CI53" s="79"/>
    </row>
    <row r="54" spans="1:87" hidden="1" outlineLevel="1" x14ac:dyDescent="0.2">
      <c r="A54" s="2" t="s">
        <v>529</v>
      </c>
      <c r="B54" s="174"/>
      <c r="C54" s="174"/>
      <c r="D54" s="174"/>
      <c r="E54" s="174"/>
      <c r="F54" s="174"/>
      <c r="G54" s="421"/>
      <c r="H54" s="892"/>
      <c r="I54" s="663">
        <f>+'P&amp;L'!I28</f>
        <v>0.96599999999999997</v>
      </c>
      <c r="J54" s="663">
        <f>+'P&amp;L'!J28</f>
        <v>0.443</v>
      </c>
      <c r="K54" s="663">
        <f>+'P&amp;L'!K28</f>
        <v>0.26400000000000001</v>
      </c>
      <c r="L54" s="663">
        <f>+'P&amp;L'!L28</f>
        <v>-0.11099999999999999</v>
      </c>
      <c r="M54" s="663">
        <f>+'P&amp;L'!M28</f>
        <v>1.5620000000000001</v>
      </c>
      <c r="N54" s="892"/>
      <c r="O54" s="663">
        <f>+'P&amp;L'!O28</f>
        <v>0.14799999999999999</v>
      </c>
      <c r="P54" s="663">
        <f>+'P&amp;L'!P28</f>
        <v>0.55700000000000005</v>
      </c>
      <c r="Q54" s="663">
        <f>+'P&amp;L'!Q28</f>
        <v>-0.27100000000000002</v>
      </c>
      <c r="R54" s="663">
        <f>+'P&amp;L'!R28</f>
        <v>-0.31500000000000011</v>
      </c>
      <c r="S54" s="663">
        <f>+'P&amp;L'!S28</f>
        <v>0.11899999999999994</v>
      </c>
      <c r="T54" s="892"/>
      <c r="U54" s="663">
        <f>+'P&amp;L'!U28</f>
        <v>-0.55300000000000005</v>
      </c>
      <c r="V54" s="663">
        <f>+'P&amp;L'!V28</f>
        <v>0.156</v>
      </c>
      <c r="W54" s="663">
        <f>+'P&amp;L'!W28</f>
        <v>-8.3000000000000004E-2</v>
      </c>
      <c r="X54" s="663">
        <f>+'P&amp;L'!X28</f>
        <v>-0.25099999999999983</v>
      </c>
      <c r="Y54" s="663">
        <f>+'P&amp;L'!Y28</f>
        <v>-0.73099999999999987</v>
      </c>
      <c r="Z54" s="892"/>
      <c r="AA54" s="663">
        <f>+'P&amp;L'!AA28</f>
        <v>8.8999999999999996E-2</v>
      </c>
      <c r="AB54" s="663">
        <f>+'P&amp;L'!AB28</f>
        <v>-0.30599999999999999</v>
      </c>
      <c r="AC54" s="663">
        <f>+'P&amp;L'!AC28</f>
        <v>-0.11799999999999999</v>
      </c>
      <c r="AD54" s="663">
        <f>+'P&amp;L'!AD28</f>
        <v>-8.4000000000000005E-2</v>
      </c>
      <c r="AE54" s="663">
        <f>+'P&amp;L'!AE28</f>
        <v>-0.41899999999999998</v>
      </c>
      <c r="AF54" s="892"/>
      <c r="AG54" s="663">
        <f>+'P&amp;L'!AG28</f>
        <v>-0.81200000000000006</v>
      </c>
      <c r="AH54" s="663">
        <f>+'P&amp;L'!AH28</f>
        <v>0.54100000000000004</v>
      </c>
      <c r="AI54" s="663">
        <f>+'P&amp;L'!AI28</f>
        <v>-0.35299999999999998</v>
      </c>
      <c r="AJ54" s="663">
        <f>+'P&amp;L'!AJ28</f>
        <v>-0.67200000000000004</v>
      </c>
      <c r="AK54" s="663">
        <f>+'P&amp;L'!AK28</f>
        <v>-1.296</v>
      </c>
      <c r="AL54" s="892"/>
      <c r="AM54" s="663">
        <f>+'P&amp;L'!AM28</f>
        <v>-0.98799999999999999</v>
      </c>
      <c r="AN54" s="663">
        <f>+'P&amp;L'!AN28</f>
        <v>-0.33500000000000002</v>
      </c>
      <c r="AO54" s="663">
        <f>+'P&amp;L'!AO28</f>
        <v>0.44900000000000001</v>
      </c>
      <c r="AP54" s="663">
        <f>+'P&amp;L'!AP28</f>
        <v>-0.19900000000000001</v>
      </c>
      <c r="AQ54" s="663">
        <f>+'P&amp;L'!AQ28</f>
        <v>-1.073</v>
      </c>
      <c r="AR54" s="892"/>
      <c r="AS54" s="663">
        <f>+'P&amp;L'!AS28</f>
        <v>0.60099999999999998</v>
      </c>
      <c r="AT54" s="663">
        <f>+'P&amp;L'!AT28</f>
        <v>-9.2999999999999999E-2</v>
      </c>
      <c r="AU54" s="663">
        <f>+'P&amp;L'!AU28</f>
        <v>-1.9990000000000001</v>
      </c>
      <c r="AV54" s="663">
        <f>+'P&amp;L'!AV28</f>
        <v>-1.716</v>
      </c>
      <c r="AW54" s="663">
        <f>+'P&amp;L'!AW28</f>
        <v>-3.2069999999999999</v>
      </c>
      <c r="AX54" s="892"/>
      <c r="AY54" s="663">
        <f>+'P&amp;L'!AY28</f>
        <v>-1.452</v>
      </c>
      <c r="AZ54" s="663">
        <f>+'P&amp;L'!AZ28</f>
        <v>0.17399999999999999</v>
      </c>
      <c r="BA54" s="663">
        <f>+'P&amp;L'!BA28</f>
        <v>-1.5680000000000001</v>
      </c>
      <c r="BB54" s="663">
        <f>+'P&amp;L'!BB28</f>
        <v>0.313</v>
      </c>
      <c r="BC54" s="663">
        <f>+'P&amp;L'!BC28</f>
        <v>-2.5329999999999999</v>
      </c>
      <c r="BD54" s="892"/>
      <c r="BE54" s="663">
        <f>+'P&amp;L'!BE28</f>
        <v>-0.42699999999999999</v>
      </c>
      <c r="BF54" s="663">
        <f>+'P&amp;L'!BF28</f>
        <v>0.125</v>
      </c>
      <c r="BG54" s="663">
        <f>+'P&amp;L'!BG28</f>
        <v>1.4630000000000001</v>
      </c>
      <c r="BH54" s="663">
        <f>+'P&amp;L'!BH28</f>
        <v>-7.516</v>
      </c>
      <c r="BI54" s="663">
        <f>+'P&amp;L'!BI28</f>
        <v>-6.3550000000000004</v>
      </c>
      <c r="BJ54" s="892"/>
      <c r="BK54" s="663">
        <f>+'P&amp;L'!BK28</f>
        <v>1.645</v>
      </c>
      <c r="BL54" s="663">
        <f>+'P&amp;L'!BL28</f>
        <v>3.2120000000000002</v>
      </c>
      <c r="BM54" s="663">
        <f>+'P&amp;L'!BM28</f>
        <v>3.75</v>
      </c>
      <c r="BN54" s="663">
        <f>+'P&amp;L'!BN28</f>
        <v>2.581</v>
      </c>
      <c r="BO54" s="663">
        <f>+'P&amp;L'!BO28</f>
        <v>11.187999999999999</v>
      </c>
      <c r="BP54" s="174"/>
      <c r="BQ54" s="49">
        <f>+BQ53*BQ52/4</f>
        <v>1.6856662499999999</v>
      </c>
      <c r="BR54" s="49">
        <f>+BR53*BR52/4</f>
        <v>1.5050557052864171</v>
      </c>
      <c r="BS54" s="49">
        <f>+BS53*BS52/4</f>
        <v>1.5247304103528312</v>
      </c>
      <c r="BT54" s="49">
        <f>+BT53*BT52/4</f>
        <v>1.4380049541561464</v>
      </c>
      <c r="BU54" s="49">
        <f>+SUM(BQ54:BT54)</f>
        <v>6.1534573197953941</v>
      </c>
      <c r="BV54" s="174"/>
      <c r="BW54" s="49">
        <f>+BW53*BW52/4</f>
        <v>1.5134662103376519</v>
      </c>
      <c r="BX54" s="49">
        <f>+BX53*BX52/4</f>
        <v>1.5300624827507125</v>
      </c>
      <c r="BY54" s="49">
        <f>+BY53*BY52/4</f>
        <v>1.7657378373556274</v>
      </c>
      <c r="BZ54" s="49">
        <f>+BZ53*BZ52/4</f>
        <v>1.915204379769718</v>
      </c>
      <c r="CA54" s="49">
        <f>+SUM(BW54:BZ54)</f>
        <v>6.7244709102137099</v>
      </c>
      <c r="CB54" s="174"/>
      <c r="CC54" s="49">
        <f>+CC53*CC52/4</f>
        <v>22.840816006593176</v>
      </c>
      <c r="CD54" s="49">
        <f>+CD53*CD52/4</f>
        <v>24.14505808212137</v>
      </c>
      <c r="CE54" s="49">
        <f>+CE53*CE52/4</f>
        <v>28.168176858487488</v>
      </c>
      <c r="CF54" s="49">
        <f>+CF53*CF52/4</f>
        <v>31.243858037748545</v>
      </c>
      <c r="CG54" s="49">
        <f>+SUM(CC54:CF54)</f>
        <v>106.39790898495059</v>
      </c>
      <c r="CH54" s="79"/>
      <c r="CI54" s="79"/>
    </row>
    <row r="55" spans="1:87" hidden="1" outlineLevel="1" x14ac:dyDescent="0.2">
      <c r="A55" s="2"/>
      <c r="B55" s="174"/>
      <c r="C55" s="174"/>
      <c r="D55" s="174"/>
      <c r="E55" s="174"/>
      <c r="F55" s="174"/>
      <c r="G55" s="421"/>
      <c r="H55" s="174"/>
      <c r="I55" s="180"/>
      <c r="J55" s="180"/>
      <c r="K55" s="180"/>
      <c r="L55" s="180"/>
      <c r="M55" s="180"/>
      <c r="N55" s="174"/>
      <c r="O55" s="180"/>
      <c r="P55" s="180"/>
      <c r="Q55" s="180"/>
      <c r="R55" s="180"/>
      <c r="S55" s="180"/>
      <c r="T55" s="174"/>
      <c r="U55" s="180"/>
      <c r="V55" s="180"/>
      <c r="W55" s="180"/>
      <c r="X55" s="180"/>
      <c r="Y55" s="180"/>
      <c r="Z55" s="174"/>
      <c r="AA55" s="180"/>
      <c r="AB55" s="180"/>
      <c r="AC55" s="180"/>
      <c r="AD55" s="180"/>
      <c r="AE55" s="180"/>
      <c r="AF55" s="174"/>
      <c r="AG55" s="180"/>
      <c r="AH55" s="180"/>
      <c r="AI55" s="180"/>
      <c r="AJ55" s="180"/>
      <c r="AK55" s="180"/>
      <c r="AL55" s="174"/>
      <c r="AM55" s="180"/>
      <c r="AN55" s="180"/>
      <c r="AO55" s="180"/>
      <c r="AP55" s="180"/>
      <c r="AQ55" s="180"/>
      <c r="AR55" s="174"/>
      <c r="AS55" s="180"/>
      <c r="AT55" s="180"/>
      <c r="AU55" s="180"/>
      <c r="AV55" s="180"/>
      <c r="AW55" s="180"/>
      <c r="AX55" s="174"/>
      <c r="AY55" s="180"/>
      <c r="AZ55" s="180"/>
      <c r="BA55" s="180"/>
      <c r="BB55" s="180"/>
      <c r="BC55" s="180"/>
      <c r="BD55" s="174"/>
      <c r="BE55" s="180"/>
      <c r="BF55" s="180"/>
      <c r="BG55" s="180"/>
      <c r="BH55" s="180"/>
      <c r="BI55" s="180"/>
      <c r="BJ55" s="174"/>
      <c r="BK55" s="180"/>
      <c r="BL55" s="180"/>
      <c r="BM55" s="180"/>
      <c r="BN55" s="180"/>
      <c r="BO55" s="180"/>
      <c r="BP55" s="174"/>
      <c r="BQ55" s="180"/>
      <c r="BR55" s="180"/>
      <c r="BS55" s="180"/>
      <c r="BT55" s="180"/>
      <c r="BU55" s="180"/>
      <c r="BV55" s="174"/>
      <c r="BW55" s="180"/>
      <c r="BX55" s="180"/>
      <c r="BY55" s="180"/>
      <c r="BZ55" s="180"/>
      <c r="CA55" s="180"/>
      <c r="CB55" s="174"/>
      <c r="CC55" s="180"/>
      <c r="CD55" s="180"/>
      <c r="CE55" s="180"/>
      <c r="CF55" s="180"/>
      <c r="CG55" s="180"/>
      <c r="CH55" s="79"/>
      <c r="CI55" s="79"/>
    </row>
    <row r="56" spans="1:87" hidden="1" outlineLevel="1" x14ac:dyDescent="0.2">
      <c r="A56" s="2" t="s">
        <v>404</v>
      </c>
      <c r="B56" s="851">
        <f t="shared" ref="B56:BM56" si="62">+B45</f>
        <v>0</v>
      </c>
      <c r="C56" s="851">
        <f t="shared" si="62"/>
        <v>0</v>
      </c>
      <c r="D56" s="851">
        <f t="shared" si="62"/>
        <v>0</v>
      </c>
      <c r="E56" s="851">
        <f t="shared" si="62"/>
        <v>0</v>
      </c>
      <c r="F56" s="851">
        <f t="shared" si="62"/>
        <v>0</v>
      </c>
      <c r="G56" s="851">
        <f t="shared" si="62"/>
        <v>0</v>
      </c>
      <c r="H56" s="851">
        <f t="shared" si="62"/>
        <v>0</v>
      </c>
      <c r="I56" s="851">
        <f t="shared" si="62"/>
        <v>0</v>
      </c>
      <c r="J56" s="851">
        <f t="shared" si="62"/>
        <v>0</v>
      </c>
      <c r="K56" s="851">
        <f t="shared" si="62"/>
        <v>0</v>
      </c>
      <c r="L56" s="851">
        <f t="shared" si="62"/>
        <v>0</v>
      </c>
      <c r="M56" s="851">
        <f t="shared" si="62"/>
        <v>0</v>
      </c>
      <c r="N56" s="851">
        <f t="shared" si="62"/>
        <v>0</v>
      </c>
      <c r="O56" s="851">
        <f t="shared" si="62"/>
        <v>0</v>
      </c>
      <c r="P56" s="851">
        <f t="shared" si="62"/>
        <v>0</v>
      </c>
      <c r="Q56" s="851">
        <f t="shared" si="62"/>
        <v>0</v>
      </c>
      <c r="R56" s="851">
        <f t="shared" si="62"/>
        <v>0</v>
      </c>
      <c r="S56" s="851">
        <f t="shared" si="62"/>
        <v>0</v>
      </c>
      <c r="T56" s="851">
        <f t="shared" si="62"/>
        <v>0</v>
      </c>
      <c r="U56" s="851">
        <f t="shared" si="62"/>
        <v>0</v>
      </c>
      <c r="V56" s="851">
        <f t="shared" si="62"/>
        <v>0</v>
      </c>
      <c r="W56" s="851">
        <f t="shared" si="62"/>
        <v>0</v>
      </c>
      <c r="X56" s="851">
        <f t="shared" si="62"/>
        <v>0</v>
      </c>
      <c r="Y56" s="851">
        <f t="shared" si="62"/>
        <v>0</v>
      </c>
      <c r="Z56" s="851">
        <f t="shared" si="62"/>
        <v>0</v>
      </c>
      <c r="AA56" s="851">
        <f t="shared" si="62"/>
        <v>0</v>
      </c>
      <c r="AB56" s="851">
        <f t="shared" si="62"/>
        <v>0</v>
      </c>
      <c r="AC56" s="851">
        <f t="shared" si="62"/>
        <v>0</v>
      </c>
      <c r="AD56" s="851">
        <f t="shared" si="62"/>
        <v>0</v>
      </c>
      <c r="AE56" s="851">
        <f t="shared" si="62"/>
        <v>0</v>
      </c>
      <c r="AF56" s="851"/>
      <c r="AG56" s="851">
        <f t="shared" si="62"/>
        <v>0</v>
      </c>
      <c r="AH56" s="851">
        <f t="shared" si="62"/>
        <v>0</v>
      </c>
      <c r="AI56" s="851">
        <f t="shared" si="62"/>
        <v>0</v>
      </c>
      <c r="AJ56" s="851">
        <f t="shared" si="62"/>
        <v>0</v>
      </c>
      <c r="AK56" s="851">
        <f>+AK45</f>
        <v>0</v>
      </c>
      <c r="AL56" s="851"/>
      <c r="AM56" s="851">
        <f t="shared" si="62"/>
        <v>0</v>
      </c>
      <c r="AN56" s="851">
        <f t="shared" si="62"/>
        <v>0</v>
      </c>
      <c r="AO56" s="851">
        <f t="shared" si="62"/>
        <v>0</v>
      </c>
      <c r="AP56" s="851">
        <f t="shared" si="62"/>
        <v>0</v>
      </c>
      <c r="AQ56" s="851">
        <f t="shared" si="62"/>
        <v>0</v>
      </c>
      <c r="AR56" s="851"/>
      <c r="AS56" s="851">
        <f t="shared" si="62"/>
        <v>0</v>
      </c>
      <c r="AT56" s="851">
        <f t="shared" si="62"/>
        <v>0</v>
      </c>
      <c r="AU56" s="851">
        <f t="shared" si="62"/>
        <v>0</v>
      </c>
      <c r="AV56" s="851">
        <f t="shared" si="62"/>
        <v>0</v>
      </c>
      <c r="AW56" s="851">
        <f t="shared" si="62"/>
        <v>0</v>
      </c>
      <c r="AX56" s="851"/>
      <c r="AY56" s="851">
        <f t="shared" si="62"/>
        <v>0</v>
      </c>
      <c r="AZ56" s="851">
        <f t="shared" si="62"/>
        <v>0</v>
      </c>
      <c r="BA56" s="851">
        <f t="shared" si="62"/>
        <v>0</v>
      </c>
      <c r="BB56" s="851">
        <f t="shared" si="62"/>
        <v>0</v>
      </c>
      <c r="BC56" s="851">
        <f t="shared" si="62"/>
        <v>0</v>
      </c>
      <c r="BD56" s="851"/>
      <c r="BE56" s="851">
        <f t="shared" si="62"/>
        <v>0</v>
      </c>
      <c r="BF56" s="851">
        <f t="shared" si="62"/>
        <v>0</v>
      </c>
      <c r="BG56" s="851">
        <f t="shared" si="62"/>
        <v>0</v>
      </c>
      <c r="BH56" s="851">
        <f t="shared" si="62"/>
        <v>0</v>
      </c>
      <c r="BI56" s="851">
        <f t="shared" si="62"/>
        <v>0</v>
      </c>
      <c r="BJ56" s="851"/>
      <c r="BK56" s="851">
        <f t="shared" si="62"/>
        <v>0</v>
      </c>
      <c r="BL56" s="851">
        <f t="shared" ref="BL56" si="63">+BL45</f>
        <v>0</v>
      </c>
      <c r="BM56" s="851">
        <f t="shared" si="62"/>
        <v>0</v>
      </c>
      <c r="BN56" s="851">
        <f t="shared" ref="BN56:CG56" si="64">+BN45</f>
        <v>0</v>
      </c>
      <c r="BO56" s="851">
        <f t="shared" si="64"/>
        <v>0</v>
      </c>
      <c r="BP56" s="851"/>
      <c r="BQ56" s="851">
        <f t="shared" si="64"/>
        <v>0</v>
      </c>
      <c r="BR56" s="851">
        <f t="shared" si="64"/>
        <v>0</v>
      </c>
      <c r="BS56" s="851">
        <f t="shared" si="64"/>
        <v>0</v>
      </c>
      <c r="BT56" s="851">
        <f t="shared" si="64"/>
        <v>0</v>
      </c>
      <c r="BU56" s="851">
        <f t="shared" si="64"/>
        <v>0</v>
      </c>
      <c r="BV56" s="851"/>
      <c r="BW56" s="851">
        <f t="shared" si="64"/>
        <v>0</v>
      </c>
      <c r="BX56" s="851">
        <f t="shared" si="64"/>
        <v>0</v>
      </c>
      <c r="BY56" s="851">
        <f t="shared" si="64"/>
        <v>0</v>
      </c>
      <c r="BZ56" s="851">
        <f t="shared" si="64"/>
        <v>0</v>
      </c>
      <c r="CA56" s="851">
        <f t="shared" si="64"/>
        <v>0</v>
      </c>
      <c r="CB56" s="851"/>
      <c r="CC56" s="851">
        <f t="shared" si="64"/>
        <v>0</v>
      </c>
      <c r="CD56" s="851">
        <f t="shared" si="64"/>
        <v>0</v>
      </c>
      <c r="CE56" s="851">
        <f t="shared" si="64"/>
        <v>0</v>
      </c>
      <c r="CF56" s="851">
        <f t="shared" si="64"/>
        <v>0</v>
      </c>
      <c r="CG56" s="851">
        <f t="shared" si="64"/>
        <v>0</v>
      </c>
      <c r="CH56" s="79"/>
      <c r="CI56" s="79"/>
    </row>
    <row r="57" spans="1:87" hidden="1" outlineLevel="1" x14ac:dyDescent="0.2">
      <c r="A57" s="2" t="s">
        <v>527</v>
      </c>
      <c r="B57" s="174"/>
      <c r="C57" s="174"/>
      <c r="D57" s="174"/>
      <c r="E57" s="174"/>
      <c r="F57" s="174"/>
      <c r="G57" s="421"/>
      <c r="H57" s="174"/>
      <c r="I57" s="891">
        <v>0.03</v>
      </c>
      <c r="J57" s="891">
        <v>0.03</v>
      </c>
      <c r="K57" s="891">
        <v>0.03</v>
      </c>
      <c r="L57" s="891">
        <v>0.03</v>
      </c>
      <c r="M57" s="891">
        <v>0.03</v>
      </c>
      <c r="N57" s="891"/>
      <c r="O57" s="891">
        <v>0.03</v>
      </c>
      <c r="P57" s="891">
        <v>0.03</v>
      </c>
      <c r="Q57" s="891">
        <v>0.03</v>
      </c>
      <c r="R57" s="891">
        <v>0.03</v>
      </c>
      <c r="S57" s="891">
        <v>0.03</v>
      </c>
      <c r="T57" s="891"/>
      <c r="U57" s="891">
        <v>0.03</v>
      </c>
      <c r="V57" s="891">
        <v>0.03</v>
      </c>
      <c r="W57" s="891">
        <v>0.03</v>
      </c>
      <c r="X57" s="891">
        <v>0.03</v>
      </c>
      <c r="Y57" s="891">
        <v>0.03</v>
      </c>
      <c r="Z57" s="891"/>
      <c r="AA57" s="891">
        <v>0.03</v>
      </c>
      <c r="AB57" s="891">
        <v>0.03</v>
      </c>
      <c r="AC57" s="891">
        <v>0.03</v>
      </c>
      <c r="AD57" s="891">
        <v>0.03</v>
      </c>
      <c r="AE57" s="891">
        <v>0.03</v>
      </c>
      <c r="AF57" s="891"/>
      <c r="AG57" s="891">
        <v>0.03</v>
      </c>
      <c r="AH57" s="891">
        <v>0.03</v>
      </c>
      <c r="AI57" s="891">
        <v>0.03</v>
      </c>
      <c r="AJ57" s="891">
        <v>0.03</v>
      </c>
      <c r="AK57" s="891">
        <v>0.03</v>
      </c>
      <c r="AL57" s="891"/>
      <c r="AM57" s="891">
        <v>0.03</v>
      </c>
      <c r="AN57" s="891">
        <v>0.03</v>
      </c>
      <c r="AO57" s="891">
        <v>0.03</v>
      </c>
      <c r="AP57" s="891">
        <v>0.03</v>
      </c>
      <c r="AQ57" s="891">
        <v>0.03</v>
      </c>
      <c r="AR57" s="891"/>
      <c r="AS57" s="891">
        <v>0.03</v>
      </c>
      <c r="AT57" s="891">
        <v>0.03</v>
      </c>
      <c r="AU57" s="891">
        <v>0.03</v>
      </c>
      <c r="AV57" s="891">
        <v>0.03</v>
      </c>
      <c r="AW57" s="891">
        <v>0.03</v>
      </c>
      <c r="AX57" s="891"/>
      <c r="AY57" s="891">
        <v>0.03</v>
      </c>
      <c r="AZ57" s="891">
        <v>0.03</v>
      </c>
      <c r="BA57" s="891">
        <v>0.03</v>
      </c>
      <c r="BB57" s="891">
        <v>0.03</v>
      </c>
      <c r="BC57" s="891">
        <v>0.03</v>
      </c>
      <c r="BD57" s="891"/>
      <c r="BE57" s="891">
        <v>0.03</v>
      </c>
      <c r="BF57" s="891">
        <v>0.03</v>
      </c>
      <c r="BG57" s="891">
        <v>0.03</v>
      </c>
      <c r="BH57" s="891">
        <v>0.03</v>
      </c>
      <c r="BI57" s="891">
        <v>0.03</v>
      </c>
      <c r="BJ57" s="891"/>
      <c r="BK57" s="891">
        <v>0.03</v>
      </c>
      <c r="BL57" s="891">
        <v>0.03</v>
      </c>
      <c r="BM57" s="891">
        <v>0.03</v>
      </c>
      <c r="BN57" s="891">
        <v>0.03</v>
      </c>
      <c r="BO57" s="891">
        <v>0.03</v>
      </c>
      <c r="BP57" s="891"/>
      <c r="BQ57" s="891">
        <v>0.03</v>
      </c>
      <c r="BR57" s="891">
        <v>0.03</v>
      </c>
      <c r="BS57" s="891">
        <v>0.03</v>
      </c>
      <c r="BT57" s="891">
        <v>0.03</v>
      </c>
      <c r="BU57" s="891">
        <v>0.03</v>
      </c>
      <c r="BV57" s="891"/>
      <c r="BW57" s="891">
        <v>0.03</v>
      </c>
      <c r="BX57" s="891">
        <v>0.03</v>
      </c>
      <c r="BY57" s="891">
        <v>0.03</v>
      </c>
      <c r="BZ57" s="891">
        <v>0.03</v>
      </c>
      <c r="CA57" s="891">
        <v>0.03</v>
      </c>
      <c r="CB57" s="891"/>
      <c r="CC57" s="891">
        <v>0.03</v>
      </c>
      <c r="CD57" s="891">
        <v>0.03</v>
      </c>
      <c r="CE57" s="891">
        <v>0.03</v>
      </c>
      <c r="CF57" s="891">
        <v>0.03</v>
      </c>
      <c r="CG57" s="891">
        <v>0.03</v>
      </c>
      <c r="CH57" s="79"/>
      <c r="CI57" s="79"/>
    </row>
    <row r="58" spans="1:87" hidden="1" outlineLevel="1" x14ac:dyDescent="0.2">
      <c r="A58" s="2" t="s">
        <v>530</v>
      </c>
      <c r="B58" s="174"/>
      <c r="C58" s="174"/>
      <c r="D58" s="174"/>
      <c r="E58" s="174"/>
      <c r="F58" s="174"/>
      <c r="G58" s="421"/>
      <c r="H58" s="174"/>
      <c r="I58" s="851">
        <f>+I57*I56</f>
        <v>0</v>
      </c>
      <c r="J58" s="851">
        <f t="shared" ref="J58:M58" si="65">+J57*J56</f>
        <v>0</v>
      </c>
      <c r="K58" s="851">
        <f t="shared" si="65"/>
        <v>0</v>
      </c>
      <c r="L58" s="851">
        <f t="shared" si="65"/>
        <v>0</v>
      </c>
      <c r="M58" s="851">
        <f t="shared" si="65"/>
        <v>0</v>
      </c>
      <c r="N58" s="174"/>
      <c r="O58" s="851">
        <f t="shared" ref="O58" si="66">+O57*O56</f>
        <v>0</v>
      </c>
      <c r="P58" s="851">
        <f t="shared" ref="P58" si="67">+P57*P56</f>
        <v>0</v>
      </c>
      <c r="Q58" s="851">
        <f t="shared" ref="Q58" si="68">+Q57*Q56</f>
        <v>0</v>
      </c>
      <c r="R58" s="851">
        <f t="shared" ref="R58" si="69">+R57*R56</f>
        <v>0</v>
      </c>
      <c r="S58" s="851">
        <f t="shared" ref="S58" si="70">+S57*S56</f>
        <v>0</v>
      </c>
      <c r="T58" s="174"/>
      <c r="U58" s="851">
        <f t="shared" ref="U58" si="71">+U57*U56</f>
        <v>0</v>
      </c>
      <c r="V58" s="851">
        <f t="shared" ref="V58" si="72">+V57*V56</f>
        <v>0</v>
      </c>
      <c r="W58" s="851">
        <f t="shared" ref="W58" si="73">+W57*W56</f>
        <v>0</v>
      </c>
      <c r="X58" s="851">
        <f t="shared" ref="X58" si="74">+X57*X56</f>
        <v>0</v>
      </c>
      <c r="Y58" s="851">
        <f t="shared" ref="Y58" si="75">+Y57*Y56</f>
        <v>0</v>
      </c>
      <c r="Z58" s="174"/>
      <c r="AA58" s="851">
        <f t="shared" ref="AA58" si="76">+AA57*AA56</f>
        <v>0</v>
      </c>
      <c r="AB58" s="851">
        <f t="shared" ref="AB58" si="77">+AB57*AB56</f>
        <v>0</v>
      </c>
      <c r="AC58" s="851">
        <f t="shared" ref="AC58" si="78">+AC57*AC56</f>
        <v>0</v>
      </c>
      <c r="AD58" s="851">
        <f t="shared" ref="AD58" si="79">+AD57*AD56</f>
        <v>0</v>
      </c>
      <c r="AE58" s="851">
        <f t="shared" ref="AE58" si="80">+AE57*AE56</f>
        <v>0</v>
      </c>
      <c r="AF58" s="174"/>
      <c r="AG58" s="851">
        <f t="shared" ref="AG58" si="81">+AG57*AG56</f>
        <v>0</v>
      </c>
      <c r="AH58" s="851">
        <f t="shared" ref="AH58" si="82">+AH57*AH56</f>
        <v>0</v>
      </c>
      <c r="AI58" s="851">
        <f t="shared" ref="AI58" si="83">+AI57*AI56</f>
        <v>0</v>
      </c>
      <c r="AJ58" s="851">
        <f t="shared" ref="AJ58" si="84">+AJ57*AJ56</f>
        <v>0</v>
      </c>
      <c r="AK58" s="851">
        <f t="shared" ref="AK58" si="85">+AK57*AK56</f>
        <v>0</v>
      </c>
      <c r="AL58" s="174"/>
      <c r="AM58" s="851">
        <f t="shared" ref="AM58" si="86">+AM57*AM56</f>
        <v>0</v>
      </c>
      <c r="AN58" s="851">
        <f t="shared" ref="AN58" si="87">+AN57*AN56</f>
        <v>0</v>
      </c>
      <c r="AO58" s="851">
        <f t="shared" ref="AO58" si="88">+AO57*AO56</f>
        <v>0</v>
      </c>
      <c r="AP58" s="851">
        <f t="shared" ref="AP58" si="89">+AP57*AP56</f>
        <v>0</v>
      </c>
      <c r="AQ58" s="851">
        <f t="shared" ref="AQ58" si="90">+AQ57*AQ56</f>
        <v>0</v>
      </c>
      <c r="AR58" s="174"/>
      <c r="AS58" s="851">
        <f t="shared" ref="AS58" si="91">+AS57*AS56</f>
        <v>0</v>
      </c>
      <c r="AT58" s="851">
        <f t="shared" ref="AT58" si="92">+AT57*AT56</f>
        <v>0</v>
      </c>
      <c r="AU58" s="851">
        <f t="shared" ref="AU58" si="93">+AU57*AU56</f>
        <v>0</v>
      </c>
      <c r="AV58" s="851">
        <f t="shared" ref="AV58" si="94">+AV57*AV56</f>
        <v>0</v>
      </c>
      <c r="AW58" s="851">
        <f t="shared" ref="AW58" si="95">+AW57*AW56</f>
        <v>0</v>
      </c>
      <c r="AX58" s="174"/>
      <c r="AY58" s="851">
        <f t="shared" ref="AY58" si="96">+AY57*AY56</f>
        <v>0</v>
      </c>
      <c r="AZ58" s="851">
        <f t="shared" ref="AZ58" si="97">+AZ57*AZ56</f>
        <v>0</v>
      </c>
      <c r="BA58" s="851">
        <f t="shared" ref="BA58" si="98">+BA57*BA56</f>
        <v>0</v>
      </c>
      <c r="BB58" s="851">
        <f t="shared" ref="BB58" si="99">+BB57*BB56</f>
        <v>0</v>
      </c>
      <c r="BC58" s="851">
        <f t="shared" ref="BC58" si="100">+BC57*BC56</f>
        <v>0</v>
      </c>
      <c r="BD58" s="174"/>
      <c r="BE58" s="851">
        <f t="shared" ref="BE58" si="101">+BE57*BE56</f>
        <v>0</v>
      </c>
      <c r="BF58" s="851">
        <f t="shared" ref="BF58" si="102">+BF57*BF56</f>
        <v>0</v>
      </c>
      <c r="BG58" s="851">
        <f t="shared" ref="BG58" si="103">+BG57*BG56</f>
        <v>0</v>
      </c>
      <c r="BH58" s="851">
        <f t="shared" ref="BH58" si="104">+BH57*BH56</f>
        <v>0</v>
      </c>
      <c r="BI58" s="851">
        <f t="shared" ref="BI58" si="105">+BI57*BI56</f>
        <v>0</v>
      </c>
      <c r="BJ58" s="174"/>
      <c r="BK58" s="851">
        <f t="shared" ref="BK58" si="106">+BK57*BK56</f>
        <v>0</v>
      </c>
      <c r="BL58" s="851">
        <f t="shared" ref="BL58" si="107">+BL57*BL56</f>
        <v>0</v>
      </c>
      <c r="BM58" s="851">
        <f t="shared" ref="BM58" si="108">+BM57*BM56</f>
        <v>0</v>
      </c>
      <c r="BN58" s="851">
        <f t="shared" ref="BN58" si="109">+BN57*BN56</f>
        <v>0</v>
      </c>
      <c r="BO58" s="851">
        <f t="shared" ref="BO58" si="110">+BO57*BO56</f>
        <v>0</v>
      </c>
      <c r="BP58" s="174"/>
      <c r="BQ58" s="851">
        <f t="shared" ref="BQ58" si="111">+BQ57*BQ56</f>
        <v>0</v>
      </c>
      <c r="BR58" s="851">
        <f t="shared" ref="BR58" si="112">+BR57*BR56</f>
        <v>0</v>
      </c>
      <c r="BS58" s="851">
        <f t="shared" ref="BS58" si="113">+BS57*BS56</f>
        <v>0</v>
      </c>
      <c r="BT58" s="851">
        <f t="shared" ref="BT58" si="114">+BT57*BT56</f>
        <v>0</v>
      </c>
      <c r="BU58" s="851">
        <f t="shared" ref="BU58" si="115">+BU57*BU56</f>
        <v>0</v>
      </c>
      <c r="BV58" s="174"/>
      <c r="BW58" s="851">
        <f t="shared" ref="BW58" si="116">+BW57*BW56</f>
        <v>0</v>
      </c>
      <c r="BX58" s="851">
        <f t="shared" ref="BX58" si="117">+BX57*BX56</f>
        <v>0</v>
      </c>
      <c r="BY58" s="851">
        <f t="shared" ref="BY58" si="118">+BY57*BY56</f>
        <v>0</v>
      </c>
      <c r="BZ58" s="851">
        <f t="shared" ref="BZ58" si="119">+BZ57*BZ56</f>
        <v>0</v>
      </c>
      <c r="CA58" s="851">
        <f t="shared" ref="CA58" si="120">+CA57*CA56</f>
        <v>0</v>
      </c>
      <c r="CB58" s="174"/>
      <c r="CC58" s="851">
        <f t="shared" ref="CC58" si="121">+CC57*CC56</f>
        <v>0</v>
      </c>
      <c r="CD58" s="851">
        <f t="shared" ref="CD58" si="122">+CD57*CD56</f>
        <v>0</v>
      </c>
      <c r="CE58" s="851">
        <f t="shared" ref="CE58" si="123">+CE57*CE56</f>
        <v>0</v>
      </c>
      <c r="CF58" s="851">
        <f t="shared" ref="CF58" si="124">+CF57*CF56</f>
        <v>0</v>
      </c>
      <c r="CG58" s="851">
        <f t="shared" ref="CG58" si="125">+CG57*CG56</f>
        <v>0</v>
      </c>
      <c r="CH58" s="79"/>
      <c r="CI58" s="79"/>
    </row>
    <row r="59" spans="1:87" hidden="1" outlineLevel="1" x14ac:dyDescent="0.2">
      <c r="A59" s="2"/>
      <c r="B59" s="70"/>
      <c r="C59" s="11"/>
      <c r="D59" s="11"/>
      <c r="E59" s="11"/>
      <c r="F59" s="11"/>
      <c r="G59" s="11"/>
      <c r="H59" s="70"/>
      <c r="I59" s="11"/>
      <c r="J59" s="11"/>
      <c r="K59" s="11"/>
      <c r="L59" s="11"/>
      <c r="M59" s="11"/>
      <c r="N59" s="70"/>
      <c r="O59" s="11"/>
      <c r="P59" s="11"/>
      <c r="Q59" s="11"/>
      <c r="R59" s="11"/>
      <c r="S59" s="11"/>
      <c r="T59" s="70"/>
      <c r="U59" s="11"/>
      <c r="V59" s="11"/>
      <c r="W59" s="11"/>
      <c r="X59" s="11"/>
      <c r="Y59" s="11"/>
      <c r="Z59" s="70"/>
      <c r="AB59" s="11"/>
      <c r="AC59" s="11"/>
      <c r="AD59" s="11"/>
      <c r="AE59" s="42"/>
      <c r="AF59" s="109"/>
      <c r="AH59" s="11"/>
      <c r="AI59" s="11"/>
      <c r="AK59" s="42"/>
      <c r="AL59" s="109"/>
      <c r="AO59" s="11"/>
      <c r="AQ59" s="42"/>
      <c r="AR59" s="109"/>
      <c r="AW59" s="42"/>
      <c r="AX59" s="109"/>
      <c r="BC59" s="42"/>
      <c r="BD59" s="109"/>
      <c r="BI59" s="42"/>
      <c r="BJ59" s="109"/>
      <c r="BO59" s="42"/>
      <c r="BP59" s="109"/>
      <c r="BU59" s="42"/>
      <c r="BV59" s="109"/>
      <c r="CA59" s="42"/>
      <c r="CB59" s="109"/>
      <c r="CG59" s="42"/>
      <c r="CH59" s="42"/>
      <c r="CI59" s="42"/>
    </row>
    <row r="60" spans="1:87" hidden="1" outlineLevel="1" x14ac:dyDescent="0.2">
      <c r="A60" s="16" t="s">
        <v>232</v>
      </c>
      <c r="B60" s="109"/>
      <c r="C60" s="173"/>
      <c r="D60" s="173"/>
      <c r="E60" s="173"/>
      <c r="F60" s="173"/>
      <c r="G60" s="173"/>
      <c r="H60" s="109"/>
      <c r="I60" s="173"/>
      <c r="J60" s="173"/>
      <c r="K60" s="173"/>
      <c r="L60" s="173"/>
      <c r="M60" s="173"/>
      <c r="N60" s="109"/>
      <c r="O60" s="173"/>
      <c r="P60" s="173"/>
      <c r="Q60" s="173"/>
      <c r="R60" s="173"/>
      <c r="S60" s="173"/>
      <c r="T60" s="109"/>
      <c r="U60" s="173"/>
      <c r="V60" s="173"/>
      <c r="W60" s="173"/>
      <c r="X60" s="173"/>
      <c r="Y60" s="173"/>
      <c r="Z60" s="109"/>
      <c r="AA60" s="173"/>
      <c r="AB60" s="173"/>
      <c r="AC60" s="173"/>
      <c r="AD60" s="173"/>
      <c r="AE60" s="173"/>
      <c r="AF60" s="109"/>
      <c r="AG60" s="173"/>
      <c r="AH60" s="173"/>
      <c r="AI60" s="173"/>
      <c r="AJ60" s="173"/>
      <c r="AK60" s="173"/>
      <c r="AL60" s="109"/>
      <c r="AM60" s="173"/>
      <c r="AN60" s="173"/>
      <c r="AO60" s="173"/>
      <c r="AP60" s="173"/>
      <c r="AQ60" s="173"/>
      <c r="AR60" s="109"/>
      <c r="AS60" s="173"/>
      <c r="AT60" s="173"/>
      <c r="AU60" s="173"/>
      <c r="AV60" s="173"/>
      <c r="AW60" s="173"/>
      <c r="AX60" s="109"/>
      <c r="AY60" s="173"/>
      <c r="AZ60" s="173"/>
      <c r="BA60" s="173"/>
      <c r="BB60" s="173"/>
      <c r="BC60" s="173"/>
      <c r="BD60" s="109"/>
      <c r="BE60" s="173"/>
      <c r="BF60" s="173"/>
      <c r="BG60" s="173"/>
      <c r="BH60" s="173"/>
      <c r="BI60" s="173"/>
      <c r="BJ60" s="109"/>
      <c r="BK60" s="173"/>
      <c r="BL60" s="173"/>
      <c r="BM60" s="173"/>
      <c r="BN60" s="173"/>
      <c r="BO60" s="173"/>
      <c r="BP60" s="109"/>
      <c r="BQ60" s="173"/>
      <c r="BR60" s="173"/>
      <c r="BS60" s="173"/>
      <c r="BT60" s="173"/>
      <c r="BU60" s="173"/>
      <c r="BV60" s="109"/>
      <c r="BW60" s="173"/>
      <c r="BX60" s="173"/>
      <c r="BY60" s="173"/>
      <c r="BZ60" s="173"/>
      <c r="CA60" s="173"/>
      <c r="CB60" s="109"/>
      <c r="CC60" s="173"/>
      <c r="CD60" s="173"/>
      <c r="CE60" s="173"/>
      <c r="CF60" s="173"/>
      <c r="CG60" s="173"/>
      <c r="CH60" s="79"/>
      <c r="CI60" s="79"/>
    </row>
    <row r="61" spans="1:87" hidden="1" outlineLevel="1" x14ac:dyDescent="0.2">
      <c r="A61" s="226" t="s">
        <v>233</v>
      </c>
      <c r="B61" s="110"/>
      <c r="C61" s="134"/>
      <c r="D61" s="134">
        <f>+'P&amp;L'!D36/(AVERAGE('Bal Sht'!C39:D39)*('P&amp;L'!D7/'P&amp;L'!$G$7))</f>
        <v>0.48189141821850168</v>
      </c>
      <c r="E61" s="134">
        <f>+'P&amp;L'!E36/(AVERAGE('Bal Sht'!D39:E39)*('P&amp;L'!E7/'P&amp;L'!$G$7))</f>
        <v>0.26974449858683192</v>
      </c>
      <c r="F61" s="134">
        <f>+'P&amp;L'!F36/(AVERAGE('Bal Sht'!E39:F39)*('P&amp;L'!F7/'P&amp;L'!$G$7))</f>
        <v>0.14460790293557485</v>
      </c>
      <c r="G61" s="134"/>
      <c r="H61" s="110"/>
      <c r="I61" s="134">
        <f>+'P&amp;L'!I36/(AVERAGE('Bal Sht'!G39,I39)*('P&amp;L'!I7/'P&amp;L'!$M$7))</f>
        <v>0.12619575096688951</v>
      </c>
      <c r="J61" s="134">
        <f>+'P&amp;L'!J36/(AVERAGE('Bal Sht'!I39,J39)*('P&amp;L'!J7/'P&amp;L'!$M$7))</f>
        <v>9.6435966042572721E-2</v>
      </c>
      <c r="K61" s="134">
        <f>+'P&amp;L'!K36/(AVERAGE('Bal Sht'!J39,K39)*('P&amp;L'!K7/'P&amp;L'!$M$7))</f>
        <v>0.18115158017796121</v>
      </c>
      <c r="L61" s="134">
        <f>+'P&amp;L'!L36/(AVERAGE('Bal Sht'!K39,L39)*('P&amp;L'!L7/'P&amp;L'!$M$7))</f>
        <v>0.10281369281144172</v>
      </c>
      <c r="M61" s="134">
        <f>+'P&amp;L'!M36/(AVERAGE(G39,I39:L39))</f>
        <v>0.12267846944603084</v>
      </c>
      <c r="N61" s="110"/>
      <c r="O61" s="134">
        <f>+'P&amp;L'!O36/(AVERAGE('Bal Sht'!M39,O39)*('P&amp;L'!O7/'P&amp;L'!$S$7))</f>
        <v>5.8001554224430089E-2</v>
      </c>
      <c r="P61" s="134">
        <f>+'P&amp;L'!P36/(AVERAGE('Bal Sht'!O39,P39)*('P&amp;L'!P7/'P&amp;L'!$S$7))</f>
        <v>8.3187972578855587E-2</v>
      </c>
      <c r="Q61" s="134">
        <f>+'P&amp;L'!Q36/(AVERAGE('Bal Sht'!P39,Q39)*('P&amp;L'!Q7/'P&amp;L'!$S$7))</f>
        <v>0.14262999873459206</v>
      </c>
      <c r="R61" s="134">
        <f>+'P&amp;L'!R36/(AVERAGE('Bal Sht'!Q39,R39)*('P&amp;L'!R7/'P&amp;L'!$S$7))</f>
        <v>0.18159593749805381</v>
      </c>
      <c r="S61" s="134">
        <f>+'P&amp;L'!S36/(AVERAGE(M39,O39:R39))</f>
        <v>0.11965592438832229</v>
      </c>
      <c r="T61" s="110"/>
      <c r="U61" s="134">
        <f>+'P&amp;L'!U36/(AVERAGE('Bal Sht'!S39,U39)*('P&amp;L'!U7/'P&amp;L'!$Y$7))</f>
        <v>0.22138487681206934</v>
      </c>
      <c r="V61" s="134">
        <f>+'P&amp;L'!V36/(AVERAGE('Bal Sht'!U39,V39)*('P&amp;L'!V7/'P&amp;L'!$Y$7))</f>
        <v>0.2094237086122018</v>
      </c>
      <c r="W61" s="134">
        <f>+'P&amp;L'!W36/(AVERAGE('Bal Sht'!V39,W39)*('P&amp;L'!W7/'P&amp;L'!$Y$7))</f>
        <v>0.22127052049690341</v>
      </c>
      <c r="X61" s="134">
        <f>+'P&amp;L'!X36/(AVERAGE('Bal Sht'!W39,X39)*('P&amp;L'!X7/'P&amp;L'!$Y$7))</f>
        <v>0.11802890773011643</v>
      </c>
      <c r="Y61" s="134">
        <f>+'P&amp;L'!Y36/(AVERAGE(S39,U39:X39))</f>
        <v>0.18986963682890629</v>
      </c>
      <c r="Z61" s="110"/>
      <c r="AA61" s="134">
        <f>+'P&amp;L'!AA36/(AVERAGE('Bal Sht'!Y39,AA39)*('P&amp;L'!AA7/'P&amp;L'!$AE$7))</f>
        <v>0.17622132860537074</v>
      </c>
      <c r="AB61" s="134">
        <f>+'P&amp;L'!AB36/(AVERAGE('Bal Sht'!AA39,AB39)*('P&amp;L'!AB7/'P&amp;L'!$Y$7))</f>
        <v>0.15698019108338054</v>
      </c>
      <c r="AC61" s="134">
        <f>+'P&amp;L'!AC36/(AVERAGE('Bal Sht'!AB39,AC39)*('P&amp;L'!AC7/'P&amp;L'!$Y$7))</f>
        <v>0.19635199278345353</v>
      </c>
      <c r="AD61" s="134">
        <f>+'P&amp;L'!AD36/(AVERAGE('Bal Sht'!AC39,AD39)*('P&amp;L'!AD7/'P&amp;L'!$Y$7))</f>
        <v>0.19242113879856818</v>
      </c>
      <c r="AE61" s="134">
        <f>+'P&amp;L'!AE36/(AVERAGE(Y39,AA39:AD39))</f>
        <v>0.1811160385872837</v>
      </c>
      <c r="AF61" s="110"/>
      <c r="AG61" s="134">
        <f>+'P&amp;L'!AG36/(AVERAGE('Bal Sht'!AE39,AG39)*('P&amp;L'!AG7/'P&amp;L'!$AE$7))</f>
        <v>0.17650071355932789</v>
      </c>
      <c r="AH61" s="134">
        <f>+'P&amp;L'!AH36/(AVERAGE('Bal Sht'!AG39,AH39)*('P&amp;L'!AH7/'P&amp;L'!$Y$7))</f>
        <v>0.20680520308669886</v>
      </c>
      <c r="AI61" s="134">
        <f>+'P&amp;L'!AI36/(AVERAGE('Bal Sht'!AH39,AI39)*('P&amp;L'!AI7/'P&amp;L'!$Y$7))</f>
        <v>0.15823363666096213</v>
      </c>
      <c r="AJ61" s="134">
        <f>+'P&amp;L'!AJ36/(AVERAGE('Bal Sht'!AI39,AJ39)*('P&amp;L'!AJ7/'P&amp;L'!$AK$7))</f>
        <v>0.14980301678694186</v>
      </c>
      <c r="AK61" s="134">
        <f>+'P&amp;L'!AK36/(AVERAGE(AE39,AG39:AJ39))</f>
        <v>0.17378340123150779</v>
      </c>
      <c r="AL61" s="110"/>
      <c r="AM61" s="134">
        <f>+'P&amp;L'!AM36/(AVERAGE('Bal Sht'!AK39,AM39)*('P&amp;L'!AM7/'P&amp;L'!$AQ$7))</f>
        <v>0.1505001436221296</v>
      </c>
      <c r="AN61" s="134">
        <f>+'P&amp;L'!AN36/(AVERAGE('Bal Sht'!AM39,AN39)*('P&amp;L'!AN7/'P&amp;L'!$AQ$7))</f>
        <v>0.21766578364279687</v>
      </c>
      <c r="AO61" s="134">
        <f>+'P&amp;L'!AO36/(AVERAGE('Bal Sht'!AN39,AO39)*('P&amp;L'!AO7/'P&amp;L'!$Y$7))</f>
        <v>0.25006669235968992</v>
      </c>
      <c r="AP61" s="134">
        <f>+'P&amp;L'!AP36/(AVERAGE('Bal Sht'!AO39,AP39)*('P&amp;L'!AP7/'P&amp;L'!$AK$7))</f>
        <v>0.27845971011042259</v>
      </c>
      <c r="AQ61" s="134">
        <f>+'P&amp;L'!AQ36/(AVERAGE(AK39,AM39:AP39))</f>
        <v>0.22198512892339795</v>
      </c>
      <c r="AR61" s="110"/>
      <c r="AS61" s="134">
        <f>+'P&amp;L'!AS36/(AVERAGE('Bal Sht'!AQ39,AS39)*('P&amp;L'!AS7/'P&amp;L'!$AQ$7))</f>
        <v>0.19734209718328127</v>
      </c>
      <c r="AT61" s="134">
        <f>+'P&amp;L'!AT36/(AVERAGE('Bal Sht'!AS39,AT39)*('P&amp;L'!AT7/'P&amp;L'!$AQ$7))</f>
        <v>0.2082097047012689</v>
      </c>
      <c r="AU61" s="134">
        <f>+'P&amp;L'!AU36/(AVERAGE('Bal Sht'!AT39,AU39)*('P&amp;L'!AU7/'P&amp;L'!$AQ$7))</f>
        <v>0.21719224758142122</v>
      </c>
      <c r="AV61" s="134">
        <f>+'P&amp;L'!AV36/(AVERAGE('Bal Sht'!AU39,AV39)*('P&amp;L'!AV7/'P&amp;L'!$AK$7))</f>
        <v>0.21282428797030228</v>
      </c>
      <c r="AW61" s="134">
        <f>+'P&amp;L'!AW36/(AVERAGE(AQ39,AS39:AV39))</f>
        <v>0.20942366272554061</v>
      </c>
      <c r="AX61" s="110"/>
      <c r="AY61" s="134">
        <f>+'P&amp;L'!AY36/(AVERAGE('Bal Sht'!AW39,AY39)*('P&amp;L'!AY7/'P&amp;L'!$AQ$7))</f>
        <v>0.16367103976693759</v>
      </c>
      <c r="AZ61" s="134">
        <f>+'P&amp;L'!AZ36/(AVERAGE('Bal Sht'!AY39,AZ39)*('P&amp;L'!AZ7/'P&amp;L'!$AQ$7))</f>
        <v>0.16097718258483551</v>
      </c>
      <c r="BA61" s="134">
        <f>+'P&amp;L'!BA36/(AVERAGE('Bal Sht'!AZ39,BA39)*('P&amp;L'!BA7/'P&amp;L'!$AQ$7))</f>
        <v>0.13983970222967287</v>
      </c>
      <c r="BB61" s="134">
        <f>+'P&amp;L'!BB36/(AVERAGE('Bal Sht'!BA39,BB39)*('P&amp;L'!BB7/'P&amp;L'!$AK$7))</f>
        <v>0.23575357899311616</v>
      </c>
      <c r="BC61" s="134">
        <f>+'P&amp;L'!BC36/(AVERAGE(AW39,AY39:BB39))</f>
        <v>0.1755430885818334</v>
      </c>
      <c r="BD61" s="110"/>
      <c r="BE61" s="134">
        <f>+'P&amp;L'!BE36/(AVERAGE('Bal Sht'!BC39,BE39)*('P&amp;L'!BE7/'P&amp;L'!$AQ$7))</f>
        <v>0.1886178367970831</v>
      </c>
      <c r="BF61" s="134">
        <f>+'P&amp;L'!BF36/(AVERAGE('Bal Sht'!BE39,BF39)*('P&amp;L'!BF7/'P&amp;L'!$AQ$7))</f>
        <v>0.22341105124607771</v>
      </c>
      <c r="BG61" s="134">
        <f>+'P&amp;L'!BG36/(AVERAGE('Bal Sht'!BF39,BG39)*('P&amp;L'!BG7/'P&amp;L'!$AQ$7))</f>
        <v>0.21669964994577023</v>
      </c>
      <c r="BH61" s="134">
        <f>+'P&amp;L'!BH36/(AVERAGE('Bal Sht'!BG39,BH39)*('P&amp;L'!BH7/'P&amp;L'!$AK$7))</f>
        <v>0.19361679334703819</v>
      </c>
      <c r="BI61" s="134">
        <f>+'P&amp;L'!BI36/(AVERAGE(BC39,BE39:BH39))</f>
        <v>0.20578393607121406</v>
      </c>
      <c r="BJ61" s="110"/>
      <c r="BK61" s="134">
        <f>+'P&amp;L'!BK36/(AVERAGE('Bal Sht'!BI39,BK39)*('P&amp;L'!BK7/'P&amp;L'!$AQ$7))</f>
        <v>0.27540463966680406</v>
      </c>
      <c r="BL61" s="134">
        <f>+'P&amp;L'!BL36/(AVERAGE('Bal Sht'!BK39,BL39)*('P&amp;L'!BL7/'P&amp;L'!$AQ$7))</f>
        <v>0.26155906163493903</v>
      </c>
      <c r="BM61" s="134">
        <f>+'P&amp;L'!BM36/(AVERAGE('Bal Sht'!BL39,BM39)*('P&amp;L'!BM7/'P&amp;L'!$AQ$7))</f>
        <v>0.29001473589119525</v>
      </c>
      <c r="BN61" s="134">
        <f>+'P&amp;L'!BN36/(AVERAGE('Bal Sht'!BM39,BN39)*('P&amp;L'!BN7/'P&amp;L'!$AQ$7))</f>
        <v>0.32976546068619184</v>
      </c>
      <c r="BO61" s="134">
        <f>+'P&amp;L'!BO36/(AVERAGE(BI39,BK39:BN39))</f>
        <v>0.29171253082071164</v>
      </c>
      <c r="BP61" s="110"/>
      <c r="BQ61" s="134">
        <f>+'P&amp;L'!BQ36/(AVERAGE('Bal Sht'!BO39,BQ39)*('P&amp;L'!BQ7/'P&amp;L'!$AQ$7))</f>
        <v>0.33052231857799819</v>
      </c>
      <c r="BR61" s="134">
        <f>+'P&amp;L'!BR36/(AVERAGE('Bal Sht'!BQ39,BR39)*('P&amp;L'!BR7/'P&amp;L'!$AQ$7))</f>
        <v>0.31923411707637944</v>
      </c>
      <c r="BS61" s="134">
        <f>+'P&amp;L'!BS36/(AVERAGE('Bal Sht'!BR39,BS39)*('P&amp;L'!BS7/'P&amp;L'!$AQ$7))</f>
        <v>0.3028998025539239</v>
      </c>
      <c r="BT61" s="134">
        <f>+'P&amp;L'!BT36/(AVERAGE('Bal Sht'!BS39,BT39)*('P&amp;L'!BT7/'P&amp;L'!$AQ$7))</f>
        <v>0.32689580290193898</v>
      </c>
      <c r="BU61" s="134">
        <f>+'P&amp;L'!BU36/(AVERAGE(BO39,BQ39:BT39))</f>
        <v>0.31945140304264424</v>
      </c>
      <c r="BV61" s="110"/>
      <c r="BW61" s="134">
        <f>+'P&amp;L'!BW36/(AVERAGE('Bal Sht'!BU39,BW39)*('P&amp;L'!BW7/'P&amp;L'!$AQ$7))</f>
        <v>0.31244907018813123</v>
      </c>
      <c r="BX61" s="134">
        <f>+'P&amp;L'!BX36/(AVERAGE('Bal Sht'!BW39,BX39)*('P&amp;L'!BX7/'P&amp;L'!$AQ$7))</f>
        <v>0.34753162367973967</v>
      </c>
      <c r="BY61" s="134">
        <f>+'P&amp;L'!BY36/(AVERAGE('Bal Sht'!BX39,BY39)*('P&amp;L'!BY7/'P&amp;L'!$AQ$7))</f>
        <v>0.35572205597854606</v>
      </c>
      <c r="BZ61" s="134">
        <f>+'P&amp;L'!BZ36/(AVERAGE('Bal Sht'!BY39,BZ39)*('P&amp;L'!BZ7/'P&amp;L'!$AQ$7))</f>
        <v>0.37017529702621238</v>
      </c>
      <c r="CA61" s="134">
        <f>+'P&amp;L'!CA36/(AVERAGE(BU39,BW39:BZ39))</f>
        <v>0.3470285338726094</v>
      </c>
      <c r="CB61" s="110"/>
      <c r="CC61" s="134">
        <f>+'P&amp;L'!CC36/(AVERAGE('Bal Sht'!CA39,CC39)*('P&amp;L'!CC7/'P&amp;L'!$AQ$7))</f>
        <v>0.35484442936813304</v>
      </c>
      <c r="CD61" s="134">
        <f>+'P&amp;L'!CD36/(AVERAGE('Bal Sht'!CC39,CD39)*('P&amp;L'!CD7/'P&amp;L'!$AQ$7))</f>
        <v>0.37899490421510795</v>
      </c>
      <c r="CE61" s="134">
        <f>+'P&amp;L'!CE36/(AVERAGE('Bal Sht'!CD39,CE39)*('P&amp;L'!CE7/'P&amp;L'!$AQ$7))</f>
        <v>0.38494024112251818</v>
      </c>
      <c r="CF61" s="134">
        <f>+'P&amp;L'!CF36/(AVERAGE('Bal Sht'!CE39,CF39)*('P&amp;L'!CF7/'P&amp;L'!$AQ$7))</f>
        <v>0.39221154569911781</v>
      </c>
      <c r="CG61" s="134">
        <f>+'P&amp;L'!CG36/(AVERAGE(CA39,CC39:CF39))</f>
        <v>0.37794075485917844</v>
      </c>
      <c r="CH61" s="79"/>
      <c r="CI61" s="79"/>
    </row>
    <row r="62" spans="1:87" hidden="1" outlineLevel="1" x14ac:dyDescent="0.2">
      <c r="A62" s="227" t="s">
        <v>238</v>
      </c>
      <c r="B62" s="110"/>
      <c r="C62" s="134"/>
      <c r="D62" s="134">
        <f>+'P&amp;L'!D36/(AVERAGE('Bal Sht'!C22:D22)*('P&amp;L'!D7/'P&amp;L'!$G$7))</f>
        <v>0.322759369365968</v>
      </c>
      <c r="E62" s="134">
        <f>+'P&amp;L'!E36/(AVERAGE('Bal Sht'!D22:E22)*('P&amp;L'!E7/'P&amp;L'!$G$7))</f>
        <v>0.19336901482643201</v>
      </c>
      <c r="F62" s="134">
        <f>+'P&amp;L'!F36/(AVERAGE('Bal Sht'!E22:F22)*('P&amp;L'!F7/'P&amp;L'!$G$7))</f>
        <v>0.10496227256145352</v>
      </c>
      <c r="G62" s="134"/>
      <c r="H62" s="110"/>
      <c r="I62" s="134">
        <f>+'P&amp;L'!I36/(AVERAGE('Bal Sht'!G22,I22)*('P&amp;L'!I7/'P&amp;L'!$M$7))</f>
        <v>9.401522408479035E-2</v>
      </c>
      <c r="J62" s="134">
        <f>+'P&amp;L'!J36/(AVERAGE('Bal Sht'!I22,J22)*('P&amp;L'!J7/'P&amp;L'!$M$7))</f>
        <v>7.2324338899383819E-2</v>
      </c>
      <c r="K62" s="134">
        <f>+'P&amp;L'!K36/(AVERAGE('Bal Sht'!J22,K22)*('P&amp;L'!K7/'P&amp;L'!$M$7))</f>
        <v>0.13319302040422293</v>
      </c>
      <c r="L62" s="134">
        <f>+'P&amp;L'!L36/(AVERAGE('Bal Sht'!K22,L22)*('P&amp;L'!L7/'P&amp;L'!$M$7))</f>
        <v>7.8416172554668345E-2</v>
      </c>
      <c r="M62" s="134">
        <f>+'P&amp;L'!M36/(AVERAGE(G22,I22:L22))</f>
        <v>9.2047674018996606E-2</v>
      </c>
      <c r="N62" s="110"/>
      <c r="O62" s="134">
        <f>+'P&amp;L'!O36/(AVERAGE('Bal Sht'!M22,O22)*('P&amp;L'!O7/'P&amp;L'!$S$7))</f>
        <v>4.5518354247588835E-2</v>
      </c>
      <c r="P62" s="134">
        <f>+'P&amp;L'!P36/(AVERAGE('Bal Sht'!O22,P22)*('P&amp;L'!P7/'P&amp;L'!$S$7))</f>
        <v>6.4853405896598507E-2</v>
      </c>
      <c r="Q62" s="134">
        <f>+'P&amp;L'!Q36/(AVERAGE('Bal Sht'!P22,Q22)*('P&amp;L'!Q7/'P&amp;L'!$S$7))</f>
        <v>0.11066333934624044</v>
      </c>
      <c r="R62" s="134">
        <f>+'P&amp;L'!R36/(AVERAGE('Bal Sht'!Q22,R22)*('P&amp;L'!R7/'P&amp;L'!$S$7))</f>
        <v>0.14048469086390145</v>
      </c>
      <c r="S62" s="134">
        <f>+'P&amp;L'!S36/(AVERAGE(M22,O22:R22))</f>
        <v>9.3027810419114731E-2</v>
      </c>
      <c r="T62" s="110"/>
      <c r="U62" s="134">
        <f>+'P&amp;L'!U36/(AVERAGE('Bal Sht'!S22,U22)*('P&amp;L'!U7/'P&amp;L'!$Y$7))</f>
        <v>0.17296399765334669</v>
      </c>
      <c r="V62" s="134">
        <f>+'P&amp;L'!V36/(AVERAGE('Bal Sht'!U22,V22)*('P&amp;L'!V7/'P&amp;L'!$Y$7))</f>
        <v>0.16874740918645376</v>
      </c>
      <c r="W62" s="134">
        <f>+'P&amp;L'!W36/(AVERAGE('Bal Sht'!V22,W22)*('P&amp;L'!W7/'P&amp;L'!$Y$7))</f>
        <v>0.17966292404284029</v>
      </c>
      <c r="X62" s="134">
        <f>+'P&amp;L'!X36/(AVERAGE('Bal Sht'!W22,X22)*('P&amp;L'!X7/'P&amp;L'!$Y$7))</f>
        <v>9.4347177339242125E-2</v>
      </c>
      <c r="Y62" s="134">
        <f>+'P&amp;L'!Y36/(AVERAGE(S22,U22:X22))</f>
        <v>0.15122869674733036</v>
      </c>
      <c r="Z62" s="110"/>
      <c r="AA62" s="134">
        <f>+'P&amp;L'!AA36/(AVERAGE('Bal Sht'!Y22,AA22)*('P&amp;L'!AA7/'P&amp;L'!$AE$7))</f>
        <v>0.1411058916811414</v>
      </c>
      <c r="AB62" s="134">
        <f>+'P&amp;L'!AB36/(AVERAGE('Bal Sht'!AA22,AB22)*('P&amp;L'!AB7/'P&amp;L'!$Y$7))</f>
        <v>0.12508228225002918</v>
      </c>
      <c r="AC62" s="134">
        <f>+'P&amp;L'!AC36/(AVERAGE('Bal Sht'!AB22,AC22)*('P&amp;L'!AC7/'P&amp;L'!$Y$7))</f>
        <v>0.15366445614786581</v>
      </c>
      <c r="AD62" s="134">
        <f>+'P&amp;L'!AD36/(AVERAGE('Bal Sht'!AC22,AD22)*('P&amp;L'!AD7/'P&amp;L'!$Y$7))</f>
        <v>0.14762921081428734</v>
      </c>
      <c r="AE62" s="134">
        <f>+'P&amp;L'!AE36/(AVERAGE(Y22,AA22:AD22))</f>
        <v>0.14176255497689172</v>
      </c>
      <c r="AF62" s="110"/>
      <c r="AG62" s="134">
        <f>+'P&amp;L'!AG36/(AVERAGE('Bal Sht'!AE22,AG22)*('P&amp;L'!AG7/'P&amp;L'!$AE$7))</f>
        <v>0.13558911336560378</v>
      </c>
      <c r="AH62" s="134">
        <f>+'P&amp;L'!AH36/(AVERAGE('Bal Sht'!AG22,AH22)*('P&amp;L'!AH7/'P&amp;L'!$Y$7))</f>
        <v>0.16217495380141478</v>
      </c>
      <c r="AI62" s="134">
        <f>+'P&amp;L'!AI36/(AVERAGE('Bal Sht'!AH22,AI22)*('P&amp;L'!AI7/'P&amp;L'!$Y$7))</f>
        <v>0.12434767601589275</v>
      </c>
      <c r="AJ62" s="134">
        <f>+'P&amp;L'!AJ36/(AVERAGE('Bal Sht'!AI22,AJ22)*('P&amp;L'!AJ7/'P&amp;L'!$AK$7))</f>
        <v>0.1162951557866726</v>
      </c>
      <c r="AK62" s="134">
        <f>+'P&amp;L'!AK36/(AVERAGE(AE22,AG22:AJ22))</f>
        <v>0.134808890687307</v>
      </c>
      <c r="AL62" s="110"/>
      <c r="AM62" s="134">
        <f>+'P&amp;L'!AM36/(AVERAGE('Bal Sht'!AK22,AM22)*('P&amp;L'!AM7/'P&amp;L'!$AQ$7))</f>
        <v>0.11597303279330752</v>
      </c>
      <c r="AN62" s="134">
        <f>+'P&amp;L'!AN36/(AVERAGE('Bal Sht'!AM22,AN22)*('P&amp;L'!AN7/'P&amp;L'!$AQ$7))</f>
        <v>0.16457525772354614</v>
      </c>
      <c r="AO62" s="134">
        <f>+'P&amp;L'!AO36/(AVERAGE('Bal Sht'!AN22,AO22)*('P&amp;L'!AO7/'P&amp;L'!$Y$7))</f>
        <v>0.18730338798203933</v>
      </c>
      <c r="AP62" s="134">
        <f>+'P&amp;L'!AP36/(AVERAGE('Bal Sht'!AO22,AP22)*('P&amp;L'!AP7/'P&amp;L'!$AK$7))</f>
        <v>0.21166887684499486</v>
      </c>
      <c r="AQ62" s="134">
        <f>+'P&amp;L'!AQ36/(AVERAGE(AK22,AM22:AP22))</f>
        <v>0.16877662260932541</v>
      </c>
      <c r="AR62" s="110"/>
      <c r="AS62" s="134">
        <f>+'P&amp;L'!AS36/(AVERAGE('Bal Sht'!AQ22,AS22)*('P&amp;L'!AS7/'P&amp;L'!$AQ$7))</f>
        <v>0.15287548148550789</v>
      </c>
      <c r="AT62" s="134">
        <f>+'P&amp;L'!AT36/(AVERAGE('Bal Sht'!AS22,AT22)*('P&amp;L'!AT7/'P&amp;L'!$AQ$7))</f>
        <v>0.16135860047520426</v>
      </c>
      <c r="AU62" s="134">
        <f>+'P&amp;L'!AU36/(AVERAGE('Bal Sht'!AT22,AU22)*('P&amp;L'!AU7/'P&amp;L'!$AQ$7))</f>
        <v>0.16561370511190757</v>
      </c>
      <c r="AV62" s="134">
        <f>+'P&amp;L'!AV36/(AVERAGE('Bal Sht'!AU22,AV22)*('P&amp;L'!AV7/'P&amp;L'!$AK$7))</f>
        <v>0.16214760416052437</v>
      </c>
      <c r="AW62" s="134">
        <f>+'P&amp;L'!AW36/(AVERAGE(AQ22,AS22:AV22))</f>
        <v>0.16062537187408238</v>
      </c>
      <c r="AX62" s="110"/>
      <c r="AY62" s="134">
        <f>+'P&amp;L'!AY36/(AVERAGE('Bal Sht'!AW22,AY22)*('P&amp;L'!AY7/'P&amp;L'!$AQ$7))</f>
        <v>0.12551333868286901</v>
      </c>
      <c r="AZ62" s="134">
        <f>+'P&amp;L'!AZ36/(AVERAGE('Bal Sht'!AY22,AZ22)*('P&amp;L'!AZ7/'P&amp;L'!$AQ$7))</f>
        <v>0.12234466531919219</v>
      </c>
      <c r="BA62" s="134">
        <f>+'P&amp;L'!BA36/(AVERAGE('Bal Sht'!AZ22,BA22)*('P&amp;L'!BA7/'P&amp;L'!$AQ$7))</f>
        <v>0.10401431187460283</v>
      </c>
      <c r="BB62" s="134">
        <f>+'P&amp;L'!BB36/(AVERAGE('Bal Sht'!BA22,BB22)*('P&amp;L'!BB7/'P&amp;L'!$AK$7))</f>
        <v>0.17339597552258981</v>
      </c>
      <c r="BC62" s="134">
        <f>+'P&amp;L'!BC36/(AVERAGE(AW22,AY22:BB22))</f>
        <v>0.13165424295755343</v>
      </c>
      <c r="BD62" s="110"/>
      <c r="BE62" s="134">
        <f>+'P&amp;L'!BE36/(AVERAGE('Bal Sht'!BC22,BE22)*('P&amp;L'!BE7/'P&amp;L'!$AQ$7))</f>
        <v>0.13869821136403732</v>
      </c>
      <c r="BF62" s="134">
        <f>+'P&amp;L'!BF36/(AVERAGE('Bal Sht'!BE22,BF22)*('P&amp;L'!BF7/'P&amp;L'!$AQ$7))</f>
        <v>0.163720631823183</v>
      </c>
      <c r="BG62" s="134">
        <f>+'P&amp;L'!BG36/(AVERAGE('Bal Sht'!BF22,BG22)*('P&amp;L'!BG7/'P&amp;L'!$AQ$7))</f>
        <v>0.15626023277413409</v>
      </c>
      <c r="BH62" s="134">
        <f>+'P&amp;L'!BH36/(AVERAGE('Bal Sht'!BG22,BH22)*('P&amp;L'!BH7/'P&amp;L'!$AK$7))</f>
        <v>0.13828438698335627</v>
      </c>
      <c r="BI62" s="134">
        <f>+'P&amp;L'!BI36/(AVERAGE(BC22,BE22:BH22))</f>
        <v>0.14911078993991378</v>
      </c>
      <c r="BJ62" s="110"/>
      <c r="BK62" s="134">
        <f>+'P&amp;L'!BK36/(AVERAGE('Bal Sht'!BI22,BK22)*('P&amp;L'!BK7/'P&amp;L'!$AQ$7))</f>
        <v>0.19678136631121196</v>
      </c>
      <c r="BL62" s="134">
        <f>+'P&amp;L'!BL36/(AVERAGE('Bal Sht'!BK22,BL22)*('P&amp;L'!BL7/'P&amp;L'!$AQ$7))</f>
        <v>0.1844664379029331</v>
      </c>
      <c r="BM62" s="134">
        <f>+'P&amp;L'!BM36/(AVERAGE('Bal Sht'!BL22,BM22)*('P&amp;L'!BM7/'P&amp;L'!$AQ$7))</f>
        <v>0.20176761544661909</v>
      </c>
      <c r="BN62" s="134">
        <f>+'P&amp;L'!BN36/(AVERAGE('Bal Sht'!BM22,BN22)*('P&amp;L'!BN7/'P&amp;L'!$AQ$7))</f>
        <v>0.22129934244784799</v>
      </c>
      <c r="BO62" s="134">
        <f>+'P&amp;L'!BO36/(AVERAGE(BI22,BK22:BN22))</f>
        <v>0.20173405344508014</v>
      </c>
      <c r="BP62" s="110"/>
      <c r="BQ62" s="134">
        <f>+'P&amp;L'!BQ36/(AVERAGE('Bal Sht'!BO22,BQ22)*('P&amp;L'!BQ7/'P&amp;L'!$AQ$7))</f>
        <v>0.21403402698124518</v>
      </c>
      <c r="BR62" s="134">
        <f>+'P&amp;L'!BR36/(AVERAGE('Bal Sht'!BQ22,BR22)*('P&amp;L'!BR7/'P&amp;L'!$AQ$7))</f>
        <v>0.20531292642593407</v>
      </c>
      <c r="BS62" s="134">
        <f>+'P&amp;L'!BS36/(AVERAGE('Bal Sht'!BR22,BS22)*('P&amp;L'!BS7/'P&amp;L'!$AQ$7))</f>
        <v>0.19482876438838195</v>
      </c>
      <c r="BT62" s="134">
        <f>+'P&amp;L'!BT36/(AVERAGE('Bal Sht'!BS22,BT22)*('P&amp;L'!BT7/'P&amp;L'!$AQ$7))</f>
        <v>0.21191376716683427</v>
      </c>
      <c r="BU62" s="134">
        <f>+'P&amp;L'!BU36/(AVERAGE(BO22,BQ22:BT22))</f>
        <v>0.2063755647250228</v>
      </c>
      <c r="BV62" s="110"/>
      <c r="BW62" s="134">
        <f>+'P&amp;L'!BW36/(AVERAGE('Bal Sht'!BU22,BW22)*('P&amp;L'!BW7/'P&amp;L'!$AQ$7))</f>
        <v>0.20340759105907105</v>
      </c>
      <c r="BX62" s="134">
        <f>+'P&amp;L'!BX36/(AVERAGE('Bal Sht'!BW22,BX22)*('P&amp;L'!BX7/'P&amp;L'!$AQ$7))</f>
        <v>0.22478988596960889</v>
      </c>
      <c r="BY62" s="134">
        <f>+'P&amp;L'!BY36/(AVERAGE('Bal Sht'!BX22,BY22)*('P&amp;L'!BY7/'P&amp;L'!$AQ$7))</f>
        <v>0.23075950352356878</v>
      </c>
      <c r="BZ62" s="134">
        <f>+'P&amp;L'!BZ36/(AVERAGE('Bal Sht'!BY22,BZ22)*('P&amp;L'!BZ7/'P&amp;L'!$AQ$7))</f>
        <v>0.24367958094856554</v>
      </c>
      <c r="CA62" s="134">
        <f>+'P&amp;L'!CA36/(AVERAGE(BU22,BW22:BZ22))</f>
        <v>0.22629573281161683</v>
      </c>
      <c r="CB62" s="110"/>
      <c r="CC62" s="134">
        <f>+'P&amp;L'!CC36/(AVERAGE('Bal Sht'!CA22,CC22)*('P&amp;L'!CC7/'P&amp;L'!$AQ$7))</f>
        <v>0.23728247821791953</v>
      </c>
      <c r="CD62" s="134">
        <f>+'P&amp;L'!CD36/(AVERAGE('Bal Sht'!CC22,CD22)*('P&amp;L'!CD7/'P&amp;L'!$AQ$7))</f>
        <v>0.25499544717355555</v>
      </c>
      <c r="CE62" s="134">
        <f>+'P&amp;L'!CE36/(AVERAGE('Bal Sht'!CD22,CE22)*('P&amp;L'!CE7/'P&amp;L'!$AQ$7))</f>
        <v>0.26100694718865047</v>
      </c>
      <c r="CF62" s="134">
        <f>+'P&amp;L'!CF36/(AVERAGE('Bal Sht'!CE22,CF22)*('P&amp;L'!CF7/'P&amp;L'!$AQ$7))</f>
        <v>0.27059795190708913</v>
      </c>
      <c r="CG62" s="134">
        <f>+'P&amp;L'!CG36/(AVERAGE(CA22,CC22:CF22))</f>
        <v>0.25622972664626553</v>
      </c>
      <c r="CH62" s="79"/>
      <c r="CI62" s="79"/>
    </row>
    <row r="63" spans="1:87" hidden="1" outlineLevel="1" x14ac:dyDescent="0.2">
      <c r="A63" s="79" t="s">
        <v>564</v>
      </c>
      <c r="B63" s="109"/>
      <c r="C63" s="134">
        <f t="shared" ref="C63:BN63" si="126">C173</f>
        <v>0</v>
      </c>
      <c r="D63" s="134">
        <f t="shared" si="126"/>
        <v>0.868934457198136</v>
      </c>
      <c r="E63" s="134">
        <f t="shared" si="126"/>
        <v>0.53523423742922838</v>
      </c>
      <c r="F63" s="134">
        <f t="shared" si="126"/>
        <v>0.27024489169614818</v>
      </c>
      <c r="G63" s="134">
        <f t="shared" si="126"/>
        <v>0.55391774613395628</v>
      </c>
      <c r="H63" s="109"/>
      <c r="I63" s="134">
        <f t="shared" si="126"/>
        <v>0.26071204170924389</v>
      </c>
      <c r="J63" s="134">
        <f t="shared" si="126"/>
        <v>0.18371918585502187</v>
      </c>
      <c r="K63" s="134">
        <f t="shared" si="126"/>
        <v>0.3228261278433408</v>
      </c>
      <c r="L63" s="134">
        <f t="shared" si="126"/>
        <v>0.26786047634677174</v>
      </c>
      <c r="M63" s="134">
        <f t="shared" si="126"/>
        <v>0.28387217800194003</v>
      </c>
      <c r="N63" s="109"/>
      <c r="O63" s="134">
        <f t="shared" si="126"/>
        <v>0.17971014129060855</v>
      </c>
      <c r="P63" s="134">
        <f t="shared" si="126"/>
        <v>0.28871584885386076</v>
      </c>
      <c r="Q63" s="134">
        <f t="shared" si="126"/>
        <v>0.63695324017431099</v>
      </c>
      <c r="R63" s="134">
        <f t="shared" si="126"/>
        <v>0.93316360885931926</v>
      </c>
      <c r="S63" s="134">
        <f t="shared" si="126"/>
        <v>0.50420970804735099</v>
      </c>
      <c r="T63" s="109"/>
      <c r="U63" s="134">
        <f t="shared" si="126"/>
        <v>1.3382395926384447</v>
      </c>
      <c r="V63" s="134">
        <f t="shared" si="126"/>
        <v>1.2534878417674402</v>
      </c>
      <c r="W63" s="134">
        <f t="shared" si="126"/>
        <v>1.5122092545821277</v>
      </c>
      <c r="X63" s="134">
        <f t="shared" si="126"/>
        <v>1.0424410247703708</v>
      </c>
      <c r="Y63" s="134">
        <f t="shared" si="126"/>
        <v>1.5178380197765926</v>
      </c>
      <c r="Z63" s="109"/>
      <c r="AA63" s="134">
        <f t="shared" si="126"/>
        <v>1.4430009528422283</v>
      </c>
      <c r="AB63" s="134">
        <f t="shared" si="126"/>
        <v>0.84147498681405708</v>
      </c>
      <c r="AC63" s="134">
        <f t="shared" si="126"/>
        <v>0.86095239727718142</v>
      </c>
      <c r="AD63" s="134">
        <f t="shared" si="126"/>
        <v>0.89114487446182888</v>
      </c>
      <c r="AE63" s="134">
        <f t="shared" si="126"/>
        <v>1.1204223092647514</v>
      </c>
      <c r="AF63" s="109"/>
      <c r="AG63" s="134">
        <f t="shared" si="126"/>
        <v>0.74909785957916564</v>
      </c>
      <c r="AH63" s="134">
        <f t="shared" si="126"/>
        <v>0.77405364830210843</v>
      </c>
      <c r="AI63" s="134">
        <f t="shared" si="126"/>
        <v>0.63139519329640448</v>
      </c>
      <c r="AJ63" s="134">
        <f t="shared" si="126"/>
        <v>0.60009149380379956</v>
      </c>
      <c r="AK63" s="134">
        <f t="shared" si="126"/>
        <v>0.76710458773203649</v>
      </c>
      <c r="AL63" s="109"/>
      <c r="AM63" s="134">
        <f t="shared" si="126"/>
        <v>0.57112681496966622</v>
      </c>
      <c r="AN63" s="134">
        <f t="shared" si="126"/>
        <v>0.62354219250566256</v>
      </c>
      <c r="AO63" s="134">
        <f t="shared" si="126"/>
        <v>0.57397149848595352</v>
      </c>
      <c r="AP63" s="134">
        <f t="shared" si="126"/>
        <v>0.69923526245792844</v>
      </c>
      <c r="AQ63" s="134">
        <f t="shared" si="126"/>
        <v>0.66421610160862443</v>
      </c>
      <c r="AR63" s="109"/>
      <c r="AS63" s="134">
        <f t="shared" si="126"/>
        <v>0.47114365321876095</v>
      </c>
      <c r="AT63" s="134">
        <f t="shared" si="126"/>
        <v>0.46020419791209266</v>
      </c>
      <c r="AU63" s="134">
        <f t="shared" si="126"/>
        <v>0.47999763996713912</v>
      </c>
      <c r="AV63" s="134">
        <f t="shared" si="126"/>
        <v>0.45092796535068008</v>
      </c>
      <c r="AW63" s="134">
        <f t="shared" si="126"/>
        <v>0.48743588381138631</v>
      </c>
      <c r="AX63" s="109"/>
      <c r="AY63" s="134">
        <f t="shared" si="126"/>
        <v>0.33691630521936994</v>
      </c>
      <c r="AZ63" s="134">
        <f t="shared" si="126"/>
        <v>0.31130628217429113</v>
      </c>
      <c r="BA63" s="134">
        <f t="shared" si="126"/>
        <v>0.27148055269895666</v>
      </c>
      <c r="BB63" s="134">
        <f t="shared" si="126"/>
        <v>0.43429031120672978</v>
      </c>
      <c r="BC63" s="134">
        <f t="shared" si="126"/>
        <v>0.3401619141254324</v>
      </c>
      <c r="BD63" s="109"/>
      <c r="BE63" s="134">
        <f t="shared" si="126"/>
        <v>0.332845984526699</v>
      </c>
      <c r="BF63" s="134">
        <f t="shared" si="126"/>
        <v>0.37169921181138671</v>
      </c>
      <c r="BG63" s="134">
        <f t="shared" si="126"/>
        <v>0.42436685505035571</v>
      </c>
      <c r="BH63" s="134">
        <f t="shared" si="126"/>
        <v>0.50718621302595257</v>
      </c>
      <c r="BI63" s="134">
        <f t="shared" si="126"/>
        <v>0.42724688024649132</v>
      </c>
      <c r="BJ63" s="109"/>
      <c r="BK63" s="134">
        <f t="shared" si="126"/>
        <v>0.51302752373077198</v>
      </c>
      <c r="BL63" s="134">
        <f t="shared" si="126"/>
        <v>0.46473827365127673</v>
      </c>
      <c r="BM63" s="134">
        <f t="shared" ref="BM63" si="127">BM173</f>
        <v>0.51968890113545441</v>
      </c>
      <c r="BN63" s="134">
        <f t="shared" si="126"/>
        <v>0.55123631865345768</v>
      </c>
      <c r="BO63" s="134">
        <f t="shared" ref="BO63" si="128">BO173</f>
        <v>0.54573623914407765</v>
      </c>
      <c r="BP63" s="109"/>
      <c r="BQ63" s="134">
        <f t="shared" ref="BQ63:BU63" si="129">BQ173</f>
        <v>0.5343125679518177</v>
      </c>
      <c r="BR63" s="134">
        <f t="shared" si="129"/>
        <v>0.50451740037385417</v>
      </c>
      <c r="BS63" s="134">
        <f t="shared" si="129"/>
        <v>0.47157360818757738</v>
      </c>
      <c r="BT63" s="134">
        <f t="shared" si="129"/>
        <v>0.48978387487130348</v>
      </c>
      <c r="BU63" s="134">
        <f t="shared" si="129"/>
        <v>0.49637550303026717</v>
      </c>
      <c r="BV63" s="109"/>
      <c r="BW63" s="134">
        <f t="shared" ref="BW63:CA63" si="130">BW173</f>
        <v>0.44918209988988839</v>
      </c>
      <c r="BX63" s="134">
        <f t="shared" si="130"/>
        <v>0.51682073778684667</v>
      </c>
      <c r="BY63" s="134">
        <f t="shared" si="130"/>
        <v>0.55148679614352158</v>
      </c>
      <c r="BZ63" s="134">
        <f t="shared" si="130"/>
        <v>0.58468797128551075</v>
      </c>
      <c r="CA63" s="134">
        <f t="shared" si="130"/>
        <v>0.52166272402864688</v>
      </c>
      <c r="CB63" s="109"/>
      <c r="CC63" s="134">
        <f t="shared" ref="CC63:CG63" si="131">CC173</f>
        <v>0.49553453503295569</v>
      </c>
      <c r="CD63" s="134">
        <f t="shared" si="131"/>
        <v>0.55904521316796585</v>
      </c>
      <c r="CE63" s="134">
        <f t="shared" si="131"/>
        <v>0.59516505957587207</v>
      </c>
      <c r="CF63" s="134">
        <f t="shared" si="131"/>
        <v>0.6244953341732048</v>
      </c>
      <c r="CG63" s="134">
        <f t="shared" si="131"/>
        <v>0.56535559812627378</v>
      </c>
      <c r="CH63" s="79"/>
      <c r="CI63" s="79"/>
    </row>
    <row r="64" spans="1:87" hidden="1" outlineLevel="1" x14ac:dyDescent="0.2">
      <c r="A64" s="2"/>
      <c r="B64" s="23"/>
      <c r="C64" s="11"/>
      <c r="D64" s="11"/>
      <c r="E64" s="11"/>
      <c r="F64" s="11"/>
      <c r="G64" s="134"/>
      <c r="H64" s="23"/>
      <c r="I64" s="11"/>
      <c r="J64" s="11"/>
      <c r="K64" s="11"/>
      <c r="L64" s="11"/>
      <c r="N64" s="23"/>
      <c r="O64" s="11"/>
      <c r="P64" s="11"/>
      <c r="Q64" s="11"/>
      <c r="R64" s="11"/>
      <c r="S64" s="11"/>
      <c r="T64" s="23"/>
      <c r="U64" s="11"/>
      <c r="V64" s="11"/>
      <c r="W64" s="11"/>
      <c r="X64" s="11"/>
      <c r="Y64" s="11"/>
      <c r="Z64" s="23"/>
      <c r="AB64" s="11"/>
      <c r="AC64" s="11"/>
      <c r="AD64" s="11"/>
      <c r="AE64" s="42"/>
      <c r="AF64" s="112"/>
      <c r="AH64" s="11"/>
      <c r="AI64" s="11"/>
      <c r="AK64" s="42"/>
      <c r="AL64" s="112"/>
      <c r="AO64" s="11"/>
      <c r="AQ64" s="42"/>
      <c r="AR64" s="112"/>
      <c r="AW64" s="42"/>
      <c r="AX64" s="112"/>
      <c r="BC64" s="42"/>
      <c r="BD64" s="112"/>
      <c r="BI64" s="42"/>
      <c r="BJ64" s="112"/>
      <c r="BO64" s="42"/>
      <c r="BP64" s="112"/>
      <c r="BU64" s="42"/>
      <c r="BV64" s="112"/>
      <c r="CA64" s="42"/>
      <c r="CB64" s="112"/>
      <c r="CG64" s="42"/>
      <c r="CH64" s="42"/>
      <c r="CI64" s="42"/>
    </row>
    <row r="65" spans="1:87" collapsed="1" x14ac:dyDescent="0.2">
      <c r="A65" s="16" t="s">
        <v>240</v>
      </c>
      <c r="B65" s="109"/>
      <c r="C65" s="173"/>
      <c r="D65" s="173"/>
      <c r="E65" s="173"/>
      <c r="F65" s="173"/>
      <c r="G65" s="173"/>
      <c r="H65" s="109"/>
      <c r="I65" s="173"/>
      <c r="J65" s="173"/>
      <c r="K65" s="173"/>
      <c r="L65" s="173"/>
      <c r="M65" s="173"/>
      <c r="N65" s="109"/>
      <c r="O65" s="173"/>
      <c r="P65" s="173"/>
      <c r="Q65" s="173"/>
      <c r="R65" s="173"/>
      <c r="S65" s="173"/>
      <c r="T65" s="109"/>
      <c r="U65" s="173"/>
      <c r="V65" s="173"/>
      <c r="W65" s="173"/>
      <c r="X65" s="173"/>
      <c r="Y65" s="173"/>
      <c r="Z65" s="109"/>
      <c r="AA65" s="173"/>
      <c r="AB65" s="173"/>
      <c r="AC65" s="173"/>
      <c r="AD65" s="173"/>
      <c r="AE65" s="173"/>
      <c r="AF65" s="109"/>
      <c r="AG65" s="173"/>
      <c r="AH65" s="173"/>
      <c r="AI65" s="173"/>
      <c r="AJ65" s="173"/>
      <c r="AK65" s="173"/>
      <c r="AL65" s="109"/>
      <c r="AM65" s="173"/>
      <c r="AN65" s="173"/>
      <c r="AO65" s="173"/>
      <c r="AP65" s="173"/>
      <c r="AQ65" s="173"/>
      <c r="AR65" s="109"/>
      <c r="AS65" s="173"/>
      <c r="AT65" s="173"/>
      <c r="AU65" s="173"/>
      <c r="AV65" s="173"/>
      <c r="AW65" s="173"/>
      <c r="AX65" s="109"/>
      <c r="AY65" s="173"/>
      <c r="AZ65" s="173"/>
      <c r="BA65" s="173"/>
      <c r="BB65" s="173"/>
      <c r="BC65" s="173"/>
      <c r="BD65" s="109"/>
      <c r="BE65" s="173"/>
      <c r="BF65" s="173"/>
      <c r="BG65" s="173"/>
      <c r="BH65" s="173"/>
      <c r="BI65" s="173"/>
      <c r="BJ65" s="109"/>
      <c r="BK65" s="173"/>
      <c r="BL65" s="173"/>
      <c r="BM65" s="173"/>
      <c r="BN65" s="173"/>
      <c r="BO65" s="173"/>
      <c r="BP65" s="109"/>
      <c r="BQ65" s="173"/>
      <c r="BR65" s="173"/>
      <c r="BS65" s="173"/>
      <c r="BT65" s="173"/>
      <c r="BU65" s="173"/>
      <c r="BV65" s="109"/>
      <c r="BW65" s="173"/>
      <c r="BX65" s="173"/>
      <c r="BY65" s="173"/>
      <c r="BZ65" s="173"/>
      <c r="CA65" s="173"/>
      <c r="CB65" s="109"/>
      <c r="CC65" s="173"/>
      <c r="CD65" s="173"/>
      <c r="CE65" s="173"/>
      <c r="CF65" s="173"/>
      <c r="CG65" s="173"/>
      <c r="CH65" s="79"/>
      <c r="CI65" s="79"/>
    </row>
    <row r="66" spans="1:87" ht="12.75" hidden="1" customHeight="1" outlineLevel="1" x14ac:dyDescent="0.2">
      <c r="A66" s="17" t="s">
        <v>241</v>
      </c>
      <c r="B66" s="175"/>
      <c r="C66" s="325" t="s">
        <v>174</v>
      </c>
      <c r="D66" s="325" t="s">
        <v>174</v>
      </c>
      <c r="E66" s="325" t="s">
        <v>174</v>
      </c>
      <c r="F66" s="325" t="s">
        <v>174</v>
      </c>
      <c r="G66" s="325" t="s">
        <v>174</v>
      </c>
      <c r="H66" s="175"/>
      <c r="I66" s="325" t="s">
        <v>174</v>
      </c>
      <c r="J66" s="325" t="s">
        <v>174</v>
      </c>
      <c r="K66" s="325" t="s">
        <v>174</v>
      </c>
      <c r="L66" s="325" t="s">
        <v>174</v>
      </c>
      <c r="M66" s="325" t="s">
        <v>174</v>
      </c>
      <c r="N66" s="175"/>
      <c r="O66" s="325" t="s">
        <v>174</v>
      </c>
      <c r="P66" s="325" t="s">
        <v>174</v>
      </c>
      <c r="Q66" s="325" t="s">
        <v>174</v>
      </c>
      <c r="R66" s="325" t="s">
        <v>174</v>
      </c>
      <c r="S66" s="325" t="s">
        <v>174</v>
      </c>
      <c r="T66" s="175"/>
      <c r="U66" s="325" t="s">
        <v>174</v>
      </c>
      <c r="V66" s="325" t="s">
        <v>174</v>
      </c>
      <c r="W66" s="325" t="s">
        <v>174</v>
      </c>
      <c r="X66" s="325" t="s">
        <v>174</v>
      </c>
      <c r="Y66" s="325" t="s">
        <v>174</v>
      </c>
      <c r="Z66" s="175"/>
      <c r="AA66" s="325" t="s">
        <v>174</v>
      </c>
      <c r="AB66" s="325" t="s">
        <v>174</v>
      </c>
      <c r="AC66" s="325" t="s">
        <v>174</v>
      </c>
      <c r="AD66" s="325" t="s">
        <v>174</v>
      </c>
      <c r="AE66" s="325" t="s">
        <v>174</v>
      </c>
      <c r="AF66" s="175"/>
      <c r="AG66" s="325" t="s">
        <v>174</v>
      </c>
      <c r="AH66" s="325" t="s">
        <v>174</v>
      </c>
      <c r="AI66" s="325" t="s">
        <v>174</v>
      </c>
      <c r="AJ66" s="325" t="s">
        <v>174</v>
      </c>
      <c r="AK66" s="325" t="s">
        <v>174</v>
      </c>
      <c r="AL66" s="175"/>
      <c r="AM66" s="325" t="s">
        <v>174</v>
      </c>
      <c r="AN66" s="325" t="s">
        <v>174</v>
      </c>
      <c r="AO66" s="325" t="s">
        <v>174</v>
      </c>
      <c r="AP66" s="325" t="s">
        <v>174</v>
      </c>
      <c r="AQ66" s="325" t="s">
        <v>174</v>
      </c>
      <c r="AR66" s="175"/>
      <c r="AS66" s="325" t="s">
        <v>174</v>
      </c>
      <c r="AT66" s="325" t="s">
        <v>174</v>
      </c>
      <c r="AU66" s="325" t="s">
        <v>174</v>
      </c>
      <c r="AV66" s="325" t="s">
        <v>174</v>
      </c>
      <c r="AW66" s="325" t="s">
        <v>174</v>
      </c>
      <c r="AX66" s="175"/>
      <c r="AY66" s="325" t="s">
        <v>174</v>
      </c>
      <c r="AZ66" s="325" t="s">
        <v>174</v>
      </c>
      <c r="BA66" s="325" t="s">
        <v>174</v>
      </c>
      <c r="BB66" s="325" t="s">
        <v>174</v>
      </c>
      <c r="BC66" s="325" t="s">
        <v>174</v>
      </c>
      <c r="BD66" s="175"/>
      <c r="BE66" s="325" t="s">
        <v>174</v>
      </c>
      <c r="BF66" s="325" t="s">
        <v>174</v>
      </c>
      <c r="BG66" s="325" t="s">
        <v>174</v>
      </c>
      <c r="BH66" s="325" t="s">
        <v>174</v>
      </c>
      <c r="BI66" s="325" t="s">
        <v>174</v>
      </c>
      <c r="BJ66" s="175"/>
      <c r="BK66" s="325" t="s">
        <v>174</v>
      </c>
      <c r="BL66" s="325" t="s">
        <v>174</v>
      </c>
      <c r="BM66" s="325" t="s">
        <v>174</v>
      </c>
      <c r="BN66" s="325" t="s">
        <v>174</v>
      </c>
      <c r="BO66" s="325" t="s">
        <v>174</v>
      </c>
      <c r="BP66" s="175"/>
      <c r="BQ66" s="325" t="s">
        <v>174</v>
      </c>
      <c r="BR66" s="325" t="s">
        <v>174</v>
      </c>
      <c r="BS66" s="325" t="s">
        <v>174</v>
      </c>
      <c r="BT66" s="325" t="s">
        <v>174</v>
      </c>
      <c r="BU66" s="325" t="s">
        <v>174</v>
      </c>
      <c r="BV66" s="175"/>
      <c r="BW66" s="325" t="s">
        <v>174</v>
      </c>
      <c r="BX66" s="325" t="s">
        <v>174</v>
      </c>
      <c r="BY66" s="325" t="s">
        <v>174</v>
      </c>
      <c r="BZ66" s="325" t="s">
        <v>174</v>
      </c>
      <c r="CA66" s="325" t="s">
        <v>174</v>
      </c>
      <c r="CB66" s="175"/>
      <c r="CC66" s="325" t="s">
        <v>174</v>
      </c>
      <c r="CD66" s="325" t="s">
        <v>174</v>
      </c>
      <c r="CE66" s="325" t="s">
        <v>174</v>
      </c>
      <c r="CF66" s="325" t="s">
        <v>174</v>
      </c>
      <c r="CG66" s="325" t="s">
        <v>174</v>
      </c>
      <c r="CH66" s="79"/>
      <c r="CI66" s="79"/>
    </row>
    <row r="67" spans="1:87" ht="12.75" hidden="1" customHeight="1" outlineLevel="1" x14ac:dyDescent="0.2">
      <c r="A67" s="18" t="s">
        <v>242</v>
      </c>
      <c r="B67" s="176"/>
      <c r="C67" s="325" t="s">
        <v>174</v>
      </c>
      <c r="D67" s="325" t="s">
        <v>174</v>
      </c>
      <c r="E67" s="325" t="s">
        <v>174</v>
      </c>
      <c r="F67" s="325" t="s">
        <v>174</v>
      </c>
      <c r="G67" s="325" t="s">
        <v>174</v>
      </c>
      <c r="H67" s="176"/>
      <c r="I67" s="325" t="s">
        <v>174</v>
      </c>
      <c r="J67" s="325" t="s">
        <v>174</v>
      </c>
      <c r="K67" s="325" t="s">
        <v>174</v>
      </c>
      <c r="L67" s="325" t="s">
        <v>174</v>
      </c>
      <c r="M67" s="325" t="s">
        <v>174</v>
      </c>
      <c r="N67" s="176"/>
      <c r="O67" s="325" t="s">
        <v>174</v>
      </c>
      <c r="P67" s="325" t="s">
        <v>174</v>
      </c>
      <c r="Q67" s="325" t="s">
        <v>174</v>
      </c>
      <c r="R67" s="325" t="s">
        <v>174</v>
      </c>
      <c r="S67" s="325" t="s">
        <v>174</v>
      </c>
      <c r="T67" s="176"/>
      <c r="U67" s="325" t="s">
        <v>174</v>
      </c>
      <c r="V67" s="325" t="s">
        <v>174</v>
      </c>
      <c r="W67" s="325" t="s">
        <v>174</v>
      </c>
      <c r="X67" s="325" t="s">
        <v>174</v>
      </c>
      <c r="Y67" s="325" t="s">
        <v>174</v>
      </c>
      <c r="Z67" s="176"/>
      <c r="AA67" s="325" t="s">
        <v>174</v>
      </c>
      <c r="AB67" s="325" t="s">
        <v>174</v>
      </c>
      <c r="AC67" s="325" t="s">
        <v>174</v>
      </c>
      <c r="AD67" s="325" t="s">
        <v>174</v>
      </c>
      <c r="AE67" s="325" t="s">
        <v>174</v>
      </c>
      <c r="AF67" s="176"/>
      <c r="AG67" s="325" t="s">
        <v>174</v>
      </c>
      <c r="AH67" s="325" t="s">
        <v>174</v>
      </c>
      <c r="AI67" s="325" t="s">
        <v>174</v>
      </c>
      <c r="AJ67" s="325" t="s">
        <v>174</v>
      </c>
      <c r="AK67" s="325" t="s">
        <v>174</v>
      </c>
      <c r="AL67" s="176"/>
      <c r="AM67" s="325" t="s">
        <v>174</v>
      </c>
      <c r="AN67" s="325" t="s">
        <v>174</v>
      </c>
      <c r="AO67" s="325" t="s">
        <v>174</v>
      </c>
      <c r="AP67" s="325" t="s">
        <v>174</v>
      </c>
      <c r="AQ67" s="325" t="s">
        <v>174</v>
      </c>
      <c r="AR67" s="176"/>
      <c r="AS67" s="325" t="s">
        <v>174</v>
      </c>
      <c r="AT67" s="325" t="s">
        <v>174</v>
      </c>
      <c r="AU67" s="325" t="s">
        <v>174</v>
      </c>
      <c r="AV67" s="325" t="s">
        <v>174</v>
      </c>
      <c r="AW67" s="325" t="s">
        <v>174</v>
      </c>
      <c r="AX67" s="176"/>
      <c r="AY67" s="325" t="s">
        <v>174</v>
      </c>
      <c r="AZ67" s="325" t="s">
        <v>174</v>
      </c>
      <c r="BA67" s="325" t="s">
        <v>174</v>
      </c>
      <c r="BB67" s="325" t="s">
        <v>174</v>
      </c>
      <c r="BC67" s="325" t="s">
        <v>174</v>
      </c>
      <c r="BD67" s="176"/>
      <c r="BE67" s="325" t="s">
        <v>174</v>
      </c>
      <c r="BF67" s="325" t="s">
        <v>174</v>
      </c>
      <c r="BG67" s="325" t="s">
        <v>174</v>
      </c>
      <c r="BH67" s="325" t="s">
        <v>174</v>
      </c>
      <c r="BI67" s="325" t="s">
        <v>174</v>
      </c>
      <c r="BJ67" s="176"/>
      <c r="BK67" s="325" t="s">
        <v>174</v>
      </c>
      <c r="BL67" s="325" t="s">
        <v>174</v>
      </c>
      <c r="BM67" s="325" t="s">
        <v>174</v>
      </c>
      <c r="BN67" s="325" t="s">
        <v>174</v>
      </c>
      <c r="BO67" s="325" t="s">
        <v>174</v>
      </c>
      <c r="BP67" s="176"/>
      <c r="BQ67" s="325" t="s">
        <v>174</v>
      </c>
      <c r="BR67" s="325" t="s">
        <v>174</v>
      </c>
      <c r="BS67" s="325" t="s">
        <v>174</v>
      </c>
      <c r="BT67" s="325" t="s">
        <v>174</v>
      </c>
      <c r="BU67" s="325" t="s">
        <v>174</v>
      </c>
      <c r="BV67" s="176"/>
      <c r="BW67" s="325" t="s">
        <v>174</v>
      </c>
      <c r="BX67" s="325" t="s">
        <v>174</v>
      </c>
      <c r="BY67" s="325" t="s">
        <v>174</v>
      </c>
      <c r="BZ67" s="325" t="s">
        <v>174</v>
      </c>
      <c r="CA67" s="325" t="s">
        <v>174</v>
      </c>
      <c r="CB67" s="176"/>
      <c r="CC67" s="325" t="s">
        <v>174</v>
      </c>
      <c r="CD67" s="325" t="s">
        <v>174</v>
      </c>
      <c r="CE67" s="325" t="s">
        <v>174</v>
      </c>
      <c r="CF67" s="325" t="s">
        <v>174</v>
      </c>
      <c r="CG67" s="325" t="s">
        <v>174</v>
      </c>
      <c r="CH67" s="79"/>
      <c r="CI67" s="79"/>
    </row>
    <row r="68" spans="1:87" collapsed="1" x14ac:dyDescent="0.2">
      <c r="A68" s="18" t="s">
        <v>243</v>
      </c>
      <c r="B68" s="176"/>
      <c r="C68" s="176" t="str">
        <f>IF(OR(C46&lt;0,'P&amp;L'!C23&lt;0)=TRUE,"NM",C46/'P&amp;L'!C23)</f>
        <v>NM</v>
      </c>
      <c r="D68" s="176" t="str">
        <f>IF(OR(D46&lt;0,'P&amp;L'!D23&lt;0)=TRUE,"NM",D46/'P&amp;L'!D23)</f>
        <v>NM</v>
      </c>
      <c r="E68" s="176" t="str">
        <f>IF(OR(E46&lt;0,'P&amp;L'!E23&lt;0)=TRUE,"NM",E46/'P&amp;L'!E23)</f>
        <v>NM</v>
      </c>
      <c r="F68" s="176" t="str">
        <f>IF(OR(F46&lt;0,'P&amp;L'!F23&lt;0)=TRUE,"NM",F46/'P&amp;L'!F23)</f>
        <v>NM</v>
      </c>
      <c r="G68" s="176" t="str">
        <f>IF(OR(G46&lt;0,'P&amp;L'!G23&lt;0)=TRUE,"NM",G46/'P&amp;L'!G23)</f>
        <v>NM</v>
      </c>
      <c r="H68" s="176"/>
      <c r="I68" s="176" t="str">
        <f>IF(OR(I46&lt;0,'P&amp;L'!I23&lt;0)=TRUE,"NM",I46/'P&amp;L'!I23)</f>
        <v>NM</v>
      </c>
      <c r="J68" s="176" t="str">
        <f>IF(OR(J46&lt;0,'P&amp;L'!J23&lt;0)=TRUE,"NM",J46/'P&amp;L'!J23)</f>
        <v>NM</v>
      </c>
      <c r="K68" s="176" t="str">
        <f>IF(OR(K46&lt;0,'P&amp;L'!K23&lt;0)=TRUE,"NM",K46/'P&amp;L'!K23)</f>
        <v>NM</v>
      </c>
      <c r="L68" s="176" t="str">
        <f>IF(OR(L46&lt;0,'P&amp;L'!L23&lt;0)=TRUE,"NM",L46/'P&amp;L'!L23)</f>
        <v>NM</v>
      </c>
      <c r="M68" s="176" t="str">
        <f>IF(OR(M46&lt;0,'P&amp;L'!M23&lt;0)=TRUE,"NM",M46/'P&amp;L'!M23)</f>
        <v>NM</v>
      </c>
      <c r="N68" s="176"/>
      <c r="O68" s="176" t="str">
        <f>IF(OR(O46&lt;0,'P&amp;L'!O23&lt;0)=TRUE,"NM",O46/'P&amp;L'!O23)</f>
        <v>NM</v>
      </c>
      <c r="P68" s="176" t="str">
        <f>IF(OR(P46&lt;0,'P&amp;L'!P23&lt;0)=TRUE,"NM",P46/'P&amp;L'!P23)</f>
        <v>NM</v>
      </c>
      <c r="Q68" s="176" t="str">
        <f>IF(OR(Q46&lt;0,'P&amp;L'!Q23&lt;0)=TRUE,"NM",Q46/'P&amp;L'!Q23)</f>
        <v>NM</v>
      </c>
      <c r="R68" s="176" t="str">
        <f>IF(OR(R46&lt;0,'P&amp;L'!R23&lt;0)=TRUE,"NM",R46/'P&amp;L'!R23)</f>
        <v>NM</v>
      </c>
      <c r="S68" s="176" t="str">
        <f>IF(OR(S46&lt;0,'P&amp;L'!S23&lt;0)=TRUE,"NM",S46/'P&amp;L'!S23)</f>
        <v>NM</v>
      </c>
      <c r="T68" s="176"/>
      <c r="U68" s="176" t="str">
        <f>IF(OR(U46&lt;0,'P&amp;L'!U23&lt;0)=TRUE,"NM",U46/'P&amp;L'!U23)</f>
        <v>NM</v>
      </c>
      <c r="V68" s="176" t="str">
        <f>IF(OR(V46&lt;0,'P&amp;L'!V23&lt;0)=TRUE,"NM",V46/'P&amp;L'!V23)</f>
        <v>NM</v>
      </c>
      <c r="W68" s="176" t="str">
        <f>IF(OR(W46&lt;0,'P&amp;L'!W23&lt;0)=TRUE,"NM",W46/'P&amp;L'!W23)</f>
        <v>NM</v>
      </c>
      <c r="X68" s="176" t="str">
        <f>IF(OR(X46&lt;0,'P&amp;L'!X23&lt;0)=TRUE,"NM",X46/'P&amp;L'!X23)</f>
        <v>NM</v>
      </c>
      <c r="Y68" s="176" t="str">
        <f>IF(OR(Y46&lt;0,'P&amp;L'!Y23&lt;0)=TRUE,"NM",Y46/'P&amp;L'!Y23)</f>
        <v>NM</v>
      </c>
      <c r="Z68" s="176"/>
      <c r="AA68" s="176" t="str">
        <f>IF(OR(AA46&lt;0,'P&amp;L'!AA23&lt;0)=TRUE,"NM",AA46/'P&amp;L'!AA23)</f>
        <v>NM</v>
      </c>
      <c r="AB68" s="176" t="str">
        <f>IF(OR(AB46&lt;0,'P&amp;L'!AB23&lt;0)=TRUE,"NM",AB46/'P&amp;L'!AB23)</f>
        <v>NM</v>
      </c>
      <c r="AC68" s="176" t="str">
        <f>IF(OR(AC46&lt;0,'P&amp;L'!AC23&lt;0)=TRUE,"NM",AC46/'P&amp;L'!AC23)</f>
        <v>NM</v>
      </c>
      <c r="AD68" s="176" t="str">
        <f>IF(OR(AD46&lt;0,'P&amp;L'!AD23&lt;0)=TRUE,"NM",AD46/'P&amp;L'!AD23)</f>
        <v>NM</v>
      </c>
      <c r="AE68" s="176" t="str">
        <f>IF(OR(AE46&lt;0,'P&amp;L'!AE23&lt;0)=TRUE,"NM",AE46/'P&amp;L'!AE23)</f>
        <v>NM</v>
      </c>
      <c r="AF68" s="176"/>
      <c r="AG68" s="176" t="str">
        <f>IF(OR(AG46&lt;0,'P&amp;L'!AG23&lt;0)=TRUE,"NM",AG46/'P&amp;L'!AG23)</f>
        <v>NM</v>
      </c>
      <c r="AH68" s="176" t="str">
        <f>IF(OR(AH46&lt;0,'P&amp;L'!AH23&lt;0)=TRUE,"NM",AH46/'P&amp;L'!AH23)</f>
        <v>NM</v>
      </c>
      <c r="AI68" s="176" t="str">
        <f>IF(OR(AI46&lt;0,'P&amp;L'!AI23&lt;0)=TRUE,"NM",AI46/'P&amp;L'!AI23)</f>
        <v>NM</v>
      </c>
      <c r="AJ68" s="176" t="str">
        <f>IF(OR(AJ46&lt;0,'P&amp;L'!AJ23&lt;0)=TRUE,"NM",AJ46/'P&amp;L'!AJ23)</f>
        <v>NM</v>
      </c>
      <c r="AK68" s="176" t="str">
        <f>IF(OR(AK46&lt;0,'P&amp;L'!AK23&lt;0)=TRUE,"NM",AK46/'P&amp;L'!AK23)</f>
        <v>NM</v>
      </c>
      <c r="AL68" s="176"/>
      <c r="AM68" s="176" t="str">
        <f>IF(OR(AM46&lt;0,'P&amp;L'!AM23&lt;0)=TRUE,"NM",AM46/'P&amp;L'!AM23)</f>
        <v>NM</v>
      </c>
      <c r="AN68" s="176" t="str">
        <f>IF(OR(AN46&lt;0,'P&amp;L'!AN23&lt;0)=TRUE,"NM",AN46/'P&amp;L'!AN23)</f>
        <v>NM</v>
      </c>
      <c r="AO68" s="176" t="str">
        <f>IF(OR(AO46&lt;0,'P&amp;L'!AO23&lt;0)=TRUE,"NM",AO46/'P&amp;L'!AO23)</f>
        <v>NM</v>
      </c>
      <c r="AP68" s="176" t="str">
        <f>IF(OR(AP46&lt;0,'P&amp;L'!AP23&lt;0)=TRUE,"NM",AP46/'P&amp;L'!AP23)</f>
        <v>NM</v>
      </c>
      <c r="AQ68" s="176" t="str">
        <f>IF(OR(AQ46&lt;0,'P&amp;L'!AQ23&lt;0)=TRUE,"NM",AQ46/'P&amp;L'!AQ23)</f>
        <v>NM</v>
      </c>
      <c r="AR68" s="176"/>
      <c r="AS68" s="176" t="str">
        <f>IF(OR(AS46&lt;0,'P&amp;L'!AS23&lt;0)=TRUE,"NM",AS46/'P&amp;L'!AS23)</f>
        <v>NM</v>
      </c>
      <c r="AT68" s="176" t="str">
        <f>IF(OR(AT46&lt;0,'P&amp;L'!AT23&lt;0)=TRUE,"NM",AT46/'P&amp;L'!AT23)</f>
        <v>NM</v>
      </c>
      <c r="AU68" s="176" t="str">
        <f>IF(OR(AU46&lt;0,'P&amp;L'!AU23&lt;0)=TRUE,"NM",AU46/'P&amp;L'!AU23)</f>
        <v>NM</v>
      </c>
      <c r="AV68" s="176" t="str">
        <f>IF(OR(AV46&lt;0,'P&amp;L'!AV23&lt;0)=TRUE,"NM",AV46/'P&amp;L'!AV23)</f>
        <v>NM</v>
      </c>
      <c r="AW68" s="176" t="str">
        <f>IF(OR(AW46&lt;0,'P&amp;L'!AW23&lt;0)=TRUE,"NM",AW46/'P&amp;L'!AW23)</f>
        <v>NM</v>
      </c>
      <c r="AX68" s="176"/>
      <c r="AY68" s="176" t="str">
        <f>IF(OR(AY46&lt;0,'P&amp;L'!AY23&lt;0)=TRUE,"NM",AY46/'P&amp;L'!AY23)</f>
        <v>NM</v>
      </c>
      <c r="AZ68" s="176" t="str">
        <f>IF(OR(AZ46&lt;0,'P&amp;L'!AZ23&lt;0)=TRUE,"NM",AZ46/'P&amp;L'!AZ23)</f>
        <v>NM</v>
      </c>
      <c r="BA68" s="176" t="str">
        <f>IF(OR(BA46&lt;0,'P&amp;L'!BA23&lt;0)=TRUE,"NM",BA46/'P&amp;L'!BA23)</f>
        <v>NM</v>
      </c>
      <c r="BB68" s="176" t="str">
        <f>IF(OR(BB46&lt;0,'P&amp;L'!BB23&lt;0)=TRUE,"NM",BB46/'P&amp;L'!BB23)</f>
        <v>NM</v>
      </c>
      <c r="BC68" s="176" t="str">
        <f>IF(OR(BC46&lt;0,'P&amp;L'!BC23&lt;0)=TRUE,"NM",BC46/'P&amp;L'!BC23)</f>
        <v>NM</v>
      </c>
      <c r="BD68" s="176"/>
      <c r="BE68" s="176" t="str">
        <f>IF(OR(BE46&lt;0,'P&amp;L'!BE23&lt;0)=TRUE,"NM",BE46/'P&amp;L'!BE23)</f>
        <v>NM</v>
      </c>
      <c r="BF68" s="176" t="str">
        <f>IF(OR(BF46&lt;0,'P&amp;L'!BF23&lt;0)=TRUE,"NM",BF46/'P&amp;L'!BF23)</f>
        <v>NM</v>
      </c>
      <c r="BG68" s="176" t="str">
        <f>IF(OR(BG46&lt;0,'P&amp;L'!BG23&lt;0)=TRUE,"NM",BG46/'P&amp;L'!BG23)</f>
        <v>NM</v>
      </c>
      <c r="BH68" s="176" t="str">
        <f>IF(OR(BH46&lt;0,'P&amp;L'!BH23&lt;0)=TRUE,"NM",BH46/'P&amp;L'!BH23)</f>
        <v>NM</v>
      </c>
      <c r="BI68" s="176" t="str">
        <f>IF(OR(BI46&lt;0,'P&amp;L'!BI23&lt;0)=TRUE,"NM",BI46/'P&amp;L'!BI23)</f>
        <v>NM</v>
      </c>
      <c r="BJ68" s="176"/>
      <c r="BK68" s="176" t="str">
        <f>IF(OR(BK46&lt;0,'P&amp;L'!BK23&lt;0)=TRUE,"NM",BK46/'P&amp;L'!BK23)</f>
        <v>NM</v>
      </c>
      <c r="BL68" s="176" t="str">
        <f>IF(OR(BL46&lt;0,'P&amp;L'!BL23&lt;0)=TRUE,"NM",BL46/'P&amp;L'!BL23)</f>
        <v>NM</v>
      </c>
      <c r="BM68" s="176" t="str">
        <f>IF(OR(BM46&lt;0,'P&amp;L'!BM23&lt;0)=TRUE,"NM",BM46/'P&amp;L'!BM23)</f>
        <v>NM</v>
      </c>
      <c r="BN68" s="176" t="str">
        <f>IF(OR(BN46&lt;0,'P&amp;L'!BN23&lt;0)=TRUE,"NM",BN46/'P&amp;L'!BN23)</f>
        <v>NM</v>
      </c>
      <c r="BO68" s="176" t="str">
        <f>IF(OR(BO46&lt;0,'P&amp;L'!BO23&lt;0)=TRUE,"NM",BO46/'P&amp;L'!BO23)</f>
        <v>NM</v>
      </c>
      <c r="BP68" s="176"/>
      <c r="BQ68" s="176" t="str">
        <f>IF(OR(BQ46&lt;0,'P&amp;L'!BQ23&lt;0)=TRUE,"NM",BQ46/'P&amp;L'!BQ23)</f>
        <v>NM</v>
      </c>
      <c r="BR68" s="176" t="str">
        <f>IF(OR(BR46&lt;0,'P&amp;L'!BR23&lt;0)=TRUE,"NM",BR46/'P&amp;L'!BR23)</f>
        <v>NM</v>
      </c>
      <c r="BS68" s="176" t="str">
        <f>IF(OR(BS46&lt;0,'P&amp;L'!BS23&lt;0)=TRUE,"NM",BS46/'P&amp;L'!BS23)</f>
        <v>NM</v>
      </c>
      <c r="BT68" s="176" t="str">
        <f>IF(OR(BT46&lt;0,'P&amp;L'!BT23&lt;0)=TRUE,"NM",BT46/'P&amp;L'!BT23)</f>
        <v>NM</v>
      </c>
      <c r="BU68" s="176" t="str">
        <f>IF(OR(BU46&lt;0,'P&amp;L'!BU23&lt;0)=TRUE,"NM",BU46/'P&amp;L'!BU23)</f>
        <v>NM</v>
      </c>
      <c r="BV68" s="176"/>
      <c r="BW68" s="176" t="str">
        <f>IF(OR(BW46&lt;0,'P&amp;L'!BW23&lt;0)=TRUE,"NM",BW46/'P&amp;L'!BW23)</f>
        <v>NM</v>
      </c>
      <c r="BX68" s="176" t="str">
        <f>IF(OR(BX46&lt;0,'P&amp;L'!BX23&lt;0)=TRUE,"NM",BX46/'P&amp;L'!BX23)</f>
        <v>NM</v>
      </c>
      <c r="BY68" s="176" t="str">
        <f>IF(OR(BY46&lt;0,'P&amp;L'!BY23&lt;0)=TRUE,"NM",BY46/'P&amp;L'!BY23)</f>
        <v>NM</v>
      </c>
      <c r="BZ68" s="176" t="str">
        <f>IF(OR(BZ46&lt;0,'P&amp;L'!BZ23&lt;0)=TRUE,"NM",BZ46/'P&amp;L'!BZ23)</f>
        <v>NM</v>
      </c>
      <c r="CA68" s="176" t="str">
        <f>IF(OR(CA46&lt;0,'P&amp;L'!CA23&lt;0)=TRUE,"NM",CA46/'P&amp;L'!CA23)</f>
        <v>NM</v>
      </c>
      <c r="CB68" s="176"/>
      <c r="CC68" s="176" t="str">
        <f>IF(OR(CC46&lt;0,'P&amp;L'!CC23&lt;0)=TRUE,"NM",CC46/'P&amp;L'!CC23)</f>
        <v>NM</v>
      </c>
      <c r="CD68" s="176" t="str">
        <f>IF(OR(CD46&lt;0,'P&amp;L'!CD23&lt;0)=TRUE,"NM",CD46/'P&amp;L'!CD23)</f>
        <v>NM</v>
      </c>
      <c r="CE68" s="176" t="str">
        <f>IF(OR(CE46&lt;0,'P&amp;L'!CE23&lt;0)=TRUE,"NM",CE46/'P&amp;L'!CE23)</f>
        <v>NM</v>
      </c>
      <c r="CF68" s="176" t="str">
        <f>IF(OR(CF46&lt;0,'P&amp;L'!CF23&lt;0)=TRUE,"NM",CF46/'P&amp;L'!CF23)</f>
        <v>NM</v>
      </c>
      <c r="CG68" s="176" t="str">
        <f>IF(OR(CG46&lt;0,'P&amp;L'!CG23&lt;0)=TRUE,"NM",CG46/'P&amp;L'!CG23)</f>
        <v>NM</v>
      </c>
      <c r="CH68" s="79"/>
      <c r="CI68" s="79"/>
    </row>
    <row r="69" spans="1:87" x14ac:dyDescent="0.2">
      <c r="A69" s="18" t="s">
        <v>244</v>
      </c>
      <c r="B69" s="176"/>
      <c r="C69" s="175">
        <f>C45/(C40+C45)</f>
        <v>0</v>
      </c>
      <c r="D69" s="175">
        <f>D45/(D40+D45)</f>
        <v>0</v>
      </c>
      <c r="E69" s="175">
        <f>E45/(E40+E45)</f>
        <v>0</v>
      </c>
      <c r="F69" s="175">
        <f>F45/(F40+F45)</f>
        <v>0</v>
      </c>
      <c r="G69" s="175">
        <f>G45/(G40+G45)</f>
        <v>0</v>
      </c>
      <c r="H69" s="176"/>
      <c r="I69" s="175">
        <f>I45/(I40+I45)</f>
        <v>0</v>
      </c>
      <c r="J69" s="175">
        <f>J45/(J40+J45)</f>
        <v>0</v>
      </c>
      <c r="K69" s="175">
        <f>K45/(K40+K45)</f>
        <v>0</v>
      </c>
      <c r="L69" s="175">
        <f>L45/(L40+L45)</f>
        <v>0</v>
      </c>
      <c r="M69" s="175">
        <f>M45/(M40+M45)</f>
        <v>0</v>
      </c>
      <c r="N69" s="176"/>
      <c r="O69" s="175">
        <f>O45/(O40+O45)</f>
        <v>0</v>
      </c>
      <c r="P69" s="175">
        <f>P45/(P40+P45)</f>
        <v>0</v>
      </c>
      <c r="Q69" s="175">
        <f>Q45/(Q40+Q45)</f>
        <v>0</v>
      </c>
      <c r="R69" s="175">
        <f>R45/(R40+R45)</f>
        <v>0</v>
      </c>
      <c r="S69" s="175">
        <f>S45/(S40+S45)</f>
        <v>0</v>
      </c>
      <c r="T69" s="176"/>
      <c r="U69" s="175">
        <f>U45/(U40+U45)</f>
        <v>0</v>
      </c>
      <c r="V69" s="175">
        <f>V45/(V40+V45)</f>
        <v>0</v>
      </c>
      <c r="W69" s="175">
        <f>W45/(W40+W45)</f>
        <v>0</v>
      </c>
      <c r="X69" s="175">
        <f>X45/(X40+X45)</f>
        <v>0</v>
      </c>
      <c r="Y69" s="175">
        <f>Y45/(Y40+Y45)</f>
        <v>0</v>
      </c>
      <c r="Z69" s="176"/>
      <c r="AA69" s="175">
        <f>AA45/(AA40+AA45)</f>
        <v>0</v>
      </c>
      <c r="AB69" s="175">
        <f>AB45/(AB40+AB45)</f>
        <v>0</v>
      </c>
      <c r="AC69" s="175">
        <f>AC45/(AC40+AC45)</f>
        <v>0</v>
      </c>
      <c r="AD69" s="175">
        <f>AD45/(AD40+AD45)</f>
        <v>0</v>
      </c>
      <c r="AE69" s="175">
        <f>AE45/(AE40+AE45)</f>
        <v>0</v>
      </c>
      <c r="AF69" s="176"/>
      <c r="AG69" s="175">
        <f>AG45/(AG40+AG45)</f>
        <v>0</v>
      </c>
      <c r="AH69" s="175">
        <f>AH45/(AH40+AH45)</f>
        <v>0</v>
      </c>
      <c r="AI69" s="175">
        <f>AI45/(AI40+AI45)</f>
        <v>0</v>
      </c>
      <c r="AJ69" s="175">
        <f>AJ45/(AJ40+AJ45)</f>
        <v>0</v>
      </c>
      <c r="AK69" s="175">
        <f>AK45/(AK40+AK45)</f>
        <v>0</v>
      </c>
      <c r="AL69" s="176"/>
      <c r="AM69" s="175">
        <f>AM45/(AM40+AM45)</f>
        <v>0</v>
      </c>
      <c r="AN69" s="175">
        <f>AN45/(AN40+AN45)</f>
        <v>0</v>
      </c>
      <c r="AO69" s="175">
        <f>AO45/(AO40+AO45)</f>
        <v>0</v>
      </c>
      <c r="AP69" s="175">
        <f>AP45/(AP40+AP45)</f>
        <v>0</v>
      </c>
      <c r="AQ69" s="175">
        <f>AQ45/(AQ40+AQ45)</f>
        <v>0</v>
      </c>
      <c r="AR69" s="176"/>
      <c r="AS69" s="175">
        <f>AS45/(AS40+AS45)</f>
        <v>0</v>
      </c>
      <c r="AT69" s="175">
        <f>AT45/(AT40+AT45)</f>
        <v>0</v>
      </c>
      <c r="AU69" s="175">
        <f>AU45/(AU40+AU45)</f>
        <v>0</v>
      </c>
      <c r="AV69" s="175">
        <f>AV45/(AV40+AV45)</f>
        <v>0</v>
      </c>
      <c r="AW69" s="175">
        <f>AW45/(AW40+AW45)</f>
        <v>0</v>
      </c>
      <c r="AX69" s="176"/>
      <c r="AY69" s="175">
        <f>AY45/(AY40+AY45)</f>
        <v>0</v>
      </c>
      <c r="AZ69" s="175">
        <f>AZ45/(AZ40+AZ45)</f>
        <v>0</v>
      </c>
      <c r="BA69" s="175">
        <f>BA45/(BA40+BA45)</f>
        <v>0</v>
      </c>
      <c r="BB69" s="175">
        <f>BB45/(BB40+BB45)</f>
        <v>0</v>
      </c>
      <c r="BC69" s="175">
        <f>BC45/(BC40+BC45)</f>
        <v>0</v>
      </c>
      <c r="BD69" s="176"/>
      <c r="BE69" s="175">
        <f>BE45/(BE40+BE45)</f>
        <v>0</v>
      </c>
      <c r="BF69" s="175">
        <f>BF45/(BF40+BF45)</f>
        <v>0</v>
      </c>
      <c r="BG69" s="175">
        <f>BG45/(BG40+BG45)</f>
        <v>0</v>
      </c>
      <c r="BH69" s="175">
        <f>BH45/(BH40+BH45)</f>
        <v>0</v>
      </c>
      <c r="BI69" s="175">
        <f>BI45/(BI40+BI45)</f>
        <v>0</v>
      </c>
      <c r="BJ69" s="176"/>
      <c r="BK69" s="175">
        <f>BK45/(BK40+BK45)</f>
        <v>0</v>
      </c>
      <c r="BL69" s="175">
        <f>BL45/(BL40+BL45)</f>
        <v>0</v>
      </c>
      <c r="BM69" s="175">
        <f>BM45/(BM40+BM45)</f>
        <v>0</v>
      </c>
      <c r="BN69" s="175">
        <f>BN45/(BN40+BN45)</f>
        <v>0</v>
      </c>
      <c r="BO69" s="175">
        <f>BO45/(BO40+BO45)</f>
        <v>0</v>
      </c>
      <c r="BP69" s="176"/>
      <c r="BQ69" s="175">
        <f>BQ45/(BQ40+BQ45)</f>
        <v>0</v>
      </c>
      <c r="BR69" s="175">
        <f>BR45/(BR40+BR45)</f>
        <v>0</v>
      </c>
      <c r="BS69" s="175">
        <f>BS45/(BS40+BS45)</f>
        <v>0</v>
      </c>
      <c r="BT69" s="175">
        <f>BT45/(BT40+BT45)</f>
        <v>0</v>
      </c>
      <c r="BU69" s="175">
        <f>BU45/(BU40+BU45)</f>
        <v>0</v>
      </c>
      <c r="BV69" s="176"/>
      <c r="BW69" s="175">
        <f>BW45/(BW40+BW45)</f>
        <v>0</v>
      </c>
      <c r="BX69" s="175">
        <f>BX45/(BX40+BX45)</f>
        <v>0</v>
      </c>
      <c r="BY69" s="175">
        <f>BY45/(BY40+BY45)</f>
        <v>0</v>
      </c>
      <c r="BZ69" s="175">
        <f>BZ45/(BZ40+BZ45)</f>
        <v>0</v>
      </c>
      <c r="CA69" s="175">
        <f>CA45/(CA40+CA45)</f>
        <v>0</v>
      </c>
      <c r="CB69" s="176"/>
      <c r="CC69" s="175">
        <f>CC45/(CC40+CC45)</f>
        <v>0</v>
      </c>
      <c r="CD69" s="175">
        <f>CD45/(CD40+CD45)</f>
        <v>0</v>
      </c>
      <c r="CE69" s="175">
        <f>CE45/(CE40+CE45)</f>
        <v>0</v>
      </c>
      <c r="CF69" s="175">
        <f>CF45/(CF40+CF45)</f>
        <v>0</v>
      </c>
      <c r="CG69" s="175">
        <f>CG45/(CG40+CG45)</f>
        <v>0</v>
      </c>
      <c r="CH69" s="79"/>
      <c r="CI69" s="79"/>
    </row>
    <row r="70" spans="1:87" x14ac:dyDescent="0.2">
      <c r="A70" s="18"/>
      <c r="B70" s="70"/>
      <c r="C70" s="11"/>
      <c r="D70" s="11"/>
      <c r="E70" s="11"/>
      <c r="F70" s="11"/>
      <c r="G70" s="11"/>
      <c r="H70" s="70"/>
      <c r="I70" s="11"/>
      <c r="J70" s="11"/>
      <c r="K70" s="11"/>
      <c r="L70" s="11"/>
      <c r="M70" s="11"/>
      <c r="N70" s="70"/>
      <c r="O70" s="11"/>
      <c r="P70" s="11"/>
      <c r="Q70" s="11"/>
      <c r="R70" s="11"/>
      <c r="S70" s="11"/>
      <c r="T70" s="70"/>
      <c r="U70" s="11"/>
      <c r="V70" s="11"/>
      <c r="W70" s="11"/>
      <c r="X70" s="11"/>
      <c r="Y70" s="11"/>
      <c r="Z70" s="70"/>
      <c r="AA70" s="11"/>
      <c r="AB70" s="11"/>
      <c r="AC70" s="11"/>
      <c r="AD70" s="11"/>
      <c r="AE70" s="11"/>
      <c r="AF70" s="109"/>
      <c r="AG70" s="11"/>
      <c r="AH70" s="11"/>
      <c r="AI70" s="11"/>
      <c r="AJ70" s="11"/>
      <c r="AK70" s="11"/>
      <c r="AL70" s="109"/>
      <c r="AM70" s="11"/>
      <c r="AN70" s="11"/>
      <c r="AO70" s="11"/>
      <c r="AP70" s="11"/>
      <c r="AQ70" s="11"/>
      <c r="AR70" s="109"/>
      <c r="AS70" s="11"/>
      <c r="AT70" s="11"/>
      <c r="AU70" s="11"/>
      <c r="AV70" s="11"/>
      <c r="AW70" s="11"/>
      <c r="AX70" s="109"/>
      <c r="AY70" s="11"/>
      <c r="AZ70" s="11"/>
      <c r="BA70" s="11"/>
      <c r="BB70" s="11"/>
      <c r="BC70" s="11"/>
      <c r="BD70" s="109"/>
      <c r="BE70" s="11"/>
      <c r="BF70" s="11"/>
      <c r="BG70" s="11"/>
      <c r="BH70" s="11"/>
      <c r="BI70" s="11"/>
      <c r="BJ70" s="109"/>
      <c r="BK70" s="11"/>
      <c r="BL70" s="11"/>
      <c r="BM70" s="11"/>
      <c r="BN70" s="11"/>
      <c r="BO70" s="11"/>
      <c r="BP70" s="109"/>
      <c r="BQ70" s="11"/>
      <c r="BR70" s="11"/>
      <c r="BS70" s="11"/>
      <c r="BT70" s="11"/>
      <c r="BU70" s="11"/>
      <c r="BV70" s="109"/>
      <c r="BW70" s="11"/>
      <c r="BX70" s="11"/>
      <c r="BY70" s="11"/>
      <c r="BZ70" s="11"/>
      <c r="CA70" s="11"/>
      <c r="CB70" s="109"/>
      <c r="CC70" s="11"/>
      <c r="CD70" s="11"/>
      <c r="CE70" s="11"/>
      <c r="CF70" s="11"/>
      <c r="CG70" s="11"/>
      <c r="CH70" s="42"/>
      <c r="CI70" s="42"/>
    </row>
    <row r="71" spans="1:87" hidden="1" outlineLevel="1" x14ac:dyDescent="0.2">
      <c r="A71" s="19" t="s">
        <v>245</v>
      </c>
      <c r="B71" s="109"/>
      <c r="C71" s="173"/>
      <c r="D71" s="173"/>
      <c r="E71" s="173"/>
      <c r="F71" s="173"/>
      <c r="G71" s="173"/>
      <c r="H71" s="109"/>
      <c r="I71" s="173"/>
      <c r="J71" s="173"/>
      <c r="K71" s="173"/>
      <c r="L71" s="173"/>
      <c r="M71" s="173"/>
      <c r="N71" s="109"/>
      <c r="O71" s="173"/>
      <c r="P71" s="173"/>
      <c r="Q71" s="173"/>
      <c r="R71" s="173"/>
      <c r="S71" s="173"/>
      <c r="T71" s="109"/>
      <c r="U71" s="173"/>
      <c r="V71" s="173"/>
      <c r="W71" s="173"/>
      <c r="X71" s="173"/>
      <c r="Y71" s="173"/>
      <c r="Z71" s="109"/>
      <c r="AA71" s="173"/>
      <c r="AB71" s="173"/>
      <c r="AC71" s="173"/>
      <c r="AD71" s="173"/>
      <c r="AE71" s="173"/>
      <c r="AF71" s="109"/>
      <c r="AG71" s="173"/>
      <c r="AH71" s="173"/>
      <c r="AI71" s="173"/>
      <c r="AJ71" s="173"/>
      <c r="AK71" s="173"/>
      <c r="AL71" s="109"/>
      <c r="AM71" s="173"/>
      <c r="AN71" s="173"/>
      <c r="AO71" s="173"/>
      <c r="AP71" s="173"/>
      <c r="AQ71" s="173"/>
      <c r="AR71" s="109"/>
      <c r="AS71" s="173"/>
      <c r="AT71" s="173"/>
      <c r="AU71" s="173"/>
      <c r="AV71" s="173"/>
      <c r="AW71" s="173"/>
      <c r="AX71" s="109"/>
      <c r="AY71" s="173"/>
      <c r="AZ71" s="173"/>
      <c r="BA71" s="173"/>
      <c r="BB71" s="173"/>
      <c r="BC71" s="173"/>
      <c r="BD71" s="109"/>
      <c r="BE71" s="173"/>
      <c r="BF71" s="173"/>
      <c r="BG71" s="173"/>
      <c r="BH71" s="173"/>
      <c r="BI71" s="173"/>
      <c r="BJ71" s="109"/>
      <c r="BK71" s="173"/>
      <c r="BL71" s="173"/>
      <c r="BM71" s="173"/>
      <c r="BN71" s="173"/>
      <c r="BO71" s="173"/>
      <c r="BP71" s="109"/>
      <c r="BQ71" s="173"/>
      <c r="BR71" s="173"/>
      <c r="BS71" s="173"/>
      <c r="BT71" s="173"/>
      <c r="BU71" s="173"/>
      <c r="BV71" s="109"/>
      <c r="BW71" s="173"/>
      <c r="BX71" s="173"/>
      <c r="BY71" s="173"/>
      <c r="BZ71" s="173"/>
      <c r="CA71" s="173"/>
      <c r="CB71" s="109"/>
      <c r="CC71" s="173"/>
      <c r="CD71" s="173"/>
      <c r="CE71" s="173"/>
      <c r="CF71" s="173"/>
      <c r="CG71" s="173"/>
      <c r="CH71" s="79"/>
      <c r="CI71" s="79"/>
    </row>
    <row r="72" spans="1:87" hidden="1" outlineLevel="1" x14ac:dyDescent="0.2">
      <c r="A72" s="17" t="s">
        <v>246</v>
      </c>
      <c r="B72" s="175"/>
      <c r="C72" s="175">
        <f>C14/C28</f>
        <v>1.9931509218582451</v>
      </c>
      <c r="D72" s="175">
        <f>D14/D28</f>
        <v>2.5712348614310123</v>
      </c>
      <c r="E72" s="175">
        <f>E14/E28</f>
        <v>2.9851943134733534</v>
      </c>
      <c r="F72" s="175">
        <f>F14/F28</f>
        <v>3.0022779413918217</v>
      </c>
      <c r="G72" s="175">
        <f>G14/G28</f>
        <v>3.0022779413918217</v>
      </c>
      <c r="H72" s="175"/>
      <c r="I72" s="175">
        <f>I14/I28</f>
        <v>3.5425701471514879</v>
      </c>
      <c r="J72" s="175">
        <f>J14/J28</f>
        <v>3.0161371222996691</v>
      </c>
      <c r="K72" s="175">
        <f>K14/K28</f>
        <v>3.0586514398505509</v>
      </c>
      <c r="L72" s="175">
        <f>L14/L28</f>
        <v>2.937116159281516</v>
      </c>
      <c r="M72" s="175">
        <f>M14/M28</f>
        <v>2.937116159281516</v>
      </c>
      <c r="N72" s="175"/>
      <c r="O72" s="175">
        <f>O14/O28</f>
        <v>3.1447355557728018</v>
      </c>
      <c r="P72" s="175">
        <f>P14/P28</f>
        <v>3.0618097434501714</v>
      </c>
      <c r="Q72" s="175">
        <f>Q14/Q28</f>
        <v>3.2583193876711194</v>
      </c>
      <c r="R72" s="175">
        <f>R14/R28</f>
        <v>3.216264785889245</v>
      </c>
      <c r="S72" s="175">
        <f>S14/S28</f>
        <v>3.216264785889245</v>
      </c>
      <c r="T72" s="175"/>
      <c r="U72" s="175">
        <f>U14/U28</f>
        <v>3.7325901639344248</v>
      </c>
      <c r="V72" s="175">
        <f>V14/V28</f>
        <v>4.4859837142818417</v>
      </c>
      <c r="W72" s="175">
        <f>W14/W28</f>
        <v>4.4722624818831509</v>
      </c>
      <c r="X72" s="175">
        <f>X14/X28</f>
        <v>4.1797814442747425</v>
      </c>
      <c r="Y72" s="175">
        <f>Y14/Y28</f>
        <v>4.1797814442747425</v>
      </c>
      <c r="Z72" s="175"/>
      <c r="AA72" s="175">
        <f>AA14/AA28</f>
        <v>4.7496533854580978</v>
      </c>
      <c r="AB72" s="175">
        <f>AB14/AB28</f>
        <v>2.618276671752656</v>
      </c>
      <c r="AC72" s="175">
        <f>AC14/AC28</f>
        <v>2.7218750780034449</v>
      </c>
      <c r="AD72" s="175">
        <f>AD14/AD28</f>
        <v>2.5980542409041503</v>
      </c>
      <c r="AE72" s="175">
        <f>AE14/AE28</f>
        <v>2.5980542409041503</v>
      </c>
      <c r="AF72" s="175"/>
      <c r="AG72" s="175">
        <f>AG14/AG28</f>
        <v>2.8381187973024704</v>
      </c>
      <c r="AH72" s="175">
        <f>AH14/AH28</f>
        <v>3.0252162184710367</v>
      </c>
      <c r="AI72" s="175">
        <f>AI14/AI28</f>
        <v>3.1923817309213653</v>
      </c>
      <c r="AJ72" s="175">
        <f>AJ14/AJ28</f>
        <v>3.1186356895699459</v>
      </c>
      <c r="AK72" s="175">
        <f>AK14/AK28</f>
        <v>3.1186356895699459</v>
      </c>
      <c r="AL72" s="175"/>
      <c r="AM72" s="175">
        <f>AM14/AM28</f>
        <v>3.6657120016683464</v>
      </c>
      <c r="AN72" s="175">
        <f>AN14/AN28</f>
        <v>2.7518331320726532</v>
      </c>
      <c r="AO72" s="175">
        <f>AO14/AO28</f>
        <v>2.9537876375039813</v>
      </c>
      <c r="AP72" s="175">
        <f>AP14/AP28</f>
        <v>3.1064344295018764</v>
      </c>
      <c r="AQ72" s="175">
        <f>AQ14/AQ28</f>
        <v>3.1064344295018764</v>
      </c>
      <c r="AR72" s="175"/>
      <c r="AS72" s="175">
        <f>AS14/AS28</f>
        <v>3.2318457171285591</v>
      </c>
      <c r="AT72" s="175">
        <f>AT14/AT28</f>
        <v>2.9635140262835824</v>
      </c>
      <c r="AU72" s="175">
        <f>AU14/AU28</f>
        <v>3.1006849315068492</v>
      </c>
      <c r="AV72" s="175">
        <f>AV14/AV28</f>
        <v>3.2563140760414448</v>
      </c>
      <c r="AW72" s="175">
        <f>AW14/AW28</f>
        <v>3.2563140760414448</v>
      </c>
      <c r="AX72" s="175"/>
      <c r="AY72" s="175">
        <f>AY14/AY28</f>
        <v>3.2771382275956626</v>
      </c>
      <c r="AZ72" s="175">
        <f>AZ14/AZ28</f>
        <v>2.9512436918246041</v>
      </c>
      <c r="BA72" s="175">
        <f>BA14/BA28</f>
        <v>2.9108424569855749</v>
      </c>
      <c r="BB72" s="175">
        <f>BB14/BB28</f>
        <v>2.6944624400011774</v>
      </c>
      <c r="BC72" s="175">
        <f>BC14/BC28</f>
        <v>2.6944624400011774</v>
      </c>
      <c r="BD72" s="175"/>
      <c r="BE72" s="175">
        <f>BE14/BE28</f>
        <v>2.849874431301183</v>
      </c>
      <c r="BF72" s="175">
        <f>BF14/BF28</f>
        <v>2.7606600911739232</v>
      </c>
      <c r="BG72" s="175">
        <f>BG14/BG28</f>
        <v>2.6578205572932307</v>
      </c>
      <c r="BH72" s="175">
        <f>BH14/BH28</f>
        <v>2.6894831162600359</v>
      </c>
      <c r="BI72" s="175">
        <f>BI14/BI28</f>
        <v>2.6894831162600359</v>
      </c>
      <c r="BJ72" s="175"/>
      <c r="BK72" s="175">
        <f>BK14/BK28</f>
        <v>2.5117137276572001</v>
      </c>
      <c r="BL72" s="175">
        <f>BL14/BL28</f>
        <v>2.3616559477961188</v>
      </c>
      <c r="BM72" s="175">
        <f>BM14/BM28</f>
        <v>2.3863827001814162</v>
      </c>
      <c r="BN72" s="175">
        <f>BN14/BN28</f>
        <v>2.3241579218024326</v>
      </c>
      <c r="BO72" s="175">
        <f>BO14/BO28</f>
        <v>2.3241579218024326</v>
      </c>
      <c r="BP72" s="175"/>
      <c r="BQ72" s="175">
        <f>BQ14/BQ28</f>
        <v>2.2067957568373728</v>
      </c>
      <c r="BR72" s="175">
        <f>BR14/BR28</f>
        <v>2.0604529127656148</v>
      </c>
      <c r="BS72" s="175">
        <f>BS14/BS28</f>
        <v>2.0191471815400153</v>
      </c>
      <c r="BT72" s="175">
        <f>BT14/BT28</f>
        <v>2.0105124031578376</v>
      </c>
      <c r="BU72" s="175">
        <f>BU14/BU28</f>
        <v>2.0105124031578376</v>
      </c>
      <c r="BV72" s="175"/>
      <c r="BW72" s="175">
        <f>BW14/BW28</f>
        <v>1.9917935858732296</v>
      </c>
      <c r="BX72" s="175">
        <f>BX14/BX28</f>
        <v>1.9193130289028451</v>
      </c>
      <c r="BY72" s="175">
        <f>BY14/BY28</f>
        <v>1.9839318641624855</v>
      </c>
      <c r="BZ72" s="175">
        <f>BZ14/BZ28</f>
        <v>2.0699976336165422</v>
      </c>
      <c r="CA72" s="175">
        <f>CA14/CA28</f>
        <v>2.0699976336165422</v>
      </c>
      <c r="CB72" s="175"/>
      <c r="CC72" s="175">
        <f>CC14/CC28</f>
        <v>2.1501639825829599</v>
      </c>
      <c r="CD72" s="175">
        <f>CD14/CD28</f>
        <v>2.1117263466548799</v>
      </c>
      <c r="CE72" s="175">
        <f>CE14/CE28</f>
        <v>2.2262866239679404</v>
      </c>
      <c r="CF72" s="175">
        <f>CF14/CF28</f>
        <v>2.3501428025966487</v>
      </c>
      <c r="CG72" s="175">
        <f>CG14/CG28</f>
        <v>2.3501428025966487</v>
      </c>
      <c r="CH72" s="79"/>
      <c r="CI72" s="79"/>
    </row>
    <row r="73" spans="1:87" hidden="1" outlineLevel="1" x14ac:dyDescent="0.2">
      <c r="A73" s="20" t="s">
        <v>247</v>
      </c>
      <c r="B73" s="173"/>
      <c r="C73" s="175">
        <f>(C8+C9+C10+C11)/C28</f>
        <v>1.7968625687502164</v>
      </c>
      <c r="D73" s="175">
        <f>(D8+D9+D10+D11)/D28</f>
        <v>2.3493015825841446</v>
      </c>
      <c r="E73" s="175">
        <f>(E8+E9+E10+E11)/E28</f>
        <v>2.7863444777825404</v>
      </c>
      <c r="F73" s="175">
        <f>(F8+F9+F10+F11)/F28</f>
        <v>2.8109959485185243</v>
      </c>
      <c r="G73" s="175">
        <f>(G8+G9+G10+G11)/G28</f>
        <v>2.8109959485185243</v>
      </c>
      <c r="H73" s="173"/>
      <c r="I73" s="175">
        <f>(I8+I9+I10+I11)/I28</f>
        <v>3.3329256088068493</v>
      </c>
      <c r="J73" s="175">
        <f>(J8+J9+J10+J11)/J28</f>
        <v>2.7887126623657394</v>
      </c>
      <c r="K73" s="175">
        <f>(K8+K9+K10+K11)/K28</f>
        <v>2.8748898523139825</v>
      </c>
      <c r="L73" s="175">
        <f>(L8+L9+L10+L11)/L28</f>
        <v>2.683219969622928</v>
      </c>
      <c r="M73" s="175">
        <f>(M8+M9+M10+M11)/M28</f>
        <v>2.683219969622928</v>
      </c>
      <c r="N73" s="173"/>
      <c r="O73" s="175">
        <f>(O8+O9+O10+O11)/O28</f>
        <v>2.8733502786196103</v>
      </c>
      <c r="P73" s="175">
        <f>(P8+P9+P10+P11)/P28</f>
        <v>2.8120640013751408</v>
      </c>
      <c r="Q73" s="175">
        <f>(Q8+Q9+Q10+Q11)/Q28</f>
        <v>2.8802364818523487</v>
      </c>
      <c r="R73" s="175">
        <f>(R8+R9+R10+R11)/R28</f>
        <v>2.9664340312396136</v>
      </c>
      <c r="S73" s="175">
        <f>(S8+S9+S10+S11)/S28</f>
        <v>2.9664340312396136</v>
      </c>
      <c r="T73" s="173"/>
      <c r="U73" s="175">
        <f>(U8+U9+U10+U11)/U28</f>
        <v>3.4649049180327856</v>
      </c>
      <c r="V73" s="175">
        <f>(V8+V9+V10+V11)/V28</f>
        <v>4.1693741786009451</v>
      </c>
      <c r="W73" s="175">
        <f>(W8+W9+W10+W11)/W28</f>
        <v>4.1997476135738907</v>
      </c>
      <c r="X73" s="175">
        <f>(X8+X9+X10+X11)/X28</f>
        <v>3.9657215995869808</v>
      </c>
      <c r="Y73" s="175">
        <f>(Y8+Y9+Y10+Y11)/Y28</f>
        <v>3.9657215995869808</v>
      </c>
      <c r="Z73" s="173"/>
      <c r="AA73" s="175">
        <f>(AA8+AA9+AA10+AA11)/AA28</f>
        <v>4.5324794872377643</v>
      </c>
      <c r="AB73" s="175">
        <f>(AB8+AB9+AB10+AB11)/AB28</f>
        <v>2.3525778658943266</v>
      </c>
      <c r="AC73" s="175">
        <f>(AC8+AC9+AC10+AC11)/AC28</f>
        <v>2.4716649887259021</v>
      </c>
      <c r="AD73" s="175">
        <f>(AD8+AD9+AD10+AD11)/AD28</f>
        <v>2.3200105322143987</v>
      </c>
      <c r="AE73" s="175">
        <f>(AE8+AE9+AE10+AE11)/AE28</f>
        <v>2.3200105322143987</v>
      </c>
      <c r="AF73" s="173"/>
      <c r="AG73" s="175">
        <f>(AG8+AG9+AG10+AG11)/AG28</f>
        <v>2.494647642606826</v>
      </c>
      <c r="AH73" s="175">
        <f>(AH8+AH9+AH10+AH11)/AH28</f>
        <v>2.6897160655190637</v>
      </c>
      <c r="AI73" s="175">
        <f>(AI8+AI9+AI10+AI11)/AI28</f>
        <v>2.8711236221718264</v>
      </c>
      <c r="AJ73" s="175">
        <f>(AJ8+AJ9+AJ10+AJ11)/AJ28</f>
        <v>2.7953726945323591</v>
      </c>
      <c r="AK73" s="175">
        <f>(AK8+AK9+AK10+AK11)/AK28</f>
        <v>2.7953726945323591</v>
      </c>
      <c r="AL73" s="173"/>
      <c r="AM73" s="175">
        <f>(AM8+AM9+AM10+AM11)/AM28</f>
        <v>3.308192276945535</v>
      </c>
      <c r="AN73" s="175">
        <f>(AN8+AN9+AN10+AN11)/AN28</f>
        <v>2.4357501213788644</v>
      </c>
      <c r="AO73" s="175">
        <f>(AO8+AO9+AO10+AO11)/AO28</f>
        <v>2.6505990151162506</v>
      </c>
      <c r="AP73" s="175">
        <f>(AP8+AP9+AP10+AP11)/AP28</f>
        <v>2.7560654279163668</v>
      </c>
      <c r="AQ73" s="175">
        <f>(AQ8+AQ9+AQ10+AQ11)/AQ28</f>
        <v>2.7560654279163668</v>
      </c>
      <c r="AR73" s="173"/>
      <c r="AS73" s="175">
        <f>(AS8+AS9+AS10+AS11)/AS28</f>
        <v>2.883298703579058</v>
      </c>
      <c r="AT73" s="175">
        <f>(AT8+AT9+AT10+AT11)/AT28</f>
        <v>2.6537867491836482</v>
      </c>
      <c r="AU73" s="175">
        <f>(AU8+AU9+AU10+AU11)/AU28</f>
        <v>2.7978595890410958</v>
      </c>
      <c r="AV73" s="175">
        <f>(AV8+AV9+AV10+AV11)/AV28</f>
        <v>2.8958233198388594</v>
      </c>
      <c r="AW73" s="175">
        <f>(AW8+AW9+AW10+AW11)/AW28</f>
        <v>2.8958233198388594</v>
      </c>
      <c r="AX73" s="173"/>
      <c r="AY73" s="175">
        <f>(AY8+AY9+AY10+AY11)/AY28</f>
        <v>2.9064439735759695</v>
      </c>
      <c r="AZ73" s="175">
        <f>(AZ8+AZ9+AZ10+AZ11)/AZ28</f>
        <v>2.6242368509588427</v>
      </c>
      <c r="BA73" s="175">
        <f>(BA8+BA9+BA10+BA11)/BA28</f>
        <v>2.5894540531918806</v>
      </c>
      <c r="BB73" s="175">
        <f>(BB8+BB9+BB10+BB11)/BB28</f>
        <v>2.5245332606967223</v>
      </c>
      <c r="BC73" s="175">
        <f>(BC8+BC9+BC10+BC11)/BC28</f>
        <v>2.5245332606967223</v>
      </c>
      <c r="BD73" s="173"/>
      <c r="BE73" s="175">
        <f>(BE8+BE9+BE10+BE11)/BE28</f>
        <v>2.6426860782529573</v>
      </c>
      <c r="BF73" s="175">
        <f>(BF8+BF9+BF10+BF11)/BF28</f>
        <v>2.5568599513694483</v>
      </c>
      <c r="BG73" s="175">
        <f>(BG8+BG9+BG10+BG11)/BG28</f>
        <v>2.500963413603225</v>
      </c>
      <c r="BH73" s="175">
        <f>(BH8+BH9+BH10+BH11)/BH28</f>
        <v>2.5051744817757204</v>
      </c>
      <c r="BI73" s="175">
        <f>(BI8+BI9+BI10+BI11)/BI28</f>
        <v>2.5051744817757204</v>
      </c>
      <c r="BJ73" s="173"/>
      <c r="BK73" s="175">
        <f>(BK8+BK9+BK10+BK11)/BK28</f>
        <v>2.2232392478265863</v>
      </c>
      <c r="BL73" s="175">
        <f>(BL8+BL9+BL10+BL11)/BL28</f>
        <v>2.1037439147261274</v>
      </c>
      <c r="BM73" s="175">
        <f>(BM8+BM9+BM10+BM11)/BM28</f>
        <v>2.1683186343252361</v>
      </c>
      <c r="BN73" s="175">
        <f>(BN8+BN9+BN10+BN11)/BN28</f>
        <v>2.0978976167901391</v>
      </c>
      <c r="BO73" s="175">
        <f>(BO8+BO9+BO10+BO11)/BO28</f>
        <v>2.0978976167901391</v>
      </c>
      <c r="BP73" s="173"/>
      <c r="BQ73" s="175">
        <f>(BQ8+BQ9+BQ10+BQ11)/BQ28</f>
        <v>1.9445529350750066</v>
      </c>
      <c r="BR73" s="175">
        <f>(BR8+BR9+BR10+BR11)/BR28</f>
        <v>1.8089506971240505</v>
      </c>
      <c r="BS73" s="175">
        <f>(BS8+BS9+BS10+BS11)/BS28</f>
        <v>1.7680853723723413</v>
      </c>
      <c r="BT73" s="175">
        <f>(BT8+BT9+BT10+BT11)/BT28</f>
        <v>1.7527196052800191</v>
      </c>
      <c r="BU73" s="175">
        <f>(BU8+BU9+BU10+BU11)/BU28</f>
        <v>1.7527196052800191</v>
      </c>
      <c r="BV73" s="173"/>
      <c r="BW73" s="175">
        <f>(BW8+BW9+BW10+BW11)/BW28</f>
        <v>1.7346663057522802</v>
      </c>
      <c r="BX73" s="175">
        <f>(BX8+BX9+BX10+BX11)/BX28</f>
        <v>1.6728392813497015</v>
      </c>
      <c r="BY73" s="175">
        <f>(BY8+BY9+BY10+BY11)/BY28</f>
        <v>1.7377491188377245</v>
      </c>
      <c r="BZ73" s="175">
        <f>(BZ8+BZ9+BZ10+BZ11)/BZ28</f>
        <v>1.8164840865908289</v>
      </c>
      <c r="CA73" s="175">
        <f>(CA8+CA9+CA10+CA11)/CA28</f>
        <v>1.8164840865908289</v>
      </c>
      <c r="CB73" s="173"/>
      <c r="CC73" s="175">
        <f>(CC8+CC9+CC10+CC11)/CC28</f>
        <v>1.8973553939588281</v>
      </c>
      <c r="CD73" s="175">
        <f>(CD8+CD9+CD10+CD11)/CD28</f>
        <v>1.8687960157167232</v>
      </c>
      <c r="CE73" s="175">
        <f>(CE8+CE9+CE10+CE11)/CE28</f>
        <v>1.9837569118890284</v>
      </c>
      <c r="CF73" s="175">
        <f>(CF8+CF9+CF10+CF11)/CF28</f>
        <v>2.100201886781607</v>
      </c>
      <c r="CG73" s="175">
        <f>(CG8+CG9+CG10+CG11)/CG28</f>
        <v>2.100201886781607</v>
      </c>
      <c r="CH73" s="79"/>
      <c r="CI73" s="79"/>
    </row>
    <row r="74" spans="1:87" hidden="1" outlineLevel="1" x14ac:dyDescent="0.2">
      <c r="A74" s="21" t="s">
        <v>248</v>
      </c>
      <c r="B74" s="173"/>
      <c r="C74" s="175">
        <f>C8/C28</f>
        <v>0.9721712961361515</v>
      </c>
      <c r="D74" s="175">
        <f>D8/D28</f>
        <v>1.2184040419050448</v>
      </c>
      <c r="E74" s="175">
        <f>E8/E28</f>
        <v>1.5710994427775393</v>
      </c>
      <c r="F74" s="175">
        <f>F8/F28</f>
        <v>1.4500561349842982</v>
      </c>
      <c r="G74" s="175">
        <f>G8/G28</f>
        <v>1.4500561349842982</v>
      </c>
      <c r="H74" s="173"/>
      <c r="I74" s="175">
        <f>I8/I28</f>
        <v>2.1068238259386924</v>
      </c>
      <c r="J74" s="175">
        <f>J8/J28</f>
        <v>1.1128041925385261</v>
      </c>
      <c r="K74" s="175">
        <f>K8/K28</f>
        <v>1.4055902153607553</v>
      </c>
      <c r="L74" s="175">
        <f>L8/L28</f>
        <v>1.4379581324704485</v>
      </c>
      <c r="M74" s="175">
        <f>M8/M28</f>
        <v>1.4379581324704485</v>
      </c>
      <c r="N74" s="173"/>
      <c r="O74" s="175">
        <f>O8/O28</f>
        <v>1.581304787043373</v>
      </c>
      <c r="P74" s="175">
        <f>P8/P28</f>
        <v>1.7501826359742727</v>
      </c>
      <c r="Q74" s="175">
        <f>Q8/Q28</f>
        <v>1.8649831280348956</v>
      </c>
      <c r="R74" s="175">
        <f>R8/R28</f>
        <v>2.049247319769087</v>
      </c>
      <c r="S74" s="175">
        <f>S8/S28</f>
        <v>2.049247319769087</v>
      </c>
      <c r="T74" s="173"/>
      <c r="U74" s="175">
        <f>U8/U28</f>
        <v>2.4971409836065566</v>
      </c>
      <c r="V74" s="175">
        <f>V8/V28</f>
        <v>3.1948324684650498</v>
      </c>
      <c r="W74" s="175">
        <f>W8/W28</f>
        <v>3.3100604727872449</v>
      </c>
      <c r="X74" s="175">
        <f>X8/X28</f>
        <v>3.1693161529029612</v>
      </c>
      <c r="Y74" s="175">
        <f>Y8/Y28</f>
        <v>3.1693161529029612</v>
      </c>
      <c r="Z74" s="173"/>
      <c r="AA74" s="175">
        <f>AA8/AA28</f>
        <v>3.5071482146509978</v>
      </c>
      <c r="AB74" s="175">
        <f>AB8/AB28</f>
        <v>1.5404793012398241</v>
      </c>
      <c r="AC74" s="175">
        <f>AC8/AC28</f>
        <v>1.6826195844808509</v>
      </c>
      <c r="AD74" s="175">
        <f>AD8/AD28</f>
        <v>1.6248978847802753</v>
      </c>
      <c r="AE74" s="175">
        <f>AE8/AE28</f>
        <v>1.6248978847802753</v>
      </c>
      <c r="AF74" s="173"/>
      <c r="AG74" s="175">
        <f>AG8/AG28</f>
        <v>1.6518022793532996</v>
      </c>
      <c r="AH74" s="175">
        <f>AH8/AH28</f>
        <v>1.8270738897077228</v>
      </c>
      <c r="AI74" s="175">
        <f>AI8/AI28</f>
        <v>2.0100930858077106</v>
      </c>
      <c r="AJ74" s="175">
        <f>AJ8/AJ28</f>
        <v>1.9669001290355719</v>
      </c>
      <c r="AK74" s="175">
        <f>AK8/AK28</f>
        <v>1.9669001290355719</v>
      </c>
      <c r="AL74" s="173"/>
      <c r="AM74" s="175">
        <f>AM8/AM28</f>
        <v>2.2852525112092033</v>
      </c>
      <c r="AN74" s="175">
        <f>AN8/AN28</f>
        <v>1.0239209730227696</v>
      </c>
      <c r="AO74" s="175">
        <f>AO8/AO28</f>
        <v>1.0769961045642746</v>
      </c>
      <c r="AP74" s="175">
        <f>AP8/AP28</f>
        <v>1.3856266183029347</v>
      </c>
      <c r="AQ74" s="175">
        <f>AQ8/AQ28</f>
        <v>1.3856266183029347</v>
      </c>
      <c r="AR74" s="173"/>
      <c r="AS74" s="175">
        <f>AS8/AS28</f>
        <v>1.0697140850428724</v>
      </c>
      <c r="AT74" s="175">
        <f>AT8/AT28</f>
        <v>0.8950260003313506</v>
      </c>
      <c r="AU74" s="175">
        <f>AU8/AU28</f>
        <v>0.90993150684931501</v>
      </c>
      <c r="AV74" s="175">
        <f>AV8/AV28</f>
        <v>0.99038704530476551</v>
      </c>
      <c r="AW74" s="175">
        <f>AW8/AW28</f>
        <v>0.99038704530476551</v>
      </c>
      <c r="AX74" s="173"/>
      <c r="AY74" s="175">
        <f>AY8/AY28</f>
        <v>0.94716689517636798</v>
      </c>
      <c r="AZ74" s="175">
        <f>AZ8/AZ28</f>
        <v>0.72559380957721198</v>
      </c>
      <c r="BA74" s="175">
        <f>BA8/BA28</f>
        <v>0.71178801771699418</v>
      </c>
      <c r="BB74" s="175">
        <f>BB8/BB28</f>
        <v>0.61734002768043816</v>
      </c>
      <c r="BC74" s="175">
        <f>BC8/BC28</f>
        <v>0.61734002768043816</v>
      </c>
      <c r="BD74" s="173"/>
      <c r="BE74" s="175">
        <f>BE8/BE28</f>
        <v>0.56203093721565056</v>
      </c>
      <c r="BF74" s="175">
        <f>BF8/BF28</f>
        <v>0.56091026760181817</v>
      </c>
      <c r="BG74" s="175">
        <f>BG8/BG28</f>
        <v>1.2241561750293688</v>
      </c>
      <c r="BH74" s="175">
        <f>BH8/BH28</f>
        <v>1.0986072502010806</v>
      </c>
      <c r="BI74" s="175">
        <f>BI8/BI28</f>
        <v>1.0986072502010806</v>
      </c>
      <c r="BJ74" s="173"/>
      <c r="BK74" s="175">
        <f>BK8/BK28</f>
        <v>0.7140586616478003</v>
      </c>
      <c r="BL74" s="175">
        <f>BL8/BL28</f>
        <v>0.84318590570532681</v>
      </c>
      <c r="BM74" s="175">
        <f>BM8/BM28</f>
        <v>0.78595007466908262</v>
      </c>
      <c r="BN74" s="175">
        <f>BN8/BN28</f>
        <v>0.90296615617015119</v>
      </c>
      <c r="BO74" s="175">
        <f>BO8/BO28</f>
        <v>0.90296615617015119</v>
      </c>
      <c r="BP74" s="173"/>
      <c r="BQ74" s="175">
        <f>BQ8/BQ28</f>
        <v>0.77098465867388233</v>
      </c>
      <c r="BR74" s="175">
        <f>BR8/BR28</f>
        <v>0.70475068916504835</v>
      </c>
      <c r="BS74" s="175">
        <f>BS8/BS28</f>
        <v>0.66514849683346666</v>
      </c>
      <c r="BT74" s="175">
        <f>BT8/BT28</f>
        <v>0.66172785796984646</v>
      </c>
      <c r="BU74" s="175">
        <f>BU8/BU28</f>
        <v>0.66172785796984646</v>
      </c>
      <c r="BV74" s="173"/>
      <c r="BW74" s="175">
        <f>BW8/BW28</f>
        <v>0.65226293905349952</v>
      </c>
      <c r="BX74" s="175">
        <f>BX8/BX28</f>
        <v>0.66092717859713668</v>
      </c>
      <c r="BY74" s="175">
        <f>BY8/BY28</f>
        <v>0.72396495321335375</v>
      </c>
      <c r="BZ74" s="175">
        <f>BZ8/BZ28</f>
        <v>0.81333902446444239</v>
      </c>
      <c r="CA74" s="175">
        <f>CA8/CA28</f>
        <v>0.81333902446444239</v>
      </c>
      <c r="CB74" s="173"/>
      <c r="CC74" s="175">
        <f>CC8/CC28</f>
        <v>0.8814535891333577</v>
      </c>
      <c r="CD74" s="175">
        <f>CD8/CD28</f>
        <v>0.91246876033295021</v>
      </c>
      <c r="CE74" s="175">
        <f>CE8/CE28</f>
        <v>1.0250196224242019</v>
      </c>
      <c r="CF74" s="175">
        <f>CF8/CF28</f>
        <v>1.1492696880356403</v>
      </c>
      <c r="CG74" s="175">
        <f>CG8/CG28</f>
        <v>1.1492696880356403</v>
      </c>
      <c r="CH74" s="79"/>
      <c r="CI74" s="79"/>
    </row>
    <row r="75" spans="1:87" hidden="1" outlineLevel="1" x14ac:dyDescent="0.2">
      <c r="A75" s="22" t="s">
        <v>249</v>
      </c>
      <c r="B75" s="173"/>
      <c r="C75" s="175">
        <f>(C14-C12)/C28</f>
        <v>1.9287246186308766</v>
      </c>
      <c r="D75" s="175">
        <f>(D14-D12)/D28</f>
        <v>2.508302994278921</v>
      </c>
      <c r="E75" s="175">
        <f>(E14-E12)/E28</f>
        <v>2.9219352764680671</v>
      </c>
      <c r="F75" s="175">
        <f>(F14-F12)/F28</f>
        <v>2.9549293024618031</v>
      </c>
      <c r="G75" s="175">
        <f>(G14-G12)/G28</f>
        <v>2.9549293024618031</v>
      </c>
      <c r="H75" s="173"/>
      <c r="I75" s="175">
        <f>(I14-I12)/I28</f>
        <v>3.4867860187553279</v>
      </c>
      <c r="J75" s="175">
        <f>(J14-J12)/J28</f>
        <v>2.963955238078765</v>
      </c>
      <c r="K75" s="175">
        <f>(K14-K12)/K28</f>
        <v>3.0055161961157517</v>
      </c>
      <c r="L75" s="175">
        <f>(L14-L12)/L28</f>
        <v>2.9046754275903055</v>
      </c>
      <c r="M75" s="175">
        <f>(M14-M12)/M28</f>
        <v>2.9046754275903055</v>
      </c>
      <c r="N75" s="173"/>
      <c r="O75" s="175">
        <f>(O14-O12)/O28</f>
        <v>3.1110405057516202</v>
      </c>
      <c r="P75" s="175">
        <f>(P14-P12)/P28</f>
        <v>3.0315709558665529</v>
      </c>
      <c r="Q75" s="175">
        <f>(Q14-Q12)/Q28</f>
        <v>3.2323667389097688</v>
      </c>
      <c r="R75" s="175">
        <f>(R14-R12)/R28</f>
        <v>3.1910810777543905</v>
      </c>
      <c r="S75" s="175">
        <f>(S14-S12)/S28</f>
        <v>3.1910810777543905</v>
      </c>
      <c r="T75" s="173"/>
      <c r="U75" s="175">
        <f>(U14-U12)/U28</f>
        <v>3.7016918032786874</v>
      </c>
      <c r="V75" s="175">
        <f>(V14-V12)/V28</f>
        <v>4.4522877233866689</v>
      </c>
      <c r="W75" s="175">
        <f>(W14-W12)/W28</f>
        <v>4.4425008746064254</v>
      </c>
      <c r="X75" s="175">
        <f>(X14-X12)/X28</f>
        <v>4.1524189558371152</v>
      </c>
      <c r="Y75" s="175">
        <f>(Y14-Y12)/Y28</f>
        <v>4.1524189558371152</v>
      </c>
      <c r="Z75" s="173"/>
      <c r="AA75" s="175">
        <f>(AA14-AA12)/AA28</f>
        <v>4.7170716185194426</v>
      </c>
      <c r="AB75" s="175">
        <f>(AB14-AB12)/AB28</f>
        <v>2.5609724899726816</v>
      </c>
      <c r="AC75" s="175">
        <f>(AC14-AC12)/AC28</f>
        <v>2.6529990764392157</v>
      </c>
      <c r="AD75" s="175">
        <f>(AD14-AD12)/AD28</f>
        <v>2.5345773948972776</v>
      </c>
      <c r="AE75" s="175">
        <f>(AE14-AE12)/AE28</f>
        <v>2.5345773948972776</v>
      </c>
      <c r="AF75" s="173"/>
      <c r="AG75" s="175">
        <f>(AG14-AG12)/AG28</f>
        <v>2.7392143004387899</v>
      </c>
      <c r="AH75" s="175">
        <f>(AH14-AH12)/AH28</f>
        <v>2.9235518229094248</v>
      </c>
      <c r="AI75" s="175">
        <f>(AI14-AI12)/AI28</f>
        <v>3.0925913717630933</v>
      </c>
      <c r="AJ75" s="175">
        <f>(AJ14-AJ12)/AJ28</f>
        <v>3.0215572860160109</v>
      </c>
      <c r="AK75" s="175">
        <f>(AK14-AK12)/AK28</f>
        <v>3.0215572860160109</v>
      </c>
      <c r="AL75" s="173"/>
      <c r="AM75" s="175">
        <f>(AM14-AM12)/AM28</f>
        <v>3.5583678009106388</v>
      </c>
      <c r="AN75" s="175">
        <f>(AN14-AN12)/AN28</f>
        <v>2.6540826870168188</v>
      </c>
      <c r="AO75" s="175">
        <f>(AO14-AO12)/AO28</f>
        <v>2.8639843692579077</v>
      </c>
      <c r="AP75" s="175">
        <f>(AP14-AP12)/AP28</f>
        <v>3.0267711505777415</v>
      </c>
      <c r="AQ75" s="175">
        <f>(AQ14-AQ12)/AQ28</f>
        <v>3.0267711505777415</v>
      </c>
      <c r="AR75" s="173"/>
      <c r="AS75" s="175">
        <f>(AS14-AS12)/AS28</f>
        <v>3.1391355242749697</v>
      </c>
      <c r="AT75" s="175">
        <f>(AT14-AT12)/AT28</f>
        <v>2.8934226911010992</v>
      </c>
      <c r="AU75" s="175">
        <f>(AU14-AU12)/AU28</f>
        <v>3.020190370668816</v>
      </c>
      <c r="AV75" s="175">
        <f>(AV14-AV12)/AV28</f>
        <v>3.1773887449147966</v>
      </c>
      <c r="AW75" s="175">
        <f>(AW14-AW12)/AW28</f>
        <v>3.1773887449147966</v>
      </c>
      <c r="AX75" s="173"/>
      <c r="AY75" s="175">
        <f>(AY14-AY12)/AY28</f>
        <v>3.2044870995886829</v>
      </c>
      <c r="AZ75" s="175">
        <f>(AZ14-AZ12)/AZ28</f>
        <v>2.877609061343501</v>
      </c>
      <c r="BA75" s="175">
        <f>(BA14-BA12)/BA28</f>
        <v>2.8333858190429058</v>
      </c>
      <c r="BB75" s="175">
        <f>(BB14-BB12)/BB28</f>
        <v>2.6228135398568857</v>
      </c>
      <c r="BC75" s="175">
        <f>(BC14-BC12)/BC28</f>
        <v>2.6228135398568857</v>
      </c>
      <c r="BD75" s="173"/>
      <c r="BE75" s="175">
        <f>(BE14-BE12)/BE28</f>
        <v>2.7675523202911738</v>
      </c>
      <c r="BF75" s="175">
        <f>(BF14-BF12)/BF28</f>
        <v>2.6837609410379653</v>
      </c>
      <c r="BG75" s="175">
        <f>(BG14-BG12)/BG28</f>
        <v>2.581036055863414</v>
      </c>
      <c r="BH75" s="175">
        <f>(BH14-BH12)/BH28</f>
        <v>2.612914332481973</v>
      </c>
      <c r="BI75" s="175">
        <f>(BI14-BI12)/BI28</f>
        <v>2.612914332481973</v>
      </c>
      <c r="BJ75" s="173"/>
      <c r="BK75" s="175">
        <f>(BK14-BK12)/BK28</f>
        <v>2.4154926495127951</v>
      </c>
      <c r="BL75" s="175">
        <f>(BL14-BL12)/BL28</f>
        <v>2.2789503667642821</v>
      </c>
      <c r="BM75" s="175">
        <f>(BM14-BM12)/BM28</f>
        <v>2.3063144684623369</v>
      </c>
      <c r="BN75" s="175">
        <f>(BN14-BN12)/BN28</f>
        <v>2.2605038809519979</v>
      </c>
      <c r="BO75" s="175">
        <f>(BO14-BO12)/BO28</f>
        <v>2.2605038809519979</v>
      </c>
      <c r="BP75" s="173"/>
      <c r="BQ75" s="175">
        <f>(BQ14-BQ12)/BQ28</f>
        <v>2.1124180013761515</v>
      </c>
      <c r="BR75" s="175">
        <f>(BR14-BR12)/BR28</f>
        <v>1.9758338034756677</v>
      </c>
      <c r="BS75" s="175">
        <f>(BS14-BS12)/BS28</f>
        <v>1.9388488985997898</v>
      </c>
      <c r="BT75" s="175">
        <f>(BT14-BT12)/BT28</f>
        <v>1.9298456045829691</v>
      </c>
      <c r="BU75" s="175">
        <f>(BU14-BU12)/BU28</f>
        <v>1.9298456045829691</v>
      </c>
      <c r="BV75" s="173"/>
      <c r="BW75" s="175">
        <f>(BW14-BW12)/BW28</f>
        <v>1.9040562973275972</v>
      </c>
      <c r="BX75" s="175">
        <f>(BX14-BX12)/BX28</f>
        <v>1.8414772543279125</v>
      </c>
      <c r="BY75" s="175">
        <f>(BY14-BY12)/BY28</f>
        <v>1.9102616958215817</v>
      </c>
      <c r="BZ75" s="175">
        <f>(BZ14-BZ12)/BZ28</f>
        <v>1.994878132039632</v>
      </c>
      <c r="CA75" s="175">
        <f>(CA14-CA12)/CA28</f>
        <v>1.994878132039632</v>
      </c>
      <c r="CB75" s="173"/>
      <c r="CC75" s="175">
        <f>(CC14-CC12)/CC28</f>
        <v>2.0681647232137661</v>
      </c>
      <c r="CD75" s="175">
        <f>(CD14-CD12)/CD28</f>
        <v>2.0388097780266325</v>
      </c>
      <c r="CE75" s="175">
        <f>(CE14-CE12)/CE28</f>
        <v>2.1577392206111305</v>
      </c>
      <c r="CF75" s="175">
        <f>(CF14-CF12)/CF28</f>
        <v>2.2797857912847999</v>
      </c>
      <c r="CG75" s="175">
        <f>(CG14-CG12)/CG28</f>
        <v>2.2797857912847999</v>
      </c>
      <c r="CH75" s="79"/>
      <c r="CI75" s="79"/>
    </row>
    <row r="76" spans="1:87" hidden="1" outlineLevel="1" x14ac:dyDescent="0.2">
      <c r="A76" s="21"/>
      <c r="B76" s="70"/>
      <c r="C76" s="11"/>
      <c r="D76" s="11"/>
      <c r="E76" s="11"/>
      <c r="F76" s="11"/>
      <c r="G76" s="11"/>
      <c r="H76" s="70"/>
      <c r="I76" s="11"/>
      <c r="J76" s="11"/>
      <c r="K76" s="11"/>
      <c r="L76" s="11"/>
      <c r="M76" s="11"/>
      <c r="N76" s="70"/>
      <c r="O76" s="11"/>
      <c r="P76" s="11"/>
      <c r="Q76" s="11"/>
      <c r="R76" s="11"/>
      <c r="S76" s="11"/>
      <c r="T76" s="70"/>
      <c r="U76" s="11"/>
      <c r="V76" s="11"/>
      <c r="W76" s="11"/>
      <c r="X76" s="11"/>
      <c r="Y76" s="11"/>
      <c r="Z76" s="70"/>
      <c r="AB76" s="11"/>
      <c r="AC76" s="11"/>
      <c r="AD76" s="11"/>
      <c r="AE76" s="42"/>
      <c r="AF76" s="114"/>
      <c r="AH76" s="11"/>
      <c r="AI76" s="11"/>
      <c r="AK76" s="42"/>
      <c r="AL76" s="114"/>
      <c r="AO76" s="11"/>
      <c r="AQ76" s="42"/>
      <c r="AR76" s="114"/>
      <c r="AW76" s="42"/>
      <c r="AX76" s="114"/>
      <c r="BC76" s="42"/>
      <c r="BD76" s="114"/>
      <c r="BI76" s="42"/>
      <c r="BJ76" s="114"/>
      <c r="BO76" s="42"/>
      <c r="BP76" s="114"/>
      <c r="BU76" s="42"/>
      <c r="BV76" s="114"/>
      <c r="CA76" s="42"/>
      <c r="CB76" s="114"/>
      <c r="CG76" s="42"/>
      <c r="CH76" s="42"/>
      <c r="CI76" s="42"/>
    </row>
    <row r="77" spans="1:87" collapsed="1" x14ac:dyDescent="0.2">
      <c r="A77" s="19" t="s">
        <v>250</v>
      </c>
      <c r="B77" s="109"/>
      <c r="C77" s="173"/>
      <c r="D77" s="173"/>
      <c r="E77" s="173"/>
      <c r="F77" s="173"/>
      <c r="G77" s="173"/>
      <c r="H77" s="109"/>
      <c r="I77" s="173"/>
      <c r="J77" s="173"/>
      <c r="K77" s="173"/>
      <c r="L77" s="173"/>
      <c r="M77" s="173"/>
      <c r="N77" s="109"/>
      <c r="O77" s="173"/>
      <c r="P77" s="173"/>
      <c r="Q77" s="173"/>
      <c r="R77" s="173"/>
      <c r="S77" s="173"/>
      <c r="T77" s="109"/>
      <c r="U77" s="173"/>
      <c r="V77" s="173"/>
      <c r="W77" s="173"/>
      <c r="X77" s="173"/>
      <c r="Y77" s="173"/>
      <c r="Z77" s="109"/>
      <c r="AA77" s="173"/>
      <c r="AB77" s="173"/>
      <c r="AC77" s="173"/>
      <c r="AD77" s="173"/>
      <c r="AE77" s="173"/>
      <c r="AF77" s="109"/>
      <c r="AG77" s="173"/>
      <c r="AH77" s="173"/>
      <c r="AI77" s="173"/>
      <c r="AJ77" s="173"/>
      <c r="AK77" s="173"/>
      <c r="AL77" s="109"/>
      <c r="AM77" s="173"/>
      <c r="AN77" s="173"/>
      <c r="AO77" s="173"/>
      <c r="AP77" s="173"/>
      <c r="AQ77" s="173"/>
      <c r="AR77" s="109"/>
      <c r="AS77" s="173"/>
      <c r="AT77" s="173"/>
      <c r="AU77" s="173"/>
      <c r="AV77" s="173"/>
      <c r="AW77" s="173"/>
      <c r="AX77" s="109"/>
      <c r="AY77" s="173"/>
      <c r="AZ77" s="173"/>
      <c r="BA77" s="173"/>
      <c r="BB77" s="173"/>
      <c r="BC77" s="173"/>
      <c r="BD77" s="109"/>
      <c r="BE77" s="173"/>
      <c r="BF77" s="173"/>
      <c r="BG77" s="173"/>
      <c r="BH77" s="173"/>
      <c r="BI77" s="173"/>
      <c r="BJ77" s="109"/>
      <c r="BK77" s="173"/>
      <c r="BL77" s="173"/>
      <c r="BM77" s="173"/>
      <c r="BN77" s="173"/>
      <c r="BO77" s="173"/>
      <c r="BP77" s="109"/>
      <c r="BQ77" s="173"/>
      <c r="BR77" s="173"/>
      <c r="BS77" s="173"/>
      <c r="BT77" s="173"/>
      <c r="BU77" s="173"/>
      <c r="BV77" s="109"/>
      <c r="BW77" s="173"/>
      <c r="BX77" s="173"/>
      <c r="BY77" s="173"/>
      <c r="BZ77" s="173"/>
      <c r="CA77" s="173"/>
      <c r="CB77" s="109"/>
      <c r="CC77" s="173"/>
      <c r="CD77" s="173"/>
      <c r="CE77" s="173"/>
      <c r="CF77" s="173"/>
      <c r="CG77" s="173"/>
      <c r="CH77" s="79"/>
      <c r="CI77" s="79"/>
    </row>
    <row r="78" spans="1:87" x14ac:dyDescent="0.2">
      <c r="A78" s="22" t="s">
        <v>120</v>
      </c>
      <c r="B78" s="178"/>
      <c r="C78" s="177"/>
      <c r="D78" s="177">
        <f>+AVERAGE(D11,C11)/('P&amp;L'!D8/'P&amp;L'!D7)</f>
        <v>50.748926282260491</v>
      </c>
      <c r="E78" s="177">
        <f>+AVERAGE(E11,D11)/('P&amp;L'!E8/'P&amp;L'!E7)</f>
        <v>60.027067500804762</v>
      </c>
      <c r="F78" s="177">
        <f>+AVERAGE(F11,E11)/('P&amp;L'!F8/'P&amp;L'!F7)</f>
        <v>57.630514224250867</v>
      </c>
      <c r="G78" s="177"/>
      <c r="H78" s="178"/>
      <c r="I78" s="177">
        <f>I11/('P&amp;L'!I8/'P&amp;L'!I7)</f>
        <v>57.775556328233669</v>
      </c>
      <c r="J78" s="177">
        <f>J11/('P&amp;L'!J8/'P&amp;L'!J7)</f>
        <v>58.280681334634934</v>
      </c>
      <c r="K78" s="177">
        <f>K11/('P&amp;L'!K8/'P&amp;L'!K7)</f>
        <v>59.811687707022465</v>
      </c>
      <c r="L78" s="177">
        <f>L11/('P&amp;L'!L8/'P&amp;L'!L7)</f>
        <v>64.988924114671164</v>
      </c>
      <c r="M78" s="177">
        <f>M11/('P&amp;L'!M8/'P&amp;L'!M7)</f>
        <v>63.046069426533677</v>
      </c>
      <c r="N78" s="178"/>
      <c r="O78" s="177">
        <f>O11/('P&amp;L'!O8/'P&amp;L'!O7)</f>
        <v>66.301403068499411</v>
      </c>
      <c r="P78" s="177">
        <f>P11/('P&amp;L'!P8/'P&amp;L'!P7)</f>
        <v>63.479165574715651</v>
      </c>
      <c r="Q78" s="177">
        <f>Q11/('P&amp;L'!Q8/'P&amp;L'!Q7)</f>
        <v>63.873897740604768</v>
      </c>
      <c r="R78" s="177">
        <f>R11/('P&amp;L'!R8/'P&amp;L'!R7)</f>
        <v>57.926988085342217</v>
      </c>
      <c r="S78" s="177">
        <f>S11/('P&amp;L'!S8/'P&amp;L'!S7)</f>
        <v>63.733275062193236</v>
      </c>
      <c r="T78" s="178"/>
      <c r="U78" s="177">
        <f>U11/('P&amp;L'!U8/'P&amp;L'!U7)</f>
        <v>58.742257742257735</v>
      </c>
      <c r="V78" s="177">
        <f>V11/('P&amp;L'!V8/'P&amp;L'!V7)</f>
        <v>60.987773967496643</v>
      </c>
      <c r="W78" s="177">
        <f>W11/('P&amp;L'!W8/'P&amp;L'!W7)</f>
        <v>61.185988097595548</v>
      </c>
      <c r="X78" s="177">
        <f>X11/('P&amp;L'!X8/'P&amp;L'!X7)</f>
        <v>64.801007610907206</v>
      </c>
      <c r="Y78" s="177">
        <f>Y11/('P&amp;L'!Y8/'P&amp;L'!Y7)</f>
        <v>64.056213589108125</v>
      </c>
      <c r="Z78" s="178"/>
      <c r="AA78" s="177">
        <f>AA11/('P&amp;L'!AA8/'P&amp;L'!AA7)</f>
        <v>63.43327992675669</v>
      </c>
      <c r="AB78" s="177">
        <f>AB11/('P&amp;L'!AB8/'P&amp;L'!AB7)</f>
        <v>62.237313258831172</v>
      </c>
      <c r="AC78" s="177">
        <f>AC11/('P&amp;L'!AC8/'P&amp;L'!AC7)</f>
        <v>63.320062910067193</v>
      </c>
      <c r="AD78" s="177">
        <f>AD11/('P&amp;L'!AD8/'P&amp;L'!AD7)</f>
        <v>65.330313021217179</v>
      </c>
      <c r="AE78" s="177">
        <f>AE11/('P&amp;L'!AE8/'P&amp;L'!AE7)</f>
        <v>69.643839071499002</v>
      </c>
      <c r="AF78" s="178"/>
      <c r="AG78" s="177">
        <f>AG11/('P&amp;L'!AG8/'P&amp;L'!AG7)</f>
        <v>63.098633022157408</v>
      </c>
      <c r="AH78" s="177">
        <f>AH11/('P&amp;L'!AH8/'P&amp;L'!AH7)</f>
        <v>63.831726477414747</v>
      </c>
      <c r="AI78" s="177">
        <f>AI11/('P&amp;L'!AI8/'P&amp;L'!AI7)</f>
        <v>71.379263861212053</v>
      </c>
      <c r="AJ78" s="177">
        <f>AJ11/('P&amp;L'!AJ8/'P&amp;L'!AJ7)</f>
        <v>63.758499019882393</v>
      </c>
      <c r="AK78" s="177">
        <f>AK11/('P&amp;L'!AK8/'P&amp;L'!AK7)</f>
        <v>64.56103749546908</v>
      </c>
      <c r="AL78" s="178"/>
      <c r="AM78" s="177">
        <f>AM11/('P&amp;L'!AM8/'P&amp;L'!AM7)</f>
        <v>63.86019012892303</v>
      </c>
      <c r="AN78" s="177">
        <f>AN11/('P&amp;L'!AN8/'P&amp;L'!AN7)</f>
        <v>62.415441804819686</v>
      </c>
      <c r="AO78" s="177">
        <f>AO11/('P&amp;L'!AO8/'P&amp;L'!AO7)</f>
        <v>61.058368691719451</v>
      </c>
      <c r="AP78" s="177">
        <f>AP11/('P&amp;L'!AP8/'P&amp;L'!AP7)</f>
        <v>58.437843537567588</v>
      </c>
      <c r="AQ78" s="177">
        <f>AQ11/('P&amp;L'!AQ8/'P&amp;L'!AQ7)</f>
        <v>62.654023895571981</v>
      </c>
      <c r="AR78" s="178"/>
      <c r="AS78" s="177">
        <f>AS11/('P&amp;L'!AS8/'P&amp;L'!AS7)</f>
        <v>63.040508785137796</v>
      </c>
      <c r="AT78" s="177">
        <f>AT11/('P&amp;L'!AT8/'P&amp;L'!AT7)</f>
        <v>61.930535861757321</v>
      </c>
      <c r="AU78" s="177">
        <f>AU11/('P&amp;L'!AU8/'P&amp;L'!AU7)</f>
        <v>63.011249447007515</v>
      </c>
      <c r="AV78" s="177">
        <f>AV11/('P&amp;L'!AV8/'P&amp;L'!AV7)</f>
        <v>60.106203423967777</v>
      </c>
      <c r="AW78" s="177">
        <f>AW11/('P&amp;L'!AW8/'P&amp;L'!AW7)</f>
        <v>62.22197345772944</v>
      </c>
      <c r="AX78" s="178"/>
      <c r="AY78" s="177">
        <f>AY11/('P&amp;L'!AY8/'P&amp;L'!AY7)</f>
        <v>62.94664817301576</v>
      </c>
      <c r="AZ78" s="177">
        <f>AZ11/('P&amp;L'!AZ8/'P&amp;L'!AZ7)</f>
        <v>63.623720690445275</v>
      </c>
      <c r="BA78" s="177">
        <f>BA11/('P&amp;L'!BA8/'P&amp;L'!BA7)</f>
        <v>65.751314800901582</v>
      </c>
      <c r="BB78" s="177">
        <f>BB11/('P&amp;L'!BB8/'P&amp;L'!BB7)</f>
        <v>63.343987215341592</v>
      </c>
      <c r="BC78" s="177">
        <f>BC11/('P&amp;L'!BC8/'P&amp;L'!BC7)</f>
        <v>68.4936090012135</v>
      </c>
      <c r="BD78" s="178"/>
      <c r="BE78" s="177">
        <f>BE11/('P&amp;L'!BE8/'P&amp;L'!BE7)</f>
        <v>67.294319705093827</v>
      </c>
      <c r="BF78" s="177">
        <f>BF11/('P&amp;L'!BF8/'P&amp;L'!BF7)</f>
        <v>65.087354563746914</v>
      </c>
      <c r="BG78" s="177">
        <f>BG11/('P&amp;L'!BG8/'P&amp;L'!BG7)</f>
        <v>80.905075218332371</v>
      </c>
      <c r="BH78" s="177">
        <f>BH11/('P&amp;L'!BH8/'P&amp;L'!BH7)</f>
        <v>77.632834589004901</v>
      </c>
      <c r="BI78" s="177">
        <f>BI11/('P&amp;L'!BI8/'P&amp;L'!BI7)</f>
        <v>83.68414162207813</v>
      </c>
      <c r="BJ78" s="178"/>
      <c r="BK78" s="177">
        <f>BK11/('P&amp;L'!BK8/'P&amp;L'!BK7)</f>
        <v>77.683264538040405</v>
      </c>
      <c r="BL78" s="177">
        <f>BL11/('P&amp;L'!BL8/'P&amp;L'!BL7)</f>
        <v>74.461414601578753</v>
      </c>
      <c r="BM78" s="177">
        <f>BM11/('P&amp;L'!BM8/'P&amp;L'!BM7)</f>
        <v>76.731658823621004</v>
      </c>
      <c r="BN78" s="177">
        <f>BN11/('P&amp;L'!BN8/'P&amp;L'!BN7)</f>
        <v>70.49199782589605</v>
      </c>
      <c r="BO78" s="177">
        <f>BO11/('P&amp;L'!BO8/'P&amp;L'!BO7)</f>
        <v>80.026327479125001</v>
      </c>
      <c r="BP78" s="178"/>
      <c r="BQ78" s="235">
        <v>70</v>
      </c>
      <c r="BR78" s="235">
        <f>+BQ78-1</f>
        <v>69</v>
      </c>
      <c r="BS78" s="235">
        <f>+BR78-1</f>
        <v>68</v>
      </c>
      <c r="BT78" s="235">
        <f>+BS78-1</f>
        <v>67</v>
      </c>
      <c r="BU78" s="177">
        <f>+AVERAGE(BQ10:BT10,BO10)/('P&amp;L'!BU8/'P&amp;L'!BU7)</f>
        <v>50.934812811309492</v>
      </c>
      <c r="BV78" s="178"/>
      <c r="BW78" s="235">
        <f t="shared" ref="BW78:BZ79" si="132">+BQ78-1</f>
        <v>69</v>
      </c>
      <c r="BX78" s="235">
        <f t="shared" si="132"/>
        <v>68</v>
      </c>
      <c r="BY78" s="235">
        <f t="shared" si="132"/>
        <v>67</v>
      </c>
      <c r="BZ78" s="235">
        <f t="shared" si="132"/>
        <v>66</v>
      </c>
      <c r="CA78" s="177">
        <f>+AVERAGE(BW10:BZ10,BU10)/('P&amp;L'!CA8/'P&amp;L'!CA7)</f>
        <v>41.279625603563353</v>
      </c>
      <c r="CB78" s="178"/>
      <c r="CC78" s="235">
        <f t="shared" ref="CC78:CF79" si="133">+BW78-1</f>
        <v>68</v>
      </c>
      <c r="CD78" s="235">
        <f t="shared" si="133"/>
        <v>67</v>
      </c>
      <c r="CE78" s="235">
        <f t="shared" si="133"/>
        <v>66</v>
      </c>
      <c r="CF78" s="235">
        <f t="shared" si="133"/>
        <v>65</v>
      </c>
      <c r="CG78" s="177">
        <f>+AVERAGE(CC10:CF10,CA10)/('P&amp;L'!CG8/'P&amp;L'!CG7)</f>
        <v>35.455022379320475</v>
      </c>
      <c r="CH78" s="79"/>
      <c r="CI78" s="79"/>
    </row>
    <row r="79" spans="1:87" x14ac:dyDescent="0.2">
      <c r="A79" s="22" t="s">
        <v>251</v>
      </c>
      <c r="B79" s="177"/>
      <c r="C79" s="177"/>
      <c r="D79" s="177">
        <f>+AVERAGE(D12,C12)/('P&amp;L'!D11/'P&amp;L'!D7)</f>
        <v>15.984664394725144</v>
      </c>
      <c r="E79" s="177">
        <f>+AVERAGE(E12,D12)/('P&amp;L'!E11/'P&amp;L'!E7)</f>
        <v>17.581072137657177</v>
      </c>
      <c r="F79" s="177">
        <f>+AVERAGE(F12,E12)/('P&amp;L'!F11/'P&amp;L'!F7)</f>
        <v>15.5169132639724</v>
      </c>
      <c r="G79" s="177"/>
      <c r="H79" s="177"/>
      <c r="I79" s="177">
        <f>I12/('P&amp;L'!I11/'P&amp;L'!I7)</f>
        <v>13.969298245614032</v>
      </c>
      <c r="J79" s="177">
        <f>J12/('P&amp;L'!J11/'P&amp;L'!J7)</f>
        <v>13.562564837227685</v>
      </c>
      <c r="K79" s="177">
        <f>K12/('P&amp;L'!K11/'P&amp;L'!K7)</f>
        <v>14.78098689118619</v>
      </c>
      <c r="L79" s="177">
        <f>L12/('P&amp;L'!L11/'P&amp;L'!L7)</f>
        <v>8.9349083180942053</v>
      </c>
      <c r="M79" s="177">
        <f>M12/('P&amp;L'!M11/'P&amp;L'!M7)</f>
        <v>9.120989220038048</v>
      </c>
      <c r="N79" s="177"/>
      <c r="O79" s="177">
        <f>O12/('P&amp;L'!O11/'P&amp;L'!O7)</f>
        <v>10.681205164992827</v>
      </c>
      <c r="P79" s="177">
        <f>P12/('P&amp;L'!P11/'P&amp;L'!P7)</f>
        <v>10.475569854946016</v>
      </c>
      <c r="Q79" s="177">
        <f>Q12/('P&amp;L'!Q11/'P&amp;L'!Q7)</f>
        <v>9.4795773880840848</v>
      </c>
      <c r="R79" s="177">
        <f>R12/('P&amp;L'!R11/'P&amp;L'!R7)</f>
        <v>10.146730634467145</v>
      </c>
      <c r="S79" s="177">
        <f>S12/('P&amp;L'!S11/'P&amp;L'!S7)</f>
        <v>10.27560680279597</v>
      </c>
      <c r="T79" s="177"/>
      <c r="U79" s="177">
        <f>U12/('P&amp;L'!U11/'P&amp;L'!U7)</f>
        <v>10.844371707666342</v>
      </c>
      <c r="V79" s="177">
        <f>V12/('P&amp;L'!V11/'P&amp;L'!V7)</f>
        <v>10.686419869676081</v>
      </c>
      <c r="W79" s="177">
        <f>W12/('P&amp;L'!W11/'P&amp;L'!W7)</f>
        <v>10.428476253925956</v>
      </c>
      <c r="X79" s="177">
        <f>X12/('P&amp;L'!X11/'P&amp;L'!X7)</f>
        <v>11.072905331882477</v>
      </c>
      <c r="Y79" s="177">
        <f>Y12/('P&amp;L'!Y11/'P&amp;L'!Y7)</f>
        <v>11.203397601409232</v>
      </c>
      <c r="Z79" s="178"/>
      <c r="AA79" s="177">
        <f>AA12/('P&amp;L'!AA11/'P&amp;L'!AA7)</f>
        <v>11.40212107821476</v>
      </c>
      <c r="AB79" s="177">
        <f>AB12/('P&amp;L'!AB11/'P&amp;L'!AB7)</f>
        <v>19.880594935386114</v>
      </c>
      <c r="AC79" s="177">
        <f>AC12/('P&amp;L'!AC11/'P&amp;L'!AC7)</f>
        <v>23.16228710462287</v>
      </c>
      <c r="AD79" s="177">
        <f>AD12/('P&amp;L'!AD11/'P&amp;L'!AD7)</f>
        <v>26.736646884273</v>
      </c>
      <c r="AE79" s="177">
        <f>AE12/('P&amp;L'!AE11/'P&amp;L'!AE7)</f>
        <v>29.438968525619579</v>
      </c>
      <c r="AF79" s="178"/>
      <c r="AG79" s="177">
        <f>AG12/('P&amp;L'!AG11/'P&amp;L'!AG7)</f>
        <v>36.058128122769446</v>
      </c>
      <c r="AH79" s="177">
        <f>AH12/('P&amp;L'!AH11/'P&amp;L'!AH7)</f>
        <v>36.570560914612358</v>
      </c>
      <c r="AI79" s="177">
        <f>AI12/('P&amp;L'!AI11/'P&amp;L'!AI7)</f>
        <v>38.857222578754993</v>
      </c>
      <c r="AJ79" s="177">
        <f>AJ12/('P&amp;L'!AJ11/'P&amp;L'!AJ7)</f>
        <v>38.473051077127295</v>
      </c>
      <c r="AK79" s="177">
        <f>AK12/('P&amp;L'!AK11/'P&amp;L'!AK7)</f>
        <v>38.89353993704713</v>
      </c>
      <c r="AL79" s="178"/>
      <c r="AM79" s="177">
        <f>AM12/('P&amp;L'!AM11/'P&amp;L'!AM7)</f>
        <v>34.215720213105499</v>
      </c>
      <c r="AN79" s="177">
        <f>AN12/('P&amp;L'!AN11/'P&amp;L'!AN7)</f>
        <v>35.604654059845032</v>
      </c>
      <c r="AO79" s="177">
        <f>AO12/('P&amp;L'!AO11/'P&amp;L'!AO7)</f>
        <v>34.222244773695969</v>
      </c>
      <c r="AP79" s="177">
        <f>AP12/('P&amp;L'!AP11/'P&amp;L'!AP7)</f>
        <v>30.731203367132196</v>
      </c>
      <c r="AQ79" s="177">
        <f>AQ12/('P&amp;L'!AQ11/'P&amp;L'!AQ7)</f>
        <v>31.473238741517584</v>
      </c>
      <c r="AR79" s="178"/>
      <c r="AS79" s="177">
        <f>AS12/('P&amp;L'!AS11/'P&amp;L'!AS7)</f>
        <v>32.942965779467677</v>
      </c>
      <c r="AT79" s="177">
        <f>AT12/('P&amp;L'!AT11/'P&amp;L'!AT7)</f>
        <v>25.363192009350762</v>
      </c>
      <c r="AU79" s="177">
        <f>AU12/('P&amp;L'!AU11/'P&amp;L'!AU7)</f>
        <v>32.806121993663822</v>
      </c>
      <c r="AV79" s="177">
        <f>AV12/('P&amp;L'!AV11/'P&amp;L'!AV7)</f>
        <v>30.568150527765027</v>
      </c>
      <c r="AW79" s="177">
        <f>AW12/('P&amp;L'!AW11/'P&amp;L'!AW7)</f>
        <v>31.75428197150811</v>
      </c>
      <c r="AX79" s="178"/>
      <c r="AY79" s="177">
        <f>AY12/('P&amp;L'!AY11/'P&amp;L'!AY7)</f>
        <v>27.983722018895225</v>
      </c>
      <c r="AZ79" s="177">
        <f>AZ12/('P&amp;L'!AZ11/'P&amp;L'!AZ7)</f>
        <v>29.373598930270973</v>
      </c>
      <c r="BA79" s="177">
        <f>BA12/('P&amp;L'!BA11/'P&amp;L'!BA7)</f>
        <v>34.805992808629647</v>
      </c>
      <c r="BB79" s="177">
        <f>BB12/('P&amp;L'!BB11/'P&amp;L'!BB7)</f>
        <v>31.162426478265409</v>
      </c>
      <c r="BC79" s="177">
        <f>BC12/('P&amp;L'!BC11/'P&amp;L'!BC7)</f>
        <v>34.617439476861954</v>
      </c>
      <c r="BD79" s="178"/>
      <c r="BE79" s="177">
        <f>BE12/('P&amp;L'!BE11/'P&amp;L'!BE7)</f>
        <v>35.138045891931903</v>
      </c>
      <c r="BF79" s="177">
        <f>BF12/('P&amp;L'!BF11/'P&amp;L'!BF7)</f>
        <v>32.617341689271356</v>
      </c>
      <c r="BG79" s="177">
        <f>BG12/('P&amp;L'!BG11/'P&amp;L'!BG7)</f>
        <v>34.92544712986583</v>
      </c>
      <c r="BH79" s="177">
        <f>BH12/('P&amp;L'!BH11/'P&amp;L'!BH7)</f>
        <v>34.383723172713999</v>
      </c>
      <c r="BI79" s="177">
        <f>BI12/('P&amp;L'!BI11/'P&amp;L'!BI7)</f>
        <v>37.50510086291726</v>
      </c>
      <c r="BJ79" s="178"/>
      <c r="BK79" s="177">
        <f>BK12/('P&amp;L'!BK11/'P&amp;L'!BK7)</f>
        <v>42.486930510198619</v>
      </c>
      <c r="BL79" s="177">
        <f>BL12/('P&amp;L'!BL11/'P&amp;L'!BL7)</f>
        <v>37.364611698708586</v>
      </c>
      <c r="BM79" s="177">
        <f>BM12/('P&amp;L'!BM11/'P&amp;L'!BM7)</f>
        <v>36.630832408195822</v>
      </c>
      <c r="BN79" s="177">
        <f>BN12/('P&amp;L'!BN11/'P&amp;L'!BN7)</f>
        <v>28.192716089975438</v>
      </c>
      <c r="BO79" s="177">
        <f>BO12/('P&amp;L'!BO11/'P&amp;L'!BO7)</f>
        <v>32.468852569389504</v>
      </c>
      <c r="BP79" s="178"/>
      <c r="BQ79" s="235">
        <f>+BK79-2</f>
        <v>40.486930510198619</v>
      </c>
      <c r="BR79" s="235">
        <f>+BQ79-2</f>
        <v>38.486930510198619</v>
      </c>
      <c r="BS79" s="235">
        <f>+BR79-2</f>
        <v>36.486930510198619</v>
      </c>
      <c r="BT79" s="235">
        <f>+BS79-2</f>
        <v>34.486930510198619</v>
      </c>
      <c r="BU79" s="177">
        <f>+AVERAGE(BQ12:BT12,BO12)/('P&amp;L'!BU11/'P&amp;L'!BU7)</f>
        <v>34.774837876317179</v>
      </c>
      <c r="BV79" s="178"/>
      <c r="BW79" s="235">
        <f t="shared" si="132"/>
        <v>39.486930510198619</v>
      </c>
      <c r="BX79" s="235">
        <f t="shared" si="132"/>
        <v>37.486930510198619</v>
      </c>
      <c r="BY79" s="235">
        <f t="shared" si="132"/>
        <v>35.486930510198619</v>
      </c>
      <c r="BZ79" s="235">
        <f t="shared" si="132"/>
        <v>33.486930510198619</v>
      </c>
      <c r="CA79" s="177">
        <f>+AVERAGE(BW12:BZ12,BU12)/('P&amp;L'!CA11/'P&amp;L'!CA7)</f>
        <v>35.606400962889595</v>
      </c>
      <c r="CB79" s="178"/>
      <c r="CC79" s="235">
        <f t="shared" si="133"/>
        <v>38.486930510198619</v>
      </c>
      <c r="CD79" s="235">
        <f t="shared" si="133"/>
        <v>36.486930510198619</v>
      </c>
      <c r="CE79" s="235">
        <f t="shared" si="133"/>
        <v>34.486930510198619</v>
      </c>
      <c r="CF79" s="235">
        <f t="shared" si="133"/>
        <v>32.486930510198619</v>
      </c>
      <c r="CG79" s="177">
        <f>+AVERAGE(CC12:CF12,CA12)/('P&amp;L'!CG11/'P&amp;L'!CG7)</f>
        <v>35.00959659983463</v>
      </c>
      <c r="CH79" s="79"/>
      <c r="CI79" s="79"/>
    </row>
    <row r="80" spans="1:87" x14ac:dyDescent="0.2">
      <c r="A80" s="22" t="s">
        <v>252</v>
      </c>
      <c r="B80" s="177"/>
      <c r="C80" s="177"/>
      <c r="D80" s="177">
        <f>+AVERAGE(D25,C25)/('P&amp;L'!D11/'P&amp;L'!D7)</f>
        <v>28.065861609127278</v>
      </c>
      <c r="E80" s="177">
        <f>+AVERAGE(E25,D25)/('P&amp;L'!E11/'P&amp;L'!E7)</f>
        <v>30.626075446724016</v>
      </c>
      <c r="F80" s="177">
        <f>+AVERAGE(F25,E25)/('P&amp;L'!F11/'P&amp;L'!F7)</f>
        <v>37.435875986824918</v>
      </c>
      <c r="G80" s="177"/>
      <c r="H80" s="177"/>
      <c r="I80" s="177">
        <f>I25/('P&amp;L'!I11/'P&amp;L'!I7)</f>
        <v>46.873725010199912</v>
      </c>
      <c r="J80" s="177">
        <f>J25/('P&amp;L'!J11/'P&amp;L'!J7)</f>
        <v>40.301091735414715</v>
      </c>
      <c r="K80" s="177">
        <f>K25/('P&amp;L'!K11/'P&amp;L'!K7)</f>
        <v>36.695086859213475</v>
      </c>
      <c r="L80" s="177">
        <f>L25/('P&amp;L'!L11/'P&amp;L'!L7)</f>
        <v>25.372411407107204</v>
      </c>
      <c r="M80" s="177">
        <f>M25/('P&amp;L'!M11/'P&amp;L'!M7)</f>
        <v>25.900824350031705</v>
      </c>
      <c r="N80" s="177"/>
      <c r="O80" s="177">
        <f>O25/('P&amp;L'!O11/'P&amp;L'!O7)</f>
        <v>31.32051649928264</v>
      </c>
      <c r="P80" s="177">
        <f>P25/('P&amp;L'!P11/'P&amp;L'!P7)</f>
        <v>32.12144181481078</v>
      </c>
      <c r="Q80" s="177">
        <f>Q25/('P&amp;L'!Q11/'P&amp;L'!Q7)</f>
        <v>37.567585230367058</v>
      </c>
      <c r="R80" s="177">
        <f>R25/('P&amp;L'!R11/'P&amp;L'!R7)</f>
        <v>30.360843081235515</v>
      </c>
      <c r="S80" s="177">
        <f>S25/('P&amp;L'!S11/'P&amp;L'!S7)</f>
        <v>30.74646375694865</v>
      </c>
      <c r="T80" s="177"/>
      <c r="U80" s="177">
        <f>U25/('P&amp;L'!U11/'P&amp;L'!U7)</f>
        <v>20.772771441722497</v>
      </c>
      <c r="V80" s="177">
        <f>V25/('P&amp;L'!V11/'P&amp;L'!V7)</f>
        <v>22.842383605628484</v>
      </c>
      <c r="W80" s="177">
        <f>W25/('P&amp;L'!W11/'P&amp;L'!W7)</f>
        <v>25.506424288569526</v>
      </c>
      <c r="X80" s="177">
        <f>X25/('P&amp;L'!X11/'P&amp;L'!X7)</f>
        <v>33.810663764961902</v>
      </c>
      <c r="Y80" s="177">
        <f>Y25/('P&amp;L'!Y11/'P&amp;L'!Y7)</f>
        <v>34.209116575372214</v>
      </c>
      <c r="Z80" s="178"/>
      <c r="AA80" s="177">
        <f>AA25/('P&amp;L'!AA11/'P&amp;L'!AA7)</f>
        <v>26.224480777728683</v>
      </c>
      <c r="AB80" s="177">
        <f>AB25/('P&amp;L'!AB11/'P&amp;L'!AB7)</f>
        <v>32.987460378278584</v>
      </c>
      <c r="AC80" s="177">
        <f>AC25/('P&amp;L'!AC11/'P&amp;L'!AC7)</f>
        <v>39.558880778588801</v>
      </c>
      <c r="AD80" s="177">
        <f>AD25/('P&amp;L'!AD11/'P&amp;L'!AD7)</f>
        <v>54.78424826904056</v>
      </c>
      <c r="AE80" s="177">
        <f>AE25/('P&amp;L'!AE11/'P&amp;L'!AE7)</f>
        <v>60.321392112961206</v>
      </c>
      <c r="AF80" s="178"/>
      <c r="AG80" s="177">
        <f>AG25/('P&amp;L'!AG11/'P&amp;L'!AG7)</f>
        <v>39.295146324054244</v>
      </c>
      <c r="AH80" s="177">
        <f>AH25/('P&amp;L'!AH11/'P&amp;L'!AH7)</f>
        <v>38.078599499821365</v>
      </c>
      <c r="AI80" s="177">
        <f>AI25/('P&amp;L'!AI11/'P&amp;L'!AI7)</f>
        <v>37.003822651301654</v>
      </c>
      <c r="AJ80" s="177">
        <f>AJ25/('P&amp;L'!AJ11/'P&amp;L'!AJ7)</f>
        <v>49.736124554077598</v>
      </c>
      <c r="AK80" s="177">
        <f>AK25/('P&amp;L'!AK11/'P&amp;L'!AK7)</f>
        <v>50.279712487060863</v>
      </c>
      <c r="AL80" s="178"/>
      <c r="AM80" s="177">
        <f>AM25/('P&amp;L'!AM11/'P&amp;L'!AM7)</f>
        <v>43.756770027743002</v>
      </c>
      <c r="AN80" s="177">
        <f>AN25/('P&amp;L'!AN11/'P&amp;L'!AN7)</f>
        <v>48.872511647606949</v>
      </c>
      <c r="AO80" s="177">
        <f>AO25/('P&amp;L'!AO11/'P&amp;L'!AO7)</f>
        <v>44.713923279886345</v>
      </c>
      <c r="AP80" s="177">
        <f>AP25/('P&amp;L'!AP11/'P&amp;L'!AP7)</f>
        <v>38.981633824373446</v>
      </c>
      <c r="AQ80" s="177">
        <f>AQ25/('P&amp;L'!AQ11/'P&amp;L'!AQ7)</f>
        <v>39.922884022208514</v>
      </c>
      <c r="AR80" s="178"/>
      <c r="AS80" s="177">
        <f>AS25/('P&amp;L'!AS11/'P&amp;L'!AS7)</f>
        <v>38.487533125936167</v>
      </c>
      <c r="AT80" s="177">
        <f>AT25/('P&amp;L'!AT11/'P&amp;L'!AT7)</f>
        <v>40.494081394113273</v>
      </c>
      <c r="AU80" s="177">
        <f>AU25/('P&amp;L'!AU11/'P&amp;L'!AU7)</f>
        <v>50.322698674757923</v>
      </c>
      <c r="AV80" s="177">
        <f>AV25/('P&amp;L'!AV11/'P&amp;L'!AV7)</f>
        <v>44.61437690350035</v>
      </c>
      <c r="AW80" s="177">
        <f>AW25/('P&amp;L'!AW11/'P&amp;L'!AW7)</f>
        <v>46.345542000982483</v>
      </c>
      <c r="AX80" s="178"/>
      <c r="AY80" s="177">
        <f>AY25/('P&amp;L'!AY11/'P&amp;L'!AY7)</f>
        <v>48.001723550940504</v>
      </c>
      <c r="AZ80" s="177">
        <f>AZ25/('P&amp;L'!AZ11/'P&amp;L'!AZ7)</f>
        <v>52.81163723600897</v>
      </c>
      <c r="BA80" s="177">
        <f>BA25/('P&amp;L'!BA11/'P&amp;L'!BA7)</f>
        <v>59.910267678785452</v>
      </c>
      <c r="BB80" s="177">
        <f>BB25/('P&amp;L'!BB11/'P&amp;L'!BB7)</f>
        <v>54.998921101172861</v>
      </c>
      <c r="BC80" s="177">
        <f>BC25/('P&amp;L'!BC11/'P&amp;L'!BC7)</f>
        <v>61.096712858367091</v>
      </c>
      <c r="BD80" s="178"/>
      <c r="BE80" s="177">
        <f>BE25/('P&amp;L'!BE11/'P&amp;L'!BE7)</f>
        <v>56.328378634258868</v>
      </c>
      <c r="BF80" s="177">
        <f>BF25/('P&amp;L'!BF11/'P&amp;L'!BF7)</f>
        <v>43.874240014965864</v>
      </c>
      <c r="BG80" s="177">
        <f>BG25/('P&amp;L'!BG11/'P&amp;L'!BG7)</f>
        <v>43.892487065300415</v>
      </c>
      <c r="BH80" s="177">
        <f>BH25/('P&amp;L'!BH11/'P&amp;L'!BH7)</f>
        <v>36.24035044218531</v>
      </c>
      <c r="BI80" s="177">
        <f>BI25/('P&amp;L'!BI11/'P&amp;L'!BI7)</f>
        <v>39.530274014079168</v>
      </c>
      <c r="BJ80" s="178"/>
      <c r="BK80" s="177">
        <f>BK25/('P&amp;L'!BK11/'P&amp;L'!BK7)</f>
        <v>44.726390599068473</v>
      </c>
      <c r="BL80" s="177">
        <f>BL25/('P&amp;L'!BL11/'P&amp;L'!BL7)</f>
        <v>48.871886869631282</v>
      </c>
      <c r="BM80" s="177">
        <f>BM25/('P&amp;L'!BM11/'P&amp;L'!BM7)</f>
        <v>45.556257342717643</v>
      </c>
      <c r="BN80" s="177">
        <f>BN25/('P&amp;L'!BN11/'P&amp;L'!BN7)</f>
        <v>32.719494033228251</v>
      </c>
      <c r="BO80" s="177">
        <f>BO25/('P&amp;L'!BO11/'P&amp;L'!BO7)</f>
        <v>37.682230563363689</v>
      </c>
      <c r="BP80" s="178"/>
      <c r="BQ80" s="235">
        <f>+BK80+2</f>
        <v>46.726390599068473</v>
      </c>
      <c r="BR80" s="235">
        <f>+BL80+2</f>
        <v>50.871886869631282</v>
      </c>
      <c r="BS80" s="235">
        <f>+BM80+2</f>
        <v>47.556257342717643</v>
      </c>
      <c r="BT80" s="235">
        <f>+BN80+2</f>
        <v>34.719494033228251</v>
      </c>
      <c r="BU80" s="177">
        <f>+AVERAGE(BQ25:BT25,BO25)/('P&amp;L'!BU11/'P&amp;L'!BU7)</f>
        <v>41.377556096775848</v>
      </c>
      <c r="BV80" s="178"/>
      <c r="BW80" s="235">
        <f>+BQ80+1</f>
        <v>47.726390599068473</v>
      </c>
      <c r="BX80" s="235">
        <f t="shared" ref="BX80:BZ80" si="134">+BR80+1</f>
        <v>51.871886869631282</v>
      </c>
      <c r="BY80" s="235">
        <f t="shared" si="134"/>
        <v>48.556257342717643</v>
      </c>
      <c r="BZ80" s="235">
        <f t="shared" si="134"/>
        <v>35.719494033228251</v>
      </c>
      <c r="CA80" s="177">
        <f>+AVERAGE(BW25:BZ25,BU25)/('P&amp;L'!CA11/'P&amp;L'!CA7)</f>
        <v>43.046994755933547</v>
      </c>
      <c r="CB80" s="178"/>
      <c r="CC80" s="235">
        <f>+BW80+1</f>
        <v>48.726390599068473</v>
      </c>
      <c r="CD80" s="235">
        <f t="shared" ref="CD80" si="135">+BX80+1</f>
        <v>52.871886869631282</v>
      </c>
      <c r="CE80" s="235">
        <f t="shared" ref="CE80" si="136">+BY80+1</f>
        <v>49.556257342717643</v>
      </c>
      <c r="CF80" s="235">
        <f t="shared" ref="CF80" si="137">+BZ80+1</f>
        <v>36.719494033228251</v>
      </c>
      <c r="CG80" s="177">
        <f>+AVERAGE(CC25:CF25,CA25)/('P&amp;L'!CG11/'P&amp;L'!CG7)</f>
        <v>44.453566344996361</v>
      </c>
      <c r="CH80" s="79"/>
      <c r="CI80" s="79"/>
    </row>
    <row r="81" spans="1:87" x14ac:dyDescent="0.2">
      <c r="A81" s="20" t="s">
        <v>253</v>
      </c>
      <c r="B81" s="109"/>
      <c r="C81" s="173"/>
      <c r="D81" s="173">
        <f>+SUM(D78:D79)-D80</f>
        <v>38.66772906785836</v>
      </c>
      <c r="E81" s="173">
        <f>+SUM(E78:E79)-E80</f>
        <v>46.982064191737919</v>
      </c>
      <c r="F81" s="173">
        <f>+SUM(F78:F79)-F80</f>
        <v>35.711551501398354</v>
      </c>
      <c r="G81" s="173"/>
      <c r="H81" s="109"/>
      <c r="I81" s="173">
        <f>+SUM(I78:I79)-I80</f>
        <v>24.871129563647791</v>
      </c>
      <c r="J81" s="173">
        <f>+SUM(J78:J79)-J80</f>
        <v>31.542154436447902</v>
      </c>
      <c r="K81" s="173">
        <f>+SUM(K78:K79)-K80</f>
        <v>37.897587738995185</v>
      </c>
      <c r="L81" s="173">
        <f>+SUM(L78:L79)-L80</f>
        <v>48.551421025658158</v>
      </c>
      <c r="M81" s="173">
        <f>+SUM(M78:M79)-M80</f>
        <v>46.266234296540013</v>
      </c>
      <c r="N81" s="109"/>
      <c r="O81" s="173">
        <f>+SUM(O78:O79)-O80</f>
        <v>45.662091734209604</v>
      </c>
      <c r="P81" s="173">
        <f>+SUM(P78:P79)-P80</f>
        <v>41.833293614850888</v>
      </c>
      <c r="Q81" s="173">
        <f>+SUM(Q78:Q79)-Q80</f>
        <v>35.785889898321798</v>
      </c>
      <c r="R81" s="173">
        <f>+SUM(R78:R79)-R80</f>
        <v>37.712875638573848</v>
      </c>
      <c r="S81" s="173">
        <f>+SUM(S78:S79)-S80</f>
        <v>43.262418108040556</v>
      </c>
      <c r="T81" s="109"/>
      <c r="U81" s="173">
        <f>+SUM(U78:U79)-U80</f>
        <v>48.813858008201578</v>
      </c>
      <c r="V81" s="173">
        <f>+SUM(V78:V79)-V80</f>
        <v>48.831810231544239</v>
      </c>
      <c r="W81" s="173">
        <f>+SUM(W78:W79)-W80</f>
        <v>46.108040062951979</v>
      </c>
      <c r="X81" s="173">
        <f>+SUM(X78:X79)-X80</f>
        <v>42.063249177827785</v>
      </c>
      <c r="Y81" s="173">
        <f>+SUM(Y78:Y79)-Y80</f>
        <v>41.050494615145148</v>
      </c>
      <c r="Z81" s="109"/>
      <c r="AA81" s="173">
        <f>+SUM(AA78:AA79)-AA80</f>
        <v>48.610920227242758</v>
      </c>
      <c r="AB81" s="173">
        <f>+SUM(AB78:AB79)-AB80</f>
        <v>49.130447815938695</v>
      </c>
      <c r="AC81" s="173">
        <f>+SUM(AC78:AC79)-AC80</f>
        <v>46.923469236101269</v>
      </c>
      <c r="AD81" s="173">
        <f>+SUM(AD78:AD79)-AD80</f>
        <v>37.282711636449619</v>
      </c>
      <c r="AE81" s="173">
        <f>+SUM(AE78:AE79)-AE80</f>
        <v>38.761415484157368</v>
      </c>
      <c r="AF81" s="173"/>
      <c r="AG81" s="173">
        <f>+SUM(AG78:AG79)-AG80</f>
        <v>59.861614820872617</v>
      </c>
      <c r="AH81" s="173">
        <f>+SUM(AH78:AH79)-AH80</f>
        <v>62.32368789220574</v>
      </c>
      <c r="AI81" s="173">
        <f>+SUM(AI78:AI79)-AI80</f>
        <v>73.232663788665405</v>
      </c>
      <c r="AJ81" s="173">
        <f>+SUM(AJ78:AJ79)-AJ80</f>
        <v>52.49542554293209</v>
      </c>
      <c r="AK81" s="173">
        <f>+SUM(AK78:AK79)-AK80</f>
        <v>53.17486494545534</v>
      </c>
      <c r="AL81" s="109"/>
      <c r="AM81" s="173">
        <f>+SUM(AM78:AM79)-AM80</f>
        <v>54.319140314285519</v>
      </c>
      <c r="AN81" s="173">
        <f>+SUM(AN78:AN79)-AN80</f>
        <v>49.147584217057762</v>
      </c>
      <c r="AO81" s="173">
        <f>+SUM(AO78:AO79)-AO80</f>
        <v>50.566690185529083</v>
      </c>
      <c r="AP81" s="173">
        <f>+SUM(AP78:AP79)-AP80</f>
        <v>50.187413080326337</v>
      </c>
      <c r="AQ81" s="173">
        <f>+SUM(AQ78:AQ79)-AQ80</f>
        <v>54.204378614881044</v>
      </c>
      <c r="AR81" s="109"/>
      <c r="AS81" s="173">
        <f>+SUM(AS78:AS79)-AS80</f>
        <v>57.495941438669306</v>
      </c>
      <c r="AT81" s="173">
        <f>+SUM(AT78:AT79)-AT80</f>
        <v>46.799646476994802</v>
      </c>
      <c r="AU81" s="173">
        <f>+SUM(AU78:AU79)-AU80</f>
        <v>45.494672765913414</v>
      </c>
      <c r="AV81" s="173">
        <f>+SUM(AV78:AV79)-AV80</f>
        <v>46.059977048232447</v>
      </c>
      <c r="AW81" s="173">
        <f>+SUM(AW78:AW79)-AW80</f>
        <v>47.630713428255071</v>
      </c>
      <c r="AX81" s="109"/>
      <c r="AY81" s="173">
        <f>+SUM(AY78:AY79)-AY80</f>
        <v>42.928646640970477</v>
      </c>
      <c r="AZ81" s="173">
        <f>+SUM(AZ78:AZ79)-AZ80</f>
        <v>40.18568238470727</v>
      </c>
      <c r="BA81" s="173">
        <f>+SUM(BA78:BA79)-BA80</f>
        <v>40.64703993074577</v>
      </c>
      <c r="BB81" s="173">
        <f>+SUM(BB78:BB79)-BB80</f>
        <v>39.50749259243414</v>
      </c>
      <c r="BC81" s="173">
        <f>+SUM(BC78:BC79)-BC80</f>
        <v>42.014335619708355</v>
      </c>
      <c r="BD81" s="109"/>
      <c r="BE81" s="173">
        <f>+SUM(BE78:BE79)-BE80</f>
        <v>46.103986962766854</v>
      </c>
      <c r="BF81" s="173">
        <f>+SUM(BF78:BF79)-BF80</f>
        <v>53.830456238052406</v>
      </c>
      <c r="BG81" s="173">
        <f>+SUM(BG78:BG79)-BG80</f>
        <v>71.938035282897786</v>
      </c>
      <c r="BH81" s="173">
        <f>+SUM(BH78:BH79)-BH80</f>
        <v>75.776207319533597</v>
      </c>
      <c r="BI81" s="173">
        <f>+SUM(BI78:BI79)-BI80</f>
        <v>81.658968470916221</v>
      </c>
      <c r="BJ81" s="109"/>
      <c r="BK81" s="173">
        <f>+SUM(BK78:BK79)-BK80</f>
        <v>75.443804449170557</v>
      </c>
      <c r="BL81" s="173">
        <f>+SUM(BL78:BL79)-BL80</f>
        <v>62.954139430656056</v>
      </c>
      <c r="BM81" s="173">
        <f>+SUM(BM78:BM79)-BM80</f>
        <v>67.806233889099175</v>
      </c>
      <c r="BN81" s="173">
        <f>+SUM(BN78:BN79)-BN80</f>
        <v>65.965219882643225</v>
      </c>
      <c r="BO81" s="173">
        <f>+SUM(BO78:BO79)-BO80</f>
        <v>74.81294948515081</v>
      </c>
      <c r="BP81" s="109"/>
      <c r="BQ81" s="173">
        <f>+SUM(BQ78:BQ79)-BQ80</f>
        <v>63.760539911130145</v>
      </c>
      <c r="BR81" s="173">
        <f>+SUM(BR78:BR79)-BR80</f>
        <v>56.615043640567336</v>
      </c>
      <c r="BS81" s="173">
        <f>+SUM(BS78:BS79)-BS80</f>
        <v>56.930673167480975</v>
      </c>
      <c r="BT81" s="173">
        <f>+SUM(BT78:BT79)-BT80</f>
        <v>66.767436476970374</v>
      </c>
      <c r="BU81" s="173">
        <f>+SUM(BU78:BU79)-BU80</f>
        <v>44.332094590850815</v>
      </c>
      <c r="BV81" s="109"/>
      <c r="BW81" s="173">
        <f>+SUM(BW78:BW79)-BW80</f>
        <v>60.760539911130145</v>
      </c>
      <c r="BX81" s="173">
        <f>+SUM(BX78:BX79)-BX80</f>
        <v>53.615043640567336</v>
      </c>
      <c r="BY81" s="173">
        <f>+SUM(BY78:BY79)-BY80</f>
        <v>53.930673167480975</v>
      </c>
      <c r="BZ81" s="173">
        <f>+SUM(BZ78:BZ79)-BZ80</f>
        <v>63.767436476970367</v>
      </c>
      <c r="CA81" s="173">
        <f>+SUM(CA78:CA79)-CA80</f>
        <v>33.839031810519408</v>
      </c>
      <c r="CB81" s="109"/>
      <c r="CC81" s="173">
        <f>+SUM(CC78:CC79)-CC80</f>
        <v>57.760539911130145</v>
      </c>
      <c r="CD81" s="173">
        <f>+SUM(CD78:CD79)-CD80</f>
        <v>50.615043640567336</v>
      </c>
      <c r="CE81" s="173">
        <f>+SUM(CE78:CE79)-CE80</f>
        <v>50.930673167480975</v>
      </c>
      <c r="CF81" s="173">
        <f>+SUM(CF78:CF79)-CF80</f>
        <v>60.767436476970367</v>
      </c>
      <c r="CG81" s="173">
        <f>+SUM(CG78:CG79)-CG80</f>
        <v>26.011052634158744</v>
      </c>
      <c r="CH81" s="79"/>
      <c r="CI81" s="79"/>
    </row>
    <row r="82" spans="1:87" x14ac:dyDescent="0.2">
      <c r="B82" s="228"/>
      <c r="C82" s="228"/>
      <c r="D82" s="228"/>
      <c r="E82" s="228"/>
      <c r="F82" s="228"/>
      <c r="G82" s="228"/>
      <c r="H82" s="228"/>
      <c r="I82" s="228"/>
      <c r="J82" s="228"/>
      <c r="K82" s="228"/>
      <c r="L82" s="228"/>
      <c r="M82" s="228"/>
      <c r="N82" s="228"/>
      <c r="O82" s="228"/>
      <c r="P82" s="228"/>
      <c r="Q82" s="228"/>
      <c r="R82" s="228"/>
      <c r="S82" s="228"/>
      <c r="T82" s="228"/>
      <c r="U82" s="228"/>
      <c r="V82" s="228"/>
      <c r="W82" s="228"/>
      <c r="X82" s="228"/>
      <c r="Y82" s="228"/>
      <c r="Z82" s="228"/>
      <c r="AA82" s="228"/>
      <c r="AB82" s="228"/>
      <c r="AC82" s="228"/>
      <c r="AD82" s="228"/>
      <c r="AE82" s="228"/>
      <c r="AF82" s="228"/>
      <c r="AG82" s="228"/>
      <c r="AH82" s="228"/>
      <c r="AI82" s="228"/>
      <c r="AJ82" s="228"/>
      <c r="AK82" s="228"/>
      <c r="AL82" s="228"/>
      <c r="AM82" s="228"/>
      <c r="AN82" s="228"/>
      <c r="AO82" s="228"/>
      <c r="AP82" s="228"/>
      <c r="AQ82" s="228"/>
      <c r="AR82" s="228"/>
      <c r="AS82" s="228"/>
      <c r="AT82" s="228"/>
      <c r="AU82" s="228"/>
      <c r="AV82" s="228"/>
      <c r="AW82" s="228"/>
      <c r="AX82" s="228"/>
      <c r="AY82" s="228"/>
      <c r="AZ82" s="228"/>
      <c r="BA82" s="228"/>
      <c r="BB82" s="228"/>
      <c r="BC82" s="228"/>
      <c r="BD82" s="228"/>
      <c r="BE82" s="228"/>
      <c r="BF82" s="228"/>
      <c r="BG82" s="228"/>
      <c r="BH82" s="228"/>
      <c r="BI82" s="228"/>
      <c r="BJ82" s="228"/>
      <c r="BK82" s="228"/>
      <c r="BL82" s="228"/>
      <c r="BM82" s="228"/>
      <c r="BN82" s="228"/>
      <c r="BO82" s="228"/>
      <c r="BP82" s="228"/>
      <c r="BQ82" s="228"/>
      <c r="BR82" s="228"/>
      <c r="BS82" s="228"/>
      <c r="BT82" s="228"/>
      <c r="BU82" s="228"/>
      <c r="BV82" s="228"/>
      <c r="BW82" s="228"/>
      <c r="BX82" s="228"/>
      <c r="BY82" s="228"/>
      <c r="BZ82" s="228"/>
      <c r="CA82" s="228"/>
      <c r="CB82" s="228"/>
      <c r="CC82" s="228"/>
      <c r="CD82" s="228"/>
      <c r="CE82" s="228"/>
      <c r="CF82" s="228"/>
      <c r="CG82" s="228"/>
      <c r="CH82" s="42"/>
      <c r="CI82" s="42"/>
    </row>
    <row r="83" spans="1:87" collapsed="1" x14ac:dyDescent="0.2">
      <c r="A83" s="716" t="s">
        <v>421</v>
      </c>
      <c r="B83" s="717"/>
      <c r="C83" s="718"/>
      <c r="D83" s="718"/>
      <c r="E83" s="718"/>
      <c r="F83" s="718"/>
      <c r="G83" s="718"/>
      <c r="H83" s="717"/>
      <c r="I83" s="718"/>
      <c r="J83" s="718"/>
      <c r="K83" s="718"/>
      <c r="L83" s="718"/>
      <c r="M83" s="718"/>
      <c r="N83" s="717"/>
      <c r="O83" s="718"/>
      <c r="P83" s="718"/>
      <c r="Q83" s="718"/>
      <c r="R83" s="718"/>
      <c r="S83" s="718"/>
      <c r="T83" s="717"/>
      <c r="U83" s="718"/>
      <c r="V83" s="718"/>
      <c r="W83" s="718"/>
      <c r="X83" s="718"/>
      <c r="Y83" s="718"/>
      <c r="Z83" s="717"/>
      <c r="AA83" s="718"/>
      <c r="AB83" s="718"/>
      <c r="AC83" s="718"/>
      <c r="AD83" s="718"/>
      <c r="AE83" s="718"/>
      <c r="AF83" s="717"/>
      <c r="AG83" s="718"/>
      <c r="AH83" s="718"/>
      <c r="AI83" s="718"/>
      <c r="AJ83" s="718"/>
      <c r="AK83" s="718"/>
      <c r="AL83" s="717"/>
      <c r="AM83" s="718"/>
      <c r="AN83" s="718"/>
      <c r="AO83" s="718"/>
      <c r="AP83" s="718"/>
      <c r="AQ83" s="718"/>
      <c r="AR83" s="717"/>
      <c r="AS83" s="718"/>
      <c r="AT83" s="718"/>
      <c r="AU83" s="718"/>
      <c r="AV83" s="718"/>
      <c r="AW83" s="718"/>
      <c r="AX83" s="717"/>
      <c r="AY83" s="718"/>
      <c r="AZ83" s="718"/>
      <c r="BA83" s="718"/>
      <c r="BB83" s="718"/>
      <c r="BC83" s="718"/>
      <c r="BD83" s="717"/>
      <c r="BE83" s="718"/>
      <c r="BF83" s="718"/>
      <c r="BG83" s="718"/>
      <c r="BH83" s="718"/>
      <c r="BI83" s="718"/>
      <c r="BJ83" s="717"/>
      <c r="BK83" s="718"/>
      <c r="BL83" s="718"/>
      <c r="BM83" s="718"/>
      <c r="BN83" s="718"/>
      <c r="BO83" s="718"/>
      <c r="BP83" s="717"/>
      <c r="BQ83" s="718"/>
      <c r="BR83" s="718"/>
      <c r="BS83" s="718"/>
      <c r="BT83" s="718"/>
      <c r="BU83" s="718"/>
      <c r="BV83" s="717"/>
      <c r="BW83" s="718"/>
      <c r="BX83" s="718"/>
      <c r="BY83" s="718"/>
      <c r="BZ83" s="718"/>
      <c r="CA83" s="718"/>
      <c r="CB83" s="717"/>
      <c r="CC83" s="718"/>
      <c r="CD83" s="718"/>
      <c r="CE83" s="718"/>
      <c r="CF83" s="718"/>
      <c r="CG83" s="718"/>
      <c r="CH83" s="79"/>
      <c r="CI83" s="79"/>
    </row>
    <row r="84" spans="1:87" x14ac:dyDescent="0.2">
      <c r="A84" s="719" t="s">
        <v>422</v>
      </c>
      <c r="B84" s="601"/>
      <c r="C84" s="720">
        <f>'Cash Flow'!B47</f>
        <v>1.0030000000000021</v>
      </c>
      <c r="D84" s="720">
        <f>'Cash Flow'!C47</f>
        <v>9.3849999999999909</v>
      </c>
      <c r="E84" s="720">
        <f>'Cash Flow'!D47</f>
        <v>22.374999999999993</v>
      </c>
      <c r="F84" s="720">
        <f>'Cash Flow'!E47</f>
        <v>1.1499999999999915</v>
      </c>
      <c r="G84" s="720">
        <f>'Cash Flow'!F47</f>
        <v>33.912999999999968</v>
      </c>
      <c r="H84" s="601"/>
      <c r="I84" s="720">
        <f>'Cash Flow'!H47</f>
        <v>24.560999999999993</v>
      </c>
      <c r="J84" s="720">
        <f>'Cash Flow'!I47</f>
        <v>-49.341000000000001</v>
      </c>
      <c r="K84" s="720">
        <f>'Cash Flow'!J47</f>
        <v>15.417000000000012</v>
      </c>
      <c r="L84" s="720">
        <f>'Cash Flow'!K47</f>
        <v>7.344000000000003</v>
      </c>
      <c r="M84" s="720">
        <f>'Cash Flow'!L47</f>
        <v>-2.0190000000000126</v>
      </c>
      <c r="N84" s="601"/>
      <c r="O84" s="720">
        <f>'Cash Flow'!N47</f>
        <v>9.9509999999999881</v>
      </c>
      <c r="P84" s="720">
        <f>'Cash Flow'!O47</f>
        <v>25.131</v>
      </c>
      <c r="Q84" s="720">
        <f>'Cash Flow'!P47</f>
        <v>13.779000000000007</v>
      </c>
      <c r="R84" s="720">
        <f>'Cash Flow'!Q47</f>
        <v>30.525999999999964</v>
      </c>
      <c r="S84" s="720">
        <f>'Cash Flow'!R47</f>
        <v>79.386999999999944</v>
      </c>
      <c r="T84" s="601"/>
      <c r="U84" s="720">
        <f>'Cash Flow'!T47</f>
        <v>23.92</v>
      </c>
      <c r="V84" s="720">
        <f>'Cash Flow'!U47</f>
        <v>45.394000000000005</v>
      </c>
      <c r="W84" s="720">
        <f>'Cash Flow'!V47</f>
        <v>29.123000000000005</v>
      </c>
      <c r="X84" s="720">
        <f>'Cash Flow'!W47</f>
        <v>29.739999999999966</v>
      </c>
      <c r="Y84" s="720">
        <f>'Cash Flow'!X47</f>
        <v>128.17699999999996</v>
      </c>
      <c r="Z84" s="601"/>
      <c r="AA84" s="720">
        <f>'Cash Flow'!Z47</f>
        <v>13.944000000000006</v>
      </c>
      <c r="AB84" s="720">
        <f>'Cash Flow'!AA47</f>
        <v>-140.00100000000003</v>
      </c>
      <c r="AC84" s="720">
        <f>'Cash Flow'!AB47</f>
        <v>33.622000000000021</v>
      </c>
      <c r="AD84" s="720">
        <f>'Cash Flow'!AC47</f>
        <v>38.445999999999984</v>
      </c>
      <c r="AE84" s="720">
        <f>'Cash Flow'!AD47</f>
        <v>-53.989000000000004</v>
      </c>
      <c r="AF84" s="601"/>
      <c r="AG84" s="720">
        <f>'Cash Flow'!AF47</f>
        <v>-16.313999999999997</v>
      </c>
      <c r="AH84" s="720">
        <f>'Cash Flow'!AG47</f>
        <v>38.444999999999993</v>
      </c>
      <c r="AI84" s="720">
        <f>'Cash Flow'!AH47</f>
        <v>42.100999999999999</v>
      </c>
      <c r="AJ84" s="720">
        <f>'Cash Flow'!AI47</f>
        <v>1.4789999999999992</v>
      </c>
      <c r="AK84" s="720">
        <f>'Cash Flow'!AJ47</f>
        <v>65.711000000000041</v>
      </c>
      <c r="AL84" s="601"/>
      <c r="AM84" s="720">
        <f>'Cash Flow'!AL47</f>
        <v>22.359000000000002</v>
      </c>
      <c r="AN84" s="720">
        <f>'Cash Flow'!AM47</f>
        <v>-164.24799999999999</v>
      </c>
      <c r="AO84" s="720">
        <f>'Cash Flow'!AN47</f>
        <v>11.341999999999963</v>
      </c>
      <c r="AP84" s="720">
        <f>'Cash Flow'!AO47</f>
        <v>67.114000000000061</v>
      </c>
      <c r="AQ84" s="720">
        <f>'Cash Flow'!AP47</f>
        <v>-63.432999999999964</v>
      </c>
      <c r="AR84" s="601"/>
      <c r="AS84" s="720">
        <f>'Cash Flow'!AR47</f>
        <v>-60.186999999999998</v>
      </c>
      <c r="AT84" s="720">
        <f>'Cash Flow'!AS47</f>
        <v>-15.295000000000002</v>
      </c>
      <c r="AU84" s="720">
        <f>'Cash Flow'!AT47</f>
        <v>13.205000000000027</v>
      </c>
      <c r="AV84" s="720">
        <f>'Cash Flow'!AU47</f>
        <v>19.194999999999986</v>
      </c>
      <c r="AW84" s="720">
        <f>'Cash Flow'!AV47</f>
        <v>-43.082000000000022</v>
      </c>
      <c r="AX84" s="601"/>
      <c r="AY84" s="720">
        <f>'Cash Flow'!AX47</f>
        <v>-9.8930000000000078</v>
      </c>
      <c r="AZ84" s="720">
        <f>'Cash Flow'!AY47</f>
        <v>-28.225000000000016</v>
      </c>
      <c r="BA84" s="720">
        <f>'Cash Flow'!AZ47</f>
        <v>12.287000000000013</v>
      </c>
      <c r="BB84" s="720">
        <f>'Cash Flow'!BA47</f>
        <v>-6.3260000000000218</v>
      </c>
      <c r="BC84" s="720">
        <f>'Cash Flow'!BB47</f>
        <v>-32.157000000000011</v>
      </c>
      <c r="BD84" s="601"/>
      <c r="BE84" s="720">
        <f>'Cash Flow'!BD47</f>
        <v>-13.295999999999992</v>
      </c>
      <c r="BF84" s="720">
        <f>'Cash Flow'!BE47</f>
        <v>13.288000000000011</v>
      </c>
      <c r="BG84" s="720">
        <f>'Cash Flow'!BF47</f>
        <v>252.2419999999999</v>
      </c>
      <c r="BH84" s="720">
        <f>'Cash Flow'!BG47</f>
        <v>-30.672999999999988</v>
      </c>
      <c r="BI84" s="720">
        <f>'Cash Flow'!BH47</f>
        <v>221.56100000000001</v>
      </c>
      <c r="BJ84" s="601"/>
      <c r="BK84" s="720">
        <f>'Cash Flow'!BJ47</f>
        <v>-128.24799999999999</v>
      </c>
      <c r="BL84" s="720">
        <f>'Cash Flow'!BK47</f>
        <v>97.154999999999973</v>
      </c>
      <c r="BM84" s="720">
        <f>'Cash Flow'!BL47</f>
        <v>4.4310000000000542</v>
      </c>
      <c r="BN84" s="720">
        <f>'Cash Flow'!BM47</f>
        <v>86.897999999999968</v>
      </c>
      <c r="BO84" s="720">
        <f>'Cash Flow'!BN47</f>
        <v>60.23599999999999</v>
      </c>
      <c r="BP84" s="601"/>
      <c r="BQ84" s="720">
        <f>'Cash Flow'!BP47</f>
        <v>-48.162811923622016</v>
      </c>
      <c r="BR84" s="720">
        <f>'Cash Flow'!BQ47</f>
        <v>5.2465880177104509</v>
      </c>
      <c r="BS84" s="720">
        <f>'Cash Flow'!BR47</f>
        <v>-23.12678831911596</v>
      </c>
      <c r="BT84" s="720">
        <f>'Cash Flow'!BS47</f>
        <v>20.123001648401498</v>
      </c>
      <c r="BU84" s="720">
        <f>'Cash Flow'!BT47</f>
        <v>-45.920010576626055</v>
      </c>
      <c r="BV84" s="601"/>
      <c r="BW84" s="720">
        <f>'Cash Flow'!BV47</f>
        <v>4.4256726434828124</v>
      </c>
      <c r="BX84" s="720">
        <f>'Cash Flow'!BW47</f>
        <v>62.846761227977339</v>
      </c>
      <c r="BY84" s="720">
        <f>'Cash Flow'!BX47</f>
        <v>39.857744643757542</v>
      </c>
      <c r="BZ84" s="720">
        <f>'Cash Flow'!BY47</f>
        <v>98.367258903893202</v>
      </c>
      <c r="CA84" s="720">
        <f>'Cash Flow'!BZ47</f>
        <v>205.49743741911084</v>
      </c>
      <c r="CB84" s="601"/>
      <c r="CC84" s="720">
        <f>'Cash Flow'!CB47</f>
        <v>34.779788680751864</v>
      </c>
      <c r="CD84" s="720">
        <f>'Cash Flow'!CC47</f>
        <v>107.28316736976305</v>
      </c>
      <c r="CE84" s="720">
        <f>'Cash Flow'!CD47</f>
        <v>82.018164780294853</v>
      </c>
      <c r="CF84" s="720">
        <f>'Cash Flow'!CE47</f>
        <v>154.52349127680455</v>
      </c>
      <c r="CG84" s="720">
        <f>'Cash Flow'!CF47</f>
        <v>378.60461210761412</v>
      </c>
      <c r="CH84" s="79"/>
      <c r="CI84" s="79"/>
    </row>
    <row r="85" spans="1:87" x14ac:dyDescent="0.2">
      <c r="A85" s="719" t="s">
        <v>423</v>
      </c>
      <c r="B85" s="720"/>
      <c r="C85" s="720">
        <f>'Cash Flow'!B25</f>
        <v>0.73700000000000077</v>
      </c>
      <c r="D85" s="720">
        <f>'Cash Flow'!C25</f>
        <v>12.969999999999992</v>
      </c>
      <c r="E85" s="720">
        <f>'Cash Flow'!D25</f>
        <v>22.075999999999997</v>
      </c>
      <c r="F85" s="720">
        <f>'Cash Flow'!E25</f>
        <v>16.994000000000003</v>
      </c>
      <c r="G85" s="720">
        <f>'Cash Flow'!F25</f>
        <v>52.776999999999987</v>
      </c>
      <c r="H85" s="720"/>
      <c r="I85" s="720">
        <f>'Cash Flow'!H25</f>
        <v>3.161999999999991</v>
      </c>
      <c r="J85" s="720">
        <f>'Cash Flow'!I25</f>
        <v>10.470000000000006</v>
      </c>
      <c r="K85" s="720">
        <f>'Cash Flow'!J25</f>
        <v>17.359000000000009</v>
      </c>
      <c r="L85" s="720">
        <f>'Cash Flow'!K25</f>
        <v>8.7549999999999919</v>
      </c>
      <c r="M85" s="720">
        <f>'Cash Flow'!L25</f>
        <v>39.745999999999981</v>
      </c>
      <c r="N85" s="720"/>
      <c r="O85" s="720">
        <f>'Cash Flow'!N25</f>
        <v>10.602999999999989</v>
      </c>
      <c r="P85" s="720">
        <f>'Cash Flow'!O25</f>
        <v>18.510000000000002</v>
      </c>
      <c r="Q85" s="720">
        <f>'Cash Flow'!P25</f>
        <v>10.793000000000006</v>
      </c>
      <c r="R85" s="720">
        <f>'Cash Flow'!Q25</f>
        <v>34.258999999999965</v>
      </c>
      <c r="S85" s="720">
        <f>'Cash Flow'!R25</f>
        <v>74.164999999999949</v>
      </c>
      <c r="T85" s="720"/>
      <c r="U85" s="720">
        <f>'Cash Flow'!T25</f>
        <v>18.645000000000003</v>
      </c>
      <c r="V85" s="720">
        <f>'Cash Flow'!U25</f>
        <v>42.596000000000004</v>
      </c>
      <c r="W85" s="720">
        <f>'Cash Flow'!V25</f>
        <v>35.763000000000005</v>
      </c>
      <c r="X85" s="720">
        <f>'Cash Flow'!W25</f>
        <v>32.524999999999963</v>
      </c>
      <c r="Y85" s="720">
        <f>'Cash Flow'!X25</f>
        <v>129.52899999999997</v>
      </c>
      <c r="Z85" s="601"/>
      <c r="AA85" s="720">
        <f>'Cash Flow'!Z25</f>
        <v>17.248000000000005</v>
      </c>
      <c r="AB85" s="720">
        <f>'Cash Flow'!AA25</f>
        <v>29.695999999999998</v>
      </c>
      <c r="AC85" s="720">
        <f>'Cash Flow'!AB25</f>
        <v>41.534999999999997</v>
      </c>
      <c r="AD85" s="720">
        <f>'Cash Flow'!AC25</f>
        <v>41.989999999999988</v>
      </c>
      <c r="AE85" s="720">
        <f>'Cash Flow'!AD25</f>
        <v>130.46899999999999</v>
      </c>
      <c r="AF85" s="601"/>
      <c r="AG85" s="720">
        <f>'Cash Flow'!AF25</f>
        <v>15.424000000000003</v>
      </c>
      <c r="AH85" s="720">
        <f>'Cash Flow'!AG25</f>
        <v>27.330999999999992</v>
      </c>
      <c r="AI85" s="720">
        <f>'Cash Flow'!AH25</f>
        <v>40.265000000000001</v>
      </c>
      <c r="AJ85" s="720">
        <f>'Cash Flow'!AI25</f>
        <v>50.757999999999996</v>
      </c>
      <c r="AK85" s="720">
        <f>'Cash Flow'!AJ25</f>
        <v>133.77800000000002</v>
      </c>
      <c r="AL85" s="601"/>
      <c r="AM85" s="720">
        <f>'Cash Flow'!AL25</f>
        <v>18.157000000000004</v>
      </c>
      <c r="AN85" s="720">
        <f>'Cash Flow'!AM25</f>
        <v>45.569000000000003</v>
      </c>
      <c r="AO85" s="720">
        <f>'Cash Flow'!AN25</f>
        <v>55.137999999999991</v>
      </c>
      <c r="AP85" s="720">
        <f>'Cash Flow'!AO25</f>
        <v>67.111999999999995</v>
      </c>
      <c r="AQ85" s="720">
        <f>'Cash Flow'!AP25</f>
        <v>185.97599999999997</v>
      </c>
      <c r="AR85" s="601"/>
      <c r="AS85" s="720">
        <f>'Cash Flow'!AR25</f>
        <v>17.993000000000006</v>
      </c>
      <c r="AT85" s="720">
        <f>'Cash Flow'!AS25</f>
        <v>69.72999999999999</v>
      </c>
      <c r="AU85" s="720">
        <f>'Cash Flow'!AT25</f>
        <v>67.570999999999998</v>
      </c>
      <c r="AV85" s="720">
        <f>'Cash Flow'!AU25</f>
        <v>71.60499999999999</v>
      </c>
      <c r="AW85" s="720">
        <f>'Cash Flow'!AV25</f>
        <v>226.89899999999997</v>
      </c>
      <c r="AX85" s="601"/>
      <c r="AY85" s="720">
        <f>'Cash Flow'!AX25</f>
        <v>35.644999999999989</v>
      </c>
      <c r="AZ85" s="720">
        <f>'Cash Flow'!AY25</f>
        <v>62.940000000000005</v>
      </c>
      <c r="BA85" s="720">
        <f>'Cash Flow'!AZ25</f>
        <v>60.056999999999988</v>
      </c>
      <c r="BB85" s="720">
        <f>'Cash Flow'!BA25</f>
        <v>79.355000000000004</v>
      </c>
      <c r="BC85" s="720">
        <f>'Cash Flow'!BB25</f>
        <v>237.99699999999999</v>
      </c>
      <c r="BD85" s="601"/>
      <c r="BE85" s="720">
        <f>'Cash Flow'!BD25</f>
        <v>38.761999999999993</v>
      </c>
      <c r="BF85" s="720">
        <f>'Cash Flow'!BE25</f>
        <v>78.782000000000011</v>
      </c>
      <c r="BG85" s="720">
        <f>'Cash Flow'!BF25</f>
        <v>63.073000000000008</v>
      </c>
      <c r="BH85" s="720">
        <f>'Cash Flow'!BG25</f>
        <v>83.809999999999988</v>
      </c>
      <c r="BI85" s="720">
        <f>'Cash Flow'!BH25</f>
        <v>264.42700000000002</v>
      </c>
      <c r="BJ85" s="601"/>
      <c r="BK85" s="720">
        <f>'Cash Flow'!BJ25</f>
        <v>47.621000000000009</v>
      </c>
      <c r="BL85" s="720">
        <f>'Cash Flow'!BK25</f>
        <v>110.467</v>
      </c>
      <c r="BM85" s="720">
        <f>'Cash Flow'!BL25</f>
        <v>118.12500000000001</v>
      </c>
      <c r="BN85" s="720">
        <f>'Cash Flow'!BM25</f>
        <v>162.32599999999999</v>
      </c>
      <c r="BO85" s="720">
        <f>'Cash Flow'!BN25</f>
        <v>438.53899999999999</v>
      </c>
      <c r="BP85" s="601"/>
      <c r="BQ85" s="720">
        <f>'Cash Flow'!BP25</f>
        <v>87.618841029526592</v>
      </c>
      <c r="BR85" s="720">
        <f>'Cash Flow'!BQ25</f>
        <v>147.24198784877387</v>
      </c>
      <c r="BS85" s="720">
        <f>'Cash Flow'!BR25</f>
        <v>120.31654292498003</v>
      </c>
      <c r="BT85" s="720">
        <f>'Cash Flow'!BS25</f>
        <v>169.48728448900897</v>
      </c>
      <c r="BU85" s="720">
        <f>'Cash Flow'!BT25</f>
        <v>524.66465629228946</v>
      </c>
      <c r="BV85" s="601"/>
      <c r="BW85" s="720">
        <f>'Cash Flow'!BV25</f>
        <v>127.93684632131348</v>
      </c>
      <c r="BX85" s="720">
        <f>'Cash Flow'!BW25</f>
        <v>192.09740992834566</v>
      </c>
      <c r="BY85" s="720">
        <f>'Cash Flow'!BX25</f>
        <v>169.45210438791736</v>
      </c>
      <c r="BZ85" s="720">
        <f>'Cash Flow'!BY25</f>
        <v>231.22954065897699</v>
      </c>
      <c r="CA85" s="720">
        <f>'Cash Flow'!BZ25</f>
        <v>720.7159012965534</v>
      </c>
      <c r="CB85" s="601"/>
      <c r="CC85" s="720">
        <f>'Cash Flow'!CB25</f>
        <v>177.79520556702832</v>
      </c>
      <c r="CD85" s="720">
        <f>'Cash Flow'!CC25</f>
        <v>255.8674078196058</v>
      </c>
      <c r="CE85" s="720">
        <f>'Cash Flow'!CD25</f>
        <v>230.67522490760308</v>
      </c>
      <c r="CF85" s="720">
        <f>'Cash Flow'!CE25</f>
        <v>305.5523098566843</v>
      </c>
      <c r="CG85" s="720">
        <f>'Cash Flow'!CF25</f>
        <v>969.89014815092139</v>
      </c>
      <c r="CH85" s="79"/>
      <c r="CI85" s="79"/>
    </row>
    <row r="86" spans="1:87" x14ac:dyDescent="0.2">
      <c r="A86" s="719" t="s">
        <v>424</v>
      </c>
      <c r="B86" s="720"/>
      <c r="C86" s="720">
        <f>'Cash Flow'!B53</f>
        <v>-1.0249999999999992</v>
      </c>
      <c r="D86" s="720">
        <f>'Cash Flow'!C53</f>
        <v>11.305999999999992</v>
      </c>
      <c r="E86" s="720">
        <f>'Cash Flow'!D53</f>
        <v>19.196999999999996</v>
      </c>
      <c r="F86" s="720">
        <f>'Cash Flow'!E53</f>
        <v>15.870000000000003</v>
      </c>
      <c r="G86" s="720">
        <f>'Cash Flow'!F53</f>
        <v>45.347999999999985</v>
      </c>
      <c r="H86" s="720"/>
      <c r="I86" s="720">
        <f>'Cash Flow'!H53</f>
        <v>-2.0300000000000091</v>
      </c>
      <c r="J86" s="720">
        <f>'Cash Flow'!I53</f>
        <v>6.0280000000000058</v>
      </c>
      <c r="K86" s="720">
        <f>'Cash Flow'!J53</f>
        <v>14.632000000000009</v>
      </c>
      <c r="L86" s="720">
        <f>'Cash Flow'!K53</f>
        <v>6.7819999999999929</v>
      </c>
      <c r="M86" s="720">
        <f>'Cash Flow'!L53</f>
        <v>25.411999999999981</v>
      </c>
      <c r="N86" s="720"/>
      <c r="O86" s="720">
        <f>'Cash Flow'!N53</f>
        <v>8.7169999999999899</v>
      </c>
      <c r="P86" s="720">
        <f>'Cash Flow'!O53</f>
        <v>17.352</v>
      </c>
      <c r="Q86" s="720">
        <f>'Cash Flow'!P53</f>
        <v>9.7530000000000072</v>
      </c>
      <c r="R86" s="720">
        <f>'Cash Flow'!Q53</f>
        <v>31.150999999999964</v>
      </c>
      <c r="S86" s="720">
        <f>'Cash Flow'!R53</f>
        <v>66.972999999999956</v>
      </c>
      <c r="T86" s="720"/>
      <c r="U86" s="720">
        <f>'Cash Flow'!T53</f>
        <v>14.115000000000002</v>
      </c>
      <c r="V86" s="720">
        <f>'Cash Flow'!U53</f>
        <v>38.277000000000001</v>
      </c>
      <c r="W86" s="720">
        <f>'Cash Flow'!V53</f>
        <v>32.680000000000007</v>
      </c>
      <c r="X86" s="720">
        <f>'Cash Flow'!W53</f>
        <v>26.425999999999966</v>
      </c>
      <c r="Y86" s="720">
        <f>'Cash Flow'!X53</f>
        <v>111.49799999999996</v>
      </c>
      <c r="Z86" s="601"/>
      <c r="AA86" s="720">
        <f>'Cash Flow'!Z53</f>
        <v>14.423000000000005</v>
      </c>
      <c r="AB86" s="720">
        <f>'Cash Flow'!AA53</f>
        <v>23.998999999999999</v>
      </c>
      <c r="AC86" s="720">
        <f>'Cash Flow'!AB53</f>
        <v>29.027999999999995</v>
      </c>
      <c r="AD86" s="720">
        <f>'Cash Flow'!AC53</f>
        <v>32.709999999999987</v>
      </c>
      <c r="AE86" s="720">
        <f>'Cash Flow'!AD53</f>
        <v>100.16</v>
      </c>
      <c r="AF86" s="601"/>
      <c r="AG86" s="720">
        <f>'Cash Flow'!AF53</f>
        <v>2.8650000000000038</v>
      </c>
      <c r="AH86" s="720">
        <f>'Cash Flow'!AG53</f>
        <v>14.111999999999993</v>
      </c>
      <c r="AI86" s="720">
        <f>'Cash Flow'!AH53</f>
        <v>34.558</v>
      </c>
      <c r="AJ86" s="720">
        <f>'Cash Flow'!AI53</f>
        <v>43.91</v>
      </c>
      <c r="AK86" s="720">
        <f>'Cash Flow'!AJ53</f>
        <v>95.445000000000022</v>
      </c>
      <c r="AL86" s="601"/>
      <c r="AM86" s="720">
        <f>'Cash Flow'!AL53</f>
        <v>12.549000000000003</v>
      </c>
      <c r="AN86" s="720">
        <f>'Cash Flow'!AM53</f>
        <v>41.788000000000004</v>
      </c>
      <c r="AO86" s="720">
        <f>'Cash Flow'!AN53</f>
        <v>49.35499999999999</v>
      </c>
      <c r="AP86" s="720">
        <f>'Cash Flow'!AO53</f>
        <v>62.871999999999993</v>
      </c>
      <c r="AQ86" s="720">
        <f>'Cash Flow'!AP53</f>
        <v>166.56399999999996</v>
      </c>
      <c r="AR86" s="601"/>
      <c r="AS86" s="720">
        <f>'Cash Flow'!AR53</f>
        <v>12.997000000000005</v>
      </c>
      <c r="AT86" s="720">
        <f>'Cash Flow'!AS53</f>
        <v>64.765999999999991</v>
      </c>
      <c r="AU86" s="720">
        <f>'Cash Flow'!AT53</f>
        <v>60.573999999999998</v>
      </c>
      <c r="AV86" s="720">
        <f>'Cash Flow'!AU53</f>
        <v>64.47</v>
      </c>
      <c r="AW86" s="720">
        <f>'Cash Flow'!AV53</f>
        <v>202.80699999999996</v>
      </c>
      <c r="AX86" s="601"/>
      <c r="AY86" s="720">
        <f>'Cash Flow'!AX53</f>
        <v>20.032999999999987</v>
      </c>
      <c r="AZ86" s="720">
        <f>'Cash Flow'!AY53</f>
        <v>52.38</v>
      </c>
      <c r="BA86" s="720">
        <f>'Cash Flow'!AZ53</f>
        <v>49.565999999999988</v>
      </c>
      <c r="BB86" s="720">
        <f>'Cash Flow'!BA53</f>
        <v>62.567</v>
      </c>
      <c r="BC86" s="720">
        <f>'Cash Flow'!BB53</f>
        <v>184.54599999999999</v>
      </c>
      <c r="BD86" s="601"/>
      <c r="BE86" s="720">
        <f>'Cash Flow'!BD53</f>
        <v>18.554999999999993</v>
      </c>
      <c r="BF86" s="720">
        <f>'Cash Flow'!BE53</f>
        <v>59.964000000000013</v>
      </c>
      <c r="BG86" s="720">
        <f>'Cash Flow'!BF53</f>
        <v>45.730000000000004</v>
      </c>
      <c r="BH86" s="720">
        <f>'Cash Flow'!BG53</f>
        <v>69.602000000000004</v>
      </c>
      <c r="BI86" s="720">
        <f>'Cash Flow'!BH53</f>
        <v>193.85100000000003</v>
      </c>
      <c r="BJ86" s="601"/>
      <c r="BK86" s="720">
        <f>'Cash Flow'!BJ53</f>
        <v>-11.947999999999993</v>
      </c>
      <c r="BL86" s="720">
        <f>'Cash Flow'!BK53</f>
        <v>91.991</v>
      </c>
      <c r="BM86" s="720">
        <f>'Cash Flow'!BL53</f>
        <v>70.02000000000001</v>
      </c>
      <c r="BN86" s="720">
        <f>'Cash Flow'!BM53</f>
        <v>92.781000000000006</v>
      </c>
      <c r="BO86" s="720">
        <f>'Cash Flow'!BN53</f>
        <v>242.84399999999999</v>
      </c>
      <c r="BP86" s="601"/>
      <c r="BQ86" s="720">
        <f>'Cash Flow'!BP53</f>
        <v>17.711001029526599</v>
      </c>
      <c r="BR86" s="720">
        <f>'Cash Flow'!BQ53</f>
        <v>70.217530486342326</v>
      </c>
      <c r="BS86" s="720">
        <f>'Cash Flow'!BR53</f>
        <v>41.558375568924859</v>
      </c>
      <c r="BT86" s="720">
        <f>'Cash Flow'!BS53</f>
        <v>83.063288339777657</v>
      </c>
      <c r="BU86" s="720">
        <f>'Cash Flow'!BT53</f>
        <v>212.55019542457143</v>
      </c>
      <c r="BV86" s="601"/>
      <c r="BW86" s="720">
        <f>'Cash Flow'!BV53</f>
        <v>74.956725259717416</v>
      </c>
      <c r="BX86" s="720">
        <f>'Cash Flow'!BW53</f>
        <v>132.02615259061159</v>
      </c>
      <c r="BY86" s="720">
        <f>'Cash Flow'!BX53</f>
        <v>108.60259474644248</v>
      </c>
      <c r="BZ86" s="720">
        <f>'Cash Flow'!BY53</f>
        <v>164.4322118501043</v>
      </c>
      <c r="CA86" s="720">
        <f>'Cash Flow'!BZ53</f>
        <v>480.01768444687565</v>
      </c>
      <c r="CB86" s="601"/>
      <c r="CC86" s="720">
        <f>'Cash Flow'!CB53</f>
        <v>115.41035662096607</v>
      </c>
      <c r="CD86" s="720">
        <f>'Cash Flow'!CC53</f>
        <v>185.88908186391413</v>
      </c>
      <c r="CE86" s="720">
        <f>'Cash Flow'!CD53</f>
        <v>159.96596320667973</v>
      </c>
      <c r="CF86" s="720">
        <f>'Cash Flow'!CE53</f>
        <v>228.38427252314318</v>
      </c>
      <c r="CG86" s="720">
        <f>'Cash Flow'!CF53</f>
        <v>689.64967421470305</v>
      </c>
      <c r="CH86" s="79"/>
      <c r="CI86" s="79"/>
    </row>
    <row r="87" spans="1:87" x14ac:dyDescent="0.2">
      <c r="A87" s="721" t="s">
        <v>425</v>
      </c>
      <c r="B87" s="717"/>
      <c r="C87" s="722">
        <f>'Cash Flow'!B54</f>
        <v>-1.478415138971022E-2</v>
      </c>
      <c r="D87" s="722">
        <f>'Cash Flow'!C54</f>
        <v>0.15877652477986706</v>
      </c>
      <c r="E87" s="722">
        <f>'Cash Flow'!D54</f>
        <v>0.26577599335456176</v>
      </c>
      <c r="F87" s="722">
        <f>'Cash Flow'!E54</f>
        <v>0.22083379717243684</v>
      </c>
      <c r="G87" s="722">
        <f>'Cash Flow'!F54</f>
        <v>0.63473489726219112</v>
      </c>
      <c r="H87" s="717"/>
      <c r="I87" s="722">
        <f>'Cash Flow'!H54</f>
        <v>-2.86480383855491E-2</v>
      </c>
      <c r="J87" s="722">
        <f>'Cash Flow'!I54</f>
        <v>8.6217747010698634E-2</v>
      </c>
      <c r="K87" s="722">
        <f>'Cash Flow'!J54</f>
        <v>0.21297158826269227</v>
      </c>
      <c r="L87" s="722">
        <f>'Cash Flow'!K54</f>
        <v>0.10150263409961675</v>
      </c>
      <c r="M87" s="722">
        <f>'Cash Flow'!L54</f>
        <v>0.37335448989186626</v>
      </c>
      <c r="N87" s="717"/>
      <c r="O87" s="722">
        <f>'Cash Flow'!N54</f>
        <v>0.13118726202838338</v>
      </c>
      <c r="P87" s="722">
        <f>'Cash Flow'!O54</f>
        <v>0.25755124456384604</v>
      </c>
      <c r="Q87" s="722">
        <f>'Cash Flow'!P54</f>
        <v>0.14027442181567149</v>
      </c>
      <c r="R87" s="722">
        <f>'Cash Flow'!Q54</f>
        <v>0.40544832164100381</v>
      </c>
      <c r="S87" s="722">
        <f>'Cash Flow'!R54</f>
        <v>0.96930268909022432</v>
      </c>
      <c r="T87" s="717"/>
      <c r="U87" s="722">
        <f>'Cash Flow'!T54</f>
        <v>0.18190136216606317</v>
      </c>
      <c r="V87" s="722">
        <f>'Cash Flow'!U54</f>
        <v>0.49321581816073296</v>
      </c>
      <c r="W87" s="722">
        <f>'Cash Flow'!V54</f>
        <v>0.41838968620773548</v>
      </c>
      <c r="X87" s="722">
        <f>'Cash Flow'!W54</f>
        <v>0.33567908134749208</v>
      </c>
      <c r="Y87" s="722">
        <f>'Cash Flow'!X54</f>
        <v>1.4279969262295078</v>
      </c>
      <c r="Z87" s="717"/>
      <c r="AA87" s="722">
        <f>'Cash Flow'!Z54</f>
        <v>0.18173914139186759</v>
      </c>
      <c r="AB87" s="722">
        <f>'Cash Flow'!AA54</f>
        <v>0.29878861069956797</v>
      </c>
      <c r="AC87" s="722">
        <f>'Cash Flow'!AB54</f>
        <v>0.36164752198938521</v>
      </c>
      <c r="AD87" s="722">
        <f>'Cash Flow'!AC54</f>
        <v>0.40458138010364986</v>
      </c>
      <c r="AE87" s="722">
        <f>'Cash Flow'!AD54</f>
        <v>1.2488894846273499</v>
      </c>
      <c r="AF87" s="718"/>
      <c r="AG87" s="722">
        <f>'Cash Flow'!AF54</f>
        <v>3.5000488663018033E-2</v>
      </c>
      <c r="AH87" s="722">
        <f>'Cash Flow'!AG54</f>
        <v>0.17011837886057327</v>
      </c>
      <c r="AI87" s="722">
        <f>'Cash Flow'!AH54</f>
        <v>0.41186565919004597</v>
      </c>
      <c r="AJ87" s="722">
        <f>'Cash Flow'!AI54</f>
        <v>0.52915727696701653</v>
      </c>
      <c r="AK87" s="722">
        <f>'Cash Flow'!AJ54</f>
        <v>1.1509902109455319</v>
      </c>
      <c r="AL87" s="717"/>
      <c r="AM87" s="722">
        <f>'Cash Flow'!AL54</f>
        <v>0.15445303269003546</v>
      </c>
      <c r="AN87" s="722">
        <f>'Cash Flow'!AM54</f>
        <v>0.50868543743685257</v>
      </c>
      <c r="AO87" s="722">
        <f>'Cash Flow'!AN54</f>
        <v>0.60300801485680766</v>
      </c>
      <c r="AP87" s="722">
        <f>'Cash Flow'!AO54</f>
        <v>0.76265799752541297</v>
      </c>
      <c r="AQ87" s="722">
        <f>'Cash Flow'!AP54</f>
        <v>2.0332333383178249</v>
      </c>
      <c r="AR87" s="717"/>
      <c r="AS87" s="722">
        <f>'Cash Flow'!AR54</f>
        <v>0.15693637779682923</v>
      </c>
      <c r="AT87" s="722">
        <f>'Cash Flow'!AS54</f>
        <v>0.78655833667310326</v>
      </c>
      <c r="AU87" s="722">
        <f>'Cash Flow'!AT54</f>
        <v>0.73858121784085651</v>
      </c>
      <c r="AV87" s="722">
        <f>'Cash Flow'!AU54</f>
        <v>0.78919342400019588</v>
      </c>
      <c r="AW87" s="722">
        <f>'Cash Flow'!AV54</f>
        <v>2.464749705285417</v>
      </c>
      <c r="AX87" s="717"/>
      <c r="AY87" s="722">
        <f>'Cash Flow'!AX54</f>
        <v>0.24483036761830254</v>
      </c>
      <c r="AZ87" s="722">
        <f>'Cash Flow'!AY54</f>
        <v>0.6435363786028454</v>
      </c>
      <c r="BA87" s="722">
        <f>'Cash Flow'!AZ54</f>
        <v>0.6112316874660878</v>
      </c>
      <c r="BB87" s="722">
        <f>'Cash Flow'!BA54</f>
        <v>0.77194605865442745</v>
      </c>
      <c r="BC87" s="722">
        <f>'Cash Flow'!BB54</f>
        <v>2.2688152544404523</v>
      </c>
      <c r="BD87" s="717"/>
      <c r="BE87" s="722">
        <f>'Cash Flow'!BD54</f>
        <v>0.22817265125430392</v>
      </c>
      <c r="BF87" s="722">
        <f>'Cash Flow'!BE54</f>
        <v>0.73773698650361108</v>
      </c>
      <c r="BG87" s="722">
        <f>'Cash Flow'!BF54</f>
        <v>0.56133847249159163</v>
      </c>
      <c r="BH87" s="722">
        <f>'Cash Flow'!BG54</f>
        <v>0.85666108704214261</v>
      </c>
      <c r="BI87" s="722">
        <f>'Cash Flow'!BH54</f>
        <v>2.3835482532314836</v>
      </c>
      <c r="BJ87" s="717"/>
      <c r="BK87" s="722">
        <f>'Cash Flow'!BJ54</f>
        <v>-0.14654009370324028</v>
      </c>
      <c r="BL87" s="722">
        <f>'Cash Flow'!BK54</f>
        <v>1.1269125699795421</v>
      </c>
      <c r="BM87" s="722">
        <f>'Cash Flow'!BL54</f>
        <v>0.85610534423944551</v>
      </c>
      <c r="BN87" s="722">
        <f>'Cash Flow'!BM54</f>
        <v>1.1333691655570894</v>
      </c>
      <c r="BO87" s="722">
        <f>'Cash Flow'!BN54</f>
        <v>2.9722321666253588</v>
      </c>
      <c r="BP87" s="717"/>
      <c r="BQ87" s="722">
        <f>'Cash Flow'!BP54</f>
        <v>0.21697213002311216</v>
      </c>
      <c r="BR87" s="722">
        <f>'Cash Flow'!BQ54</f>
        <v>0.87475322433574199</v>
      </c>
      <c r="BS87" s="722">
        <f>'Cash Flow'!BR54</f>
        <v>0.51960228739599601</v>
      </c>
      <c r="BT87" s="722">
        <f>'Cash Flow'!BS54</f>
        <v>1.0417558532314488</v>
      </c>
      <c r="BU87" s="722">
        <f>'Cash Flow'!BT54</f>
        <v>2.6435415989874134</v>
      </c>
      <c r="BV87" s="717"/>
      <c r="BW87" s="722">
        <f>'Cash Flow'!BV54</f>
        <v>0.94294204982735463</v>
      </c>
      <c r="BX87" s="722">
        <f>'Cash Flow'!BW54</f>
        <v>1.6665097831587181</v>
      </c>
      <c r="BY87" s="722">
        <f>'Cash Flow'!BX54</f>
        <v>1.3753539801957739</v>
      </c>
      <c r="BZ87" s="722">
        <f>'Cash Flow'!BY54</f>
        <v>2.0881792327793787</v>
      </c>
      <c r="CA87" s="722">
        <f>'Cash Flow'!BZ54</f>
        <v>6.0680461811902902</v>
      </c>
      <c r="CB87" s="717"/>
      <c r="CC87" s="722">
        <f>'Cash Flow'!CB54</f>
        <v>1.4698240515201777</v>
      </c>
      <c r="CD87" s="722">
        <f>'Cash Flow'!CC54</f>
        <v>2.3752622552282499</v>
      </c>
      <c r="CE87" s="722">
        <f>'Cash Flow'!CD54</f>
        <v>2.0494879013923328</v>
      </c>
      <c r="CF87" s="722">
        <f>'Cash Flow'!CE54</f>
        <v>2.9464255986466665</v>
      </c>
      <c r="CG87" s="722">
        <f>'Cash Flow'!CF54</f>
        <v>8.8319167745028029</v>
      </c>
      <c r="CH87" s="79"/>
      <c r="CI87" s="79"/>
    </row>
    <row r="88" spans="1:87" x14ac:dyDescent="0.2">
      <c r="B88" s="228"/>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28"/>
      <c r="AC88" s="228"/>
      <c r="AD88" s="228"/>
      <c r="AE88" s="228"/>
      <c r="AF88" s="228"/>
      <c r="AG88" s="228"/>
      <c r="AH88" s="228"/>
      <c r="AI88" s="228"/>
      <c r="AJ88" s="228"/>
      <c r="AK88" s="228"/>
      <c r="AL88" s="228"/>
      <c r="AM88" s="228"/>
      <c r="AN88" s="228"/>
      <c r="AO88" s="228"/>
      <c r="AP88" s="228"/>
      <c r="AQ88" s="228"/>
      <c r="AR88" s="228"/>
      <c r="AS88" s="228"/>
      <c r="AT88" s="228"/>
      <c r="AU88" s="228"/>
      <c r="AV88" s="228"/>
      <c r="AW88" s="228"/>
      <c r="AX88" s="228"/>
      <c r="AY88" s="228"/>
      <c r="AZ88" s="228"/>
      <c r="BA88" s="228"/>
      <c r="BB88" s="228"/>
      <c r="BC88" s="228"/>
      <c r="BD88" s="228"/>
      <c r="BE88" s="228"/>
      <c r="BF88" s="228"/>
      <c r="BG88" s="228"/>
      <c r="BH88" s="228"/>
      <c r="BI88" s="228"/>
      <c r="BJ88" s="228"/>
      <c r="BK88" s="228"/>
      <c r="BL88" s="228"/>
      <c r="BM88" s="228"/>
      <c r="BN88" s="228"/>
      <c r="BO88" s="228"/>
      <c r="BP88" s="228"/>
      <c r="BQ88" s="228"/>
      <c r="BR88" s="228"/>
      <c r="BS88" s="228"/>
      <c r="BT88" s="228"/>
      <c r="BU88" s="228"/>
      <c r="BV88" s="228"/>
      <c r="BW88" s="228"/>
      <c r="BX88" s="228"/>
      <c r="BY88" s="228"/>
      <c r="BZ88" s="228"/>
      <c r="CA88" s="228"/>
      <c r="CB88" s="228"/>
      <c r="CC88" s="228"/>
      <c r="CD88" s="228"/>
      <c r="CE88" s="228"/>
      <c r="CF88" s="228"/>
      <c r="CG88" s="228"/>
      <c r="CH88" s="42"/>
      <c r="CI88" s="42"/>
    </row>
    <row r="89" spans="1:87" x14ac:dyDescent="0.2">
      <c r="A89" s="24" t="s">
        <v>254</v>
      </c>
      <c r="B89" s="109"/>
      <c r="C89" s="173"/>
      <c r="D89" s="173"/>
      <c r="E89" s="173"/>
      <c r="F89" s="173"/>
      <c r="G89" s="173"/>
      <c r="H89" s="109"/>
      <c r="I89" s="173"/>
      <c r="J89" s="173"/>
      <c r="K89" s="173"/>
      <c r="L89" s="173"/>
      <c r="M89" s="173"/>
      <c r="N89" s="109"/>
      <c r="O89" s="173"/>
      <c r="P89" s="173"/>
      <c r="Q89" s="173"/>
      <c r="R89" s="173"/>
      <c r="S89" s="173"/>
      <c r="T89" s="109"/>
      <c r="U89" s="173"/>
      <c r="V89" s="173"/>
      <c r="W89" s="173"/>
      <c r="X89" s="173"/>
      <c r="Y89" s="173"/>
      <c r="Z89" s="109"/>
      <c r="AA89" s="173"/>
      <c r="AB89" s="173"/>
      <c r="AC89" s="173"/>
      <c r="AD89" s="173"/>
      <c r="AE89" s="173"/>
      <c r="AF89" s="109"/>
      <c r="AG89" s="173"/>
      <c r="AH89" s="173"/>
      <c r="AI89" s="173"/>
      <c r="AJ89" s="173"/>
      <c r="AK89" s="173"/>
      <c r="AL89" s="109"/>
      <c r="AM89" s="173"/>
      <c r="AN89" s="173"/>
      <c r="AO89" s="173"/>
      <c r="AP89" s="173"/>
      <c r="AQ89" s="173"/>
      <c r="AR89" s="109"/>
      <c r="AS89" s="173"/>
      <c r="AT89" s="173"/>
      <c r="AU89" s="173"/>
      <c r="AV89" s="173"/>
      <c r="AW89" s="173"/>
      <c r="AX89" s="109"/>
      <c r="AY89" s="173"/>
      <c r="AZ89" s="173"/>
      <c r="BA89" s="173"/>
      <c r="BB89" s="173"/>
      <c r="BC89" s="173"/>
      <c r="BD89" s="109"/>
      <c r="BE89" s="173"/>
      <c r="BF89" s="173"/>
      <c r="BG89" s="173"/>
      <c r="BH89" s="173"/>
      <c r="BI89" s="173"/>
      <c r="BJ89" s="109"/>
      <c r="BK89" s="173"/>
      <c r="BL89" s="173"/>
      <c r="BM89" s="173"/>
      <c r="BN89" s="173"/>
      <c r="BO89" s="173"/>
      <c r="BP89" s="109"/>
      <c r="BQ89" s="173"/>
      <c r="BR89" s="173"/>
      <c r="BS89" s="173"/>
      <c r="BT89" s="173"/>
      <c r="BU89" s="173"/>
      <c r="BV89" s="109"/>
      <c r="BW89" s="173"/>
      <c r="BX89" s="173"/>
      <c r="BY89" s="173"/>
      <c r="BZ89" s="173"/>
      <c r="CA89" s="173"/>
      <c r="CB89" s="109"/>
      <c r="CC89" s="173"/>
      <c r="CD89" s="173"/>
      <c r="CE89" s="173"/>
      <c r="CF89" s="173"/>
      <c r="CG89" s="173"/>
      <c r="CH89" s="79"/>
      <c r="CI89" s="79"/>
    </row>
    <row r="90" spans="1:87" ht="12.75" hidden="1" customHeight="1" outlineLevel="1" x14ac:dyDescent="0.2">
      <c r="A90" s="2" t="s">
        <v>255</v>
      </c>
      <c r="B90" s="109"/>
      <c r="C90" s="174">
        <f>+C8/'P&amp;L'!C39</f>
        <v>0.81073401508704623</v>
      </c>
      <c r="D90" s="174">
        <f>+D8/'P&amp;L'!D39</f>
        <v>0.92117348013537992</v>
      </c>
      <c r="E90" s="174">
        <f>+E8/'P&amp;L'!E39</f>
        <v>1.2179011491070191</v>
      </c>
      <c r="F90" s="174">
        <f>+F8/'P&amp;L'!F39</f>
        <v>1.24010631192252</v>
      </c>
      <c r="G90" s="174">
        <f>+G8/'P&amp;L'!G39</f>
        <v>1.2473965623425338</v>
      </c>
      <c r="H90" s="109"/>
      <c r="I90" s="174">
        <f>+I8/'P&amp;L'!I39</f>
        <v>1.6042901495907418</v>
      </c>
      <c r="J90" s="174">
        <f>+J8/'P&amp;L'!J39</f>
        <v>0.9202328508495905</v>
      </c>
      <c r="K90" s="174">
        <f>+K8/'P&amp;L'!K39</f>
        <v>1.1608639962738705</v>
      </c>
      <c r="L90" s="174">
        <f>+L8/'P&amp;L'!L39</f>
        <v>1.3035799808429118</v>
      </c>
      <c r="M90" s="174">
        <f>+M8/'P&amp;L'!M39</f>
        <v>1.279677950164551</v>
      </c>
      <c r="N90" s="109"/>
      <c r="O90" s="174">
        <f>+O8/'P&amp;L'!O39</f>
        <v>1.4605776032025517</v>
      </c>
      <c r="P90" s="174">
        <f>+P8/'P&amp;L'!P39</f>
        <v>1.8135158000979614</v>
      </c>
      <c r="Q90" s="174">
        <f>+Q8/'P&amp;L'!Q39</f>
        <v>1.9554855597744785</v>
      </c>
      <c r="R90" s="174">
        <f>+R8/'P&amp;L'!R39</f>
        <v>2.1669248089963675</v>
      </c>
      <c r="S90" s="174">
        <f>+S8/'P&amp;L'!S39</f>
        <v>2.409572466494919</v>
      </c>
      <c r="T90" s="109"/>
      <c r="U90" s="174">
        <f>+U8/'P&amp;L'!U39</f>
        <v>2.4537933167519355</v>
      </c>
      <c r="V90" s="174">
        <f>+V8/'P&amp;L'!V39</f>
        <v>3.0383985980646067</v>
      </c>
      <c r="W90" s="174">
        <f>+W8/'P&amp;L'!W39</f>
        <v>3.3917218246296832</v>
      </c>
      <c r="X90" s="174">
        <f>+X8/'P&amp;L'!X39</f>
        <v>3.7430008637772452</v>
      </c>
      <c r="Y90" s="174">
        <f>+Y8/'P&amp;L'!Y39</f>
        <v>3.7738729508196704</v>
      </c>
      <c r="Z90" s="109"/>
      <c r="AA90" s="174">
        <f>+AA8/'P&amp;L'!AA39</f>
        <v>3.8886606771588044</v>
      </c>
      <c r="AB90" s="174">
        <f>+AB8/'P&amp;L'!AB39</f>
        <v>2.0991646020343371</v>
      </c>
      <c r="AC90" s="174">
        <f>+AC8/'P&amp;L'!AC39</f>
        <v>2.5194852116711934</v>
      </c>
      <c r="AD90" s="174">
        <f>+AD8/'P&amp;L'!AD39</f>
        <v>2.9768457247461315</v>
      </c>
      <c r="AE90" s="174">
        <f>+AE8/'P&amp;L'!AE39</f>
        <v>3.0009632259653301</v>
      </c>
      <c r="AF90" s="109"/>
      <c r="AG90" s="174">
        <f>+AG8/'P&amp;L'!AG39</f>
        <v>2.7409230844409698</v>
      </c>
      <c r="AH90" s="174">
        <f>+AH8/'P&amp;L'!AH39</f>
        <v>3.1680087759481159</v>
      </c>
      <c r="AI90" s="174">
        <f>+AI8/'P&amp;L'!AI39</f>
        <v>3.6339117583963003</v>
      </c>
      <c r="AJ90" s="174">
        <f>+AJ8/'P&amp;L'!AJ39</f>
        <v>3.6922428025692633</v>
      </c>
      <c r="AK90" s="174">
        <f>+AK8/'P&amp;L'!AK39</f>
        <v>3.6947696240846315</v>
      </c>
      <c r="AL90" s="109"/>
      <c r="AM90" s="174">
        <f>+AM8/'P&amp;L'!AM39</f>
        <v>4.0461919062623082</v>
      </c>
      <c r="AN90" s="174">
        <f>+AN8/'P&amp;L'!AN39</f>
        <v>2.0024224275402016</v>
      </c>
      <c r="AO90" s="174">
        <f>+AO8/'P&amp;L'!AO39</f>
        <v>2.1483603753298799</v>
      </c>
      <c r="AP90" s="174">
        <f>+AP8/'P&amp;L'!AP39</f>
        <v>2.9470996385162183</v>
      </c>
      <c r="AQ90" s="174">
        <f>+AQ8/'P&amp;L'!AQ39</f>
        <v>2.9657077114162163</v>
      </c>
      <c r="AR90" s="109"/>
      <c r="AS90" s="174">
        <f>+AS8/'P&amp;L'!AS39</f>
        <v>2.2068657401258198</v>
      </c>
      <c r="AT90" s="174">
        <f>+AT8/'P&amp;L'!AT39</f>
        <v>2.0338713399157164</v>
      </c>
      <c r="AU90" s="174">
        <f>+AU8/'P&amp;L'!AU39</f>
        <v>2.2029897334601407</v>
      </c>
      <c r="AV90" s="174">
        <f>+AV8/'P&amp;L'!AV39</f>
        <v>2.4466709919085332</v>
      </c>
      <c r="AW90" s="174">
        <f>+AW8/'P&amp;L'!AW39</f>
        <v>2.4290679727282671</v>
      </c>
      <c r="AX90" s="109"/>
      <c r="AY90" s="174">
        <f>+AY8/'P&amp;L'!AY39</f>
        <v>2.3217882283926476</v>
      </c>
      <c r="AZ90" s="174">
        <f>+AZ8/'P&amp;L'!AZ39</f>
        <v>1.9872840749932423</v>
      </c>
      <c r="BA90" s="174">
        <f>+BA8/'P&amp;L'!BA39</f>
        <v>2.1462043111527649</v>
      </c>
      <c r="BB90" s="174">
        <f>+BB8/'P&amp;L'!BB39</f>
        <v>2.0692403548383118</v>
      </c>
      <c r="BC90" s="174">
        <f>+BC8/'P&amp;L'!BC39</f>
        <v>2.0618820325730498</v>
      </c>
      <c r="BD90" s="109"/>
      <c r="BE90" s="174">
        <f>+BE8/'P&amp;L'!BE39</f>
        <v>1.8988932611903593</v>
      </c>
      <c r="BF90" s="174">
        <f>+BF8/'P&amp;L'!BF39</f>
        <v>2.0632866229500126</v>
      </c>
      <c r="BG90" s="174">
        <f>+BG8/'P&amp;L'!BG39</f>
        <v>5.1548867012005006</v>
      </c>
      <c r="BH90" s="174">
        <f>+BH8/'P&amp;L'!BH39</f>
        <v>4.7911948601811734</v>
      </c>
      <c r="BI90" s="174">
        <f>+BI8/'P&amp;L'!BI39</f>
        <v>4.786437760324608</v>
      </c>
      <c r="BJ90" s="109"/>
      <c r="BK90" s="174">
        <f>+BK8/'P&amp;L'!BK39</f>
        <v>3.2014497019648243</v>
      </c>
      <c r="BL90" s="174">
        <f>+BL8/'P&amp;L'!BL39</f>
        <v>4.3878183533216548</v>
      </c>
      <c r="BM90" s="174">
        <f>+BM8/'P&amp;L'!BM39</f>
        <v>4.4335179547371899</v>
      </c>
      <c r="BN90" s="174">
        <f>+BN8/'P&amp;L'!BN39</f>
        <v>5.491015477077557</v>
      </c>
      <c r="BO90" s="174">
        <f>+BO8/'P&amp;L'!BO39</f>
        <v>5.5016844289005773</v>
      </c>
      <c r="BP90" s="109"/>
      <c r="BQ90" s="174">
        <f>+BQ8/'P&amp;L'!BQ39</f>
        <v>4.9167955612826217</v>
      </c>
      <c r="BR90" s="174">
        <f>+BR8/'P&amp;L'!BR39</f>
        <v>5.0652606111739074</v>
      </c>
      <c r="BS90" s="174">
        <f>+BS8/'P&amp;L'!BS39</f>
        <v>4.7944810369345774</v>
      </c>
      <c r="BT90" s="174">
        <f>+BT8/'P&amp;L'!BT39</f>
        <v>5.0617220187986236</v>
      </c>
      <c r="BU90" s="174">
        <f>+BU8/'P&amp;L'!BU39</f>
        <v>5.0195652249860983</v>
      </c>
      <c r="BV90" s="109"/>
      <c r="BW90" s="174">
        <f>+BW8/'P&amp;L'!BW39</f>
        <v>5.1327758297866612</v>
      </c>
      <c r="BX90" s="174">
        <f>+BX8/'P&amp;L'!BX39</f>
        <v>5.9435080554505655</v>
      </c>
      <c r="BY90" s="174">
        <f>+BY8/'P&amp;L'!BY39</f>
        <v>6.4678232848353341</v>
      </c>
      <c r="BZ90" s="174">
        <f>+BZ8/'P&amp;L'!BZ39</f>
        <v>7.7350160868612789</v>
      </c>
      <c r="CA90" s="174">
        <f>+CA8/'P&amp;L'!CA39</f>
        <v>7.6996677877974742</v>
      </c>
      <c r="CB90" s="109"/>
      <c r="CC90" s="174">
        <f>+CC8/'P&amp;L'!CC39</f>
        <v>8.2000698801541301</v>
      </c>
      <c r="CD90" s="174">
        <f>+CD8/'P&amp;L'!CD39</f>
        <v>9.598097477582952</v>
      </c>
      <c r="CE90" s="174">
        <f>+CE8/'P&amp;L'!CE39</f>
        <v>10.674588978398601</v>
      </c>
      <c r="CF90" s="174">
        <f>+CF8/'P&amp;L'!CF39</f>
        <v>12.742401310811765</v>
      </c>
      <c r="CG90" s="174">
        <f>+CG8/'P&amp;L'!CG39</f>
        <v>12.648773783147325</v>
      </c>
      <c r="CH90" s="79"/>
      <c r="CI90" s="79"/>
    </row>
    <row r="91" spans="1:87" ht="12.75" hidden="1" customHeight="1" outlineLevel="1" x14ac:dyDescent="0.2">
      <c r="A91" s="2" t="s">
        <v>256</v>
      </c>
      <c r="B91" s="179"/>
      <c r="C91" s="180">
        <f>+C26/('P&amp;L'!C21*4)</f>
        <v>0.2028382442903752</v>
      </c>
      <c r="D91" s="180">
        <f>+D26/('P&amp;L'!D21*4)</f>
        <v>0.20945394798172834</v>
      </c>
      <c r="E91" s="180">
        <f>+E26/('P&amp;L'!E21*4)</f>
        <v>0.20426720683821567</v>
      </c>
      <c r="F91" s="180">
        <f>+F26/('P&amp;L'!F21*4)</f>
        <v>0.20605957253296953</v>
      </c>
      <c r="G91" s="180">
        <f>+G26/'P&amp;L'!G21</f>
        <v>0.22728309070804026</v>
      </c>
      <c r="H91" s="179"/>
      <c r="I91" s="180">
        <f>+I26/('P&amp;L'!I21*4)</f>
        <v>0.15117624945589805</v>
      </c>
      <c r="J91" s="180">
        <f>+J26/('P&amp;L'!J21*4)</f>
        <v>0.15553802857296503</v>
      </c>
      <c r="K91" s="180">
        <f>+K26/('P&amp;L'!K21*4)</f>
        <v>0.17452655222865623</v>
      </c>
      <c r="L91" s="180">
        <f>+L26/('P&amp;L'!L21*4)</f>
        <v>0.19722823286965477</v>
      </c>
      <c r="M91" s="180">
        <f>+M26/'P&amp;L'!M21</f>
        <v>0.1882280055659083</v>
      </c>
      <c r="N91" s="179"/>
      <c r="O91" s="180">
        <f>+O26/('P&amp;L'!O21*4)</f>
        <v>0.19164534646227935</v>
      </c>
      <c r="P91" s="180">
        <f>+P26/('P&amp;L'!P21*4)</f>
        <v>0.19584535037804973</v>
      </c>
      <c r="Q91" s="180">
        <f>+Q26/('P&amp;L'!Q21*4)</f>
        <v>0.18922902952223256</v>
      </c>
      <c r="R91" s="180">
        <f>+R26/('P&amp;L'!R21*4)</f>
        <v>0.21776408128394459</v>
      </c>
      <c r="S91" s="180">
        <f>+S26/'P&amp;L'!S21</f>
        <v>0.21791035661944311</v>
      </c>
      <c r="T91" s="179"/>
      <c r="U91" s="180">
        <f>+U26/('P&amp;L'!U21*4)</f>
        <v>0.1769428518964356</v>
      </c>
      <c r="V91" s="180">
        <f>+V26/('P&amp;L'!V21*4)</f>
        <v>0.20587504966229636</v>
      </c>
      <c r="W91" s="180">
        <f>+W26/('P&amp;L'!W21*4)</f>
        <v>0.22170020120724343</v>
      </c>
      <c r="X91" s="180">
        <f>+X26/('P&amp;L'!X21*4)</f>
        <v>0.23031732649290543</v>
      </c>
      <c r="Y91" s="180">
        <f>+Y26/'P&amp;L'!Y21</f>
        <v>0.25077148437499996</v>
      </c>
      <c r="Z91" s="179"/>
      <c r="AA91" s="180">
        <f>+AA26/('P&amp;L'!AA21*4)</f>
        <v>0.18502813033722917</v>
      </c>
      <c r="AB91" s="180">
        <f>+AB26/('P&amp;L'!AB21*4)</f>
        <v>0.20565345080763586</v>
      </c>
      <c r="AC91" s="180">
        <f>+AC26/('P&amp;L'!AC21*4)</f>
        <v>0.22829510200244429</v>
      </c>
      <c r="AD91" s="180">
        <f>+AD26/('P&amp;L'!AD21*4)</f>
        <v>0.28635085830492252</v>
      </c>
      <c r="AE91" s="180">
        <f>+AE26/'P&amp;L'!AE21</f>
        <v>0.29630202692248181</v>
      </c>
      <c r="AF91" s="79"/>
      <c r="AG91" s="180">
        <f>+AG26/('P&amp;L'!AG21*4)</f>
        <v>0.23380465796168493</v>
      </c>
      <c r="AH91" s="180">
        <f>+AH26/('P&amp;L'!AH21*4)</f>
        <v>0.24161418257481601</v>
      </c>
      <c r="AI91" s="180">
        <f>+AI26/('P&amp;L'!AI21*4)</f>
        <v>0.2568433002056203</v>
      </c>
      <c r="AJ91" s="180">
        <f>+AJ26/('P&amp;L'!AJ21*4)</f>
        <v>0.24217506458262661</v>
      </c>
      <c r="AK91" s="180">
        <f>+AK26/'P&amp;L'!AK21</f>
        <v>0.25652480358216384</v>
      </c>
      <c r="AL91" s="79"/>
      <c r="AM91" s="180">
        <f>+AM26/('P&amp;L'!AM21*4)</f>
        <v>0.19257010403880306</v>
      </c>
      <c r="AN91" s="180">
        <f>+AN26/('P&amp;L'!AN21*4)</f>
        <v>0.22081827718848351</v>
      </c>
      <c r="AO91" s="180">
        <f>+AO26/('P&amp;L'!AO21*4)</f>
        <v>0.22036806734747566</v>
      </c>
      <c r="AP91" s="180">
        <f>+AP26/('P&amp;L'!AP21*4)</f>
        <v>0.24040130216748651</v>
      </c>
      <c r="AQ91" s="180">
        <f>+AQ26/'P&amp;L'!AQ21</f>
        <v>0.23849738779387319</v>
      </c>
      <c r="AR91" s="79"/>
      <c r="AS91" s="180">
        <f>+AS26/('P&amp;L'!AS21*4)</f>
        <v>0.18688120108541917</v>
      </c>
      <c r="AT91" s="180">
        <f>+AT26/('P&amp;L'!AT21*4)</f>
        <v>0.20944192921524851</v>
      </c>
      <c r="AU91" s="180">
        <f>+AU26/('P&amp;L'!AU21*4)</f>
        <v>0.23153346808260342</v>
      </c>
      <c r="AV91" s="180">
        <f>+AV26/('P&amp;L'!AV21*4)</f>
        <v>0.22154100575784771</v>
      </c>
      <c r="AW91" s="180">
        <f>+AW26/'P&amp;L'!AW21</f>
        <v>0.2283386208742241</v>
      </c>
      <c r="AX91" s="79"/>
      <c r="AY91" s="180">
        <f>+AY26/('P&amp;L'!AY21*4)</f>
        <v>0.19077904326146125</v>
      </c>
      <c r="AZ91" s="180">
        <f>+AZ26/('P&amp;L'!AZ21*4)</f>
        <v>0.19773190380795985</v>
      </c>
      <c r="BA91" s="180">
        <f>+BA26/('P&amp;L'!BA21*4)</f>
        <v>0.20060654229063835</v>
      </c>
      <c r="BB91" s="180">
        <f>+BB26/('P&amp;L'!BB21*4)</f>
        <v>0.23742850596187579</v>
      </c>
      <c r="BC91" s="180">
        <f>+BC26/'P&amp;L'!BC21</f>
        <v>0.23612716479298732</v>
      </c>
      <c r="BD91" s="79"/>
      <c r="BE91" s="180">
        <f>+BE26/('P&amp;L'!BE21*4)</f>
        <v>0.18210545748784304</v>
      </c>
      <c r="BF91" s="180">
        <f>+BF26/('P&amp;L'!BF21*4)</f>
        <v>0.19186357795545403</v>
      </c>
      <c r="BG91" s="180">
        <f>+BG26/('P&amp;L'!BG21*4)</f>
        <v>0.22521631559987224</v>
      </c>
      <c r="BH91" s="180">
        <f>+BH26/('P&amp;L'!BH21*4)</f>
        <v>0.22111972188020568</v>
      </c>
      <c r="BI91" s="180">
        <f>+BI26/'P&amp;L'!BI21</f>
        <v>0.23717938531674354</v>
      </c>
      <c r="BJ91" s="79"/>
      <c r="BK91" s="180">
        <f>+BK26/('P&amp;L'!BK21*4)</f>
        <v>0.18055411837748345</v>
      </c>
      <c r="BL91" s="180">
        <f>+BL26/('P&amp;L'!BL21*4)</f>
        <v>0.21195582552255693</v>
      </c>
      <c r="BM91" s="180">
        <f>+BM26/('P&amp;L'!BM21*4)</f>
        <v>0.22435281971867338</v>
      </c>
      <c r="BN91" s="180">
        <f>+BN26/('P&amp;L'!BN21*4)</f>
        <v>0.23306258430903795</v>
      </c>
      <c r="BO91" s="180">
        <f>+BO26/'P&amp;L'!BO21</f>
        <v>0.25440697150402969</v>
      </c>
      <c r="BP91" s="79"/>
      <c r="BQ91" s="247">
        <v>0.22</v>
      </c>
      <c r="BR91" s="247">
        <v>0.22</v>
      </c>
      <c r="BS91" s="247">
        <v>0.22</v>
      </c>
      <c r="BT91" s="247">
        <v>0.22</v>
      </c>
      <c r="BU91" s="180">
        <f>+BU26/'P&amp;L'!BU21</f>
        <v>0.23564367101407993</v>
      </c>
      <c r="BV91" s="79"/>
      <c r="BW91" s="247">
        <v>0.22</v>
      </c>
      <c r="BX91" s="247">
        <v>0.22</v>
      </c>
      <c r="BY91" s="247">
        <v>0.22</v>
      </c>
      <c r="BZ91" s="247">
        <v>0.22</v>
      </c>
      <c r="CA91" s="180">
        <f>+CA26/'P&amp;L'!CA21</f>
        <v>0.23606427867306054</v>
      </c>
      <c r="CB91" s="79"/>
      <c r="CC91" s="247">
        <v>0.22</v>
      </c>
      <c r="CD91" s="247">
        <v>0.22</v>
      </c>
      <c r="CE91" s="247">
        <v>0.22</v>
      </c>
      <c r="CF91" s="247">
        <v>0.22</v>
      </c>
      <c r="CG91" s="180">
        <f>+CG26/'P&amp;L'!CG21</f>
        <v>0.23408989078473993</v>
      </c>
      <c r="CH91" s="79"/>
      <c r="CI91" s="79"/>
    </row>
    <row r="92" spans="1:87" ht="12" hidden="1" customHeight="1" outlineLevel="1" x14ac:dyDescent="0.2">
      <c r="A92" s="2" t="s">
        <v>363</v>
      </c>
      <c r="B92" s="79"/>
      <c r="C92" s="180">
        <f>+C13/('P&amp;L'!C8*4)</f>
        <v>2.9892881228337068E-2</v>
      </c>
      <c r="D92" s="180">
        <f>+D13/('P&amp;L'!D8*4)</f>
        <v>2.7936242705899249E-2</v>
      </c>
      <c r="E92" s="180">
        <f>+E13/('P&amp;L'!E8*4)</f>
        <v>2.6563659011070526E-2</v>
      </c>
      <c r="F92" s="180">
        <f>+F13/('P&amp;L'!F8*4)</f>
        <v>3.0496297419915334E-2</v>
      </c>
      <c r="G92" s="180">
        <f>+G13/('P&amp;L'!G8)</f>
        <v>3.1111517521770327E-2</v>
      </c>
      <c r="H92" s="79"/>
      <c r="I92" s="180">
        <f>+I13/('P&amp;L'!I8*4)</f>
        <v>2.7756231946078957E-2</v>
      </c>
      <c r="J92" s="180">
        <f>+J13/('P&amp;L'!J8*4)</f>
        <v>3.1701334134314536E-2</v>
      </c>
      <c r="K92" s="180">
        <f>+K13/('P&amp;L'!K8*4)</f>
        <v>2.4649807776728344E-2</v>
      </c>
      <c r="L92" s="180">
        <f>+L13/('P&amp;L'!L8*4)</f>
        <v>4.5241146711635746E-2</v>
      </c>
      <c r="M92" s="180">
        <f>+M13/('P&amp;L'!M8)</f>
        <v>4.4128483827670602E-2</v>
      </c>
      <c r="N92" s="79"/>
      <c r="O92" s="180">
        <f>+O13/('P&amp;L'!O8*4)</f>
        <v>5.2001939200365027E-2</v>
      </c>
      <c r="P92" s="180">
        <f>+P13/('P&amp;L'!P8*4)</f>
        <v>5.0199171864353478E-2</v>
      </c>
      <c r="Q92" s="180">
        <f>+Q13/('P&amp;L'!Q8*4)</f>
        <v>8.0961662188245076E-2</v>
      </c>
      <c r="R92" s="180">
        <f>+R13/('P&amp;L'!R8*4)</f>
        <v>5.2677911702225938E-2</v>
      </c>
      <c r="S92" s="180">
        <f>+S13/('P&amp;L'!S8)</f>
        <v>5.8434427357980115E-2</v>
      </c>
      <c r="T92" s="79"/>
      <c r="U92" s="180">
        <f>+U13/('P&amp;L'!U8*4)</f>
        <v>5.0102675102675097E-2</v>
      </c>
      <c r="V92" s="180">
        <f>+V13/('P&amp;L'!V8*4)</f>
        <v>5.559490084985836E-2</v>
      </c>
      <c r="W92" s="180">
        <f>+W13/('P&amp;L'!W8*4)</f>
        <v>5.062430300061492E-2</v>
      </c>
      <c r="X92" s="180">
        <f>+X13/('P&amp;L'!X8*4)</f>
        <v>4.6715037731583663E-2</v>
      </c>
      <c r="Y92" s="180">
        <f>+Y13/('P&amp;L'!Y8)</f>
        <v>4.6557661978177609E-2</v>
      </c>
      <c r="Z92" s="79"/>
      <c r="AA92" s="180">
        <f>+AA13/('P&amp;L'!AA8*4)</f>
        <v>3.8726920729381248E-2</v>
      </c>
      <c r="AB92" s="180">
        <f>+AB13/('P&amp;L'!AB8*4)</f>
        <v>4.7484719284512769E-2</v>
      </c>
      <c r="AC92" s="180">
        <f>+AC13/('P&amp;L'!AC8*4)</f>
        <v>4.3278472365640933E-2</v>
      </c>
      <c r="AD92" s="180">
        <f>+AD13/('P&amp;L'!AD8*4)</f>
        <v>6.1636476474923388E-2</v>
      </c>
      <c r="AE92" s="180">
        <f>+AE13/('P&amp;L'!AE8)</f>
        <v>6.6246161991574626E-2</v>
      </c>
      <c r="AF92" s="79"/>
      <c r="AG92" s="180">
        <f>+AG13/('P&amp;L'!AG8*4)</f>
        <v>6.1480689078243098E-2</v>
      </c>
      <c r="AH92" s="180">
        <f>+AH13/('P&amp;L'!AH8*4)</f>
        <v>5.7740376031752569E-2</v>
      </c>
      <c r="AI92" s="180">
        <f>+AI13/('P&amp;L'!AI8*4)</f>
        <v>6.1529275583167273E-2</v>
      </c>
      <c r="AJ92" s="180">
        <f>+AJ13/('P&amp;L'!AJ8*4)</f>
        <v>6.1665149817978153E-2</v>
      </c>
      <c r="AK92" s="180">
        <f>+AK13/('P&amp;L'!AK8)</f>
        <v>6.2911465410568149E-2</v>
      </c>
      <c r="AL92" s="79"/>
      <c r="AM92" s="180">
        <f>+AM13/('P&amp;L'!AM8*4)</f>
        <v>5.8583474410730557E-2</v>
      </c>
      <c r="AN92" s="180">
        <f>+AN13/('P&amp;L'!AN8*4)</f>
        <v>5.3525648851234224E-2</v>
      </c>
      <c r="AO92" s="180">
        <f>+AO13/('P&amp;L'!AO8*4)</f>
        <v>5.2944877390490315E-2</v>
      </c>
      <c r="AP92" s="180">
        <f>+AP13/('P&amp;L'!AP8*4)</f>
        <v>6.6555145491665357E-2</v>
      </c>
      <c r="AQ92" s="180">
        <f>+AQ13/('P&amp;L'!AQ8)</f>
        <v>7.1894226953405457E-2</v>
      </c>
      <c r="AR92" s="79"/>
      <c r="AS92" s="180">
        <f>+AS13/('P&amp;L'!AS8*4)</f>
        <v>6.049262092711713E-2</v>
      </c>
      <c r="AT92" s="180">
        <f>+AT13/('P&amp;L'!AT8*4)</f>
        <v>5.8223091346328637E-2</v>
      </c>
      <c r="AU92" s="180">
        <f>+AU13/('P&amp;L'!AU8*4)</f>
        <v>5.8124776169710755E-2</v>
      </c>
      <c r="AV92" s="180">
        <f>+AV13/('P&amp;L'!AV8*4)</f>
        <v>7.1529456193353463E-2</v>
      </c>
      <c r="AW92" s="180">
        <f>+AW13/('P&amp;L'!AW8)</f>
        <v>7.4604839736730488E-2</v>
      </c>
      <c r="AX92" s="79"/>
      <c r="AY92" s="180">
        <f>+AY13/('P&amp;L'!AY8*4)</f>
        <v>7.5447028058520035E-2</v>
      </c>
      <c r="AZ92" s="180">
        <f>+AZ13/('P&amp;L'!AZ8*4)</f>
        <v>6.7406008936072709E-2</v>
      </c>
      <c r="BA92" s="180">
        <f>+BA13/('P&amp;L'!BA8*4)</f>
        <v>7.1813173052842474E-2</v>
      </c>
      <c r="BB92" s="180">
        <f>+BB13/('P&amp;L'!BB8*4)</f>
        <v>2.898695478469315E-2</v>
      </c>
      <c r="BC92" s="180">
        <f>+BC13/('P&amp;L'!BC8)</f>
        <v>3.1579470269170629E-2</v>
      </c>
      <c r="BD92" s="79"/>
      <c r="BE92" s="180">
        <f>+BE13/('P&amp;L'!BE8*4)</f>
        <v>3.5928074731903487E-2</v>
      </c>
      <c r="BF92" s="180">
        <f>+BF13/('P&amp;L'!BF8*4)</f>
        <v>3.5214692495600712E-2</v>
      </c>
      <c r="BG92" s="180">
        <f>+BG13/('P&amp;L'!BG8*4)</f>
        <v>2.4650111813459972E-2</v>
      </c>
      <c r="BH92" s="180">
        <f>+BH13/('P&amp;L'!BH8*4)</f>
        <v>3.2550826560437653E-2</v>
      </c>
      <c r="BI92" s="180">
        <f>+BI13/('P&amp;L'!BI8)</f>
        <v>3.5352272579949141E-2</v>
      </c>
      <c r="BJ92" s="79"/>
      <c r="BK92" s="180">
        <f>+BK13/('P&amp;L'!BK8*4)</f>
        <v>5.6614337132380184E-2</v>
      </c>
      <c r="BL92" s="180">
        <f>+BL13/('P&amp;L'!BL8*4)</f>
        <v>5.2195482520856595E-2</v>
      </c>
      <c r="BM92" s="180">
        <f>+BM13/('P&amp;L'!BM8*4)</f>
        <v>4.1313556572454946E-2</v>
      </c>
      <c r="BN92" s="180">
        <f>+BN13/('P&amp;L'!BN8*4)</f>
        <v>4.8032032431175133E-2</v>
      </c>
      <c r="BO92" s="180">
        <f>+BO13/('P&amp;L'!BO8)</f>
        <v>5.4939110758490659E-2</v>
      </c>
      <c r="BP92" s="79"/>
      <c r="BQ92" s="247">
        <v>0.05</v>
      </c>
      <c r="BR92" s="247">
        <f>+BQ92</f>
        <v>0.05</v>
      </c>
      <c r="BS92" s="247">
        <f>+BR92</f>
        <v>0.05</v>
      </c>
      <c r="BT92" s="247">
        <f>+BS92</f>
        <v>0.05</v>
      </c>
      <c r="BU92" s="180">
        <f>+BU13/('P&amp;L'!BU8)</f>
        <v>5.5379680844624496E-2</v>
      </c>
      <c r="BV92" s="79"/>
      <c r="BW92" s="247">
        <v>0.05</v>
      </c>
      <c r="BX92" s="247">
        <f t="shared" ref="BX92:BZ92" si="138">+BW92</f>
        <v>0.05</v>
      </c>
      <c r="BY92" s="247">
        <f t="shared" si="138"/>
        <v>0.05</v>
      </c>
      <c r="BZ92" s="247">
        <f t="shared" si="138"/>
        <v>0.05</v>
      </c>
      <c r="CA92" s="180">
        <f>+CA13/('P&amp;L'!CA8)</f>
        <v>5.5502969388916884E-2</v>
      </c>
      <c r="CB92" s="79"/>
      <c r="CC92" s="247">
        <v>0.05</v>
      </c>
      <c r="CD92" s="247">
        <f t="shared" ref="CD92:CF92" si="139">+CC92</f>
        <v>0.05</v>
      </c>
      <c r="CE92" s="247">
        <f t="shared" si="139"/>
        <v>0.05</v>
      </c>
      <c r="CF92" s="247">
        <f t="shared" si="139"/>
        <v>0.05</v>
      </c>
      <c r="CG92" s="180">
        <f>+CG13/('P&amp;L'!CG8)</f>
        <v>5.5072728253452961E-2</v>
      </c>
      <c r="CH92" s="79"/>
      <c r="CI92" s="79"/>
    </row>
    <row r="93" spans="1:87" ht="12" hidden="1" customHeight="1" outlineLevel="1" x14ac:dyDescent="0.2">
      <c r="A93" s="2" t="s">
        <v>183</v>
      </c>
      <c r="B93" s="79"/>
      <c r="C93" s="180">
        <f>+C20/('P&amp;L'!C21*4)</f>
        <v>0</v>
      </c>
      <c r="D93" s="180">
        <f>+D20/('P&amp;L'!D21*4)</f>
        <v>0</v>
      </c>
      <c r="E93" s="180">
        <f>+E20/('P&amp;L'!E21*4)</f>
        <v>0</v>
      </c>
      <c r="F93" s="180">
        <f>+F20/('P&amp;L'!F21*4)</f>
        <v>0</v>
      </c>
      <c r="G93" s="180">
        <f>+G20/('P&amp;L'!G21)</f>
        <v>0</v>
      </c>
      <c r="H93" s="79"/>
      <c r="I93" s="180">
        <f>+I20/('P&amp;L'!I21*4)</f>
        <v>0</v>
      </c>
      <c r="J93" s="180">
        <f>+J20/('P&amp;L'!J21*4)</f>
        <v>0</v>
      </c>
      <c r="K93" s="180">
        <f>+K20/('P&amp;L'!K21*4)</f>
        <v>0</v>
      </c>
      <c r="L93" s="180">
        <f>+L20/('P&amp;L'!L21*4)</f>
        <v>0.31785677485832042</v>
      </c>
      <c r="M93" s="180">
        <f>+M20/('P&amp;L'!M21)</f>
        <v>0.30335183719226477</v>
      </c>
      <c r="N93" s="79"/>
      <c r="O93" s="180">
        <f>+O20/('P&amp;L'!O21*4)</f>
        <v>0.32858018188463439</v>
      </c>
      <c r="P93" s="180">
        <f>+P20/('P&amp;L'!P21*4)</f>
        <v>0.29782621404630133</v>
      </c>
      <c r="Q93" s="180">
        <f>+Q20/('P&amp;L'!Q21*4)</f>
        <v>0.30818626065183152</v>
      </c>
      <c r="R93" s="180">
        <f>+R20/('P&amp;L'!R21*4)</f>
        <v>0.31292589654400843</v>
      </c>
      <c r="S93" s="180">
        <f>+S20/('P&amp;L'!S21)</f>
        <v>0.31313609347011884</v>
      </c>
      <c r="T93" s="79"/>
      <c r="U93" s="180">
        <f>+U20/('P&amp;L'!U21*4)</f>
        <v>0.28849488911105214</v>
      </c>
      <c r="V93" s="180">
        <f>+V20/('P&amp;L'!V21*4)</f>
        <v>0.21936332936034961</v>
      </c>
      <c r="W93" s="180">
        <f>+W20/('P&amp;L'!W21*4)</f>
        <v>0.22021126760563378</v>
      </c>
      <c r="X93" s="180">
        <f>+X20/('P&amp;L'!X21*4)</f>
        <v>0.19031965845695734</v>
      </c>
      <c r="Y93" s="180">
        <f>+Y20/('P&amp;L'!Y21)</f>
        <v>0.20722167968749999</v>
      </c>
      <c r="Z93" s="79"/>
      <c r="AA93" s="180">
        <f>+AA20/('P&amp;L'!AA21*4)</f>
        <v>0.15917082482167377</v>
      </c>
      <c r="AB93" s="180">
        <f>+AB20/('P&amp;L'!AB21*4)</f>
        <v>0.10479441997063144</v>
      </c>
      <c r="AC93" s="180">
        <f>+AC20/('P&amp;L'!AC21*4)</f>
        <v>8.9878881890257278E-2</v>
      </c>
      <c r="AD93" s="180">
        <f>+AD20/('P&amp;L'!AD21*4)</f>
        <v>8.350155511693283E-2</v>
      </c>
      <c r="AE93" s="180">
        <f>+AE20/('P&amp;L'!AE21)</f>
        <v>8.6403373046572807E-2</v>
      </c>
      <c r="AF93" s="79"/>
      <c r="AG93" s="180">
        <f>+AG20/('P&amp;L'!AG21*4)</f>
        <v>6.1885954432372402E-2</v>
      </c>
      <c r="AH93" s="180">
        <f>+AH20/('P&amp;L'!AH21*4)</f>
        <v>0.10422223463531122</v>
      </c>
      <c r="AI93" s="180">
        <f>+AI20/('P&amp;L'!AI21*4)</f>
        <v>9.7059201507882123E-2</v>
      </c>
      <c r="AJ93" s="180">
        <f>+AJ20/('P&amp;L'!AJ21*4)</f>
        <v>7.0483130235106856E-2</v>
      </c>
      <c r="AK93" s="180">
        <f>+AK20/('P&amp;L'!AK21)</f>
        <v>7.465950786707852E-2</v>
      </c>
      <c r="AL93" s="79"/>
      <c r="AM93" s="180">
        <f>+AM20/('P&amp;L'!AM21*4)</f>
        <v>8.4664108400567289E-2</v>
      </c>
      <c r="AN93" s="180">
        <f>+AN20/('P&amp;L'!AN21*4)</f>
        <v>8.9235342114465557E-2</v>
      </c>
      <c r="AO93" s="180">
        <f>+AO20/('P&amp;L'!AO21*4)</f>
        <v>8.6163394159711082E-2</v>
      </c>
      <c r="AP93" s="180">
        <f>+AP20/('P&amp;L'!AP21*4)</f>
        <v>4.7173650257920127E-2</v>
      </c>
      <c r="AQ93" s="180">
        <f>+AQ20/('P&amp;L'!AQ21)</f>
        <v>4.6800047494656855E-2</v>
      </c>
      <c r="AR93" s="79"/>
      <c r="AS93" s="180">
        <f>+AS20/('P&amp;L'!AS21*4)</f>
        <v>5.9559231824991891E-2</v>
      </c>
      <c r="AT93" s="180">
        <f>+AT20/('P&amp;L'!AT21*4)</f>
        <v>5.2861159348383362E-2</v>
      </c>
      <c r="AU93" s="180">
        <f>+AU20/('P&amp;L'!AU21*4)</f>
        <v>5.2707283946656393E-2</v>
      </c>
      <c r="AV93" s="180">
        <f>+AV20/('P&amp;L'!AV21*4)</f>
        <v>7.8124212203410344E-3</v>
      </c>
      <c r="AW93" s="180">
        <f>+AW20/('P&amp;L'!AW21)</f>
        <v>8.0521322950525779E-3</v>
      </c>
      <c r="AX93" s="79"/>
      <c r="AY93" s="180">
        <f>+AY20/('P&amp;L'!AY21*4)</f>
        <v>3.4158159891754823E-2</v>
      </c>
      <c r="AZ93" s="180">
        <f>+AZ20/('P&amp;L'!AZ21*4)</f>
        <v>3.4421239972830996E-2</v>
      </c>
      <c r="BA93" s="180">
        <f>+BA20/('P&amp;L'!BA21*4)</f>
        <v>3.0414958587802226E-2</v>
      </c>
      <c r="BB93" s="180">
        <f>+BB20/('P&amp;L'!BB21*4)</f>
        <v>0.11328004512166105</v>
      </c>
      <c r="BC93" s="180">
        <f>+BC20/('P&amp;L'!BC21)</f>
        <v>0.11265915932813284</v>
      </c>
      <c r="BD93" s="79"/>
      <c r="BE93" s="180">
        <f>+BE20/('P&amp;L'!BE21*4)</f>
        <v>0.11298146795189054</v>
      </c>
      <c r="BF93" s="180">
        <f>+BF20/('P&amp;L'!BF21*4)</f>
        <v>0.10717268703597946</v>
      </c>
      <c r="BG93" s="180">
        <f>+BG20/('P&amp;L'!BG21*4)</f>
        <v>0.1171094934170728</v>
      </c>
      <c r="BH93" s="180">
        <f>+BH20/('P&amp;L'!BH21*4)</f>
        <v>0.11167589562606581</v>
      </c>
      <c r="BI93" s="180">
        <f>+BI20/('P&amp;L'!BI21)</f>
        <v>0.11978678362139436</v>
      </c>
      <c r="BJ93" s="79"/>
      <c r="BK93" s="180">
        <f>+BK20/('P&amp;L'!BK21*4)</f>
        <v>8.6328412435614427E-2</v>
      </c>
      <c r="BL93" s="180">
        <f>+BL20/('P&amp;L'!BL21*4)</f>
        <v>8.2444168072250565E-2</v>
      </c>
      <c r="BM93" s="180">
        <f>+BM20/('P&amp;L'!BM21*4)</f>
        <v>9.4892244160536848E-2</v>
      </c>
      <c r="BN93" s="180">
        <f>+BN20/('P&amp;L'!BN21*4)</f>
        <v>6.0077240280158033E-2</v>
      </c>
      <c r="BO93" s="180">
        <f>+BO20/('P&amp;L'!BO21)</f>
        <v>6.5579246884727035E-2</v>
      </c>
      <c r="BP93" s="79"/>
      <c r="BQ93" s="247">
        <f>+BK93-1%</f>
        <v>7.6328412435614432E-2</v>
      </c>
      <c r="BR93" s="247">
        <f t="shared" ref="BR93:BT93" si="140">+BL93-1%</f>
        <v>7.244416807225057E-2</v>
      </c>
      <c r="BS93" s="247">
        <f t="shared" si="140"/>
        <v>8.4892244160536853E-2</v>
      </c>
      <c r="BT93" s="247">
        <f t="shared" si="140"/>
        <v>5.0077240280158031E-2</v>
      </c>
      <c r="BU93" s="180">
        <f>+BU20/('P&amp;L'!BU21)</f>
        <v>5.3638112426684502E-2</v>
      </c>
      <c r="BV93" s="79"/>
      <c r="BW93" s="247">
        <f t="shared" ref="BW93" si="141">+BQ93-1%</f>
        <v>6.6328412435614437E-2</v>
      </c>
      <c r="BX93" s="247">
        <f t="shared" ref="BX93" si="142">+BR93-1%</f>
        <v>6.2444168072250568E-2</v>
      </c>
      <c r="BY93" s="247">
        <f t="shared" ref="BY93" si="143">+BS93-1%</f>
        <v>7.4892244160536858E-2</v>
      </c>
      <c r="BZ93" s="247">
        <f t="shared" ref="BZ93" si="144">+BT93-1%</f>
        <v>4.0077240280158029E-2</v>
      </c>
      <c r="CA93" s="180">
        <f>+CA20/('P&amp;L'!CA21)</f>
        <v>4.3003658263374683E-2</v>
      </c>
      <c r="CB93" s="79"/>
      <c r="CC93" s="247">
        <f t="shared" ref="CC93" si="145">+BW93-1%</f>
        <v>5.6328412435614435E-2</v>
      </c>
      <c r="CD93" s="247">
        <f t="shared" ref="CD93" si="146">+BX93-1%</f>
        <v>5.2444168072250566E-2</v>
      </c>
      <c r="CE93" s="247">
        <f t="shared" ref="CE93" si="147">+BY93-1%</f>
        <v>6.4892244160536863E-2</v>
      </c>
      <c r="CF93" s="247">
        <f t="shared" ref="CF93" si="148">+BZ93-1%</f>
        <v>3.0077240280158027E-2</v>
      </c>
      <c r="CG93" s="180">
        <f>+CG20/('P&amp;L'!CG21)</f>
        <v>3.2003535874038966E-2</v>
      </c>
      <c r="CH93" s="79"/>
      <c r="CI93" s="79"/>
    </row>
    <row r="94" spans="1:87" ht="12.75" hidden="1" customHeight="1" outlineLevel="1" x14ac:dyDescent="0.2">
      <c r="A94" s="2" t="s">
        <v>184</v>
      </c>
      <c r="B94" s="2"/>
      <c r="C94" s="180">
        <f>+C27/('P&amp;L'!C8*4)</f>
        <v>7.5383071156349485E-2</v>
      </c>
      <c r="D94" s="180">
        <f>+D27/('P&amp;L'!D8*4)</f>
        <v>3.9681866245447311E-2</v>
      </c>
      <c r="E94" s="180">
        <f>+E27/('P&amp;L'!E8*4)</f>
        <v>4.5282781206701102E-2</v>
      </c>
      <c r="F94" s="180">
        <f>+F27/('P&amp;L'!F8*4)</f>
        <v>4.2617593116096919E-2</v>
      </c>
      <c r="G94" s="180">
        <f>+G27/('P&amp;L'!G8)</f>
        <v>4.3477343387307799E-2</v>
      </c>
      <c r="H94" s="2"/>
      <c r="I94" s="180">
        <f>+I27/('P&amp;L'!I8*4)</f>
        <v>4.4449422274526591E-2</v>
      </c>
      <c r="J94" s="180">
        <f>+J27/('P&amp;L'!J8*4)</f>
        <v>4.4254211408975994E-2</v>
      </c>
      <c r="K94" s="180">
        <f>+K27/('P&amp;L'!K8*4)</f>
        <v>5.1148683702925253E-2</v>
      </c>
      <c r="L94" s="180">
        <f>+L27/('P&amp;L'!L8*4)</f>
        <v>5.6357504215851603E-2</v>
      </c>
      <c r="M94" s="180">
        <f>+M27/('P&amp;L'!M8)</f>
        <v>5.4971445114087955E-2</v>
      </c>
      <c r="N94" s="2"/>
      <c r="O94" s="180">
        <f>+O27/('P&amp;L'!O8*4)</f>
        <v>7.0060742599669198E-2</v>
      </c>
      <c r="P94" s="180">
        <f>+P27/('P&amp;L'!P8*4)</f>
        <v>7.5796687457413914E-2</v>
      </c>
      <c r="Q94" s="180">
        <f>+Q27/('P&amp;L'!Q8*4)</f>
        <v>8.8054598897425229E-2</v>
      </c>
      <c r="R94" s="180">
        <f>+R27/('P&amp;L'!R8*4)</f>
        <v>9.3224692897386191E-2</v>
      </c>
      <c r="S94" s="180">
        <f>+S27/('P&amp;L'!S8)</f>
        <v>0.10341206340668455</v>
      </c>
      <c r="T94" s="2"/>
      <c r="U94" s="180">
        <f>+U27/('P&amp;L'!U8*4)</f>
        <v>0.10280552780552779</v>
      </c>
      <c r="V94" s="180">
        <f>+V27/('P&amp;L'!V8*4)</f>
        <v>7.1982363841615382E-2</v>
      </c>
      <c r="W94" s="180">
        <f>+W27/('P&amp;L'!W8*4)</f>
        <v>7.8522517639947054E-2</v>
      </c>
      <c r="X94" s="180">
        <f>+X27/('P&amp;L'!X8*4)</f>
        <v>9.1094054449743278E-2</v>
      </c>
      <c r="Y94" s="180">
        <f>+Y27/('P&amp;L'!Y8)</f>
        <v>9.0787172637248281E-2</v>
      </c>
      <c r="Z94" s="2"/>
      <c r="AA94" s="180">
        <f>+AA27/('P&amp;L'!AA8*4)</f>
        <v>8.8690680552376597E-2</v>
      </c>
      <c r="AB94" s="180">
        <f>+AB27/('P&amp;L'!AB8*4)</f>
        <v>8.9569142114817715E-2</v>
      </c>
      <c r="AC94" s="180">
        <f>+AC27/('P&amp;L'!AC8*4)</f>
        <v>9.4857578597868045E-2</v>
      </c>
      <c r="AD94" s="180">
        <f>+AD27/('P&amp;L'!AD8*4)</f>
        <v>0.1013381947946162</v>
      </c>
      <c r="AE94" s="180">
        <f>+AE27/('P&amp;L'!AE21)</f>
        <v>0.20211975862602508</v>
      </c>
      <c r="AF94" s="94"/>
      <c r="AG94" s="180">
        <f>+AG27/('P&amp;L'!AG8*4)</f>
        <v>0.10114451543171032</v>
      </c>
      <c r="AH94" s="180">
        <f>+AH27/('P&amp;L'!AH8*4)</f>
        <v>0.10197869885872028</v>
      </c>
      <c r="AI94" s="180">
        <f>+AI27/('P&amp;L'!AI8*4)</f>
        <v>0.11964453170788887</v>
      </c>
      <c r="AJ94" s="180">
        <f>+AJ27/('P&amp;L'!AJ8*4)</f>
        <v>0.10846926631195744</v>
      </c>
      <c r="AK94" s="180">
        <f>+AK27/('P&amp;L'!AK21)</f>
        <v>0.21412480911019441</v>
      </c>
      <c r="AL94" s="94"/>
      <c r="AM94" s="180">
        <f>+AM27/('P&amp;L'!AM8*4)</f>
        <v>9.6809480401093884E-2</v>
      </c>
      <c r="AN94" s="180">
        <f>+AN27/('P&amp;L'!AN8*4)</f>
        <v>9.6628781404888051E-2</v>
      </c>
      <c r="AO94" s="180">
        <f>+AO27/('P&amp;L'!AO8*4)</f>
        <v>0.10698242009409992</v>
      </c>
      <c r="AP94" s="180">
        <f>+AP27/('P&amp;L'!AP8*4)</f>
        <v>0.10835455320485496</v>
      </c>
      <c r="AQ94" s="180">
        <f>+AQ27/('P&amp;L'!AQ21)</f>
        <v>0.22938435051056758</v>
      </c>
      <c r="AR94" s="94"/>
      <c r="AS94" s="180">
        <f>+AS27/('P&amp;L'!AS8*4)</f>
        <v>0.11209769383213579</v>
      </c>
      <c r="AT94" s="180">
        <f>+AT27/('P&amp;L'!AT8*4)</f>
        <v>0.11053414774763544</v>
      </c>
      <c r="AU94" s="180">
        <f>+AU27/('P&amp;L'!AU8*4)</f>
        <v>0.11513171754197475</v>
      </c>
      <c r="AV94" s="180">
        <f>+AV27/('P&amp;L'!AV8*4)</f>
        <v>0.11415407854984894</v>
      </c>
      <c r="AW94" s="180">
        <f>+AW27/('P&amp;L'!AW21)</f>
        <v>0.23562425461263242</v>
      </c>
      <c r="AX94" s="94"/>
      <c r="AY94" s="180">
        <f>+AY27/('P&amp;L'!AY8*4)</f>
        <v>0.1184687458982462</v>
      </c>
      <c r="AZ94" s="180">
        <f>+AZ27/('P&amp;L'!AZ8*4)</f>
        <v>0.12103318567173299</v>
      </c>
      <c r="BA94" s="180">
        <f>+BA27/('P&amp;L'!BA8*4)</f>
        <v>0.13966508697913657</v>
      </c>
      <c r="BB94" s="180">
        <f>+BB27/('P&amp;L'!BB8*4)</f>
        <v>0.14064969862252252</v>
      </c>
      <c r="BC94" s="180">
        <f>+BC27/('P&amp;L'!BC21)</f>
        <v>0.28386751338955957</v>
      </c>
      <c r="BD94" s="94"/>
      <c r="BE94" s="180">
        <f>+BE27/('P&amp;L'!BE8*4)</f>
        <v>0.15265687835120645</v>
      </c>
      <c r="BF94" s="180">
        <f>+BF27/('P&amp;L'!BF8*4)</f>
        <v>0.1490160081971473</v>
      </c>
      <c r="BG94" s="180">
        <f>+BG27/('P&amp;L'!BG8*4)</f>
        <v>0.15920316308253377</v>
      </c>
      <c r="BH94" s="180">
        <f>+BH27/('P&amp;L'!BH8*4)</f>
        <v>0.16320348018267208</v>
      </c>
      <c r="BI94" s="180">
        <f>+BI27/('P&amp;L'!BI21)</f>
        <v>0.33795219758004003</v>
      </c>
      <c r="BJ94" s="94"/>
      <c r="BK94" s="180">
        <f>+BK27/('P&amp;L'!BK8*4)</f>
        <v>0.16344521026870443</v>
      </c>
      <c r="BL94" s="180">
        <f>+BL27/('P&amp;L'!BL8*4)</f>
        <v>0.15428899635886242</v>
      </c>
      <c r="BM94" s="180">
        <f>+BM27/('P&amp;L'!BM8*4)</f>
        <v>0.15675881920849696</v>
      </c>
      <c r="BN94" s="180">
        <f>+BN27/('P&amp;L'!BN8*4)</f>
        <v>0.1583357661461634</v>
      </c>
      <c r="BO94" s="180">
        <f>+BO27/('P&amp;L'!BO21)</f>
        <v>0.34957345127178591</v>
      </c>
      <c r="BP94" s="94"/>
      <c r="BQ94" s="247">
        <v>0.15</v>
      </c>
      <c r="BR94" s="247">
        <f>+BQ94</f>
        <v>0.15</v>
      </c>
      <c r="BS94" s="247">
        <f>+BR94</f>
        <v>0.15</v>
      </c>
      <c r="BT94" s="247">
        <f>+BS94</f>
        <v>0.15</v>
      </c>
      <c r="BU94" s="180">
        <f>+BU27/('P&amp;L'!BU21)</f>
        <v>0.32321175561092969</v>
      </c>
      <c r="BV94" s="94"/>
      <c r="BW94" s="247">
        <v>0.15</v>
      </c>
      <c r="BX94" s="247">
        <f>+BW94</f>
        <v>0.15</v>
      </c>
      <c r="BY94" s="247">
        <f>+BX94</f>
        <v>0.15</v>
      </c>
      <c r="BZ94" s="247">
        <f>+BY94</f>
        <v>0.15</v>
      </c>
      <c r="CA94" s="180">
        <f>+CA27/('P&amp;L'!CA21)</f>
        <v>0.3284133456033928</v>
      </c>
      <c r="CB94" s="94"/>
      <c r="CC94" s="247">
        <v>0.15</v>
      </c>
      <c r="CD94" s="247">
        <f t="shared" ref="CD94:CF94" si="149">+CC94</f>
        <v>0.15</v>
      </c>
      <c r="CE94" s="247">
        <f t="shared" si="149"/>
        <v>0.15</v>
      </c>
      <c r="CF94" s="247">
        <f t="shared" si="149"/>
        <v>0.15</v>
      </c>
      <c r="CG94" s="180">
        <f>+CG27/('P&amp;L'!CG21)</f>
        <v>0.33038547280641284</v>
      </c>
      <c r="CH94" s="42"/>
      <c r="CI94" s="42"/>
    </row>
    <row r="95" spans="1:87" ht="12.75" hidden="1" customHeight="1" outlineLevel="1" x14ac:dyDescent="0.2">
      <c r="A95" s="7"/>
      <c r="B95" s="74"/>
      <c r="C95" s="11"/>
      <c r="D95" s="11"/>
      <c r="E95" s="11"/>
      <c r="F95" s="11"/>
      <c r="G95" s="11"/>
      <c r="H95" s="74"/>
      <c r="I95" s="11"/>
      <c r="J95" s="11"/>
      <c r="K95" s="11"/>
      <c r="L95" s="11"/>
      <c r="M95" s="11"/>
      <c r="N95" s="74"/>
      <c r="O95" s="11"/>
      <c r="P95" s="11"/>
      <c r="Q95" s="11"/>
      <c r="R95" s="11"/>
      <c r="S95" s="11"/>
      <c r="T95" s="74"/>
      <c r="U95" s="11"/>
      <c r="V95" s="11"/>
      <c r="W95" s="11"/>
      <c r="X95" s="11"/>
      <c r="Y95" s="11"/>
      <c r="Z95" s="74"/>
      <c r="AB95" s="11"/>
      <c r="AC95" s="11"/>
      <c r="AD95" s="11"/>
      <c r="AE95" s="42"/>
      <c r="AF95" s="94"/>
      <c r="AH95" s="11"/>
      <c r="AI95" s="11"/>
      <c r="AK95" s="42"/>
      <c r="AL95" s="94"/>
      <c r="AO95" s="11"/>
      <c r="AQ95" s="42"/>
      <c r="AR95" s="94"/>
      <c r="AW95" s="42"/>
      <c r="AX95" s="94"/>
      <c r="BC95" s="42"/>
      <c r="BD95" s="94"/>
      <c r="BI95" s="42"/>
      <c r="BJ95" s="94"/>
      <c r="BO95" s="42"/>
      <c r="BP95" s="94"/>
      <c r="BU95" s="42"/>
      <c r="BV95" s="94"/>
      <c r="CA95" s="42"/>
      <c r="CB95" s="94"/>
      <c r="CG95" s="42"/>
      <c r="CH95" s="42"/>
      <c r="CI95" s="42"/>
    </row>
    <row r="96" spans="1:87" ht="12.75" hidden="1" customHeight="1" outlineLevel="1" x14ac:dyDescent="0.2">
      <c r="A96" s="94" t="s">
        <v>257</v>
      </c>
      <c r="B96" s="181"/>
      <c r="C96" s="181"/>
      <c r="D96" s="181"/>
      <c r="E96" s="181"/>
      <c r="F96" s="181"/>
      <c r="G96" s="181"/>
      <c r="H96" s="181"/>
      <c r="I96" s="181"/>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81"/>
      <c r="AR96" s="181"/>
      <c r="AS96" s="181"/>
      <c r="AT96" s="181"/>
      <c r="AU96" s="181"/>
      <c r="AV96" s="181"/>
      <c r="AW96" s="181"/>
      <c r="AX96" s="181"/>
      <c r="AY96" s="181"/>
      <c r="AZ96" s="181"/>
      <c r="BA96" s="181"/>
      <c r="BB96" s="181"/>
      <c r="BC96" s="181"/>
      <c r="BD96" s="181"/>
      <c r="BE96" s="181"/>
      <c r="BF96" s="181"/>
      <c r="BG96" s="181"/>
      <c r="BH96" s="181"/>
      <c r="BI96" s="181"/>
      <c r="BJ96" s="181"/>
      <c r="BK96" s="181"/>
      <c r="BL96" s="181"/>
      <c r="BM96" s="181"/>
      <c r="BN96" s="181"/>
      <c r="BO96" s="181"/>
      <c r="BP96" s="181"/>
      <c r="BQ96" s="181"/>
      <c r="BR96" s="181"/>
      <c r="BS96" s="181"/>
      <c r="BT96" s="181"/>
      <c r="BU96" s="181"/>
      <c r="BV96" s="181"/>
      <c r="BW96" s="181"/>
      <c r="BX96" s="181"/>
      <c r="BY96" s="181"/>
      <c r="BZ96" s="181"/>
      <c r="CA96" s="181"/>
      <c r="CB96" s="181"/>
      <c r="CC96" s="181"/>
      <c r="CD96" s="181"/>
      <c r="CE96" s="181"/>
      <c r="CF96" s="181"/>
      <c r="CG96" s="181"/>
      <c r="CH96" s="79"/>
      <c r="CI96" s="79"/>
    </row>
    <row r="97" spans="1:87" ht="12.75" hidden="1" customHeight="1" outlineLevel="1" x14ac:dyDescent="0.2">
      <c r="A97" s="79" t="s">
        <v>258</v>
      </c>
      <c r="B97" s="186"/>
      <c r="C97" s="238">
        <v>83.566000000000003</v>
      </c>
      <c r="D97" s="239">
        <f>C103</f>
        <v>98.988</v>
      </c>
      <c r="E97" s="239">
        <f>D103</f>
        <v>128.32999999999998</v>
      </c>
      <c r="F97" s="239">
        <f>E103</f>
        <v>150.70700000000005</v>
      </c>
      <c r="G97" s="240">
        <f>+C97</f>
        <v>83.566000000000003</v>
      </c>
      <c r="H97" s="186"/>
      <c r="I97" s="240">
        <f>G103</f>
        <v>161.154</v>
      </c>
      <c r="J97" s="241">
        <f>I103</f>
        <v>176.93300000000005</v>
      </c>
      <c r="K97" s="241">
        <f>J103</f>
        <v>159.21899999999999</v>
      </c>
      <c r="L97" s="241">
        <f>K103</f>
        <v>159.654</v>
      </c>
      <c r="M97" s="240">
        <f>G103</f>
        <v>161.154</v>
      </c>
      <c r="N97" s="186"/>
      <c r="O97" s="240">
        <f>M103</f>
        <v>218.54000000000002</v>
      </c>
      <c r="P97" s="241">
        <f>O103</f>
        <v>227.69900000000001</v>
      </c>
      <c r="Q97" s="241">
        <f>P103</f>
        <v>237.77799999999999</v>
      </c>
      <c r="R97" s="241">
        <f>Q103</f>
        <v>257.67999999999995</v>
      </c>
      <c r="S97" s="240">
        <f>M103</f>
        <v>218.54000000000002</v>
      </c>
      <c r="T97" s="186"/>
      <c r="U97" s="240">
        <f>S103</f>
        <v>273.03599999999989</v>
      </c>
      <c r="V97" s="241">
        <f>U103</f>
        <v>296.35600000000011</v>
      </c>
      <c r="W97" s="241">
        <f>V103</f>
        <v>333.95299999999997</v>
      </c>
      <c r="X97" s="241">
        <f>W103</f>
        <v>359.40199999999999</v>
      </c>
      <c r="Y97" s="240">
        <f>S103</f>
        <v>273.03599999999989</v>
      </c>
      <c r="Z97" s="186"/>
      <c r="AA97" s="240">
        <f>Y103</f>
        <v>377.74699999999996</v>
      </c>
      <c r="AB97" s="241">
        <f>AA103</f>
        <v>402.10500000000013</v>
      </c>
      <c r="AC97" s="241">
        <f>AB103</f>
        <v>429.7820000000001</v>
      </c>
      <c r="AD97" s="241">
        <f>AC103</f>
        <v>456.87599999999998</v>
      </c>
      <c r="AE97" s="240">
        <f>Y103</f>
        <v>377.74699999999996</v>
      </c>
      <c r="AF97" s="186"/>
      <c r="AG97" s="240">
        <f>AE103</f>
        <v>490.78100000000001</v>
      </c>
      <c r="AH97" s="241">
        <f>AG103</f>
        <v>523.02200000000005</v>
      </c>
      <c r="AI97" s="241">
        <f>AH103</f>
        <v>586.29500000000007</v>
      </c>
      <c r="AJ97" s="241">
        <f>AI103</f>
        <v>602.16500000000008</v>
      </c>
      <c r="AK97" s="240">
        <f>AE103</f>
        <v>490.78100000000001</v>
      </c>
      <c r="AL97" s="186"/>
      <c r="AM97" s="240">
        <f>AK103</f>
        <v>581.31700000000012</v>
      </c>
      <c r="AN97" s="240">
        <f>AM103</f>
        <v>561.11799999999994</v>
      </c>
      <c r="AO97" s="241">
        <f>AN103</f>
        <v>520.19800000000009</v>
      </c>
      <c r="AP97" s="241">
        <f>AO103</f>
        <v>575.68400000000008</v>
      </c>
      <c r="AQ97" s="240">
        <f>AK103</f>
        <v>581.31700000000012</v>
      </c>
      <c r="AR97" s="186"/>
      <c r="AS97" s="240">
        <f>AQ103</f>
        <v>633.96999999999991</v>
      </c>
      <c r="AT97" s="240">
        <f>AS103</f>
        <v>696.75300000000004</v>
      </c>
      <c r="AU97" s="241">
        <f>AT103</f>
        <v>675.79600000000005</v>
      </c>
      <c r="AV97" s="241">
        <f>AU103</f>
        <v>722.45600000000002</v>
      </c>
      <c r="AW97" s="240">
        <f>AQ103</f>
        <v>633.96999999999991</v>
      </c>
      <c r="AX97" s="186"/>
      <c r="AY97" s="240">
        <f>AW103</f>
        <v>752.77100000000019</v>
      </c>
      <c r="AZ97" s="240">
        <f>AY103</f>
        <v>793.53399999999999</v>
      </c>
      <c r="BA97" s="240">
        <f>AZ103</f>
        <v>769.80100000000004</v>
      </c>
      <c r="BB97" s="241">
        <f>BA103</f>
        <v>798.25900000000001</v>
      </c>
      <c r="BC97" s="240">
        <f>AW103</f>
        <v>752.77100000000019</v>
      </c>
      <c r="BD97" s="186"/>
      <c r="BE97" s="240">
        <f>BC103</f>
        <v>847.92599999999993</v>
      </c>
      <c r="BF97" s="241">
        <f>BE103</f>
        <v>892.03000000000009</v>
      </c>
      <c r="BG97" s="241">
        <f>BF103</f>
        <v>909.85800000000006</v>
      </c>
      <c r="BH97" s="241">
        <f>BG103</f>
        <v>972.31000000000006</v>
      </c>
      <c r="BI97" s="240">
        <f>BC103</f>
        <v>847.92599999999993</v>
      </c>
      <c r="BJ97" s="186"/>
      <c r="BK97" s="240">
        <f>BI103</f>
        <v>995.3889999999999</v>
      </c>
      <c r="BL97" s="241">
        <f>BK103</f>
        <v>1044.875</v>
      </c>
      <c r="BM97" s="241">
        <f>BL103</f>
        <v>1078.288</v>
      </c>
      <c r="BN97" s="241">
        <f>BM103</f>
        <v>1181.9580000000001</v>
      </c>
      <c r="BO97" s="240">
        <f>BI103</f>
        <v>995.3889999999999</v>
      </c>
      <c r="BP97" s="186"/>
      <c r="BQ97" s="240">
        <f>BO103</f>
        <v>1150.3699999999999</v>
      </c>
      <c r="BR97" s="241">
        <f>BQ103</f>
        <v>1197.2987870468514</v>
      </c>
      <c r="BS97" s="241">
        <f>BR103</f>
        <v>1248.0476360193372</v>
      </c>
      <c r="BT97" s="241">
        <f>BS103</f>
        <v>1298.9062053447315</v>
      </c>
      <c r="BU97" s="240">
        <f>BO103</f>
        <v>1150.3699999999999</v>
      </c>
      <c r="BV97" s="186"/>
      <c r="BW97" s="240">
        <f>BU103</f>
        <v>1365.6523938297446</v>
      </c>
      <c r="BX97" s="241">
        <f>BW103</f>
        <v>1422.7415974592523</v>
      </c>
      <c r="BY97" s="241">
        <f>BX103</f>
        <v>1502.5783456996496</v>
      </c>
      <c r="BZ97" s="241">
        <f>BY103</f>
        <v>1594.6227967363993</v>
      </c>
      <c r="CA97" s="240">
        <f>BU103</f>
        <v>1365.6523938297446</v>
      </c>
      <c r="CB97" s="186"/>
      <c r="CC97" s="240">
        <f>CA103</f>
        <v>1706.555794110385</v>
      </c>
      <c r="CD97" s="241">
        <f>CC103</f>
        <v>1802.7199798464276</v>
      </c>
      <c r="CE97" s="241">
        <f>CD103</f>
        <v>1925.5963478565147</v>
      </c>
      <c r="CF97" s="241">
        <f>CE103</f>
        <v>2066.1275685399478</v>
      </c>
      <c r="CG97" s="240">
        <f>CA103</f>
        <v>1706.555794110385</v>
      </c>
      <c r="CH97" s="79"/>
      <c r="CI97" s="79"/>
    </row>
    <row r="98" spans="1:87" ht="12.75" hidden="1" customHeight="1" outlineLevel="1" x14ac:dyDescent="0.2">
      <c r="A98" s="131" t="s">
        <v>259</v>
      </c>
      <c r="B98" s="186"/>
      <c r="C98" s="242"/>
      <c r="D98" s="184">
        <f>D35+D36-C35-C36</f>
        <v>15.656000000000006</v>
      </c>
      <c r="E98" s="184">
        <f>E35+E36-D35-D36</f>
        <v>12.543000000000006</v>
      </c>
      <c r="F98" s="184">
        <f>F35+F36-E35-E36</f>
        <v>4.6619999999999777</v>
      </c>
      <c r="G98" s="240">
        <f>SUM(C98:F98)</f>
        <v>32.86099999999999</v>
      </c>
      <c r="H98" s="186"/>
      <c r="I98" s="184">
        <f>I35+I36-G35-G36</f>
        <v>10.133000000000038</v>
      </c>
      <c r="J98" s="184">
        <f>J35+J36-I35-I36</f>
        <v>-13.550000000000011</v>
      </c>
      <c r="K98" s="184">
        <f>K35+K36-J35-J36</f>
        <v>-0.79700000000002547</v>
      </c>
      <c r="L98" s="184">
        <f>L35+L36-K35-K36</f>
        <v>-6.4319999999999595</v>
      </c>
      <c r="M98" s="240">
        <f>SUM(I98:L98)</f>
        <v>-10.645999999999958</v>
      </c>
      <c r="N98" s="186"/>
      <c r="O98" s="184">
        <f>O35+O36-M35-M36</f>
        <v>6.8599999999999568</v>
      </c>
      <c r="P98" s="184">
        <f>P35+P36-O35-O36</f>
        <v>5.1500000000000341</v>
      </c>
      <c r="Q98" s="184">
        <f>Q35+Q36-P35-P36</f>
        <v>69.629000000000019</v>
      </c>
      <c r="R98" s="184">
        <f>R35+R36-Q35-Q36</f>
        <v>3.9399999999999409</v>
      </c>
      <c r="S98" s="240">
        <f>SUM(O98:R98)</f>
        <v>85.578999999999951</v>
      </c>
      <c r="T98" s="186"/>
      <c r="U98" s="184">
        <f>U35+U36-S35-S36</f>
        <v>8.7360000000001037</v>
      </c>
      <c r="V98" s="184">
        <f>V35+V36-U35-U36</f>
        <v>5.3519999999999754</v>
      </c>
      <c r="W98" s="184">
        <f>W35+W36-V35-V36</f>
        <v>8.0679999999999836</v>
      </c>
      <c r="X98" s="184">
        <f>X35+X36-W35-W36</f>
        <v>8.6230000000000473</v>
      </c>
      <c r="Y98" s="240">
        <f>SUM(U98:X98)</f>
        <v>30.77900000000011</v>
      </c>
      <c r="Z98" s="186"/>
      <c r="AA98" s="184">
        <f>AA35+AA36-Y35-Y36</f>
        <v>8.0270000000000437</v>
      </c>
      <c r="AB98" s="184">
        <f>AB35+AB36-AA35-AA36</f>
        <v>16.395999999999958</v>
      </c>
      <c r="AC98" s="184">
        <f>AC35+AC36-AB35-AB36</f>
        <v>8.2269999999999754</v>
      </c>
      <c r="AD98" s="184">
        <f>AD35+AD36-AC35-AC36</f>
        <v>18.739000000000033</v>
      </c>
      <c r="AE98" s="240">
        <f>SUM(AA98:AD98)</f>
        <v>51.38900000000001</v>
      </c>
      <c r="AF98" s="186"/>
      <c r="AG98" s="184">
        <f>AG35+AG36-AE35-AE36</f>
        <v>12.750999999999976</v>
      </c>
      <c r="AH98" s="184">
        <f>AH35+AH36-AG35-AG36</f>
        <v>35.316000000000031</v>
      </c>
      <c r="AI98" s="184">
        <f>AI35+AI36-AH35-AH36</f>
        <v>21.298000000000002</v>
      </c>
      <c r="AJ98" s="184">
        <f>AJ35+AJ36-AI35-AI36</f>
        <v>-5.8730000000000473</v>
      </c>
      <c r="AK98" s="240">
        <f>SUM(AG98:AJ98)</f>
        <v>63.491999999999962</v>
      </c>
      <c r="AL98" s="186"/>
      <c r="AM98" s="184">
        <f>AM35+AM36-AK35-AK36</f>
        <v>23.601999999999975</v>
      </c>
      <c r="AN98" s="184">
        <f>AN35+AN36-AM35-AM36</f>
        <v>-1.2319999999999709</v>
      </c>
      <c r="AO98" s="184">
        <f>AO35+AO36-AN35-AN36</f>
        <v>20.574000000000069</v>
      </c>
      <c r="AP98" s="184">
        <f>AP35+AP36-AO35-AO36</f>
        <v>15.90199999999993</v>
      </c>
      <c r="AQ98" s="240">
        <f>SUM(AM98:AP98)</f>
        <v>58.846000000000004</v>
      </c>
      <c r="AR98" s="186"/>
      <c r="AS98" s="184">
        <f>AS35+AS36-AQ35-AQ36</f>
        <v>30.190000000000055</v>
      </c>
      <c r="AT98" s="184">
        <f>AT35+AT36-AS35-AS36</f>
        <v>-16.882000000000062</v>
      </c>
      <c r="AU98" s="184">
        <f>AU35+AU36-AT35-AT36</f>
        <v>32.637000000000057</v>
      </c>
      <c r="AV98" s="184">
        <f>AV35+AV36-AU35-AU36</f>
        <v>7.8869999999999436</v>
      </c>
      <c r="AW98" s="240">
        <f>SUM(AS98:AV98)</f>
        <v>53.831999999999994</v>
      </c>
      <c r="AX98" s="186"/>
      <c r="AY98" s="184">
        <f>AY35+AY36-AW35-AW36</f>
        <v>6.0430000000000064</v>
      </c>
      <c r="AZ98" s="184">
        <f>AZ35+AZ36-AY35-AY36</f>
        <v>-13.646999999999935</v>
      </c>
      <c r="BA98" s="184">
        <f>BA35+BA36-AZ35-AZ36</f>
        <v>34.309999999999945</v>
      </c>
      <c r="BB98" s="184">
        <f>BB35+BB36-BA35-BA36</f>
        <v>11.390999999999963</v>
      </c>
      <c r="BC98" s="240">
        <f>SUM(AY98:BB98)</f>
        <v>38.09699999999998</v>
      </c>
      <c r="BD98" s="186"/>
      <c r="BE98" s="184">
        <f>BE35+BE36-BC35-BC36</f>
        <v>2.55600000000004</v>
      </c>
      <c r="BF98" s="184">
        <f>BF35+BF36-BE35-BE36</f>
        <v>-2.2479999999999336</v>
      </c>
      <c r="BG98" s="184">
        <f>BG35+BG36-BF35-BF36</f>
        <v>32.606999999999971</v>
      </c>
      <c r="BH98" s="184">
        <f>BH35+BH36-BG35-BG36</f>
        <v>10.448999999999955</v>
      </c>
      <c r="BI98" s="240">
        <f>SUM(BE98:BH98)</f>
        <v>43.364000000000033</v>
      </c>
      <c r="BJ98" s="186"/>
      <c r="BK98" s="184">
        <f>BK35+BK36-BI35-BI36</f>
        <v>-14.778999999999996</v>
      </c>
      <c r="BL98" s="184">
        <f>BL35+BL36-BK35-BK36</f>
        <v>-4.5320000000000391</v>
      </c>
      <c r="BM98" s="184">
        <f>BM35+BM36-BL35-BL36</f>
        <v>34.485000000000014</v>
      </c>
      <c r="BN98" s="184">
        <f>BN35+BN36-BM35-BM36</f>
        <v>6.3899999999999864</v>
      </c>
      <c r="BO98" s="240">
        <f>SUM(BK98:BN98)</f>
        <v>21.563999999999965</v>
      </c>
      <c r="BP98" s="186"/>
      <c r="BQ98" s="184">
        <f>BQ35+BQ36-BO35-BO36</f>
        <v>-48.93721295314856</v>
      </c>
      <c r="BR98" s="184">
        <f>BR35+BR36-BQ35-BQ36</f>
        <v>-46.49695331980854</v>
      </c>
      <c r="BS98" s="184">
        <f>BS35+BS36-BR35-BR36</f>
        <v>-46.30146769172859</v>
      </c>
      <c r="BT98" s="184">
        <f>BT35+BT36-BS35-BS36</f>
        <v>-42.952700063089765</v>
      </c>
      <c r="BU98" s="240">
        <f>SUM(BQ98:BT98)</f>
        <v>-184.68833402777545</v>
      </c>
      <c r="BV98" s="186"/>
      <c r="BW98" s="184">
        <f>BW35+BW36-BU35-BU36</f>
        <v>-50.547494068168135</v>
      </c>
      <c r="BX98" s="184">
        <f>BX35+BX36-BW35-BW36</f>
        <v>-46.808492356748275</v>
      </c>
      <c r="BY98" s="184">
        <f>BY35+BY36-BX35-BX36</f>
        <v>-46.710283735753706</v>
      </c>
      <c r="BZ98" s="184">
        <f>BZ35+BZ36-BY35-BY36</f>
        <v>-41.968930643949761</v>
      </c>
      <c r="CA98" s="240">
        <f>SUM(BW98:BZ98)</f>
        <v>-186.03520080461988</v>
      </c>
      <c r="CB98" s="186"/>
      <c r="CC98" s="184">
        <f>CC35+CC36-CA35-CA36</f>
        <v>-57.680493381461702</v>
      </c>
      <c r="CD98" s="184">
        <f>CD35+CD36-CC35-CC36</f>
        <v>-53.145771544501883</v>
      </c>
      <c r="CE98" s="184">
        <f>CE35+CE36-CD35-CD36</f>
        <v>-52.986801701563991</v>
      </c>
      <c r="CF98" s="184">
        <f>CF35+CF36-CE35-CE36</f>
        <v>-46.659498873582663</v>
      </c>
      <c r="CG98" s="240">
        <f>SUM(CC98:CF98)</f>
        <v>-210.47256550111024</v>
      </c>
      <c r="CH98" s="79"/>
      <c r="CI98" s="79"/>
    </row>
    <row r="99" spans="1:87" ht="12.75" hidden="1" customHeight="1" outlineLevel="1" x14ac:dyDescent="0.2">
      <c r="A99" s="131" t="s">
        <v>260</v>
      </c>
      <c r="B99" s="186"/>
      <c r="C99" s="184">
        <f>+'P&amp;L'!C77</f>
        <v>6.9779999999999998</v>
      </c>
      <c r="D99" s="184">
        <f>+'P&amp;L'!D77</f>
        <v>13.617999999999993</v>
      </c>
      <c r="E99" s="184">
        <f>+'P&amp;L'!E77</f>
        <v>9.4599999999999902</v>
      </c>
      <c r="F99" s="184">
        <f>+'P&amp;L'!F77</f>
        <v>5.668000000000001</v>
      </c>
      <c r="G99" s="184">
        <f>+'P&amp;L'!G77</f>
        <v>35.72399999999999</v>
      </c>
      <c r="H99" s="186"/>
      <c r="I99" s="184">
        <f>+'P&amp;L'!I77</f>
        <v>5.3039999999999905</v>
      </c>
      <c r="J99" s="184">
        <f>+'P&amp;L'!J77</f>
        <v>4.0300000000000065</v>
      </c>
      <c r="K99" s="184">
        <f>+'P&amp;L'!K77</f>
        <v>5.1570000000000089</v>
      </c>
      <c r="L99" s="184">
        <f>+'P&amp;L'!L77</f>
        <v>65.495999999999995</v>
      </c>
      <c r="M99" s="184">
        <f>+'P&amp;L'!M77</f>
        <v>79.986999999999995</v>
      </c>
      <c r="N99" s="186"/>
      <c r="O99" s="184">
        <f>+'P&amp;L'!O77</f>
        <v>2.6359999999999881</v>
      </c>
      <c r="P99" s="184">
        <f>+'P&amp;L'!P77</f>
        <v>4.5450000000000061</v>
      </c>
      <c r="Q99" s="184">
        <f>+'P&amp;L'!Q77</f>
        <v>-49.942</v>
      </c>
      <c r="R99" s="184">
        <f>+'P&amp;L'!R77</f>
        <v>11.491999999999962</v>
      </c>
      <c r="S99" s="184">
        <f>+'P&amp;L'!S77</f>
        <v>-31.269000000000034</v>
      </c>
      <c r="T99" s="186"/>
      <c r="U99" s="184">
        <f>+'P&amp;L'!U77</f>
        <v>14.93</v>
      </c>
      <c r="V99" s="184">
        <f>+'P&amp;L'!V77</f>
        <v>32.602999999999994</v>
      </c>
      <c r="W99" s="184">
        <f>+'P&amp;L'!W77</f>
        <v>16.815000000000005</v>
      </c>
      <c r="X99" s="184">
        <f>+'P&amp;L'!X77</f>
        <v>9.9049999999999745</v>
      </c>
      <c r="Y99" s="184">
        <f>+'P&amp;L'!Y77</f>
        <v>74.252999999999957</v>
      </c>
      <c r="Z99" s="186"/>
      <c r="AA99" s="184">
        <f>+'P&amp;L'!AA77</f>
        <v>15.841000000000005</v>
      </c>
      <c r="AB99" s="184">
        <f>+'P&amp;L'!AB77</f>
        <v>11.162000000000001</v>
      </c>
      <c r="AC99" s="184">
        <f>+'P&amp;L'!AC77</f>
        <v>19.26400000000001</v>
      </c>
      <c r="AD99" s="184">
        <f>+'P&amp;L'!AD77</f>
        <v>20.449000000000002</v>
      </c>
      <c r="AE99" s="184">
        <f>+'P&amp;L'!AE77</f>
        <v>66.71599999999998</v>
      </c>
      <c r="AF99" s="186"/>
      <c r="AG99" s="184">
        <f>+'P&amp;L'!AG77</f>
        <v>20.984000000000002</v>
      </c>
      <c r="AH99" s="184">
        <f>+'P&amp;L'!AH77</f>
        <v>28.492000000000001</v>
      </c>
      <c r="AI99" s="184">
        <f>+'P&amp;L'!AI77</f>
        <v>-0.34399999999999997</v>
      </c>
      <c r="AJ99" s="184">
        <f>+'P&amp;L'!AJ77</f>
        <v>9.5589999999999993</v>
      </c>
      <c r="AK99" s="184">
        <f>+'P&amp;L'!AK77</f>
        <v>58.691000000000081</v>
      </c>
      <c r="AL99" s="186"/>
      <c r="AM99" s="184">
        <f>+'P&amp;L'!AM77</f>
        <v>-41.982999999999997</v>
      </c>
      <c r="AN99" s="184">
        <f>+'P&amp;L'!AN77</f>
        <v>29.32</v>
      </c>
      <c r="AO99" s="184">
        <f>+'P&amp;L'!AO77</f>
        <v>34.536999999999999</v>
      </c>
      <c r="AP99" s="184">
        <f>+'P&amp;L'!AP77</f>
        <v>42.421999999999997</v>
      </c>
      <c r="AQ99" s="184">
        <f>+'P&amp;L'!AQ77</f>
        <v>64.295999999999964</v>
      </c>
      <c r="AR99" s="186"/>
      <c r="AS99" s="184">
        <f>+'P&amp;L'!AS77</f>
        <v>32.444000000000003</v>
      </c>
      <c r="AT99" s="184">
        <f>+'P&amp;L'!AT77</f>
        <v>35.6</v>
      </c>
      <c r="AU99" s="184">
        <f>+'P&amp;L'!AU77</f>
        <v>38.247</v>
      </c>
      <c r="AV99" s="184">
        <f>+'P&amp;L'!AV77</f>
        <v>39.540999999999983</v>
      </c>
      <c r="AW99" s="184">
        <f>+'P&amp;L'!AW77</f>
        <v>145.83200000000002</v>
      </c>
      <c r="AX99" s="186"/>
      <c r="AY99" s="184">
        <f>+'P&amp;L'!AY77</f>
        <v>36.177</v>
      </c>
      <c r="AZ99" s="184">
        <f>+'P&amp;L'!AZ77</f>
        <v>31.35</v>
      </c>
      <c r="BA99" s="184">
        <f>+'P&amp;L'!BA77</f>
        <v>27.616</v>
      </c>
      <c r="BB99" s="184">
        <f>+'P&amp;L'!BB77</f>
        <v>48.877000000000002</v>
      </c>
      <c r="BC99" s="184">
        <f>+'P&amp;L'!BC77</f>
        <v>144.02000000000001</v>
      </c>
      <c r="BD99" s="186"/>
      <c r="BE99" s="184">
        <f>+'P&amp;L'!BE77</f>
        <v>40.545999999999999</v>
      </c>
      <c r="BF99" s="184">
        <f>+'P&amp;L'!BF77</f>
        <v>50.148000000000003</v>
      </c>
      <c r="BG99" s="184">
        <f>+'P&amp;L'!BG77</f>
        <v>51.366999999999997</v>
      </c>
      <c r="BH99" s="184">
        <f>+'P&amp;L'!BH77</f>
        <v>47.621000000000002</v>
      </c>
      <c r="BI99" s="184">
        <f>+'P&amp;L'!BI77</f>
        <v>189.68200000000002</v>
      </c>
      <c r="BJ99" s="186"/>
      <c r="BK99" s="184">
        <f>+'P&amp;L'!BK77</f>
        <v>69.42</v>
      </c>
      <c r="BL99" s="184">
        <f>+'P&amp;L'!BL77</f>
        <v>69.179000000000002</v>
      </c>
      <c r="BM99" s="184">
        <f>+'P&amp;L'!BM77</f>
        <v>82.555000000000007</v>
      </c>
      <c r="BN99" s="184">
        <f>+'P&amp;L'!BN77</f>
        <v>10.263999999999999</v>
      </c>
      <c r="BO99" s="184">
        <f>+'P&amp;L'!BO77</f>
        <v>231.41800000000009</v>
      </c>
      <c r="BP99" s="186"/>
      <c r="BQ99" s="184">
        <f>+'P&amp;L'!BQ77</f>
        <v>95.866</v>
      </c>
      <c r="BR99" s="184">
        <f>+'P&amp;L'!BR77</f>
        <v>97.245802292294272</v>
      </c>
      <c r="BS99" s="184">
        <f>+'P&amp;L'!BS77</f>
        <v>97.160037017123003</v>
      </c>
      <c r="BT99" s="184">
        <f>+'P&amp;L'!BT77</f>
        <v>109.69888854810318</v>
      </c>
      <c r="BU99" s="184">
        <f>+'P&amp;L'!BU77</f>
        <v>399.97072785752022</v>
      </c>
      <c r="BV99" s="186"/>
      <c r="BW99" s="184">
        <f>+'P&amp;L'!BW77</f>
        <v>107.63669769767534</v>
      </c>
      <c r="BX99" s="184">
        <f>+'P&amp;L'!BX77</f>
        <v>126.64524059714589</v>
      </c>
      <c r="BY99" s="184">
        <f>+'P&amp;L'!BY77</f>
        <v>138.7547347725033</v>
      </c>
      <c r="BZ99" s="184">
        <f>+'P&amp;L'!BZ77</f>
        <v>153.90192801793552</v>
      </c>
      <c r="CA99" s="184">
        <f>+'P&amp;L'!CA77</f>
        <v>526.93860108526019</v>
      </c>
      <c r="CB99" s="186"/>
      <c r="CC99" s="184">
        <f>+'P&amp;L'!CC77</f>
        <v>153.84467911750437</v>
      </c>
      <c r="CD99" s="184">
        <f>+'P&amp;L'!CD77</f>
        <v>176.02213955458916</v>
      </c>
      <c r="CE99" s="184">
        <f>+'P&amp;L'!CE77</f>
        <v>193.51802238499693</v>
      </c>
      <c r="CF99" s="184">
        <f>+'P&amp;L'!CF77</f>
        <v>212.29683881279286</v>
      </c>
      <c r="CG99" s="184">
        <f>+'P&amp;L'!CG77</f>
        <v>735.68167986988374</v>
      </c>
      <c r="CH99" s="79"/>
      <c r="CI99" s="79"/>
    </row>
    <row r="100" spans="1:87" ht="12.75" hidden="1" customHeight="1" outlineLevel="1" x14ac:dyDescent="0.2">
      <c r="A100" s="304" t="s">
        <v>261</v>
      </c>
      <c r="B100" s="185"/>
      <c r="C100" s="184">
        <f>+'Cash Flow'!B39</f>
        <v>0</v>
      </c>
      <c r="D100" s="184">
        <f>+'Cash Flow'!C39</f>
        <v>0</v>
      </c>
      <c r="E100" s="184">
        <f>+'Cash Flow'!D39</f>
        <v>0</v>
      </c>
      <c r="F100" s="184">
        <f>+'Cash Flow'!E39</f>
        <v>0</v>
      </c>
      <c r="G100" s="240">
        <f>SUM(C100:F100)</f>
        <v>0</v>
      </c>
      <c r="H100" s="185"/>
      <c r="I100" s="184">
        <f>+'Cash Flow'!H39</f>
        <v>0</v>
      </c>
      <c r="J100" s="184">
        <f>+'Cash Flow'!I39</f>
        <v>0</v>
      </c>
      <c r="K100" s="184">
        <f>+'Cash Flow'!J39</f>
        <v>0</v>
      </c>
      <c r="L100" s="184">
        <f>+'Cash Flow'!K39</f>
        <v>0</v>
      </c>
      <c r="M100" s="240">
        <f>SUM(I100:L100)</f>
        <v>0</v>
      </c>
      <c r="N100" s="186"/>
      <c r="O100" s="184">
        <f>+'Cash Flow'!N39</f>
        <v>0</v>
      </c>
      <c r="P100" s="184">
        <f>+'Cash Flow'!O39</f>
        <v>0</v>
      </c>
      <c r="Q100" s="184">
        <f>+'Cash Flow'!P39</f>
        <v>0</v>
      </c>
      <c r="R100" s="184">
        <f>+'Cash Flow'!Q39</f>
        <v>0</v>
      </c>
      <c r="S100" s="240">
        <f>SUM(O100:R100)</f>
        <v>0</v>
      </c>
      <c r="T100" s="186"/>
      <c r="U100" s="184">
        <f>+'Cash Flow'!T39</f>
        <v>0</v>
      </c>
      <c r="V100" s="184">
        <f>+'Cash Flow'!U39</f>
        <v>0</v>
      </c>
      <c r="W100" s="184">
        <f>+'Cash Flow'!V39</f>
        <v>0</v>
      </c>
      <c r="X100" s="184">
        <f>+'Cash Flow'!W39</f>
        <v>0</v>
      </c>
      <c r="Y100" s="240">
        <f>SUM(U100:X100)</f>
        <v>0</v>
      </c>
      <c r="Z100" s="186"/>
      <c r="AA100" s="184">
        <f>+'Cash Flow'!Z39</f>
        <v>0</v>
      </c>
      <c r="AB100" s="184">
        <f>+'Cash Flow'!AA39</f>
        <v>0</v>
      </c>
      <c r="AC100" s="184">
        <f>+'Cash Flow'!AB39</f>
        <v>0</v>
      </c>
      <c r="AD100" s="184">
        <f>+'Cash Flow'!AC39</f>
        <v>0</v>
      </c>
      <c r="AE100" s="240">
        <f>SUM(AA100:AD100)</f>
        <v>0</v>
      </c>
      <c r="AF100" s="186"/>
      <c r="AG100" s="184">
        <f>+'Cash Flow'!AF39</f>
        <v>0</v>
      </c>
      <c r="AH100" s="184">
        <f>+'Cash Flow'!AG39</f>
        <v>0</v>
      </c>
      <c r="AI100" s="184">
        <f>+'Cash Flow'!AH39</f>
        <v>0</v>
      </c>
      <c r="AJ100" s="184">
        <f>+'Cash Flow'!AI39</f>
        <v>0</v>
      </c>
      <c r="AK100" s="240">
        <f>SUM(AG100:AJ100)</f>
        <v>0</v>
      </c>
      <c r="AL100" s="186"/>
      <c r="AM100" s="184">
        <f>+'Cash Flow'!AL39</f>
        <v>0</v>
      </c>
      <c r="AN100" s="184">
        <f>+'Cash Flow'!AM39</f>
        <v>0</v>
      </c>
      <c r="AO100" s="184">
        <f>+'Cash Flow'!AN39</f>
        <v>0</v>
      </c>
      <c r="AP100" s="184">
        <f>+'Cash Flow'!AO39</f>
        <v>0</v>
      </c>
      <c r="AQ100" s="240">
        <f>SUM(AM100:AP100)</f>
        <v>0</v>
      </c>
      <c r="AR100" s="186"/>
      <c r="AS100" s="184">
        <f>+'Cash Flow'!AR39</f>
        <v>0</v>
      </c>
      <c r="AT100" s="184">
        <f>+'Cash Flow'!AS39</f>
        <v>0</v>
      </c>
      <c r="AU100" s="184">
        <f>+'Cash Flow'!AT39</f>
        <v>0</v>
      </c>
      <c r="AV100" s="184">
        <f>+'Cash Flow'!AU39</f>
        <v>0</v>
      </c>
      <c r="AW100" s="240">
        <f>SUM(AS100:AV100)</f>
        <v>0</v>
      </c>
      <c r="AX100" s="186"/>
      <c r="AY100" s="184">
        <f>+'Cash Flow'!AX39</f>
        <v>0</v>
      </c>
      <c r="AZ100" s="184">
        <f>+'Cash Flow'!AY39</f>
        <v>0</v>
      </c>
      <c r="BA100" s="184">
        <f>+'Cash Flow'!AZ39</f>
        <v>0</v>
      </c>
      <c r="BB100" s="184">
        <f>+'Cash Flow'!BA39</f>
        <v>0</v>
      </c>
      <c r="BC100" s="240">
        <f>SUM(AY100:BB100)</f>
        <v>0</v>
      </c>
      <c r="BD100" s="186"/>
      <c r="BE100" s="184">
        <f>+'Cash Flow'!BD39</f>
        <v>0</v>
      </c>
      <c r="BF100" s="184">
        <f>+'Cash Flow'!BE39</f>
        <v>0</v>
      </c>
      <c r="BG100" s="184">
        <f>+'Cash Flow'!BF39</f>
        <v>0</v>
      </c>
      <c r="BH100" s="184">
        <f>+'Cash Flow'!BG39</f>
        <v>0</v>
      </c>
      <c r="BI100" s="240">
        <f>SUM(BE100:BH100)</f>
        <v>0</v>
      </c>
      <c r="BJ100" s="186"/>
      <c r="BK100" s="184">
        <f>+'Cash Flow'!BJ39</f>
        <v>0</v>
      </c>
      <c r="BL100" s="184">
        <f>+'Cash Flow'!BK39</f>
        <v>0</v>
      </c>
      <c r="BM100" s="184">
        <f>+'Cash Flow'!BL39</f>
        <v>0</v>
      </c>
      <c r="BN100" s="184">
        <f>+'Cash Flow'!BM39</f>
        <v>0</v>
      </c>
      <c r="BO100" s="240">
        <f>SUM(BK100:BN100)</f>
        <v>0</v>
      </c>
      <c r="BP100" s="186"/>
      <c r="BQ100" s="184">
        <f>+'Cash Flow'!BP39</f>
        <v>0</v>
      </c>
      <c r="BR100" s="184">
        <f>+'Cash Flow'!BQ39</f>
        <v>0</v>
      </c>
      <c r="BS100" s="184">
        <f>+'Cash Flow'!BR39</f>
        <v>0</v>
      </c>
      <c r="BT100" s="184">
        <f>+'Cash Flow'!BS39</f>
        <v>0</v>
      </c>
      <c r="BU100" s="240">
        <f>SUM(BQ100:BT100)</f>
        <v>0</v>
      </c>
      <c r="BV100" s="186"/>
      <c r="BW100" s="184">
        <f>+'Cash Flow'!BV39</f>
        <v>0</v>
      </c>
      <c r="BX100" s="184">
        <f>+'Cash Flow'!BW39</f>
        <v>0</v>
      </c>
      <c r="BY100" s="184">
        <f>+'Cash Flow'!BX39</f>
        <v>0</v>
      </c>
      <c r="BZ100" s="184">
        <f>+'Cash Flow'!BY39</f>
        <v>0</v>
      </c>
      <c r="CA100" s="240">
        <f>SUM(BW100:BZ100)</f>
        <v>0</v>
      </c>
      <c r="CB100" s="186"/>
      <c r="CC100" s="184">
        <f>+'Cash Flow'!CB39</f>
        <v>0</v>
      </c>
      <c r="CD100" s="184">
        <f>+'Cash Flow'!CC39</f>
        <v>0</v>
      </c>
      <c r="CE100" s="184">
        <f>+'Cash Flow'!CD39</f>
        <v>0</v>
      </c>
      <c r="CF100" s="184">
        <f>+'Cash Flow'!CE39</f>
        <v>0</v>
      </c>
      <c r="CG100" s="240">
        <f>SUM(CC100:CF100)</f>
        <v>0</v>
      </c>
      <c r="CH100" s="130"/>
      <c r="CI100" s="79"/>
    </row>
    <row r="101" spans="1:87" ht="12.75" hidden="1" customHeight="1" outlineLevel="1" x14ac:dyDescent="0.2">
      <c r="A101" s="131" t="s">
        <v>226</v>
      </c>
      <c r="B101" s="186"/>
      <c r="C101" s="184"/>
      <c r="D101" s="184">
        <f>+D37-C37</f>
        <v>6.8000000000000005E-2</v>
      </c>
      <c r="E101" s="184">
        <f>+E37-D37</f>
        <v>0.374</v>
      </c>
      <c r="F101" s="184">
        <f>+F37-E37</f>
        <v>0.11699999999999999</v>
      </c>
      <c r="G101" s="184">
        <f>+G38-F38</f>
        <v>0</v>
      </c>
      <c r="H101" s="186"/>
      <c r="I101" s="184">
        <f>+I37-G37</f>
        <v>0.34199999999999997</v>
      </c>
      <c r="J101" s="184">
        <f>+J37-I37</f>
        <v>-7.999999999999996E-2</v>
      </c>
      <c r="K101" s="184">
        <f>+K37-J37</f>
        <v>-0.47200000000000003</v>
      </c>
      <c r="L101" s="184">
        <f>+L37-K37</f>
        <v>-0.17799999999999999</v>
      </c>
      <c r="M101" s="240">
        <f>SUM(I101:L101)</f>
        <v>-0.38800000000000001</v>
      </c>
      <c r="N101" s="186"/>
      <c r="O101" s="184">
        <f>+O37-M37</f>
        <v>-0.33700000000000002</v>
      </c>
      <c r="P101" s="184">
        <f>+P37-O37</f>
        <v>0.38400000000000001</v>
      </c>
      <c r="Q101" s="184">
        <f>+Q37-P37</f>
        <v>0.21500000000000002</v>
      </c>
      <c r="R101" s="184">
        <f>+R37-Q37</f>
        <v>-7.6000000000000012E-2</v>
      </c>
      <c r="S101" s="240">
        <f>SUM(O101:R101)</f>
        <v>0.186</v>
      </c>
      <c r="T101" s="186"/>
      <c r="U101" s="184">
        <f>+U37-S37</f>
        <v>-0.34600000000000003</v>
      </c>
      <c r="V101" s="184">
        <f>+V37-U37</f>
        <v>-0.35799999999999998</v>
      </c>
      <c r="W101" s="184">
        <f>+W37-V37</f>
        <v>0.56600000000000006</v>
      </c>
      <c r="X101" s="184">
        <f>+X37-W37</f>
        <v>-0.183</v>
      </c>
      <c r="Y101" s="240">
        <f>SUM(U101:X101)</f>
        <v>-0.3209999999999999</v>
      </c>
      <c r="Z101" s="186"/>
      <c r="AA101" s="184">
        <f>+AA37-Y37</f>
        <v>0.49</v>
      </c>
      <c r="AB101" s="184">
        <f>+AB37-AA37</f>
        <v>0.11899999999999999</v>
      </c>
      <c r="AC101" s="184">
        <f>+AC37-AB37</f>
        <v>-0.39700000000000002</v>
      </c>
      <c r="AD101" s="184">
        <f>+AD37-AC37</f>
        <v>-0.3</v>
      </c>
      <c r="AE101" s="240">
        <f>SUM(AA101:AD101)</f>
        <v>-8.8000000000000023E-2</v>
      </c>
      <c r="AF101" s="186"/>
      <c r="AG101" s="184">
        <f>+AG37-AE37</f>
        <v>0.14700000000000002</v>
      </c>
      <c r="AH101" s="184">
        <f>+AH37-AG37</f>
        <v>-0.53300000000000003</v>
      </c>
      <c r="AI101" s="184">
        <f>+AI37-AH37</f>
        <v>0.32100000000000001</v>
      </c>
      <c r="AJ101" s="184">
        <f>+AJ37-AI37</f>
        <v>0.222</v>
      </c>
      <c r="AK101" s="240">
        <f>SUM(AG101:AJ101)</f>
        <v>0.157</v>
      </c>
      <c r="AL101" s="186"/>
      <c r="AM101" s="184">
        <f>+AM37-AK37</f>
        <v>-5.2000000000000018E-2</v>
      </c>
      <c r="AN101" s="184">
        <f>+AN37-AM37</f>
        <v>-0.19500000000000001</v>
      </c>
      <c r="AO101" s="184">
        <f>+AO37-AN37</f>
        <v>0.376</v>
      </c>
      <c r="AP101" s="184">
        <f>+AP37-AO37</f>
        <v>-3.8000000000000034E-2</v>
      </c>
      <c r="AQ101" s="240">
        <f>SUM(AM101:AP101)</f>
        <v>9.0999999999999942E-2</v>
      </c>
      <c r="AR101" s="186"/>
      <c r="AS101" s="184">
        <f>+AS37-AQ37</f>
        <v>0.14800000000000002</v>
      </c>
      <c r="AT101" s="184">
        <f>+AT37-AS37</f>
        <v>6.6000000000000003E-2</v>
      </c>
      <c r="AU101" s="184">
        <f>+AU37-AT37</f>
        <v>-0.44800000000000001</v>
      </c>
      <c r="AV101" s="184">
        <f>+AV37-AU37</f>
        <v>-0.2</v>
      </c>
      <c r="AW101" s="240">
        <f>SUM(AS101:AV101)</f>
        <v>-0.434</v>
      </c>
      <c r="AX101" s="186"/>
      <c r="AY101" s="184">
        <f>+AY37-AW37</f>
        <v>3.4000000000000016E-2</v>
      </c>
      <c r="AZ101" s="184">
        <f>+AZ37-AY37</f>
        <v>-8.1000000000000003E-2</v>
      </c>
      <c r="BA101" s="184">
        <f>+BA37-AZ37</f>
        <v>0.21199999999999999</v>
      </c>
      <c r="BB101" s="184">
        <f>+BB37-BA37</f>
        <v>-1.0049999999999999</v>
      </c>
      <c r="BC101" s="240">
        <f>SUM(AY101:BB101)</f>
        <v>-0.83999999999999986</v>
      </c>
      <c r="BD101" s="186"/>
      <c r="BE101" s="184">
        <f>+BE37-BC37</f>
        <v>1.002</v>
      </c>
      <c r="BF101" s="184">
        <f>+BF37-BE37</f>
        <v>0.40599999999999997</v>
      </c>
      <c r="BG101" s="184">
        <f>+BG37-BF37</f>
        <v>-0.51300000000000001</v>
      </c>
      <c r="BH101" s="184">
        <f>+BH37-BG37</f>
        <v>-0.85299999999999998</v>
      </c>
      <c r="BI101" s="240">
        <f>SUM(BE101:BH101)</f>
        <v>4.1999999999999926E-2</v>
      </c>
      <c r="BJ101" s="186"/>
      <c r="BK101" s="184">
        <f>+BK37-BI37</f>
        <v>-0.44399999999999995</v>
      </c>
      <c r="BL101" s="184">
        <f>+BL37-BK37</f>
        <v>1.226</v>
      </c>
      <c r="BM101" s="184">
        <f>+BM37-BL37</f>
        <v>0.94400000000000006</v>
      </c>
      <c r="BN101" s="184">
        <f>+BN37-BM37</f>
        <v>-0.21700000000000008</v>
      </c>
      <c r="BO101" s="240">
        <f>SUM(BK101:BN101)</f>
        <v>1.5089999999999999</v>
      </c>
      <c r="BP101" s="186"/>
      <c r="BQ101" s="184">
        <f>+BQ37-BO37</f>
        <v>0</v>
      </c>
      <c r="BR101" s="184">
        <f>+BR37-BQ37</f>
        <v>0</v>
      </c>
      <c r="BS101" s="184">
        <f>+BS37-BR37</f>
        <v>0</v>
      </c>
      <c r="BT101" s="184">
        <f>+BT37-BS37</f>
        <v>0</v>
      </c>
      <c r="BU101" s="240">
        <f>SUM(BQ101:BT101)</f>
        <v>0</v>
      </c>
      <c r="BV101" s="186"/>
      <c r="BW101" s="184">
        <f>+BW37-BU37</f>
        <v>0</v>
      </c>
      <c r="BX101" s="184">
        <f>+BX37-BW37</f>
        <v>0</v>
      </c>
      <c r="BY101" s="184">
        <f>+BY37-BX37</f>
        <v>0</v>
      </c>
      <c r="BZ101" s="184">
        <f>+BZ37-BY37</f>
        <v>0</v>
      </c>
      <c r="CA101" s="240">
        <f>SUM(BW101:BZ101)</f>
        <v>0</v>
      </c>
      <c r="CB101" s="186"/>
      <c r="CC101" s="184">
        <f>+CC37-CA37</f>
        <v>0</v>
      </c>
      <c r="CD101" s="184">
        <f>+CD37-CC37</f>
        <v>0</v>
      </c>
      <c r="CE101" s="184">
        <f>+CE37-CD37</f>
        <v>0</v>
      </c>
      <c r="CF101" s="184">
        <f>+CF37-CE37</f>
        <v>0</v>
      </c>
      <c r="CG101" s="240">
        <f>SUM(CC101:CF101)</f>
        <v>0</v>
      </c>
      <c r="CH101" s="79"/>
      <c r="CI101" s="79"/>
    </row>
    <row r="102" spans="1:87" ht="12.75" hidden="1" customHeight="1" outlineLevel="1" x14ac:dyDescent="0.2">
      <c r="A102" s="305" t="s">
        <v>262</v>
      </c>
      <c r="B102" s="186"/>
      <c r="C102" s="243"/>
      <c r="D102" s="243">
        <f>+D103-SUM(D97:D101)</f>
        <v>0</v>
      </c>
      <c r="E102" s="243">
        <f>+E103-SUM(E97:E101)</f>
        <v>0</v>
      </c>
      <c r="F102" s="243">
        <f>+F103-SUM(F97:F101)</f>
        <v>0</v>
      </c>
      <c r="G102" s="244">
        <f>+G103-SUM(G97:G101)</f>
        <v>9.0030000000000143</v>
      </c>
      <c r="H102" s="186"/>
      <c r="I102" s="243">
        <f>+I103-SUM(I97:I101)</f>
        <v>0</v>
      </c>
      <c r="J102" s="243">
        <f>+J103-SUM(J97:J101)</f>
        <v>-8.1140000000000327</v>
      </c>
      <c r="K102" s="243">
        <f>+K103-SUM(K97:K101)</f>
        <v>-3.4529999999999745</v>
      </c>
      <c r="L102" s="243">
        <f>+L103-SUM(L97:L101)</f>
        <v>0</v>
      </c>
      <c r="M102" s="244">
        <f>SUM(I102:L102)</f>
        <v>-11.567000000000007</v>
      </c>
      <c r="N102" s="186"/>
      <c r="O102" s="243">
        <f>+O103-SUM(O97:O101)</f>
        <v>0</v>
      </c>
      <c r="P102" s="243">
        <f>+P103-SUM(P97:P101)</f>
        <v>0</v>
      </c>
      <c r="Q102" s="243">
        <f>+Q103-SUM(Q97:Q101)</f>
        <v>0</v>
      </c>
      <c r="R102" s="243">
        <f>+R103-SUM(R97:R101)</f>
        <v>0</v>
      </c>
      <c r="S102" s="244">
        <f>SUM(O102:R102)</f>
        <v>0</v>
      </c>
      <c r="T102" s="186"/>
      <c r="U102" s="243">
        <f>+U103-SUM(U97:U101)</f>
        <v>0</v>
      </c>
      <c r="V102" s="243">
        <f>+V103-SUM(V97:V101)</f>
        <v>0</v>
      </c>
      <c r="W102" s="243">
        <f>+W103-SUM(W97:W101)</f>
        <v>0</v>
      </c>
      <c r="X102" s="243">
        <f>+X103-SUM(X97:X101)</f>
        <v>0</v>
      </c>
      <c r="Y102" s="244">
        <f>SUM(U102:X102)</f>
        <v>0</v>
      </c>
      <c r="Z102" s="186"/>
      <c r="AA102" s="243">
        <f>+AA103-SUM(AA97:AA101)</f>
        <v>0</v>
      </c>
      <c r="AB102" s="243">
        <f>+AB103-SUM(AB97:AB101)</f>
        <v>0</v>
      </c>
      <c r="AC102" s="243">
        <f>+AC103-SUM(AC97:AC101)</f>
        <v>0</v>
      </c>
      <c r="AD102" s="243">
        <f>+AD103-SUM(AD97:AD101)</f>
        <v>-4.9829999999999472</v>
      </c>
      <c r="AE102" s="244">
        <f>SUM(AA102:AD102)</f>
        <v>-4.9829999999999472</v>
      </c>
      <c r="AF102" s="186"/>
      <c r="AG102" s="243">
        <f>+AG103-SUM(AG97:AG101)</f>
        <v>-1.6409999999999627</v>
      </c>
      <c r="AH102" s="243">
        <f>+AH103-SUM(AH97:AH101)</f>
        <v>-1.9999999999527063E-3</v>
      </c>
      <c r="AI102" s="243">
        <f>+AI103-SUM(AI97:AI101)</f>
        <v>-5.4049999999999727</v>
      </c>
      <c r="AJ102" s="243">
        <f>+AJ103-SUM(AJ97:AJ101)</f>
        <v>-24.755999999999972</v>
      </c>
      <c r="AK102" s="244">
        <f>SUM(AG102:AJ102)</f>
        <v>-31.80399999999986</v>
      </c>
      <c r="AL102" s="186"/>
      <c r="AM102" s="243">
        <f>+AM103-SUM(AM97:AM101)</f>
        <v>-1.7660000000001901</v>
      </c>
      <c r="AN102" s="243">
        <f>+AN103-SUM(AN97:AN101)</f>
        <v>-68.812999999999874</v>
      </c>
      <c r="AO102" s="243">
        <f>+AO103-SUM(AO97:AO101)</f>
        <v>-1.00000000009004E-3</v>
      </c>
      <c r="AP102" s="243">
        <f>+AP103-SUM(AP97:AP101)</f>
        <v>0</v>
      </c>
      <c r="AQ102" s="244">
        <f>SUM(AM102:AP102)</f>
        <v>-70.580000000000155</v>
      </c>
      <c r="AR102" s="186"/>
      <c r="AS102" s="243">
        <f>+AS103-SUM(AS97:AS101)</f>
        <v>1.00000000009004E-3</v>
      </c>
      <c r="AT102" s="243">
        <f>+AT103-SUM(AT97:AT101)</f>
        <v>-39.740999999999985</v>
      </c>
      <c r="AU102" s="243">
        <f>+AU103-SUM(AU97:AU101)</f>
        <v>-23.776000000000067</v>
      </c>
      <c r="AV102" s="243">
        <f>+AV103-SUM(AV97:AV101)</f>
        <v>-16.912999999999784</v>
      </c>
      <c r="AW102" s="244">
        <f>SUM(AS102:AV102)</f>
        <v>-80.428999999999746</v>
      </c>
      <c r="AX102" s="186"/>
      <c r="AY102" s="243">
        <f>+AY103-SUM(AY97:AY101)</f>
        <v>-1.4910000000002128</v>
      </c>
      <c r="AZ102" s="243">
        <f>+AZ103-SUM(AZ97:AZ101)</f>
        <v>-41.355000000000018</v>
      </c>
      <c r="BA102" s="243">
        <f>+BA103-SUM(BA97:BA101)</f>
        <v>-33.67999999999995</v>
      </c>
      <c r="BB102" s="243">
        <f>+BB103-SUM(BB97:BB101)</f>
        <v>-9.5960000000000036</v>
      </c>
      <c r="BC102" s="244">
        <f>SUM(AY102:BB102)</f>
        <v>-86.122000000000185</v>
      </c>
      <c r="BD102" s="186"/>
      <c r="BE102" s="243">
        <f>+BE103-SUM(BE97:BE101)</f>
        <v>0</v>
      </c>
      <c r="BF102" s="243">
        <f>+BF103-SUM(BF97:BF101)</f>
        <v>-30.478000000000065</v>
      </c>
      <c r="BG102" s="243">
        <f>+BG103-SUM(BG97:BG101)</f>
        <v>-21.008999999999901</v>
      </c>
      <c r="BH102" s="243">
        <f>+BH103-SUM(BH97:BH101)</f>
        <v>-34.138000000000034</v>
      </c>
      <c r="BI102" s="244">
        <f>SUM(BE102:BH102)</f>
        <v>-85.625</v>
      </c>
      <c r="BJ102" s="186"/>
      <c r="BK102" s="243">
        <f>+BK103-SUM(BK97:BK101)</f>
        <v>-4.7110000000000127</v>
      </c>
      <c r="BL102" s="243">
        <f>+BL103-SUM(BL97:BL101)</f>
        <v>-32.460000000000036</v>
      </c>
      <c r="BM102" s="243">
        <f>+BM103-SUM(BM97:BM101)</f>
        <v>-14.314000000000078</v>
      </c>
      <c r="BN102" s="243">
        <f>+BN103-SUM(BN97:BN101)</f>
        <v>-48.024999999999864</v>
      </c>
      <c r="BO102" s="244">
        <f>SUM(BK102:BN102)</f>
        <v>-99.509999999999991</v>
      </c>
      <c r="BP102" s="186"/>
      <c r="BQ102" s="245">
        <v>0</v>
      </c>
      <c r="BR102" s="245">
        <v>0</v>
      </c>
      <c r="BS102" s="245">
        <v>0</v>
      </c>
      <c r="BT102" s="245">
        <v>0</v>
      </c>
      <c r="BU102" s="244">
        <f>SUM(BQ102:BT102)</f>
        <v>0</v>
      </c>
      <c r="BV102" s="186"/>
      <c r="BW102" s="245">
        <v>0</v>
      </c>
      <c r="BX102" s="245">
        <v>0</v>
      </c>
      <c r="BY102" s="245">
        <v>0</v>
      </c>
      <c r="BZ102" s="245">
        <v>0</v>
      </c>
      <c r="CA102" s="244">
        <f>SUM(BW102:BZ102)</f>
        <v>0</v>
      </c>
      <c r="CB102" s="186"/>
      <c r="CC102" s="245">
        <v>0</v>
      </c>
      <c r="CD102" s="245">
        <v>0</v>
      </c>
      <c r="CE102" s="245">
        <v>0</v>
      </c>
      <c r="CF102" s="245">
        <v>0</v>
      </c>
      <c r="CG102" s="244">
        <f>SUM(CC102:CF102)</f>
        <v>0</v>
      </c>
      <c r="CH102" s="79"/>
      <c r="CI102" s="79"/>
    </row>
    <row r="103" spans="1:87" ht="12.75" hidden="1" customHeight="1" outlineLevel="1" x14ac:dyDescent="0.2">
      <c r="A103" s="306" t="s">
        <v>264</v>
      </c>
      <c r="B103" s="184"/>
      <c r="C103" s="184">
        <f>C39</f>
        <v>98.988</v>
      </c>
      <c r="D103" s="184">
        <f>D39</f>
        <v>128.32999999999998</v>
      </c>
      <c r="E103" s="184">
        <f>E39</f>
        <v>150.70700000000005</v>
      </c>
      <c r="F103" s="184">
        <f>F39</f>
        <v>161.154</v>
      </c>
      <c r="G103" s="184">
        <f>G39</f>
        <v>161.154</v>
      </c>
      <c r="H103" s="184"/>
      <c r="I103" s="184">
        <f>I39</f>
        <v>176.93300000000005</v>
      </c>
      <c r="J103" s="184">
        <f>J39</f>
        <v>159.21899999999999</v>
      </c>
      <c r="K103" s="184">
        <f>K39</f>
        <v>159.654</v>
      </c>
      <c r="L103" s="184">
        <f>L39</f>
        <v>218.54000000000005</v>
      </c>
      <c r="M103" s="240">
        <f>+SUM(M97:M102)</f>
        <v>218.54000000000002</v>
      </c>
      <c r="N103" s="186"/>
      <c r="O103" s="184">
        <f>O39</f>
        <v>227.69900000000001</v>
      </c>
      <c r="P103" s="184">
        <f>P39</f>
        <v>237.77799999999999</v>
      </c>
      <c r="Q103" s="184">
        <f>Q39</f>
        <v>257.67999999999995</v>
      </c>
      <c r="R103" s="184">
        <f>R39</f>
        <v>273.03599999999994</v>
      </c>
      <c r="S103" s="240">
        <f>+SUM(S97:S102)</f>
        <v>273.03599999999989</v>
      </c>
      <c r="T103" s="186"/>
      <c r="U103" s="184">
        <f>U39</f>
        <v>296.35600000000011</v>
      </c>
      <c r="V103" s="184">
        <f>V39</f>
        <v>333.95299999999997</v>
      </c>
      <c r="W103" s="184">
        <f>W39</f>
        <v>359.40199999999999</v>
      </c>
      <c r="X103" s="184">
        <f>X39</f>
        <v>377.74700000000007</v>
      </c>
      <c r="Y103" s="240">
        <f>+SUM(Y97:Y102)</f>
        <v>377.74699999999996</v>
      </c>
      <c r="Z103" s="186"/>
      <c r="AA103" s="184">
        <f>AA39</f>
        <v>402.10500000000013</v>
      </c>
      <c r="AB103" s="184">
        <f>AB39</f>
        <v>429.7820000000001</v>
      </c>
      <c r="AC103" s="184">
        <f>AC39</f>
        <v>456.87599999999998</v>
      </c>
      <c r="AD103" s="184">
        <f>AD39</f>
        <v>490.78100000000006</v>
      </c>
      <c r="AE103" s="240">
        <f>+SUM(AE97:AE102)</f>
        <v>490.78100000000001</v>
      </c>
      <c r="AF103" s="186"/>
      <c r="AG103" s="184">
        <f>AG39</f>
        <v>523.02200000000005</v>
      </c>
      <c r="AH103" s="184">
        <f>AH39</f>
        <v>586.29500000000007</v>
      </c>
      <c r="AI103" s="184">
        <f>AI39</f>
        <v>602.16500000000008</v>
      </c>
      <c r="AJ103" s="184">
        <f>AJ39</f>
        <v>581.31700000000001</v>
      </c>
      <c r="AK103" s="240">
        <f>+SUM(AK97:AK102)</f>
        <v>581.31700000000012</v>
      </c>
      <c r="AL103" s="186"/>
      <c r="AM103" s="184">
        <f>AM39</f>
        <v>561.11799999999994</v>
      </c>
      <c r="AN103" s="184">
        <f>AN39</f>
        <v>520.19800000000009</v>
      </c>
      <c r="AO103" s="184">
        <f>AO39</f>
        <v>575.68400000000008</v>
      </c>
      <c r="AP103" s="184">
        <f>AP39</f>
        <v>633.97</v>
      </c>
      <c r="AQ103" s="240">
        <f>+SUM(AQ97:AQ102)</f>
        <v>633.96999999999991</v>
      </c>
      <c r="AR103" s="186"/>
      <c r="AS103" s="184">
        <f>AS39</f>
        <v>696.75300000000004</v>
      </c>
      <c r="AT103" s="184">
        <f>AT39</f>
        <v>675.79600000000005</v>
      </c>
      <c r="AU103" s="184">
        <f>AU39</f>
        <v>722.45600000000002</v>
      </c>
      <c r="AV103" s="184">
        <f>AV39</f>
        <v>752.77100000000007</v>
      </c>
      <c r="AW103" s="240">
        <f>+SUM(AW97:AW102)</f>
        <v>752.77100000000019</v>
      </c>
      <c r="AX103" s="186"/>
      <c r="AY103" s="184">
        <f>AY39</f>
        <v>793.53399999999999</v>
      </c>
      <c r="AZ103" s="184">
        <f>AZ39</f>
        <v>769.80100000000004</v>
      </c>
      <c r="BA103" s="184">
        <f>BA39</f>
        <v>798.25900000000001</v>
      </c>
      <c r="BB103" s="184">
        <f>BB39</f>
        <v>847.92599999999993</v>
      </c>
      <c r="BC103" s="240">
        <f>+SUM(BC97:BC102)</f>
        <v>847.92599999999993</v>
      </c>
      <c r="BD103" s="186"/>
      <c r="BE103" s="184">
        <f>BE39</f>
        <v>892.03000000000009</v>
      </c>
      <c r="BF103" s="184">
        <f>BF39</f>
        <v>909.85800000000006</v>
      </c>
      <c r="BG103" s="184">
        <f>BG39</f>
        <v>972.31000000000006</v>
      </c>
      <c r="BH103" s="184">
        <f>BH39</f>
        <v>995.38900000000001</v>
      </c>
      <c r="BI103" s="240">
        <f>+SUM(BI97:BI102)</f>
        <v>995.3889999999999</v>
      </c>
      <c r="BJ103" s="186"/>
      <c r="BK103" s="184">
        <f>BK39</f>
        <v>1044.875</v>
      </c>
      <c r="BL103" s="184">
        <f>BL39</f>
        <v>1078.288</v>
      </c>
      <c r="BM103" s="184">
        <f>BM39</f>
        <v>1181.9580000000001</v>
      </c>
      <c r="BN103" s="184">
        <f>BN39</f>
        <v>1150.3699999999999</v>
      </c>
      <c r="BO103" s="240">
        <f>+SUM(BO97:BO102)</f>
        <v>1150.3699999999999</v>
      </c>
      <c r="BP103" s="186"/>
      <c r="BQ103" s="184">
        <f>BQ39</f>
        <v>1197.2987870468514</v>
      </c>
      <c r="BR103" s="184">
        <f>BR39</f>
        <v>1248.0476360193372</v>
      </c>
      <c r="BS103" s="184">
        <f>BS39</f>
        <v>1298.9062053447315</v>
      </c>
      <c r="BT103" s="184">
        <f>BT39</f>
        <v>1365.6523938297451</v>
      </c>
      <c r="BU103" s="240">
        <f>+SUM(BU97:BU102)</f>
        <v>1365.6523938297446</v>
      </c>
      <c r="BV103" s="186"/>
      <c r="BW103" s="184">
        <f>BW39</f>
        <v>1422.7415974592523</v>
      </c>
      <c r="BX103" s="184">
        <f>BX39</f>
        <v>1502.5783456996496</v>
      </c>
      <c r="BY103" s="184">
        <f>BY39</f>
        <v>1594.6227967363993</v>
      </c>
      <c r="BZ103" s="184">
        <f>BZ39</f>
        <v>1706.555794110385</v>
      </c>
      <c r="CA103" s="240">
        <f>+SUM(CA97:CA102)</f>
        <v>1706.555794110385</v>
      </c>
      <c r="CB103" s="186"/>
      <c r="CC103" s="184">
        <f>CC39</f>
        <v>1802.7199798464276</v>
      </c>
      <c r="CD103" s="184">
        <f>CD39</f>
        <v>1925.5963478565147</v>
      </c>
      <c r="CE103" s="184">
        <f>CE39</f>
        <v>2066.1275685399478</v>
      </c>
      <c r="CF103" s="184">
        <f>CF39</f>
        <v>2231.7649084791578</v>
      </c>
      <c r="CG103" s="240">
        <f>+SUM(CG97:CG102)</f>
        <v>2231.7649084791583</v>
      </c>
      <c r="CH103" s="79"/>
      <c r="CI103" s="79"/>
    </row>
    <row r="104" spans="1:87" ht="12.75" hidden="1" customHeight="1" outlineLevel="1" x14ac:dyDescent="0.2">
      <c r="A104" s="307" t="s">
        <v>229</v>
      </c>
      <c r="B104" s="216"/>
      <c r="C104" s="214">
        <f>+C103-C39</f>
        <v>0</v>
      </c>
      <c r="D104" s="214">
        <f>+D103-D39</f>
        <v>0</v>
      </c>
      <c r="E104" s="214">
        <f>+E103-E39</f>
        <v>0</v>
      </c>
      <c r="F104" s="214">
        <f>+F103-F39</f>
        <v>0</v>
      </c>
      <c r="G104" s="215">
        <f>+G103-G39</f>
        <v>0</v>
      </c>
      <c r="H104" s="216"/>
      <c r="I104" s="215">
        <f>+I103-I39</f>
        <v>0</v>
      </c>
      <c r="J104" s="215">
        <f>+J103-J39</f>
        <v>0</v>
      </c>
      <c r="K104" s="215">
        <f>+K103-K39</f>
        <v>0</v>
      </c>
      <c r="L104" s="215">
        <f>+L103-L39</f>
        <v>0</v>
      </c>
      <c r="M104" s="215">
        <f>+M103-M39</f>
        <v>0</v>
      </c>
      <c r="N104" s="216"/>
      <c r="O104" s="215">
        <f>+O103-O39</f>
        <v>0</v>
      </c>
      <c r="P104" s="215">
        <f>+P103-P39</f>
        <v>0</v>
      </c>
      <c r="Q104" s="215">
        <f>+Q103-Q39</f>
        <v>0</v>
      </c>
      <c r="R104" s="215">
        <f>+R103-R39</f>
        <v>0</v>
      </c>
      <c r="S104" s="215">
        <f>+S103-S39</f>
        <v>0</v>
      </c>
      <c r="T104" s="216"/>
      <c r="U104" s="215">
        <f>+U103-U39</f>
        <v>0</v>
      </c>
      <c r="V104" s="215">
        <f>+V103-V39</f>
        <v>0</v>
      </c>
      <c r="W104" s="215">
        <f>+W103-W39</f>
        <v>0</v>
      </c>
      <c r="X104" s="215">
        <f>+X103-X39</f>
        <v>0</v>
      </c>
      <c r="Y104" s="215">
        <f>+Y103-Y39</f>
        <v>0</v>
      </c>
      <c r="Z104" s="216"/>
      <c r="AA104" s="215">
        <f>+AA103-AA39</f>
        <v>0</v>
      </c>
      <c r="AB104" s="215">
        <f>+AB103-AB39</f>
        <v>0</v>
      </c>
      <c r="AC104" s="215">
        <f>+AC103-AC39</f>
        <v>0</v>
      </c>
      <c r="AD104" s="215">
        <f>+AD103-AD39</f>
        <v>0</v>
      </c>
      <c r="AE104" s="215">
        <f>+AE103-AE39</f>
        <v>0</v>
      </c>
      <c r="AF104" s="216"/>
      <c r="AG104" s="215">
        <f>+AG103-AG39</f>
        <v>0</v>
      </c>
      <c r="AH104" s="215">
        <f>+AH103-AH39</f>
        <v>0</v>
      </c>
      <c r="AI104" s="215">
        <f>+AI103-AI39</f>
        <v>0</v>
      </c>
      <c r="AJ104" s="215">
        <f>+AJ103-AJ39</f>
        <v>0</v>
      </c>
      <c r="AK104" s="215">
        <f>+AK103-AK39</f>
        <v>0</v>
      </c>
      <c r="AL104" s="216"/>
      <c r="AM104" s="215">
        <f>+AM103-AM39</f>
        <v>0</v>
      </c>
      <c r="AN104" s="215">
        <f>+AN103-AN39</f>
        <v>0</v>
      </c>
      <c r="AO104" s="215">
        <f>+AO103-AO39</f>
        <v>0</v>
      </c>
      <c r="AP104" s="215">
        <f>+AP103-AP39</f>
        <v>0</v>
      </c>
      <c r="AQ104" s="215">
        <f>+AQ103-AQ39</f>
        <v>0</v>
      </c>
      <c r="AR104" s="216"/>
      <c r="AS104" s="215">
        <f>+AS103-AS39</f>
        <v>0</v>
      </c>
      <c r="AT104" s="215">
        <f>+AT103-AT39</f>
        <v>0</v>
      </c>
      <c r="AU104" s="215">
        <f>+AU103-AU39</f>
        <v>0</v>
      </c>
      <c r="AV104" s="215">
        <f>+AV103-AV39</f>
        <v>0</v>
      </c>
      <c r="AW104" s="215">
        <f>+AW103-AW39</f>
        <v>0</v>
      </c>
      <c r="AX104" s="216"/>
      <c r="AY104" s="215">
        <f>+AY103-AY39</f>
        <v>0</v>
      </c>
      <c r="AZ104" s="215">
        <f>+AZ103-AZ39</f>
        <v>0</v>
      </c>
      <c r="BA104" s="215">
        <f>+BA103-BA39</f>
        <v>0</v>
      </c>
      <c r="BB104" s="215">
        <f>+BB103-BB39</f>
        <v>0</v>
      </c>
      <c r="BC104" s="215">
        <f>+BC103-BC39</f>
        <v>0</v>
      </c>
      <c r="BD104" s="216"/>
      <c r="BE104" s="215">
        <f>+BE103-BE39</f>
        <v>0</v>
      </c>
      <c r="BF104" s="215">
        <f>+BF103-BF39</f>
        <v>0</v>
      </c>
      <c r="BG104" s="215">
        <f>+BG103-BG39</f>
        <v>0</v>
      </c>
      <c r="BH104" s="215">
        <f>+BH103-BH39</f>
        <v>0</v>
      </c>
      <c r="BI104" s="215">
        <f>+BI103-BI39</f>
        <v>0</v>
      </c>
      <c r="BJ104" s="216"/>
      <c r="BK104" s="215">
        <f>+BK103-BK39</f>
        <v>0</v>
      </c>
      <c r="BL104" s="215">
        <f>+BL103-BL39</f>
        <v>0</v>
      </c>
      <c r="BM104" s="215">
        <f>+BM103-BM39</f>
        <v>0</v>
      </c>
      <c r="BN104" s="215">
        <f>+BN103-BN39</f>
        <v>0</v>
      </c>
      <c r="BO104" s="215">
        <f>+BO103-BO39</f>
        <v>0</v>
      </c>
      <c r="BP104" s="216"/>
      <c r="BQ104" s="215">
        <f>+BQ103-BQ39</f>
        <v>0</v>
      </c>
      <c r="BR104" s="215">
        <f>+BR103-BR39</f>
        <v>0</v>
      </c>
      <c r="BS104" s="215">
        <f>+BS103-BS39</f>
        <v>0</v>
      </c>
      <c r="BT104" s="215">
        <f>+BT103-BT39</f>
        <v>0</v>
      </c>
      <c r="BU104" s="215">
        <f>+BU103-BU39</f>
        <v>0</v>
      </c>
      <c r="BV104" s="216"/>
      <c r="BW104" s="215">
        <f>+BW103-BW39</f>
        <v>0</v>
      </c>
      <c r="BX104" s="215">
        <f>+BX103-BX39</f>
        <v>0</v>
      </c>
      <c r="BY104" s="215">
        <f>+BY103-BY39</f>
        <v>0</v>
      </c>
      <c r="BZ104" s="215">
        <f>+BZ103-BZ39</f>
        <v>0</v>
      </c>
      <c r="CA104" s="215">
        <f>+CA103-CA39</f>
        <v>0</v>
      </c>
      <c r="CB104" s="216"/>
      <c r="CC104" s="215">
        <f>+CC103-CC39</f>
        <v>0</v>
      </c>
      <c r="CD104" s="215">
        <f>+CD103-CD39</f>
        <v>0</v>
      </c>
      <c r="CE104" s="215">
        <f>+CE103-CE39</f>
        <v>0</v>
      </c>
      <c r="CF104" s="215">
        <f>+CF103-CF39</f>
        <v>0</v>
      </c>
      <c r="CG104" s="215">
        <f>+CG103-CG39</f>
        <v>0</v>
      </c>
      <c r="CH104" s="217"/>
      <c r="CI104" s="217"/>
    </row>
    <row r="105" spans="1:87" ht="12.75" hidden="1" customHeight="1" outlineLevel="1" x14ac:dyDescent="0.2">
      <c r="A105" s="42"/>
      <c r="B105" s="52"/>
      <c r="C105" s="95"/>
      <c r="D105" s="95"/>
      <c r="E105" s="95"/>
      <c r="F105" s="95"/>
      <c r="G105" s="95"/>
      <c r="H105" s="52"/>
      <c r="I105" s="95"/>
      <c r="J105" s="95"/>
      <c r="K105" s="95"/>
      <c r="L105" s="95"/>
      <c r="M105" s="95"/>
      <c r="N105" s="52"/>
      <c r="O105" s="95"/>
      <c r="P105" s="95"/>
      <c r="Q105" s="95"/>
      <c r="R105" s="95"/>
      <c r="S105" s="95"/>
      <c r="T105" s="52"/>
      <c r="U105" s="95"/>
      <c r="V105" s="95"/>
      <c r="W105" s="95"/>
      <c r="X105" s="95"/>
      <c r="Y105" s="42"/>
      <c r="Z105" s="52"/>
      <c r="AA105" s="42"/>
      <c r="AB105" s="95"/>
      <c r="AC105" s="42"/>
      <c r="AD105" s="42"/>
      <c r="AE105" s="320"/>
      <c r="AF105" s="114"/>
      <c r="AG105" s="42"/>
      <c r="AH105" s="95"/>
      <c r="AI105" s="42"/>
      <c r="AJ105" s="42"/>
      <c r="AK105" s="42"/>
      <c r="AL105" s="114"/>
      <c r="AM105" s="42"/>
      <c r="AN105" s="42"/>
      <c r="AO105" s="42"/>
      <c r="AP105" s="42"/>
      <c r="AQ105" s="42"/>
      <c r="AR105" s="114"/>
      <c r="AS105" s="42"/>
      <c r="AT105" s="42"/>
      <c r="AU105" s="42"/>
      <c r="AV105" s="42"/>
      <c r="AW105" s="42"/>
      <c r="AX105" s="114"/>
      <c r="AY105" s="42"/>
      <c r="AZ105" s="42"/>
      <c r="BA105" s="42"/>
      <c r="BB105" s="42"/>
      <c r="BC105" s="42"/>
      <c r="BD105" s="114"/>
      <c r="BE105" s="42"/>
      <c r="BF105" s="42"/>
      <c r="BG105" s="42"/>
      <c r="BH105" s="42"/>
      <c r="BI105" s="42"/>
      <c r="BJ105" s="114"/>
      <c r="BK105" s="42"/>
      <c r="BL105" s="42"/>
      <c r="BM105" s="42"/>
      <c r="BN105" s="42"/>
      <c r="BO105" s="42"/>
      <c r="BP105" s="114"/>
      <c r="BQ105" s="42"/>
      <c r="BR105" s="42"/>
      <c r="BS105" s="42"/>
      <c r="BT105" s="42"/>
      <c r="BU105" s="42"/>
      <c r="BV105" s="114"/>
      <c r="BW105" s="42"/>
      <c r="BX105" s="42"/>
      <c r="BY105" s="42"/>
      <c r="BZ105" s="42"/>
      <c r="CA105" s="42"/>
      <c r="CB105" s="114"/>
      <c r="CC105" s="42"/>
      <c r="CD105" s="42"/>
      <c r="CE105" s="42"/>
      <c r="CF105" s="42"/>
      <c r="CG105" s="42"/>
      <c r="CH105" s="42"/>
      <c r="CI105" s="42"/>
    </row>
    <row r="106" spans="1:87" ht="12.75" hidden="1" customHeight="1" outlineLevel="1" x14ac:dyDescent="0.2">
      <c r="A106" s="94" t="s">
        <v>265</v>
      </c>
      <c r="B106" s="115"/>
      <c r="C106" s="95"/>
      <c r="D106" s="95"/>
      <c r="E106" s="95"/>
      <c r="F106" s="95"/>
      <c r="G106" s="95"/>
      <c r="H106" s="115"/>
      <c r="I106" s="95"/>
      <c r="J106" s="95"/>
      <c r="K106" s="95"/>
      <c r="L106" s="95"/>
      <c r="M106" s="95"/>
      <c r="N106" s="115"/>
      <c r="O106" s="95"/>
      <c r="P106" s="95"/>
      <c r="Q106" s="95"/>
      <c r="R106" s="95"/>
      <c r="S106" s="95"/>
      <c r="T106" s="115"/>
      <c r="U106" s="95"/>
      <c r="V106" s="95"/>
      <c r="W106" s="95"/>
      <c r="X106" s="95"/>
      <c r="Y106" s="42"/>
      <c r="Z106" s="115"/>
      <c r="AA106" s="42"/>
      <c r="AB106" s="95"/>
      <c r="AC106" s="42"/>
      <c r="AD106" s="42"/>
      <c r="AE106" s="320"/>
      <c r="AF106" s="114"/>
      <c r="AG106" s="42"/>
      <c r="AH106" s="95"/>
      <c r="AI106" s="42"/>
      <c r="AJ106" s="42"/>
      <c r="AK106" s="42"/>
      <c r="AL106" s="114"/>
      <c r="AM106" s="42"/>
      <c r="AN106" s="42"/>
      <c r="AO106" s="42"/>
      <c r="AP106" s="42"/>
      <c r="AQ106" s="42"/>
      <c r="AR106" s="114"/>
      <c r="AS106" s="42"/>
      <c r="AT106" s="42"/>
      <c r="AU106" s="42"/>
      <c r="AV106" s="42"/>
      <c r="AW106" s="42"/>
      <c r="AX106" s="114"/>
      <c r="AY106" s="42"/>
      <c r="AZ106" s="42"/>
      <c r="BA106" s="42"/>
      <c r="BB106" s="42"/>
      <c r="BC106" s="42"/>
      <c r="BD106" s="114"/>
      <c r="BE106" s="42"/>
      <c r="BF106" s="42"/>
      <c r="BG106" s="42"/>
      <c r="BH106" s="42"/>
      <c r="BI106" s="42"/>
      <c r="BJ106" s="114"/>
      <c r="BK106" s="42"/>
      <c r="BL106" s="42"/>
      <c r="BM106" s="42"/>
      <c r="BN106" s="42"/>
      <c r="BO106" s="42"/>
      <c r="BP106" s="114"/>
      <c r="BQ106" s="42"/>
      <c r="BR106" s="42"/>
      <c r="BS106" s="42"/>
      <c r="BT106" s="42"/>
      <c r="BU106" s="42"/>
      <c r="BV106" s="114"/>
      <c r="BW106" s="42"/>
      <c r="BX106" s="42"/>
      <c r="BY106" s="42"/>
      <c r="BZ106" s="42"/>
      <c r="CA106" s="42"/>
      <c r="CB106" s="114"/>
      <c r="CC106" s="42"/>
      <c r="CD106" s="42"/>
      <c r="CE106" s="42"/>
      <c r="CF106" s="42"/>
      <c r="CG106" s="42"/>
      <c r="CH106" s="42"/>
      <c r="CI106" s="42"/>
    </row>
    <row r="107" spans="1:87" ht="12.75" hidden="1" customHeight="1" outlineLevel="1" x14ac:dyDescent="0.2">
      <c r="A107" s="79"/>
      <c r="B107" s="115"/>
      <c r="C107" s="95"/>
      <c r="D107" s="95"/>
      <c r="E107" s="95"/>
      <c r="F107" s="95"/>
      <c r="G107" s="95"/>
      <c r="H107" s="115"/>
      <c r="I107" s="95"/>
      <c r="J107" s="95"/>
      <c r="K107" s="95"/>
      <c r="L107" s="95"/>
      <c r="M107" s="95"/>
      <c r="N107" s="115"/>
      <c r="O107" s="95"/>
      <c r="P107" s="95"/>
      <c r="Q107" s="95"/>
      <c r="R107" s="95"/>
      <c r="S107" s="95"/>
      <c r="T107" s="115"/>
      <c r="U107" s="95"/>
      <c r="V107" s="95"/>
      <c r="W107" s="95"/>
      <c r="X107" s="95"/>
      <c r="Y107" s="42"/>
      <c r="Z107" s="115"/>
      <c r="AA107" s="42"/>
      <c r="AB107" s="95"/>
      <c r="AC107" s="42"/>
      <c r="AD107" s="42"/>
      <c r="AE107" s="42"/>
      <c r="AF107" s="114"/>
      <c r="AG107" s="42"/>
      <c r="AH107" s="95"/>
      <c r="AI107" s="42"/>
      <c r="AJ107" s="42"/>
      <c r="AK107" s="42"/>
      <c r="AL107" s="114"/>
      <c r="AM107" s="42"/>
      <c r="AN107" s="42"/>
      <c r="AO107" s="42"/>
      <c r="AP107" s="42"/>
      <c r="AQ107" s="42"/>
      <c r="AR107" s="114"/>
      <c r="AS107" s="42"/>
      <c r="AT107" s="42"/>
      <c r="AU107" s="42"/>
      <c r="AV107" s="42"/>
      <c r="AW107" s="42"/>
      <c r="AX107" s="114"/>
      <c r="AY107" s="42"/>
      <c r="AZ107" s="42"/>
      <c r="BA107" s="42"/>
      <c r="BB107" s="42"/>
      <c r="BC107" s="42"/>
      <c r="BD107" s="114"/>
      <c r="BE107" s="42"/>
      <c r="BF107" s="42"/>
      <c r="BG107" s="42"/>
      <c r="BH107" s="42"/>
      <c r="BI107" s="42"/>
      <c r="BJ107" s="114"/>
      <c r="BK107" s="42"/>
      <c r="BL107" s="42"/>
      <c r="BM107" s="42"/>
      <c r="BN107" s="42"/>
      <c r="BO107" s="42"/>
      <c r="BP107" s="114"/>
      <c r="BQ107" s="42"/>
      <c r="BR107" s="42"/>
      <c r="BS107" s="42"/>
      <c r="BT107" s="42"/>
      <c r="BU107" s="42"/>
      <c r="BV107" s="114"/>
      <c r="BW107" s="42"/>
      <c r="BX107" s="42"/>
      <c r="BY107" s="42"/>
      <c r="BZ107" s="42"/>
      <c r="CA107" s="42"/>
      <c r="CB107" s="114"/>
      <c r="CC107" s="42"/>
      <c r="CD107" s="42"/>
      <c r="CE107" s="42"/>
      <c r="CF107" s="42"/>
      <c r="CG107" s="42"/>
      <c r="CH107" s="42"/>
      <c r="CI107" s="42"/>
    </row>
    <row r="108" spans="1:87" ht="12.75" hidden="1" customHeight="1" outlineLevel="1" x14ac:dyDescent="0.2">
      <c r="A108" s="24" t="s">
        <v>266</v>
      </c>
      <c r="B108" s="115"/>
      <c r="C108" s="87"/>
      <c r="D108" s="87"/>
      <c r="E108" s="87"/>
      <c r="F108" s="87"/>
      <c r="G108" s="87"/>
      <c r="H108" s="115"/>
      <c r="I108" s="87"/>
      <c r="J108" s="87"/>
      <c r="K108" s="87"/>
      <c r="L108" s="87"/>
      <c r="M108" s="87"/>
      <c r="N108" s="115"/>
      <c r="O108" s="87"/>
      <c r="P108" s="87"/>
      <c r="Q108" s="87"/>
      <c r="R108" s="87"/>
      <c r="S108" s="87"/>
      <c r="T108" s="115"/>
      <c r="U108" s="87"/>
      <c r="V108" s="87"/>
      <c r="W108" s="87"/>
      <c r="X108" s="87"/>
      <c r="Y108" s="87"/>
      <c r="Z108" s="115"/>
      <c r="AA108" s="87"/>
      <c r="AB108" s="87"/>
      <c r="AC108" s="87"/>
      <c r="AD108" s="87"/>
      <c r="AE108" s="87"/>
      <c r="AF108" s="115"/>
      <c r="AG108" s="87"/>
      <c r="AH108" s="87"/>
      <c r="AI108" s="87"/>
      <c r="AJ108" s="87"/>
      <c r="AK108" s="87"/>
      <c r="AL108" s="115"/>
      <c r="AM108" s="87"/>
      <c r="AN108" s="87"/>
      <c r="AO108" s="87"/>
      <c r="AP108" s="87"/>
      <c r="AQ108" s="87"/>
      <c r="AR108" s="115"/>
      <c r="AS108" s="87"/>
      <c r="AT108" s="87"/>
      <c r="AU108" s="87"/>
      <c r="AV108" s="87"/>
      <c r="AW108" s="87"/>
      <c r="AX108" s="115"/>
      <c r="AY108" s="87"/>
      <c r="AZ108" s="87"/>
      <c r="BA108" s="87"/>
      <c r="BB108" s="87"/>
      <c r="BC108" s="87"/>
      <c r="BD108" s="115"/>
      <c r="BE108" s="87"/>
      <c r="BF108" s="87"/>
      <c r="BG108" s="87"/>
      <c r="BH108" s="87"/>
      <c r="BI108" s="87"/>
      <c r="BJ108" s="115"/>
      <c r="BK108" s="87"/>
      <c r="BL108" s="87"/>
      <c r="BM108" s="87"/>
      <c r="BN108" s="87"/>
      <c r="BO108" s="87"/>
      <c r="BP108" s="115"/>
      <c r="BQ108" s="87"/>
      <c r="BR108" s="87"/>
      <c r="BS108" s="87"/>
      <c r="BT108" s="87"/>
      <c r="BU108" s="87"/>
      <c r="BV108" s="115"/>
      <c r="BW108" s="87"/>
      <c r="BX108" s="87"/>
      <c r="BY108" s="87"/>
      <c r="BZ108" s="87"/>
      <c r="CA108" s="87"/>
      <c r="CB108" s="115"/>
      <c r="CC108" s="87"/>
      <c r="CD108" s="87"/>
      <c r="CE108" s="87"/>
      <c r="CF108" s="87"/>
      <c r="CG108" s="87"/>
      <c r="CH108" s="79"/>
      <c r="CI108" s="79"/>
    </row>
    <row r="109" spans="1:87" ht="12.75" hidden="1" customHeight="1" outlineLevel="1" x14ac:dyDescent="0.2">
      <c r="A109" s="79" t="s">
        <v>267</v>
      </c>
      <c r="B109" s="115"/>
      <c r="C109" s="89">
        <v>73.882999999999996</v>
      </c>
      <c r="D109" s="87">
        <f>C114</f>
        <v>75.644999999999996</v>
      </c>
      <c r="E109" s="87">
        <f>D114</f>
        <v>77.308999999999997</v>
      </c>
      <c r="F109" s="87">
        <f>E114</f>
        <v>80.188000000000002</v>
      </c>
      <c r="G109" s="87">
        <f>+C109</f>
        <v>73.882999999999996</v>
      </c>
      <c r="H109" s="115"/>
      <c r="I109" s="87">
        <f>+G114</f>
        <v>79.078999999999994</v>
      </c>
      <c r="J109" s="87">
        <f>I114</f>
        <v>84.270999999999987</v>
      </c>
      <c r="K109" s="87">
        <f>J114</f>
        <v>88.712999999999994</v>
      </c>
      <c r="L109" s="87">
        <f>K114</f>
        <v>91.44</v>
      </c>
      <c r="M109" s="87">
        <f>+I109</f>
        <v>79.078999999999994</v>
      </c>
      <c r="N109" s="115"/>
      <c r="O109" s="87">
        <f>+M114</f>
        <v>88.341999999999999</v>
      </c>
      <c r="P109" s="87">
        <f>O114</f>
        <v>90.227999999999994</v>
      </c>
      <c r="Q109" s="87">
        <f>P114</f>
        <v>91.385999999999996</v>
      </c>
      <c r="R109" s="87">
        <f>Q114</f>
        <v>92.426000000000002</v>
      </c>
      <c r="S109" s="87">
        <f>+O109</f>
        <v>88.341999999999999</v>
      </c>
      <c r="T109" s="115"/>
      <c r="U109" s="87">
        <f>+S114</f>
        <v>94.97699999999999</v>
      </c>
      <c r="V109" s="87">
        <f>U114</f>
        <v>99.506999999999991</v>
      </c>
      <c r="W109" s="87">
        <f>V114</f>
        <v>103.82599999999999</v>
      </c>
      <c r="X109" s="87">
        <f>W114</f>
        <v>106.90899999999999</v>
      </c>
      <c r="Y109" s="87">
        <f>+U109</f>
        <v>94.97699999999999</v>
      </c>
      <c r="Z109" s="115"/>
      <c r="AA109" s="87">
        <f>+Y114</f>
        <v>98.457999999999984</v>
      </c>
      <c r="AB109" s="87">
        <f>AA114</f>
        <v>101.28299999999999</v>
      </c>
      <c r="AC109" s="87">
        <f>AB114</f>
        <v>106.97999999999999</v>
      </c>
      <c r="AD109" s="87">
        <f>AC114</f>
        <v>119.48699999999999</v>
      </c>
      <c r="AE109" s="87">
        <f>+AA109</f>
        <v>98.457999999999984</v>
      </c>
      <c r="AF109" s="115"/>
      <c r="AG109" s="87">
        <f>+AE114</f>
        <v>128.767</v>
      </c>
      <c r="AH109" s="87">
        <f>AG114</f>
        <v>141.32599999999999</v>
      </c>
      <c r="AI109" s="87">
        <f>AH114</f>
        <v>154.54499999999999</v>
      </c>
      <c r="AJ109" s="87">
        <f>AI114</f>
        <v>160.25199999999998</v>
      </c>
      <c r="AK109" s="87">
        <f>+AG109</f>
        <v>128.767</v>
      </c>
      <c r="AL109" s="115"/>
      <c r="AM109" s="87">
        <f>AK114</f>
        <v>167.1</v>
      </c>
      <c r="AN109" s="87">
        <f>AM114</f>
        <v>172.708</v>
      </c>
      <c r="AO109" s="87">
        <f>AN114</f>
        <v>176.489</v>
      </c>
      <c r="AP109" s="87">
        <f>AO114</f>
        <v>182.27200000000002</v>
      </c>
      <c r="AQ109" s="87">
        <f>+AM109</f>
        <v>167.1</v>
      </c>
      <c r="AR109" s="115"/>
      <c r="AS109" s="87">
        <f>AQ114</f>
        <v>186.512</v>
      </c>
      <c r="AT109" s="87">
        <f>AS114</f>
        <v>191.50800000000001</v>
      </c>
      <c r="AU109" s="87">
        <f>AT114</f>
        <v>196.47200000000001</v>
      </c>
      <c r="AV109" s="87">
        <f>AU114</f>
        <v>203.46899999999999</v>
      </c>
      <c r="AW109" s="87">
        <f>+AS109</f>
        <v>186.512</v>
      </c>
      <c r="AX109" s="115"/>
      <c r="AY109" s="87">
        <f>AW114</f>
        <v>210.60399999999998</v>
      </c>
      <c r="AZ109" s="87">
        <f>AY114</f>
        <v>226.21599999999998</v>
      </c>
      <c r="BA109" s="87">
        <f>AZ114</f>
        <v>236.77599999999998</v>
      </c>
      <c r="BB109" s="87">
        <f>BA114</f>
        <v>247.26699999999997</v>
      </c>
      <c r="BC109" s="87">
        <f>+AY109</f>
        <v>210.60399999999998</v>
      </c>
      <c r="BD109" s="115"/>
      <c r="BE109" s="87">
        <f>BC114</f>
        <v>264.05500000000001</v>
      </c>
      <c r="BF109" s="87">
        <f>BE114</f>
        <v>284.262</v>
      </c>
      <c r="BG109" s="87">
        <f>BF114</f>
        <v>303.08</v>
      </c>
      <c r="BH109" s="87">
        <f>BG114</f>
        <v>320.423</v>
      </c>
      <c r="BI109" s="87">
        <f>+BE109</f>
        <v>264.05500000000001</v>
      </c>
      <c r="BJ109" s="115"/>
      <c r="BK109" s="87">
        <f>BI114</f>
        <v>334.63099999999997</v>
      </c>
      <c r="BL109" s="87">
        <f>BK114</f>
        <v>394.2</v>
      </c>
      <c r="BM109" s="87">
        <f>BL114</f>
        <v>412.67599999999999</v>
      </c>
      <c r="BN109" s="87">
        <f>BM114</f>
        <v>460.78100000000001</v>
      </c>
      <c r="BO109" s="87">
        <f>+BK109</f>
        <v>334.63099999999997</v>
      </c>
      <c r="BP109" s="115"/>
      <c r="BQ109" s="87">
        <f>BO114</f>
        <v>530.32600000000002</v>
      </c>
      <c r="BR109" s="87">
        <f>BQ114</f>
        <v>600.23383999999999</v>
      </c>
      <c r="BS109" s="87">
        <f>BR114</f>
        <v>677.25829736243156</v>
      </c>
      <c r="BT109" s="87">
        <f>BS114</f>
        <v>756.01646471848676</v>
      </c>
      <c r="BU109" s="87">
        <f>+BQ109</f>
        <v>530.32600000000002</v>
      </c>
      <c r="BV109" s="115"/>
      <c r="BW109" s="87">
        <f>BU114</f>
        <v>842.440460867718</v>
      </c>
      <c r="BX109" s="87">
        <f>BW114</f>
        <v>895.42058192931404</v>
      </c>
      <c r="BY109" s="87">
        <f>BX114</f>
        <v>955.49183926704814</v>
      </c>
      <c r="BZ109" s="87">
        <f>BY114</f>
        <v>1016.3413489085231</v>
      </c>
      <c r="CA109" s="87">
        <f>+BW109</f>
        <v>842.440460867718</v>
      </c>
      <c r="CB109" s="115"/>
      <c r="CC109" s="87">
        <f>CA114</f>
        <v>1083.1386777173957</v>
      </c>
      <c r="CD109" s="87">
        <f>CC114</f>
        <v>1145.5235266634579</v>
      </c>
      <c r="CE109" s="87">
        <f>CD114</f>
        <v>1215.5018526191495</v>
      </c>
      <c r="CF109" s="87">
        <f>CE114</f>
        <v>1286.211114320073</v>
      </c>
      <c r="CG109" s="87">
        <f>+CC109</f>
        <v>1083.1386777173957</v>
      </c>
      <c r="CH109" s="79"/>
      <c r="CI109" s="79"/>
    </row>
    <row r="110" spans="1:87" ht="12.75" hidden="1" customHeight="1" outlineLevel="1" x14ac:dyDescent="0.2">
      <c r="A110" s="131" t="s">
        <v>268</v>
      </c>
      <c r="B110" s="115"/>
      <c r="C110" s="87">
        <f>-'Cash Flow'!B28</f>
        <v>1.762</v>
      </c>
      <c r="D110" s="87">
        <f>-'Cash Flow'!C28</f>
        <v>1.6640000000000001</v>
      </c>
      <c r="E110" s="87">
        <f>-'Cash Flow'!D28</f>
        <v>2.8789999999999996</v>
      </c>
      <c r="F110" s="87">
        <f>-'Cash Flow'!E28</f>
        <v>1.1240000000000006</v>
      </c>
      <c r="G110" s="87">
        <f>+SUM(C110:F110)</f>
        <v>7.4290000000000003</v>
      </c>
      <c r="H110" s="115"/>
      <c r="I110" s="87">
        <f>-'Cash Flow'!H28</f>
        <v>5.1920000000000002</v>
      </c>
      <c r="J110" s="87">
        <f>-'Cash Flow'!I28</f>
        <v>4.4420000000000002</v>
      </c>
      <c r="K110" s="87">
        <f>-'Cash Flow'!J28</f>
        <v>2.7270000000000003</v>
      </c>
      <c r="L110" s="87">
        <f>-'Cash Flow'!K28</f>
        <v>1.972999999999999</v>
      </c>
      <c r="M110" s="87">
        <f>+SUM(I110:L110)</f>
        <v>14.334</v>
      </c>
      <c r="N110" s="115"/>
      <c r="O110" s="87">
        <f>-'Cash Flow'!N28</f>
        <v>1.8859999999999999</v>
      </c>
      <c r="P110" s="87">
        <f>-'Cash Flow'!O28</f>
        <v>1.1580000000000001</v>
      </c>
      <c r="Q110" s="87">
        <f>-'Cash Flow'!P28</f>
        <v>1.0399999999999996</v>
      </c>
      <c r="R110" s="87">
        <f>-'Cash Flow'!Q28</f>
        <v>3.1080000000000005</v>
      </c>
      <c r="S110" s="87">
        <f>+SUM(O110:R110)</f>
        <v>7.1920000000000002</v>
      </c>
      <c r="T110" s="115"/>
      <c r="U110" s="87">
        <f>-'Cash Flow'!T28</f>
        <v>4.53</v>
      </c>
      <c r="V110" s="87">
        <f>-'Cash Flow'!U28</f>
        <v>4.319</v>
      </c>
      <c r="W110" s="87">
        <f>-'Cash Flow'!V28</f>
        <v>3.0830000000000002</v>
      </c>
      <c r="X110" s="87">
        <f>-'Cash Flow'!W28</f>
        <v>6.0989999999999984</v>
      </c>
      <c r="Y110" s="87">
        <f>+SUM(U110:X110)</f>
        <v>18.030999999999999</v>
      </c>
      <c r="Z110" s="115"/>
      <c r="AA110" s="87">
        <f>-'Cash Flow'!Z28</f>
        <v>2.8250000000000002</v>
      </c>
      <c r="AB110" s="87">
        <f>-'Cash Flow'!AA28</f>
        <v>5.6970000000000001</v>
      </c>
      <c r="AC110" s="87">
        <f>-'Cash Flow'!AB28</f>
        <v>12.507000000000001</v>
      </c>
      <c r="AD110" s="87">
        <f>-'Cash Flow'!AC28</f>
        <v>9.2799999999999994</v>
      </c>
      <c r="AE110" s="87">
        <f>+SUM(AA110:AD110)</f>
        <v>30.309000000000005</v>
      </c>
      <c r="AF110" s="115"/>
      <c r="AG110" s="87">
        <f>-'Cash Flow'!AF28</f>
        <v>12.558999999999999</v>
      </c>
      <c r="AH110" s="87">
        <f>-'Cash Flow'!AG28</f>
        <v>13.218999999999999</v>
      </c>
      <c r="AI110" s="87">
        <f>-'Cash Flow'!AH28</f>
        <v>5.706999999999999</v>
      </c>
      <c r="AJ110" s="87">
        <f>-'Cash Flow'!AI28</f>
        <v>6.8479999999999972</v>
      </c>
      <c r="AK110" s="87">
        <f>+SUM(AG110:AJ110)</f>
        <v>38.332999999999998</v>
      </c>
      <c r="AL110" s="115"/>
      <c r="AM110" s="87">
        <f>-'Cash Flow'!AL28</f>
        <v>5.6079999999999997</v>
      </c>
      <c r="AN110" s="87">
        <f>-'Cash Flow'!AM28</f>
        <v>3.7809999999999997</v>
      </c>
      <c r="AO110" s="87">
        <f>-'Cash Flow'!AN28</f>
        <v>5.7830000000000021</v>
      </c>
      <c r="AP110" s="87">
        <f>-'Cash Flow'!AO28</f>
        <v>4.2399999999999993</v>
      </c>
      <c r="AQ110" s="87">
        <f>+SUM(AM110:AP110)</f>
        <v>19.411999999999999</v>
      </c>
      <c r="AR110" s="115"/>
      <c r="AS110" s="87">
        <f>-'Cash Flow'!AR28</f>
        <v>4.9960000000000004</v>
      </c>
      <c r="AT110" s="87">
        <f>-'Cash Flow'!AS28</f>
        <v>4.9640000000000004</v>
      </c>
      <c r="AU110" s="87">
        <f>-'Cash Flow'!AT28</f>
        <v>6.9969999999999999</v>
      </c>
      <c r="AV110" s="87">
        <f>-'Cash Flow'!AU28</f>
        <v>7.134999999999998</v>
      </c>
      <c r="AW110" s="87">
        <f>+SUM(AS110:AV110)</f>
        <v>24.091999999999999</v>
      </c>
      <c r="AX110" s="115"/>
      <c r="AY110" s="87">
        <f>-'Cash Flow'!AX28</f>
        <v>15.612</v>
      </c>
      <c r="AZ110" s="87">
        <f>-'Cash Flow'!AY28</f>
        <v>10.56</v>
      </c>
      <c r="BA110" s="87">
        <f>-'Cash Flow'!AZ28</f>
        <v>10.490999999999996</v>
      </c>
      <c r="BB110" s="87">
        <f>-'Cash Flow'!BA28</f>
        <v>16.788000000000004</v>
      </c>
      <c r="BC110" s="87">
        <f>+SUM(AY110:BB110)</f>
        <v>53.451000000000001</v>
      </c>
      <c r="BD110" s="115"/>
      <c r="BE110" s="87">
        <f>-'Cash Flow'!BD28</f>
        <v>20.207000000000001</v>
      </c>
      <c r="BF110" s="87">
        <f>-'Cash Flow'!BE28</f>
        <v>18.817999999999998</v>
      </c>
      <c r="BG110" s="87">
        <f>-'Cash Flow'!BF28</f>
        <v>17.343000000000004</v>
      </c>
      <c r="BH110" s="87">
        <f>-'Cash Flow'!BG28</f>
        <v>14.207999999999991</v>
      </c>
      <c r="BI110" s="87">
        <f>+SUM(BE110:BH110)</f>
        <v>70.575999999999993</v>
      </c>
      <c r="BJ110" s="115"/>
      <c r="BK110" s="87">
        <f>-'Cash Flow'!BJ28</f>
        <v>59.569000000000003</v>
      </c>
      <c r="BL110" s="87">
        <f>-'Cash Flow'!BK28</f>
        <v>18.475999999999999</v>
      </c>
      <c r="BM110" s="87">
        <f>-'Cash Flow'!BL28</f>
        <v>48.105000000000004</v>
      </c>
      <c r="BN110" s="87">
        <f>-'Cash Flow'!BM28</f>
        <v>69.544999999999987</v>
      </c>
      <c r="BO110" s="87">
        <f>+SUM(BK110:BN110)</f>
        <v>195.69499999999999</v>
      </c>
      <c r="BP110" s="115"/>
      <c r="BQ110" s="87">
        <f>+BQ111*'P&amp;L'!BQ8</f>
        <v>69.907839999999993</v>
      </c>
      <c r="BR110" s="87">
        <f>+BR111*'P&amp;L'!BR8</f>
        <v>77.024457362431548</v>
      </c>
      <c r="BS110" s="87">
        <f>+BS111*'P&amp;L'!BS8</f>
        <v>78.758167356055168</v>
      </c>
      <c r="BT110" s="87">
        <f>+BT111*'P&amp;L'!BT8</f>
        <v>86.423996149231314</v>
      </c>
      <c r="BU110" s="87">
        <f>+SUM(BQ110:BT110)</f>
        <v>312.11446086771804</v>
      </c>
      <c r="BV110" s="115"/>
      <c r="BW110" s="87">
        <f>+BW111*'P&amp;L'!BW8</f>
        <v>52.980121061596073</v>
      </c>
      <c r="BX110" s="87">
        <f>+BX111*'P&amp;L'!BX8</f>
        <v>60.071257337734075</v>
      </c>
      <c r="BY110" s="87">
        <f>+BY111*'P&amp;L'!BY8</f>
        <v>60.849509641474882</v>
      </c>
      <c r="BZ110" s="87">
        <f>+BZ111*'P&amp;L'!BZ8</f>
        <v>66.797328808872706</v>
      </c>
      <c r="CA110" s="87">
        <f>+SUM(BW110:BZ110)</f>
        <v>240.69821684967775</v>
      </c>
      <c r="CB110" s="115"/>
      <c r="CC110" s="87">
        <f>+CC111*'P&amp;L'!CC8</f>
        <v>62.384848946062256</v>
      </c>
      <c r="CD110" s="87">
        <f>+CD111*'P&amp;L'!CD8</f>
        <v>69.978325955691673</v>
      </c>
      <c r="CE110" s="87">
        <f>+CE111*'P&amp;L'!CE8</f>
        <v>70.709261700923349</v>
      </c>
      <c r="CF110" s="87">
        <f>+CF111*'P&amp;L'!CF8</f>
        <v>77.168037333541122</v>
      </c>
      <c r="CG110" s="87">
        <f>+SUM(CC110:CF110)</f>
        <v>280.24047393621839</v>
      </c>
      <c r="CH110" s="79"/>
      <c r="CI110" s="79"/>
    </row>
    <row r="111" spans="1:87" ht="12.75" hidden="1" customHeight="1" outlineLevel="1" x14ac:dyDescent="0.2">
      <c r="A111" s="268" t="s">
        <v>269</v>
      </c>
      <c r="B111" s="116"/>
      <c r="C111" s="187">
        <f>+C110/'P&amp;L'!C8</f>
        <v>2.7634447389470053E-2</v>
      </c>
      <c r="D111" s="187">
        <f>+D110/'P&amp;L'!D8</f>
        <v>2.1722386851689885E-2</v>
      </c>
      <c r="E111" s="187">
        <f>+E110/'P&amp;L'!E8</f>
        <v>4.0293347888762925E-2</v>
      </c>
      <c r="F111" s="187">
        <f>+F110/'P&amp;L'!F8</f>
        <v>1.5499813836755527E-2</v>
      </c>
      <c r="G111" s="187">
        <f>+G110/'P&amp;L'!G8</f>
        <v>2.6127906813162079E-2</v>
      </c>
      <c r="H111" s="116"/>
      <c r="I111" s="187">
        <f>+I110/'P&amp;L'!I8</f>
        <v>6.9434043008451921E-2</v>
      </c>
      <c r="J111" s="187">
        <f>+J110/'P&amp;L'!J8</f>
        <v>5.5593101549398012E-2</v>
      </c>
      <c r="K111" s="187">
        <f>+K110/'P&amp;L'!K8</f>
        <v>3.6276322615832815E-2</v>
      </c>
      <c r="L111" s="187">
        <f>+L110/'P&amp;L'!L8</f>
        <v>2.6617200674536243E-2</v>
      </c>
      <c r="M111" s="187">
        <f>+M110/'P&amp;L'!M8</f>
        <v>4.7155038555675446E-2</v>
      </c>
      <c r="N111" s="116"/>
      <c r="O111" s="187">
        <f>+O110/'P&amp;L'!O8</f>
        <v>2.6892146238521646E-2</v>
      </c>
      <c r="P111" s="187">
        <f>+P110/'P&amp;L'!P8</f>
        <v>1.5173751244824153E-2</v>
      </c>
      <c r="Q111" s="187">
        <f>+Q110/'P&amp;L'!Q8</f>
        <v>1.3119882930275386E-2</v>
      </c>
      <c r="R111" s="187">
        <f>+R110/'P&amp;L'!R8</f>
        <v>3.5882515932391265E-2</v>
      </c>
      <c r="S111" s="187">
        <f>+S110/'P&amp;L'!S8</f>
        <v>2.3026705471403921E-2</v>
      </c>
      <c r="T111" s="116"/>
      <c r="U111" s="187">
        <f>+U110/'P&amp;L'!U8</f>
        <v>5.0283050283050287E-2</v>
      </c>
      <c r="V111" s="187">
        <f>+V110/'P&amp;L'!V8</f>
        <v>4.5996719844938125E-2</v>
      </c>
      <c r="W111" s="187">
        <f>+W110/'P&amp;L'!W8</f>
        <v>3.2132323053352375E-2</v>
      </c>
      <c r="X111" s="187">
        <f>+X110/'P&amp;L'!X8</f>
        <v>6.5656185073148673E-2</v>
      </c>
      <c r="Y111" s="187">
        <f>+Y110/'P&amp;L'!Y8</f>
        <v>4.8362783911079642E-2</v>
      </c>
      <c r="Z111" s="116"/>
      <c r="AA111" s="187">
        <f>+AA110/'P&amp;L'!AA8</f>
        <v>2.6941710536354621E-2</v>
      </c>
      <c r="AB111" s="187">
        <f>+AB110/'P&amp;L'!AB8</f>
        <v>4.744100061622504E-2</v>
      </c>
      <c r="AC111" s="187">
        <f>+AC110/'P&amp;L'!AC8</f>
        <v>9.9345481119036655E-2</v>
      </c>
      <c r="AD111" s="187">
        <f>+AD110/'P&amp;L'!AD8</f>
        <v>7.1991001124859386E-2</v>
      </c>
      <c r="AE111" s="187">
        <f>+AE110/'P&amp;L'!AE8</f>
        <v>6.3177839709343181E-2</v>
      </c>
      <c r="AF111" s="116"/>
      <c r="AG111" s="187">
        <f>+AG110/'P&amp;L'!AG8</f>
        <v>9.297522190718023E-2</v>
      </c>
      <c r="AH111" s="187">
        <f>+AH110/'P&amp;L'!AH8</f>
        <v>9.0773625588837156E-2</v>
      </c>
      <c r="AI111" s="187">
        <f>+AI110/'P&amp;L'!AI8</f>
        <v>4.1810749032938681E-2</v>
      </c>
      <c r="AJ111" s="187">
        <f>+AJ110/'P&amp;L'!AJ8</f>
        <v>4.7941753010361222E-2</v>
      </c>
      <c r="AK111" s="187">
        <f>+AK110/'P&amp;L'!AK8</f>
        <v>6.8446774432586177E-2</v>
      </c>
      <c r="AL111" s="116"/>
      <c r="AM111" s="187">
        <f>+AM110/'P&amp;L'!AM8</f>
        <v>3.6515171246256015E-2</v>
      </c>
      <c r="AN111" s="187">
        <f>+AN110/'P&amp;L'!AN8</f>
        <v>2.3079082940645066E-2</v>
      </c>
      <c r="AO111" s="187">
        <f>+AO110/'P&amp;L'!AO8</f>
        <v>3.5153732994541248E-2</v>
      </c>
      <c r="AP111" s="187">
        <f>+AP110/'P&amp;L'!AP8</f>
        <v>2.3781212841854929E-2</v>
      </c>
      <c r="AQ111" s="187">
        <f>+AQ110/'P&amp;L'!AQ8</f>
        <v>2.9402943929621964E-2</v>
      </c>
      <c r="AR111" s="116"/>
      <c r="AS111" s="187">
        <f>+AS110/'P&amp;L'!AS8</f>
        <v>2.7656300167177801E-2</v>
      </c>
      <c r="AT111" s="187">
        <f>+AT110/'P&amp;L'!AT8</f>
        <v>2.5782860941874298E-2</v>
      </c>
      <c r="AU111" s="187">
        <f>+AU110/'P&amp;L'!AU8</f>
        <v>3.6850365501695841E-2</v>
      </c>
      <c r="AV111" s="187">
        <f>+AV110/'P&amp;L'!AV8</f>
        <v>3.592648539778448E-2</v>
      </c>
      <c r="AW111" s="187">
        <f>+AW110/'P&amp;L'!AW8</f>
        <v>3.1631202135355599E-2</v>
      </c>
      <c r="AX111" s="116"/>
      <c r="AY111" s="187">
        <f>+AY110/'P&amp;L'!AY8</f>
        <v>7.8814252395424209E-2</v>
      </c>
      <c r="AZ111" s="187">
        <f>+AZ110/'P&amp;L'!AZ8</f>
        <v>5.0408615290613308E-2</v>
      </c>
      <c r="BA111" s="187">
        <f>+BA110/'P&amp;L'!BA8</f>
        <v>5.0525920360631089E-2</v>
      </c>
      <c r="BB111" s="187">
        <f>+BB110/'P&amp;L'!BB8</f>
        <v>7.2903819764109173E-2</v>
      </c>
      <c r="BC111" s="187">
        <f>+BC110/'P&amp;L'!BC8</f>
        <v>6.321926087481046E-2</v>
      </c>
      <c r="BD111" s="116"/>
      <c r="BE111" s="187">
        <f>+BE110/'P&amp;L'!BE8</f>
        <v>8.4647285522788204E-2</v>
      </c>
      <c r="BF111" s="187">
        <f>+BF110/'P&amp;L'!BF8</f>
        <v>6.9861376140658279E-2</v>
      </c>
      <c r="BG111" s="187">
        <f>+BG110/'P&amp;L'!BG8</f>
        <v>6.2252996349461048E-2</v>
      </c>
      <c r="BH111" s="187">
        <f>+BH110/'P&amp;L'!BH8</f>
        <v>4.8457894359880328E-2</v>
      </c>
      <c r="BI111" s="187">
        <f>+BI110/'P&amp;L'!BI8</f>
        <v>6.5355772988330119E-2</v>
      </c>
      <c r="BJ111" s="116"/>
      <c r="BK111" s="187">
        <f>+BK110/'P&amp;L'!BK8</f>
        <v>0.19194692290093801</v>
      </c>
      <c r="BL111" s="187">
        <f>+BL110/'P&amp;L'!BL8</f>
        <v>5.1828703833573637E-2</v>
      </c>
      <c r="BM111" s="187">
        <f>+BM110/'P&amp;L'!BM8</f>
        <v>0.12486145971495094</v>
      </c>
      <c r="BN111" s="187">
        <f>+BN110/'P&amp;L'!BN8</f>
        <v>0.16506338367475781</v>
      </c>
      <c r="BO111" s="187">
        <f>+BO110/'P&amp;L'!BO8</f>
        <v>0.1328174788738799</v>
      </c>
      <c r="BP111" s="116"/>
      <c r="BQ111" s="248">
        <v>0.16</v>
      </c>
      <c r="BR111" s="248">
        <f>+BQ111</f>
        <v>0.16</v>
      </c>
      <c r="BS111" s="248">
        <f>+BR111</f>
        <v>0.16</v>
      </c>
      <c r="BT111" s="248">
        <f>+BS111</f>
        <v>0.16</v>
      </c>
      <c r="BU111" s="187">
        <f>+BU110/'P&amp;L'!BU8</f>
        <v>0.16</v>
      </c>
      <c r="BV111" s="116"/>
      <c r="BW111" s="248">
        <v>0.1</v>
      </c>
      <c r="BX111" s="248">
        <f>+BW111</f>
        <v>0.1</v>
      </c>
      <c r="BY111" s="248">
        <f>+BX111</f>
        <v>0.1</v>
      </c>
      <c r="BZ111" s="248">
        <f>+BY111</f>
        <v>0.1</v>
      </c>
      <c r="CA111" s="187">
        <f>+CA110/'P&amp;L'!CA8</f>
        <v>0.1</v>
      </c>
      <c r="CB111" s="116"/>
      <c r="CC111" s="248">
        <v>0.1</v>
      </c>
      <c r="CD111" s="248">
        <f t="shared" ref="CD111:CF111" si="150">+CC111</f>
        <v>0.1</v>
      </c>
      <c r="CE111" s="248">
        <f t="shared" si="150"/>
        <v>0.1</v>
      </c>
      <c r="CF111" s="248">
        <f t="shared" si="150"/>
        <v>0.1</v>
      </c>
      <c r="CG111" s="187">
        <f>+CG110/'P&amp;L'!CG8</f>
        <v>9.9999999999999992E-2</v>
      </c>
      <c r="CH111" s="92"/>
      <c r="CI111" s="92"/>
    </row>
    <row r="112" spans="1:87" ht="12.75" hidden="1" customHeight="1" outlineLevel="1" x14ac:dyDescent="0.2">
      <c r="A112" s="131" t="s">
        <v>270</v>
      </c>
      <c r="B112" s="115"/>
      <c r="C112" s="89">
        <v>0</v>
      </c>
      <c r="D112" s="89">
        <v>0</v>
      </c>
      <c r="E112" s="89">
        <v>0</v>
      </c>
      <c r="F112" s="89">
        <v>0</v>
      </c>
      <c r="G112" s="87">
        <f>+SUM(C112:F112)</f>
        <v>0</v>
      </c>
      <c r="H112" s="115"/>
      <c r="I112" s="89">
        <v>0</v>
      </c>
      <c r="J112" s="89">
        <v>0</v>
      </c>
      <c r="K112" s="89">
        <v>0</v>
      </c>
      <c r="L112" s="89">
        <v>0</v>
      </c>
      <c r="M112" s="87">
        <f>+SUM(I112:L112)</f>
        <v>0</v>
      </c>
      <c r="N112" s="115"/>
      <c r="O112" s="89">
        <v>0</v>
      </c>
      <c r="P112" s="89">
        <v>0</v>
      </c>
      <c r="Q112" s="89">
        <v>0</v>
      </c>
      <c r="R112" s="89">
        <v>0</v>
      </c>
      <c r="S112" s="87">
        <f>+SUM(O112:R112)</f>
        <v>0</v>
      </c>
      <c r="T112" s="115"/>
      <c r="U112" s="89">
        <v>0</v>
      </c>
      <c r="V112" s="89">
        <v>0</v>
      </c>
      <c r="W112" s="89">
        <v>0</v>
      </c>
      <c r="X112" s="89">
        <v>0</v>
      </c>
      <c r="Y112" s="87">
        <f>+SUM(U112:X112)</f>
        <v>0</v>
      </c>
      <c r="Z112" s="115"/>
      <c r="AA112" s="89">
        <v>0</v>
      </c>
      <c r="AB112" s="89">
        <v>0</v>
      </c>
      <c r="AC112" s="89">
        <v>0</v>
      </c>
      <c r="AD112" s="89">
        <v>0</v>
      </c>
      <c r="AE112" s="87">
        <f>+SUM(AA112:AD112)</f>
        <v>0</v>
      </c>
      <c r="AF112" s="115"/>
      <c r="AG112" s="89">
        <v>0</v>
      </c>
      <c r="AH112" s="89">
        <v>0</v>
      </c>
      <c r="AI112" s="89">
        <v>0</v>
      </c>
      <c r="AJ112" s="87">
        <f>-AJ138*AJ141</f>
        <v>0</v>
      </c>
      <c r="AK112" s="87">
        <f>+SUM(AG112:AJ112)</f>
        <v>0</v>
      </c>
      <c r="AL112" s="115"/>
      <c r="AM112" s="89">
        <v>0</v>
      </c>
      <c r="AN112" s="89">
        <v>0</v>
      </c>
      <c r="AO112" s="89">
        <v>0</v>
      </c>
      <c r="AP112" s="87">
        <f>-AP138*AP141</f>
        <v>0</v>
      </c>
      <c r="AQ112" s="87">
        <f>+SUM(AM112:AP112)</f>
        <v>0</v>
      </c>
      <c r="AR112" s="115"/>
      <c r="AS112" s="89">
        <v>0</v>
      </c>
      <c r="AT112" s="89">
        <v>0</v>
      </c>
      <c r="AU112" s="89">
        <v>0</v>
      </c>
      <c r="AV112" s="87">
        <f>-AV138*AV141</f>
        <v>0</v>
      </c>
      <c r="AW112" s="87">
        <f>+SUM(AS112:AV112)</f>
        <v>0</v>
      </c>
      <c r="AX112" s="115"/>
      <c r="AY112" s="89">
        <v>0</v>
      </c>
      <c r="AZ112" s="89">
        <v>0</v>
      </c>
      <c r="BA112" s="89">
        <v>0</v>
      </c>
      <c r="BB112" s="87">
        <f>-BB138*BB141</f>
        <v>0</v>
      </c>
      <c r="BC112" s="87">
        <f>+SUM(AY112:BB112)</f>
        <v>0</v>
      </c>
      <c r="BD112" s="115"/>
      <c r="BE112" s="89">
        <v>0</v>
      </c>
      <c r="BF112" s="89">
        <v>0</v>
      </c>
      <c r="BG112" s="89">
        <v>0</v>
      </c>
      <c r="BH112" s="87">
        <f>-BH138*BH141</f>
        <v>0</v>
      </c>
      <c r="BI112" s="87">
        <f>+SUM(BE112:BH112)</f>
        <v>0</v>
      </c>
      <c r="BJ112" s="115"/>
      <c r="BK112" s="89">
        <v>0</v>
      </c>
      <c r="BL112" s="89">
        <v>0</v>
      </c>
      <c r="BM112" s="89">
        <v>0</v>
      </c>
      <c r="BN112" s="89">
        <v>0</v>
      </c>
      <c r="BO112" s="87">
        <f>+SUM(BK112:BN112)</f>
        <v>0</v>
      </c>
      <c r="BP112" s="115"/>
      <c r="BQ112" s="87">
        <f>-BQ138*BQ141</f>
        <v>0</v>
      </c>
      <c r="BR112" s="87">
        <f>-BR138*BR141</f>
        <v>0</v>
      </c>
      <c r="BS112" s="87">
        <f>-BS138*BS141</f>
        <v>0</v>
      </c>
      <c r="BT112" s="87">
        <f>-BT138*BT141</f>
        <v>0</v>
      </c>
      <c r="BU112" s="87">
        <f>+SUM(BQ112:BT112)</f>
        <v>0</v>
      </c>
      <c r="BV112" s="115"/>
      <c r="BW112" s="87">
        <f>-BW138*BW141</f>
        <v>0</v>
      </c>
      <c r="BX112" s="87">
        <f>-BX138*BX141</f>
        <v>0</v>
      </c>
      <c r="BY112" s="87">
        <f>-BY138*BY141</f>
        <v>0</v>
      </c>
      <c r="BZ112" s="87">
        <f>-BZ138*BZ141</f>
        <v>0</v>
      </c>
      <c r="CA112" s="87">
        <f>+SUM(BW112:BZ112)</f>
        <v>0</v>
      </c>
      <c r="CB112" s="115"/>
      <c r="CC112" s="87">
        <f>-CC138*CC141</f>
        <v>0</v>
      </c>
      <c r="CD112" s="87">
        <f>-CD138*CD141</f>
        <v>0</v>
      </c>
      <c r="CE112" s="87">
        <f>-CE138*CE141</f>
        <v>0</v>
      </c>
      <c r="CF112" s="87">
        <f>-CF138*CF141</f>
        <v>0</v>
      </c>
      <c r="CG112" s="87">
        <f>+SUM(CC112:CF112)</f>
        <v>0</v>
      </c>
      <c r="CH112" s="79"/>
      <c r="CI112" s="79"/>
    </row>
    <row r="113" spans="1:87" ht="12.75" hidden="1" customHeight="1" outlineLevel="1" x14ac:dyDescent="0.2">
      <c r="A113" s="131" t="s">
        <v>216</v>
      </c>
      <c r="B113" s="115"/>
      <c r="C113" s="189">
        <v>0</v>
      </c>
      <c r="D113" s="189">
        <v>0</v>
      </c>
      <c r="E113" s="189">
        <v>0</v>
      </c>
      <c r="F113" s="188">
        <f>+F114-F109-F110-F112</f>
        <v>-2.2330000000000094</v>
      </c>
      <c r="G113" s="188">
        <f>+SUM(C113:F113)</f>
        <v>-2.2330000000000094</v>
      </c>
      <c r="H113" s="115"/>
      <c r="I113" s="189">
        <v>0</v>
      </c>
      <c r="J113" s="189">
        <v>0</v>
      </c>
      <c r="K113" s="189">
        <v>0</v>
      </c>
      <c r="L113" s="188">
        <f>+L114-L109-L110-L112</f>
        <v>-5.070999999999998</v>
      </c>
      <c r="M113" s="188">
        <f>+SUM(I113:L113)</f>
        <v>-5.070999999999998</v>
      </c>
      <c r="N113" s="115"/>
      <c r="O113" s="189">
        <v>0</v>
      </c>
      <c r="P113" s="189">
        <v>0</v>
      </c>
      <c r="Q113" s="189">
        <v>0</v>
      </c>
      <c r="R113" s="188">
        <f>+R114-R109-R110-R112</f>
        <v>-0.55699999999999861</v>
      </c>
      <c r="S113" s="188">
        <f>+SUM(O113:R113)</f>
        <v>-0.55699999999999861</v>
      </c>
      <c r="T113" s="115"/>
      <c r="U113" s="189">
        <v>0</v>
      </c>
      <c r="V113" s="189">
        <v>0</v>
      </c>
      <c r="W113" s="189">
        <v>0</v>
      </c>
      <c r="X113" s="188">
        <f>+X114-X109-X110-X112</f>
        <v>-14.549999999999992</v>
      </c>
      <c r="Y113" s="188">
        <f>+SUM(U113:X113)</f>
        <v>-14.549999999999992</v>
      </c>
      <c r="Z113" s="115"/>
      <c r="AA113" s="189">
        <v>0</v>
      </c>
      <c r="AB113" s="189">
        <v>0</v>
      </c>
      <c r="AC113" s="189">
        <v>0</v>
      </c>
      <c r="AD113" s="189">
        <v>0</v>
      </c>
      <c r="AE113" s="188">
        <f>+SUM(AA113:AD113)</f>
        <v>0</v>
      </c>
      <c r="AF113" s="115"/>
      <c r="AG113" s="189">
        <v>0</v>
      </c>
      <c r="AH113" s="189">
        <v>0</v>
      </c>
      <c r="AI113" s="189">
        <v>0</v>
      </c>
      <c r="AJ113" s="189">
        <f>-'Cash Flow'!AI14</f>
        <v>0</v>
      </c>
      <c r="AK113" s="188">
        <f>+SUM(AG113:AJ113)</f>
        <v>0</v>
      </c>
      <c r="AL113" s="115"/>
      <c r="AM113" s="189">
        <v>0</v>
      </c>
      <c r="AN113" s="189">
        <v>0</v>
      </c>
      <c r="AO113" s="189">
        <v>0</v>
      </c>
      <c r="AP113" s="189">
        <f>-'Cash Flow'!AO14</f>
        <v>0</v>
      </c>
      <c r="AQ113" s="188">
        <f>+SUM(AM113:AP113)</f>
        <v>0</v>
      </c>
      <c r="AR113" s="115"/>
      <c r="AS113" s="189">
        <v>0</v>
      </c>
      <c r="AT113" s="189">
        <v>0</v>
      </c>
      <c r="AU113" s="189">
        <v>0</v>
      </c>
      <c r="AV113" s="189">
        <f>-'Cash Flow'!AU14</f>
        <v>0</v>
      </c>
      <c r="AW113" s="188">
        <f>+SUM(AS113:AV113)</f>
        <v>0</v>
      </c>
      <c r="AX113" s="115"/>
      <c r="AY113" s="189">
        <v>0</v>
      </c>
      <c r="AZ113" s="189">
        <v>0</v>
      </c>
      <c r="BA113" s="189">
        <v>0</v>
      </c>
      <c r="BB113" s="189">
        <f>-'Cash Flow'!BA14</f>
        <v>0</v>
      </c>
      <c r="BC113" s="188">
        <f>+SUM(AY113:BB113)</f>
        <v>0</v>
      </c>
      <c r="BD113" s="115"/>
      <c r="BE113" s="189">
        <v>0</v>
      </c>
      <c r="BF113" s="189">
        <v>0</v>
      </c>
      <c r="BG113" s="189">
        <v>0</v>
      </c>
      <c r="BH113" s="189">
        <f>-'Cash Flow'!BG14</f>
        <v>0</v>
      </c>
      <c r="BI113" s="188">
        <f>+SUM(BE113:BH113)</f>
        <v>0</v>
      </c>
      <c r="BJ113" s="115"/>
      <c r="BK113" s="189">
        <v>0</v>
      </c>
      <c r="BL113" s="189">
        <v>0</v>
      </c>
      <c r="BM113" s="189">
        <v>0</v>
      </c>
      <c r="BN113" s="189">
        <v>0</v>
      </c>
      <c r="BO113" s="188">
        <f>+SUM(BK113:BN113)</f>
        <v>0</v>
      </c>
      <c r="BP113" s="115"/>
      <c r="BQ113" s="189">
        <f>-'Cash Flow'!BP14</f>
        <v>0</v>
      </c>
      <c r="BR113" s="189">
        <f>-'Cash Flow'!BQ14</f>
        <v>0</v>
      </c>
      <c r="BS113" s="189">
        <f>-'Cash Flow'!BR14</f>
        <v>0</v>
      </c>
      <c r="BT113" s="189">
        <f>-'Cash Flow'!BS14</f>
        <v>0</v>
      </c>
      <c r="BU113" s="188">
        <f>+SUM(BQ113:BT113)</f>
        <v>0</v>
      </c>
      <c r="BV113" s="115"/>
      <c r="BW113" s="189">
        <f>-'Cash Flow'!BV14</f>
        <v>0</v>
      </c>
      <c r="BX113" s="189">
        <f>-'Cash Flow'!BW14</f>
        <v>0</v>
      </c>
      <c r="BY113" s="189">
        <f>-'Cash Flow'!BX14</f>
        <v>0</v>
      </c>
      <c r="BZ113" s="189">
        <f>-'Cash Flow'!BY14</f>
        <v>0</v>
      </c>
      <c r="CA113" s="188">
        <f>+SUM(BW113:BZ113)</f>
        <v>0</v>
      </c>
      <c r="CB113" s="115"/>
      <c r="CC113" s="189">
        <f>-'Cash Flow'!CB14</f>
        <v>0</v>
      </c>
      <c r="CD113" s="189">
        <f>-'Cash Flow'!CC14</f>
        <v>0</v>
      </c>
      <c r="CE113" s="189">
        <f>-'Cash Flow'!CD14</f>
        <v>0</v>
      </c>
      <c r="CF113" s="189">
        <f>-'Cash Flow'!CE14</f>
        <v>0</v>
      </c>
      <c r="CG113" s="188">
        <f>+SUM(CC113:CF113)</f>
        <v>0</v>
      </c>
      <c r="CH113" s="79"/>
      <c r="CI113" s="79"/>
    </row>
    <row r="114" spans="1:87" ht="12.75" hidden="1" customHeight="1" outlineLevel="1" x14ac:dyDescent="0.2">
      <c r="A114" s="79" t="s">
        <v>271</v>
      </c>
      <c r="B114" s="115"/>
      <c r="C114" s="87">
        <f>+C109+C110+C112+C113</f>
        <v>75.644999999999996</v>
      </c>
      <c r="D114" s="87">
        <f>+D109+D110+D112+D113</f>
        <v>77.308999999999997</v>
      </c>
      <c r="E114" s="87">
        <f>+E109+E110+E112+E113</f>
        <v>80.188000000000002</v>
      </c>
      <c r="F114" s="89">
        <v>79.078999999999994</v>
      </c>
      <c r="G114" s="87">
        <f>+G109+G110+G112+G113</f>
        <v>79.078999999999994</v>
      </c>
      <c r="H114" s="115"/>
      <c r="I114" s="87">
        <f>+I109+I110+I112+I113</f>
        <v>84.270999999999987</v>
      </c>
      <c r="J114" s="87">
        <f>+J109+J110+J112+J113</f>
        <v>88.712999999999994</v>
      </c>
      <c r="K114" s="87">
        <f>+K109+K110+K112+K113</f>
        <v>91.44</v>
      </c>
      <c r="L114" s="89">
        <v>88.341999999999999</v>
      </c>
      <c r="M114" s="87">
        <f>+M109+M110+M112+M113</f>
        <v>88.341999999999999</v>
      </c>
      <c r="N114" s="115"/>
      <c r="O114" s="87">
        <f>+O109+O110+O112+O113</f>
        <v>90.227999999999994</v>
      </c>
      <c r="P114" s="87">
        <f>+P109+P110+P112+P113</f>
        <v>91.385999999999996</v>
      </c>
      <c r="Q114" s="87">
        <f>+Q109+Q110+Q112+Q113</f>
        <v>92.426000000000002</v>
      </c>
      <c r="R114" s="89">
        <v>94.977000000000004</v>
      </c>
      <c r="S114" s="87">
        <f>+S109+S110+S112+S113</f>
        <v>94.97699999999999</v>
      </c>
      <c r="T114" s="115"/>
      <c r="U114" s="87">
        <f>+U109+U110+U112+U113</f>
        <v>99.506999999999991</v>
      </c>
      <c r="V114" s="87">
        <f>+V109+V110+V112+V113</f>
        <v>103.82599999999999</v>
      </c>
      <c r="W114" s="87">
        <f>+W109+W110+W112+W113</f>
        <v>106.90899999999999</v>
      </c>
      <c r="X114" s="89">
        <v>98.457999999999998</v>
      </c>
      <c r="Y114" s="87">
        <f>+Y109+Y110+Y112+Y113</f>
        <v>98.457999999999984</v>
      </c>
      <c r="Z114" s="115"/>
      <c r="AA114" s="87">
        <f>+AA109+AA110+AA112+AA113</f>
        <v>101.28299999999999</v>
      </c>
      <c r="AB114" s="87">
        <f>+AB109+AB110+AB112+AB113</f>
        <v>106.97999999999999</v>
      </c>
      <c r="AC114" s="87">
        <f>+AC109+AC110+AC112+AC113</f>
        <v>119.48699999999999</v>
      </c>
      <c r="AD114" s="87">
        <f>+AD109+AD110+AD112+AD113</f>
        <v>128.767</v>
      </c>
      <c r="AE114" s="87">
        <f>+AE109+AE110+AE112+AE113</f>
        <v>128.767</v>
      </c>
      <c r="AF114" s="87"/>
      <c r="AG114" s="87">
        <f>+AG109+AG110+AG112+AG113</f>
        <v>141.32599999999999</v>
      </c>
      <c r="AH114" s="87">
        <f>+AH109+AH110+AH112+AH113</f>
        <v>154.54499999999999</v>
      </c>
      <c r="AI114" s="87">
        <f>+AI109+AI110+AI112+AI113</f>
        <v>160.25199999999998</v>
      </c>
      <c r="AJ114" s="87">
        <f>+AJ109+AJ110+AJ112+AJ113</f>
        <v>167.09999999999997</v>
      </c>
      <c r="AK114" s="87">
        <f>+AK109+AK110+AK112+AK113</f>
        <v>167.1</v>
      </c>
      <c r="AL114" s="115"/>
      <c r="AM114" s="87">
        <f>+AM109+AM110+AM112+AM113</f>
        <v>172.708</v>
      </c>
      <c r="AN114" s="87">
        <f>+AN109+AN110+AN112+AN113</f>
        <v>176.489</v>
      </c>
      <c r="AO114" s="87">
        <f>+AO109+AO110+AO112+AO113</f>
        <v>182.27200000000002</v>
      </c>
      <c r="AP114" s="87">
        <f>+AP109+AP110+AP112+AP113</f>
        <v>186.51200000000003</v>
      </c>
      <c r="AQ114" s="87">
        <f>+AQ109+AQ110+AQ112+AQ113</f>
        <v>186.512</v>
      </c>
      <c r="AR114" s="115"/>
      <c r="AS114" s="87">
        <f>+AS109+AS110+AS112+AS113</f>
        <v>191.50800000000001</v>
      </c>
      <c r="AT114" s="87">
        <f>+AT109+AT110+AT112+AT113</f>
        <v>196.47200000000001</v>
      </c>
      <c r="AU114" s="87">
        <f>+AU109+AU110+AU112+AU113</f>
        <v>203.46899999999999</v>
      </c>
      <c r="AV114" s="87">
        <f>+AV109+AV110+AV112+AV113</f>
        <v>210.60399999999998</v>
      </c>
      <c r="AW114" s="87">
        <f>+AW109+AW110+AW112+AW113</f>
        <v>210.60399999999998</v>
      </c>
      <c r="AX114" s="115"/>
      <c r="AY114" s="87">
        <f>+AY109+AY110+AY112+AY113</f>
        <v>226.21599999999998</v>
      </c>
      <c r="AZ114" s="87">
        <f>+AZ109+AZ110+AZ112+AZ113</f>
        <v>236.77599999999998</v>
      </c>
      <c r="BA114" s="87">
        <f>+BA109+BA110+BA112+BA113</f>
        <v>247.26699999999997</v>
      </c>
      <c r="BB114" s="87">
        <f>+BB109+BB110+BB112+BB113</f>
        <v>264.05499999999995</v>
      </c>
      <c r="BC114" s="87">
        <f>+BC109+BC110+BC112+BC113</f>
        <v>264.05500000000001</v>
      </c>
      <c r="BD114" s="115"/>
      <c r="BE114" s="87">
        <f>+BE109+BE110+BE112+BE113</f>
        <v>284.262</v>
      </c>
      <c r="BF114" s="87">
        <f>+BF109+BF110+BF112+BF113</f>
        <v>303.08</v>
      </c>
      <c r="BG114" s="87">
        <f>+BG109+BG110+BG112+BG113</f>
        <v>320.423</v>
      </c>
      <c r="BH114" s="87">
        <f>+BH109+BH110+BH112+BH113</f>
        <v>334.63099999999997</v>
      </c>
      <c r="BI114" s="87">
        <f>+BI109+BI110+BI112+BI113</f>
        <v>334.63099999999997</v>
      </c>
      <c r="BJ114" s="115"/>
      <c r="BK114" s="87">
        <f>+BK109+BK110+BK112+BK113</f>
        <v>394.2</v>
      </c>
      <c r="BL114" s="87">
        <f>+BL109+BL110+BL112+BL113</f>
        <v>412.67599999999999</v>
      </c>
      <c r="BM114" s="87">
        <f>+BM109+BM110+BM112+BM113</f>
        <v>460.78100000000001</v>
      </c>
      <c r="BN114" s="87">
        <f>+BN109+BN110+BN112+BN113</f>
        <v>530.32600000000002</v>
      </c>
      <c r="BO114" s="87">
        <f>+BO109+BO110+BO112+BO113</f>
        <v>530.32600000000002</v>
      </c>
      <c r="BP114" s="115"/>
      <c r="BQ114" s="87">
        <f>+BQ109+BQ110+BQ112+BQ113</f>
        <v>600.23383999999999</v>
      </c>
      <c r="BR114" s="87">
        <f>+BR109+BR110+BR112+BR113</f>
        <v>677.25829736243156</v>
      </c>
      <c r="BS114" s="87">
        <f>+BS109+BS110+BS112+BS113</f>
        <v>756.01646471848676</v>
      </c>
      <c r="BT114" s="87">
        <f>+BT109+BT110+BT112+BT113</f>
        <v>842.44046086771812</v>
      </c>
      <c r="BU114" s="87">
        <f>+BU109+BU110+BU112+BU113</f>
        <v>842.440460867718</v>
      </c>
      <c r="BV114" s="115"/>
      <c r="BW114" s="87">
        <f>+BW109+BW110+BW112+BW113</f>
        <v>895.42058192931404</v>
      </c>
      <c r="BX114" s="87">
        <f>+BX109+BX110+BX112+BX113</f>
        <v>955.49183926704814</v>
      </c>
      <c r="BY114" s="87">
        <f>+BY109+BY110+BY112+BY113</f>
        <v>1016.3413489085231</v>
      </c>
      <c r="BZ114" s="87">
        <f>+BZ109+BZ110+BZ112+BZ113</f>
        <v>1083.1386777173957</v>
      </c>
      <c r="CA114" s="87">
        <f>+CA109+CA110+CA112+CA113</f>
        <v>1083.1386777173957</v>
      </c>
      <c r="CB114" s="115"/>
      <c r="CC114" s="87">
        <f>+CC109+CC110+CC112+CC113</f>
        <v>1145.5235266634579</v>
      </c>
      <c r="CD114" s="87">
        <f>+CD109+CD110+CD112+CD113</f>
        <v>1215.5018526191495</v>
      </c>
      <c r="CE114" s="87">
        <f>+CE109+CE110+CE112+CE113</f>
        <v>1286.211114320073</v>
      </c>
      <c r="CF114" s="87">
        <f>+CF109+CF110+CF112+CF113</f>
        <v>1363.3791516536141</v>
      </c>
      <c r="CG114" s="87">
        <f>+CG109+CG110+CG112+CG113</f>
        <v>1363.3791516536141</v>
      </c>
      <c r="CH114" s="79"/>
      <c r="CI114" s="79"/>
    </row>
    <row r="115" spans="1:87" ht="12.75" hidden="1" customHeight="1" outlineLevel="1" x14ac:dyDescent="0.2">
      <c r="A115" s="79"/>
      <c r="B115" s="115"/>
      <c r="C115" s="95"/>
      <c r="D115" s="95"/>
      <c r="E115" s="95"/>
      <c r="F115" s="95"/>
      <c r="G115" s="95"/>
      <c r="H115" s="115"/>
      <c r="I115" s="95"/>
      <c r="J115" s="95"/>
      <c r="K115" s="95"/>
      <c r="L115" s="95"/>
      <c r="M115" s="95"/>
      <c r="N115" s="115"/>
      <c r="O115" s="95"/>
      <c r="P115" s="95"/>
      <c r="Q115" s="95"/>
      <c r="R115" s="95"/>
      <c r="S115" s="95"/>
      <c r="T115" s="115"/>
      <c r="U115" s="95"/>
      <c r="V115" s="95"/>
      <c r="W115" s="95"/>
      <c r="X115" s="95"/>
      <c r="Y115" s="95"/>
      <c r="Z115" s="115"/>
      <c r="AA115" s="95"/>
      <c r="AB115" s="95"/>
      <c r="AC115" s="95"/>
      <c r="AD115" s="95"/>
      <c r="AE115" s="42"/>
      <c r="AF115" s="117"/>
      <c r="AG115" s="95"/>
      <c r="AH115" s="95"/>
      <c r="AI115" s="95"/>
      <c r="AJ115" s="95"/>
      <c r="AK115" s="42"/>
      <c r="AL115" s="117"/>
      <c r="AM115" s="95"/>
      <c r="AN115" s="95"/>
      <c r="AO115" s="95"/>
      <c r="AP115" s="95"/>
      <c r="AQ115" s="42"/>
      <c r="AR115" s="117"/>
      <c r="AS115" s="95"/>
      <c r="AT115" s="95"/>
      <c r="AU115" s="95"/>
      <c r="AV115" s="95"/>
      <c r="AW115" s="42"/>
      <c r="AX115" s="117"/>
      <c r="AY115" s="95"/>
      <c r="AZ115" s="95"/>
      <c r="BA115" s="95"/>
      <c r="BB115" s="95"/>
      <c r="BC115" s="42"/>
      <c r="BD115" s="117"/>
      <c r="BE115" s="95"/>
      <c r="BF115" s="95"/>
      <c r="BG115" s="95"/>
      <c r="BH115" s="95"/>
      <c r="BI115" s="42"/>
      <c r="BJ115" s="117"/>
      <c r="BK115" s="95"/>
      <c r="BL115" s="95"/>
      <c r="BM115" s="95"/>
      <c r="BN115" s="95"/>
      <c r="BO115" s="42"/>
      <c r="BP115" s="117"/>
      <c r="BQ115" s="95"/>
      <c r="BR115" s="95"/>
      <c r="BS115" s="95"/>
      <c r="BT115" s="95"/>
      <c r="BU115" s="42"/>
      <c r="BV115" s="117"/>
      <c r="BW115" s="95"/>
      <c r="BX115" s="95"/>
      <c r="BY115" s="95"/>
      <c r="BZ115" s="95"/>
      <c r="CA115" s="42"/>
      <c r="CB115" s="117"/>
      <c r="CC115" s="95"/>
      <c r="CD115" s="95"/>
      <c r="CE115" s="95"/>
      <c r="CF115" s="95"/>
      <c r="CG115" s="42"/>
      <c r="CH115" s="42"/>
      <c r="CI115" s="42"/>
    </row>
    <row r="116" spans="1:87" ht="12.75" hidden="1" customHeight="1" outlineLevel="1" x14ac:dyDescent="0.2">
      <c r="A116" s="79" t="s">
        <v>272</v>
      </c>
      <c r="B116" s="115"/>
      <c r="C116" s="89">
        <v>-46.978999999999999</v>
      </c>
      <c r="D116" s="87">
        <f>C120</f>
        <v>-49.436999999999998</v>
      </c>
      <c r="E116" s="87">
        <f>D120</f>
        <v>-50.634</v>
      </c>
      <c r="F116" s="87">
        <f>E120</f>
        <v>-54.174000000000007</v>
      </c>
      <c r="G116" s="87">
        <f>C116</f>
        <v>-46.978999999999999</v>
      </c>
      <c r="H116" s="115"/>
      <c r="I116" s="87">
        <f>+G120</f>
        <v>-53.759</v>
      </c>
      <c r="J116" s="87">
        <f>I120</f>
        <v>-56.508999999999986</v>
      </c>
      <c r="K116" s="87">
        <f>J120</f>
        <v>-59.187999999999995</v>
      </c>
      <c r="L116" s="87">
        <f>K120</f>
        <v>-61.872</v>
      </c>
      <c r="M116" s="87">
        <f>I116</f>
        <v>-53.759</v>
      </c>
      <c r="N116" s="115"/>
      <c r="O116" s="87">
        <f>+M120</f>
        <v>-61.362999999999992</v>
      </c>
      <c r="P116" s="87">
        <f>O120</f>
        <v>-64.227999999999994</v>
      </c>
      <c r="Q116" s="87">
        <f>P120</f>
        <v>-66.867999999999995</v>
      </c>
      <c r="R116" s="87">
        <f>Q120</f>
        <v>-67.997</v>
      </c>
      <c r="S116" s="87">
        <f>O116</f>
        <v>-61.362999999999992</v>
      </c>
      <c r="T116" s="115"/>
      <c r="U116" s="87">
        <f>+S120</f>
        <v>-70.006</v>
      </c>
      <c r="V116" s="87">
        <f>U120</f>
        <v>-74.088999999999999</v>
      </c>
      <c r="W116" s="87">
        <f>V120</f>
        <v>-76.576999999999998</v>
      </c>
      <c r="X116" s="87">
        <f>W120</f>
        <v>-78.806999999999988</v>
      </c>
      <c r="Y116" s="87">
        <f>U116</f>
        <v>-70.006</v>
      </c>
      <c r="Z116" s="115"/>
      <c r="AA116" s="87">
        <f>+Y120</f>
        <v>-67.774000000000001</v>
      </c>
      <c r="AB116" s="87">
        <f>AA120</f>
        <v>-70.560999999999979</v>
      </c>
      <c r="AC116" s="87">
        <f>AB120</f>
        <v>-69.85799999999999</v>
      </c>
      <c r="AD116" s="87">
        <f>AC120</f>
        <v>-73.09899999999999</v>
      </c>
      <c r="AE116" s="87">
        <f>AA116</f>
        <v>-67.774000000000001</v>
      </c>
      <c r="AF116" s="115"/>
      <c r="AG116" s="87">
        <f>+AE120</f>
        <v>-74.801999999999992</v>
      </c>
      <c r="AH116" s="87">
        <f>AG120</f>
        <v>-78.413999999999987</v>
      </c>
      <c r="AI116" s="87">
        <f>AH120</f>
        <v>-82.337999999999994</v>
      </c>
      <c r="AJ116" s="87">
        <f>AI120</f>
        <v>-85.003999999999976</v>
      </c>
      <c r="AK116" s="87">
        <f>AG116</f>
        <v>-74.801999999999992</v>
      </c>
      <c r="AL116" s="115"/>
      <c r="AM116" s="87">
        <f>AK120</f>
        <v>-87.908999999999963</v>
      </c>
      <c r="AN116" s="87">
        <f>AM120</f>
        <v>-100.036</v>
      </c>
      <c r="AO116" s="87">
        <f>AN120</f>
        <v>-99.557000000000002</v>
      </c>
      <c r="AP116" s="87">
        <f>AO120</f>
        <v>-105.72000000000001</v>
      </c>
      <c r="AQ116" s="87">
        <f>AM116</f>
        <v>-87.908999999999963</v>
      </c>
      <c r="AR116" s="115"/>
      <c r="AS116" s="87">
        <f>AQ120</f>
        <v>-110.76900000000003</v>
      </c>
      <c r="AT116" s="87">
        <f>AS120</f>
        <v>-112.41500000000001</v>
      </c>
      <c r="AU116" s="87">
        <f>AT120</f>
        <v>-115.16000000000001</v>
      </c>
      <c r="AV116" s="87">
        <f>AU120</f>
        <v>-117.02199999999999</v>
      </c>
      <c r="AW116" s="87">
        <f>AS116</f>
        <v>-110.76900000000003</v>
      </c>
      <c r="AX116" s="115"/>
      <c r="AY116" s="87">
        <f>AW120</f>
        <v>-120.47899999999998</v>
      </c>
      <c r="AZ116" s="87">
        <f>AY120</f>
        <v>-126.45199999999998</v>
      </c>
      <c r="BA116" s="87">
        <f>AZ120</f>
        <v>-128.74699999999999</v>
      </c>
      <c r="BB116" s="87">
        <f>BA120</f>
        <v>-126.52899999999997</v>
      </c>
      <c r="BC116" s="87">
        <f>AY116</f>
        <v>-120.47899999999998</v>
      </c>
      <c r="BD116" s="115"/>
      <c r="BE116" s="87">
        <f>BC120</f>
        <v>-127.58199999999992</v>
      </c>
      <c r="BF116" s="87">
        <f>BE120</f>
        <v>-136.233</v>
      </c>
      <c r="BG116" s="87">
        <f>BF120</f>
        <v>-141.39499999999998</v>
      </c>
      <c r="BH116" s="87">
        <f>BG120</f>
        <v>-147.76500000000001</v>
      </c>
      <c r="BI116" s="87">
        <f>BE116</f>
        <v>-127.58199999999992</v>
      </c>
      <c r="BJ116" s="115"/>
      <c r="BK116" s="87">
        <f>BI120</f>
        <v>-159.46399999999994</v>
      </c>
      <c r="BL116" s="87">
        <f>BK120</f>
        <v>-162.50799999999998</v>
      </c>
      <c r="BM116" s="87">
        <f>BL120</f>
        <v>-157.137</v>
      </c>
      <c r="BN116" s="87">
        <f>BM120</f>
        <v>-164.88</v>
      </c>
      <c r="BO116" s="87">
        <f>BK116</f>
        <v>-159.46399999999994</v>
      </c>
      <c r="BP116" s="115"/>
      <c r="BQ116" s="87">
        <f>BO120</f>
        <v>-181.53300000000002</v>
      </c>
      <c r="BR116" s="87">
        <f>BQ120</f>
        <v>-193.46533500000001</v>
      </c>
      <c r="BS116" s="87">
        <f>BR120</f>
        <v>-206.97059640000001</v>
      </c>
      <c r="BT116" s="87">
        <f>BS120</f>
        <v>-222.20890809065472</v>
      </c>
      <c r="BU116" s="87">
        <f>BQ116</f>
        <v>-181.53300000000002</v>
      </c>
      <c r="BV116" s="115"/>
      <c r="BW116" s="87">
        <f>BU120</f>
        <v>-239.21927854682068</v>
      </c>
      <c r="BX116" s="87">
        <f>BW120</f>
        <v>-258.17418891634435</v>
      </c>
      <c r="BY116" s="87">
        <f>BX120</f>
        <v>-278.32115200975392</v>
      </c>
      <c r="BZ116" s="87">
        <f>BY120</f>
        <v>-299.81971839326252</v>
      </c>
      <c r="CA116" s="87">
        <f>BW116</f>
        <v>-239.21927854682068</v>
      </c>
      <c r="CB116" s="115"/>
      <c r="CC116" s="87">
        <f>CA120</f>
        <v>-322.68739874370425</v>
      </c>
      <c r="CD116" s="87">
        <f>CC120</f>
        <v>-347.05801899234564</v>
      </c>
      <c r="CE116" s="87">
        <f>CD120</f>
        <v>-372.83229834227342</v>
      </c>
      <c r="CF116" s="87">
        <f>CE120</f>
        <v>-400.18109002620429</v>
      </c>
      <c r="CG116" s="87">
        <f>CC116</f>
        <v>-322.68739874370425</v>
      </c>
      <c r="CH116" s="79"/>
      <c r="CI116" s="79"/>
    </row>
    <row r="117" spans="1:87" ht="12.75" hidden="1" customHeight="1" outlineLevel="1" x14ac:dyDescent="0.2">
      <c r="A117" s="131" t="s">
        <v>273</v>
      </c>
      <c r="B117" s="115"/>
      <c r="C117" s="87">
        <f>-'Cash Flow'!B10</f>
        <v>-2.552</v>
      </c>
      <c r="D117" s="87">
        <f>-'Cash Flow'!C10</f>
        <v>-2.6590000000000003</v>
      </c>
      <c r="E117" s="87">
        <f>-'Cash Flow'!D10</f>
        <v>-2.6269999999999998</v>
      </c>
      <c r="F117" s="87">
        <f>-'Cash Flow'!E10</f>
        <v>-2.3380000000000001</v>
      </c>
      <c r="G117" s="87">
        <f>+SUM(C117:F117)</f>
        <v>-10.176</v>
      </c>
      <c r="H117" s="115"/>
      <c r="I117" s="87">
        <f>-'Cash Flow'!H10</f>
        <v>-2.3530000000000002</v>
      </c>
      <c r="J117" s="87">
        <f>-'Cash Flow'!I10</f>
        <v>-2.4499999999999997</v>
      </c>
      <c r="K117" s="87">
        <f>-'Cash Flow'!J10</f>
        <v>-2.5620000000000003</v>
      </c>
      <c r="L117" s="87">
        <f>-'Cash Flow'!K10</f>
        <v>-2.5990000000000002</v>
      </c>
      <c r="M117" s="87">
        <f>+SUM(I117:L117)</f>
        <v>-9.9640000000000004</v>
      </c>
      <c r="N117" s="115"/>
      <c r="O117" s="87">
        <f>-'Cash Flow'!N10</f>
        <v>-2.4430000000000001</v>
      </c>
      <c r="P117" s="87">
        <f>-'Cash Flow'!O10</f>
        <v>-2.536</v>
      </c>
      <c r="Q117" s="87">
        <f>-'Cash Flow'!P10</f>
        <v>-2.6029999999999998</v>
      </c>
      <c r="R117" s="87">
        <f>-'Cash Flow'!Q10</f>
        <v>-2.6220000000000008</v>
      </c>
      <c r="S117" s="87">
        <f>+SUM(O117:R117)</f>
        <v>-10.204000000000001</v>
      </c>
      <c r="T117" s="115"/>
      <c r="U117" s="87">
        <f>-'Cash Flow'!T10</f>
        <v>-2.944</v>
      </c>
      <c r="V117" s="87">
        <f>-'Cash Flow'!U10</f>
        <v>-3.0110000000000001</v>
      </c>
      <c r="W117" s="87">
        <f>-'Cash Flow'!V10</f>
        <v>-2.7390000000000008</v>
      </c>
      <c r="X117" s="87">
        <f>-'Cash Flow'!W10</f>
        <v>-2.6919999999999984</v>
      </c>
      <c r="Y117" s="87">
        <f>+SUM(U117:X117)</f>
        <v>-11.385999999999999</v>
      </c>
      <c r="Z117" s="115"/>
      <c r="AA117" s="87">
        <f>-'Cash Flow'!Z10</f>
        <v>-2.9790000000000001</v>
      </c>
      <c r="AB117" s="87">
        <f>-'Cash Flow'!AA10</f>
        <v>-3.13</v>
      </c>
      <c r="AC117" s="87">
        <f>-'Cash Flow'!AB10</f>
        <v>-2.99</v>
      </c>
      <c r="AD117" s="87">
        <f>-'Cash Flow'!AC10</f>
        <v>-3.0129999999999999</v>
      </c>
      <c r="AE117" s="87">
        <f>+SUM(AA117:AD117)</f>
        <v>-12.112</v>
      </c>
      <c r="AF117" s="115"/>
      <c r="AG117" s="87">
        <f>-'Cash Flow'!AF10</f>
        <v>-2.7530000000000001</v>
      </c>
      <c r="AH117" s="87">
        <f>-'Cash Flow'!AG10</f>
        <v>-3.1520000000000001</v>
      </c>
      <c r="AI117" s="87">
        <f>-'Cash Flow'!AH10</f>
        <v>-3.3090000000000002</v>
      </c>
      <c r="AJ117" s="87">
        <f>-'Cash Flow'!AI10</f>
        <v>-4.226</v>
      </c>
      <c r="AK117" s="87">
        <f>+SUM(AG117:AJ117)</f>
        <v>-13.440000000000001</v>
      </c>
      <c r="AL117" s="115"/>
      <c r="AM117" s="87">
        <f>-'Cash Flow'!AL10</f>
        <v>-3.855</v>
      </c>
      <c r="AN117" s="87">
        <f>-'Cash Flow'!AM10</f>
        <v>-3.2319999999999998</v>
      </c>
      <c r="AO117" s="87">
        <f>-'Cash Flow'!AN10</f>
        <v>-5.5600000000000005</v>
      </c>
      <c r="AP117" s="87">
        <f>-'Cash Flow'!AO10</f>
        <v>-1.2400000000000007</v>
      </c>
      <c r="AQ117" s="87">
        <f>+SUM(AM117:AP117)</f>
        <v>-13.887</v>
      </c>
      <c r="AR117" s="115"/>
      <c r="AS117" s="87">
        <f>-'Cash Flow'!AR10</f>
        <v>-4.7759999999999998</v>
      </c>
      <c r="AT117" s="87">
        <f>-'Cash Flow'!AS10</f>
        <v>-4.354000000000001</v>
      </c>
      <c r="AU117" s="87">
        <f>-'Cash Flow'!AT10</f>
        <v>-4.3389999999999986</v>
      </c>
      <c r="AV117" s="87">
        <f>-'Cash Flow'!AU10</f>
        <v>-4.3870000000000022</v>
      </c>
      <c r="AW117" s="87">
        <f>+SUM(AS117:AV117)</f>
        <v>-17.856000000000002</v>
      </c>
      <c r="AX117" s="115"/>
      <c r="AY117" s="87">
        <f>-'Cash Flow'!AX10</f>
        <v>-4.3079999999999998</v>
      </c>
      <c r="AZ117" s="87">
        <f>-'Cash Flow'!AY10</f>
        <v>-4.33</v>
      </c>
      <c r="BA117" s="87">
        <f>-'Cash Flow'!AZ10</f>
        <v>-4.5030000000000001</v>
      </c>
      <c r="BB117" s="87">
        <f>-'Cash Flow'!BA10</f>
        <v>-4.8630000000000013</v>
      </c>
      <c r="BC117" s="87">
        <f>+SUM(AY117:BB117)</f>
        <v>-18.004000000000001</v>
      </c>
      <c r="BD117" s="115"/>
      <c r="BE117" s="87">
        <f>-'Cash Flow'!BD10</f>
        <v>-4.7919999999999998</v>
      </c>
      <c r="BF117" s="87">
        <f>-'Cash Flow'!BE10</f>
        <v>-5.093</v>
      </c>
      <c r="BG117" s="87">
        <f>-'Cash Flow'!BF10</f>
        <v>-6.9010000000000016</v>
      </c>
      <c r="BH117" s="87">
        <f>-'Cash Flow'!BG10</f>
        <v>-7.2159999999999975</v>
      </c>
      <c r="BI117" s="87">
        <f>+SUM(BE117:BH117)</f>
        <v>-24.001999999999999</v>
      </c>
      <c r="BJ117" s="115"/>
      <c r="BK117" s="87">
        <f>-'Cash Flow'!BJ10</f>
        <v>-7.867</v>
      </c>
      <c r="BL117" s="87">
        <f>-'Cash Flow'!BK10</f>
        <v>-8.8759999999999977</v>
      </c>
      <c r="BM117" s="87">
        <f>-'Cash Flow'!BL10</f>
        <v>-9.9720000000000013</v>
      </c>
      <c r="BN117" s="87">
        <f>-'Cash Flow'!BM10</f>
        <v>-11.023999999999997</v>
      </c>
      <c r="BO117" s="87">
        <f>+SUM(BK117:BN117)</f>
        <v>-37.738999999999997</v>
      </c>
      <c r="BP117" s="115"/>
      <c r="BQ117" s="87">
        <f>-(BQ109*BQ118)/4</f>
        <v>-11.932335</v>
      </c>
      <c r="BR117" s="87">
        <f>-(BR109*BR118)/4</f>
        <v>-13.505261399999998</v>
      </c>
      <c r="BS117" s="87">
        <f>-(BS109*BS118)/4</f>
        <v>-15.23831169065471</v>
      </c>
      <c r="BT117" s="87">
        <f>-(BT109*BT118)/4</f>
        <v>-17.010370456165951</v>
      </c>
      <c r="BU117" s="87">
        <f>+SUM(BQ117:BT117)</f>
        <v>-57.68627854682066</v>
      </c>
      <c r="BV117" s="115"/>
      <c r="BW117" s="87">
        <f>-(BW109*BW118)/4</f>
        <v>-18.954910369523656</v>
      </c>
      <c r="BX117" s="87">
        <f>-(BX109*BX118)/4</f>
        <v>-20.146963093409564</v>
      </c>
      <c r="BY117" s="87">
        <f>-(BY109*BY118)/4</f>
        <v>-21.498566383508582</v>
      </c>
      <c r="BZ117" s="87">
        <f>-(BZ109*BZ118)/4</f>
        <v>-22.867680350441766</v>
      </c>
      <c r="CA117" s="87">
        <f>+SUM(BW117:BZ117)</f>
        <v>-83.468120196883575</v>
      </c>
      <c r="CB117" s="115"/>
      <c r="CC117" s="87">
        <f>-(CC109*CC118)/4</f>
        <v>-24.370620248641401</v>
      </c>
      <c r="CD117" s="87">
        <f>-(CD109*CD118)/4</f>
        <v>-25.774279349927802</v>
      </c>
      <c r="CE117" s="87">
        <f>-(CE109*CE118)/4</f>
        <v>-27.348791683930862</v>
      </c>
      <c r="CF117" s="87">
        <f>-(CF109*CF118)/4</f>
        <v>-28.93975007220164</v>
      </c>
      <c r="CG117" s="87">
        <f>+SUM(CC117:CF117)</f>
        <v>-106.4334413547017</v>
      </c>
      <c r="CH117" s="79"/>
      <c r="CI117" s="79"/>
    </row>
    <row r="118" spans="1:87" ht="12.75" hidden="1" customHeight="1" outlineLevel="1" x14ac:dyDescent="0.2">
      <c r="A118" s="268" t="s">
        <v>274</v>
      </c>
      <c r="B118" s="116"/>
      <c r="C118" s="187">
        <f>-(C117*4)/C109</f>
        <v>0.13816439505704967</v>
      </c>
      <c r="D118" s="187">
        <f>-(D117*4)/D109</f>
        <v>0.14060413774869457</v>
      </c>
      <c r="E118" s="187">
        <f>-(E117*4)/E109</f>
        <v>0.13592207893000816</v>
      </c>
      <c r="F118" s="187">
        <f>-(F117*4)/F109</f>
        <v>0.11662592906669327</v>
      </c>
      <c r="G118" s="187">
        <f>-(G117)/G109</f>
        <v>0.13773127783116551</v>
      </c>
      <c r="H118" s="116"/>
      <c r="I118" s="187">
        <f>-(I117*4)/I109</f>
        <v>0.11902022028604309</v>
      </c>
      <c r="J118" s="187">
        <f>-(J117*4)/J109</f>
        <v>0.11629148817505429</v>
      </c>
      <c r="K118" s="187">
        <f>-(K117*4)/K109</f>
        <v>0.11551858239491396</v>
      </c>
      <c r="L118" s="187">
        <f>-(L117*4)/L109</f>
        <v>0.11369203849518811</v>
      </c>
      <c r="M118" s="187">
        <f>-(M117)/M109</f>
        <v>0.12600058169678424</v>
      </c>
      <c r="N118" s="116"/>
      <c r="O118" s="187">
        <f>-(O117*4)/O109</f>
        <v>0.11061556224672296</v>
      </c>
      <c r="P118" s="187">
        <f>-(P117*4)/P109</f>
        <v>0.11242629782329211</v>
      </c>
      <c r="Q118" s="187">
        <f>-(Q117*4)/Q109</f>
        <v>0.11393430065874423</v>
      </c>
      <c r="R118" s="187">
        <f>-(R117*4)/R109</f>
        <v>0.11347456343453144</v>
      </c>
      <c r="S118" s="187">
        <f>-(S117)/S109</f>
        <v>0.11550564850241109</v>
      </c>
      <c r="T118" s="116"/>
      <c r="U118" s="187">
        <f>-(U117*4)/U109</f>
        <v>0.12398791286311424</v>
      </c>
      <c r="V118" s="187">
        <f>-(V117*4)/V109</f>
        <v>0.12103671098515684</v>
      </c>
      <c r="W118" s="187">
        <f>-(W117*4)/W109</f>
        <v>0.10552270144279856</v>
      </c>
      <c r="X118" s="187">
        <f>-(X117*4)/X109</f>
        <v>0.10072117408263097</v>
      </c>
      <c r="Y118" s="187">
        <f>-(Y117)/Y109</f>
        <v>0.11988165555871422</v>
      </c>
      <c r="Z118" s="116"/>
      <c r="AA118" s="187">
        <f>-(AA117*4)/AA109</f>
        <v>0.12102622437993868</v>
      </c>
      <c r="AB118" s="187">
        <f>-(AB117*4)/AB109</f>
        <v>0.12361403196982713</v>
      </c>
      <c r="AC118" s="187">
        <f>-(AC117*4)/AC109</f>
        <v>0.11179659749485887</v>
      </c>
      <c r="AD118" s="187">
        <f>-(AD117*4)/AD109</f>
        <v>0.10086452919564472</v>
      </c>
      <c r="AE118" s="187">
        <f>-(AE117)/AE109</f>
        <v>0.1230169209205956</v>
      </c>
      <c r="AF118" s="116"/>
      <c r="AG118" s="187">
        <f>-(AG117*4)/AG109</f>
        <v>8.551880528396251E-2</v>
      </c>
      <c r="AH118" s="187">
        <f>-(AH117*4)/AH109</f>
        <v>8.9212176103477078E-2</v>
      </c>
      <c r="AI118" s="187">
        <f>-(AI117*4)/AI109</f>
        <v>8.56449577792876E-2</v>
      </c>
      <c r="AJ118" s="187">
        <f>-(AJ117*4)/AJ109</f>
        <v>0.10548386291590746</v>
      </c>
      <c r="AK118" s="187">
        <f>-(AK117)/AK109</f>
        <v>0.10437456801820344</v>
      </c>
      <c r="AL118" s="116"/>
      <c r="AM118" s="187">
        <f>-(AM117*4)/AM109</f>
        <v>9.2280071813285458E-2</v>
      </c>
      <c r="AN118" s="187">
        <f>-(AN117*4)/AN109</f>
        <v>7.4854667994534121E-2</v>
      </c>
      <c r="AO118" s="187">
        <f>-(AO117*4)/AO109</f>
        <v>0.12601351925615761</v>
      </c>
      <c r="AP118" s="187">
        <f>-(AP117*4)/AP109</f>
        <v>2.7212078651685404E-2</v>
      </c>
      <c r="AQ118" s="187">
        <f>-(AQ117)/AQ109</f>
        <v>8.3105924596050276E-2</v>
      </c>
      <c r="AR118" s="116"/>
      <c r="AS118" s="187">
        <f>-(AS117*4)/AS109</f>
        <v>0.10242772582997341</v>
      </c>
      <c r="AT118" s="187">
        <f>-(AT117*4)/AT109</f>
        <v>9.094137059548428E-2</v>
      </c>
      <c r="AU118" s="187">
        <f>-(AU117*4)/AU109</f>
        <v>8.8338287389551656E-2</v>
      </c>
      <c r="AV118" s="187">
        <f>-(AV117*4)/AV109</f>
        <v>8.6244096152239449E-2</v>
      </c>
      <c r="AW118" s="187">
        <f>-(AW117)/AW109</f>
        <v>9.5736467358668614E-2</v>
      </c>
      <c r="AX118" s="116"/>
      <c r="AY118" s="187">
        <f>-(AY117*4)/AY109</f>
        <v>8.1821807752939166E-2</v>
      </c>
      <c r="AZ118" s="187">
        <f>-(AZ117*4)/AZ109</f>
        <v>7.6563991936909867E-2</v>
      </c>
      <c r="BA118" s="187">
        <f>-(BA117*4)/BA109</f>
        <v>7.607189917897085E-2</v>
      </c>
      <c r="BB118" s="187">
        <f>-(BB117*4)/BB109</f>
        <v>7.8667998560260799E-2</v>
      </c>
      <c r="BC118" s="187">
        <f>-(BC117)/BC109</f>
        <v>8.5487455129057394E-2</v>
      </c>
      <c r="BD118" s="116"/>
      <c r="BE118" s="187">
        <f>-(BE117*4)/BE109</f>
        <v>7.2590937494082672E-2</v>
      </c>
      <c r="BF118" s="187">
        <f>-(BF117*4)/BF109</f>
        <v>7.1666279699713648E-2</v>
      </c>
      <c r="BG118" s="187">
        <f>-(BG117*4)/BG109</f>
        <v>9.1078263164840995E-2</v>
      </c>
      <c r="BH118" s="187">
        <f>-(BH117*4)/BH109</f>
        <v>9.008092427821969E-2</v>
      </c>
      <c r="BI118" s="187">
        <f>-(BI117)/BI109</f>
        <v>9.0897729639658392E-2</v>
      </c>
      <c r="BJ118" s="116"/>
      <c r="BK118" s="187">
        <f>-(BK117*4)/BK109</f>
        <v>9.4037910414755371E-2</v>
      </c>
      <c r="BL118" s="187">
        <f>-(BL117*4)/BL109</f>
        <v>9.0065956367326214E-2</v>
      </c>
      <c r="BM118" s="187">
        <f>-(BM117*4)/BM109</f>
        <v>9.6656941523131965E-2</v>
      </c>
      <c r="BN118" s="187">
        <f>-(BN117*4)/BN109</f>
        <v>9.5698390341615619E-2</v>
      </c>
      <c r="BO118" s="187">
        <f>-(BO117)/BO109</f>
        <v>0.11277795541955168</v>
      </c>
      <c r="BP118" s="116"/>
      <c r="BQ118" s="249">
        <v>0.09</v>
      </c>
      <c r="BR118" s="249">
        <f>+BQ118</f>
        <v>0.09</v>
      </c>
      <c r="BS118" s="249">
        <f>+BR118</f>
        <v>0.09</v>
      </c>
      <c r="BT118" s="249">
        <f>+BS118</f>
        <v>0.09</v>
      </c>
      <c r="BU118" s="187">
        <f>-(BU117)/BU109</f>
        <v>0.10877512802845921</v>
      </c>
      <c r="BV118" s="116"/>
      <c r="BW118" s="249">
        <f>+BQ118</f>
        <v>0.09</v>
      </c>
      <c r="BX118" s="249">
        <f>+BR118</f>
        <v>0.09</v>
      </c>
      <c r="BY118" s="249">
        <f>+BS118</f>
        <v>0.09</v>
      </c>
      <c r="BZ118" s="249">
        <f>+BT118</f>
        <v>0.09</v>
      </c>
      <c r="CA118" s="187">
        <f>-(CA117)/CA109</f>
        <v>9.9078954625364243E-2</v>
      </c>
      <c r="CB118" s="116"/>
      <c r="CC118" s="249">
        <f>+BW118</f>
        <v>0.09</v>
      </c>
      <c r="CD118" s="249">
        <f>+BX118</f>
        <v>0.09</v>
      </c>
      <c r="CE118" s="249">
        <f>+BY118</f>
        <v>0.09</v>
      </c>
      <c r="CF118" s="249">
        <f>+BZ118</f>
        <v>0.09</v>
      </c>
      <c r="CG118" s="187">
        <f>-(CG117)/CG109</f>
        <v>9.8263909824547413E-2</v>
      </c>
      <c r="CH118" s="92"/>
      <c r="CI118" s="92"/>
    </row>
    <row r="119" spans="1:87" ht="12.75" hidden="1" customHeight="1" outlineLevel="1" x14ac:dyDescent="0.2">
      <c r="A119" s="131" t="s">
        <v>216</v>
      </c>
      <c r="B119" s="115"/>
      <c r="C119" s="188">
        <f>C120-C117-C116</f>
        <v>9.4000000000001194E-2</v>
      </c>
      <c r="D119" s="188">
        <f>D120-D117-D116</f>
        <v>1.4619999999999962</v>
      </c>
      <c r="E119" s="188">
        <f>E120-E117-E116</f>
        <v>-0.91300000000000381</v>
      </c>
      <c r="F119" s="188">
        <f>F120-F117-F116</f>
        <v>2.7530000000000072</v>
      </c>
      <c r="G119" s="188">
        <f>+SUM(C119:F119)</f>
        <v>3.3960000000000008</v>
      </c>
      <c r="H119" s="115"/>
      <c r="I119" s="188">
        <f>I120-I117-I116</f>
        <v>-0.39699999999998425</v>
      </c>
      <c r="J119" s="188">
        <f>J120-J117-J116</f>
        <v>-0.22900000000000631</v>
      </c>
      <c r="K119" s="188">
        <f>K120-K117-K116</f>
        <v>-0.12200000000000699</v>
      </c>
      <c r="L119" s="188">
        <f>L120-L117-L116</f>
        <v>3.1080000000000041</v>
      </c>
      <c r="M119" s="188">
        <f>+SUM(I119:L119)</f>
        <v>2.3600000000000065</v>
      </c>
      <c r="N119" s="115"/>
      <c r="O119" s="188">
        <f>O120-O117-O116</f>
        <v>-0.42200000000000415</v>
      </c>
      <c r="P119" s="188">
        <f>P120-P117-P116</f>
        <v>-0.1039999999999992</v>
      </c>
      <c r="Q119" s="188">
        <f>Q120-Q117-Q116</f>
        <v>1.4739999999999895</v>
      </c>
      <c r="R119" s="188">
        <f>R120-R117-R116</f>
        <v>0.61299999999999955</v>
      </c>
      <c r="S119" s="188">
        <f>+SUM(O119:R119)</f>
        <v>1.5609999999999857</v>
      </c>
      <c r="T119" s="115"/>
      <c r="U119" s="188">
        <f>U120-U117-U116</f>
        <v>-1.1389999999999958</v>
      </c>
      <c r="V119" s="188">
        <f>V120-V117-V116</f>
        <v>0.52299999999999613</v>
      </c>
      <c r="W119" s="188">
        <f>W120-W117-W116</f>
        <v>0.50900000000001455</v>
      </c>
      <c r="X119" s="188">
        <f>X120-X117-X116</f>
        <v>13.72499999999998</v>
      </c>
      <c r="Y119" s="188">
        <f>+SUM(U119:X119)</f>
        <v>13.617999999999995</v>
      </c>
      <c r="Z119" s="115"/>
      <c r="AA119" s="188">
        <f>AA120-AA117-AA116</f>
        <v>0.19200000000002149</v>
      </c>
      <c r="AB119" s="188">
        <f>AB120-AB117-AB116</f>
        <v>3.8329999999999842</v>
      </c>
      <c r="AC119" s="188">
        <f>AC120-AC117-AC116</f>
        <v>-0.25100000000000477</v>
      </c>
      <c r="AD119" s="188">
        <f>AD120-AD117-AD116</f>
        <v>1.3100000000000023</v>
      </c>
      <c r="AE119" s="188">
        <f>+SUM(AA119:AD119)</f>
        <v>5.0840000000000032</v>
      </c>
      <c r="AF119" s="115"/>
      <c r="AG119" s="188">
        <f>AG120-AG117-AG116</f>
        <v>-0.85899999999999466</v>
      </c>
      <c r="AH119" s="188">
        <f>AH120-AH117-AH116</f>
        <v>-0.77200000000000557</v>
      </c>
      <c r="AI119" s="188">
        <f>AI120-AI117-AI116</f>
        <v>0.64300000000001489</v>
      </c>
      <c r="AJ119" s="188">
        <f>AJ120-AJ117-AJ116</f>
        <v>1.3210000000000122</v>
      </c>
      <c r="AK119" s="188">
        <f>+SUM(AG119:AJ119)</f>
        <v>0.33300000000002683</v>
      </c>
      <c r="AL119" s="115"/>
      <c r="AM119" s="188">
        <f>AM120-AM117-AM116</f>
        <v>-8.272000000000034</v>
      </c>
      <c r="AN119" s="188">
        <f>AN120-AN117-AN116</f>
        <v>3.7109999999999985</v>
      </c>
      <c r="AO119" s="188">
        <f>AO120-AO117-AO116</f>
        <v>-0.60300000000000864</v>
      </c>
      <c r="AP119" s="188">
        <f>AP120-AP117-AP116</f>
        <v>-3.8090000000000259</v>
      </c>
      <c r="AQ119" s="188">
        <f>+SUM(AM119:AP119)</f>
        <v>-8.97300000000007</v>
      </c>
      <c r="AR119" s="115"/>
      <c r="AS119" s="188">
        <f>AS120-AS117-AS116</f>
        <v>3.1300000000000239</v>
      </c>
      <c r="AT119" s="188">
        <f>AT120-AT117-AT116</f>
        <v>1.6089999999999947</v>
      </c>
      <c r="AU119" s="188">
        <f>AU120-AU117-AU116</f>
        <v>2.4770000000000181</v>
      </c>
      <c r="AV119" s="188">
        <f>AV120-AV117-AV116</f>
        <v>0.93000000000000682</v>
      </c>
      <c r="AW119" s="188">
        <f>+SUM(AS119:AV119)</f>
        <v>8.1460000000000434</v>
      </c>
      <c r="AX119" s="115"/>
      <c r="AY119" s="188">
        <f>AY120-AY117-AY116</f>
        <v>-1.664999999999992</v>
      </c>
      <c r="AZ119" s="188">
        <f>AZ120-AZ117-AZ116</f>
        <v>2.0349999999999966</v>
      </c>
      <c r="BA119" s="188">
        <f>BA120-BA117-BA116</f>
        <v>6.7210000000000178</v>
      </c>
      <c r="BB119" s="188">
        <f>BB120-BB117-BB116</f>
        <v>3.8100000000000307</v>
      </c>
      <c r="BC119" s="188">
        <f>+SUM(AY119:BB119)</f>
        <v>10.901000000000053</v>
      </c>
      <c r="BD119" s="115"/>
      <c r="BE119" s="188">
        <f>BE120-BE117-BE116</f>
        <v>-3.8590000000000799</v>
      </c>
      <c r="BF119" s="188">
        <f>BF120-BF117-BF116</f>
        <v>-6.8999999999988404E-2</v>
      </c>
      <c r="BG119" s="188">
        <f>BG120-BG117-BG116</f>
        <v>0.53099999999997749</v>
      </c>
      <c r="BH119" s="188">
        <f>BH120-BH117-BH116</f>
        <v>-4.4829999999999472</v>
      </c>
      <c r="BI119" s="188">
        <f>+SUM(BE119:BH119)</f>
        <v>-7.8800000000000381</v>
      </c>
      <c r="BJ119" s="115"/>
      <c r="BK119" s="188">
        <f>BK120-BK117-BK116</f>
        <v>4.8229999999999507</v>
      </c>
      <c r="BL119" s="188">
        <f>BL120-BL117-BL116</f>
        <v>14.246999999999986</v>
      </c>
      <c r="BM119" s="188">
        <f>BM120-BM117-BM116</f>
        <v>2.2290000000000134</v>
      </c>
      <c r="BN119" s="188">
        <f>BN120-BN117-BN116</f>
        <v>-5.6290000000000191</v>
      </c>
      <c r="BO119" s="188">
        <f>+SUM(BK119:BN119)</f>
        <v>15.669999999999931</v>
      </c>
      <c r="BP119" s="115"/>
      <c r="BQ119" s="189">
        <v>0</v>
      </c>
      <c r="BR119" s="189">
        <v>0</v>
      </c>
      <c r="BS119" s="189">
        <v>0</v>
      </c>
      <c r="BT119" s="189">
        <v>0</v>
      </c>
      <c r="BU119" s="188">
        <f>+SUM(BQ119:BT119)</f>
        <v>0</v>
      </c>
      <c r="BV119" s="115"/>
      <c r="BW119" s="189">
        <v>0</v>
      </c>
      <c r="BX119" s="189">
        <v>0</v>
      </c>
      <c r="BY119" s="189">
        <v>0</v>
      </c>
      <c r="BZ119" s="189">
        <v>0</v>
      </c>
      <c r="CA119" s="188">
        <f>+SUM(BW119:BZ119)</f>
        <v>0</v>
      </c>
      <c r="CB119" s="115"/>
      <c r="CC119" s="189">
        <v>0</v>
      </c>
      <c r="CD119" s="189">
        <v>0</v>
      </c>
      <c r="CE119" s="189">
        <v>0</v>
      </c>
      <c r="CF119" s="189">
        <v>0</v>
      </c>
      <c r="CG119" s="188">
        <f>+SUM(CC119:CF119)</f>
        <v>0</v>
      </c>
      <c r="CH119" s="79"/>
      <c r="CI119" s="79"/>
    </row>
    <row r="120" spans="1:87" ht="12.75" hidden="1" customHeight="1" outlineLevel="1" x14ac:dyDescent="0.2">
      <c r="A120" s="79" t="s">
        <v>275</v>
      </c>
      <c r="B120" s="115"/>
      <c r="C120" s="87">
        <f>-C114+C122</f>
        <v>-49.436999999999998</v>
      </c>
      <c r="D120" s="87">
        <f>-D114+D122</f>
        <v>-50.634</v>
      </c>
      <c r="E120" s="87">
        <f>-E114+E122</f>
        <v>-54.174000000000007</v>
      </c>
      <c r="F120" s="89">
        <v>-53.759</v>
      </c>
      <c r="G120" s="87">
        <f>+G116+G117+G119</f>
        <v>-53.759</v>
      </c>
      <c r="H120" s="115"/>
      <c r="I120" s="87">
        <f>-I114+I122</f>
        <v>-56.508999999999986</v>
      </c>
      <c r="J120" s="87">
        <f>-J114+J122</f>
        <v>-59.187999999999995</v>
      </c>
      <c r="K120" s="87">
        <f>-K114+K122</f>
        <v>-61.872</v>
      </c>
      <c r="L120" s="89">
        <v>-61.363</v>
      </c>
      <c r="M120" s="87">
        <f>+M116+M117+M119</f>
        <v>-61.362999999999992</v>
      </c>
      <c r="N120" s="115"/>
      <c r="O120" s="87">
        <f>-O114+O122</f>
        <v>-64.227999999999994</v>
      </c>
      <c r="P120" s="87">
        <f>-P114+P122</f>
        <v>-66.867999999999995</v>
      </c>
      <c r="Q120" s="87">
        <f>-Q114+Q122</f>
        <v>-67.997</v>
      </c>
      <c r="R120" s="89">
        <v>-70.006</v>
      </c>
      <c r="S120" s="87">
        <f>+S116+S117+S119</f>
        <v>-70.006</v>
      </c>
      <c r="T120" s="115"/>
      <c r="U120" s="87">
        <f>-U114+U122</f>
        <v>-74.088999999999999</v>
      </c>
      <c r="V120" s="87">
        <f>-V114+V122</f>
        <v>-76.576999999999998</v>
      </c>
      <c r="W120" s="87">
        <f>-W114+W122</f>
        <v>-78.806999999999988</v>
      </c>
      <c r="X120" s="89">
        <v>-67.774000000000001</v>
      </c>
      <c r="Y120" s="87">
        <f>+Y116+Y117+Y119</f>
        <v>-67.774000000000001</v>
      </c>
      <c r="Z120" s="115"/>
      <c r="AA120" s="87">
        <f>-AA114+AA122</f>
        <v>-70.560999999999979</v>
      </c>
      <c r="AB120" s="87">
        <f>-AB114+AB122</f>
        <v>-69.85799999999999</v>
      </c>
      <c r="AC120" s="87">
        <f>-AC114+AC122</f>
        <v>-73.09899999999999</v>
      </c>
      <c r="AD120" s="87">
        <f>-AD114+AD122</f>
        <v>-74.801999999999992</v>
      </c>
      <c r="AE120" s="87">
        <f>+AE116+AE117+AE119</f>
        <v>-74.801999999999992</v>
      </c>
      <c r="AF120" s="115"/>
      <c r="AG120" s="87">
        <f>-AG114+AG122</f>
        <v>-78.413999999999987</v>
      </c>
      <c r="AH120" s="87">
        <f>-AH114+AH122</f>
        <v>-82.337999999999994</v>
      </c>
      <c r="AI120" s="87">
        <f>-AI114+AI122</f>
        <v>-85.003999999999976</v>
      </c>
      <c r="AJ120" s="87">
        <f>-AJ114+AJ122</f>
        <v>-87.908999999999963</v>
      </c>
      <c r="AK120" s="87">
        <f>+AK116+AK117+AK119</f>
        <v>-87.908999999999963</v>
      </c>
      <c r="AL120" s="115"/>
      <c r="AM120" s="87">
        <f>-AM114+AM122</f>
        <v>-100.036</v>
      </c>
      <c r="AN120" s="87">
        <f>-AN114+AN122</f>
        <v>-99.557000000000002</v>
      </c>
      <c r="AO120" s="87">
        <f>-AO114+AO122</f>
        <v>-105.72000000000001</v>
      </c>
      <c r="AP120" s="87">
        <f>-AP114+AP122</f>
        <v>-110.76900000000003</v>
      </c>
      <c r="AQ120" s="87">
        <f>+AQ116+AQ117+AQ119</f>
        <v>-110.76900000000003</v>
      </c>
      <c r="AR120" s="115"/>
      <c r="AS120" s="87">
        <f>-AS114+AS122</f>
        <v>-112.41500000000001</v>
      </c>
      <c r="AT120" s="87">
        <f>-AT114+AT122</f>
        <v>-115.16000000000001</v>
      </c>
      <c r="AU120" s="87">
        <f>-AU114+AU122</f>
        <v>-117.02199999999999</v>
      </c>
      <c r="AV120" s="87">
        <f>-AV114+AV122</f>
        <v>-120.47899999999998</v>
      </c>
      <c r="AW120" s="87">
        <f>+AW116+AW117+AW119</f>
        <v>-120.47899999999998</v>
      </c>
      <c r="AX120" s="115"/>
      <c r="AY120" s="87">
        <f>-AY114+AY122</f>
        <v>-126.45199999999998</v>
      </c>
      <c r="AZ120" s="87">
        <f>-AZ114+AZ122</f>
        <v>-128.74699999999999</v>
      </c>
      <c r="BA120" s="87">
        <f>-BA114+BA122</f>
        <v>-126.52899999999997</v>
      </c>
      <c r="BB120" s="87">
        <f>-BB114+BB122</f>
        <v>-127.58199999999994</v>
      </c>
      <c r="BC120" s="87">
        <f>+BC116+BC117+BC119</f>
        <v>-127.58199999999992</v>
      </c>
      <c r="BD120" s="115"/>
      <c r="BE120" s="87">
        <f>-BE114+BE122</f>
        <v>-136.233</v>
      </c>
      <c r="BF120" s="87">
        <f>-BF114+BF122</f>
        <v>-141.39499999999998</v>
      </c>
      <c r="BG120" s="87">
        <f>-BG114+BG122</f>
        <v>-147.76500000000001</v>
      </c>
      <c r="BH120" s="87">
        <f>-BH114+BH122</f>
        <v>-159.46399999999997</v>
      </c>
      <c r="BI120" s="87">
        <f>+BI116+BI117+BI119</f>
        <v>-159.46399999999994</v>
      </c>
      <c r="BJ120" s="115"/>
      <c r="BK120" s="87">
        <f>-BK114+BK122</f>
        <v>-162.50799999999998</v>
      </c>
      <c r="BL120" s="87">
        <f>-BL114+BL122</f>
        <v>-157.137</v>
      </c>
      <c r="BM120" s="87">
        <f>-BM114+BM122</f>
        <v>-164.88</v>
      </c>
      <c r="BN120" s="87">
        <f>-BN114+BN122</f>
        <v>-181.53300000000002</v>
      </c>
      <c r="BO120" s="87">
        <f>+BO116+BO117+BO119</f>
        <v>-181.53300000000002</v>
      </c>
      <c r="BP120" s="115"/>
      <c r="BQ120" s="87">
        <f>+BQ116+BQ117+BQ119</f>
        <v>-193.46533500000001</v>
      </c>
      <c r="BR120" s="87">
        <f>+BR116+BR117+BR119</f>
        <v>-206.97059640000001</v>
      </c>
      <c r="BS120" s="87">
        <f>+BS116+BS117+BS119</f>
        <v>-222.20890809065472</v>
      </c>
      <c r="BT120" s="87">
        <f>+BT116+BT117+BT119</f>
        <v>-239.21927854682068</v>
      </c>
      <c r="BU120" s="87">
        <f>+BU116+BU117+BU119</f>
        <v>-239.21927854682068</v>
      </c>
      <c r="BV120" s="115"/>
      <c r="BW120" s="87">
        <f>+BW116+BW117+BW119</f>
        <v>-258.17418891634435</v>
      </c>
      <c r="BX120" s="87">
        <f>+BX116+BX117+BX119</f>
        <v>-278.32115200975392</v>
      </c>
      <c r="BY120" s="87">
        <f>+BY116+BY117+BY119</f>
        <v>-299.81971839326252</v>
      </c>
      <c r="BZ120" s="87">
        <f>+BZ116+BZ117+BZ119</f>
        <v>-322.68739874370431</v>
      </c>
      <c r="CA120" s="87">
        <f>+CA116+CA117+CA119</f>
        <v>-322.68739874370425</v>
      </c>
      <c r="CB120" s="115"/>
      <c r="CC120" s="87">
        <f>+CC116+CC117+CC119</f>
        <v>-347.05801899234564</v>
      </c>
      <c r="CD120" s="87">
        <f>+CD116+CD117+CD119</f>
        <v>-372.83229834227342</v>
      </c>
      <c r="CE120" s="87">
        <f>+CE116+CE117+CE119</f>
        <v>-400.18109002620429</v>
      </c>
      <c r="CF120" s="87">
        <f>+CF116+CF117+CF119</f>
        <v>-429.12084009840595</v>
      </c>
      <c r="CG120" s="87">
        <f>+CG116+CG117+CG119</f>
        <v>-429.12084009840595</v>
      </c>
      <c r="CH120" s="79"/>
      <c r="CI120" s="79"/>
    </row>
    <row r="121" spans="1:87" ht="12.75" hidden="1" customHeight="1" outlineLevel="1" x14ac:dyDescent="0.2">
      <c r="A121" s="79"/>
      <c r="B121" s="115"/>
      <c r="C121" s="87"/>
      <c r="D121" s="87"/>
      <c r="E121" s="87"/>
      <c r="F121" s="87"/>
      <c r="G121" s="87"/>
      <c r="H121" s="115"/>
      <c r="I121" s="87"/>
      <c r="J121" s="87"/>
      <c r="K121" s="87"/>
      <c r="L121" s="87"/>
      <c r="M121" s="87"/>
      <c r="N121" s="115"/>
      <c r="O121" s="87"/>
      <c r="P121" s="87"/>
      <c r="Q121" s="87"/>
      <c r="R121" s="87"/>
      <c r="S121" s="87"/>
      <c r="T121" s="115"/>
      <c r="U121" s="87"/>
      <c r="V121" s="87"/>
      <c r="W121" s="87"/>
      <c r="X121" s="87"/>
      <c r="Y121" s="87"/>
      <c r="Z121" s="115"/>
      <c r="AA121" s="87"/>
      <c r="AB121" s="87"/>
      <c r="AC121" s="87"/>
      <c r="AD121" s="87"/>
      <c r="AE121" s="87"/>
      <c r="AF121" s="115"/>
      <c r="AG121" s="87"/>
      <c r="AH121" s="87"/>
      <c r="AI121" s="87"/>
      <c r="AJ121" s="87"/>
      <c r="AK121" s="87"/>
      <c r="AL121" s="115"/>
      <c r="AM121" s="87"/>
      <c r="AN121" s="87"/>
      <c r="AO121" s="87"/>
      <c r="AP121" s="87"/>
      <c r="AQ121" s="87"/>
      <c r="AR121" s="115"/>
      <c r="AS121" s="87"/>
      <c r="AT121" s="87"/>
      <c r="AU121" s="87"/>
      <c r="AV121" s="87"/>
      <c r="AW121" s="87"/>
      <c r="AX121" s="115"/>
      <c r="AY121" s="87"/>
      <c r="AZ121" s="87"/>
      <c r="BA121" s="87"/>
      <c r="BB121" s="87"/>
      <c r="BC121" s="87"/>
      <c r="BD121" s="115"/>
      <c r="BE121" s="87"/>
      <c r="BF121" s="87"/>
      <c r="BG121" s="87"/>
      <c r="BH121" s="87"/>
      <c r="BI121" s="87"/>
      <c r="BJ121" s="115"/>
      <c r="BK121" s="87"/>
      <c r="BL121" s="87"/>
      <c r="BM121" s="87"/>
      <c r="BN121" s="87"/>
      <c r="BO121" s="87"/>
      <c r="BP121" s="115"/>
      <c r="BQ121" s="87"/>
      <c r="BR121" s="87"/>
      <c r="BS121" s="87"/>
      <c r="BT121" s="87"/>
      <c r="BU121" s="87"/>
      <c r="BV121" s="115"/>
      <c r="BW121" s="87"/>
      <c r="BX121" s="87"/>
      <c r="BY121" s="87"/>
      <c r="BZ121" s="87"/>
      <c r="CA121" s="87"/>
      <c r="CB121" s="115"/>
      <c r="CC121" s="87"/>
      <c r="CD121" s="87"/>
      <c r="CE121" s="87"/>
      <c r="CF121" s="87"/>
      <c r="CG121" s="87"/>
      <c r="CH121" s="79"/>
      <c r="CI121" s="79"/>
    </row>
    <row r="122" spans="1:87" ht="12.75" hidden="1" customHeight="1" outlineLevel="1" x14ac:dyDescent="0.2">
      <c r="A122" s="79" t="s">
        <v>276</v>
      </c>
      <c r="B122" s="115"/>
      <c r="C122" s="115">
        <f t="shared" ref="C122:AA122" si="151">C17</f>
        <v>26.207999999999998</v>
      </c>
      <c r="D122" s="115">
        <f t="shared" si="151"/>
        <v>26.675000000000001</v>
      </c>
      <c r="E122" s="115">
        <f t="shared" si="151"/>
        <v>26.013999999999999</v>
      </c>
      <c r="F122" s="115">
        <f t="shared" si="151"/>
        <v>25.32</v>
      </c>
      <c r="G122" s="115">
        <f t="shared" si="151"/>
        <v>25.32</v>
      </c>
      <c r="H122" s="115"/>
      <c r="I122" s="115">
        <f t="shared" si="151"/>
        <v>27.762</v>
      </c>
      <c r="J122" s="115">
        <f t="shared" si="151"/>
        <v>29.524999999999999</v>
      </c>
      <c r="K122" s="115">
        <f t="shared" si="151"/>
        <v>29.568000000000001</v>
      </c>
      <c r="L122" s="115">
        <f t="shared" si="151"/>
        <v>26.978999999999999</v>
      </c>
      <c r="M122" s="115">
        <f t="shared" si="151"/>
        <v>26.978999999999999</v>
      </c>
      <c r="N122" s="115"/>
      <c r="O122" s="115">
        <f t="shared" si="151"/>
        <v>26</v>
      </c>
      <c r="P122" s="115">
        <f t="shared" si="151"/>
        <v>24.518000000000001</v>
      </c>
      <c r="Q122" s="115">
        <f t="shared" si="151"/>
        <v>24.428999999999998</v>
      </c>
      <c r="R122" s="115">
        <f t="shared" si="151"/>
        <v>24.971</v>
      </c>
      <c r="S122" s="115">
        <f t="shared" si="151"/>
        <v>24.971</v>
      </c>
      <c r="T122" s="115"/>
      <c r="U122" s="115">
        <f t="shared" si="151"/>
        <v>25.417999999999999</v>
      </c>
      <c r="V122" s="115">
        <f t="shared" si="151"/>
        <v>27.248999999999999</v>
      </c>
      <c r="W122" s="115">
        <f t="shared" si="151"/>
        <v>28.102</v>
      </c>
      <c r="X122" s="115">
        <f t="shared" si="151"/>
        <v>30.684000000000001</v>
      </c>
      <c r="Y122" s="115">
        <f t="shared" si="151"/>
        <v>30.684000000000001</v>
      </c>
      <c r="Z122" s="115"/>
      <c r="AA122" s="115">
        <f t="shared" si="151"/>
        <v>30.722000000000001</v>
      </c>
      <c r="AB122" s="115">
        <f>AB17</f>
        <v>37.122</v>
      </c>
      <c r="AC122" s="115">
        <f>AC17</f>
        <v>46.387999999999998</v>
      </c>
      <c r="AD122" s="115">
        <f>AD17</f>
        <v>53.965000000000003</v>
      </c>
      <c r="AE122" s="115">
        <f>+AE114+AE120</f>
        <v>53.965000000000003</v>
      </c>
      <c r="AF122" s="115"/>
      <c r="AG122" s="115">
        <f>AG17</f>
        <v>62.911999999999999</v>
      </c>
      <c r="AH122" s="115">
        <f>AH17</f>
        <v>72.206999999999994</v>
      </c>
      <c r="AI122" s="115">
        <f>AI17</f>
        <v>75.248000000000005</v>
      </c>
      <c r="AJ122" s="115">
        <f>AJ17</f>
        <v>79.191000000000003</v>
      </c>
      <c r="AK122" s="115">
        <f>+AK114+AK120</f>
        <v>79.191000000000031</v>
      </c>
      <c r="AL122" s="115"/>
      <c r="AM122" s="115">
        <f>AM17</f>
        <v>72.671999999999997</v>
      </c>
      <c r="AN122" s="115">
        <f>AN17</f>
        <v>76.932000000000002</v>
      </c>
      <c r="AO122" s="115">
        <f>AO17</f>
        <v>76.552000000000007</v>
      </c>
      <c r="AP122" s="115">
        <f>AP17</f>
        <v>75.742999999999995</v>
      </c>
      <c r="AQ122" s="115">
        <f>+AQ114+AQ120</f>
        <v>75.742999999999967</v>
      </c>
      <c r="AR122" s="115"/>
      <c r="AS122" s="115">
        <f>AS17</f>
        <v>79.093000000000004</v>
      </c>
      <c r="AT122" s="115">
        <f>AT17</f>
        <v>81.311999999999998</v>
      </c>
      <c r="AU122" s="115">
        <f>AU17</f>
        <v>86.447000000000003</v>
      </c>
      <c r="AV122" s="115">
        <f>AV17</f>
        <v>90.125</v>
      </c>
      <c r="AW122" s="115">
        <f>+AW114+AW120</f>
        <v>90.125</v>
      </c>
      <c r="AX122" s="115"/>
      <c r="AY122" s="115">
        <f>AY17</f>
        <v>99.763999999999996</v>
      </c>
      <c r="AZ122" s="115">
        <f>AZ17</f>
        <v>108.029</v>
      </c>
      <c r="BA122" s="115">
        <f>BA17</f>
        <v>120.738</v>
      </c>
      <c r="BB122" s="115">
        <f>BB17</f>
        <v>136.47300000000001</v>
      </c>
      <c r="BC122" s="115">
        <f>+BC114+BC120</f>
        <v>136.47300000000007</v>
      </c>
      <c r="BD122" s="115"/>
      <c r="BE122" s="115">
        <f>BE17</f>
        <v>148.029</v>
      </c>
      <c r="BF122" s="115">
        <f>BF17</f>
        <v>161.685</v>
      </c>
      <c r="BG122" s="115">
        <f>BG17</f>
        <v>172.65799999999999</v>
      </c>
      <c r="BH122" s="115">
        <f>BH17</f>
        <v>175.167</v>
      </c>
      <c r="BI122" s="115">
        <f>+BI114+BI120</f>
        <v>175.16700000000003</v>
      </c>
      <c r="BJ122" s="115"/>
      <c r="BK122" s="115">
        <f>BK17</f>
        <v>231.69200000000001</v>
      </c>
      <c r="BL122" s="115">
        <f>BL17</f>
        <v>255.53899999999999</v>
      </c>
      <c r="BM122" s="115">
        <f>BM17</f>
        <v>295.90100000000001</v>
      </c>
      <c r="BN122" s="115">
        <f>BN17</f>
        <v>348.79300000000001</v>
      </c>
      <c r="BO122" s="115">
        <f>+BO114+BO120</f>
        <v>348.79300000000001</v>
      </c>
      <c r="BP122" s="115"/>
      <c r="BQ122" s="115">
        <f>+BQ114+BQ120</f>
        <v>406.768505</v>
      </c>
      <c r="BR122" s="115">
        <f>+BR114+BR120</f>
        <v>470.28770096243159</v>
      </c>
      <c r="BS122" s="115">
        <f>+BS114+BS120</f>
        <v>533.80755662783201</v>
      </c>
      <c r="BT122" s="115">
        <f>+BT114+BT120</f>
        <v>603.22118232089747</v>
      </c>
      <c r="BU122" s="115">
        <f>+BU114+BU120</f>
        <v>603.22118232089736</v>
      </c>
      <c r="BV122" s="115"/>
      <c r="BW122" s="115">
        <f>+BW114+BW120</f>
        <v>637.24639301296975</v>
      </c>
      <c r="BX122" s="115">
        <f>+BX114+BX120</f>
        <v>677.17068725729428</v>
      </c>
      <c r="BY122" s="115">
        <f>+BY114+BY120</f>
        <v>716.52163051526054</v>
      </c>
      <c r="BZ122" s="115">
        <f>+BZ114+BZ120</f>
        <v>760.45127897369139</v>
      </c>
      <c r="CA122" s="115">
        <f>+CA114+CA120</f>
        <v>760.45127897369139</v>
      </c>
      <c r="CB122" s="115"/>
      <c r="CC122" s="115">
        <f>+CC114+CC120</f>
        <v>798.46550767111228</v>
      </c>
      <c r="CD122" s="115">
        <f>+CD114+CD120</f>
        <v>842.66955427687617</v>
      </c>
      <c r="CE122" s="115">
        <f>+CE114+CE120</f>
        <v>886.03002429386868</v>
      </c>
      <c r="CF122" s="115">
        <f>+CF114+CF120</f>
        <v>934.25831155520814</v>
      </c>
      <c r="CG122" s="115">
        <f>+CG114+CG120</f>
        <v>934.25831155520814</v>
      </c>
      <c r="CH122" s="79"/>
      <c r="CI122" s="79"/>
    </row>
    <row r="123" spans="1:87" ht="12.75" hidden="1" customHeight="1" outlineLevel="1" x14ac:dyDescent="0.2">
      <c r="A123" s="79"/>
      <c r="B123" s="115"/>
      <c r="C123" s="95"/>
      <c r="D123" s="95"/>
      <c r="E123" s="95"/>
      <c r="F123" s="277"/>
      <c r="G123" s="277"/>
      <c r="H123" s="115"/>
      <c r="I123" s="95"/>
      <c r="J123" s="95"/>
      <c r="K123" s="95"/>
      <c r="L123" s="277"/>
      <c r="M123" s="95"/>
      <c r="N123" s="115"/>
      <c r="O123" s="95"/>
      <c r="P123" s="95"/>
      <c r="Q123" s="95"/>
      <c r="R123" s="277"/>
      <c r="S123" s="95"/>
      <c r="T123" s="115"/>
      <c r="U123" s="95"/>
      <c r="V123" s="95"/>
      <c r="W123" s="95"/>
      <c r="X123" s="277"/>
      <c r="Y123" s="42"/>
      <c r="Z123" s="115"/>
      <c r="AA123" s="42"/>
      <c r="AB123" s="95"/>
      <c r="AC123" s="95"/>
      <c r="AD123" s="95"/>
      <c r="AE123" s="309"/>
      <c r="AF123" s="115"/>
      <c r="AG123" s="42"/>
      <c r="AH123" s="95"/>
      <c r="AI123" s="95"/>
      <c r="AJ123" s="42"/>
      <c r="AK123" s="42"/>
      <c r="AL123" s="115"/>
      <c r="AM123" s="42"/>
      <c r="AN123" s="42"/>
      <c r="AO123" s="95"/>
      <c r="AP123" s="42"/>
      <c r="AQ123" s="42"/>
      <c r="AR123" s="115"/>
      <c r="AS123" s="42"/>
      <c r="AT123" s="42"/>
      <c r="AU123" s="42"/>
      <c r="AV123" s="42"/>
      <c r="AW123" s="42"/>
      <c r="AX123" s="115"/>
      <c r="AY123" s="42"/>
      <c r="AZ123" s="42"/>
      <c r="BA123" s="42"/>
      <c r="BB123" s="42"/>
      <c r="BC123" s="42"/>
      <c r="BD123" s="115"/>
      <c r="BE123" s="42"/>
      <c r="BF123" s="42"/>
      <c r="BG123" s="42"/>
      <c r="BH123" s="42"/>
      <c r="BI123" s="42"/>
      <c r="BJ123" s="115"/>
      <c r="BK123" s="42"/>
      <c r="BL123" s="42"/>
      <c r="BM123" s="42"/>
      <c r="BN123" s="42"/>
      <c r="BO123" s="42"/>
      <c r="BP123" s="115"/>
      <c r="BQ123" s="42"/>
      <c r="BR123" s="42"/>
      <c r="BS123" s="42"/>
      <c r="BT123" s="42"/>
      <c r="BU123" s="42"/>
      <c r="BV123" s="115"/>
      <c r="BW123" s="42"/>
      <c r="BX123" s="42"/>
      <c r="BY123" s="42"/>
      <c r="BZ123" s="42"/>
      <c r="CA123" s="42"/>
      <c r="CB123" s="115"/>
      <c r="CC123" s="42"/>
      <c r="CD123" s="42"/>
      <c r="CE123" s="42"/>
      <c r="CF123" s="42"/>
      <c r="CG123" s="42"/>
      <c r="CH123" s="42"/>
      <c r="CI123" s="42"/>
    </row>
    <row r="124" spans="1:87" ht="12.75" hidden="1" customHeight="1" outlineLevel="1" x14ac:dyDescent="0.2">
      <c r="A124" s="24" t="s">
        <v>277</v>
      </c>
      <c r="B124" s="115"/>
      <c r="C124" s="87"/>
      <c r="D124" s="87"/>
      <c r="E124" s="87"/>
      <c r="F124" s="87"/>
      <c r="G124" s="87"/>
      <c r="H124" s="115"/>
      <c r="I124" s="87"/>
      <c r="J124" s="87"/>
      <c r="K124" s="87"/>
      <c r="L124" s="87"/>
      <c r="M124" s="87"/>
      <c r="N124" s="115"/>
      <c r="O124" s="87"/>
      <c r="P124" s="87"/>
      <c r="Q124" s="87"/>
      <c r="R124" s="87"/>
      <c r="S124" s="87"/>
      <c r="T124" s="115"/>
      <c r="U124" s="87"/>
      <c r="V124" s="87"/>
      <c r="W124" s="87"/>
      <c r="X124" s="87"/>
      <c r="Y124" s="87"/>
      <c r="Z124" s="115"/>
      <c r="AA124" s="87"/>
      <c r="AB124" s="87"/>
      <c r="AC124" s="87"/>
      <c r="AD124" s="87"/>
      <c r="AE124" s="87"/>
      <c r="AF124" s="115"/>
      <c r="AG124" s="87"/>
      <c r="AH124" s="87"/>
      <c r="AI124" s="87"/>
      <c r="AJ124" s="87"/>
      <c r="AK124" s="87"/>
      <c r="AL124" s="115"/>
      <c r="AM124" s="87"/>
      <c r="AN124" s="87"/>
      <c r="AO124" s="87"/>
      <c r="AP124" s="87"/>
      <c r="AQ124" s="87"/>
      <c r="AR124" s="115"/>
      <c r="AS124" s="87"/>
      <c r="AT124" s="87"/>
      <c r="AU124" s="87"/>
      <c r="AV124" s="87"/>
      <c r="AW124" s="87"/>
      <c r="AX124" s="115"/>
      <c r="AY124" s="87"/>
      <c r="AZ124" s="87"/>
      <c r="BA124" s="87"/>
      <c r="BB124" s="87"/>
      <c r="BC124" s="87"/>
      <c r="BD124" s="115"/>
      <c r="BE124" s="87"/>
      <c r="BF124" s="87"/>
      <c r="BG124" s="87"/>
      <c r="BH124" s="87"/>
      <c r="BI124" s="87"/>
      <c r="BJ124" s="115"/>
      <c r="BK124" s="87"/>
      <c r="BL124" s="87"/>
      <c r="BM124" s="87"/>
      <c r="BN124" s="87"/>
      <c r="BO124" s="87"/>
      <c r="BP124" s="115"/>
      <c r="BQ124" s="87"/>
      <c r="BR124" s="87"/>
      <c r="BS124" s="87"/>
      <c r="BT124" s="87"/>
      <c r="BU124" s="87"/>
      <c r="BV124" s="115"/>
      <c r="BW124" s="87"/>
      <c r="BX124" s="87"/>
      <c r="BY124" s="87"/>
      <c r="BZ124" s="87"/>
      <c r="CA124" s="87"/>
      <c r="CB124" s="115"/>
      <c r="CC124" s="87"/>
      <c r="CD124" s="87"/>
      <c r="CE124" s="87"/>
      <c r="CF124" s="87"/>
      <c r="CG124" s="87"/>
      <c r="CH124" s="79"/>
      <c r="CI124" s="79"/>
    </row>
    <row r="125" spans="1:87" ht="12.75" hidden="1" customHeight="1" outlineLevel="1" x14ac:dyDescent="0.2">
      <c r="A125" s="79" t="s">
        <v>278</v>
      </c>
      <c r="B125" s="115"/>
      <c r="C125" s="89">
        <v>13.824</v>
      </c>
      <c r="D125" s="87">
        <f>C130</f>
        <v>12.978999999999999</v>
      </c>
      <c r="E125" s="87">
        <f>D130</f>
        <v>12.032999999999999</v>
      </c>
      <c r="F125" s="87">
        <f>E130</f>
        <v>11.324</v>
      </c>
      <c r="G125" s="87">
        <f>C125</f>
        <v>13.824</v>
      </c>
      <c r="H125" s="115"/>
      <c r="I125" s="87">
        <f>G130</f>
        <v>10.615</v>
      </c>
      <c r="J125" s="87">
        <f>I130</f>
        <v>9.9060000000000006</v>
      </c>
      <c r="K125" s="87">
        <f>J130</f>
        <v>9.1969999999999992</v>
      </c>
      <c r="L125" s="87">
        <f>K130</f>
        <v>8.4879999999999995</v>
      </c>
      <c r="M125" s="87">
        <f>G130</f>
        <v>10.615</v>
      </c>
      <c r="N125" s="115"/>
      <c r="O125" s="87">
        <f>M130</f>
        <v>7.7880000000000003</v>
      </c>
      <c r="P125" s="87">
        <f>O130</f>
        <v>7.0880000000000001</v>
      </c>
      <c r="Q125" s="87">
        <f>P130</f>
        <v>6.3879999999999999</v>
      </c>
      <c r="R125" s="87">
        <f>Q130</f>
        <v>5.6879999999999997</v>
      </c>
      <c r="S125" s="87">
        <f>M130</f>
        <v>7.7880000000000003</v>
      </c>
      <c r="T125" s="115"/>
      <c r="U125" s="87">
        <f>S130</f>
        <v>4.9880000000000004</v>
      </c>
      <c r="V125" s="87">
        <f>U130</f>
        <v>4.2880000000000003</v>
      </c>
      <c r="W125" s="87">
        <f>V130</f>
        <v>3.5880000000000001</v>
      </c>
      <c r="X125" s="87">
        <f>W130</f>
        <v>2.8879999999999999</v>
      </c>
      <c r="Y125" s="87">
        <f>S130</f>
        <v>4.9880000000000004</v>
      </c>
      <c r="Z125" s="115"/>
      <c r="AA125" s="87">
        <f>Y130</f>
        <v>2.1880000000000006</v>
      </c>
      <c r="AB125" s="87">
        <f>AA130</f>
        <v>1.488</v>
      </c>
      <c r="AC125" s="87">
        <f>AB130</f>
        <v>52.113</v>
      </c>
      <c r="AD125" s="87">
        <f>AC130</f>
        <v>50.279000000000003</v>
      </c>
      <c r="AE125" s="87">
        <f>Y130</f>
        <v>2.1880000000000006</v>
      </c>
      <c r="AF125" s="115"/>
      <c r="AG125" s="87">
        <f>AE130</f>
        <v>50.021999999999998</v>
      </c>
      <c r="AH125" s="87">
        <f>AG130</f>
        <v>48.875999999999998</v>
      </c>
      <c r="AI125" s="87">
        <f>AH130</f>
        <v>47.901000000000003</v>
      </c>
      <c r="AJ125" s="87">
        <f>AI130</f>
        <v>46.817</v>
      </c>
      <c r="AK125" s="87">
        <f>AE130</f>
        <v>50.021999999999998</v>
      </c>
      <c r="AL125" s="115"/>
      <c r="AM125" s="87">
        <f>AK130</f>
        <v>45.777000000000008</v>
      </c>
      <c r="AN125" s="87">
        <f>AM130</f>
        <v>25.428999999999998</v>
      </c>
      <c r="AO125" s="87">
        <f>AN130</f>
        <v>24.975000000000001</v>
      </c>
      <c r="AP125" s="87">
        <f>AO130</f>
        <v>24.361999999999998</v>
      </c>
      <c r="AQ125" s="87">
        <f>AK130</f>
        <v>45.777000000000008</v>
      </c>
      <c r="AR125" s="115"/>
      <c r="AS125" s="87">
        <f>AQ130</f>
        <v>23.738999999999997</v>
      </c>
      <c r="AT125" s="87">
        <f>AS130</f>
        <v>22.637</v>
      </c>
      <c r="AU125" s="87">
        <f>AT130</f>
        <v>21.988</v>
      </c>
      <c r="AV125" s="87">
        <f>AU130</f>
        <v>21.337000000000003</v>
      </c>
      <c r="AW125" s="87">
        <f>AQ130</f>
        <v>23.738999999999997</v>
      </c>
      <c r="AX125" s="115"/>
      <c r="AY125" s="87">
        <f>AW130</f>
        <v>20.687000000000001</v>
      </c>
      <c r="AZ125" s="87">
        <f>AY130</f>
        <v>20.036999999999999</v>
      </c>
      <c r="BA125" s="87">
        <f>AZ130</f>
        <v>19.387</v>
      </c>
      <c r="BB125" s="87">
        <f>BA130</f>
        <v>18.736999999999998</v>
      </c>
      <c r="BC125" s="87">
        <f>AW130</f>
        <v>20.687000000000001</v>
      </c>
      <c r="BD125" s="115"/>
      <c r="BE125" s="87">
        <f>BC130</f>
        <v>18.088000000000001</v>
      </c>
      <c r="BF125" s="87">
        <f>BE130</f>
        <v>17.437999999999999</v>
      </c>
      <c r="BG125" s="87">
        <f>BF130</f>
        <v>22.63</v>
      </c>
      <c r="BH125" s="87">
        <f>BG130</f>
        <v>21.792000000000002</v>
      </c>
      <c r="BI125" s="87">
        <f>BC130</f>
        <v>18.088000000000001</v>
      </c>
      <c r="BJ125" s="115"/>
      <c r="BK125" s="87">
        <f>BI130</f>
        <v>20.954000000000001</v>
      </c>
      <c r="BL125" s="87">
        <f>BK130</f>
        <v>27.902000000000001</v>
      </c>
      <c r="BM125" s="87">
        <f>BL130</f>
        <v>26.783000000000001</v>
      </c>
      <c r="BN125" s="87">
        <f>BM130</f>
        <v>25.454999999999998</v>
      </c>
      <c r="BO125" s="87">
        <f>BI130</f>
        <v>20.954000000000001</v>
      </c>
      <c r="BP125" s="115"/>
      <c r="BQ125" s="87">
        <f>BO130</f>
        <v>24.454000000000001</v>
      </c>
      <c r="BR125" s="87">
        <f>BQ130</f>
        <v>24.454000000000001</v>
      </c>
      <c r="BS125" s="87">
        <f>BR130</f>
        <v>24.454000000000001</v>
      </c>
      <c r="BT125" s="87">
        <f>BS130</f>
        <v>24.454000000000001</v>
      </c>
      <c r="BU125" s="87">
        <f>BO130</f>
        <v>24.454000000000001</v>
      </c>
      <c r="BV125" s="115"/>
      <c r="BW125" s="87">
        <f>BU130</f>
        <v>24.454000000000001</v>
      </c>
      <c r="BX125" s="87">
        <f>BW130</f>
        <v>24.454000000000001</v>
      </c>
      <c r="BY125" s="87">
        <f>BX130</f>
        <v>24.454000000000001</v>
      </c>
      <c r="BZ125" s="87">
        <f>BY130</f>
        <v>24.454000000000001</v>
      </c>
      <c r="CA125" s="87">
        <f>BU130</f>
        <v>24.454000000000001</v>
      </c>
      <c r="CB125" s="115"/>
      <c r="CC125" s="87">
        <f>CA130</f>
        <v>24.454000000000001</v>
      </c>
      <c r="CD125" s="87">
        <f>CC130</f>
        <v>24.454000000000001</v>
      </c>
      <c r="CE125" s="87">
        <f>CD130</f>
        <v>24.454000000000001</v>
      </c>
      <c r="CF125" s="87">
        <f>CE130</f>
        <v>24.454000000000001</v>
      </c>
      <c r="CG125" s="87">
        <f>CA130</f>
        <v>24.454000000000001</v>
      </c>
      <c r="CH125" s="79"/>
      <c r="CI125" s="79"/>
    </row>
    <row r="126" spans="1:87" ht="12.75" hidden="1" customHeight="1" outlineLevel="1" x14ac:dyDescent="0.2">
      <c r="A126" s="131" t="s">
        <v>270</v>
      </c>
      <c r="B126" s="115"/>
      <c r="C126" s="89">
        <v>0</v>
      </c>
      <c r="D126" s="89">
        <v>0</v>
      </c>
      <c r="E126" s="89">
        <v>0</v>
      </c>
      <c r="F126" s="89">
        <v>0</v>
      </c>
      <c r="G126" s="87">
        <f>+SUM(C126:F126)</f>
        <v>0</v>
      </c>
      <c r="H126" s="115"/>
      <c r="I126" s="89">
        <v>0</v>
      </c>
      <c r="J126" s="89">
        <v>0</v>
      </c>
      <c r="K126" s="89">
        <v>0</v>
      </c>
      <c r="L126" s="89">
        <v>0</v>
      </c>
      <c r="M126" s="87">
        <f>+SUM(I126:L126)</f>
        <v>0</v>
      </c>
      <c r="N126" s="115"/>
      <c r="O126" s="89">
        <v>0</v>
      </c>
      <c r="P126" s="89">
        <v>0</v>
      </c>
      <c r="Q126" s="89">
        <v>0</v>
      </c>
      <c r="R126" s="89">
        <v>0</v>
      </c>
      <c r="S126" s="87">
        <f>+SUM(O126:R126)</f>
        <v>0</v>
      </c>
      <c r="T126" s="115"/>
      <c r="U126" s="89">
        <v>0</v>
      </c>
      <c r="V126" s="89">
        <v>0</v>
      </c>
      <c r="W126" s="89">
        <v>0</v>
      </c>
      <c r="X126" s="89">
        <v>0</v>
      </c>
      <c r="Y126" s="87">
        <f>+SUM(U126:X126)</f>
        <v>0</v>
      </c>
      <c r="Z126" s="115"/>
      <c r="AA126" s="89">
        <v>0</v>
      </c>
      <c r="AB126" s="89">
        <v>0</v>
      </c>
      <c r="AC126" s="89">
        <v>0</v>
      </c>
      <c r="AD126" s="89">
        <v>0</v>
      </c>
      <c r="AE126" s="87">
        <f>SUM(AA126:AD126)</f>
        <v>0</v>
      </c>
      <c r="AF126" s="115"/>
      <c r="AG126" s="89">
        <v>0</v>
      </c>
      <c r="AH126" s="89">
        <v>0</v>
      </c>
      <c r="AI126" s="89">
        <v>0</v>
      </c>
      <c r="AJ126" s="89">
        <v>0</v>
      </c>
      <c r="AK126" s="87">
        <f>SUM(AG126:AJ126)</f>
        <v>0</v>
      </c>
      <c r="AL126" s="115"/>
      <c r="AM126" s="87">
        <v>0</v>
      </c>
      <c r="AN126" s="87">
        <v>0</v>
      </c>
      <c r="AO126" s="89">
        <v>0</v>
      </c>
      <c r="AP126" s="89">
        <v>0</v>
      </c>
      <c r="AQ126" s="87">
        <f>SUM(AM126:AP126)</f>
        <v>0</v>
      </c>
      <c r="AR126" s="115"/>
      <c r="AS126" s="87">
        <v>0</v>
      </c>
      <c r="AT126" s="87">
        <v>0</v>
      </c>
      <c r="AU126" s="87">
        <v>0</v>
      </c>
      <c r="AV126" s="89">
        <v>0</v>
      </c>
      <c r="AW126" s="87">
        <f>SUM(AS126:AV126)</f>
        <v>0</v>
      </c>
      <c r="AX126" s="115"/>
      <c r="AY126" s="87">
        <v>0</v>
      </c>
      <c r="AZ126" s="87">
        <v>0</v>
      </c>
      <c r="BA126" s="87">
        <v>0</v>
      </c>
      <c r="BB126" s="89">
        <v>0</v>
      </c>
      <c r="BC126" s="87">
        <f>SUM(AY126:BB126)</f>
        <v>0</v>
      </c>
      <c r="BD126" s="115"/>
      <c r="BE126" s="87">
        <v>0</v>
      </c>
      <c r="BF126" s="87">
        <v>0</v>
      </c>
      <c r="BG126" s="87">
        <v>0</v>
      </c>
      <c r="BH126" s="89">
        <v>0</v>
      </c>
      <c r="BI126" s="87">
        <f>SUM(BE126:BH126)</f>
        <v>0</v>
      </c>
      <c r="BJ126" s="115"/>
      <c r="BK126" s="87">
        <v>0</v>
      </c>
      <c r="BL126" s="87">
        <v>0</v>
      </c>
      <c r="BM126" s="87">
        <v>0</v>
      </c>
      <c r="BN126" s="89">
        <v>0</v>
      </c>
      <c r="BO126" s="87">
        <f>SUM(BK126:BN126)</f>
        <v>0</v>
      </c>
      <c r="BP126" s="115"/>
      <c r="BQ126" s="87">
        <f>-BQ138*BQ140</f>
        <v>0</v>
      </c>
      <c r="BR126" s="87">
        <f>-BR138*BR140</f>
        <v>0</v>
      </c>
      <c r="BS126" s="87">
        <f>-BS138*BS140</f>
        <v>0</v>
      </c>
      <c r="BT126" s="87">
        <f>-BT138*BT140</f>
        <v>0</v>
      </c>
      <c r="BU126" s="87">
        <f>SUM(BQ126:BT126)</f>
        <v>0</v>
      </c>
      <c r="BV126" s="115"/>
      <c r="BW126" s="87">
        <f>-BW138*BW140</f>
        <v>0</v>
      </c>
      <c r="BX126" s="87">
        <f>-BX138*BX140</f>
        <v>0</v>
      </c>
      <c r="BY126" s="87">
        <f>-BY138*BY140</f>
        <v>0</v>
      </c>
      <c r="BZ126" s="87">
        <f>-BZ138*BZ140</f>
        <v>0</v>
      </c>
      <c r="CA126" s="87">
        <f>SUM(BW126:BZ126)</f>
        <v>0</v>
      </c>
      <c r="CB126" s="115"/>
      <c r="CC126" s="87">
        <f>-CC138*CC140</f>
        <v>0</v>
      </c>
      <c r="CD126" s="87">
        <f>-CD138*CD140</f>
        <v>0</v>
      </c>
      <c r="CE126" s="87">
        <f>-CE138*CE140</f>
        <v>0</v>
      </c>
      <c r="CF126" s="87">
        <f>-CF138*CF140</f>
        <v>0</v>
      </c>
      <c r="CG126" s="87">
        <f>SUM(CC126:CF126)</f>
        <v>0</v>
      </c>
      <c r="CH126" s="79"/>
      <c r="CI126" s="79"/>
    </row>
    <row r="127" spans="1:87" ht="12.75" hidden="1" customHeight="1" outlineLevel="1" x14ac:dyDescent="0.2">
      <c r="A127" s="131" t="s">
        <v>279</v>
      </c>
      <c r="B127" s="115"/>
      <c r="C127" s="87">
        <f>-'Cash Flow'!B12</f>
        <v>0</v>
      </c>
      <c r="D127" s="87">
        <f>-'Cash Flow'!C12</f>
        <v>-1.7909999999999999</v>
      </c>
      <c r="E127" s="87">
        <f>-'Cash Flow'!D12</f>
        <v>-0.70900000000000007</v>
      </c>
      <c r="F127" s="87">
        <f>-'Cash Flow'!E12</f>
        <v>-0.70900000000000007</v>
      </c>
      <c r="G127" s="87">
        <f>SUM(C127:F127)</f>
        <v>-3.2090000000000001</v>
      </c>
      <c r="H127" s="115"/>
      <c r="I127" s="87">
        <f>-'Cash Flow'!H12</f>
        <v>-0.70899999999999996</v>
      </c>
      <c r="J127" s="87">
        <f>-'Cash Flow'!I12</f>
        <v>-0.70899999999999996</v>
      </c>
      <c r="K127" s="87">
        <f>-'Cash Flow'!J12</f>
        <v>-0.70899999999999985</v>
      </c>
      <c r="L127" s="87">
        <f>-'Cash Flow'!K12</f>
        <v>-0.70000000000000018</v>
      </c>
      <c r="M127" s="87">
        <f>SUM(I127:L127)</f>
        <v>-2.827</v>
      </c>
      <c r="N127" s="115"/>
      <c r="O127" s="87">
        <f>-'Cash Flow'!N12</f>
        <v>-0.7</v>
      </c>
      <c r="P127" s="87">
        <f>-'Cash Flow'!O12</f>
        <v>-0.7</v>
      </c>
      <c r="Q127" s="87">
        <f>-'Cash Flow'!P12</f>
        <v>-0.70000000000000018</v>
      </c>
      <c r="R127" s="87">
        <f>-'Cash Flow'!Q12</f>
        <v>-0.69999999999999973</v>
      </c>
      <c r="S127" s="87">
        <f>SUM(O127:R127)</f>
        <v>-2.8</v>
      </c>
      <c r="T127" s="115"/>
      <c r="U127" s="87">
        <f>-'Cash Flow'!T12</f>
        <v>-0.7</v>
      </c>
      <c r="V127" s="87">
        <f>-'Cash Flow'!U12</f>
        <v>-0.7</v>
      </c>
      <c r="W127" s="87">
        <f>-'Cash Flow'!V12</f>
        <v>-0.70000000000000018</v>
      </c>
      <c r="X127" s="87">
        <f>-'Cash Flow'!W12</f>
        <v>-0.69999999999999973</v>
      </c>
      <c r="Y127" s="87">
        <f>SUM(U127:X127)</f>
        <v>-2.8</v>
      </c>
      <c r="Z127" s="115"/>
      <c r="AA127" s="87">
        <f>-'Cash Flow'!Z12</f>
        <v>-0.7</v>
      </c>
      <c r="AB127" s="87">
        <f>-'Cash Flow'!AA12</f>
        <v>-1.4749999999999999</v>
      </c>
      <c r="AC127" s="87">
        <f>-'Cash Flow'!AB12</f>
        <v>-1.8330000000000004</v>
      </c>
      <c r="AD127" s="87">
        <f>-'Cash Flow'!AC12</f>
        <v>-1.3570000000000004</v>
      </c>
      <c r="AE127" s="87">
        <f>SUM(AA127:AD127)</f>
        <v>-5.3650000000000002</v>
      </c>
      <c r="AF127" s="115"/>
      <c r="AG127" s="87">
        <f>-'Cash Flow'!AF12</f>
        <v>-1.1459999999999999</v>
      </c>
      <c r="AH127" s="87">
        <f>-'Cash Flow'!AG12</f>
        <v>-1.1000000000000001</v>
      </c>
      <c r="AI127" s="87">
        <f>-'Cash Flow'!AH12</f>
        <v>-25.748999999999999</v>
      </c>
      <c r="AJ127" s="87">
        <f>-'Cash Flow'!AI12</f>
        <v>23.624000000000002</v>
      </c>
      <c r="AK127" s="87">
        <f>SUM(AG127:AJ127)</f>
        <v>-4.3709999999999951</v>
      </c>
      <c r="AL127" s="115"/>
      <c r="AM127" s="87">
        <f>-'Cash Flow'!AL12</f>
        <v>-1.089</v>
      </c>
      <c r="AN127" s="87">
        <f>-'Cash Flow'!AM12</f>
        <v>-0.61299999999999999</v>
      </c>
      <c r="AO127" s="87">
        <f>-'Cash Flow'!AN12</f>
        <v>1.702</v>
      </c>
      <c r="AP127" s="87">
        <f>-'Cash Flow'!AO12</f>
        <v>-2.9380000000000011</v>
      </c>
      <c r="AQ127" s="87">
        <f>SUM(AM127:AP127)</f>
        <v>-2.9380000000000011</v>
      </c>
      <c r="AR127" s="115"/>
      <c r="AS127" s="87">
        <f>-'Cash Flow'!AR12</f>
        <v>0</v>
      </c>
      <c r="AT127" s="87">
        <f>-'Cash Flow'!AS12</f>
        <v>0</v>
      </c>
      <c r="AU127" s="87">
        <f>-'Cash Flow'!AT12</f>
        <v>0</v>
      </c>
      <c r="AV127" s="87">
        <f>-'Cash Flow'!AU12</f>
        <v>0</v>
      </c>
      <c r="AW127" s="87">
        <f>SUM(AS127:AV127)</f>
        <v>0</v>
      </c>
      <c r="AX127" s="115"/>
      <c r="AY127" s="87">
        <f>-'Cash Flow'!AX12</f>
        <v>0</v>
      </c>
      <c r="AZ127" s="87">
        <f>-'Cash Flow'!AY12</f>
        <v>0</v>
      </c>
      <c r="BA127" s="87">
        <f>-'Cash Flow'!AZ12</f>
        <v>0</v>
      </c>
      <c r="BB127" s="87">
        <f>-'Cash Flow'!BA12</f>
        <v>0</v>
      </c>
      <c r="BC127" s="87">
        <f>SUM(AY127:BB127)</f>
        <v>0</v>
      </c>
      <c r="BD127" s="115"/>
      <c r="BE127" s="87">
        <f>-'Cash Flow'!BD12</f>
        <v>0</v>
      </c>
      <c r="BF127" s="87">
        <f>-'Cash Flow'!BE12</f>
        <v>0</v>
      </c>
      <c r="BG127" s="87">
        <f>-'Cash Flow'!BF12</f>
        <v>0</v>
      </c>
      <c r="BH127" s="87">
        <f>-'Cash Flow'!BG12</f>
        <v>0</v>
      </c>
      <c r="BI127" s="87">
        <f>SUM(BE127:BH127)</f>
        <v>0</v>
      </c>
      <c r="BJ127" s="115"/>
      <c r="BK127" s="87">
        <f>-'Cash Flow'!BJ12</f>
        <v>0</v>
      </c>
      <c r="BL127" s="87">
        <f>-'Cash Flow'!BK12</f>
        <v>0</v>
      </c>
      <c r="BM127" s="87">
        <f>-'Cash Flow'!BL12</f>
        <v>0</v>
      </c>
      <c r="BN127" s="87">
        <f>-'Cash Flow'!BM12</f>
        <v>0</v>
      </c>
      <c r="BO127" s="87">
        <f>SUM(BK127:BN127)</f>
        <v>0</v>
      </c>
      <c r="BP127" s="115"/>
      <c r="BQ127" s="87">
        <f>-(BQ125*BQ128)/4</f>
        <v>0</v>
      </c>
      <c r="BR127" s="87">
        <f>-(BR125*BR128)/4</f>
        <v>0</v>
      </c>
      <c r="BS127" s="87">
        <f>-(BS125*BS128)/4</f>
        <v>0</v>
      </c>
      <c r="BT127" s="87">
        <f>-(BT125*BT128)/4</f>
        <v>0</v>
      </c>
      <c r="BU127" s="87">
        <f>SUM(BQ127:BT127)</f>
        <v>0</v>
      </c>
      <c r="BV127" s="115"/>
      <c r="BW127" s="87">
        <f>-(BW125*BW128)/4</f>
        <v>0</v>
      </c>
      <c r="BX127" s="87">
        <f>-(BX125*BX128)/4</f>
        <v>0</v>
      </c>
      <c r="BY127" s="87">
        <f>-(BY125*BY128)/4</f>
        <v>0</v>
      </c>
      <c r="BZ127" s="87">
        <f>-(BZ125*BZ128)/4</f>
        <v>0</v>
      </c>
      <c r="CA127" s="87">
        <f>SUM(BW127:BZ127)</f>
        <v>0</v>
      </c>
      <c r="CB127" s="115"/>
      <c r="CC127" s="87">
        <f>-(CC125*CC128)/4</f>
        <v>0</v>
      </c>
      <c r="CD127" s="87">
        <f>-(CD125*CD128)/4</f>
        <v>0</v>
      </c>
      <c r="CE127" s="87">
        <f>-(CE125*CE128)/4</f>
        <v>0</v>
      </c>
      <c r="CF127" s="87">
        <f>-(CF125*CF128)/4</f>
        <v>0</v>
      </c>
      <c r="CG127" s="87">
        <f>SUM(CC127:CF127)</f>
        <v>0</v>
      </c>
      <c r="CH127" s="79"/>
      <c r="CI127" s="79"/>
    </row>
    <row r="128" spans="1:87" ht="12.75" hidden="1" customHeight="1" outlineLevel="1" x14ac:dyDescent="0.2">
      <c r="A128" s="310" t="s">
        <v>280</v>
      </c>
      <c r="B128" s="115"/>
      <c r="C128" s="187">
        <f>-(C127*4)/C125</f>
        <v>0</v>
      </c>
      <c r="D128" s="187">
        <f>-(D127*4)/D125</f>
        <v>0.55196856460436095</v>
      </c>
      <c r="E128" s="187">
        <f>-(E127*4)/E125</f>
        <v>0.23568519903598442</v>
      </c>
      <c r="F128" s="187">
        <f>-(F127*4)/F125</f>
        <v>0.25044154009184039</v>
      </c>
      <c r="G128" s="187">
        <f>-(G127)/G125</f>
        <v>0.23213252314814817</v>
      </c>
      <c r="H128" s="115"/>
      <c r="I128" s="187">
        <f>-(I127*4)/I125</f>
        <v>0.26716910032972208</v>
      </c>
      <c r="J128" s="187">
        <f>-(J127*4)/J125</f>
        <v>0.28629113668483747</v>
      </c>
      <c r="K128" s="187">
        <f>-(K127*4)/K125</f>
        <v>0.3083614222028922</v>
      </c>
      <c r="L128" s="187">
        <f>-(L127*4)/L125</f>
        <v>0.32987747408105572</v>
      </c>
      <c r="M128" s="187">
        <f>-(M127)/M125</f>
        <v>0.26632124352331604</v>
      </c>
      <c r="N128" s="115"/>
      <c r="O128" s="187">
        <f>-(O127*4)/O125</f>
        <v>0.35952747817154596</v>
      </c>
      <c r="P128" s="187">
        <f>-(P127*4)/P125</f>
        <v>0.39503386004514668</v>
      </c>
      <c r="Q128" s="187">
        <f>-(Q127*4)/Q125</f>
        <v>0.43832185347526625</v>
      </c>
      <c r="R128" s="187">
        <f>-(R127*4)/R125</f>
        <v>0.49226441631504908</v>
      </c>
      <c r="S128" s="187">
        <f>-(S127)/S125</f>
        <v>0.35952747817154596</v>
      </c>
      <c r="T128" s="115"/>
      <c r="U128" s="187">
        <f>-(U127*4)/U125</f>
        <v>0.56134723336006409</v>
      </c>
      <c r="V128" s="187">
        <f>-(V127*4)/V125</f>
        <v>0.65298507462686561</v>
      </c>
      <c r="W128" s="187">
        <f>-(W127*4)/W125</f>
        <v>0.78037904124860669</v>
      </c>
      <c r="X128" s="187">
        <f>-(X127*4)/X125</f>
        <v>0.9695290858725758</v>
      </c>
      <c r="Y128" s="187">
        <f>-(Y127)/Y125</f>
        <v>0.56134723336006409</v>
      </c>
      <c r="Z128" s="115"/>
      <c r="AA128" s="187">
        <f>-(AA127*4)/AA125</f>
        <v>1.2797074954296157</v>
      </c>
      <c r="AB128" s="187">
        <f>-(AB127*4)/AB125</f>
        <v>3.96505376344086</v>
      </c>
      <c r="AC128" s="187">
        <f>-(AC127*4)/AC125</f>
        <v>0.14069426054919121</v>
      </c>
      <c r="AD128" s="187">
        <f>-(AD127*4)/AD125</f>
        <v>0.10795759661091114</v>
      </c>
      <c r="AE128" s="187">
        <f>-(AE127)/AE125</f>
        <v>2.4520109689213889</v>
      </c>
      <c r="AF128" s="115"/>
      <c r="AG128" s="187">
        <f>-(AG127*4)/AG125</f>
        <v>9.1639678541441755E-2</v>
      </c>
      <c r="AH128" s="187">
        <f>-(AH127*4)/AH125</f>
        <v>9.0023733529748767E-2</v>
      </c>
      <c r="AI128" s="187">
        <f>-(AI127*4)/AI125</f>
        <v>2.1501847560593723</v>
      </c>
      <c r="AJ128" s="187">
        <f>-(AJ127*4)/AJ125</f>
        <v>-2.0184121152572785</v>
      </c>
      <c r="AK128" s="187">
        <f>-(AK127)/AK125</f>
        <v>8.7381552117068398E-2</v>
      </c>
      <c r="AL128" s="115"/>
      <c r="AM128" s="187">
        <f>-(AM127*4)/AM125</f>
        <v>9.5156956550232624E-2</v>
      </c>
      <c r="AN128" s="187">
        <f>-(AN127*4)/AN125</f>
        <v>9.6425341145935747E-2</v>
      </c>
      <c r="AO128" s="187">
        <f>-(AO127*4)/AO125</f>
        <v>-0.27259259259259255</v>
      </c>
      <c r="AP128" s="187">
        <f>-(AP127*4)/AP125</f>
        <v>0.48239060832443992</v>
      </c>
      <c r="AQ128" s="187">
        <f>-(AQ127)/AQ125</f>
        <v>6.4180702099307527E-2</v>
      </c>
      <c r="AR128" s="115"/>
      <c r="AS128" s="187">
        <f>-(AS127*4)/AS125</f>
        <v>0</v>
      </c>
      <c r="AT128" s="187">
        <f>-(AT127*4)/AT125</f>
        <v>0</v>
      </c>
      <c r="AU128" s="187">
        <f>-(AU127*4)/AU125</f>
        <v>0</v>
      </c>
      <c r="AV128" s="187">
        <f>-(AV127*4)/AV125</f>
        <v>0</v>
      </c>
      <c r="AW128" s="187">
        <f>-(AW127)/AW125</f>
        <v>0</v>
      </c>
      <c r="AX128" s="115"/>
      <c r="AY128" s="187">
        <f>-(AY127*4)/AY125</f>
        <v>0</v>
      </c>
      <c r="AZ128" s="187">
        <f>-(AZ127*4)/AZ125</f>
        <v>0</v>
      </c>
      <c r="BA128" s="187">
        <f>-(BA127*4)/BA125</f>
        <v>0</v>
      </c>
      <c r="BB128" s="187">
        <f>-(BB127*4)/BB125</f>
        <v>0</v>
      </c>
      <c r="BC128" s="187">
        <f>-(BC127)/BC125</f>
        <v>0</v>
      </c>
      <c r="BD128" s="115"/>
      <c r="BE128" s="187">
        <f>-(BE127*4)/BE125</f>
        <v>0</v>
      </c>
      <c r="BF128" s="187">
        <f>-(BF127*4)/BF125</f>
        <v>0</v>
      </c>
      <c r="BG128" s="187">
        <f>-(BG127*4)/BG125</f>
        <v>0</v>
      </c>
      <c r="BH128" s="187">
        <f>-(BH127*4)/BH125</f>
        <v>0</v>
      </c>
      <c r="BI128" s="187">
        <f>-(BI127)/BI125</f>
        <v>0</v>
      </c>
      <c r="BJ128" s="115"/>
      <c r="BK128" s="187">
        <f>-(BK127*4)/BK125</f>
        <v>0</v>
      </c>
      <c r="BL128" s="187">
        <f>-(BL127*4)/BL125</f>
        <v>0</v>
      </c>
      <c r="BM128" s="187">
        <f>-(BM127*4)/BM125</f>
        <v>0</v>
      </c>
      <c r="BN128" s="187">
        <f>-(BN127*4)/BN125</f>
        <v>0</v>
      </c>
      <c r="BO128" s="187">
        <f>-(BO127)/BO125</f>
        <v>0</v>
      </c>
      <c r="BP128" s="115"/>
      <c r="BQ128" s="248">
        <v>0</v>
      </c>
      <c r="BR128" s="248">
        <f>+BQ128</f>
        <v>0</v>
      </c>
      <c r="BS128" s="248">
        <f>+BR128</f>
        <v>0</v>
      </c>
      <c r="BT128" s="248">
        <f>+BS128</f>
        <v>0</v>
      </c>
      <c r="BU128" s="187">
        <f>-(BU127)/BU125</f>
        <v>0</v>
      </c>
      <c r="BV128" s="115"/>
      <c r="BW128" s="248">
        <v>0</v>
      </c>
      <c r="BX128" s="248">
        <f t="shared" ref="BX128:BZ128" si="152">+BW128</f>
        <v>0</v>
      </c>
      <c r="BY128" s="248">
        <f t="shared" si="152"/>
        <v>0</v>
      </c>
      <c r="BZ128" s="248">
        <f t="shared" si="152"/>
        <v>0</v>
      </c>
      <c r="CA128" s="187">
        <f t="shared" ref="CA128" si="153">-(CA127)/CA125</f>
        <v>0</v>
      </c>
      <c r="CB128" s="115"/>
      <c r="CC128" s="248">
        <v>0</v>
      </c>
      <c r="CD128" s="248">
        <f t="shared" ref="CD128:CF128" si="154">+CC128</f>
        <v>0</v>
      </c>
      <c r="CE128" s="248">
        <f t="shared" si="154"/>
        <v>0</v>
      </c>
      <c r="CF128" s="248">
        <f t="shared" si="154"/>
        <v>0</v>
      </c>
      <c r="CG128" s="187">
        <f t="shared" ref="CG128" si="155">-(CG127)/CG125</f>
        <v>0</v>
      </c>
      <c r="CH128" s="79"/>
      <c r="CI128" s="79"/>
    </row>
    <row r="129" spans="1:87" ht="12.75" hidden="1" customHeight="1" outlineLevel="1" x14ac:dyDescent="0.2">
      <c r="A129" s="131" t="s">
        <v>216</v>
      </c>
      <c r="B129" s="115"/>
      <c r="C129" s="188">
        <f>C130-C127-C126-C125</f>
        <v>-0.84500000000000064</v>
      </c>
      <c r="D129" s="188">
        <f>D130-D127-D126-D125</f>
        <v>0.84500000000000064</v>
      </c>
      <c r="E129" s="188">
        <f>E130-E127-E126-E125</f>
        <v>0</v>
      </c>
      <c r="F129" s="188">
        <f>F130-F127-F126-F125</f>
        <v>0</v>
      </c>
      <c r="G129" s="188">
        <f>SUM(C129:F129)</f>
        <v>0</v>
      </c>
      <c r="H129" s="115"/>
      <c r="I129" s="188">
        <f>I130-I127-I126-I125</f>
        <v>0</v>
      </c>
      <c r="J129" s="188">
        <f>J130-J127-J126-J125</f>
        <v>0</v>
      </c>
      <c r="K129" s="188">
        <f>K130-K127-K126-K125</f>
        <v>0</v>
      </c>
      <c r="L129" s="188">
        <f>L130-L127-L126-L125</f>
        <v>0</v>
      </c>
      <c r="M129" s="188">
        <f>SUM(I129:L129)</f>
        <v>0</v>
      </c>
      <c r="N129" s="115"/>
      <c r="O129" s="188">
        <f>O130-O127-O126-O125</f>
        <v>0</v>
      </c>
      <c r="P129" s="188">
        <f>P130-P127-P126-P125</f>
        <v>0</v>
      </c>
      <c r="Q129" s="188">
        <f>Q130-Q127-Q126-Q125</f>
        <v>0</v>
      </c>
      <c r="R129" s="188">
        <f>R130-R127-R126-R125</f>
        <v>0</v>
      </c>
      <c r="S129" s="188">
        <f>SUM(O129:R129)</f>
        <v>0</v>
      </c>
      <c r="T129" s="115"/>
      <c r="U129" s="188">
        <f>U130-U127-U126-U125</f>
        <v>0</v>
      </c>
      <c r="V129" s="188">
        <f>V130-V127-V126-V125</f>
        <v>0</v>
      </c>
      <c r="W129" s="188">
        <f>W130-W127-W126-W125</f>
        <v>0</v>
      </c>
      <c r="X129" s="188">
        <f>X130-X127-X126-X125</f>
        <v>0</v>
      </c>
      <c r="Y129" s="188">
        <f>SUM(U129:X129)</f>
        <v>0</v>
      </c>
      <c r="Z129" s="115"/>
      <c r="AA129" s="188">
        <f>AA130-AA127-AA126-AA125</f>
        <v>0</v>
      </c>
      <c r="AB129" s="188">
        <f>AB130-AB127-AB126-AB125</f>
        <v>52.1</v>
      </c>
      <c r="AC129" s="188">
        <f>AC130-AC127-AC126-AC125</f>
        <v>-9.9999999999766942E-4</v>
      </c>
      <c r="AD129" s="188">
        <f>AD130-AD127-AD126-AD125</f>
        <v>1.0999999999999943</v>
      </c>
      <c r="AE129" s="188">
        <f>SUM(AA129:AD129)</f>
        <v>53.198999999999998</v>
      </c>
      <c r="AF129" s="188"/>
      <c r="AG129" s="188">
        <f>AG130-AG127-AG126-AG125</f>
        <v>0</v>
      </c>
      <c r="AH129" s="188">
        <f>AH130-AH127-AH126-AH125</f>
        <v>0.12500000000000711</v>
      </c>
      <c r="AI129" s="188">
        <f>AI130-AI127-AI126-AI125</f>
        <v>24.664999999999999</v>
      </c>
      <c r="AJ129" s="188">
        <f>AJ130-AJ127-AJ126-AJ125</f>
        <v>-24.664000000000001</v>
      </c>
      <c r="AK129" s="188">
        <f>SUM(AG129:AJ129)</f>
        <v>0.12600000000000477</v>
      </c>
      <c r="AL129" s="115"/>
      <c r="AM129" s="188">
        <f>AM130-AM127-AM126-AM125</f>
        <v>-19.259000000000011</v>
      </c>
      <c r="AN129" s="188">
        <f>AN130-AN127-AN126-AN125</f>
        <v>0.15900000000000247</v>
      </c>
      <c r="AO129" s="188">
        <f>AO130-AO127-AO126-AO125</f>
        <v>-2.3150000000000048</v>
      </c>
      <c r="AP129" s="188">
        <f>AP130-AP127-AP126-AP125</f>
        <v>2.3150000000000048</v>
      </c>
      <c r="AQ129" s="188">
        <f>SUM(AM129:AP129)</f>
        <v>-19.100000000000009</v>
      </c>
      <c r="AR129" s="115"/>
      <c r="AS129" s="188">
        <f>AS130-AS127-AS126-AS125</f>
        <v>-1.1019999999999968</v>
      </c>
      <c r="AT129" s="188">
        <f>AT130-AT127-AT126-AT125</f>
        <v>-0.64900000000000091</v>
      </c>
      <c r="AU129" s="188">
        <f>AU130-AU127-AU126-AU125</f>
        <v>-0.65099999999999625</v>
      </c>
      <c r="AV129" s="188">
        <f>AV130-AV127-AV126-AV125</f>
        <v>-0.65000000000000213</v>
      </c>
      <c r="AW129" s="188">
        <f>SUM(AS129:AV129)</f>
        <v>-3.051999999999996</v>
      </c>
      <c r="AX129" s="115"/>
      <c r="AY129" s="188">
        <f>AY130-AY127-AY126-AY125</f>
        <v>-0.65000000000000213</v>
      </c>
      <c r="AZ129" s="188">
        <f>AZ130-AZ127-AZ126-AZ125</f>
        <v>-0.64999999999999858</v>
      </c>
      <c r="BA129" s="188">
        <f>BA130-BA127-BA126-BA125</f>
        <v>-0.65000000000000213</v>
      </c>
      <c r="BB129" s="188">
        <f>BB130-BB127-BB126-BB125</f>
        <v>-0.64899999999999736</v>
      </c>
      <c r="BC129" s="188">
        <f>SUM(AY129:BB129)</f>
        <v>-2.5990000000000002</v>
      </c>
      <c r="BD129" s="115"/>
      <c r="BE129" s="188">
        <f>BE130-BE127-BE126-BE125</f>
        <v>-0.65000000000000213</v>
      </c>
      <c r="BF129" s="188">
        <f>BF130-BF127-BF126-BF125</f>
        <v>5.1920000000000002</v>
      </c>
      <c r="BG129" s="188">
        <f>BG130-BG127-BG126-BG125</f>
        <v>-0.83799999999999741</v>
      </c>
      <c r="BH129" s="188">
        <f>BH130-BH127-BH126-BH125</f>
        <v>-0.83800000000000097</v>
      </c>
      <c r="BI129" s="188">
        <f>SUM(BE129:BH129)</f>
        <v>2.8659999999999997</v>
      </c>
      <c r="BJ129" s="115"/>
      <c r="BK129" s="188">
        <f>BK130-BK127-BK126-BK125</f>
        <v>6.9480000000000004</v>
      </c>
      <c r="BL129" s="188">
        <f>BL130-BL127-BL126-BL125</f>
        <v>-1.1189999999999998</v>
      </c>
      <c r="BM129" s="188">
        <f>BM130-BM127-BM126-BM125</f>
        <v>-1.328000000000003</v>
      </c>
      <c r="BN129" s="188">
        <f>BN130-BN127-BN126-BN125</f>
        <v>-1.0009999999999977</v>
      </c>
      <c r="BO129" s="188">
        <f>SUM(BK129:BN129)</f>
        <v>3.5</v>
      </c>
      <c r="BP129" s="115"/>
      <c r="BQ129" s="188"/>
      <c r="BR129" s="188"/>
      <c r="BS129" s="188"/>
      <c r="BT129" s="188"/>
      <c r="BU129" s="188">
        <f>SUM(BQ129:BT129)</f>
        <v>0</v>
      </c>
      <c r="BV129" s="115"/>
      <c r="BW129" s="188"/>
      <c r="BX129" s="188"/>
      <c r="BY129" s="188"/>
      <c r="BZ129" s="188"/>
      <c r="CA129" s="188">
        <f>SUM(BW129:BZ129)</f>
        <v>0</v>
      </c>
      <c r="CB129" s="115"/>
      <c r="CC129" s="188"/>
      <c r="CD129" s="188"/>
      <c r="CE129" s="188"/>
      <c r="CF129" s="188"/>
      <c r="CG129" s="188">
        <f>SUM(CC129:CF129)</f>
        <v>0</v>
      </c>
      <c r="CH129" s="79"/>
      <c r="CI129" s="79"/>
    </row>
    <row r="130" spans="1:87" ht="12.75" hidden="1" customHeight="1" outlineLevel="1" x14ac:dyDescent="0.2">
      <c r="A130" s="79" t="s">
        <v>281</v>
      </c>
      <c r="B130" s="115"/>
      <c r="C130" s="87">
        <f>+C19</f>
        <v>12.978999999999999</v>
      </c>
      <c r="D130" s="87">
        <f>+D19</f>
        <v>12.032999999999999</v>
      </c>
      <c r="E130" s="87">
        <f>+E19</f>
        <v>11.324</v>
      </c>
      <c r="F130" s="87">
        <f>+F19</f>
        <v>10.615</v>
      </c>
      <c r="G130" s="87">
        <f>G125+G126+G127+G129</f>
        <v>10.615</v>
      </c>
      <c r="H130" s="115"/>
      <c r="I130" s="87">
        <f>+I19</f>
        <v>9.9060000000000006</v>
      </c>
      <c r="J130" s="87">
        <f>+J19</f>
        <v>9.1969999999999992</v>
      </c>
      <c r="K130" s="87">
        <f>+K19</f>
        <v>8.4879999999999995</v>
      </c>
      <c r="L130" s="87">
        <f>+L19</f>
        <v>7.7880000000000003</v>
      </c>
      <c r="M130" s="87">
        <f>M125+M126+M127+M129</f>
        <v>7.7880000000000003</v>
      </c>
      <c r="N130" s="115"/>
      <c r="O130" s="87">
        <f>+O19</f>
        <v>7.0880000000000001</v>
      </c>
      <c r="P130" s="87">
        <f>+P19</f>
        <v>6.3879999999999999</v>
      </c>
      <c r="Q130" s="87">
        <f>+Q19</f>
        <v>5.6879999999999997</v>
      </c>
      <c r="R130" s="87">
        <f>+R19</f>
        <v>4.9880000000000004</v>
      </c>
      <c r="S130" s="87">
        <f>S125+S126+S127+S129</f>
        <v>4.9880000000000004</v>
      </c>
      <c r="T130" s="115"/>
      <c r="U130" s="87">
        <f>+U19</f>
        <v>4.2880000000000003</v>
      </c>
      <c r="V130" s="87">
        <f>+V19</f>
        <v>3.5880000000000001</v>
      </c>
      <c r="W130" s="87">
        <f>+W19</f>
        <v>2.8879999999999999</v>
      </c>
      <c r="X130" s="87">
        <f>+X19</f>
        <v>2.1880000000000002</v>
      </c>
      <c r="Y130" s="87">
        <f>Y125+Y126+Y127+Y129</f>
        <v>2.1880000000000006</v>
      </c>
      <c r="Z130" s="115"/>
      <c r="AA130" s="87">
        <f>+AA19</f>
        <v>1.488</v>
      </c>
      <c r="AB130" s="87">
        <f>+AB19</f>
        <v>52.113</v>
      </c>
      <c r="AC130" s="87">
        <f>+AC19</f>
        <v>50.279000000000003</v>
      </c>
      <c r="AD130" s="87">
        <f>+AD19</f>
        <v>50.021999999999998</v>
      </c>
      <c r="AE130" s="87">
        <f>+AE125+AE126+AE127+AE129</f>
        <v>50.021999999999998</v>
      </c>
      <c r="AF130" s="115"/>
      <c r="AG130" s="87">
        <f>+AG19</f>
        <v>48.875999999999998</v>
      </c>
      <c r="AH130" s="87">
        <f>+AH19</f>
        <v>47.901000000000003</v>
      </c>
      <c r="AI130" s="87">
        <f>+AI19</f>
        <v>46.817</v>
      </c>
      <c r="AJ130" s="87">
        <f>+AJ19</f>
        <v>45.777000000000001</v>
      </c>
      <c r="AK130" s="87">
        <f>+AK125+AK126+AK127+AK129</f>
        <v>45.777000000000008</v>
      </c>
      <c r="AL130" s="115"/>
      <c r="AM130" s="87">
        <f>+AM19</f>
        <v>25.428999999999998</v>
      </c>
      <c r="AN130" s="87">
        <f>+AN19</f>
        <v>24.975000000000001</v>
      </c>
      <c r="AO130" s="87">
        <f>+AO19</f>
        <v>24.361999999999998</v>
      </c>
      <c r="AP130" s="87">
        <f>+AP19</f>
        <v>23.739000000000001</v>
      </c>
      <c r="AQ130" s="87">
        <f>+AQ125+AQ126+AQ127+AQ129</f>
        <v>23.738999999999997</v>
      </c>
      <c r="AR130" s="115"/>
      <c r="AS130" s="87">
        <f>+AS19</f>
        <v>22.637</v>
      </c>
      <c r="AT130" s="87">
        <f>+AT19</f>
        <v>21.988</v>
      </c>
      <c r="AU130" s="87">
        <f>+AU19</f>
        <v>21.337000000000003</v>
      </c>
      <c r="AV130" s="87">
        <f>+AV19</f>
        <v>20.687000000000001</v>
      </c>
      <c r="AW130" s="87">
        <f>+AW125+AW126+AW127+AW129</f>
        <v>20.687000000000001</v>
      </c>
      <c r="AX130" s="115"/>
      <c r="AY130" s="87">
        <f>+AY19</f>
        <v>20.036999999999999</v>
      </c>
      <c r="AZ130" s="87">
        <f>+AZ19</f>
        <v>19.387</v>
      </c>
      <c r="BA130" s="87">
        <f>+BA19</f>
        <v>18.736999999999998</v>
      </c>
      <c r="BB130" s="87">
        <f>+BB19</f>
        <v>18.088000000000001</v>
      </c>
      <c r="BC130" s="87">
        <f>+BC125+BC126+BC127+BC129</f>
        <v>18.088000000000001</v>
      </c>
      <c r="BD130" s="115"/>
      <c r="BE130" s="87">
        <f>+BE19</f>
        <v>17.437999999999999</v>
      </c>
      <c r="BF130" s="87">
        <f>+BF19</f>
        <v>22.63</v>
      </c>
      <c r="BG130" s="87">
        <f>+BG19</f>
        <v>21.792000000000002</v>
      </c>
      <c r="BH130" s="87">
        <f>+BH19</f>
        <v>20.954000000000001</v>
      </c>
      <c r="BI130" s="87">
        <f>+BI125+BI126+BI127+BI129</f>
        <v>20.954000000000001</v>
      </c>
      <c r="BJ130" s="115"/>
      <c r="BK130" s="87">
        <f>+BK19</f>
        <v>27.902000000000001</v>
      </c>
      <c r="BL130" s="87">
        <f>+BL19</f>
        <v>26.783000000000001</v>
      </c>
      <c r="BM130" s="87">
        <f>+BM19</f>
        <v>25.454999999999998</v>
      </c>
      <c r="BN130" s="87">
        <f>+BN19</f>
        <v>24.454000000000001</v>
      </c>
      <c r="BO130" s="87">
        <f>+BO125+BO126+BO127+BO129</f>
        <v>24.454000000000001</v>
      </c>
      <c r="BP130" s="115"/>
      <c r="BQ130" s="87">
        <f>+BQ125+BQ126+BQ127+BQ129</f>
        <v>24.454000000000001</v>
      </c>
      <c r="BR130" s="87">
        <f>+BR125+BR126+BR127+BR129</f>
        <v>24.454000000000001</v>
      </c>
      <c r="BS130" s="87">
        <f>+BS125+BS126+BS127+BS129</f>
        <v>24.454000000000001</v>
      </c>
      <c r="BT130" s="87">
        <f>+BT125+BT126+BT127+BT129</f>
        <v>24.454000000000001</v>
      </c>
      <c r="BU130" s="87">
        <f>+BU125+BU126+BU127+BU129</f>
        <v>24.454000000000001</v>
      </c>
      <c r="BV130" s="115"/>
      <c r="BW130" s="87">
        <f>+BW125+BW126+BW127+BW129</f>
        <v>24.454000000000001</v>
      </c>
      <c r="BX130" s="87">
        <f>+BX125+BX126+BX127+BX129</f>
        <v>24.454000000000001</v>
      </c>
      <c r="BY130" s="87">
        <f>+BY125+BY126+BY127+BY129</f>
        <v>24.454000000000001</v>
      </c>
      <c r="BZ130" s="87">
        <f>+BZ125+BZ126+BZ127+BZ129</f>
        <v>24.454000000000001</v>
      </c>
      <c r="CA130" s="87">
        <f>+CA125+CA126+CA127+CA129</f>
        <v>24.454000000000001</v>
      </c>
      <c r="CB130" s="115"/>
      <c r="CC130" s="87">
        <f>+CC125+CC126+CC127+CC129</f>
        <v>24.454000000000001</v>
      </c>
      <c r="CD130" s="87">
        <f>+CD125+CD126+CD127+CD129</f>
        <v>24.454000000000001</v>
      </c>
      <c r="CE130" s="87">
        <f>+CE125+CE126+CE127+CE129</f>
        <v>24.454000000000001</v>
      </c>
      <c r="CF130" s="87">
        <f>+CF125+CF126+CF127+CF129</f>
        <v>24.454000000000001</v>
      </c>
      <c r="CG130" s="87">
        <f>+CG125+CG126+CG127+CG129</f>
        <v>24.454000000000001</v>
      </c>
      <c r="CH130" s="79"/>
      <c r="CI130" s="79"/>
    </row>
    <row r="131" spans="1:87" ht="12.75" hidden="1" customHeight="1" outlineLevel="1" x14ac:dyDescent="0.2">
      <c r="A131" s="79"/>
      <c r="B131" s="115"/>
      <c r="C131" s="87"/>
      <c r="D131" s="87"/>
      <c r="E131" s="87"/>
      <c r="F131" s="87"/>
      <c r="G131" s="87"/>
      <c r="H131" s="115"/>
      <c r="I131" s="87"/>
      <c r="J131" s="87"/>
      <c r="K131" s="87"/>
      <c r="L131" s="87"/>
      <c r="M131" s="87"/>
      <c r="N131" s="115"/>
      <c r="O131" s="87"/>
      <c r="P131" s="87"/>
      <c r="Q131" s="87"/>
      <c r="R131" s="87"/>
      <c r="S131" s="87"/>
      <c r="T131" s="115"/>
      <c r="U131" s="87"/>
      <c r="V131" s="87"/>
      <c r="W131" s="87"/>
      <c r="X131" s="87"/>
      <c r="Y131" s="87"/>
      <c r="Z131" s="115"/>
      <c r="AA131" s="87"/>
      <c r="AB131" s="87"/>
      <c r="AC131" s="87"/>
      <c r="AD131" s="87"/>
      <c r="AE131" s="87"/>
      <c r="AF131" s="115"/>
      <c r="AG131" s="87"/>
      <c r="AH131" s="87"/>
      <c r="AI131" s="87"/>
      <c r="AJ131" s="87"/>
      <c r="AK131" s="87"/>
      <c r="AL131" s="115"/>
      <c r="AM131" s="87"/>
      <c r="AN131" s="87"/>
      <c r="AO131" s="87"/>
      <c r="AP131" s="87"/>
      <c r="AQ131" s="87"/>
      <c r="AR131" s="115"/>
      <c r="AS131" s="87"/>
      <c r="AT131" s="87"/>
      <c r="AU131" s="87"/>
      <c r="AV131" s="87"/>
      <c r="AW131" s="87"/>
      <c r="AX131" s="115"/>
      <c r="AY131" s="87"/>
      <c r="AZ131" s="87"/>
      <c r="BA131" s="87"/>
      <c r="BB131" s="87"/>
      <c r="BC131" s="87"/>
      <c r="BD131" s="115"/>
      <c r="BE131" s="87"/>
      <c r="BF131" s="87"/>
      <c r="BG131" s="87"/>
      <c r="BH131" s="87"/>
      <c r="BI131" s="87"/>
      <c r="BJ131" s="115"/>
      <c r="BK131" s="87"/>
      <c r="BL131" s="87"/>
      <c r="BM131" s="87"/>
      <c r="BN131" s="87"/>
      <c r="BO131" s="87"/>
      <c r="BP131" s="115"/>
      <c r="BQ131" s="87"/>
      <c r="BR131" s="87"/>
      <c r="BS131" s="87"/>
      <c r="BT131" s="87"/>
      <c r="BU131" s="87"/>
      <c r="BV131" s="115"/>
      <c r="BW131" s="87"/>
      <c r="BX131" s="87"/>
      <c r="BY131" s="87"/>
      <c r="BZ131" s="87"/>
      <c r="CA131" s="87"/>
      <c r="CB131" s="115"/>
      <c r="CC131" s="87"/>
      <c r="CD131" s="87"/>
      <c r="CE131" s="87"/>
      <c r="CF131" s="87"/>
      <c r="CG131" s="87"/>
      <c r="CH131" s="79"/>
      <c r="CI131" s="79"/>
    </row>
    <row r="132" spans="1:87" ht="12.75" hidden="1" customHeight="1" outlineLevel="1" x14ac:dyDescent="0.2">
      <c r="A132" s="24" t="s">
        <v>215</v>
      </c>
      <c r="B132" s="79"/>
      <c r="C132" s="46"/>
      <c r="D132" s="46"/>
      <c r="E132" s="46"/>
      <c r="F132" s="46"/>
      <c r="G132" s="46"/>
      <c r="H132" s="79"/>
      <c r="I132" s="46"/>
      <c r="J132" s="46"/>
      <c r="K132" s="46"/>
      <c r="L132" s="46"/>
      <c r="M132" s="46"/>
      <c r="N132" s="79"/>
      <c r="O132" s="46"/>
      <c r="P132" s="46"/>
      <c r="Q132" s="46"/>
      <c r="R132" s="46"/>
      <c r="S132" s="46"/>
      <c r="T132" s="79"/>
      <c r="U132" s="46"/>
      <c r="V132" s="46"/>
      <c r="W132" s="46"/>
      <c r="X132" s="46"/>
      <c r="Y132" s="46"/>
      <c r="Z132" s="79"/>
      <c r="AA132" s="46"/>
      <c r="AB132" s="46"/>
      <c r="AC132" s="46"/>
      <c r="AD132" s="46"/>
      <c r="AE132" s="46"/>
      <c r="AF132" s="79"/>
      <c r="AG132" s="46"/>
      <c r="AH132" s="46"/>
      <c r="AI132" s="46"/>
      <c r="AJ132" s="46"/>
      <c r="AK132" s="46"/>
      <c r="AL132" s="79"/>
      <c r="AM132" s="46"/>
      <c r="AN132" s="46"/>
      <c r="AO132" s="46"/>
      <c r="AP132" s="46"/>
      <c r="AQ132" s="46"/>
      <c r="AR132" s="79"/>
      <c r="AS132" s="46"/>
      <c r="AT132" s="46"/>
      <c r="AU132" s="46"/>
      <c r="AV132" s="46"/>
      <c r="AW132" s="46"/>
      <c r="AX132" s="79"/>
      <c r="AY132" s="46"/>
      <c r="AZ132" s="46"/>
      <c r="BA132" s="46"/>
      <c r="BB132" s="46"/>
      <c r="BC132" s="46"/>
      <c r="BD132" s="79"/>
      <c r="BE132" s="46"/>
      <c r="BF132" s="46"/>
      <c r="BG132" s="46"/>
      <c r="BH132" s="46"/>
      <c r="BI132" s="46"/>
      <c r="BJ132" s="79"/>
      <c r="BK132" s="46"/>
      <c r="BL132" s="46"/>
      <c r="BM132" s="46"/>
      <c r="BN132" s="46"/>
      <c r="BO132" s="46"/>
      <c r="BP132" s="79"/>
      <c r="BQ132" s="46"/>
      <c r="BR132" s="46"/>
      <c r="BS132" s="46"/>
      <c r="BT132" s="46"/>
      <c r="BU132" s="46"/>
      <c r="BV132" s="79"/>
      <c r="BW132" s="46"/>
      <c r="BX132" s="46"/>
      <c r="BY132" s="46"/>
      <c r="BZ132" s="46"/>
      <c r="CA132" s="46"/>
      <c r="CB132" s="79"/>
      <c r="CC132" s="46"/>
      <c r="CD132" s="46"/>
      <c r="CE132" s="46"/>
      <c r="CF132" s="46"/>
      <c r="CG132" s="46"/>
      <c r="CH132" s="79"/>
      <c r="CI132" s="79"/>
    </row>
    <row r="133" spans="1:87" ht="12.75" hidden="1" customHeight="1" outlineLevel="1" x14ac:dyDescent="0.2">
      <c r="A133" s="79" t="s">
        <v>282</v>
      </c>
      <c r="B133" s="79"/>
      <c r="C133" s="89">
        <v>0.47799999999999998</v>
      </c>
      <c r="D133" s="49">
        <f>C135</f>
        <v>0.47799999999999998</v>
      </c>
      <c r="E133" s="49">
        <f>D135</f>
        <v>0.47799999999999998</v>
      </c>
      <c r="F133" s="49">
        <f>E135</f>
        <v>0.47799999999999998</v>
      </c>
      <c r="G133" s="49">
        <f>C133</f>
        <v>0.47799999999999998</v>
      </c>
      <c r="H133" s="79"/>
      <c r="I133" s="49">
        <f>G135</f>
        <v>0.47799999999999998</v>
      </c>
      <c r="J133" s="49">
        <f>I135</f>
        <v>0.47799999999999998</v>
      </c>
      <c r="K133" s="49">
        <f>J135</f>
        <v>0.47799999999999998</v>
      </c>
      <c r="L133" s="49">
        <f>K135</f>
        <v>0.47799999999999998</v>
      </c>
      <c r="M133" s="49">
        <f>G135</f>
        <v>0.47799999999999998</v>
      </c>
      <c r="N133" s="79"/>
      <c r="O133" s="49">
        <f>M135</f>
        <v>0.47799999999999998</v>
      </c>
      <c r="P133" s="49">
        <f>O135</f>
        <v>0.47799999999999998</v>
      </c>
      <c r="Q133" s="49">
        <f>P135</f>
        <v>0.47799999999999998</v>
      </c>
      <c r="R133" s="49">
        <f>Q135</f>
        <v>0.47799999999999998</v>
      </c>
      <c r="S133" s="49">
        <f>M135</f>
        <v>0.47799999999999998</v>
      </c>
      <c r="T133" s="79"/>
      <c r="U133" s="49">
        <f>S135</f>
        <v>0.47799999999999998</v>
      </c>
      <c r="V133" s="49">
        <f>U135</f>
        <v>0.47799999999999998</v>
      </c>
      <c r="W133" s="49">
        <f>V135</f>
        <v>0.47799999999999998</v>
      </c>
      <c r="X133" s="49">
        <f>W135</f>
        <v>0.47799999999999998</v>
      </c>
      <c r="Y133" s="49">
        <f>S135</f>
        <v>0.47799999999999998</v>
      </c>
      <c r="Z133" s="79"/>
      <c r="AA133" s="49">
        <f>Y135</f>
        <v>0.47799999999999998</v>
      </c>
      <c r="AB133" s="49">
        <f>AA135</f>
        <v>0.47799999999999998</v>
      </c>
      <c r="AC133" s="49">
        <f>AB135</f>
        <v>135.768</v>
      </c>
      <c r="AD133" s="49">
        <f>AC135</f>
        <v>135.74299999999999</v>
      </c>
      <c r="AE133" s="49">
        <f>Y135</f>
        <v>0.47799999999999998</v>
      </c>
      <c r="AF133" s="79"/>
      <c r="AG133" s="49">
        <f>AE135</f>
        <v>135.38300000000001</v>
      </c>
      <c r="AH133" s="49">
        <f>AG135</f>
        <v>135.827</v>
      </c>
      <c r="AI133" s="49">
        <f>AH135</f>
        <v>135.827</v>
      </c>
      <c r="AJ133" s="49">
        <f>+AI135</f>
        <v>111.16200000000001</v>
      </c>
      <c r="AK133" s="49">
        <f>AE135</f>
        <v>135.38300000000001</v>
      </c>
      <c r="AL133" s="79"/>
      <c r="AM133" s="49">
        <f>AK135</f>
        <v>99.236000000000004</v>
      </c>
      <c r="AN133" s="49">
        <f>+AM135</f>
        <v>58.542999999999999</v>
      </c>
      <c r="AO133" s="49">
        <f>AN135</f>
        <v>61.713000000000001</v>
      </c>
      <c r="AP133" s="49">
        <f>+AO135</f>
        <v>61.744999999999997</v>
      </c>
      <c r="AQ133" s="49">
        <f>AK135</f>
        <v>99.236000000000004</v>
      </c>
      <c r="AR133" s="79"/>
      <c r="AS133" s="49">
        <f>AQ135</f>
        <v>61.622999999999998</v>
      </c>
      <c r="AT133" s="49">
        <f>+AS135</f>
        <v>61.750999999999998</v>
      </c>
      <c r="AU133" s="49">
        <f>+AT135</f>
        <v>61.807000000000002</v>
      </c>
      <c r="AV133" s="49">
        <f>+AU135</f>
        <v>61.588999999999999</v>
      </c>
      <c r="AW133" s="49">
        <f>AQ135</f>
        <v>61.622999999999998</v>
      </c>
      <c r="AX133" s="79"/>
      <c r="AY133" s="49">
        <f>AW135</f>
        <v>61.369</v>
      </c>
      <c r="AZ133" s="49">
        <f>+AY135</f>
        <v>61.237000000000002</v>
      </c>
      <c r="BA133" s="49">
        <f>+AZ135</f>
        <v>61.203000000000003</v>
      </c>
      <c r="BB133" s="49">
        <f>+BA135</f>
        <v>60.978000000000002</v>
      </c>
      <c r="BC133" s="49">
        <f>AW135</f>
        <v>61.369</v>
      </c>
      <c r="BD133" s="79"/>
      <c r="BE133" s="49">
        <f>BC135</f>
        <v>61.073999999999998</v>
      </c>
      <c r="BF133" s="49">
        <f>+BE135</f>
        <v>61.167999999999999</v>
      </c>
      <c r="BG133" s="49">
        <f>+BF135</f>
        <v>61.119</v>
      </c>
      <c r="BH133" s="49">
        <f>+BG135</f>
        <v>61.195</v>
      </c>
      <c r="BI133" s="49">
        <f>BC135</f>
        <v>61.073999999999998</v>
      </c>
      <c r="BJ133" s="79"/>
      <c r="BK133" s="49">
        <f>BI135</f>
        <v>61.043999999999997</v>
      </c>
      <c r="BL133" s="49">
        <f>+BK135</f>
        <v>64.545000000000002</v>
      </c>
      <c r="BM133" s="49">
        <f>+BL135</f>
        <v>64.525000000000006</v>
      </c>
      <c r="BN133" s="49">
        <f>+BM135</f>
        <v>64.614999999999995</v>
      </c>
      <c r="BO133" s="49">
        <f>BI135</f>
        <v>61.043999999999997</v>
      </c>
      <c r="BP133" s="79"/>
      <c r="BQ133" s="49">
        <f>BO135</f>
        <v>64.614000000000004</v>
      </c>
      <c r="BR133" s="49">
        <f>+BQ135</f>
        <v>64.614000000000004</v>
      </c>
      <c r="BS133" s="49">
        <f>+BR135</f>
        <v>64.614000000000004</v>
      </c>
      <c r="BT133" s="49">
        <f>+BS135</f>
        <v>64.614000000000004</v>
      </c>
      <c r="BU133" s="49">
        <f>BO135</f>
        <v>64.614000000000004</v>
      </c>
      <c r="BV133" s="79"/>
      <c r="BW133" s="49">
        <f>BU135</f>
        <v>64.614000000000004</v>
      </c>
      <c r="BX133" s="49">
        <f>+BW135</f>
        <v>64.614000000000004</v>
      </c>
      <c r="BY133" s="49">
        <f>+BX135</f>
        <v>64.614000000000004</v>
      </c>
      <c r="BZ133" s="49">
        <f>+BY135</f>
        <v>64.614000000000004</v>
      </c>
      <c r="CA133" s="49">
        <f>BU135</f>
        <v>64.614000000000004</v>
      </c>
      <c r="CB133" s="79"/>
      <c r="CC133" s="49">
        <f>CA135</f>
        <v>64.614000000000004</v>
      </c>
      <c r="CD133" s="49">
        <f>+CC135</f>
        <v>64.614000000000004</v>
      </c>
      <c r="CE133" s="49">
        <f>+CD135</f>
        <v>64.614000000000004</v>
      </c>
      <c r="CF133" s="49">
        <f>+CE135</f>
        <v>64.614000000000004</v>
      </c>
      <c r="CG133" s="49">
        <f>CA135</f>
        <v>64.614000000000004</v>
      </c>
      <c r="CH133" s="79"/>
      <c r="CI133" s="79"/>
    </row>
    <row r="134" spans="1:87" ht="12.75" hidden="1" customHeight="1" outlineLevel="1" x14ac:dyDescent="0.2">
      <c r="A134" s="131" t="s">
        <v>121</v>
      </c>
      <c r="B134" s="79"/>
      <c r="C134" s="188">
        <f>+C135-C133</f>
        <v>0</v>
      </c>
      <c r="D134" s="188">
        <f>+D135-D133</f>
        <v>0</v>
      </c>
      <c r="E134" s="188">
        <f>+E135-E133</f>
        <v>0</v>
      </c>
      <c r="F134" s="188">
        <f>+F135-F133</f>
        <v>0</v>
      </c>
      <c r="G134" s="188">
        <f>SUM(C134:F134)</f>
        <v>0</v>
      </c>
      <c r="H134" s="79"/>
      <c r="I134" s="188">
        <f>+I135-I133</f>
        <v>0</v>
      </c>
      <c r="J134" s="188">
        <f>+J135-J133</f>
        <v>0</v>
      </c>
      <c r="K134" s="188">
        <f>+K135-K133</f>
        <v>0</v>
      </c>
      <c r="L134" s="188">
        <f>+L135-L133</f>
        <v>0</v>
      </c>
      <c r="M134" s="188">
        <f>SUM(I134:L134)</f>
        <v>0</v>
      </c>
      <c r="N134" s="79"/>
      <c r="O134" s="188">
        <f>+O135-O133</f>
        <v>0</v>
      </c>
      <c r="P134" s="188">
        <f>+P135-P133</f>
        <v>0</v>
      </c>
      <c r="Q134" s="188">
        <f>+Q135-Q133</f>
        <v>0</v>
      </c>
      <c r="R134" s="188">
        <f>+R135-R133</f>
        <v>0</v>
      </c>
      <c r="S134" s="188">
        <f>SUM(O134:R134)</f>
        <v>0</v>
      </c>
      <c r="T134" s="79"/>
      <c r="U134" s="188">
        <f>+U135-U133</f>
        <v>0</v>
      </c>
      <c r="V134" s="188">
        <f>+V135-V133</f>
        <v>0</v>
      </c>
      <c r="W134" s="188">
        <f>+W135-W133</f>
        <v>0</v>
      </c>
      <c r="X134" s="188">
        <f>+X135-X133</f>
        <v>0</v>
      </c>
      <c r="Y134" s="188">
        <f>SUM(U134:X134)</f>
        <v>0</v>
      </c>
      <c r="Z134" s="79"/>
      <c r="AA134" s="188">
        <f>+AA135-AA133</f>
        <v>0</v>
      </c>
      <c r="AB134" s="188">
        <f>+AB135-AB133</f>
        <v>135.29</v>
      </c>
      <c r="AC134" s="188">
        <f>+AC135-AC133</f>
        <v>-2.5000000000005684E-2</v>
      </c>
      <c r="AD134" s="188">
        <f>+AD135-AD133</f>
        <v>-0.35999999999998522</v>
      </c>
      <c r="AE134" s="188">
        <f>SUM(AA134:AD134)</f>
        <v>134.905</v>
      </c>
      <c r="AF134" s="79"/>
      <c r="AG134" s="188">
        <f>+AG135-AG133</f>
        <v>0.4439999999999884</v>
      </c>
      <c r="AH134" s="188">
        <f>+AH135-AH133</f>
        <v>0</v>
      </c>
      <c r="AI134" s="188">
        <f>+AI135-AI133</f>
        <v>-24.664999999999992</v>
      </c>
      <c r="AJ134" s="188">
        <f>+AJ135-AJ133</f>
        <v>-11.926000000000002</v>
      </c>
      <c r="AK134" s="188">
        <f>SUM(AG134:AJ134)</f>
        <v>-36.147000000000006</v>
      </c>
      <c r="AL134" s="79"/>
      <c r="AM134" s="188">
        <f>+AM135-AM133</f>
        <v>-40.693000000000005</v>
      </c>
      <c r="AN134" s="188">
        <f>+AN135-AN133</f>
        <v>3.1700000000000017</v>
      </c>
      <c r="AO134" s="188">
        <f>+AO135-AO133</f>
        <v>3.1999999999996476E-2</v>
      </c>
      <c r="AP134" s="188">
        <f>+AP135-AP133</f>
        <v>-0.12199999999999989</v>
      </c>
      <c r="AQ134" s="188">
        <f>SUM(AM134:AP134)</f>
        <v>-37.613000000000007</v>
      </c>
      <c r="AR134" s="79"/>
      <c r="AS134" s="188">
        <f>+AS135-AS133</f>
        <v>0.12800000000000011</v>
      </c>
      <c r="AT134" s="188">
        <f>+AT135-AT133</f>
        <v>5.6000000000004491E-2</v>
      </c>
      <c r="AU134" s="188">
        <f>+AU135-AU133</f>
        <v>-0.21800000000000352</v>
      </c>
      <c r="AV134" s="188">
        <f>+AV135-AV133</f>
        <v>-0.21999999999999886</v>
      </c>
      <c r="AW134" s="188">
        <f>SUM(AS134:AV134)</f>
        <v>-0.25399999999999778</v>
      </c>
      <c r="AX134" s="79"/>
      <c r="AY134" s="188">
        <f>+AY135-AY133</f>
        <v>-0.1319999999999979</v>
      </c>
      <c r="AZ134" s="188">
        <f>+AZ135-AZ133</f>
        <v>-3.399999999999892E-2</v>
      </c>
      <c r="BA134" s="188">
        <f>+BA135-BA133</f>
        <v>-0.22500000000000142</v>
      </c>
      <c r="BB134" s="188">
        <f>+BB135-BB133</f>
        <v>9.5999999999996533E-2</v>
      </c>
      <c r="BC134" s="188">
        <f>SUM(AY134:BB134)</f>
        <v>-0.29500000000000171</v>
      </c>
      <c r="BD134" s="79"/>
      <c r="BE134" s="188">
        <f>+BE135-BE133</f>
        <v>9.4000000000001194E-2</v>
      </c>
      <c r="BF134" s="188">
        <f>+BF135-BF133</f>
        <v>-4.8999999999999488E-2</v>
      </c>
      <c r="BG134" s="188">
        <f>+BG135-BG133</f>
        <v>7.6000000000000512E-2</v>
      </c>
      <c r="BH134" s="188">
        <f>+BH135-BH133</f>
        <v>-0.15100000000000335</v>
      </c>
      <c r="BI134" s="188">
        <f>SUM(BE134:BH134)</f>
        <v>-3.0000000000001137E-2</v>
      </c>
      <c r="BJ134" s="79"/>
      <c r="BK134" s="188">
        <f>+BK135-BK133</f>
        <v>3.5010000000000048</v>
      </c>
      <c r="BL134" s="188">
        <f>+BL135-BL133</f>
        <v>-1.9999999999996021E-2</v>
      </c>
      <c r="BM134" s="188">
        <f>+BM135-BM133</f>
        <v>8.99999999999892E-2</v>
      </c>
      <c r="BN134" s="188">
        <f>+BN135-BN133</f>
        <v>-9.9999999999056399E-4</v>
      </c>
      <c r="BO134" s="188">
        <f>SUM(BK134:BN134)</f>
        <v>3.5700000000000074</v>
      </c>
      <c r="BP134" s="79"/>
      <c r="BQ134" s="188">
        <f>-BQ138*BQ139</f>
        <v>0</v>
      </c>
      <c r="BR134" s="188">
        <f>-BR138*BR139</f>
        <v>0</v>
      </c>
      <c r="BS134" s="188">
        <f>-BS138*BS139</f>
        <v>0</v>
      </c>
      <c r="BT134" s="188">
        <f>-BT138*BT139</f>
        <v>0</v>
      </c>
      <c r="BU134" s="188">
        <f>SUM(BQ134:BT134)</f>
        <v>0</v>
      </c>
      <c r="BV134" s="79"/>
      <c r="BW134" s="188">
        <f>-BW138*BW139</f>
        <v>0</v>
      </c>
      <c r="BX134" s="188">
        <f>-BX138*BX139</f>
        <v>0</v>
      </c>
      <c r="BY134" s="188">
        <f>-BY138*BY139</f>
        <v>0</v>
      </c>
      <c r="BZ134" s="188">
        <f>-BZ138*BZ139</f>
        <v>0</v>
      </c>
      <c r="CA134" s="188">
        <f>SUM(BW134:BZ134)</f>
        <v>0</v>
      </c>
      <c r="CB134" s="79"/>
      <c r="CC134" s="188">
        <f>-CC138*CC139</f>
        <v>0</v>
      </c>
      <c r="CD134" s="188">
        <f>-CD138*CD139</f>
        <v>0</v>
      </c>
      <c r="CE134" s="188">
        <f>-CE138*CE139</f>
        <v>0</v>
      </c>
      <c r="CF134" s="188">
        <f>-CF138*CF139</f>
        <v>0</v>
      </c>
      <c r="CG134" s="188">
        <f>SUM(CC134:CF134)</f>
        <v>0</v>
      </c>
      <c r="CH134" s="79"/>
      <c r="CI134" s="79"/>
    </row>
    <row r="135" spans="1:87" ht="12.75" hidden="1" customHeight="1" outlineLevel="1" x14ac:dyDescent="0.2">
      <c r="A135" s="79" t="s">
        <v>283</v>
      </c>
      <c r="B135" s="79"/>
      <c r="C135" s="49">
        <f>C18</f>
        <v>0.47799999999999998</v>
      </c>
      <c r="D135" s="49">
        <f>D18</f>
        <v>0.47799999999999998</v>
      </c>
      <c r="E135" s="49">
        <f>E18</f>
        <v>0.47799999999999998</v>
      </c>
      <c r="F135" s="49">
        <f>F18</f>
        <v>0.47799999999999998</v>
      </c>
      <c r="G135" s="49">
        <f>G133+G134</f>
        <v>0.47799999999999998</v>
      </c>
      <c r="H135" s="79"/>
      <c r="I135" s="49">
        <f>I18</f>
        <v>0.47799999999999998</v>
      </c>
      <c r="J135" s="49">
        <f>J18</f>
        <v>0.47799999999999998</v>
      </c>
      <c r="K135" s="49">
        <f>K18</f>
        <v>0.47799999999999998</v>
      </c>
      <c r="L135" s="49">
        <f>L18</f>
        <v>0.47799999999999998</v>
      </c>
      <c r="M135" s="49">
        <f>M133+M134</f>
        <v>0.47799999999999998</v>
      </c>
      <c r="N135" s="79"/>
      <c r="O135" s="49">
        <f>O18</f>
        <v>0.47799999999999998</v>
      </c>
      <c r="P135" s="49">
        <f>P18</f>
        <v>0.47799999999999998</v>
      </c>
      <c r="Q135" s="49">
        <f>Q18</f>
        <v>0.47799999999999998</v>
      </c>
      <c r="R135" s="49">
        <f>R18</f>
        <v>0.47799999999999998</v>
      </c>
      <c r="S135" s="49">
        <f>S133+S134</f>
        <v>0.47799999999999998</v>
      </c>
      <c r="T135" s="79"/>
      <c r="U135" s="49">
        <f>U18</f>
        <v>0.47799999999999998</v>
      </c>
      <c r="V135" s="49">
        <f>V18</f>
        <v>0.47799999999999998</v>
      </c>
      <c r="W135" s="49">
        <f>W18</f>
        <v>0.47799999999999998</v>
      </c>
      <c r="X135" s="49">
        <f>X18</f>
        <v>0.47799999999999998</v>
      </c>
      <c r="Y135" s="49">
        <f>Y133+Y134</f>
        <v>0.47799999999999998</v>
      </c>
      <c r="Z135" s="79"/>
      <c r="AA135" s="49">
        <f>AA18</f>
        <v>0.47799999999999998</v>
      </c>
      <c r="AB135" s="49">
        <f>AB18</f>
        <v>135.768</v>
      </c>
      <c r="AC135" s="49">
        <f>AC18</f>
        <v>135.74299999999999</v>
      </c>
      <c r="AD135" s="49">
        <f>AD18</f>
        <v>135.38300000000001</v>
      </c>
      <c r="AE135" s="49">
        <f>AE133+AE134</f>
        <v>135.38300000000001</v>
      </c>
      <c r="AF135" s="79"/>
      <c r="AG135" s="49">
        <f>AG18</f>
        <v>135.827</v>
      </c>
      <c r="AH135" s="49">
        <f>AH18</f>
        <v>135.827</v>
      </c>
      <c r="AI135" s="49">
        <f>AI18</f>
        <v>111.16200000000001</v>
      </c>
      <c r="AJ135" s="49">
        <f>AJ18</f>
        <v>99.236000000000004</v>
      </c>
      <c r="AK135" s="49">
        <f>AK133+AK134</f>
        <v>99.236000000000004</v>
      </c>
      <c r="AL135" s="79"/>
      <c r="AM135" s="49">
        <f>AM18</f>
        <v>58.542999999999999</v>
      </c>
      <c r="AN135" s="49">
        <f>AN18</f>
        <v>61.713000000000001</v>
      </c>
      <c r="AO135" s="49">
        <f>AO18</f>
        <v>61.744999999999997</v>
      </c>
      <c r="AP135" s="49">
        <f>AP18</f>
        <v>61.622999999999998</v>
      </c>
      <c r="AQ135" s="49">
        <f>AQ133+AQ134</f>
        <v>61.622999999999998</v>
      </c>
      <c r="AR135" s="79"/>
      <c r="AS135" s="49">
        <f>AS18</f>
        <v>61.750999999999998</v>
      </c>
      <c r="AT135" s="49">
        <f>AT18</f>
        <v>61.807000000000002</v>
      </c>
      <c r="AU135" s="49">
        <f>AU18</f>
        <v>61.588999999999999</v>
      </c>
      <c r="AV135" s="49">
        <f>AV18</f>
        <v>61.369</v>
      </c>
      <c r="AW135" s="49">
        <f>AW133+AW134</f>
        <v>61.369</v>
      </c>
      <c r="AX135" s="79"/>
      <c r="AY135" s="49">
        <f>AY18</f>
        <v>61.237000000000002</v>
      </c>
      <c r="AZ135" s="49">
        <f>AZ18</f>
        <v>61.203000000000003</v>
      </c>
      <c r="BA135" s="49">
        <f>BA18</f>
        <v>60.978000000000002</v>
      </c>
      <c r="BB135" s="49">
        <f>BB18</f>
        <v>61.073999999999998</v>
      </c>
      <c r="BC135" s="49">
        <f>BC133+BC134</f>
        <v>61.073999999999998</v>
      </c>
      <c r="BD135" s="79"/>
      <c r="BE135" s="49">
        <f>BE18</f>
        <v>61.167999999999999</v>
      </c>
      <c r="BF135" s="49">
        <f>BF18</f>
        <v>61.119</v>
      </c>
      <c r="BG135" s="49">
        <f>BG18</f>
        <v>61.195</v>
      </c>
      <c r="BH135" s="49">
        <f>BH18</f>
        <v>61.043999999999997</v>
      </c>
      <c r="BI135" s="49">
        <f>BI133+BI134</f>
        <v>61.043999999999997</v>
      </c>
      <c r="BJ135" s="79"/>
      <c r="BK135" s="49">
        <f>BK18</f>
        <v>64.545000000000002</v>
      </c>
      <c r="BL135" s="49">
        <f>BL18</f>
        <v>64.525000000000006</v>
      </c>
      <c r="BM135" s="49">
        <f>BM18</f>
        <v>64.614999999999995</v>
      </c>
      <c r="BN135" s="49">
        <f>BN18</f>
        <v>64.614000000000004</v>
      </c>
      <c r="BO135" s="49">
        <f>BO133+BO134</f>
        <v>64.614000000000004</v>
      </c>
      <c r="BP135" s="79"/>
      <c r="BQ135" s="49">
        <f>+SUM(BQ133:BQ134)</f>
        <v>64.614000000000004</v>
      </c>
      <c r="BR135" s="49">
        <f>+SUM(BR133:BR134)</f>
        <v>64.614000000000004</v>
      </c>
      <c r="BS135" s="49">
        <f>+SUM(BS133:BS134)</f>
        <v>64.614000000000004</v>
      </c>
      <c r="BT135" s="49">
        <f>+SUM(BT133:BT134)</f>
        <v>64.614000000000004</v>
      </c>
      <c r="BU135" s="49">
        <f>BU133+BU134</f>
        <v>64.614000000000004</v>
      </c>
      <c r="BV135" s="79"/>
      <c r="BW135" s="49">
        <f>+SUM(BW133:BW134)</f>
        <v>64.614000000000004</v>
      </c>
      <c r="BX135" s="49">
        <f>+SUM(BX133:BX134)</f>
        <v>64.614000000000004</v>
      </c>
      <c r="BY135" s="49">
        <f>+SUM(BY133:BY134)</f>
        <v>64.614000000000004</v>
      </c>
      <c r="BZ135" s="49">
        <f>+SUM(BZ133:BZ134)</f>
        <v>64.614000000000004</v>
      </c>
      <c r="CA135" s="49">
        <f>CA133+CA134</f>
        <v>64.614000000000004</v>
      </c>
      <c r="CB135" s="79"/>
      <c r="CC135" s="49">
        <f>+SUM(CC133:CC134)</f>
        <v>64.614000000000004</v>
      </c>
      <c r="CD135" s="49">
        <f>+SUM(CD133:CD134)</f>
        <v>64.614000000000004</v>
      </c>
      <c r="CE135" s="49">
        <f>+SUM(CE133:CE134)</f>
        <v>64.614000000000004</v>
      </c>
      <c r="CF135" s="49">
        <f>+SUM(CF133:CF134)</f>
        <v>64.614000000000004</v>
      </c>
      <c r="CG135" s="49">
        <f>CG133+CG134</f>
        <v>64.614000000000004</v>
      </c>
      <c r="CH135" s="79"/>
      <c r="CI135" s="79"/>
    </row>
    <row r="136" spans="1:87" ht="12.75" hidden="1" customHeight="1" outlineLevel="1" x14ac:dyDescent="0.2">
      <c r="B136" s="26"/>
      <c r="C136" s="11"/>
      <c r="D136" s="11"/>
      <c r="E136" s="11"/>
      <c r="F136" s="11"/>
      <c r="G136" s="11"/>
      <c r="H136" s="26"/>
      <c r="I136" s="11"/>
      <c r="J136" s="11"/>
      <c r="K136" s="11"/>
      <c r="L136" s="11"/>
      <c r="M136" s="11"/>
      <c r="N136" s="26"/>
      <c r="O136" s="11"/>
      <c r="P136" s="11"/>
      <c r="Q136" s="11"/>
      <c r="R136" s="11"/>
      <c r="S136" s="11"/>
      <c r="T136" s="26"/>
      <c r="U136" s="11"/>
      <c r="V136" s="11"/>
      <c r="W136" s="11"/>
      <c r="X136" s="11"/>
      <c r="Z136" s="26"/>
      <c r="AB136" s="11"/>
      <c r="AC136" s="11"/>
      <c r="AD136" s="11"/>
      <c r="AF136" s="2"/>
      <c r="AH136" s="95"/>
      <c r="AI136" s="95"/>
      <c r="AJ136" s="42"/>
      <c r="AK136" s="42"/>
      <c r="AL136" s="79"/>
      <c r="AM136" s="42"/>
      <c r="AN136" s="42"/>
      <c r="AO136" s="95"/>
      <c r="AP136" s="42"/>
      <c r="AQ136" s="42"/>
      <c r="AR136" s="2"/>
      <c r="AT136" s="42"/>
      <c r="AV136" s="42"/>
      <c r="AW136" s="42"/>
      <c r="AX136" s="2"/>
      <c r="BB136" s="42"/>
      <c r="BC136" s="42"/>
      <c r="BD136" s="2"/>
      <c r="BH136" s="42"/>
      <c r="BI136" s="42"/>
      <c r="BJ136" s="2"/>
      <c r="BP136" s="2"/>
      <c r="BV136" s="2"/>
      <c r="CB136" s="2"/>
      <c r="CH136" s="42"/>
      <c r="CI136" s="42"/>
    </row>
    <row r="137" spans="1:87" ht="12.75" hidden="1" customHeight="1" outlineLevel="1" x14ac:dyDescent="0.2">
      <c r="A137" s="6" t="s">
        <v>303</v>
      </c>
      <c r="B137" s="5"/>
      <c r="C137" s="190"/>
      <c r="D137" s="190"/>
      <c r="E137" s="190"/>
      <c r="F137" s="190"/>
      <c r="G137" s="190"/>
      <c r="H137" s="5"/>
      <c r="I137" s="190"/>
      <c r="J137" s="190"/>
      <c r="K137" s="190"/>
      <c r="L137" s="190"/>
      <c r="M137" s="190"/>
      <c r="N137" s="5"/>
      <c r="O137" s="190"/>
      <c r="P137" s="190"/>
      <c r="Q137" s="190"/>
      <c r="R137" s="190"/>
      <c r="S137" s="190"/>
      <c r="T137" s="5"/>
      <c r="U137" s="190"/>
      <c r="V137" s="190"/>
      <c r="W137" s="190"/>
      <c r="X137" s="190"/>
      <c r="Y137" s="190"/>
      <c r="Z137" s="5"/>
      <c r="AA137" s="190"/>
      <c r="AB137" s="190"/>
      <c r="AC137" s="190"/>
      <c r="AD137" s="190"/>
      <c r="AE137" s="190"/>
      <c r="AF137" s="52"/>
      <c r="AG137" s="190"/>
      <c r="AH137" s="464"/>
      <c r="AI137" s="464"/>
      <c r="AJ137" s="464"/>
      <c r="AK137" s="464"/>
      <c r="AL137" s="52"/>
      <c r="AM137" s="464"/>
      <c r="AN137" s="464"/>
      <c r="AO137" s="464"/>
      <c r="AP137" s="464"/>
      <c r="AQ137" s="464"/>
      <c r="AR137" s="52"/>
      <c r="AS137" s="190"/>
      <c r="AT137" s="190"/>
      <c r="AU137" s="190"/>
      <c r="AV137" s="464"/>
      <c r="AW137" s="464"/>
      <c r="AX137" s="52"/>
      <c r="AY137" s="190"/>
      <c r="AZ137" s="190"/>
      <c r="BA137" s="190"/>
      <c r="BB137" s="464"/>
      <c r="BC137" s="464"/>
      <c r="BD137" s="52"/>
      <c r="BE137" s="190"/>
      <c r="BF137" s="190"/>
      <c r="BG137" s="190"/>
      <c r="BH137" s="464"/>
      <c r="BI137" s="464"/>
      <c r="BJ137" s="52"/>
      <c r="BK137" s="190"/>
      <c r="BL137" s="190"/>
      <c r="BM137" s="190"/>
      <c r="BN137" s="190"/>
      <c r="BO137" s="190"/>
      <c r="BP137" s="52"/>
      <c r="BQ137" s="190"/>
      <c r="BR137" s="190"/>
      <c r="BS137" s="190"/>
      <c r="BT137" s="190"/>
      <c r="BU137" s="190"/>
      <c r="BV137" s="52"/>
      <c r="BW137" s="190"/>
      <c r="BX137" s="190"/>
      <c r="BY137" s="190"/>
      <c r="BZ137" s="190"/>
      <c r="CA137" s="190"/>
      <c r="CB137" s="52"/>
      <c r="CC137" s="190"/>
      <c r="CD137" s="190"/>
      <c r="CE137" s="190"/>
      <c r="CF137" s="190"/>
      <c r="CG137" s="190"/>
      <c r="CH137" s="79"/>
      <c r="CI137" s="79"/>
    </row>
    <row r="138" spans="1:87" ht="12.75" hidden="1" customHeight="1" outlineLevel="1" x14ac:dyDescent="0.2">
      <c r="A138" s="2" t="s">
        <v>304</v>
      </c>
      <c r="B138" s="115"/>
      <c r="C138" s="87">
        <f>+'Cash Flow'!B29</f>
        <v>0</v>
      </c>
      <c r="D138" s="87">
        <f>+'Cash Flow'!C29</f>
        <v>0</v>
      </c>
      <c r="E138" s="87">
        <f>+'Cash Flow'!D29</f>
        <v>0</v>
      </c>
      <c r="F138" s="87">
        <f>+'Cash Flow'!E29</f>
        <v>0</v>
      </c>
      <c r="G138" s="87">
        <f>+'Cash Flow'!F29</f>
        <v>0</v>
      </c>
      <c r="H138" s="115"/>
      <c r="I138" s="87">
        <f>+'Cash Flow'!H29</f>
        <v>0</v>
      </c>
      <c r="J138" s="87">
        <f>+'Cash Flow'!I29</f>
        <v>0</v>
      </c>
      <c r="K138" s="87">
        <f>+'Cash Flow'!J29</f>
        <v>0</v>
      </c>
      <c r="L138" s="87">
        <f>+'Cash Flow'!K29</f>
        <v>0</v>
      </c>
      <c r="M138" s="87">
        <f>+'Cash Flow'!L29</f>
        <v>0</v>
      </c>
      <c r="N138" s="115"/>
      <c r="O138" s="87">
        <f>+'Cash Flow'!N29</f>
        <v>0</v>
      </c>
      <c r="P138" s="87">
        <f>+'Cash Flow'!O29</f>
        <v>0</v>
      </c>
      <c r="Q138" s="87">
        <f>+'Cash Flow'!P29</f>
        <v>0</v>
      </c>
      <c r="R138" s="87">
        <f>+'Cash Flow'!Q29</f>
        <v>0</v>
      </c>
      <c r="S138" s="87">
        <f>+'Cash Flow'!R29</f>
        <v>0</v>
      </c>
      <c r="T138" s="115"/>
      <c r="U138" s="87">
        <f>+'Cash Flow'!T29</f>
        <v>0</v>
      </c>
      <c r="V138" s="87">
        <f>+'Cash Flow'!U29</f>
        <v>0</v>
      </c>
      <c r="W138" s="87">
        <f>+'Cash Flow'!V29</f>
        <v>0</v>
      </c>
      <c r="X138" s="87">
        <f>+'Cash Flow'!W29</f>
        <v>0</v>
      </c>
      <c r="Y138" s="87">
        <f>+'Cash Flow'!X29</f>
        <v>0</v>
      </c>
      <c r="Z138" s="115"/>
      <c r="AA138" s="87">
        <f>+'Cash Flow'!Z29</f>
        <v>0</v>
      </c>
      <c r="AB138" s="87">
        <f>+'Cash Flow'!AA29</f>
        <v>-186.94900000000001</v>
      </c>
      <c r="AC138" s="87">
        <f>+'Cash Flow'!AB29</f>
        <v>2.9000000000024784E-2</v>
      </c>
      <c r="AD138" s="87">
        <f>+'Cash Flow'!AC29</f>
        <v>-0.66800000000000637</v>
      </c>
      <c r="AE138" s="87">
        <f>+'Cash Flow'!AD29</f>
        <v>-187.58799999999999</v>
      </c>
      <c r="AF138" s="115"/>
      <c r="AG138" s="87">
        <f>+'Cash Flow'!AF29</f>
        <v>0</v>
      </c>
      <c r="AH138" s="87">
        <f>+'Cash Flow'!AG29</f>
        <v>0</v>
      </c>
      <c r="AI138" s="87">
        <f>+'Cash Flow'!AH29</f>
        <v>0</v>
      </c>
      <c r="AJ138" s="87">
        <f>+'Cash Flow'!AI29</f>
        <v>0</v>
      </c>
      <c r="AK138" s="87">
        <f>+'Cash Flow'!AJ29</f>
        <v>0</v>
      </c>
      <c r="AL138" s="115"/>
      <c r="AM138" s="87">
        <f>+'Cash Flow'!AL29</f>
        <v>0</v>
      </c>
      <c r="AN138" s="87">
        <f>+'Cash Flow'!AM29</f>
        <v>-7.6520000000000001</v>
      </c>
      <c r="AO138" s="87">
        <f>+'Cash Flow'!AN29</f>
        <v>0</v>
      </c>
      <c r="AP138" s="87">
        <f>+'Cash Flow'!AO29</f>
        <v>0</v>
      </c>
      <c r="AQ138" s="87">
        <f>+'Cash Flow'!AP29</f>
        <v>-7.6520000000000001</v>
      </c>
      <c r="AR138" s="115"/>
      <c r="AS138" s="87">
        <f>+'Cash Flow'!AR29</f>
        <v>0</v>
      </c>
      <c r="AT138" s="87">
        <f>+'Cash Flow'!AS29</f>
        <v>0</v>
      </c>
      <c r="AU138" s="87">
        <f>+'Cash Flow'!AT29</f>
        <v>0</v>
      </c>
      <c r="AV138" s="87">
        <f>+'Cash Flow'!AU29</f>
        <v>0</v>
      </c>
      <c r="AW138" s="87">
        <f>+'Cash Flow'!AV29</f>
        <v>0</v>
      </c>
      <c r="AX138" s="115"/>
      <c r="AY138" s="87">
        <f>+'Cash Flow'!AX29</f>
        <v>0</v>
      </c>
      <c r="AZ138" s="87">
        <f>+'Cash Flow'!AY29</f>
        <v>0</v>
      </c>
      <c r="BA138" s="87">
        <f>+'Cash Flow'!AZ29</f>
        <v>0</v>
      </c>
      <c r="BB138" s="87">
        <f>+'Cash Flow'!BA29</f>
        <v>0</v>
      </c>
      <c r="BC138" s="87">
        <f>+'Cash Flow'!BB29</f>
        <v>0</v>
      </c>
      <c r="BD138" s="115"/>
      <c r="BE138" s="87">
        <f>+'Cash Flow'!BD29</f>
        <v>0</v>
      </c>
      <c r="BF138" s="87">
        <f>+'Cash Flow'!BE29</f>
        <v>0</v>
      </c>
      <c r="BG138" s="87">
        <f>+'Cash Flow'!BF29</f>
        <v>0</v>
      </c>
      <c r="BH138" s="87">
        <f>+'Cash Flow'!BG29</f>
        <v>0</v>
      </c>
      <c r="BI138" s="87">
        <f>+'Cash Flow'!BH29</f>
        <v>0</v>
      </c>
      <c r="BJ138" s="115"/>
      <c r="BK138" s="87">
        <f>+'Cash Flow'!BJ29</f>
        <v>-8.9529999999999994</v>
      </c>
      <c r="BL138" s="87">
        <f>+'Cash Flow'!BK29</f>
        <v>0</v>
      </c>
      <c r="BM138" s="87">
        <f>+'Cash Flow'!BL29</f>
        <v>0</v>
      </c>
      <c r="BN138" s="87">
        <f>+'Cash Flow'!BM29</f>
        <v>0</v>
      </c>
      <c r="BO138" s="87">
        <f>+'Cash Flow'!BN29</f>
        <v>-8.9529999999999994</v>
      </c>
      <c r="BP138" s="115"/>
      <c r="BQ138" s="87">
        <f>+'Cash Flow'!BP29</f>
        <v>0</v>
      </c>
      <c r="BR138" s="87">
        <f>+'Cash Flow'!BQ29</f>
        <v>0</v>
      </c>
      <c r="BS138" s="87">
        <f>+'Cash Flow'!BR29</f>
        <v>0</v>
      </c>
      <c r="BT138" s="87">
        <f>+'Cash Flow'!BS29</f>
        <v>0</v>
      </c>
      <c r="BU138" s="87">
        <f>+'Cash Flow'!BT29</f>
        <v>0</v>
      </c>
      <c r="BV138" s="115"/>
      <c r="BW138" s="87">
        <f>+'Cash Flow'!BV29</f>
        <v>0</v>
      </c>
      <c r="BX138" s="87">
        <f>+'Cash Flow'!BW29</f>
        <v>0</v>
      </c>
      <c r="BY138" s="87">
        <f>+'Cash Flow'!BX29</f>
        <v>0</v>
      </c>
      <c r="BZ138" s="87">
        <f>+'Cash Flow'!BY29</f>
        <v>0</v>
      </c>
      <c r="CA138" s="87">
        <f>+'Cash Flow'!BZ29</f>
        <v>0</v>
      </c>
      <c r="CB138" s="115"/>
      <c r="CC138" s="87">
        <f>+'Cash Flow'!CB29</f>
        <v>0</v>
      </c>
      <c r="CD138" s="87">
        <f>+'Cash Flow'!CC29</f>
        <v>0</v>
      </c>
      <c r="CE138" s="87">
        <f>+'Cash Flow'!CD29</f>
        <v>0</v>
      </c>
      <c r="CF138" s="87">
        <f>+'Cash Flow'!CE29</f>
        <v>0</v>
      </c>
      <c r="CG138" s="87">
        <f>+'Cash Flow'!CF29</f>
        <v>0</v>
      </c>
      <c r="CH138" s="79"/>
      <c r="CI138" s="79"/>
    </row>
    <row r="139" spans="1:87" ht="12.75" hidden="1" customHeight="1" outlineLevel="1" x14ac:dyDescent="0.2">
      <c r="A139" s="7" t="s">
        <v>215</v>
      </c>
      <c r="B139" s="192"/>
      <c r="C139" s="191">
        <v>0.45</v>
      </c>
      <c r="D139" s="191">
        <v>0.45</v>
      </c>
      <c r="E139" s="191">
        <v>0.45</v>
      </c>
      <c r="F139" s="191">
        <v>0.45</v>
      </c>
      <c r="G139" s="191">
        <v>0.45</v>
      </c>
      <c r="H139" s="192"/>
      <c r="I139" s="191">
        <v>0.45</v>
      </c>
      <c r="J139" s="191">
        <v>0.45</v>
      </c>
      <c r="K139" s="191">
        <v>0.45</v>
      </c>
      <c r="L139" s="191">
        <v>0.45</v>
      </c>
      <c r="M139" s="191">
        <v>0.45</v>
      </c>
      <c r="N139" s="192"/>
      <c r="O139" s="191">
        <v>0.45</v>
      </c>
      <c r="P139" s="191">
        <v>0.45</v>
      </c>
      <c r="Q139" s="191">
        <v>0.45</v>
      </c>
      <c r="R139" s="191">
        <v>0.45</v>
      </c>
      <c r="S139" s="191">
        <v>0.45</v>
      </c>
      <c r="T139" s="192"/>
      <c r="U139" s="191">
        <v>0.45</v>
      </c>
      <c r="V139" s="191">
        <v>0.45</v>
      </c>
      <c r="W139" s="191">
        <v>0.45</v>
      </c>
      <c r="X139" s="191">
        <v>0.45</v>
      </c>
      <c r="Y139" s="191">
        <v>0.45</v>
      </c>
      <c r="Z139" s="192"/>
      <c r="AA139" s="191">
        <v>0.45</v>
      </c>
      <c r="AB139" s="191">
        <v>0.45</v>
      </c>
      <c r="AC139" s="191">
        <v>0.45</v>
      </c>
      <c r="AD139" s="191">
        <v>0.45</v>
      </c>
      <c r="AE139" s="191">
        <v>0.45</v>
      </c>
      <c r="AF139" s="192"/>
      <c r="AG139" s="191">
        <v>0.45</v>
      </c>
      <c r="AH139" s="191">
        <v>0.45</v>
      </c>
      <c r="AI139" s="191">
        <v>0.45</v>
      </c>
      <c r="AJ139" s="191">
        <v>0.45</v>
      </c>
      <c r="AK139" s="191">
        <v>0.45</v>
      </c>
      <c r="AL139" s="192"/>
      <c r="AM139" s="191">
        <v>0.45</v>
      </c>
      <c r="AN139" s="191">
        <v>0.45</v>
      </c>
      <c r="AO139" s="191">
        <v>0.45</v>
      </c>
      <c r="AP139" s="58">
        <v>0.45</v>
      </c>
      <c r="AQ139" s="58">
        <v>0.45</v>
      </c>
      <c r="AR139" s="192"/>
      <c r="AS139" s="191">
        <v>0.45</v>
      </c>
      <c r="AT139" s="191">
        <v>0.45</v>
      </c>
      <c r="AU139" s="191">
        <v>0.45</v>
      </c>
      <c r="AV139" s="58">
        <v>0.45</v>
      </c>
      <c r="AW139" s="58">
        <v>0.45</v>
      </c>
      <c r="AX139" s="192"/>
      <c r="AY139" s="191">
        <v>0.45</v>
      </c>
      <c r="AZ139" s="191">
        <v>0.45</v>
      </c>
      <c r="BA139" s="191">
        <v>0.45</v>
      </c>
      <c r="BB139" s="58">
        <v>0.45</v>
      </c>
      <c r="BC139" s="58">
        <v>0.45</v>
      </c>
      <c r="BD139" s="192"/>
      <c r="BE139" s="191">
        <v>0.45</v>
      </c>
      <c r="BF139" s="191">
        <v>0.45</v>
      </c>
      <c r="BG139" s="191">
        <v>0.45</v>
      </c>
      <c r="BH139" s="58">
        <v>0.45</v>
      </c>
      <c r="BI139" s="58">
        <v>0.45</v>
      </c>
      <c r="BJ139" s="192"/>
      <c r="BK139" s="191">
        <v>0.45</v>
      </c>
      <c r="BL139" s="191">
        <v>0.45</v>
      </c>
      <c r="BM139" s="191">
        <v>0.45</v>
      </c>
      <c r="BN139" s="58">
        <v>0.45</v>
      </c>
      <c r="BO139" s="58">
        <v>0.45</v>
      </c>
      <c r="BP139" s="192"/>
      <c r="BQ139" s="191">
        <v>0.45</v>
      </c>
      <c r="BR139" s="191">
        <v>0.45</v>
      </c>
      <c r="BS139" s="191">
        <v>0.45</v>
      </c>
      <c r="BT139" s="58">
        <v>0.45</v>
      </c>
      <c r="BU139" s="58">
        <v>0.45</v>
      </c>
      <c r="BV139" s="192"/>
      <c r="BW139" s="191">
        <v>0.45</v>
      </c>
      <c r="BX139" s="191">
        <v>0.45</v>
      </c>
      <c r="BY139" s="191">
        <v>0.45</v>
      </c>
      <c r="BZ139" s="58">
        <v>0.45</v>
      </c>
      <c r="CA139" s="58">
        <v>0.45</v>
      </c>
      <c r="CB139" s="192"/>
      <c r="CC139" s="191">
        <v>0.45</v>
      </c>
      <c r="CD139" s="191">
        <v>0.45</v>
      </c>
      <c r="CE139" s="191">
        <v>0.45</v>
      </c>
      <c r="CF139" s="58">
        <v>0.45</v>
      </c>
      <c r="CG139" s="58">
        <v>0.45</v>
      </c>
      <c r="CH139" s="79"/>
      <c r="CI139" s="79"/>
    </row>
    <row r="140" spans="1:87" ht="12.75" hidden="1" customHeight="1" outlineLevel="1" x14ac:dyDescent="0.2">
      <c r="A140" s="7" t="s">
        <v>277</v>
      </c>
      <c r="B140" s="192"/>
      <c r="C140" s="191">
        <v>0.3</v>
      </c>
      <c r="D140" s="191">
        <v>0.3</v>
      </c>
      <c r="E140" s="191">
        <v>0.3</v>
      </c>
      <c r="F140" s="191">
        <v>0.3</v>
      </c>
      <c r="G140" s="191">
        <v>0.3</v>
      </c>
      <c r="H140" s="192"/>
      <c r="I140" s="191">
        <v>0.3</v>
      </c>
      <c r="J140" s="191">
        <v>0.3</v>
      </c>
      <c r="K140" s="191">
        <v>0.3</v>
      </c>
      <c r="L140" s="191">
        <v>0.3</v>
      </c>
      <c r="M140" s="191">
        <v>0.3</v>
      </c>
      <c r="N140" s="192"/>
      <c r="O140" s="191">
        <v>0.3</v>
      </c>
      <c r="P140" s="191">
        <v>0.3</v>
      </c>
      <c r="Q140" s="191">
        <v>0.3</v>
      </c>
      <c r="R140" s="191">
        <v>0.3</v>
      </c>
      <c r="S140" s="191">
        <v>0.3</v>
      </c>
      <c r="T140" s="192"/>
      <c r="U140" s="191">
        <v>0.3</v>
      </c>
      <c r="V140" s="191">
        <v>0.3</v>
      </c>
      <c r="W140" s="191">
        <v>0.3</v>
      </c>
      <c r="X140" s="191">
        <v>0.3</v>
      </c>
      <c r="Y140" s="191">
        <v>0.3</v>
      </c>
      <c r="Z140" s="192"/>
      <c r="AA140" s="191">
        <v>0.3</v>
      </c>
      <c r="AB140" s="191">
        <v>0.3</v>
      </c>
      <c r="AC140" s="191">
        <v>0.3</v>
      </c>
      <c r="AD140" s="191">
        <v>0.3</v>
      </c>
      <c r="AE140" s="191">
        <v>0.3</v>
      </c>
      <c r="AF140" s="192"/>
      <c r="AG140" s="191">
        <v>0.3</v>
      </c>
      <c r="AH140" s="191">
        <v>0.3</v>
      </c>
      <c r="AI140" s="191">
        <v>0.3</v>
      </c>
      <c r="AJ140" s="191">
        <v>0.3</v>
      </c>
      <c r="AK140" s="191">
        <v>0.3</v>
      </c>
      <c r="AL140" s="192"/>
      <c r="AM140" s="191">
        <v>0.3</v>
      </c>
      <c r="AN140" s="191">
        <v>0.3</v>
      </c>
      <c r="AO140" s="191">
        <v>0.3</v>
      </c>
      <c r="AP140" s="58">
        <v>0.3</v>
      </c>
      <c r="AQ140" s="58">
        <v>0.3</v>
      </c>
      <c r="AR140" s="192"/>
      <c r="AS140" s="191">
        <v>0.3</v>
      </c>
      <c r="AT140" s="191">
        <v>0.3</v>
      </c>
      <c r="AU140" s="191">
        <v>0.3</v>
      </c>
      <c r="AV140" s="58">
        <v>0.3</v>
      </c>
      <c r="AW140" s="58">
        <v>0.3</v>
      </c>
      <c r="AX140" s="192"/>
      <c r="AY140" s="191">
        <v>0.3</v>
      </c>
      <c r="AZ140" s="191">
        <v>0.3</v>
      </c>
      <c r="BA140" s="191">
        <v>0.3</v>
      </c>
      <c r="BB140" s="58">
        <v>0.3</v>
      </c>
      <c r="BC140" s="58">
        <v>0.3</v>
      </c>
      <c r="BD140" s="192"/>
      <c r="BE140" s="191">
        <v>0.3</v>
      </c>
      <c r="BF140" s="191">
        <v>0.3</v>
      </c>
      <c r="BG140" s="191">
        <v>0.3</v>
      </c>
      <c r="BH140" s="58">
        <v>0.3</v>
      </c>
      <c r="BI140" s="58">
        <v>0.3</v>
      </c>
      <c r="BJ140" s="192"/>
      <c r="BK140" s="191">
        <v>0.3</v>
      </c>
      <c r="BL140" s="191">
        <v>0.3</v>
      </c>
      <c r="BM140" s="191">
        <v>0.3</v>
      </c>
      <c r="BN140" s="58">
        <v>0.3</v>
      </c>
      <c r="BO140" s="58">
        <v>0.3</v>
      </c>
      <c r="BP140" s="192"/>
      <c r="BQ140" s="191">
        <v>0.3</v>
      </c>
      <c r="BR140" s="191">
        <v>0.3</v>
      </c>
      <c r="BS140" s="191">
        <v>0.3</v>
      </c>
      <c r="BT140" s="58">
        <v>0.3</v>
      </c>
      <c r="BU140" s="58">
        <v>0.3</v>
      </c>
      <c r="BV140" s="192"/>
      <c r="BW140" s="191">
        <v>0.3</v>
      </c>
      <c r="BX140" s="191">
        <v>0.3</v>
      </c>
      <c r="BY140" s="191">
        <v>0.3</v>
      </c>
      <c r="BZ140" s="58">
        <v>0.3</v>
      </c>
      <c r="CA140" s="58">
        <v>0.3</v>
      </c>
      <c r="CB140" s="192"/>
      <c r="CC140" s="191">
        <v>0.3</v>
      </c>
      <c r="CD140" s="191">
        <v>0.3</v>
      </c>
      <c r="CE140" s="191">
        <v>0.3</v>
      </c>
      <c r="CF140" s="58">
        <v>0.3</v>
      </c>
      <c r="CG140" s="58">
        <v>0.3</v>
      </c>
      <c r="CH140" s="79"/>
      <c r="CI140" s="79"/>
    </row>
    <row r="141" spans="1:87" ht="12.75" hidden="1" customHeight="1" outlineLevel="1" x14ac:dyDescent="0.2">
      <c r="A141" s="7" t="s">
        <v>266</v>
      </c>
      <c r="B141" s="192"/>
      <c r="C141" s="191">
        <v>0.25</v>
      </c>
      <c r="D141" s="191">
        <v>0.25</v>
      </c>
      <c r="E141" s="191">
        <v>0.25</v>
      </c>
      <c r="F141" s="191">
        <v>0.25</v>
      </c>
      <c r="G141" s="191">
        <v>0.25</v>
      </c>
      <c r="H141" s="192"/>
      <c r="I141" s="191">
        <v>0.25</v>
      </c>
      <c r="J141" s="191">
        <v>0.25</v>
      </c>
      <c r="K141" s="191">
        <v>0.25</v>
      </c>
      <c r="L141" s="191">
        <v>0.25</v>
      </c>
      <c r="M141" s="191">
        <v>0.25</v>
      </c>
      <c r="N141" s="192"/>
      <c r="O141" s="191">
        <v>0.25</v>
      </c>
      <c r="P141" s="191">
        <v>0.25</v>
      </c>
      <c r="Q141" s="191">
        <v>0.25</v>
      </c>
      <c r="R141" s="191">
        <v>0.25</v>
      </c>
      <c r="S141" s="191">
        <v>0.25</v>
      </c>
      <c r="T141" s="192"/>
      <c r="U141" s="191">
        <v>0.25</v>
      </c>
      <c r="V141" s="191">
        <v>0.25</v>
      </c>
      <c r="W141" s="191">
        <v>0.25</v>
      </c>
      <c r="X141" s="191">
        <v>0.25</v>
      </c>
      <c r="Y141" s="191">
        <v>0.25</v>
      </c>
      <c r="Z141" s="192"/>
      <c r="AA141" s="191">
        <v>0.25</v>
      </c>
      <c r="AB141" s="191">
        <v>0.25</v>
      </c>
      <c r="AC141" s="191">
        <v>0.25</v>
      </c>
      <c r="AD141" s="191">
        <v>0.25</v>
      </c>
      <c r="AE141" s="191">
        <v>0.25</v>
      </c>
      <c r="AF141" s="192"/>
      <c r="AG141" s="191">
        <v>0.25</v>
      </c>
      <c r="AH141" s="191">
        <v>0.25</v>
      </c>
      <c r="AI141" s="191">
        <v>0.25</v>
      </c>
      <c r="AJ141" s="191">
        <v>0.25</v>
      </c>
      <c r="AK141" s="191">
        <v>0.25</v>
      </c>
      <c r="AL141" s="192"/>
      <c r="AM141" s="191">
        <v>0.25</v>
      </c>
      <c r="AN141" s="191">
        <v>0.25</v>
      </c>
      <c r="AO141" s="191">
        <v>0.25</v>
      </c>
      <c r="AP141" s="58">
        <v>0.25</v>
      </c>
      <c r="AQ141" s="58">
        <v>0.25</v>
      </c>
      <c r="AR141" s="192"/>
      <c r="AS141" s="191">
        <v>0.25</v>
      </c>
      <c r="AT141" s="191">
        <v>0.25</v>
      </c>
      <c r="AU141" s="191">
        <v>0.25</v>
      </c>
      <c r="AV141" s="58">
        <v>0.25</v>
      </c>
      <c r="AW141" s="58">
        <v>0.25</v>
      </c>
      <c r="AX141" s="192"/>
      <c r="AY141" s="191">
        <v>0.25</v>
      </c>
      <c r="AZ141" s="191">
        <v>0.25</v>
      </c>
      <c r="BA141" s="191">
        <v>0.25</v>
      </c>
      <c r="BB141" s="58">
        <v>0.25</v>
      </c>
      <c r="BC141" s="58">
        <v>0.25</v>
      </c>
      <c r="BD141" s="192"/>
      <c r="BE141" s="191">
        <v>0.25</v>
      </c>
      <c r="BF141" s="191">
        <v>0.25</v>
      </c>
      <c r="BG141" s="191">
        <v>0.25</v>
      </c>
      <c r="BH141" s="58">
        <v>0.25</v>
      </c>
      <c r="BI141" s="58">
        <v>0.25</v>
      </c>
      <c r="BJ141" s="192"/>
      <c r="BK141" s="191">
        <v>0.25</v>
      </c>
      <c r="BL141" s="191">
        <v>0.25</v>
      </c>
      <c r="BM141" s="191">
        <v>0.25</v>
      </c>
      <c r="BN141" s="58">
        <v>0.25</v>
      </c>
      <c r="BO141" s="58">
        <v>0.25</v>
      </c>
      <c r="BP141" s="192"/>
      <c r="BQ141" s="191">
        <v>0.25</v>
      </c>
      <c r="BR141" s="191">
        <v>0.25</v>
      </c>
      <c r="BS141" s="191">
        <v>0.25</v>
      </c>
      <c r="BT141" s="58">
        <v>0.25</v>
      </c>
      <c r="BU141" s="58">
        <v>0.25</v>
      </c>
      <c r="BV141" s="192"/>
      <c r="BW141" s="191">
        <v>0.25</v>
      </c>
      <c r="BX141" s="191">
        <v>0.25</v>
      </c>
      <c r="BY141" s="191">
        <v>0.25</v>
      </c>
      <c r="BZ141" s="58">
        <v>0.25</v>
      </c>
      <c r="CA141" s="58">
        <v>0.25</v>
      </c>
      <c r="CB141" s="192"/>
      <c r="CC141" s="191">
        <v>0.25</v>
      </c>
      <c r="CD141" s="191">
        <v>0.25</v>
      </c>
      <c r="CE141" s="191">
        <v>0.25</v>
      </c>
      <c r="CF141" s="58">
        <v>0.25</v>
      </c>
      <c r="CG141" s="58">
        <v>0.25</v>
      </c>
      <c r="CH141" s="79"/>
      <c r="CI141" s="79"/>
    </row>
    <row r="142" spans="1:87" ht="12.75" hidden="1" customHeight="1" outlineLevel="1" x14ac:dyDescent="0.2">
      <c r="A142" s="28" t="s">
        <v>305</v>
      </c>
      <c r="B142" s="2"/>
      <c r="C142" s="59">
        <f>+SUM(C139:C141)</f>
        <v>1</v>
      </c>
      <c r="D142" s="59">
        <f>+SUM(D139:D141)</f>
        <v>1</v>
      </c>
      <c r="E142" s="59">
        <f>+SUM(E139:E141)</f>
        <v>1</v>
      </c>
      <c r="F142" s="59">
        <f>+SUM(F139:F141)</f>
        <v>1</v>
      </c>
      <c r="G142" s="59">
        <f>+SUM(G139:G141)</f>
        <v>1</v>
      </c>
      <c r="H142" s="2"/>
      <c r="I142" s="59">
        <f>+SUM(I139:I141)</f>
        <v>1</v>
      </c>
      <c r="J142" s="59">
        <f>+SUM(J139:J141)</f>
        <v>1</v>
      </c>
      <c r="K142" s="59">
        <f>+SUM(K139:K141)</f>
        <v>1</v>
      </c>
      <c r="L142" s="59">
        <f>+SUM(L139:L141)</f>
        <v>1</v>
      </c>
      <c r="M142" s="59">
        <f>+SUM(M139:M141)</f>
        <v>1</v>
      </c>
      <c r="N142" s="2"/>
      <c r="O142" s="59">
        <f>+SUM(O139:O141)</f>
        <v>1</v>
      </c>
      <c r="P142" s="59">
        <f>+SUM(P139:P141)</f>
        <v>1</v>
      </c>
      <c r="Q142" s="59">
        <f>+SUM(Q139:Q141)</f>
        <v>1</v>
      </c>
      <c r="R142" s="59">
        <f>+SUM(R139:R141)</f>
        <v>1</v>
      </c>
      <c r="S142" s="59">
        <f>+SUM(S139:S141)</f>
        <v>1</v>
      </c>
      <c r="T142" s="2"/>
      <c r="U142" s="59">
        <f>+SUM(U139:U141)</f>
        <v>1</v>
      </c>
      <c r="V142" s="59">
        <f>+SUM(V139:V141)</f>
        <v>1</v>
      </c>
      <c r="W142" s="59">
        <f>+SUM(W139:W141)</f>
        <v>1</v>
      </c>
      <c r="X142" s="59">
        <f>+SUM(X139:X141)</f>
        <v>1</v>
      </c>
      <c r="Y142" s="59">
        <f>+SUM(Y139:Y141)</f>
        <v>1</v>
      </c>
      <c r="Z142" s="2"/>
      <c r="AA142" s="59">
        <f>+SUM(AA139:AA141)</f>
        <v>1</v>
      </c>
      <c r="AB142" s="59">
        <f>+SUM(AB139:AB141)</f>
        <v>1</v>
      </c>
      <c r="AC142" s="59">
        <f>+SUM(AC139:AC141)</f>
        <v>1</v>
      </c>
      <c r="AD142" s="59">
        <f>+SUM(AD139:AD141)</f>
        <v>1</v>
      </c>
      <c r="AE142" s="59">
        <f>+SUM(AE139:AE141)</f>
        <v>1</v>
      </c>
      <c r="AF142" s="76"/>
      <c r="AG142" s="59">
        <f>+SUM(AG139:AG141)</f>
        <v>1</v>
      </c>
      <c r="AH142" s="182">
        <f>+SUM(AH139:AH141)</f>
        <v>1</v>
      </c>
      <c r="AI142" s="182">
        <f>+SUM(AI139:AI141)</f>
        <v>1</v>
      </c>
      <c r="AJ142" s="182">
        <f>+SUM(AJ139:AJ141)</f>
        <v>1</v>
      </c>
      <c r="AK142" s="182">
        <f>+SUM(AK139:AK141)</f>
        <v>1</v>
      </c>
      <c r="AL142" s="409"/>
      <c r="AM142" s="182">
        <f>+SUM(AM139:AM141)</f>
        <v>1</v>
      </c>
      <c r="AN142" s="182">
        <f>+SUM(AN139:AN141)</f>
        <v>1</v>
      </c>
      <c r="AO142" s="59">
        <f>+SUM(AO139:AO141)</f>
        <v>1</v>
      </c>
      <c r="AP142" s="59">
        <f>+SUM(AP139:AP141)</f>
        <v>1</v>
      </c>
      <c r="AQ142" s="59">
        <f>+SUM(AQ139:AQ141)</f>
        <v>1</v>
      </c>
      <c r="AR142" s="76"/>
      <c r="AS142" s="59">
        <f>+SUM(AS139:AS141)</f>
        <v>1</v>
      </c>
      <c r="AT142" s="59">
        <f>+SUM(AT139:AT141)</f>
        <v>1</v>
      </c>
      <c r="AU142" s="59">
        <f>+SUM(AU139:AU141)</f>
        <v>1</v>
      </c>
      <c r="AV142" s="59">
        <f>+SUM(AV139:AV141)</f>
        <v>1</v>
      </c>
      <c r="AW142" s="59">
        <f>+SUM(AW139:AW141)</f>
        <v>1</v>
      </c>
      <c r="AX142" s="76"/>
      <c r="AY142" s="59">
        <f>+SUM(AY139:AY141)</f>
        <v>1</v>
      </c>
      <c r="AZ142" s="59">
        <f>+SUM(AZ139:AZ141)</f>
        <v>1</v>
      </c>
      <c r="BA142" s="59">
        <f>+SUM(BA139:BA141)</f>
        <v>1</v>
      </c>
      <c r="BB142" s="59">
        <f>+SUM(BB139:BB141)</f>
        <v>1</v>
      </c>
      <c r="BC142" s="59">
        <f>+SUM(BC139:BC141)</f>
        <v>1</v>
      </c>
      <c r="BD142" s="76"/>
      <c r="BE142" s="59">
        <f>+SUM(BE139:BE141)</f>
        <v>1</v>
      </c>
      <c r="BF142" s="59">
        <f>+SUM(BF139:BF141)</f>
        <v>1</v>
      </c>
      <c r="BG142" s="59">
        <f>+SUM(BG139:BG141)</f>
        <v>1</v>
      </c>
      <c r="BH142" s="59">
        <f>+SUM(BH139:BH141)</f>
        <v>1</v>
      </c>
      <c r="BI142" s="59">
        <f>+SUM(BI139:BI141)</f>
        <v>1</v>
      </c>
      <c r="BJ142" s="76"/>
      <c r="BK142" s="59">
        <f>+SUM(BK139:BK141)</f>
        <v>1</v>
      </c>
      <c r="BL142" s="59">
        <f>+SUM(BL139:BL141)</f>
        <v>1</v>
      </c>
      <c r="BM142" s="59">
        <f>+SUM(BM139:BM141)</f>
        <v>1</v>
      </c>
      <c r="BN142" s="59">
        <f>+SUM(BN139:BN141)</f>
        <v>1</v>
      </c>
      <c r="BO142" s="59">
        <f>+SUM(BO139:BO141)</f>
        <v>1</v>
      </c>
      <c r="BP142" s="76"/>
      <c r="BQ142" s="59">
        <f>+SUM(BQ139:BQ141)</f>
        <v>1</v>
      </c>
      <c r="BR142" s="59">
        <f>+SUM(BR139:BR141)</f>
        <v>1</v>
      </c>
      <c r="BS142" s="59">
        <f>+SUM(BS139:BS141)</f>
        <v>1</v>
      </c>
      <c r="BT142" s="59">
        <f>+SUM(BT139:BT141)</f>
        <v>1</v>
      </c>
      <c r="BU142" s="59">
        <f>+SUM(BU139:BU141)</f>
        <v>1</v>
      </c>
      <c r="BV142" s="76"/>
      <c r="BW142" s="59">
        <f>+SUM(BW139:BW141)</f>
        <v>1</v>
      </c>
      <c r="BX142" s="59">
        <f>+SUM(BX139:BX141)</f>
        <v>1</v>
      </c>
      <c r="BY142" s="59">
        <f>+SUM(BY139:BY141)</f>
        <v>1</v>
      </c>
      <c r="BZ142" s="59">
        <f>+SUM(BZ139:BZ141)</f>
        <v>1</v>
      </c>
      <c r="CA142" s="59">
        <f>+SUM(CA139:CA141)</f>
        <v>1</v>
      </c>
      <c r="CB142" s="76"/>
      <c r="CC142" s="59">
        <f>+SUM(CC139:CC141)</f>
        <v>1</v>
      </c>
      <c r="CD142" s="59">
        <f>+SUM(CD139:CD141)</f>
        <v>1</v>
      </c>
      <c r="CE142" s="59">
        <f>+SUM(CE139:CE141)</f>
        <v>1</v>
      </c>
      <c r="CF142" s="59">
        <f>+SUM(CF139:CF141)</f>
        <v>1</v>
      </c>
      <c r="CG142" s="59">
        <f>+SUM(CG139:CG141)</f>
        <v>1</v>
      </c>
      <c r="CH142" s="42"/>
      <c r="CI142" s="42"/>
    </row>
    <row r="143" spans="1:87" collapsed="1" x14ac:dyDescent="0.2">
      <c r="B143" s="2"/>
      <c r="C143" s="11"/>
      <c r="D143" s="11"/>
      <c r="E143" s="11"/>
      <c r="F143" s="11"/>
      <c r="G143" s="11"/>
      <c r="H143" s="2"/>
      <c r="I143" s="11"/>
      <c r="J143" s="11"/>
      <c r="K143" s="11"/>
      <c r="L143" s="11"/>
      <c r="M143" s="11"/>
      <c r="N143" s="2"/>
      <c r="O143" s="11"/>
      <c r="P143" s="11"/>
      <c r="Q143" s="11"/>
      <c r="R143" s="11"/>
      <c r="S143" s="11"/>
      <c r="T143" s="2"/>
      <c r="U143" s="11"/>
      <c r="V143" s="11"/>
      <c r="W143" s="11"/>
      <c r="X143" s="11"/>
      <c r="Z143" s="2"/>
      <c r="AF143" s="25"/>
      <c r="AH143" s="42"/>
      <c r="AI143" s="42"/>
      <c r="AJ143" s="42"/>
      <c r="AK143" s="42"/>
      <c r="AL143" s="31"/>
      <c r="AM143" s="42"/>
      <c r="AR143" s="25"/>
      <c r="AX143" s="25"/>
      <c r="BD143" s="25"/>
      <c r="BJ143" s="25"/>
      <c r="BP143" s="25"/>
      <c r="BV143" s="25"/>
      <c r="CB143" s="25"/>
      <c r="CH143" s="42"/>
      <c r="CI143" s="42"/>
    </row>
    <row r="144" spans="1:87" x14ac:dyDescent="0.2">
      <c r="B144" s="25"/>
      <c r="H144" s="25"/>
      <c r="N144" s="25"/>
      <c r="T144" s="25"/>
      <c r="Z144" s="25"/>
      <c r="AF144" s="25"/>
      <c r="AL144" s="25"/>
      <c r="AR144" s="25"/>
      <c r="AX144" s="25"/>
      <c r="BD144" s="25"/>
      <c r="BJ144" s="25"/>
      <c r="BP144" s="25"/>
      <c r="BV144" s="25"/>
      <c r="CB144" s="25"/>
      <c r="CH144" s="42"/>
      <c r="CI144" s="42"/>
    </row>
    <row r="145" spans="1:93" s="79" customFormat="1" ht="11.25" customHeight="1" x14ac:dyDescent="0.2">
      <c r="A145" s="949" t="s">
        <v>239</v>
      </c>
      <c r="B145" s="944"/>
      <c r="C145" s="933"/>
      <c r="D145" s="933"/>
      <c r="E145" s="933"/>
      <c r="F145" s="933"/>
      <c r="G145" s="944"/>
      <c r="H145" s="944"/>
      <c r="I145" s="933"/>
      <c r="J145" s="933"/>
      <c r="K145" s="933"/>
      <c r="L145" s="933"/>
      <c r="M145" s="944"/>
      <c r="N145" s="944"/>
      <c r="O145" s="933"/>
      <c r="P145" s="933"/>
      <c r="Q145" s="933"/>
      <c r="R145" s="933"/>
      <c r="S145" s="944"/>
      <c r="T145" s="944"/>
      <c r="U145" s="933"/>
      <c r="V145" s="933"/>
      <c r="W145" s="933"/>
      <c r="X145" s="933"/>
      <c r="Y145" s="944"/>
      <c r="Z145" s="944"/>
      <c r="AA145" s="933"/>
      <c r="AB145" s="933"/>
      <c r="AC145" s="933"/>
      <c r="AD145" s="933"/>
      <c r="AE145" s="944"/>
      <c r="AF145" s="944"/>
      <c r="AG145" s="933"/>
      <c r="AH145" s="933"/>
      <c r="AI145" s="933"/>
      <c r="AJ145" s="933"/>
      <c r="AK145" s="944"/>
      <c r="AL145" s="944"/>
      <c r="AM145" s="933"/>
      <c r="AN145" s="933"/>
      <c r="AO145" s="933"/>
      <c r="AP145" s="933"/>
      <c r="AQ145" s="944"/>
      <c r="AR145" s="944"/>
      <c r="AS145" s="933"/>
      <c r="AT145" s="933"/>
      <c r="AU145" s="933"/>
      <c r="AV145" s="933"/>
      <c r="AW145" s="944"/>
      <c r="AX145" s="944"/>
      <c r="AY145" s="933"/>
      <c r="AZ145" s="933"/>
      <c r="BA145" s="933"/>
      <c r="BB145" s="933"/>
      <c r="BC145" s="944"/>
      <c r="BD145" s="944"/>
      <c r="BE145" s="933"/>
      <c r="BF145" s="933"/>
      <c r="BG145" s="933"/>
      <c r="BH145" s="933"/>
      <c r="BI145" s="944"/>
      <c r="BJ145" s="944"/>
      <c r="BK145" s="933"/>
      <c r="BL145" s="933"/>
      <c r="BM145" s="933"/>
      <c r="BN145" s="933"/>
      <c r="BO145" s="944"/>
      <c r="BP145" s="944"/>
      <c r="BQ145" s="933"/>
      <c r="BR145" s="933"/>
      <c r="BS145" s="933"/>
      <c r="BT145" s="933"/>
      <c r="BU145" s="944"/>
      <c r="BV145" s="944"/>
      <c r="BW145" s="933"/>
      <c r="BX145" s="933"/>
      <c r="BY145" s="933"/>
      <c r="BZ145" s="933"/>
      <c r="CA145" s="944"/>
      <c r="CB145" s="944"/>
      <c r="CC145" s="933"/>
      <c r="CD145" s="933"/>
      <c r="CE145" s="933"/>
      <c r="CF145" s="933"/>
      <c r="CG145" s="944"/>
      <c r="CJ145"/>
      <c r="CK145"/>
      <c r="CL145"/>
      <c r="CM145"/>
      <c r="CN145"/>
      <c r="CO145"/>
    </row>
    <row r="146" spans="1:93" s="79" customFormat="1" ht="11.25" customHeight="1" x14ac:dyDescent="0.2">
      <c r="A146" s="918" t="s">
        <v>339</v>
      </c>
      <c r="B146" s="919"/>
      <c r="C146" s="920">
        <f>+ALGN!C54</f>
        <v>63.761000000000003</v>
      </c>
      <c r="D146" s="921">
        <f>+ALGN!D54</f>
        <v>76.602999999999994</v>
      </c>
      <c r="E146" s="921">
        <f>+ALGN!E54</f>
        <v>71.450999999999993</v>
      </c>
      <c r="F146" s="921">
        <f>+ALGN!F54</f>
        <v>72.516999999999996</v>
      </c>
      <c r="G146" s="938">
        <f>+ALGN!G54</f>
        <v>284.33199999999999</v>
      </c>
      <c r="H146" s="919"/>
      <c r="I146" s="920">
        <f>+ALGN!I54</f>
        <v>74.775999999999996</v>
      </c>
      <c r="J146" s="921">
        <f>+ALGN!J54</f>
        <v>79.902000000000001</v>
      </c>
      <c r="K146" s="921">
        <f>+ALGN!K54</f>
        <v>75.173000000000002</v>
      </c>
      <c r="L146" s="921">
        <f>+ALGN!L54</f>
        <v>74.125</v>
      </c>
      <c r="M146" s="938">
        <f>+ALGN!M54</f>
        <v>303.976</v>
      </c>
      <c r="N146" s="919"/>
      <c r="O146" s="920">
        <f>+ALGN!O54</f>
        <v>70.131999999999991</v>
      </c>
      <c r="P146" s="921">
        <f>+ALGN!P54</f>
        <v>76.316000000000003</v>
      </c>
      <c r="Q146" s="921">
        <f>+ALGN!Q54</f>
        <v>79.269000000000005</v>
      </c>
      <c r="R146" s="921">
        <f>+ALGN!R54</f>
        <v>86.615999999999971</v>
      </c>
      <c r="S146" s="938">
        <f>+ALGN!S54</f>
        <v>312.33299999999997</v>
      </c>
      <c r="T146" s="919"/>
      <c r="U146" s="920">
        <f>+ALGN!U54</f>
        <v>90.09</v>
      </c>
      <c r="V146" s="921">
        <f>+ALGN!V54</f>
        <v>93.897999999999996</v>
      </c>
      <c r="W146" s="921">
        <f>+ALGN!W54</f>
        <v>95.947000000000003</v>
      </c>
      <c r="X146" s="921">
        <f>+ALGN!X54</f>
        <v>92.892999999999972</v>
      </c>
      <c r="Y146" s="938">
        <f>+ALGN!Y54</f>
        <v>372.82799999999997</v>
      </c>
      <c r="Z146" s="919"/>
      <c r="AA146" s="920">
        <f>+ALGN!AA54</f>
        <v>104.85599999999999</v>
      </c>
      <c r="AB146" s="921">
        <f>+ALGN!AB54</f>
        <v>120.086</v>
      </c>
      <c r="AC146" s="921">
        <f>+ALGN!AC54</f>
        <v>125.89400000000001</v>
      </c>
      <c r="AD146" s="921">
        <f>+ALGN!AD54</f>
        <v>128.905</v>
      </c>
      <c r="AE146" s="938">
        <f>+ALGN!AE54</f>
        <v>479.75599999999997</v>
      </c>
      <c r="AF146" s="919"/>
      <c r="AG146" s="920">
        <f>+ALGN!AG54</f>
        <v>135.07900000000001</v>
      </c>
      <c r="AH146" s="921">
        <f>+ALGN!AH54</f>
        <v>145.626</v>
      </c>
      <c r="AI146" s="921">
        <f>+ALGN!AI54</f>
        <v>136.49600000000001</v>
      </c>
      <c r="AJ146" s="921">
        <f>+ALGN!AJ54</f>
        <v>142.84</v>
      </c>
      <c r="AK146" s="938">
        <f>+ALGN!AK54</f>
        <v>560.04100000000005</v>
      </c>
      <c r="AL146" s="919"/>
      <c r="AM146" s="920">
        <f>+ALGN!AM54</f>
        <v>153.58000000000001</v>
      </c>
      <c r="AN146" s="921">
        <f>+ALGN!AN54</f>
        <v>163.828</v>
      </c>
      <c r="AO146" s="921">
        <f>+ALGN!AO54</f>
        <v>164.506</v>
      </c>
      <c r="AP146" s="921">
        <f>+ALGN!AP54</f>
        <v>178.292</v>
      </c>
      <c r="AQ146" s="938">
        <f>+ALGN!AQ54</f>
        <v>660.20600000000002</v>
      </c>
      <c r="AR146" s="919"/>
      <c r="AS146" s="920">
        <f>+ALGN!AS54</f>
        <v>180.64599999999999</v>
      </c>
      <c r="AT146" s="921">
        <f>+ALGN!AT54</f>
        <v>192.53100000000001</v>
      </c>
      <c r="AU146" s="921">
        <f>+ALGN!AU54</f>
        <v>189.876</v>
      </c>
      <c r="AV146" s="921">
        <f>+ALGN!AV54</f>
        <v>198.6</v>
      </c>
      <c r="AW146" s="938">
        <f>+ALGN!AW54</f>
        <v>761.65300000000002</v>
      </c>
      <c r="AX146" s="919"/>
      <c r="AY146" s="920">
        <f>+ALGN!AY54</f>
        <v>198.08600000000001</v>
      </c>
      <c r="AZ146" s="921">
        <f>+ALGN!AZ54</f>
        <v>209.488</v>
      </c>
      <c r="BA146" s="921">
        <f>+ALGN!BA54</f>
        <v>207.636</v>
      </c>
      <c r="BB146" s="921">
        <f>+ALGN!BB54</f>
        <v>230.27600000000001</v>
      </c>
      <c r="BC146" s="938">
        <f>+ALGN!BC54</f>
        <v>845.4860000000001</v>
      </c>
      <c r="BD146" s="919"/>
      <c r="BE146" s="920">
        <f>+ALGN!BE54</f>
        <v>238.72</v>
      </c>
      <c r="BF146" s="921">
        <f>+ALGN!BF54</f>
        <v>269.36200000000002</v>
      </c>
      <c r="BG146" s="921">
        <f>+ALGN!BG54</f>
        <v>278.589</v>
      </c>
      <c r="BH146" s="921">
        <f>+ALGN!BH54</f>
        <v>293.20299999999997</v>
      </c>
      <c r="BI146" s="938">
        <f>+ALGN!BI54</f>
        <v>1079.5784999999998</v>
      </c>
      <c r="BJ146" s="919"/>
      <c r="BK146" s="920">
        <f>+ALGN!BK54</f>
        <v>310.34100000000001</v>
      </c>
      <c r="BL146" s="921">
        <f>+ALGN!BL54</f>
        <v>356.48200000000003</v>
      </c>
      <c r="BM146" s="921">
        <f>+ALGN!BM54</f>
        <v>385.267</v>
      </c>
      <c r="BN146" s="921">
        <f>+ALGN!BN54</f>
        <v>421.32299999999998</v>
      </c>
      <c r="BO146" s="938">
        <f>+ALGN!BO54</f>
        <v>1473.4130000000002</v>
      </c>
      <c r="BP146" s="919"/>
      <c r="BQ146" s="920">
        <f>+ALGN!BQ54</f>
        <v>436.92399999999998</v>
      </c>
      <c r="BR146" s="921">
        <f>+ALGN!BR54</f>
        <v>481.40285851519718</v>
      </c>
      <c r="BS146" s="921">
        <f>+ALGN!BS54</f>
        <v>492.23854597534478</v>
      </c>
      <c r="BT146" s="921">
        <f>+ALGN!BT54</f>
        <v>540.14997593269572</v>
      </c>
      <c r="BU146" s="938">
        <f>+ALGN!BU54</f>
        <v>1950.715380423238</v>
      </c>
      <c r="BV146" s="919"/>
      <c r="BW146" s="920">
        <f>+ALGN!BW54</f>
        <v>529.80121061596071</v>
      </c>
      <c r="BX146" s="921">
        <f>+ALGN!BX54</f>
        <v>600.71257337734073</v>
      </c>
      <c r="BY146" s="921">
        <f>+ALGN!BY54</f>
        <v>608.49509641474879</v>
      </c>
      <c r="BZ146" s="921">
        <f>+ALGN!BZ54</f>
        <v>667.97328808872703</v>
      </c>
      <c r="CA146" s="938">
        <f>+ALGN!CA54</f>
        <v>2406.9821684967774</v>
      </c>
      <c r="CB146" s="919"/>
      <c r="CC146" s="920">
        <f>+ALGN!CC54</f>
        <v>623.84848946062255</v>
      </c>
      <c r="CD146" s="921">
        <f>+ALGN!CD54</f>
        <v>699.78325955691673</v>
      </c>
      <c r="CE146" s="921">
        <f>+ALGN!CE54</f>
        <v>707.09261700923344</v>
      </c>
      <c r="CF146" s="921">
        <f>+ALGN!CF54</f>
        <v>771.68037333541122</v>
      </c>
      <c r="CG146" s="938">
        <f>+ALGN!CG54</f>
        <v>2802.4047393621836</v>
      </c>
      <c r="CJ146"/>
      <c r="CK146"/>
      <c r="CL146"/>
      <c r="CM146"/>
      <c r="CN146"/>
      <c r="CO146"/>
    </row>
    <row r="147" spans="1:93" s="79" customFormat="1" ht="11.25" customHeight="1" x14ac:dyDescent="0.2">
      <c r="A147" s="918" t="s">
        <v>545</v>
      </c>
      <c r="B147" s="919"/>
      <c r="C147" s="920">
        <f>+'P&amp;L'!C25</f>
        <v>7</v>
      </c>
      <c r="D147" s="920">
        <f>+'P&amp;L'!D25</f>
        <v>13.447999999999993</v>
      </c>
      <c r="E147" s="920">
        <f>+'P&amp;L'!E25</f>
        <v>8.3949999999999889</v>
      </c>
      <c r="F147" s="920">
        <f>+'P&amp;L'!F25</f>
        <v>5.0120000000000005</v>
      </c>
      <c r="G147" s="920">
        <f>+'P&amp;L'!G25</f>
        <v>33.85499999999999</v>
      </c>
      <c r="H147" s="919"/>
      <c r="I147" s="920">
        <f>+'P&amp;L'!I25</f>
        <v>4.6259999999999906</v>
      </c>
      <c r="J147" s="920">
        <f>+'P&amp;L'!J25</f>
        <v>3.872000000000007</v>
      </c>
      <c r="K147" s="920">
        <f>+'P&amp;L'!K25</f>
        <v>7.8800000000000097</v>
      </c>
      <c r="L147" s="920">
        <f>+'P&amp;L'!L25</f>
        <v>5.3669999999999973</v>
      </c>
      <c r="M147" s="920">
        <f>+'P&amp;L'!M25</f>
        <v>21.745000000000005</v>
      </c>
      <c r="N147" s="919"/>
      <c r="O147" s="920">
        <f>+'P&amp;L'!O25</f>
        <v>6.1939999999999884</v>
      </c>
      <c r="P147" s="920">
        <f>+'P&amp;L'!P25</f>
        <v>6.6620000000000061</v>
      </c>
      <c r="Q147" s="920">
        <f>+'P&amp;L'!Q25</f>
        <v>11.385000000000005</v>
      </c>
      <c r="R147" s="920">
        <f>+'P&amp;L'!R25</f>
        <v>18.903999999999968</v>
      </c>
      <c r="S147" s="920">
        <f>+'P&amp;L'!S25</f>
        <v>43.144999999999982</v>
      </c>
      <c r="T147" s="919"/>
      <c r="U147" s="920">
        <f>+'P&amp;L'!U25</f>
        <v>21.524000000000001</v>
      </c>
      <c r="V147" s="920">
        <f>+'P&amp;L'!V25</f>
        <v>22.379999999999995</v>
      </c>
      <c r="W147" s="920">
        <f>+'P&amp;L'!W25</f>
        <v>25.233000000000004</v>
      </c>
      <c r="X147" s="920">
        <f>+'P&amp;L'!X25</f>
        <v>16.008999999999972</v>
      </c>
      <c r="Y147" s="920">
        <f>+'P&amp;L'!Y25</f>
        <v>85.145999999999958</v>
      </c>
      <c r="Z147" s="919"/>
      <c r="AA147" s="920">
        <f>+'P&amp;L'!AA25</f>
        <v>22.504000000000005</v>
      </c>
      <c r="AB147" s="920">
        <f>+'P&amp;L'!AB25</f>
        <v>23.277000000000001</v>
      </c>
      <c r="AC147" s="920">
        <f>+'P&amp;L'!AC25</f>
        <v>29.192000000000007</v>
      </c>
      <c r="AD147" s="920">
        <f>+'P&amp;L'!AD25</f>
        <v>29.676999999999992</v>
      </c>
      <c r="AE147" s="920">
        <f>+'P&amp;L'!AE25</f>
        <v>104.64999999999998</v>
      </c>
      <c r="AF147" s="919"/>
      <c r="AG147" s="920">
        <f>+'P&amp;L'!AG25</f>
        <v>30.308000000000007</v>
      </c>
      <c r="AH147" s="920">
        <f>+'P&amp;L'!AH25</f>
        <v>37.63000000000001</v>
      </c>
      <c r="AI147" s="920">
        <f>+'P&amp;L'!AI25</f>
        <v>30.625000000000014</v>
      </c>
      <c r="AJ147" s="920">
        <f>+'P&amp;L'!AJ25</f>
        <v>30.033000000000001</v>
      </c>
      <c r="AK147" s="920">
        <f>+'P&amp;L'!AK25</f>
        <v>128.59600000000012</v>
      </c>
      <c r="AL147" s="919"/>
      <c r="AM147" s="920">
        <f>+'P&amp;L'!AM25</f>
        <v>28.938000000000031</v>
      </c>
      <c r="AN147" s="920">
        <f>+'P&amp;L'!AN25</f>
        <v>37.90100000000001</v>
      </c>
      <c r="AO147" s="920">
        <f>+'P&amp;L'!AO25</f>
        <v>41.463999999999999</v>
      </c>
      <c r="AP147" s="920">
        <f>+'P&amp;L'!AP25</f>
        <v>52.923000000000002</v>
      </c>
      <c r="AQ147" s="920">
        <f>+'P&amp;L'!AQ25</f>
        <v>161.226</v>
      </c>
      <c r="AR147" s="919"/>
      <c r="AS147" s="920">
        <f>+'P&amp;L'!AS25</f>
        <v>41.803999999999988</v>
      </c>
      <c r="AT147" s="920">
        <f>+'P&amp;L'!AT25</f>
        <v>48.731999999999999</v>
      </c>
      <c r="AU147" s="920">
        <f>+'P&amp;L'!AU25</f>
        <v>51.546999999999997</v>
      </c>
      <c r="AV147" s="920">
        <f>+'P&amp;L'!AV25</f>
        <v>51.492999999999981</v>
      </c>
      <c r="AW147" s="920">
        <f>+'P&amp;L'!AW25</f>
        <v>193.57600000000002</v>
      </c>
      <c r="AX147" s="919"/>
      <c r="AY147" s="920">
        <f>+'P&amp;L'!AY25</f>
        <v>44.014560000000003</v>
      </c>
      <c r="AZ147" s="920">
        <f>+'P&amp;L'!AZ25</f>
        <v>42.325000000000017</v>
      </c>
      <c r="BA147" s="920">
        <f>+'P&amp;L'!BA25</f>
        <v>38.045999999999992</v>
      </c>
      <c r="BB147" s="920">
        <f>+'P&amp;L'!BB25</f>
        <v>59.339000000000027</v>
      </c>
      <c r="BC147" s="920">
        <f>+'P&amp;L'!BC25</f>
        <v>183.72456000000022</v>
      </c>
      <c r="BD147" s="919"/>
      <c r="BE147" s="920">
        <f>+'P&amp;L'!BE25</f>
        <v>53.334000000000032</v>
      </c>
      <c r="BF147" s="920">
        <f>+'P&amp;L'!BF25</f>
        <v>65.136000000000024</v>
      </c>
      <c r="BG147" s="920">
        <f>+'P&amp;L'!BG25</f>
        <v>62.079000000000008</v>
      </c>
      <c r="BH147" s="920">
        <f>+'P&amp;L'!BH25</f>
        <v>68.731999999999971</v>
      </c>
      <c r="BI147" s="920">
        <f>+'P&amp;L'!BI25</f>
        <v>249.28099999999995</v>
      </c>
      <c r="BJ147" s="919"/>
      <c r="BK147" s="920">
        <f>+'P&amp;L'!BK25</f>
        <v>61.673000000000002</v>
      </c>
      <c r="BL147" s="920">
        <f>+'P&amp;L'!BL25</f>
        <v>83.569000000000017</v>
      </c>
      <c r="BM147" s="920">
        <f>+'P&amp;L'!BM25</f>
        <v>98.763000000000005</v>
      </c>
      <c r="BN147" s="920">
        <f>+'P&amp;L'!BN25</f>
        <v>109.60599999999999</v>
      </c>
      <c r="BO147" s="920">
        <f>+'P&amp;L'!BO25</f>
        <v>353.6110000000001</v>
      </c>
      <c r="BP147" s="919"/>
      <c r="BQ147" s="920">
        <f>+'P&amp;L'!BQ25</f>
        <v>98.19199999999995</v>
      </c>
      <c r="BR147" s="920">
        <f>+'P&amp;L'!BR25</f>
        <v>111.92307553872999</v>
      </c>
      <c r="BS147" s="920">
        <f>+'P&amp;L'!BS25</f>
        <v>124.56462204909974</v>
      </c>
      <c r="BT147" s="920">
        <f>+'P&amp;L'!BT25</f>
        <v>140.39824336696694</v>
      </c>
      <c r="BU147" s="920">
        <f>+'P&amp;L'!BU25</f>
        <v>475.07794095479642</v>
      </c>
      <c r="BV147" s="919"/>
      <c r="BW147" s="920">
        <f>+'P&amp;L'!BW25</f>
        <v>130.1300396546323</v>
      </c>
      <c r="BX147" s="920">
        <f>+'P&amp;L'!BX25</f>
        <v>153.29459325962233</v>
      </c>
      <c r="BY147" s="920">
        <f>+'P&amp;L'!BY25</f>
        <v>167.80376907612401</v>
      </c>
      <c r="BZ147" s="920">
        <f>+'P&amp;L'!BZ25</f>
        <v>186.05284204350193</v>
      </c>
      <c r="CA147" s="920">
        <f>+'P&amp;L'!CA25</f>
        <v>637.28124403388074</v>
      </c>
      <c r="CB147" s="919"/>
      <c r="CC147" s="920">
        <f>+'P&amp;L'!CC25</f>
        <v>164.84699828557365</v>
      </c>
      <c r="CD147" s="920">
        <f>+'P&amp;L'!CD25</f>
        <v>190.5804005639331</v>
      </c>
      <c r="CE147" s="920">
        <f>+'P&amp;L'!CE25</f>
        <v>207.8726825128158</v>
      </c>
      <c r="CF147" s="920">
        <f>+'P&amp;L'!CF25</f>
        <v>227.65472588029149</v>
      </c>
      <c r="CG147" s="920">
        <f>+'P&amp;L'!CG25</f>
        <v>790.95480724261438</v>
      </c>
      <c r="CJ147"/>
      <c r="CK147"/>
      <c r="CL147"/>
      <c r="CM147"/>
      <c r="CN147"/>
      <c r="CO147"/>
    </row>
    <row r="148" spans="1:93" s="79" customFormat="1" ht="11.25" customHeight="1" x14ac:dyDescent="0.2">
      <c r="A148" s="918" t="s">
        <v>24</v>
      </c>
      <c r="B148" s="922"/>
      <c r="C148" s="923">
        <f>+'P&amp;L'!C34</f>
        <v>6.3983903420523139E-2</v>
      </c>
      <c r="D148" s="923">
        <f>+'P&amp;L'!D34</f>
        <v>3.6098527746319387E-2</v>
      </c>
      <c r="E148" s="923">
        <f>+'P&amp;L'!E34</f>
        <v>4.524886877828059E-3</v>
      </c>
      <c r="F148" s="923">
        <f>+'P&amp;L'!F34</f>
        <v>3.3424283765347874E-2</v>
      </c>
      <c r="G148" s="923">
        <f>+'P&amp;L'!G34</f>
        <v>3.3179972936400549E-2</v>
      </c>
      <c r="H148" s="922"/>
      <c r="I148" s="923">
        <f>+'P&amp;L'!I34</f>
        <v>5.1502145922746864E-2</v>
      </c>
      <c r="J148" s="923">
        <f>+'P&amp;L'!J34</f>
        <v>6.6048667439165598E-2</v>
      </c>
      <c r="K148" s="923">
        <f>+'P&amp;L'!K34</f>
        <v>0.10854616895874251</v>
      </c>
      <c r="L148" s="923">
        <f>+'P&amp;L'!L34</f>
        <v>7.020547945205538E-2</v>
      </c>
      <c r="M148" s="923">
        <f>+'P&amp;L'!M34</f>
        <v>7.8345561419316187E-2</v>
      </c>
      <c r="N148" s="922"/>
      <c r="O148" s="923">
        <f>+'P&amp;L'!O34</f>
        <v>0.49684642068748119</v>
      </c>
      <c r="P148" s="923">
        <f>+'P&amp;L'!P34</f>
        <v>0.33134783210971025</v>
      </c>
      <c r="Q148" s="923">
        <f>+'P&amp;L'!Q34</f>
        <v>0.19866834622998014</v>
      </c>
      <c r="R148" s="923">
        <f>+'P&amp;L'!R34</f>
        <v>0.34660282963042727</v>
      </c>
      <c r="S148" s="923">
        <f>+'P&amp;L'!S34</f>
        <v>0.32807877218934928</v>
      </c>
      <c r="T148" s="922"/>
      <c r="U148" s="923">
        <f>+'P&amp;L'!U34</f>
        <v>0.25892899718659101</v>
      </c>
      <c r="V148" s="923">
        <f>+'P&amp;L'!V34</f>
        <v>0.26983493077742288</v>
      </c>
      <c r="W148" s="923">
        <f>+'P&amp;L'!W34</f>
        <v>0.23121272365805165</v>
      </c>
      <c r="X148" s="923">
        <f>+'P&amp;L'!X34</f>
        <v>0.30416296484325472</v>
      </c>
      <c r="Y148" s="923">
        <f>+'P&amp;L'!Y34</f>
        <v>0.26202689095539905</v>
      </c>
      <c r="Z148" s="922"/>
      <c r="AA148" s="923">
        <f>+'P&amp;L'!AA34</f>
        <v>0.25007745761961669</v>
      </c>
      <c r="AB148" s="923">
        <f>+'P&amp;L'!AB34</f>
        <v>0.29132384310652565</v>
      </c>
      <c r="AC148" s="923">
        <f>+'P&amp;L'!AC34</f>
        <v>0.24533947857191984</v>
      </c>
      <c r="AD148" s="923">
        <f>+'P&amp;L'!AD34</f>
        <v>0.22343121684182077</v>
      </c>
      <c r="AE148" s="923">
        <f>+'P&amp;L'!AE34</f>
        <v>0.25028062668495943</v>
      </c>
      <c r="AF148" s="922"/>
      <c r="AG148" s="923">
        <f>+'P&amp;L'!AG34</f>
        <v>0.24999999999999994</v>
      </c>
      <c r="AH148" s="923">
        <f>+'P&amp;L'!AH34</f>
        <v>0.25079248644258728</v>
      </c>
      <c r="AI148" s="923">
        <f>+'P&amp;L'!AI34</f>
        <v>0.21709830866807603</v>
      </c>
      <c r="AJ148" s="923">
        <f>+'P&amp;L'!AJ34</f>
        <v>0.23953543816627501</v>
      </c>
      <c r="AK148" s="923">
        <f>+'P&amp;L'!AK34</f>
        <v>0.2399999999999998</v>
      </c>
      <c r="AL148" s="922"/>
      <c r="AM148" s="923">
        <f>+'P&amp;L'!AM34</f>
        <v>0.23999999999999974</v>
      </c>
      <c r="AN148" s="923">
        <f>+'P&amp;L'!AN34</f>
        <v>0.21950700101155296</v>
      </c>
      <c r="AO148" s="923">
        <f>+'P&amp;L'!AO34</f>
        <v>0.17598358504521272</v>
      </c>
      <c r="AP148" s="923">
        <f>+'P&amp;L'!AP34</f>
        <v>0.19539488657916695</v>
      </c>
      <c r="AQ148" s="923">
        <f>+'P&amp;L'!AQ34</f>
        <v>0.20375515912908285</v>
      </c>
      <c r="AR148" s="922"/>
      <c r="AS148" s="923">
        <f>+'P&amp;L'!AS34</f>
        <v>0.23490154462917118</v>
      </c>
      <c r="AT148" s="923">
        <f>+'P&amp;L'!AT34</f>
        <v>0.26807705750529415</v>
      </c>
      <c r="AU148" s="923">
        <f>+'P&amp;L'!AU34</f>
        <v>0.2280818600145314</v>
      </c>
      <c r="AV148" s="923">
        <f>+'P&amp;L'!AV34</f>
        <v>0.20563714165176697</v>
      </c>
      <c r="AW148" s="923">
        <f>+'P&amp;L'!AW34</f>
        <v>0.23395090587227962</v>
      </c>
      <c r="AX148" s="922"/>
      <c r="AY148" s="923">
        <f>+'P&amp;L'!AY34</f>
        <v>0.26537407524359435</v>
      </c>
      <c r="AZ148" s="923">
        <f>+'P&amp;L'!AZ34</f>
        <v>0.26233558436669085</v>
      </c>
      <c r="BA148" s="923">
        <f>+'P&amp;L'!BA34</f>
        <v>0.24294095071001703</v>
      </c>
      <c r="BB148" s="923">
        <f>+'P&amp;L'!BB34</f>
        <v>0.18063099309327424</v>
      </c>
      <c r="BC148" s="923">
        <f>+'P&amp;L'!BC34</f>
        <v>0.23224591697317437</v>
      </c>
      <c r="BD148" s="922"/>
      <c r="BE148" s="923">
        <f>+'P&amp;L'!BE34</f>
        <v>0.23363638081917315</v>
      </c>
      <c r="BF148" s="923">
        <f>+'P&amp;L'!BF34</f>
        <v>0.23157781829883076</v>
      </c>
      <c r="BG148" s="923">
        <f>+'P&amp;L'!BG34</f>
        <v>0.18549115991437404</v>
      </c>
      <c r="BH148" s="923">
        <f>+'P&amp;L'!BH34</f>
        <v>0.20043660117649029</v>
      </c>
      <c r="BI148" s="923">
        <f>+'P&amp;L'!BI34</f>
        <v>0.21223501711973869</v>
      </c>
      <c r="BJ148" s="922"/>
      <c r="BK148" s="923">
        <f>+'P&amp;L'!BK34</f>
        <v>-0.11613100310304354</v>
      </c>
      <c r="BL148" s="923">
        <f>+'P&amp;L'!BL34</f>
        <v>0.18195255776553221</v>
      </c>
      <c r="BM148" s="923">
        <f>+'P&amp;L'!BM34</f>
        <v>0.18180556794418182</v>
      </c>
      <c r="BN148" s="923">
        <f>+'P&amp;L'!BN34</f>
        <v>0.14970417317719767</v>
      </c>
      <c r="BO148" s="923">
        <f>+'P&amp;L'!BO34</f>
        <v>0.12047679628298023</v>
      </c>
      <c r="BP148" s="922"/>
      <c r="BQ148" s="923">
        <f>+'P&amp;L'!BQ34</f>
        <v>2.9381986068362242E-2</v>
      </c>
      <c r="BR148" s="923">
        <f>+'P&amp;L'!BR34</f>
        <v>0.13</v>
      </c>
      <c r="BS148" s="923">
        <f>+'P&amp;L'!BS34</f>
        <v>0.22</v>
      </c>
      <c r="BT148" s="923">
        <f>+'P&amp;L'!BT34</f>
        <v>0.22</v>
      </c>
      <c r="BU148" s="923">
        <f>+'P&amp;L'!BU34</f>
        <v>0.1592812201011527</v>
      </c>
      <c r="BV148" s="922"/>
      <c r="BW148" s="923">
        <f>+'P&amp;L'!BW34</f>
        <v>0.18</v>
      </c>
      <c r="BX148" s="923">
        <f>+'P&amp;L'!BX34</f>
        <v>0.18</v>
      </c>
      <c r="BY148" s="923">
        <f>+'P&amp;L'!BY34</f>
        <v>0.18</v>
      </c>
      <c r="BZ148" s="923">
        <f>+'P&amp;L'!BZ34</f>
        <v>0.18</v>
      </c>
      <c r="CA148" s="923">
        <f>+'P&amp;L'!CA34</f>
        <v>0.17999999999999994</v>
      </c>
      <c r="CB148" s="922"/>
      <c r="CC148" s="923">
        <f>+'P&amp;L'!CC34</f>
        <v>0.18</v>
      </c>
      <c r="CD148" s="923">
        <f>+'P&amp;L'!CD34</f>
        <v>0.18</v>
      </c>
      <c r="CE148" s="923">
        <f>+'P&amp;L'!CE34</f>
        <v>0.18</v>
      </c>
      <c r="CF148" s="923">
        <f>+'P&amp;L'!CF34</f>
        <v>0.18</v>
      </c>
      <c r="CG148" s="923">
        <f>+'P&amp;L'!CG34</f>
        <v>0.17999999999999991</v>
      </c>
      <c r="CJ148"/>
      <c r="CK148"/>
      <c r="CL148"/>
      <c r="CM148"/>
      <c r="CN148"/>
      <c r="CO148"/>
    </row>
    <row r="149" spans="1:93" s="79" customFormat="1" ht="11.25" customHeight="1" x14ac:dyDescent="0.2">
      <c r="A149" s="918" t="s">
        <v>546</v>
      </c>
      <c r="B149" s="922"/>
      <c r="C149" s="939">
        <f>C147*C148</f>
        <v>0.44788732394366199</v>
      </c>
      <c r="D149" s="925">
        <f t="shared" ref="D149:G149" si="156">D147*D148</f>
        <v>0.48545300113250289</v>
      </c>
      <c r="E149" s="925">
        <f t="shared" si="156"/>
        <v>3.7986425339366504E-2</v>
      </c>
      <c r="F149" s="925">
        <f t="shared" si="156"/>
        <v>0.16752251023192355</v>
      </c>
      <c r="G149" s="940">
        <f t="shared" si="156"/>
        <v>1.1233079837618403</v>
      </c>
      <c r="H149" s="922"/>
      <c r="I149" s="939">
        <f t="shared" ref="I149:M149" si="157">I147*I148</f>
        <v>0.23824892703862652</v>
      </c>
      <c r="J149" s="925">
        <f t="shared" si="157"/>
        <v>0.25574044032444965</v>
      </c>
      <c r="K149" s="925">
        <f t="shared" si="157"/>
        <v>0.85534381139489202</v>
      </c>
      <c r="L149" s="925">
        <f t="shared" si="157"/>
        <v>0.37679280821918104</v>
      </c>
      <c r="M149" s="940">
        <f t="shared" si="157"/>
        <v>1.7036242330630309</v>
      </c>
      <c r="N149" s="922"/>
      <c r="O149" s="939">
        <f t="shared" ref="O149:S149" si="158">O147*O148</f>
        <v>3.0774667297382527</v>
      </c>
      <c r="P149" s="925">
        <f t="shared" si="158"/>
        <v>2.2074392575148916</v>
      </c>
      <c r="Q149" s="925">
        <f t="shared" si="158"/>
        <v>2.2618391218283249</v>
      </c>
      <c r="R149" s="925">
        <f t="shared" si="158"/>
        <v>6.5521798913335862</v>
      </c>
      <c r="S149" s="940">
        <f t="shared" si="158"/>
        <v>14.154958626109469</v>
      </c>
      <c r="T149" s="922"/>
      <c r="U149" s="939">
        <f t="shared" ref="U149:Y149" si="159">U147*U148</f>
        <v>5.5731877354441854</v>
      </c>
      <c r="V149" s="925">
        <f t="shared" si="159"/>
        <v>6.0389057507987225</v>
      </c>
      <c r="W149" s="925">
        <f t="shared" si="159"/>
        <v>5.8341906560636181</v>
      </c>
      <c r="X149" s="925">
        <f t="shared" si="159"/>
        <v>4.869344904175656</v>
      </c>
      <c r="Y149" s="940">
        <f t="shared" si="159"/>
        <v>22.310541657288397</v>
      </c>
      <c r="Z149" s="922"/>
      <c r="AA149" s="939">
        <f t="shared" ref="AA149:AE149" si="160">AA147*AA148</f>
        <v>5.627743106271855</v>
      </c>
      <c r="AB149" s="925">
        <f t="shared" si="160"/>
        <v>6.7811450959905981</v>
      </c>
      <c r="AC149" s="925">
        <f t="shared" si="160"/>
        <v>7.1619500584714855</v>
      </c>
      <c r="AD149" s="925">
        <f t="shared" si="160"/>
        <v>6.6307682222147131</v>
      </c>
      <c r="AE149" s="940">
        <f t="shared" si="160"/>
        <v>26.191867582580997</v>
      </c>
      <c r="AF149" s="922"/>
      <c r="AG149" s="939">
        <f t="shared" ref="AG149:AK149" si="161">AG147*AG148</f>
        <v>7.577</v>
      </c>
      <c r="AH149" s="925">
        <f t="shared" si="161"/>
        <v>9.4373212648345621</v>
      </c>
      <c r="AI149" s="925">
        <f t="shared" si="161"/>
        <v>6.6486357029598313</v>
      </c>
      <c r="AJ149" s="925">
        <f t="shared" si="161"/>
        <v>7.1939678144477375</v>
      </c>
      <c r="AK149" s="940">
        <f t="shared" si="161"/>
        <v>30.863040000000002</v>
      </c>
      <c r="AL149" s="922"/>
      <c r="AM149" s="939">
        <f t="shared" ref="AM149:AQ149" si="162">AM147*AM148</f>
        <v>6.9451200000000002</v>
      </c>
      <c r="AN149" s="925">
        <f t="shared" si="162"/>
        <v>8.3195348453388718</v>
      </c>
      <c r="AO149" s="925">
        <f t="shared" si="162"/>
        <v>7.2969833703146998</v>
      </c>
      <c r="AP149" s="925">
        <f t="shared" si="162"/>
        <v>10.340883582429253</v>
      </c>
      <c r="AQ149" s="940">
        <f t="shared" si="162"/>
        <v>32.850629285745512</v>
      </c>
      <c r="AR149" s="922"/>
      <c r="AS149" s="939">
        <f t="shared" ref="AS149:AW149" si="163">AS147*AS148</f>
        <v>9.8198241716778689</v>
      </c>
      <c r="AT149" s="925">
        <f t="shared" si="163"/>
        <v>13.063931166347993</v>
      </c>
      <c r="AU149" s="925">
        <f t="shared" si="163"/>
        <v>11.756935638169049</v>
      </c>
      <c r="AV149" s="925">
        <f t="shared" si="163"/>
        <v>10.588873335074432</v>
      </c>
      <c r="AW149" s="940">
        <f t="shared" si="163"/>
        <v>45.287280555132405</v>
      </c>
      <c r="AX149" s="922"/>
      <c r="AY149" s="939">
        <f t="shared" ref="AY149:BC149" si="164">AY147*AY148</f>
        <v>11.680323157253699</v>
      </c>
      <c r="AZ149" s="925">
        <f t="shared" si="164"/>
        <v>11.103353608320194</v>
      </c>
      <c r="BA149" s="925">
        <f t="shared" si="164"/>
        <v>9.2429314107133056</v>
      </c>
      <c r="BB149" s="925">
        <f t="shared" si="164"/>
        <v>10.718462499161806</v>
      </c>
      <c r="BC149" s="940">
        <f t="shared" si="164"/>
        <v>42.669278907693048</v>
      </c>
      <c r="BD149" s="922"/>
      <c r="BE149" s="939">
        <f t="shared" ref="BE149:BI149" si="165">BE147*BE148</f>
        <v>12.460762734609789</v>
      </c>
      <c r="BF149" s="925">
        <f t="shared" si="165"/>
        <v>15.084052772712646</v>
      </c>
      <c r="BG149" s="925">
        <f t="shared" si="165"/>
        <v>11.515105716324427</v>
      </c>
      <c r="BH149" s="925">
        <f t="shared" si="165"/>
        <v>13.776408472062524</v>
      </c>
      <c r="BI149" s="940">
        <f t="shared" si="165"/>
        <v>52.906157302625573</v>
      </c>
      <c r="BJ149" s="922"/>
      <c r="BK149" s="939">
        <f t="shared" ref="BK149:BO149" si="166">BK147*BK148</f>
        <v>-7.1621473543740048</v>
      </c>
      <c r="BL149" s="925">
        <f t="shared" si="166"/>
        <v>15.205593299907765</v>
      </c>
      <c r="BM149" s="925">
        <f t="shared" si="166"/>
        <v>17.95566330687123</v>
      </c>
      <c r="BN149" s="925">
        <f t="shared" si="166"/>
        <v>16.408475605259927</v>
      </c>
      <c r="BO149" s="940">
        <f t="shared" si="166"/>
        <v>42.601920410420938</v>
      </c>
      <c r="BP149" s="922"/>
      <c r="BQ149" s="939">
        <f t="shared" ref="BQ149:BU149" si="167">BQ147*BQ148</f>
        <v>2.8850759760246238</v>
      </c>
      <c r="BR149" s="925">
        <f t="shared" si="167"/>
        <v>14.549999820034898</v>
      </c>
      <c r="BS149" s="925">
        <f t="shared" si="167"/>
        <v>27.404216850801944</v>
      </c>
      <c r="BT149" s="925">
        <f t="shared" si="167"/>
        <v>30.887613540732726</v>
      </c>
      <c r="BU149" s="940">
        <f t="shared" si="167"/>
        <v>75.670994078423348</v>
      </c>
      <c r="BV149" s="922"/>
      <c r="BW149" s="939">
        <f t="shared" ref="BW149:CA149" si="168">BW147*BW148</f>
        <v>23.423407137833813</v>
      </c>
      <c r="BX149" s="925">
        <f t="shared" si="168"/>
        <v>27.593026786732018</v>
      </c>
      <c r="BY149" s="925">
        <f t="shared" si="168"/>
        <v>30.20467843370232</v>
      </c>
      <c r="BZ149" s="925">
        <f t="shared" si="168"/>
        <v>33.489511567830348</v>
      </c>
      <c r="CA149" s="940">
        <f t="shared" si="168"/>
        <v>114.71062392609849</v>
      </c>
      <c r="CB149" s="922"/>
      <c r="CC149" s="939">
        <f t="shared" ref="CC149:CG149" si="169">CC147*CC148</f>
        <v>29.672459691403255</v>
      </c>
      <c r="CD149" s="925">
        <f t="shared" si="169"/>
        <v>34.304472101507955</v>
      </c>
      <c r="CE149" s="925">
        <f t="shared" si="169"/>
        <v>37.417082852306841</v>
      </c>
      <c r="CF149" s="925">
        <f t="shared" si="169"/>
        <v>40.977850658452468</v>
      </c>
      <c r="CG149" s="940">
        <f t="shared" si="169"/>
        <v>142.37186530367052</v>
      </c>
      <c r="CJ149"/>
      <c r="CK149"/>
      <c r="CL149"/>
      <c r="CM149"/>
      <c r="CN149"/>
      <c r="CO149"/>
    </row>
    <row r="150" spans="1:93" s="79" customFormat="1" ht="11.25" customHeight="1" x14ac:dyDescent="0.2">
      <c r="A150" s="926" t="s">
        <v>547</v>
      </c>
      <c r="B150" s="927"/>
      <c r="C150" s="941">
        <f>C147-C149</f>
        <v>6.5521126760563382</v>
      </c>
      <c r="D150" s="928">
        <f t="shared" ref="D150:G150" si="170">D147-D149</f>
        <v>12.96254699886749</v>
      </c>
      <c r="E150" s="928">
        <f t="shared" si="170"/>
        <v>8.3570135746606216</v>
      </c>
      <c r="F150" s="928">
        <f t="shared" si="170"/>
        <v>4.8444774897680771</v>
      </c>
      <c r="G150" s="942">
        <f t="shared" si="170"/>
        <v>32.731692016238149</v>
      </c>
      <c r="H150" s="927"/>
      <c r="I150" s="941">
        <f t="shared" ref="I150:M150" si="171">I147-I149</f>
        <v>4.3877510729613638</v>
      </c>
      <c r="J150" s="928">
        <f t="shared" si="171"/>
        <v>3.6162595596755573</v>
      </c>
      <c r="K150" s="928">
        <f t="shared" si="171"/>
        <v>7.0246561886051175</v>
      </c>
      <c r="L150" s="928">
        <f t="shared" si="171"/>
        <v>4.990207191780816</v>
      </c>
      <c r="M150" s="942">
        <f t="shared" si="171"/>
        <v>20.041375766936973</v>
      </c>
      <c r="N150" s="927"/>
      <c r="O150" s="941">
        <f t="shared" ref="O150:S150" si="172">O147-O149</f>
        <v>3.1165332702617357</v>
      </c>
      <c r="P150" s="928">
        <f t="shared" si="172"/>
        <v>4.4545607424851141</v>
      </c>
      <c r="Q150" s="928">
        <f t="shared" si="172"/>
        <v>9.1231608781716798</v>
      </c>
      <c r="R150" s="928">
        <f t="shared" si="172"/>
        <v>12.351820108666381</v>
      </c>
      <c r="S150" s="942">
        <f t="shared" si="172"/>
        <v>28.990041373890513</v>
      </c>
      <c r="T150" s="927"/>
      <c r="U150" s="941">
        <f t="shared" ref="U150:Y150" si="173">U147-U149</f>
        <v>15.950812264555815</v>
      </c>
      <c r="V150" s="928">
        <f t="shared" si="173"/>
        <v>16.341094249201273</v>
      </c>
      <c r="W150" s="928">
        <f t="shared" si="173"/>
        <v>19.398809343936385</v>
      </c>
      <c r="X150" s="928">
        <f t="shared" si="173"/>
        <v>11.139655095824317</v>
      </c>
      <c r="Y150" s="942">
        <f t="shared" si="173"/>
        <v>62.835458342711561</v>
      </c>
      <c r="Z150" s="927"/>
      <c r="AA150" s="941">
        <f t="shared" ref="AA150:AE150" si="174">AA147-AA149</f>
        <v>16.876256893728151</v>
      </c>
      <c r="AB150" s="928">
        <f t="shared" si="174"/>
        <v>16.495854904009402</v>
      </c>
      <c r="AC150" s="928">
        <f t="shared" si="174"/>
        <v>22.030049941528521</v>
      </c>
      <c r="AD150" s="928">
        <f t="shared" si="174"/>
        <v>23.04623177778528</v>
      </c>
      <c r="AE150" s="942">
        <f t="shared" si="174"/>
        <v>78.45813241741898</v>
      </c>
      <c r="AF150" s="927"/>
      <c r="AG150" s="941">
        <f t="shared" ref="AG150:AK150" si="175">AG147-AG149</f>
        <v>22.731000000000009</v>
      </c>
      <c r="AH150" s="928">
        <f t="shared" si="175"/>
        <v>28.192678735165448</v>
      </c>
      <c r="AI150" s="928">
        <f t="shared" si="175"/>
        <v>23.976364297040185</v>
      </c>
      <c r="AJ150" s="928">
        <f t="shared" si="175"/>
        <v>22.839032185552263</v>
      </c>
      <c r="AK150" s="942">
        <f t="shared" si="175"/>
        <v>97.732960000000119</v>
      </c>
      <c r="AL150" s="927"/>
      <c r="AM150" s="941">
        <f t="shared" ref="AM150:AQ150" si="176">AM147-AM149</f>
        <v>21.992880000000032</v>
      </c>
      <c r="AN150" s="928">
        <f t="shared" si="176"/>
        <v>29.581465154661139</v>
      </c>
      <c r="AO150" s="928">
        <f t="shared" si="176"/>
        <v>34.1670166296853</v>
      </c>
      <c r="AP150" s="928">
        <f t="shared" si="176"/>
        <v>42.582116417570745</v>
      </c>
      <c r="AQ150" s="942">
        <f t="shared" si="176"/>
        <v>128.37537071425447</v>
      </c>
      <c r="AR150" s="927"/>
      <c r="AS150" s="941">
        <f t="shared" ref="AS150:AW150" si="177">AS147-AS149</f>
        <v>31.984175828322119</v>
      </c>
      <c r="AT150" s="928">
        <f t="shared" si="177"/>
        <v>35.668068833652008</v>
      </c>
      <c r="AU150" s="928">
        <f t="shared" si="177"/>
        <v>39.79006436183095</v>
      </c>
      <c r="AV150" s="928">
        <f t="shared" si="177"/>
        <v>40.904126664925549</v>
      </c>
      <c r="AW150" s="942">
        <f t="shared" si="177"/>
        <v>148.28871944486761</v>
      </c>
      <c r="AX150" s="927"/>
      <c r="AY150" s="941">
        <f t="shared" ref="AY150:BC150" si="178">AY147-AY149</f>
        <v>32.334236842746307</v>
      </c>
      <c r="AZ150" s="928">
        <f t="shared" si="178"/>
        <v>31.221646391679823</v>
      </c>
      <c r="BA150" s="928">
        <f t="shared" si="178"/>
        <v>28.803068589286688</v>
      </c>
      <c r="BB150" s="928">
        <f t="shared" si="178"/>
        <v>48.620537500838225</v>
      </c>
      <c r="BC150" s="942">
        <f t="shared" si="178"/>
        <v>141.05528109230718</v>
      </c>
      <c r="BD150" s="927"/>
      <c r="BE150" s="941">
        <f t="shared" ref="BE150:BI150" si="179">BE147-BE149</f>
        <v>40.873237265390244</v>
      </c>
      <c r="BF150" s="928">
        <f t="shared" si="179"/>
        <v>50.051947227287378</v>
      </c>
      <c r="BG150" s="928">
        <f t="shared" si="179"/>
        <v>50.56389428367558</v>
      </c>
      <c r="BH150" s="928">
        <f t="shared" si="179"/>
        <v>54.955591527937443</v>
      </c>
      <c r="BI150" s="942">
        <f t="shared" si="179"/>
        <v>196.37484269737439</v>
      </c>
      <c r="BJ150" s="927"/>
      <c r="BK150" s="941">
        <f t="shared" ref="BK150:BO150" si="180">BK147-BK149</f>
        <v>68.835147354374001</v>
      </c>
      <c r="BL150" s="928">
        <f t="shared" si="180"/>
        <v>68.363406700092256</v>
      </c>
      <c r="BM150" s="928">
        <f t="shared" si="180"/>
        <v>80.807336693128775</v>
      </c>
      <c r="BN150" s="928">
        <f t="shared" si="180"/>
        <v>93.197524394740071</v>
      </c>
      <c r="BO150" s="942">
        <f t="shared" si="180"/>
        <v>311.00907958957919</v>
      </c>
      <c r="BP150" s="927"/>
      <c r="BQ150" s="941">
        <f t="shared" ref="BQ150:BU150" si="181">BQ147-BQ149</f>
        <v>95.306924023975327</v>
      </c>
      <c r="BR150" s="928">
        <f t="shared" si="181"/>
        <v>97.373075718695091</v>
      </c>
      <c r="BS150" s="928">
        <f t="shared" si="181"/>
        <v>97.160405198297795</v>
      </c>
      <c r="BT150" s="928">
        <f t="shared" si="181"/>
        <v>109.51062982623421</v>
      </c>
      <c r="BU150" s="942">
        <f t="shared" si="181"/>
        <v>399.40694687637307</v>
      </c>
      <c r="BV150" s="927"/>
      <c r="BW150" s="941">
        <f t="shared" ref="BW150:CA150" si="182">BW147-BW149</f>
        <v>106.70663251679849</v>
      </c>
      <c r="BX150" s="928">
        <f t="shared" si="182"/>
        <v>125.70156647289031</v>
      </c>
      <c r="BY150" s="928">
        <f t="shared" si="182"/>
        <v>137.59909064242169</v>
      </c>
      <c r="BZ150" s="928">
        <f t="shared" si="182"/>
        <v>152.56333047567159</v>
      </c>
      <c r="CA150" s="942">
        <f t="shared" si="182"/>
        <v>522.57062010778225</v>
      </c>
      <c r="CB150" s="927"/>
      <c r="CC150" s="941">
        <f t="shared" ref="CC150:CG150" si="183">CC147-CC149</f>
        <v>135.1745385941704</v>
      </c>
      <c r="CD150" s="928">
        <f t="shared" si="183"/>
        <v>156.27592846242516</v>
      </c>
      <c r="CE150" s="928">
        <f t="shared" si="183"/>
        <v>170.45559966050897</v>
      </c>
      <c r="CF150" s="928">
        <f t="shared" si="183"/>
        <v>186.67687522183903</v>
      </c>
      <c r="CG150" s="942">
        <f t="shared" si="183"/>
        <v>648.5829419389438</v>
      </c>
      <c r="CJ150"/>
      <c r="CK150"/>
      <c r="CL150"/>
      <c r="CM150"/>
      <c r="CN150"/>
      <c r="CO150"/>
    </row>
    <row r="151" spans="1:93" s="79" customFormat="1" ht="11.25" customHeight="1" x14ac:dyDescent="0.2">
      <c r="A151" s="926" t="s">
        <v>548</v>
      </c>
      <c r="B151" s="929"/>
      <c r="C151" s="943">
        <f>C150/C146</f>
        <v>0.10276050683107758</v>
      </c>
      <c r="D151" s="930">
        <f t="shared" ref="D151:G151" si="184">D150/D146</f>
        <v>0.16921722385373275</v>
      </c>
      <c r="E151" s="930">
        <f t="shared" si="184"/>
        <v>0.11696146414550702</v>
      </c>
      <c r="F151" s="930">
        <f t="shared" si="184"/>
        <v>6.6804714615442962E-2</v>
      </c>
      <c r="G151" s="927">
        <f t="shared" si="184"/>
        <v>0.11511786227451765</v>
      </c>
      <c r="H151" s="929"/>
      <c r="I151" s="943">
        <f t="shared" ref="I151:M151" si="185">I150/I146</f>
        <v>5.8678601061321334E-2</v>
      </c>
      <c r="J151" s="930">
        <f t="shared" si="185"/>
        <v>4.5258686386768256E-2</v>
      </c>
      <c r="K151" s="930">
        <f t="shared" si="185"/>
        <v>9.3446532513071418E-2</v>
      </c>
      <c r="L151" s="930">
        <f t="shared" si="185"/>
        <v>6.7321513548476444E-2</v>
      </c>
      <c r="M151" s="927">
        <f t="shared" si="185"/>
        <v>6.5930783242548668E-2</v>
      </c>
      <c r="N151" s="929"/>
      <c r="O151" s="943">
        <f t="shared" ref="O151:S151" si="186">O150/O146</f>
        <v>4.4438106289022644E-2</v>
      </c>
      <c r="P151" s="930">
        <f t="shared" si="186"/>
        <v>5.8369945260300773E-2</v>
      </c>
      <c r="Q151" s="930">
        <f t="shared" si="186"/>
        <v>0.11509115641892391</v>
      </c>
      <c r="R151" s="930">
        <f t="shared" si="186"/>
        <v>0.14260436996243633</v>
      </c>
      <c r="S151" s="927">
        <f t="shared" si="186"/>
        <v>9.2817734193602716E-2</v>
      </c>
      <c r="T151" s="929"/>
      <c r="U151" s="943">
        <f t="shared" ref="U151:Y151" si="187">U150/U146</f>
        <v>0.17705419319076274</v>
      </c>
      <c r="V151" s="930">
        <f t="shared" si="187"/>
        <v>0.17403026953930087</v>
      </c>
      <c r="W151" s="930">
        <f t="shared" si="187"/>
        <v>0.20218255228341048</v>
      </c>
      <c r="X151" s="930">
        <f t="shared" si="187"/>
        <v>0.11991920915272755</v>
      </c>
      <c r="Y151" s="927">
        <f t="shared" si="187"/>
        <v>0.16853739081483035</v>
      </c>
      <c r="Z151" s="929"/>
      <c r="AA151" s="943">
        <f t="shared" ref="AA151:AE151" si="188">AA150/AA146</f>
        <v>0.16094698342229488</v>
      </c>
      <c r="AB151" s="930">
        <f t="shared" si="188"/>
        <v>0.13736701117540265</v>
      </c>
      <c r="AC151" s="930">
        <f t="shared" si="188"/>
        <v>0.17498887906912577</v>
      </c>
      <c r="AD151" s="930">
        <f t="shared" si="188"/>
        <v>0.17878462261188691</v>
      </c>
      <c r="AE151" s="927">
        <f t="shared" si="188"/>
        <v>0.1635375741364756</v>
      </c>
      <c r="AF151" s="929"/>
      <c r="AG151" s="943">
        <f t="shared" ref="AG151:AK151" si="189">AG150/AG146</f>
        <v>0.16827930322255871</v>
      </c>
      <c r="AH151" s="930">
        <f t="shared" si="189"/>
        <v>0.19359646447176634</v>
      </c>
      <c r="AI151" s="930">
        <f t="shared" si="189"/>
        <v>0.17565616792462918</v>
      </c>
      <c r="AJ151" s="930">
        <f t="shared" si="189"/>
        <v>0.15989241238835245</v>
      </c>
      <c r="AK151" s="927">
        <f t="shared" si="189"/>
        <v>0.17451036620533159</v>
      </c>
      <c r="AL151" s="929"/>
      <c r="AM151" s="943">
        <f t="shared" ref="AM151:AQ151" si="190">AM150/AM146</f>
        <v>0.1432014585232454</v>
      </c>
      <c r="AN151" s="930">
        <f t="shared" si="190"/>
        <v>0.18056415969590753</v>
      </c>
      <c r="AO151" s="930">
        <f t="shared" si="190"/>
        <v>0.20769465326301351</v>
      </c>
      <c r="AP151" s="930">
        <f t="shared" si="190"/>
        <v>0.23883357872238095</v>
      </c>
      <c r="AQ151" s="927">
        <f t="shared" si="190"/>
        <v>0.19444744627321545</v>
      </c>
      <c r="AR151" s="929"/>
      <c r="AS151" s="943">
        <f t="shared" ref="AS151:AW151" si="191">AS150/AS146</f>
        <v>0.17705443701118276</v>
      </c>
      <c r="AT151" s="930">
        <f t="shared" si="191"/>
        <v>0.18525883537535257</v>
      </c>
      <c r="AU151" s="930">
        <f t="shared" si="191"/>
        <v>0.20955815564805952</v>
      </c>
      <c r="AV151" s="930">
        <f t="shared" si="191"/>
        <v>0.20596236991402594</v>
      </c>
      <c r="AW151" s="927">
        <f t="shared" si="191"/>
        <v>0.19469327823151436</v>
      </c>
      <c r="AX151" s="929"/>
      <c r="AY151" s="943">
        <f t="shared" ref="AY151:BC151" si="192">AY150/AY146</f>
        <v>0.16323332715460107</v>
      </c>
      <c r="AZ151" s="930">
        <f t="shared" si="192"/>
        <v>0.14903787516077208</v>
      </c>
      <c r="BA151" s="930">
        <f t="shared" si="192"/>
        <v>0.13871904963150267</v>
      </c>
      <c r="BB151" s="930">
        <f t="shared" si="192"/>
        <v>0.21114027298041577</v>
      </c>
      <c r="BC151" s="927">
        <f t="shared" si="192"/>
        <v>0.1668333728675663</v>
      </c>
      <c r="BD151" s="929"/>
      <c r="BE151" s="943">
        <f t="shared" ref="BE151:BI151" si="193">BE150/BE146</f>
        <v>0.17121831964389345</v>
      </c>
      <c r="BF151" s="930">
        <f t="shared" si="193"/>
        <v>0.18581666020926252</v>
      </c>
      <c r="BG151" s="930">
        <f t="shared" si="193"/>
        <v>0.1814999669178452</v>
      </c>
      <c r="BH151" s="930">
        <f t="shared" si="193"/>
        <v>0.18743188687679679</v>
      </c>
      <c r="BI151" s="927">
        <f t="shared" si="193"/>
        <v>0.18189954940504505</v>
      </c>
      <c r="BJ151" s="929"/>
      <c r="BK151" s="943">
        <f t="shared" ref="BK151:BO151" si="194">BK150/BK146</f>
        <v>0.22180487706868895</v>
      </c>
      <c r="BL151" s="930">
        <f t="shared" si="194"/>
        <v>0.19177239439885393</v>
      </c>
      <c r="BM151" s="930">
        <f t="shared" si="194"/>
        <v>0.20974372757887069</v>
      </c>
      <c r="BN151" s="930">
        <f t="shared" si="194"/>
        <v>0.22120208105121267</v>
      </c>
      <c r="BO151" s="927">
        <f t="shared" si="194"/>
        <v>0.21108072182719925</v>
      </c>
      <c r="BP151" s="929"/>
      <c r="BQ151" s="943">
        <f t="shared" ref="BQ151:BU151" si="195">BQ150/BQ146</f>
        <v>0.21813158357969653</v>
      </c>
      <c r="BR151" s="930">
        <f t="shared" si="195"/>
        <v>0.20226941738365511</v>
      </c>
      <c r="BS151" s="930">
        <f t="shared" si="195"/>
        <v>0.19738479644209814</v>
      </c>
      <c r="BT151" s="930">
        <f t="shared" si="195"/>
        <v>0.20274115468974779</v>
      </c>
      <c r="BU151" s="927">
        <f t="shared" si="195"/>
        <v>0.20474896075803509</v>
      </c>
      <c r="BV151" s="929"/>
      <c r="BW151" s="943">
        <f t="shared" ref="BW151:CA151" si="196">BW150/BW146</f>
        <v>0.20140881217077358</v>
      </c>
      <c r="BX151" s="930">
        <f t="shared" si="196"/>
        <v>0.20925409595835148</v>
      </c>
      <c r="BY151" s="930">
        <f t="shared" si="196"/>
        <v>0.22613015528498931</v>
      </c>
      <c r="BZ151" s="930">
        <f t="shared" si="196"/>
        <v>0.22839735240341913</v>
      </c>
      <c r="CA151" s="927">
        <f t="shared" si="196"/>
        <v>0.21710614517520133</v>
      </c>
      <c r="CB151" s="929"/>
      <c r="CC151" s="943">
        <f t="shared" ref="CC151:CG151" si="197">CC150/CC146</f>
        <v>0.21667847382469721</v>
      </c>
      <c r="CD151" s="930">
        <f t="shared" si="197"/>
        <v>0.22332047291524909</v>
      </c>
      <c r="CE151" s="930">
        <f t="shared" si="197"/>
        <v>0.24106544964573304</v>
      </c>
      <c r="CF151" s="930">
        <f t="shared" si="197"/>
        <v>0.24190958027735124</v>
      </c>
      <c r="CG151" s="927">
        <f t="shared" si="197"/>
        <v>0.23143799781274949</v>
      </c>
      <c r="CJ151"/>
      <c r="CK151"/>
      <c r="CL151"/>
      <c r="CM151"/>
      <c r="CN151"/>
      <c r="CO151"/>
    </row>
    <row r="152" spans="1:93" s="79" customFormat="1" ht="11.25" customHeight="1" x14ac:dyDescent="0.2">
      <c r="A152" s="926"/>
      <c r="B152" s="929"/>
      <c r="C152" s="943"/>
      <c r="D152" s="930"/>
      <c r="E152" s="930"/>
      <c r="F152" s="930"/>
      <c r="G152" s="927"/>
      <c r="H152" s="929"/>
      <c r="I152" s="943"/>
      <c r="J152" s="930"/>
      <c r="K152" s="930"/>
      <c r="L152" s="930"/>
      <c r="M152" s="927"/>
      <c r="N152" s="929"/>
      <c r="O152" s="943"/>
      <c r="P152" s="930"/>
      <c r="Q152" s="930"/>
      <c r="R152" s="930"/>
      <c r="S152" s="927"/>
      <c r="T152" s="929"/>
      <c r="U152" s="943"/>
      <c r="V152" s="930"/>
      <c r="W152" s="930"/>
      <c r="X152" s="930"/>
      <c r="Y152" s="927"/>
      <c r="Z152" s="929"/>
      <c r="AA152" s="943"/>
      <c r="AB152" s="930"/>
      <c r="AC152" s="930"/>
      <c r="AD152" s="930"/>
      <c r="AE152" s="927"/>
      <c r="AF152" s="929"/>
      <c r="AG152" s="943"/>
      <c r="AH152" s="930"/>
      <c r="AI152" s="930"/>
      <c r="AJ152" s="930"/>
      <c r="AK152" s="927"/>
      <c r="AL152" s="929"/>
      <c r="AM152" s="943"/>
      <c r="AN152" s="930"/>
      <c r="AO152" s="930"/>
      <c r="AP152" s="930"/>
      <c r="AQ152" s="927"/>
      <c r="AR152" s="929"/>
      <c r="AS152" s="943"/>
      <c r="AT152" s="930"/>
      <c r="AU152" s="930"/>
      <c r="AV152" s="930"/>
      <c r="AW152" s="927"/>
      <c r="AX152" s="929"/>
      <c r="AY152" s="943"/>
      <c r="AZ152" s="930"/>
      <c r="BA152" s="930"/>
      <c r="BB152" s="930"/>
      <c r="BC152" s="927"/>
      <c r="BD152" s="929"/>
      <c r="BE152" s="943"/>
      <c r="BF152" s="930"/>
      <c r="BG152" s="930"/>
      <c r="BH152" s="930"/>
      <c r="BI152" s="927"/>
      <c r="BJ152" s="929"/>
      <c r="BK152" s="943"/>
      <c r="BL152" s="930"/>
      <c r="BM152" s="930"/>
      <c r="BN152" s="930"/>
      <c r="BO152" s="927"/>
      <c r="BP152" s="929"/>
      <c r="BQ152" s="943"/>
      <c r="BR152" s="930"/>
      <c r="BS152" s="930"/>
      <c r="BT152" s="930"/>
      <c r="BU152" s="927"/>
      <c r="BV152" s="929"/>
      <c r="BW152" s="943"/>
      <c r="BX152" s="930"/>
      <c r="BY152" s="930"/>
      <c r="BZ152" s="930"/>
      <c r="CA152" s="927"/>
      <c r="CB152" s="929"/>
      <c r="CC152" s="943"/>
      <c r="CD152" s="930"/>
      <c r="CE152" s="930"/>
      <c r="CF152" s="930"/>
      <c r="CG152" s="927"/>
      <c r="CJ152"/>
      <c r="CK152"/>
      <c r="CL152"/>
      <c r="CM152"/>
      <c r="CN152"/>
      <c r="CO152"/>
    </row>
    <row r="153" spans="1:93" s="79" customFormat="1" ht="11.25" customHeight="1" x14ac:dyDescent="0.2">
      <c r="A153" s="926" t="s">
        <v>404</v>
      </c>
      <c r="B153" s="931"/>
      <c r="C153" s="924"/>
      <c r="D153" s="932"/>
      <c r="E153" s="932"/>
      <c r="F153" s="932"/>
      <c r="G153" s="931"/>
      <c r="H153" s="931"/>
      <c r="I153" s="932"/>
      <c r="J153" s="932"/>
      <c r="K153" s="932"/>
      <c r="L153" s="932"/>
      <c r="M153" s="931"/>
      <c r="N153" s="931"/>
      <c r="O153" s="932"/>
      <c r="P153" s="932"/>
      <c r="Q153" s="932"/>
      <c r="R153" s="932"/>
      <c r="S153" s="931"/>
      <c r="T153" s="931"/>
      <c r="U153" s="932"/>
      <c r="V153" s="932"/>
      <c r="W153" s="932"/>
      <c r="X153" s="932"/>
      <c r="Y153" s="931"/>
      <c r="Z153" s="931"/>
      <c r="AA153" s="932"/>
      <c r="AB153" s="932"/>
      <c r="AC153" s="932"/>
      <c r="AD153" s="932"/>
      <c r="AE153" s="931"/>
      <c r="AF153" s="931"/>
      <c r="AG153" s="932"/>
      <c r="AH153" s="932"/>
      <c r="AI153" s="932"/>
      <c r="AJ153" s="932"/>
      <c r="AK153" s="931"/>
      <c r="AL153" s="931"/>
      <c r="AM153" s="932"/>
      <c r="AN153" s="932"/>
      <c r="AO153" s="932"/>
      <c r="AP153" s="932"/>
      <c r="AQ153" s="931"/>
      <c r="AR153" s="931"/>
      <c r="AS153" s="932"/>
      <c r="AT153" s="932"/>
      <c r="AU153" s="932"/>
      <c r="AV153" s="932"/>
      <c r="AW153" s="931"/>
      <c r="AX153" s="931"/>
      <c r="AY153" s="932"/>
      <c r="AZ153" s="932"/>
      <c r="BA153" s="932"/>
      <c r="BB153" s="932"/>
      <c r="BC153" s="931"/>
      <c r="BD153" s="931"/>
      <c r="BE153" s="932"/>
      <c r="BF153" s="932"/>
      <c r="BG153" s="932"/>
      <c r="BH153" s="932"/>
      <c r="BI153" s="931"/>
      <c r="BJ153" s="931"/>
      <c r="BK153" s="932"/>
      <c r="BL153" s="932"/>
      <c r="BM153" s="932"/>
      <c r="BN153" s="932"/>
      <c r="BO153" s="931"/>
      <c r="BP153" s="931"/>
      <c r="BQ153" s="932"/>
      <c r="BR153" s="932"/>
      <c r="BS153" s="932"/>
      <c r="BT153" s="932"/>
      <c r="BU153" s="931"/>
      <c r="BV153" s="931"/>
      <c r="BW153" s="932"/>
      <c r="BX153" s="932"/>
      <c r="BY153" s="932"/>
      <c r="BZ153" s="932"/>
      <c r="CA153" s="931"/>
      <c r="CB153" s="931"/>
      <c r="CC153" s="932"/>
      <c r="CD153" s="932"/>
      <c r="CE153" s="932"/>
      <c r="CF153" s="932"/>
      <c r="CG153" s="931"/>
      <c r="CJ153"/>
      <c r="CK153"/>
      <c r="CL153"/>
      <c r="CM153"/>
      <c r="CN153"/>
      <c r="CO153"/>
    </row>
    <row r="154" spans="1:93" s="79" customFormat="1" ht="11.25" customHeight="1" x14ac:dyDescent="0.2">
      <c r="A154" s="918" t="s">
        <v>231</v>
      </c>
      <c r="B154" s="931"/>
      <c r="C154" s="916">
        <f>+C56</f>
        <v>0</v>
      </c>
      <c r="D154" s="916">
        <f t="shared" ref="D154:G154" si="198">+D56</f>
        <v>0</v>
      </c>
      <c r="E154" s="916">
        <f t="shared" si="198"/>
        <v>0</v>
      </c>
      <c r="F154" s="916">
        <f t="shared" si="198"/>
        <v>0</v>
      </c>
      <c r="G154" s="916">
        <f t="shared" si="198"/>
        <v>0</v>
      </c>
      <c r="H154" s="931"/>
      <c r="I154" s="916">
        <f t="shared" ref="I154:M154" si="199">+I56</f>
        <v>0</v>
      </c>
      <c r="J154" s="916">
        <f t="shared" si="199"/>
        <v>0</v>
      </c>
      <c r="K154" s="916">
        <f t="shared" si="199"/>
        <v>0</v>
      </c>
      <c r="L154" s="916">
        <f t="shared" si="199"/>
        <v>0</v>
      </c>
      <c r="M154" s="916">
        <f t="shared" si="199"/>
        <v>0</v>
      </c>
      <c r="N154" s="931"/>
      <c r="O154" s="916">
        <f t="shared" ref="O154:S154" si="200">+O56</f>
        <v>0</v>
      </c>
      <c r="P154" s="916">
        <f t="shared" si="200"/>
        <v>0</v>
      </c>
      <c r="Q154" s="916">
        <f t="shared" si="200"/>
        <v>0</v>
      </c>
      <c r="R154" s="916">
        <f t="shared" si="200"/>
        <v>0</v>
      </c>
      <c r="S154" s="916">
        <f t="shared" si="200"/>
        <v>0</v>
      </c>
      <c r="T154" s="931"/>
      <c r="U154" s="916">
        <f t="shared" ref="U154:Y154" si="201">+U56</f>
        <v>0</v>
      </c>
      <c r="V154" s="916">
        <f t="shared" si="201"/>
        <v>0</v>
      </c>
      <c r="W154" s="916">
        <f t="shared" si="201"/>
        <v>0</v>
      </c>
      <c r="X154" s="916">
        <f t="shared" si="201"/>
        <v>0</v>
      </c>
      <c r="Y154" s="916">
        <f t="shared" si="201"/>
        <v>0</v>
      </c>
      <c r="Z154" s="931"/>
      <c r="AA154" s="916">
        <f t="shared" ref="AA154:AE154" si="202">+AA56</f>
        <v>0</v>
      </c>
      <c r="AB154" s="916">
        <f t="shared" si="202"/>
        <v>0</v>
      </c>
      <c r="AC154" s="916">
        <f t="shared" si="202"/>
        <v>0</v>
      </c>
      <c r="AD154" s="916">
        <f t="shared" si="202"/>
        <v>0</v>
      </c>
      <c r="AE154" s="916">
        <f t="shared" si="202"/>
        <v>0</v>
      </c>
      <c r="AF154" s="931"/>
      <c r="AG154" s="916">
        <f t="shared" ref="AG154:AK154" si="203">+AG56</f>
        <v>0</v>
      </c>
      <c r="AH154" s="916">
        <f t="shared" si="203"/>
        <v>0</v>
      </c>
      <c r="AI154" s="916">
        <f t="shared" si="203"/>
        <v>0</v>
      </c>
      <c r="AJ154" s="916">
        <f t="shared" si="203"/>
        <v>0</v>
      </c>
      <c r="AK154" s="916">
        <f t="shared" si="203"/>
        <v>0</v>
      </c>
      <c r="AL154" s="931"/>
      <c r="AM154" s="916">
        <f t="shared" ref="AM154:AQ154" si="204">+AM56</f>
        <v>0</v>
      </c>
      <c r="AN154" s="916">
        <f t="shared" si="204"/>
        <v>0</v>
      </c>
      <c r="AO154" s="916">
        <f t="shared" si="204"/>
        <v>0</v>
      </c>
      <c r="AP154" s="916">
        <f t="shared" si="204"/>
        <v>0</v>
      </c>
      <c r="AQ154" s="916">
        <f t="shared" si="204"/>
        <v>0</v>
      </c>
      <c r="AR154" s="931"/>
      <c r="AS154" s="916">
        <f t="shared" ref="AS154:AW154" si="205">+AS56</f>
        <v>0</v>
      </c>
      <c r="AT154" s="916">
        <f t="shared" si="205"/>
        <v>0</v>
      </c>
      <c r="AU154" s="916">
        <f t="shared" si="205"/>
        <v>0</v>
      </c>
      <c r="AV154" s="916">
        <f t="shared" si="205"/>
        <v>0</v>
      </c>
      <c r="AW154" s="916">
        <f t="shared" si="205"/>
        <v>0</v>
      </c>
      <c r="AX154" s="931"/>
      <c r="AY154" s="916">
        <f t="shared" ref="AY154:BC154" si="206">+AY56</f>
        <v>0</v>
      </c>
      <c r="AZ154" s="916">
        <f t="shared" si="206"/>
        <v>0</v>
      </c>
      <c r="BA154" s="916">
        <f t="shared" si="206"/>
        <v>0</v>
      </c>
      <c r="BB154" s="916">
        <f t="shared" si="206"/>
        <v>0</v>
      </c>
      <c r="BC154" s="916">
        <f t="shared" si="206"/>
        <v>0</v>
      </c>
      <c r="BD154" s="931"/>
      <c r="BE154" s="916">
        <f t="shared" ref="BE154:BI154" si="207">+BE56</f>
        <v>0</v>
      </c>
      <c r="BF154" s="916">
        <f t="shared" si="207"/>
        <v>0</v>
      </c>
      <c r="BG154" s="916">
        <f t="shared" si="207"/>
        <v>0</v>
      </c>
      <c r="BH154" s="916">
        <f t="shared" si="207"/>
        <v>0</v>
      </c>
      <c r="BI154" s="916">
        <f t="shared" si="207"/>
        <v>0</v>
      </c>
      <c r="BJ154" s="931"/>
      <c r="BK154" s="916">
        <f t="shared" ref="BK154:BO154" si="208">+BK56</f>
        <v>0</v>
      </c>
      <c r="BL154" s="916">
        <f t="shared" si="208"/>
        <v>0</v>
      </c>
      <c r="BM154" s="916">
        <f t="shared" si="208"/>
        <v>0</v>
      </c>
      <c r="BN154" s="916">
        <f t="shared" si="208"/>
        <v>0</v>
      </c>
      <c r="BO154" s="916">
        <f t="shared" si="208"/>
        <v>0</v>
      </c>
      <c r="BP154" s="931"/>
      <c r="BQ154" s="916">
        <f t="shared" ref="BQ154:BU154" si="209">+BQ56</f>
        <v>0</v>
      </c>
      <c r="BR154" s="916">
        <f t="shared" si="209"/>
        <v>0</v>
      </c>
      <c r="BS154" s="916">
        <f t="shared" si="209"/>
        <v>0</v>
      </c>
      <c r="BT154" s="916">
        <f t="shared" si="209"/>
        <v>0</v>
      </c>
      <c r="BU154" s="916">
        <f t="shared" si="209"/>
        <v>0</v>
      </c>
      <c r="BV154" s="931"/>
      <c r="BW154" s="916">
        <f t="shared" ref="BW154:CA154" si="210">+BW56</f>
        <v>0</v>
      </c>
      <c r="BX154" s="916">
        <f t="shared" si="210"/>
        <v>0</v>
      </c>
      <c r="BY154" s="916">
        <f t="shared" si="210"/>
        <v>0</v>
      </c>
      <c r="BZ154" s="916">
        <f t="shared" si="210"/>
        <v>0</v>
      </c>
      <c r="CA154" s="916">
        <f t="shared" si="210"/>
        <v>0</v>
      </c>
      <c r="CB154" s="931"/>
      <c r="CC154" s="916">
        <f t="shared" ref="CC154:CG154" si="211">+CC56</f>
        <v>0</v>
      </c>
      <c r="CD154" s="916">
        <f t="shared" si="211"/>
        <v>0</v>
      </c>
      <c r="CE154" s="916">
        <f t="shared" si="211"/>
        <v>0</v>
      </c>
      <c r="CF154" s="916">
        <f t="shared" si="211"/>
        <v>0</v>
      </c>
      <c r="CG154" s="916">
        <f t="shared" si="211"/>
        <v>0</v>
      </c>
      <c r="CJ154"/>
      <c r="CK154"/>
      <c r="CL154"/>
      <c r="CM154"/>
      <c r="CN154"/>
      <c r="CO154"/>
    </row>
    <row r="155" spans="1:93" s="79" customFormat="1" ht="11.25" customHeight="1" x14ac:dyDescent="0.2">
      <c r="A155" s="918" t="s">
        <v>549</v>
      </c>
      <c r="B155" s="931"/>
      <c r="C155" s="916">
        <f>-C20</f>
        <v>0</v>
      </c>
      <c r="D155" s="916">
        <f t="shared" ref="D155:G155" si="212">-D20</f>
        <v>0</v>
      </c>
      <c r="E155" s="916">
        <f t="shared" si="212"/>
        <v>0</v>
      </c>
      <c r="F155" s="916">
        <f t="shared" si="212"/>
        <v>0</v>
      </c>
      <c r="G155" s="916">
        <f t="shared" si="212"/>
        <v>0</v>
      </c>
      <c r="H155" s="931"/>
      <c r="I155" s="916">
        <f t="shared" ref="I155:M155" si="213">-I20</f>
        <v>0</v>
      </c>
      <c r="J155" s="916">
        <f t="shared" si="213"/>
        <v>0</v>
      </c>
      <c r="K155" s="916">
        <f t="shared" si="213"/>
        <v>0</v>
      </c>
      <c r="L155" s="916">
        <f t="shared" si="213"/>
        <v>-61.695999999999998</v>
      </c>
      <c r="M155" s="916">
        <f t="shared" si="213"/>
        <v>-61.695999999999998</v>
      </c>
      <c r="N155" s="931"/>
      <c r="O155" s="916">
        <f t="shared" ref="O155:S155" si="214">-O20</f>
        <v>-61.133000000000003</v>
      </c>
      <c r="P155" s="916">
        <f t="shared" si="214"/>
        <v>-61.133000000000003</v>
      </c>
      <c r="Q155" s="916">
        <f t="shared" si="214"/>
        <v>-61.048000000000002</v>
      </c>
      <c r="R155" s="916">
        <f t="shared" si="214"/>
        <v>-61.534999999999997</v>
      </c>
      <c r="S155" s="916">
        <f t="shared" si="214"/>
        <v>-61.534999999999997</v>
      </c>
      <c r="T155" s="931"/>
      <c r="U155" s="916">
        <f t="shared" ref="U155:Y155" si="215">-U20</f>
        <v>-56.56</v>
      </c>
      <c r="V155" s="916">
        <f t="shared" si="215"/>
        <v>-44.170999999999999</v>
      </c>
      <c r="W155" s="916">
        <f t="shared" si="215"/>
        <v>-43.777999999999999</v>
      </c>
      <c r="X155" s="916">
        <f t="shared" si="215"/>
        <v>-42.439</v>
      </c>
      <c r="Y155" s="916">
        <f t="shared" si="215"/>
        <v>-42.439</v>
      </c>
      <c r="Z155" s="931"/>
      <c r="AA155" s="916">
        <f t="shared" ref="AA155:AE155" si="216">-AA20</f>
        <v>-38.024000000000001</v>
      </c>
      <c r="AB155" s="916">
        <f t="shared" si="216"/>
        <v>-28.545999999999999</v>
      </c>
      <c r="AC155" s="916">
        <f t="shared" si="216"/>
        <v>-22.945</v>
      </c>
      <c r="AD155" s="916">
        <f t="shared" si="216"/>
        <v>-22.337</v>
      </c>
      <c r="AE155" s="916">
        <f t="shared" si="216"/>
        <v>-22.337</v>
      </c>
      <c r="AF155" s="931"/>
      <c r="AG155" s="916">
        <f t="shared" ref="AG155:AK155" si="217">-AG20</f>
        <v>-17.611999999999998</v>
      </c>
      <c r="AH155" s="916">
        <f t="shared" si="217"/>
        <v>-29.853000000000002</v>
      </c>
      <c r="AI155" s="916">
        <f t="shared" si="217"/>
        <v>-27.189</v>
      </c>
      <c r="AJ155" s="916">
        <f t="shared" si="217"/>
        <v>-21.609000000000002</v>
      </c>
      <c r="AK155" s="916">
        <f t="shared" si="217"/>
        <v>-21.609000000000002</v>
      </c>
      <c r="AL155" s="931"/>
      <c r="AM155" s="916">
        <f t="shared" ref="AM155:AQ155" si="218">-AM20</f>
        <v>-28.417000000000002</v>
      </c>
      <c r="AN155" s="916">
        <f t="shared" si="218"/>
        <v>-30.622</v>
      </c>
      <c r="AO155" s="916">
        <f t="shared" si="218"/>
        <v>-28.821999999999999</v>
      </c>
      <c r="AP155" s="916">
        <f t="shared" si="218"/>
        <v>-15.766</v>
      </c>
      <c r="AQ155" s="916">
        <f t="shared" si="218"/>
        <v>-15.766</v>
      </c>
      <c r="AR155" s="931"/>
      <c r="AS155" s="916">
        <f t="shared" ref="AS155:AW155" si="219">-AS20</f>
        <v>-22.739000000000001</v>
      </c>
      <c r="AT155" s="916">
        <f t="shared" si="219"/>
        <v>-20.456</v>
      </c>
      <c r="AU155" s="916">
        <f t="shared" si="219"/>
        <v>-19.713999999999999</v>
      </c>
      <c r="AV155" s="916">
        <f t="shared" si="219"/>
        <v>-3.0990000000000002</v>
      </c>
      <c r="AW155" s="916">
        <f t="shared" si="219"/>
        <v>-3.0990000000000002</v>
      </c>
      <c r="AX155" s="931"/>
      <c r="AY155" s="916">
        <f t="shared" ref="AY155:BC155" si="220">-AY20</f>
        <v>-14.63</v>
      </c>
      <c r="AZ155" s="916">
        <f t="shared" si="220"/>
        <v>-16.013999999999999</v>
      </c>
      <c r="BA155" s="916">
        <f t="shared" si="220"/>
        <v>-14.542</v>
      </c>
      <c r="BB155" s="916">
        <f t="shared" si="220"/>
        <v>-51.415999999999997</v>
      </c>
      <c r="BC155" s="916">
        <f t="shared" si="220"/>
        <v>-51.415999999999997</v>
      </c>
      <c r="BD155" s="931"/>
      <c r="BE155" s="916">
        <f t="shared" ref="BE155:BI155" si="221">-BE20</f>
        <v>-57.527000000000001</v>
      </c>
      <c r="BF155" s="916">
        <f t="shared" si="221"/>
        <v>-60.051000000000002</v>
      </c>
      <c r="BG155" s="916">
        <f t="shared" si="221"/>
        <v>-68.918000000000006</v>
      </c>
      <c r="BH155" s="916">
        <f t="shared" si="221"/>
        <v>-67.843999999999994</v>
      </c>
      <c r="BI155" s="916">
        <f t="shared" si="221"/>
        <v>-67.843999999999994</v>
      </c>
      <c r="BJ155" s="931"/>
      <c r="BK155" s="916">
        <f t="shared" ref="BK155:BO155" si="222">-BK20</f>
        <v>-60.067999999999998</v>
      </c>
      <c r="BL155" s="916">
        <f t="shared" si="222"/>
        <v>-61.783000000000001</v>
      </c>
      <c r="BM155" s="916">
        <f t="shared" si="222"/>
        <v>-73.531999999999996</v>
      </c>
      <c r="BN155" s="916">
        <f t="shared" si="222"/>
        <v>-50.058999999999997</v>
      </c>
      <c r="BO155" s="916">
        <f t="shared" si="222"/>
        <v>-50.058999999999997</v>
      </c>
      <c r="BP155" s="931"/>
      <c r="BQ155" s="916">
        <f t="shared" ref="BQ155:BU155" si="223">-BQ20</f>
        <v>-69.982773539367187</v>
      </c>
      <c r="BR155" s="916">
        <f t="shared" si="223"/>
        <v>-73.6173806260866</v>
      </c>
      <c r="BS155" s="916">
        <f t="shared" si="223"/>
        <v>-85.21416131943559</v>
      </c>
      <c r="BT155" s="916">
        <f t="shared" si="223"/>
        <v>-53.783857734231113</v>
      </c>
      <c r="BU155" s="916">
        <f t="shared" si="223"/>
        <v>-53.783857734231113</v>
      </c>
      <c r="BV155" s="931"/>
      <c r="BW155" s="916">
        <f t="shared" ref="BW155:CA155" si="224">-BW20</f>
        <v>-72.757487862739012</v>
      </c>
      <c r="BX155" s="916">
        <f t="shared" si="224"/>
        <v>-78.131766045080099</v>
      </c>
      <c r="BY155" s="916">
        <f t="shared" si="224"/>
        <v>-91.655308027211518</v>
      </c>
      <c r="BZ155" s="916">
        <f t="shared" si="224"/>
        <v>-52.480135892017628</v>
      </c>
      <c r="CA155" s="916">
        <f t="shared" si="224"/>
        <v>-52.480135892017628</v>
      </c>
      <c r="CB155" s="931"/>
      <c r="CC155" s="916">
        <f t="shared" ref="CC155:CG155" si="225">-CC20</f>
        <v>-71.772566722766598</v>
      </c>
      <c r="CD155" s="916">
        <f t="shared" si="225"/>
        <v>-75.414015319432366</v>
      </c>
      <c r="CE155" s="916">
        <f t="shared" si="225"/>
        <v>-91.000580495240428</v>
      </c>
      <c r="CF155" s="916">
        <f t="shared" si="225"/>
        <v>-44.850338548273335</v>
      </c>
      <c r="CG155" s="916">
        <f t="shared" si="225"/>
        <v>-44.850338548273335</v>
      </c>
      <c r="CJ155"/>
      <c r="CK155"/>
      <c r="CL155"/>
      <c r="CM155"/>
      <c r="CN155"/>
      <c r="CO155"/>
    </row>
    <row r="156" spans="1:93" s="79" customFormat="1" ht="11.25" customHeight="1" x14ac:dyDescent="0.2">
      <c r="A156" s="918" t="s">
        <v>550</v>
      </c>
      <c r="B156" s="931"/>
      <c r="C156" s="916">
        <f>+C30</f>
        <v>0.23300000000000001</v>
      </c>
      <c r="D156" s="916">
        <f t="shared" ref="D156:G156" si="226">+D30</f>
        <v>0.189</v>
      </c>
      <c r="E156" s="916">
        <f t="shared" si="226"/>
        <v>0.19500000000000001</v>
      </c>
      <c r="F156" s="916">
        <f t="shared" si="226"/>
        <v>0.14799999999999999</v>
      </c>
      <c r="G156" s="916">
        <f t="shared" si="226"/>
        <v>0.14799999999999999</v>
      </c>
      <c r="H156" s="931"/>
      <c r="I156" s="916">
        <f t="shared" ref="I156:M156" si="227">+I30</f>
        <v>0.159</v>
      </c>
      <c r="J156" s="916">
        <f t="shared" si="227"/>
        <v>0.13300000000000001</v>
      </c>
      <c r="K156" s="916">
        <f t="shared" si="227"/>
        <v>0.124</v>
      </c>
      <c r="L156" s="916">
        <f t="shared" si="227"/>
        <v>0.22900000000000001</v>
      </c>
      <c r="M156" s="916">
        <f t="shared" si="227"/>
        <v>0.22900000000000001</v>
      </c>
      <c r="N156" s="931"/>
      <c r="O156" s="916">
        <f t="shared" ref="O156:S156" si="228">+O30</f>
        <v>0.20399999999999999</v>
      </c>
      <c r="P156" s="916">
        <f t="shared" si="228"/>
        <v>0.20499999999999999</v>
      </c>
      <c r="Q156" s="916">
        <f t="shared" si="228"/>
        <v>0.20200000000000001</v>
      </c>
      <c r="R156" s="916">
        <f t="shared" si="228"/>
        <v>0.96099999999999997</v>
      </c>
      <c r="S156" s="916">
        <f t="shared" si="228"/>
        <v>0.96099999999999997</v>
      </c>
      <c r="T156" s="931"/>
      <c r="U156" s="916">
        <f t="shared" ref="U156:Y156" si="229">+U30</f>
        <v>0.94599999999999995</v>
      </c>
      <c r="V156" s="916">
        <f t="shared" si="229"/>
        <v>0.93200000000000005</v>
      </c>
      <c r="W156" s="916">
        <f t="shared" si="229"/>
        <v>5.7969999999999997</v>
      </c>
      <c r="X156" s="916">
        <f t="shared" si="229"/>
        <v>6.2220000000000004</v>
      </c>
      <c r="Y156" s="916">
        <f t="shared" si="229"/>
        <v>6.2220000000000004</v>
      </c>
      <c r="Z156" s="931"/>
      <c r="AA156" s="916">
        <f t="shared" ref="AA156:AE156" si="230">+AA30</f>
        <v>6.883</v>
      </c>
      <c r="AB156" s="916">
        <f t="shared" si="230"/>
        <v>7.8159999999999998</v>
      </c>
      <c r="AC156" s="916">
        <f t="shared" si="230"/>
        <v>8.8569999999999993</v>
      </c>
      <c r="AD156" s="916">
        <f t="shared" si="230"/>
        <v>10.366</v>
      </c>
      <c r="AE156" s="916">
        <f t="shared" si="230"/>
        <v>10.366</v>
      </c>
      <c r="AF156" s="931"/>
      <c r="AG156" s="916">
        <f t="shared" ref="AG156:AK156" si="231">+AG30</f>
        <v>11.586</v>
      </c>
      <c r="AH156" s="916">
        <f t="shared" si="231"/>
        <v>14.032</v>
      </c>
      <c r="AI156" s="916">
        <f t="shared" si="231"/>
        <v>14.311</v>
      </c>
      <c r="AJ156" s="916">
        <f t="shared" si="231"/>
        <v>19.224</v>
      </c>
      <c r="AK156" s="916">
        <f t="shared" si="231"/>
        <v>19.224</v>
      </c>
      <c r="AL156" s="931"/>
      <c r="AM156" s="916">
        <f t="shared" ref="AM156:AQ156" si="232">+AM30</f>
        <v>21.271999999999998</v>
      </c>
      <c r="AN156" s="916">
        <f t="shared" si="232"/>
        <v>23.042000000000002</v>
      </c>
      <c r="AO156" s="916">
        <f t="shared" si="232"/>
        <v>20.254000000000001</v>
      </c>
      <c r="AP156" s="916">
        <f t="shared" si="232"/>
        <v>22.838999999999999</v>
      </c>
      <c r="AQ156" s="916">
        <f t="shared" si="232"/>
        <v>22.838999999999999</v>
      </c>
      <c r="AR156" s="931"/>
      <c r="AS156" s="916">
        <f t="shared" ref="AS156:AW156" si="233">+AS30</f>
        <v>18.033000000000001</v>
      </c>
      <c r="AT156" s="916">
        <f t="shared" si="233"/>
        <v>22.524000000000001</v>
      </c>
      <c r="AU156" s="916">
        <f t="shared" si="233"/>
        <v>27.273</v>
      </c>
      <c r="AV156" s="916">
        <f t="shared" si="233"/>
        <v>33.414999999999999</v>
      </c>
      <c r="AW156" s="916">
        <f t="shared" si="233"/>
        <v>33.414999999999999</v>
      </c>
      <c r="AX156" s="931"/>
      <c r="AY156" s="916">
        <f t="shared" ref="AY156:BC156" si="234">+AY30</f>
        <v>34.295999999999999</v>
      </c>
      <c r="AZ156" s="916">
        <f t="shared" si="234"/>
        <v>35.854999999999997</v>
      </c>
      <c r="BA156" s="916">
        <f t="shared" si="234"/>
        <v>36.791999999999994</v>
      </c>
      <c r="BB156" s="916">
        <f t="shared" si="234"/>
        <v>39.035000000000004</v>
      </c>
      <c r="BC156" s="916">
        <f t="shared" si="234"/>
        <v>39.035000000000004</v>
      </c>
      <c r="BD156" s="931"/>
      <c r="BE156" s="916">
        <f t="shared" ref="BE156:BI156" si="235">+BE30</f>
        <v>40.78</v>
      </c>
      <c r="BF156" s="916">
        <f t="shared" si="235"/>
        <v>42.426000000000002</v>
      </c>
      <c r="BG156" s="916">
        <f t="shared" si="235"/>
        <v>43.532000000000004</v>
      </c>
      <c r="BH156" s="916">
        <f t="shared" si="235"/>
        <v>46.427</v>
      </c>
      <c r="BI156" s="916">
        <f t="shared" si="235"/>
        <v>46.427</v>
      </c>
      <c r="BJ156" s="931"/>
      <c r="BK156" s="916">
        <f t="shared" ref="BK156:BO156" si="236">+BK30</f>
        <v>48.864000000000004</v>
      </c>
      <c r="BL156" s="916">
        <f t="shared" si="236"/>
        <v>48.103000000000002</v>
      </c>
      <c r="BM156" s="916">
        <f t="shared" si="236"/>
        <v>54.295999999999999</v>
      </c>
      <c r="BN156" s="916">
        <f t="shared" si="236"/>
        <v>129.66999999999999</v>
      </c>
      <c r="BO156" s="916">
        <f t="shared" si="236"/>
        <v>129.66999999999999</v>
      </c>
      <c r="BP156" s="931"/>
      <c r="BQ156" s="916">
        <f t="shared" ref="BQ156:BU156" si="237">+BQ30</f>
        <v>129.66999999999999</v>
      </c>
      <c r="BR156" s="916">
        <f t="shared" si="237"/>
        <v>129.66999999999999</v>
      </c>
      <c r="BS156" s="916">
        <f t="shared" si="237"/>
        <v>129.66999999999999</v>
      </c>
      <c r="BT156" s="916">
        <f t="shared" si="237"/>
        <v>129.66999999999999</v>
      </c>
      <c r="BU156" s="916">
        <f t="shared" si="237"/>
        <v>129.66999999999999</v>
      </c>
      <c r="BV156" s="931"/>
      <c r="BW156" s="916">
        <f t="shared" ref="BW156:CA156" si="238">+BW30</f>
        <v>129.66999999999999</v>
      </c>
      <c r="BX156" s="916">
        <f t="shared" si="238"/>
        <v>129.66999999999999</v>
      </c>
      <c r="BY156" s="916">
        <f t="shared" si="238"/>
        <v>129.66999999999999</v>
      </c>
      <c r="BZ156" s="916">
        <f t="shared" si="238"/>
        <v>129.66999999999999</v>
      </c>
      <c r="CA156" s="916">
        <f t="shared" si="238"/>
        <v>129.66999999999999</v>
      </c>
      <c r="CB156" s="931"/>
      <c r="CC156" s="916">
        <f t="shared" ref="CC156:CG156" si="239">+CC30</f>
        <v>129.66999999999999</v>
      </c>
      <c r="CD156" s="916">
        <f t="shared" si="239"/>
        <v>129.66999999999999</v>
      </c>
      <c r="CE156" s="916">
        <f t="shared" si="239"/>
        <v>129.66999999999999</v>
      </c>
      <c r="CF156" s="916">
        <f t="shared" si="239"/>
        <v>129.66999999999999</v>
      </c>
      <c r="CG156" s="916">
        <f t="shared" si="239"/>
        <v>129.66999999999999</v>
      </c>
      <c r="CJ156"/>
      <c r="CK156"/>
      <c r="CL156"/>
      <c r="CM156"/>
      <c r="CN156"/>
      <c r="CO156"/>
    </row>
    <row r="157" spans="1:93" s="79" customFormat="1" ht="11.25" customHeight="1" x14ac:dyDescent="0.2">
      <c r="A157" s="945" t="s">
        <v>551</v>
      </c>
      <c r="B157" s="931"/>
      <c r="C157" s="916"/>
      <c r="D157" s="916"/>
      <c r="E157" s="916"/>
      <c r="F157" s="916"/>
      <c r="G157" s="916"/>
      <c r="H157" s="931"/>
      <c r="I157" s="916"/>
      <c r="J157" s="916"/>
      <c r="K157" s="916"/>
      <c r="L157" s="916"/>
      <c r="M157" s="916"/>
      <c r="N157" s="931"/>
      <c r="O157" s="916"/>
      <c r="P157" s="916"/>
      <c r="Q157" s="916"/>
      <c r="R157" s="916"/>
      <c r="S157" s="916"/>
      <c r="T157" s="931"/>
      <c r="U157" s="916"/>
      <c r="V157" s="916"/>
      <c r="W157" s="916"/>
      <c r="X157" s="916"/>
      <c r="Y157" s="916"/>
      <c r="Z157" s="931"/>
      <c r="AA157" s="916"/>
      <c r="AB157" s="916"/>
      <c r="AC157" s="916"/>
      <c r="AD157" s="916"/>
      <c r="AE157" s="916"/>
      <c r="AF157" s="931"/>
      <c r="AG157" s="916"/>
      <c r="AH157" s="916"/>
      <c r="AI157" s="916"/>
      <c r="AJ157" s="916"/>
      <c r="AK157" s="916"/>
      <c r="AL157" s="931"/>
      <c r="AM157" s="916"/>
      <c r="AN157" s="916"/>
      <c r="AO157" s="916"/>
      <c r="AP157" s="916"/>
      <c r="AQ157" s="916"/>
      <c r="AR157" s="931"/>
      <c r="AS157" s="916"/>
      <c r="AT157" s="916"/>
      <c r="AU157" s="916"/>
      <c r="AV157" s="916"/>
      <c r="AW157" s="916"/>
      <c r="AX157" s="931"/>
      <c r="AY157" s="916"/>
      <c r="AZ157" s="916"/>
      <c r="BA157" s="916"/>
      <c r="BB157" s="916"/>
      <c r="BC157" s="916"/>
      <c r="BD157" s="931"/>
      <c r="BE157" s="916"/>
      <c r="BF157" s="916"/>
      <c r="BG157" s="916"/>
      <c r="BH157" s="916"/>
      <c r="BI157" s="916"/>
      <c r="BJ157" s="931"/>
      <c r="BK157" s="916"/>
      <c r="BL157" s="916"/>
      <c r="BM157" s="916"/>
      <c r="BN157" s="916"/>
      <c r="BO157" s="916"/>
      <c r="BP157" s="931"/>
      <c r="BQ157" s="916"/>
      <c r="BR157" s="916"/>
      <c r="BS157" s="916"/>
      <c r="BT157" s="916"/>
      <c r="BU157" s="916"/>
      <c r="BV157" s="931"/>
      <c r="BW157" s="916"/>
      <c r="BX157" s="916"/>
      <c r="BY157" s="916"/>
      <c r="BZ157" s="916"/>
      <c r="CA157" s="916"/>
      <c r="CB157" s="931"/>
      <c r="CC157" s="916"/>
      <c r="CD157" s="916"/>
      <c r="CE157" s="916"/>
      <c r="CF157" s="916"/>
      <c r="CG157" s="916"/>
      <c r="CJ157"/>
      <c r="CK157"/>
      <c r="CL157"/>
      <c r="CM157"/>
      <c r="CN157"/>
      <c r="CO157"/>
    </row>
    <row r="158" spans="1:93" s="79" customFormat="1" ht="11.25" customHeight="1" x14ac:dyDescent="0.2">
      <c r="A158" s="926" t="s">
        <v>94</v>
      </c>
      <c r="B158" s="931"/>
      <c r="C158" s="916"/>
      <c r="D158" s="916"/>
      <c r="E158" s="916"/>
      <c r="F158" s="916"/>
      <c r="G158" s="916"/>
      <c r="H158" s="931"/>
      <c r="I158" s="916"/>
      <c r="J158" s="916"/>
      <c r="K158" s="916"/>
      <c r="L158" s="916"/>
      <c r="M158" s="916"/>
      <c r="N158" s="931"/>
      <c r="O158" s="916"/>
      <c r="P158" s="916"/>
      <c r="Q158" s="916"/>
      <c r="R158" s="916"/>
      <c r="S158" s="916"/>
      <c r="T158" s="931"/>
      <c r="U158" s="916"/>
      <c r="V158" s="916"/>
      <c r="W158" s="916"/>
      <c r="X158" s="916"/>
      <c r="Y158" s="916"/>
      <c r="Z158" s="931"/>
      <c r="AA158" s="916"/>
      <c r="AB158" s="916"/>
      <c r="AC158" s="916"/>
      <c r="AD158" s="916"/>
      <c r="AE158" s="916"/>
      <c r="AF158" s="931"/>
      <c r="AG158" s="916"/>
      <c r="AH158" s="916"/>
      <c r="AI158" s="916"/>
      <c r="AJ158" s="916"/>
      <c r="AK158" s="916"/>
      <c r="AL158" s="931"/>
      <c r="AM158" s="916"/>
      <c r="AN158" s="916"/>
      <c r="AO158" s="916"/>
      <c r="AP158" s="916"/>
      <c r="AQ158" s="916"/>
      <c r="AR158" s="931"/>
      <c r="AS158" s="916"/>
      <c r="AT158" s="916"/>
      <c r="AU158" s="916"/>
      <c r="AV158" s="916"/>
      <c r="AW158" s="916"/>
      <c r="AX158" s="931"/>
      <c r="AY158" s="916"/>
      <c r="AZ158" s="916"/>
      <c r="BA158" s="916"/>
      <c r="BB158" s="916"/>
      <c r="BC158" s="916"/>
      <c r="BD158" s="931"/>
      <c r="BE158" s="916"/>
      <c r="BF158" s="916"/>
      <c r="BG158" s="916"/>
      <c r="BH158" s="916"/>
      <c r="BI158" s="916"/>
      <c r="BJ158" s="931"/>
      <c r="BK158" s="916"/>
      <c r="BL158" s="916"/>
      <c r="BM158" s="916"/>
      <c r="BN158" s="916"/>
      <c r="BO158" s="916"/>
      <c r="BP158" s="931"/>
      <c r="BQ158" s="916"/>
      <c r="BR158" s="916"/>
      <c r="BS158" s="916"/>
      <c r="BT158" s="916"/>
      <c r="BU158" s="916"/>
      <c r="BV158" s="931"/>
      <c r="BW158" s="916"/>
      <c r="BX158" s="916"/>
      <c r="BY158" s="916"/>
      <c r="BZ158" s="916"/>
      <c r="CA158" s="916"/>
      <c r="CB158" s="931"/>
      <c r="CC158" s="916"/>
      <c r="CD158" s="916"/>
      <c r="CE158" s="916"/>
      <c r="CF158" s="916"/>
      <c r="CG158" s="916"/>
      <c r="CJ158"/>
      <c r="CK158"/>
      <c r="CL158"/>
      <c r="CM158"/>
      <c r="CN158"/>
      <c r="CO158"/>
    </row>
    <row r="159" spans="1:93" s="79" customFormat="1" ht="11.25" customHeight="1" x14ac:dyDescent="0.2">
      <c r="A159" s="918" t="s">
        <v>552</v>
      </c>
      <c r="B159" s="931"/>
      <c r="C159" s="916">
        <f>+C34</f>
        <v>0</v>
      </c>
      <c r="D159" s="916">
        <f t="shared" ref="D159:G159" si="240">+D34</f>
        <v>0</v>
      </c>
      <c r="E159" s="916">
        <f t="shared" si="240"/>
        <v>0</v>
      </c>
      <c r="F159" s="916">
        <f t="shared" si="240"/>
        <v>0</v>
      </c>
      <c r="G159" s="916">
        <f t="shared" si="240"/>
        <v>0</v>
      </c>
      <c r="H159" s="931"/>
      <c r="I159" s="916">
        <f t="shared" ref="I159:M159" si="241">+I34</f>
        <v>0</v>
      </c>
      <c r="J159" s="916">
        <f t="shared" si="241"/>
        <v>0</v>
      </c>
      <c r="K159" s="916">
        <f t="shared" si="241"/>
        <v>0</v>
      </c>
      <c r="L159" s="916">
        <f t="shared" si="241"/>
        <v>0</v>
      </c>
      <c r="M159" s="916">
        <f t="shared" si="241"/>
        <v>0</v>
      </c>
      <c r="N159" s="931"/>
      <c r="O159" s="916">
        <f t="shared" ref="O159:S159" si="242">+O34</f>
        <v>0</v>
      </c>
      <c r="P159" s="916">
        <f t="shared" si="242"/>
        <v>0</v>
      </c>
      <c r="Q159" s="916">
        <f t="shared" si="242"/>
        <v>0</v>
      </c>
      <c r="R159" s="916">
        <f t="shared" si="242"/>
        <v>0</v>
      </c>
      <c r="S159" s="916">
        <f t="shared" si="242"/>
        <v>0</v>
      </c>
      <c r="T159" s="931"/>
      <c r="U159" s="916">
        <f t="shared" ref="U159:Y159" si="243">+U34</f>
        <v>0</v>
      </c>
      <c r="V159" s="916">
        <f t="shared" si="243"/>
        <v>0</v>
      </c>
      <c r="W159" s="916">
        <f t="shared" si="243"/>
        <v>0</v>
      </c>
      <c r="X159" s="916">
        <f t="shared" si="243"/>
        <v>0</v>
      </c>
      <c r="Y159" s="916">
        <f t="shared" si="243"/>
        <v>0</v>
      </c>
      <c r="Z159" s="931"/>
      <c r="AA159" s="916">
        <f t="shared" ref="AA159:AE159" si="244">+AA34</f>
        <v>0</v>
      </c>
      <c r="AB159" s="916">
        <f t="shared" si="244"/>
        <v>0</v>
      </c>
      <c r="AC159" s="916">
        <f t="shared" si="244"/>
        <v>0</v>
      </c>
      <c r="AD159" s="916">
        <f t="shared" si="244"/>
        <v>0</v>
      </c>
      <c r="AE159" s="916">
        <f t="shared" si="244"/>
        <v>0</v>
      </c>
      <c r="AF159" s="931"/>
      <c r="AG159" s="916">
        <f t="shared" ref="AG159:AK159" si="245">+AG34</f>
        <v>0</v>
      </c>
      <c r="AH159" s="916">
        <f t="shared" si="245"/>
        <v>0</v>
      </c>
      <c r="AI159" s="916">
        <f t="shared" si="245"/>
        <v>0</v>
      </c>
      <c r="AJ159" s="916">
        <f t="shared" si="245"/>
        <v>0</v>
      </c>
      <c r="AK159" s="916">
        <f t="shared" si="245"/>
        <v>0</v>
      </c>
      <c r="AL159" s="931"/>
      <c r="AM159" s="916">
        <f t="shared" ref="AM159:AQ159" si="246">+AM34</f>
        <v>0</v>
      </c>
      <c r="AN159" s="916">
        <f t="shared" si="246"/>
        <v>0</v>
      </c>
      <c r="AO159" s="916">
        <f t="shared" si="246"/>
        <v>0</v>
      </c>
      <c r="AP159" s="916">
        <f t="shared" si="246"/>
        <v>0</v>
      </c>
      <c r="AQ159" s="916">
        <f t="shared" si="246"/>
        <v>0</v>
      </c>
      <c r="AR159" s="931"/>
      <c r="AS159" s="916">
        <f t="shared" ref="AS159:AW159" si="247">+AS34</f>
        <v>0</v>
      </c>
      <c r="AT159" s="916">
        <f t="shared" si="247"/>
        <v>0</v>
      </c>
      <c r="AU159" s="916">
        <f t="shared" si="247"/>
        <v>0</v>
      </c>
      <c r="AV159" s="916">
        <f t="shared" si="247"/>
        <v>0</v>
      </c>
      <c r="AW159" s="916">
        <f t="shared" si="247"/>
        <v>0</v>
      </c>
      <c r="AX159" s="931"/>
      <c r="AY159" s="916">
        <f t="shared" ref="AY159:BC159" si="248">+AY34</f>
        <v>0</v>
      </c>
      <c r="AZ159" s="916">
        <f t="shared" si="248"/>
        <v>0</v>
      </c>
      <c r="BA159" s="916">
        <f t="shared" si="248"/>
        <v>0</v>
      </c>
      <c r="BB159" s="916">
        <f t="shared" si="248"/>
        <v>0</v>
      </c>
      <c r="BC159" s="916">
        <f t="shared" si="248"/>
        <v>0</v>
      </c>
      <c r="BD159" s="931"/>
      <c r="BE159" s="916">
        <f t="shared" ref="BE159:BI159" si="249">+BE34</f>
        <v>0</v>
      </c>
      <c r="BF159" s="916">
        <f t="shared" si="249"/>
        <v>0</v>
      </c>
      <c r="BG159" s="916">
        <f t="shared" si="249"/>
        <v>0</v>
      </c>
      <c r="BH159" s="916">
        <f t="shared" si="249"/>
        <v>0</v>
      </c>
      <c r="BI159" s="916">
        <f t="shared" si="249"/>
        <v>0</v>
      </c>
      <c r="BJ159" s="931"/>
      <c r="BK159" s="916">
        <f t="shared" ref="BK159:BO159" si="250">+BK34</f>
        <v>0</v>
      </c>
      <c r="BL159" s="916">
        <f t="shared" si="250"/>
        <v>0</v>
      </c>
      <c r="BM159" s="916">
        <f t="shared" si="250"/>
        <v>0</v>
      </c>
      <c r="BN159" s="916">
        <f t="shared" si="250"/>
        <v>0</v>
      </c>
      <c r="BO159" s="916">
        <f t="shared" si="250"/>
        <v>0</v>
      </c>
      <c r="BP159" s="931"/>
      <c r="BQ159" s="916">
        <f t="shared" ref="BQ159:BU159" si="251">+BQ34</f>
        <v>0</v>
      </c>
      <c r="BR159" s="916">
        <f t="shared" si="251"/>
        <v>0</v>
      </c>
      <c r="BS159" s="916">
        <f t="shared" si="251"/>
        <v>0</v>
      </c>
      <c r="BT159" s="916">
        <f t="shared" si="251"/>
        <v>0</v>
      </c>
      <c r="BU159" s="916">
        <f t="shared" si="251"/>
        <v>0</v>
      </c>
      <c r="BV159" s="931"/>
      <c r="BW159" s="916">
        <f t="shared" ref="BW159:CA159" si="252">+BW34</f>
        <v>0</v>
      </c>
      <c r="BX159" s="916">
        <f t="shared" si="252"/>
        <v>0</v>
      </c>
      <c r="BY159" s="916">
        <f t="shared" si="252"/>
        <v>0</v>
      </c>
      <c r="BZ159" s="916">
        <f t="shared" si="252"/>
        <v>0</v>
      </c>
      <c r="CA159" s="916">
        <f t="shared" si="252"/>
        <v>0</v>
      </c>
      <c r="CB159" s="931"/>
      <c r="CC159" s="916">
        <f t="shared" ref="CC159:CG159" si="253">+CC34</f>
        <v>0</v>
      </c>
      <c r="CD159" s="916">
        <f t="shared" si="253"/>
        <v>0</v>
      </c>
      <c r="CE159" s="916">
        <f t="shared" si="253"/>
        <v>0</v>
      </c>
      <c r="CF159" s="916">
        <f t="shared" si="253"/>
        <v>0</v>
      </c>
      <c r="CG159" s="916">
        <f t="shared" si="253"/>
        <v>0</v>
      </c>
      <c r="CJ159"/>
      <c r="CK159"/>
      <c r="CL159"/>
      <c r="CM159"/>
      <c r="CN159"/>
      <c r="CO159"/>
    </row>
    <row r="160" spans="1:93" s="79" customFormat="1" ht="11.25" customHeight="1" x14ac:dyDescent="0.2">
      <c r="A160" s="918" t="s">
        <v>553</v>
      </c>
      <c r="B160" s="931"/>
      <c r="C160" s="916">
        <v>0</v>
      </c>
      <c r="D160" s="916">
        <v>0</v>
      </c>
      <c r="E160" s="916">
        <v>0</v>
      </c>
      <c r="F160" s="916">
        <v>0</v>
      </c>
      <c r="G160" s="916">
        <v>0</v>
      </c>
      <c r="H160" s="931"/>
      <c r="I160" s="916">
        <v>0</v>
      </c>
      <c r="J160" s="916">
        <v>0</v>
      </c>
      <c r="K160" s="916">
        <v>0</v>
      </c>
      <c r="L160" s="916">
        <v>0</v>
      </c>
      <c r="M160" s="916">
        <v>0</v>
      </c>
      <c r="N160" s="931"/>
      <c r="O160" s="916">
        <v>0</v>
      </c>
      <c r="P160" s="916">
        <v>0</v>
      </c>
      <c r="Q160" s="916">
        <v>0</v>
      </c>
      <c r="R160" s="916">
        <v>0</v>
      </c>
      <c r="S160" s="916">
        <v>0</v>
      </c>
      <c r="T160" s="931"/>
      <c r="U160" s="916">
        <v>0</v>
      </c>
      <c r="V160" s="916">
        <v>0</v>
      </c>
      <c r="W160" s="916">
        <v>0</v>
      </c>
      <c r="X160" s="916">
        <v>0</v>
      </c>
      <c r="Y160" s="916">
        <v>0</v>
      </c>
      <c r="Z160" s="931"/>
      <c r="AA160" s="916">
        <v>0</v>
      </c>
      <c r="AB160" s="916">
        <v>0</v>
      </c>
      <c r="AC160" s="916">
        <v>0</v>
      </c>
      <c r="AD160" s="916">
        <v>0</v>
      </c>
      <c r="AE160" s="916">
        <v>0</v>
      </c>
      <c r="AF160" s="931"/>
      <c r="AG160" s="916">
        <v>0</v>
      </c>
      <c r="AH160" s="916">
        <v>0</v>
      </c>
      <c r="AI160" s="916">
        <v>0</v>
      </c>
      <c r="AJ160" s="916">
        <v>0</v>
      </c>
      <c r="AK160" s="916">
        <v>0</v>
      </c>
      <c r="AL160" s="931"/>
      <c r="AM160" s="916">
        <v>0</v>
      </c>
      <c r="AN160" s="916">
        <v>0</v>
      </c>
      <c r="AO160" s="916">
        <v>0</v>
      </c>
      <c r="AP160" s="916">
        <v>0</v>
      </c>
      <c r="AQ160" s="916">
        <v>0</v>
      </c>
      <c r="AR160" s="931"/>
      <c r="AS160" s="916">
        <v>0</v>
      </c>
      <c r="AT160" s="916">
        <v>0</v>
      </c>
      <c r="AU160" s="916">
        <v>0</v>
      </c>
      <c r="AV160" s="916">
        <v>0</v>
      </c>
      <c r="AW160" s="916">
        <v>0</v>
      </c>
      <c r="AX160" s="931"/>
      <c r="AY160" s="916">
        <v>0</v>
      </c>
      <c r="AZ160" s="916">
        <v>0</v>
      </c>
      <c r="BA160" s="916">
        <v>0</v>
      </c>
      <c r="BB160" s="916">
        <v>0</v>
      </c>
      <c r="BC160" s="916">
        <v>0</v>
      </c>
      <c r="BD160" s="931"/>
      <c r="BE160" s="916">
        <v>0</v>
      </c>
      <c r="BF160" s="916">
        <v>0</v>
      </c>
      <c r="BG160" s="916">
        <v>0</v>
      </c>
      <c r="BH160" s="916">
        <v>0</v>
      </c>
      <c r="BI160" s="916">
        <v>0</v>
      </c>
      <c r="BJ160" s="931"/>
      <c r="BK160" s="916">
        <v>0</v>
      </c>
      <c r="BL160" s="916">
        <v>0</v>
      </c>
      <c r="BM160" s="916">
        <v>0</v>
      </c>
      <c r="BN160" s="916">
        <v>0</v>
      </c>
      <c r="BO160" s="916">
        <v>0</v>
      </c>
      <c r="BP160" s="931"/>
      <c r="BQ160" s="916">
        <v>0</v>
      </c>
      <c r="BR160" s="916">
        <v>0</v>
      </c>
      <c r="BS160" s="916">
        <v>0</v>
      </c>
      <c r="BT160" s="916">
        <v>0</v>
      </c>
      <c r="BU160" s="916">
        <v>0</v>
      </c>
      <c r="BV160" s="931"/>
      <c r="BW160" s="916">
        <v>0</v>
      </c>
      <c r="BX160" s="916">
        <v>0</v>
      </c>
      <c r="BY160" s="916">
        <v>0</v>
      </c>
      <c r="BZ160" s="916">
        <v>0</v>
      </c>
      <c r="CA160" s="916">
        <v>0</v>
      </c>
      <c r="CB160" s="931"/>
      <c r="CC160" s="916">
        <v>0</v>
      </c>
      <c r="CD160" s="916">
        <v>0</v>
      </c>
      <c r="CE160" s="916">
        <v>0</v>
      </c>
      <c r="CF160" s="916">
        <v>0</v>
      </c>
      <c r="CG160" s="916">
        <v>0</v>
      </c>
      <c r="CJ160"/>
      <c r="CK160"/>
      <c r="CL160"/>
      <c r="CM160"/>
      <c r="CN160"/>
      <c r="CO160"/>
    </row>
    <row r="161" spans="1:93" s="79" customFormat="1" ht="11.25" customHeight="1" x14ac:dyDescent="0.2">
      <c r="A161" s="918" t="s">
        <v>554</v>
      </c>
      <c r="B161" s="931"/>
      <c r="C161" s="916">
        <f>+C39</f>
        <v>98.988</v>
      </c>
      <c r="D161" s="916">
        <f t="shared" ref="D161:G161" si="254">+D39</f>
        <v>128.32999999999998</v>
      </c>
      <c r="E161" s="916">
        <f t="shared" si="254"/>
        <v>150.70700000000005</v>
      </c>
      <c r="F161" s="916">
        <f t="shared" si="254"/>
        <v>161.154</v>
      </c>
      <c r="G161" s="916">
        <f t="shared" si="254"/>
        <v>161.154</v>
      </c>
      <c r="H161" s="931"/>
      <c r="I161" s="916">
        <f t="shared" ref="I161:M161" si="255">+I39</f>
        <v>176.93300000000005</v>
      </c>
      <c r="J161" s="916">
        <f t="shared" si="255"/>
        <v>159.21899999999999</v>
      </c>
      <c r="K161" s="916">
        <f t="shared" si="255"/>
        <v>159.654</v>
      </c>
      <c r="L161" s="916">
        <f t="shared" si="255"/>
        <v>218.54000000000005</v>
      </c>
      <c r="M161" s="916">
        <f t="shared" si="255"/>
        <v>218.54000000000005</v>
      </c>
      <c r="N161" s="931"/>
      <c r="O161" s="916">
        <f t="shared" ref="O161:S161" si="256">+O39</f>
        <v>227.69900000000001</v>
      </c>
      <c r="P161" s="916">
        <f t="shared" si="256"/>
        <v>237.77799999999999</v>
      </c>
      <c r="Q161" s="916">
        <f t="shared" si="256"/>
        <v>257.67999999999995</v>
      </c>
      <c r="R161" s="916">
        <f t="shared" si="256"/>
        <v>273.03599999999994</v>
      </c>
      <c r="S161" s="916">
        <f t="shared" si="256"/>
        <v>273.03599999999994</v>
      </c>
      <c r="T161" s="931"/>
      <c r="U161" s="916">
        <f t="shared" ref="U161:Y161" si="257">+U39</f>
        <v>296.35600000000011</v>
      </c>
      <c r="V161" s="916">
        <f t="shared" si="257"/>
        <v>333.95299999999997</v>
      </c>
      <c r="W161" s="916">
        <f t="shared" si="257"/>
        <v>359.40199999999999</v>
      </c>
      <c r="X161" s="916">
        <f t="shared" si="257"/>
        <v>377.74700000000007</v>
      </c>
      <c r="Y161" s="916">
        <f t="shared" si="257"/>
        <v>377.74700000000007</v>
      </c>
      <c r="Z161" s="931"/>
      <c r="AA161" s="916">
        <f t="shared" ref="AA161:AE161" si="258">+AA39</f>
        <v>402.10500000000013</v>
      </c>
      <c r="AB161" s="916">
        <f t="shared" si="258"/>
        <v>429.7820000000001</v>
      </c>
      <c r="AC161" s="916">
        <f t="shared" si="258"/>
        <v>456.87599999999998</v>
      </c>
      <c r="AD161" s="916">
        <f t="shared" si="258"/>
        <v>490.78100000000006</v>
      </c>
      <c r="AE161" s="916">
        <f t="shared" si="258"/>
        <v>490.78100000000006</v>
      </c>
      <c r="AF161" s="931"/>
      <c r="AG161" s="916">
        <f t="shared" ref="AG161:AK161" si="259">+AG39</f>
        <v>523.02200000000005</v>
      </c>
      <c r="AH161" s="916">
        <f t="shared" si="259"/>
        <v>586.29500000000007</v>
      </c>
      <c r="AI161" s="916">
        <f t="shared" si="259"/>
        <v>602.16500000000008</v>
      </c>
      <c r="AJ161" s="916">
        <f t="shared" si="259"/>
        <v>581.31700000000001</v>
      </c>
      <c r="AK161" s="916">
        <f t="shared" si="259"/>
        <v>581.31700000000001</v>
      </c>
      <c r="AL161" s="931"/>
      <c r="AM161" s="916">
        <f t="shared" ref="AM161:AQ161" si="260">+AM39</f>
        <v>561.11799999999994</v>
      </c>
      <c r="AN161" s="916">
        <f t="shared" si="260"/>
        <v>520.19800000000009</v>
      </c>
      <c r="AO161" s="916">
        <f t="shared" si="260"/>
        <v>575.68400000000008</v>
      </c>
      <c r="AP161" s="916">
        <f t="shared" si="260"/>
        <v>633.97</v>
      </c>
      <c r="AQ161" s="916">
        <f t="shared" si="260"/>
        <v>633.97</v>
      </c>
      <c r="AR161" s="931"/>
      <c r="AS161" s="916">
        <f t="shared" ref="AS161:AW161" si="261">+AS39</f>
        <v>696.75300000000004</v>
      </c>
      <c r="AT161" s="916">
        <f t="shared" si="261"/>
        <v>675.79600000000005</v>
      </c>
      <c r="AU161" s="916">
        <f t="shared" si="261"/>
        <v>722.45600000000002</v>
      </c>
      <c r="AV161" s="916">
        <f t="shared" si="261"/>
        <v>752.77100000000007</v>
      </c>
      <c r="AW161" s="916">
        <f t="shared" si="261"/>
        <v>752.77100000000007</v>
      </c>
      <c r="AX161" s="931"/>
      <c r="AY161" s="916">
        <f t="shared" ref="AY161:BC161" si="262">+AY39</f>
        <v>793.53399999999999</v>
      </c>
      <c r="AZ161" s="916">
        <f t="shared" si="262"/>
        <v>769.80100000000004</v>
      </c>
      <c r="BA161" s="916">
        <f t="shared" si="262"/>
        <v>798.25900000000001</v>
      </c>
      <c r="BB161" s="916">
        <f t="shared" si="262"/>
        <v>847.92599999999993</v>
      </c>
      <c r="BC161" s="916">
        <f t="shared" si="262"/>
        <v>847.92599999999993</v>
      </c>
      <c r="BD161" s="931"/>
      <c r="BE161" s="916">
        <f t="shared" ref="BE161:BI161" si="263">+BE39</f>
        <v>892.03000000000009</v>
      </c>
      <c r="BF161" s="916">
        <f t="shared" si="263"/>
        <v>909.85800000000006</v>
      </c>
      <c r="BG161" s="916">
        <f t="shared" si="263"/>
        <v>972.31000000000006</v>
      </c>
      <c r="BH161" s="916">
        <f t="shared" si="263"/>
        <v>995.38900000000001</v>
      </c>
      <c r="BI161" s="916">
        <f t="shared" si="263"/>
        <v>995.38900000000001</v>
      </c>
      <c r="BJ161" s="931"/>
      <c r="BK161" s="916">
        <f t="shared" ref="BK161:BO161" si="264">+BK39</f>
        <v>1044.875</v>
      </c>
      <c r="BL161" s="916">
        <f t="shared" si="264"/>
        <v>1078.288</v>
      </c>
      <c r="BM161" s="916">
        <f t="shared" si="264"/>
        <v>1181.9580000000001</v>
      </c>
      <c r="BN161" s="916">
        <f t="shared" si="264"/>
        <v>1150.3699999999999</v>
      </c>
      <c r="BO161" s="916">
        <f t="shared" si="264"/>
        <v>1150.3699999999999</v>
      </c>
      <c r="BP161" s="931"/>
      <c r="BQ161" s="916">
        <f t="shared" ref="BQ161:BU161" si="265">+BQ39</f>
        <v>1197.2987870468514</v>
      </c>
      <c r="BR161" s="916">
        <f t="shared" si="265"/>
        <v>1248.0476360193372</v>
      </c>
      <c r="BS161" s="916">
        <f t="shared" si="265"/>
        <v>1298.9062053447315</v>
      </c>
      <c r="BT161" s="916">
        <f t="shared" si="265"/>
        <v>1365.6523938297451</v>
      </c>
      <c r="BU161" s="916">
        <f t="shared" si="265"/>
        <v>1365.6523938297451</v>
      </c>
      <c r="BV161" s="931"/>
      <c r="BW161" s="916">
        <f t="shared" ref="BW161:CA161" si="266">+BW39</f>
        <v>1422.7415974592523</v>
      </c>
      <c r="BX161" s="916">
        <f t="shared" si="266"/>
        <v>1502.5783456996496</v>
      </c>
      <c r="BY161" s="916">
        <f t="shared" si="266"/>
        <v>1594.6227967363993</v>
      </c>
      <c r="BZ161" s="916">
        <f t="shared" si="266"/>
        <v>1706.555794110385</v>
      </c>
      <c r="CA161" s="916">
        <f t="shared" si="266"/>
        <v>1706.555794110385</v>
      </c>
      <c r="CB161" s="931"/>
      <c r="CC161" s="916">
        <f t="shared" ref="CC161:CG161" si="267">+CC39</f>
        <v>1802.7199798464276</v>
      </c>
      <c r="CD161" s="916">
        <f t="shared" si="267"/>
        <v>1925.5963478565147</v>
      </c>
      <c r="CE161" s="916">
        <f t="shared" si="267"/>
        <v>2066.1275685399478</v>
      </c>
      <c r="CF161" s="916">
        <f t="shared" si="267"/>
        <v>2231.7649084791578</v>
      </c>
      <c r="CG161" s="916">
        <f t="shared" si="267"/>
        <v>2231.7649084791578</v>
      </c>
      <c r="CJ161"/>
      <c r="CK161"/>
      <c r="CL161"/>
      <c r="CM161"/>
      <c r="CN161"/>
      <c r="CO161"/>
    </row>
    <row r="162" spans="1:93" s="79" customFormat="1" ht="11.25" customHeight="1" x14ac:dyDescent="0.2">
      <c r="A162" s="945" t="s">
        <v>555</v>
      </c>
      <c r="B162" s="931"/>
      <c r="C162" s="916"/>
      <c r="D162" s="916"/>
      <c r="E162" s="916"/>
      <c r="F162" s="916"/>
      <c r="G162" s="916"/>
      <c r="H162" s="931"/>
      <c r="I162" s="916"/>
      <c r="J162" s="916"/>
      <c r="K162" s="916"/>
      <c r="L162" s="916"/>
      <c r="M162" s="916"/>
      <c r="N162" s="931"/>
      <c r="O162" s="916"/>
      <c r="P162" s="916"/>
      <c r="Q162" s="916"/>
      <c r="R162" s="916"/>
      <c r="S162" s="916"/>
      <c r="T162" s="931"/>
      <c r="U162" s="916"/>
      <c r="V162" s="916"/>
      <c r="W162" s="916"/>
      <c r="X162" s="916"/>
      <c r="Y162" s="916"/>
      <c r="Z162" s="931"/>
      <c r="AA162" s="916"/>
      <c r="AB162" s="916"/>
      <c r="AC162" s="916"/>
      <c r="AD162" s="916"/>
      <c r="AE162" s="916"/>
      <c r="AF162" s="931"/>
      <c r="AG162" s="916"/>
      <c r="AH162" s="916"/>
      <c r="AI162" s="916"/>
      <c r="AJ162" s="916"/>
      <c r="AK162" s="916"/>
      <c r="AL162" s="931"/>
      <c r="AM162" s="916"/>
      <c r="AN162" s="916"/>
      <c r="AO162" s="916"/>
      <c r="AP162" s="916"/>
      <c r="AQ162" s="916"/>
      <c r="AR162" s="931"/>
      <c r="AS162" s="916"/>
      <c r="AT162" s="916"/>
      <c r="AU162" s="916"/>
      <c r="AV162" s="916"/>
      <c r="AW162" s="916"/>
      <c r="AX162" s="931"/>
      <c r="AY162" s="916"/>
      <c r="AZ162" s="916"/>
      <c r="BA162" s="916"/>
      <c r="BB162" s="916"/>
      <c r="BC162" s="916"/>
      <c r="BD162" s="931"/>
      <c r="BE162" s="916"/>
      <c r="BF162" s="916"/>
      <c r="BG162" s="916"/>
      <c r="BH162" s="916"/>
      <c r="BI162" s="916"/>
      <c r="BJ162" s="931"/>
      <c r="BK162" s="916"/>
      <c r="BL162" s="916"/>
      <c r="BM162" s="916"/>
      <c r="BN162" s="916"/>
      <c r="BO162" s="916"/>
      <c r="BP162" s="931"/>
      <c r="BQ162" s="916"/>
      <c r="BR162" s="916"/>
      <c r="BS162" s="916"/>
      <c r="BT162" s="916"/>
      <c r="BU162" s="916"/>
      <c r="BV162" s="931"/>
      <c r="BW162" s="916"/>
      <c r="BX162" s="916"/>
      <c r="BY162" s="916"/>
      <c r="BZ162" s="916"/>
      <c r="CA162" s="916"/>
      <c r="CB162" s="931"/>
      <c r="CC162" s="916"/>
      <c r="CD162" s="916"/>
      <c r="CE162" s="916"/>
      <c r="CF162" s="916"/>
      <c r="CG162" s="916"/>
      <c r="CJ162"/>
      <c r="CK162"/>
      <c r="CL162"/>
      <c r="CM162"/>
      <c r="CN162"/>
      <c r="CO162"/>
    </row>
    <row r="163" spans="1:93" s="79" customFormat="1" ht="11.25" customHeight="1" x14ac:dyDescent="0.2">
      <c r="A163" s="926" t="s">
        <v>563</v>
      </c>
      <c r="B163" s="931"/>
      <c r="C163" s="916"/>
      <c r="D163" s="916"/>
      <c r="E163" s="916"/>
      <c r="F163" s="916"/>
      <c r="G163" s="916"/>
      <c r="H163" s="931"/>
      <c r="I163" s="916"/>
      <c r="J163" s="916"/>
      <c r="K163" s="916"/>
      <c r="L163" s="916"/>
      <c r="M163" s="916"/>
      <c r="N163" s="931"/>
      <c r="O163" s="916"/>
      <c r="P163" s="916"/>
      <c r="Q163" s="916"/>
      <c r="R163" s="916"/>
      <c r="S163" s="916"/>
      <c r="T163" s="931"/>
      <c r="U163" s="916"/>
      <c r="V163" s="916"/>
      <c r="W163" s="916"/>
      <c r="X163" s="916"/>
      <c r="Y163" s="916"/>
      <c r="Z163" s="931"/>
      <c r="AA163" s="916"/>
      <c r="AB163" s="916"/>
      <c r="AC163" s="916"/>
      <c r="AD163" s="916"/>
      <c r="AE163" s="916"/>
      <c r="AF163" s="931"/>
      <c r="AG163" s="916"/>
      <c r="AH163" s="916"/>
      <c r="AI163" s="916"/>
      <c r="AJ163" s="916"/>
      <c r="AK163" s="916"/>
      <c r="AL163" s="931"/>
      <c r="AM163" s="916"/>
      <c r="AN163" s="916"/>
      <c r="AO163" s="916"/>
      <c r="AP163" s="916"/>
      <c r="AQ163" s="916"/>
      <c r="AR163" s="931"/>
      <c r="AS163" s="916"/>
      <c r="AT163" s="916"/>
      <c r="AU163" s="916"/>
      <c r="AV163" s="916"/>
      <c r="AW163" s="916"/>
      <c r="AX163" s="931"/>
      <c r="AY163" s="916"/>
      <c r="AZ163" s="916"/>
      <c r="BA163" s="916"/>
      <c r="BB163" s="916"/>
      <c r="BC163" s="916"/>
      <c r="BD163" s="931"/>
      <c r="BE163" s="916"/>
      <c r="BF163" s="916"/>
      <c r="BG163" s="916"/>
      <c r="BH163" s="916"/>
      <c r="BI163" s="916"/>
      <c r="BJ163" s="931"/>
      <c r="BK163" s="916"/>
      <c r="BL163" s="916"/>
      <c r="BM163" s="916"/>
      <c r="BN163" s="916"/>
      <c r="BO163" s="916"/>
      <c r="BP163" s="931"/>
      <c r="BQ163" s="916"/>
      <c r="BR163" s="916"/>
      <c r="BS163" s="916"/>
      <c r="BT163" s="916"/>
      <c r="BU163" s="916"/>
      <c r="BV163" s="931"/>
      <c r="BW163" s="916"/>
      <c r="BX163" s="916"/>
      <c r="BY163" s="916"/>
      <c r="BZ163" s="916"/>
      <c r="CA163" s="916"/>
      <c r="CB163" s="931"/>
      <c r="CC163" s="916"/>
      <c r="CD163" s="916"/>
      <c r="CE163" s="916"/>
      <c r="CF163" s="916"/>
      <c r="CG163" s="916"/>
      <c r="CJ163"/>
      <c r="CK163"/>
      <c r="CL163"/>
      <c r="CM163"/>
      <c r="CN163"/>
      <c r="CO163"/>
    </row>
    <row r="164" spans="1:93" s="79" customFormat="1" ht="11.25" customHeight="1" x14ac:dyDescent="0.2">
      <c r="A164" s="918" t="s">
        <v>556</v>
      </c>
      <c r="B164" s="931"/>
      <c r="C164" s="916">
        <f>-C8</f>
        <v>-56.209000000000003</v>
      </c>
      <c r="D164" s="916">
        <f t="shared" ref="D164:G164" si="268">-D8</f>
        <v>-65.593999999999994</v>
      </c>
      <c r="E164" s="916">
        <f t="shared" si="268"/>
        <v>-87.968999999999994</v>
      </c>
      <c r="F164" s="916">
        <f t="shared" si="268"/>
        <v>-89.118999999999986</v>
      </c>
      <c r="G164" s="916">
        <f t="shared" si="268"/>
        <v>-89.118999999999986</v>
      </c>
      <c r="H164" s="931"/>
      <c r="I164" s="916">
        <f t="shared" ref="I164:M164" si="269">-I8</f>
        <v>-113.67999999999996</v>
      </c>
      <c r="J164" s="916">
        <f t="shared" si="269"/>
        <v>-64.33899999999997</v>
      </c>
      <c r="K164" s="916">
        <f t="shared" si="269"/>
        <v>-79.755999999999986</v>
      </c>
      <c r="L164" s="916">
        <f t="shared" si="269"/>
        <v>-87.1</v>
      </c>
      <c r="M164" s="916">
        <f t="shared" si="269"/>
        <v>-87.1</v>
      </c>
      <c r="N164" s="931"/>
      <c r="O164" s="916">
        <f t="shared" ref="O164:S164" si="270">-O8</f>
        <v>-97.050999999999959</v>
      </c>
      <c r="P164" s="916">
        <f t="shared" si="270"/>
        <v>-122.18199999999996</v>
      </c>
      <c r="Q164" s="916">
        <f t="shared" si="270"/>
        <v>-135.96099999999996</v>
      </c>
      <c r="R164" s="916">
        <f t="shared" si="270"/>
        <v>-166.48699999999991</v>
      </c>
      <c r="S164" s="916">
        <f t="shared" si="270"/>
        <v>-166.48699999999991</v>
      </c>
      <c r="T164" s="931"/>
      <c r="U164" s="916">
        <f t="shared" ref="U164:Y164" si="271">-U8</f>
        <v>-190.40699999999993</v>
      </c>
      <c r="V164" s="916">
        <f t="shared" si="271"/>
        <v>-235.80099999999993</v>
      </c>
      <c r="W164" s="916">
        <f t="shared" si="271"/>
        <v>-264.92399999999992</v>
      </c>
      <c r="X164" s="916">
        <f t="shared" si="271"/>
        <v>-294.66399999999987</v>
      </c>
      <c r="Y164" s="916">
        <f t="shared" si="271"/>
        <v>-294.66399999999987</v>
      </c>
      <c r="Z164" s="931"/>
      <c r="AA164" s="916">
        <f t="shared" ref="AA164:AE164" si="272">-AA8</f>
        <v>-308.60799999999989</v>
      </c>
      <c r="AB164" s="916">
        <f t="shared" si="272"/>
        <v>-168.607</v>
      </c>
      <c r="AC164" s="916">
        <f t="shared" si="272"/>
        <v>-202.22900000000001</v>
      </c>
      <c r="AD164" s="916">
        <f t="shared" si="272"/>
        <v>-240.67500000000001</v>
      </c>
      <c r="AE164" s="916">
        <f t="shared" si="272"/>
        <v>-240.67500000000001</v>
      </c>
      <c r="AF164" s="931"/>
      <c r="AG164" s="916">
        <f t="shared" ref="AG164:AK164" si="273">-AG8</f>
        <v>-224.36099999999999</v>
      </c>
      <c r="AH164" s="916">
        <f t="shared" si="273"/>
        <v>-262.79899999999998</v>
      </c>
      <c r="AI164" s="916">
        <f t="shared" si="273"/>
        <v>-304.90699999999998</v>
      </c>
      <c r="AJ164" s="916">
        <f t="shared" si="273"/>
        <v>-306.38600000000002</v>
      </c>
      <c r="AK164" s="916">
        <f t="shared" si="273"/>
        <v>-306.38600000000002</v>
      </c>
      <c r="AL164" s="931"/>
      <c r="AM164" s="916">
        <f t="shared" ref="AM164:AQ164" si="274">-AM8</f>
        <v>-328.745</v>
      </c>
      <c r="AN164" s="916">
        <f t="shared" si="274"/>
        <v>-164.49700000000001</v>
      </c>
      <c r="AO164" s="916">
        <f t="shared" si="274"/>
        <v>-175.839</v>
      </c>
      <c r="AP164" s="916">
        <f t="shared" si="274"/>
        <v>-242.953</v>
      </c>
      <c r="AQ164" s="916">
        <f t="shared" si="274"/>
        <v>-242.953</v>
      </c>
      <c r="AR164" s="931"/>
      <c r="AS164" s="916">
        <f t="shared" ref="AS164:AW164" si="275">-AS8</f>
        <v>-182.76599999999999</v>
      </c>
      <c r="AT164" s="916">
        <f t="shared" si="275"/>
        <v>-167.471</v>
      </c>
      <c r="AU164" s="916">
        <f t="shared" si="275"/>
        <v>-180.67599999999999</v>
      </c>
      <c r="AV164" s="916">
        <f t="shared" si="275"/>
        <v>-199.87100000000001</v>
      </c>
      <c r="AW164" s="916">
        <f t="shared" si="275"/>
        <v>-199.87100000000001</v>
      </c>
      <c r="AX164" s="931"/>
      <c r="AY164" s="916">
        <f t="shared" ref="AY164:BC164" si="276">-AY8</f>
        <v>-189.97800000000001</v>
      </c>
      <c r="AZ164" s="916">
        <f t="shared" si="276"/>
        <v>-161.75299999999999</v>
      </c>
      <c r="BA164" s="916">
        <f t="shared" si="276"/>
        <v>-174.04</v>
      </c>
      <c r="BB164" s="916">
        <f t="shared" si="276"/>
        <v>-167.714</v>
      </c>
      <c r="BC164" s="916">
        <f t="shared" si="276"/>
        <v>-167.714</v>
      </c>
      <c r="BD164" s="931"/>
      <c r="BE164" s="916">
        <f t="shared" ref="BE164:BI164" si="277">-BE8</f>
        <v>-154.41800000000001</v>
      </c>
      <c r="BF164" s="916">
        <f t="shared" si="277"/>
        <v>-167.70599999999999</v>
      </c>
      <c r="BG164" s="916">
        <f t="shared" si="277"/>
        <v>-419.94799999999998</v>
      </c>
      <c r="BH164" s="916">
        <f t="shared" si="277"/>
        <v>-389.27499999999998</v>
      </c>
      <c r="BI164" s="916">
        <f t="shared" si="277"/>
        <v>-389.27499999999998</v>
      </c>
      <c r="BJ164" s="931"/>
      <c r="BK164" s="916">
        <f t="shared" ref="BK164:BO164" si="278">-BK8</f>
        <v>-261.02699999999999</v>
      </c>
      <c r="BL164" s="916">
        <f t="shared" si="278"/>
        <v>-358.18200000000002</v>
      </c>
      <c r="BM164" s="916">
        <f t="shared" si="278"/>
        <v>-362.613</v>
      </c>
      <c r="BN164" s="916">
        <f t="shared" si="278"/>
        <v>-449.51100000000002</v>
      </c>
      <c r="BO164" s="916">
        <f t="shared" si="278"/>
        <v>-449.51100000000002</v>
      </c>
      <c r="BP164" s="931"/>
      <c r="BQ164" s="916">
        <f t="shared" ref="BQ164:BU164" si="279">-BQ8</f>
        <v>-401.34818807637788</v>
      </c>
      <c r="BR164" s="916">
        <f t="shared" si="279"/>
        <v>-406.59477609408833</v>
      </c>
      <c r="BS164" s="916">
        <f t="shared" si="279"/>
        <v>-383.46798777497236</v>
      </c>
      <c r="BT164" s="916">
        <f t="shared" si="279"/>
        <v>-403.59098942337386</v>
      </c>
      <c r="BU164" s="916">
        <f t="shared" si="279"/>
        <v>-403.59098942337386</v>
      </c>
      <c r="BV164" s="931"/>
      <c r="BW164" s="916">
        <f t="shared" ref="BW164:CA164" si="280">-BW8</f>
        <v>-408.01666206685667</v>
      </c>
      <c r="BX164" s="916">
        <f t="shared" si="280"/>
        <v>-470.86342329483398</v>
      </c>
      <c r="BY164" s="916">
        <f t="shared" si="280"/>
        <v>-510.72116793859152</v>
      </c>
      <c r="BZ164" s="916">
        <f t="shared" si="280"/>
        <v>-609.08842684248475</v>
      </c>
      <c r="CA164" s="916">
        <f t="shared" si="280"/>
        <v>-609.08842684248475</v>
      </c>
      <c r="CB164" s="931"/>
      <c r="CC164" s="916">
        <f t="shared" ref="CC164:CG164" si="281">-CC8</f>
        <v>-643.86821552323659</v>
      </c>
      <c r="CD164" s="916">
        <f t="shared" si="281"/>
        <v>-751.15138289299966</v>
      </c>
      <c r="CE164" s="916">
        <f t="shared" si="281"/>
        <v>-833.16954767329457</v>
      </c>
      <c r="CF164" s="916">
        <f t="shared" si="281"/>
        <v>-987.69303895009909</v>
      </c>
      <c r="CG164" s="916">
        <f t="shared" si="281"/>
        <v>-987.69303895009909</v>
      </c>
      <c r="CJ164"/>
      <c r="CK164"/>
      <c r="CL164"/>
      <c r="CM164"/>
      <c r="CN164"/>
      <c r="CO164"/>
    </row>
    <row r="165" spans="1:93" s="79" customFormat="1" ht="11.25" customHeight="1" x14ac:dyDescent="0.2">
      <c r="A165" s="918" t="s">
        <v>557</v>
      </c>
      <c r="B165" s="931"/>
      <c r="C165" s="916">
        <f>-C16</f>
        <v>0</v>
      </c>
      <c r="D165" s="916">
        <f t="shared" ref="D165:G165" si="282">-D16</f>
        <v>-2.7759999999999998</v>
      </c>
      <c r="E165" s="916">
        <f t="shared" si="282"/>
        <v>0</v>
      </c>
      <c r="F165" s="916">
        <f t="shared" si="282"/>
        <v>0</v>
      </c>
      <c r="G165" s="916">
        <f t="shared" si="282"/>
        <v>0</v>
      </c>
      <c r="H165" s="931"/>
      <c r="I165" s="916">
        <f t="shared" ref="I165:M165" si="283">-I16</f>
        <v>0</v>
      </c>
      <c r="J165" s="916">
        <f t="shared" si="283"/>
        <v>0</v>
      </c>
      <c r="K165" s="916">
        <f t="shared" si="283"/>
        <v>0</v>
      </c>
      <c r="L165" s="916">
        <f t="shared" si="283"/>
        <v>0</v>
      </c>
      <c r="M165" s="916">
        <f t="shared" si="283"/>
        <v>0</v>
      </c>
      <c r="N165" s="931"/>
      <c r="O165" s="916">
        <f t="shared" ref="O165:S165" si="284">-O16</f>
        <v>0</v>
      </c>
      <c r="P165" s="916">
        <f t="shared" si="284"/>
        <v>0</v>
      </c>
      <c r="Q165" s="916">
        <f t="shared" si="284"/>
        <v>0</v>
      </c>
      <c r="R165" s="916">
        <f t="shared" si="284"/>
        <v>0</v>
      </c>
      <c r="S165" s="916">
        <f t="shared" si="284"/>
        <v>0</v>
      </c>
      <c r="T165" s="931"/>
      <c r="U165" s="916">
        <f t="shared" ref="U165:Y165" si="285">-U16</f>
        <v>0</v>
      </c>
      <c r="V165" s="916">
        <f t="shared" si="285"/>
        <v>0</v>
      </c>
      <c r="W165" s="916">
        <f t="shared" si="285"/>
        <v>-7.8289999999999997</v>
      </c>
      <c r="X165" s="916">
        <f t="shared" si="285"/>
        <v>-9.0890000000000004</v>
      </c>
      <c r="Y165" s="916">
        <f t="shared" si="285"/>
        <v>-9.0890000000000004</v>
      </c>
      <c r="Z165" s="931"/>
      <c r="AA165" s="916">
        <f t="shared" ref="AA165:AE165" si="286">-AA16</f>
        <v>-5.6150000000000002</v>
      </c>
      <c r="AB165" s="916">
        <f t="shared" si="286"/>
        <v>-4.1120000000000001</v>
      </c>
      <c r="AC165" s="916">
        <f t="shared" si="286"/>
        <v>-0.67700000000000005</v>
      </c>
      <c r="AD165" s="916">
        <f t="shared" si="286"/>
        <v>0</v>
      </c>
      <c r="AE165" s="916">
        <f t="shared" si="286"/>
        <v>0</v>
      </c>
      <c r="AF165" s="931"/>
      <c r="AG165" s="916">
        <f t="shared" ref="AG165:AK165" si="287">-AG16</f>
        <v>-16.803999999999998</v>
      </c>
      <c r="AH165" s="916">
        <f t="shared" si="287"/>
        <v>-20.475000000000001</v>
      </c>
      <c r="AI165" s="916">
        <f t="shared" si="287"/>
        <v>-20.802</v>
      </c>
      <c r="AJ165" s="916">
        <f t="shared" si="287"/>
        <v>-21.251999999999999</v>
      </c>
      <c r="AK165" s="916">
        <f t="shared" si="287"/>
        <v>-21.251999999999999</v>
      </c>
      <c r="AL165" s="931"/>
      <c r="AM165" s="916">
        <f t="shared" ref="AM165:AQ165" si="288">-AM16</f>
        <v>-10.68</v>
      </c>
      <c r="AN165" s="916">
        <f t="shared" si="288"/>
        <v>-62.884999999999998</v>
      </c>
      <c r="AO165" s="916">
        <f t="shared" si="288"/>
        <v>-76.835999999999999</v>
      </c>
      <c r="AP165" s="916">
        <f t="shared" si="288"/>
        <v>-101.97799999999999</v>
      </c>
      <c r="AQ165" s="916">
        <f t="shared" si="288"/>
        <v>-101.97799999999999</v>
      </c>
      <c r="AR165" s="931"/>
      <c r="AS165" s="916">
        <f t="shared" ref="AS165:AW165" si="289">-AS16</f>
        <v>-138.929</v>
      </c>
      <c r="AT165" s="916">
        <f t="shared" si="289"/>
        <v>-137.148</v>
      </c>
      <c r="AU165" s="916">
        <f t="shared" si="289"/>
        <v>-136.017</v>
      </c>
      <c r="AV165" s="916">
        <f t="shared" si="289"/>
        <v>-147.892</v>
      </c>
      <c r="AW165" s="916">
        <f t="shared" si="289"/>
        <v>-147.892</v>
      </c>
      <c r="AX165" s="931"/>
      <c r="AY165" s="916">
        <f t="shared" ref="AY165:BC165" si="290">-AY16</f>
        <v>-168.17099999999999</v>
      </c>
      <c r="AZ165" s="916">
        <f t="shared" si="290"/>
        <v>-158.161</v>
      </c>
      <c r="BA165" s="916">
        <f t="shared" si="290"/>
        <v>-145.24600000000001</v>
      </c>
      <c r="BB165" s="916">
        <f t="shared" si="290"/>
        <v>-151.37</v>
      </c>
      <c r="BC165" s="916">
        <f t="shared" si="290"/>
        <v>-151.37</v>
      </c>
      <c r="BD165" s="931"/>
      <c r="BE165" s="916">
        <f t="shared" ref="BE165:BI165" si="291">-BE16</f>
        <v>-132.69</v>
      </c>
      <c r="BF165" s="916">
        <f t="shared" si="291"/>
        <v>-113.158</v>
      </c>
      <c r="BG165" s="916">
        <f t="shared" si="291"/>
        <v>-62.82</v>
      </c>
      <c r="BH165" s="916">
        <f t="shared" si="291"/>
        <v>-59.783000000000001</v>
      </c>
      <c r="BI165" s="916">
        <f t="shared" si="291"/>
        <v>-59.783000000000001</v>
      </c>
      <c r="BJ165" s="931"/>
      <c r="BK165" s="916">
        <f t="shared" ref="BK165:BO165" si="292">-BK16</f>
        <v>-98.573999999999998</v>
      </c>
      <c r="BL165" s="916">
        <f t="shared" si="292"/>
        <v>-74.619</v>
      </c>
      <c r="BM165" s="916">
        <f t="shared" si="292"/>
        <v>-58.841999999999999</v>
      </c>
      <c r="BN165" s="916">
        <f t="shared" si="292"/>
        <v>-39.948</v>
      </c>
      <c r="BO165" s="916">
        <f t="shared" si="292"/>
        <v>-39.948</v>
      </c>
      <c r="BP165" s="931"/>
      <c r="BQ165" s="916">
        <f t="shared" ref="BQ165:BU165" si="293">-BQ16</f>
        <v>-39.948</v>
      </c>
      <c r="BR165" s="916">
        <f t="shared" si="293"/>
        <v>-39.948</v>
      </c>
      <c r="BS165" s="916">
        <f t="shared" si="293"/>
        <v>-39.948</v>
      </c>
      <c r="BT165" s="916">
        <f t="shared" si="293"/>
        <v>-39.948</v>
      </c>
      <c r="BU165" s="916">
        <f t="shared" si="293"/>
        <v>-39.948</v>
      </c>
      <c r="BV165" s="931"/>
      <c r="BW165" s="916">
        <f t="shared" ref="BW165:CA165" si="294">-BW16</f>
        <v>-39.948</v>
      </c>
      <c r="BX165" s="916">
        <f t="shared" si="294"/>
        <v>-39.948</v>
      </c>
      <c r="BY165" s="916">
        <f t="shared" si="294"/>
        <v>-39.948</v>
      </c>
      <c r="BZ165" s="916">
        <f t="shared" si="294"/>
        <v>-39.948</v>
      </c>
      <c r="CA165" s="916">
        <f t="shared" si="294"/>
        <v>-39.948</v>
      </c>
      <c r="CB165" s="931"/>
      <c r="CC165" s="916">
        <f t="shared" ref="CC165:CG165" si="295">-CC16</f>
        <v>-39.948</v>
      </c>
      <c r="CD165" s="916">
        <f t="shared" si="295"/>
        <v>-39.948</v>
      </c>
      <c r="CE165" s="916">
        <f t="shared" si="295"/>
        <v>-39.948</v>
      </c>
      <c r="CF165" s="916">
        <f t="shared" si="295"/>
        <v>-39.948</v>
      </c>
      <c r="CG165" s="916">
        <f t="shared" si="295"/>
        <v>-39.948</v>
      </c>
      <c r="CJ165"/>
      <c r="CK165"/>
      <c r="CL165"/>
      <c r="CM165"/>
      <c r="CN165"/>
      <c r="CO165"/>
    </row>
    <row r="166" spans="1:93" s="79" customFormat="1" ht="11.25" customHeight="1" x14ac:dyDescent="0.2">
      <c r="A166" s="918" t="s">
        <v>558</v>
      </c>
      <c r="B166" s="931"/>
      <c r="C166" s="916">
        <f>-C18</f>
        <v>-0.47799999999999998</v>
      </c>
      <c r="D166" s="916">
        <f t="shared" ref="D166:G166" si="296">-D18</f>
        <v>-0.47799999999999998</v>
      </c>
      <c r="E166" s="916">
        <f t="shared" si="296"/>
        <v>-0.47799999999999998</v>
      </c>
      <c r="F166" s="916">
        <f t="shared" si="296"/>
        <v>-0.47799999999999998</v>
      </c>
      <c r="G166" s="916">
        <f t="shared" si="296"/>
        <v>-0.47799999999999998</v>
      </c>
      <c r="H166" s="931"/>
      <c r="I166" s="916">
        <f t="shared" ref="I166:M166" si="297">-I18</f>
        <v>-0.47799999999999998</v>
      </c>
      <c r="J166" s="916">
        <f t="shared" si="297"/>
        <v>-0.47799999999999998</v>
      </c>
      <c r="K166" s="916">
        <f t="shared" si="297"/>
        <v>-0.47799999999999998</v>
      </c>
      <c r="L166" s="916">
        <f t="shared" si="297"/>
        <v>-0.47799999999999998</v>
      </c>
      <c r="M166" s="916">
        <f t="shared" si="297"/>
        <v>-0.47799999999999998</v>
      </c>
      <c r="N166" s="931"/>
      <c r="O166" s="916">
        <f t="shared" ref="O166:S166" si="298">-O18</f>
        <v>-0.47799999999999998</v>
      </c>
      <c r="P166" s="916">
        <f t="shared" si="298"/>
        <v>-0.47799999999999998</v>
      </c>
      <c r="Q166" s="916">
        <f t="shared" si="298"/>
        <v>-0.47799999999999998</v>
      </c>
      <c r="R166" s="916">
        <f t="shared" si="298"/>
        <v>-0.47799999999999998</v>
      </c>
      <c r="S166" s="916">
        <f t="shared" si="298"/>
        <v>-0.47799999999999998</v>
      </c>
      <c r="T166" s="931"/>
      <c r="U166" s="916">
        <f t="shared" ref="U166:Y166" si="299">-U18</f>
        <v>-0.47799999999999998</v>
      </c>
      <c r="V166" s="916">
        <f t="shared" si="299"/>
        <v>-0.47799999999999998</v>
      </c>
      <c r="W166" s="916">
        <f t="shared" si="299"/>
        <v>-0.47799999999999998</v>
      </c>
      <c r="X166" s="916">
        <f t="shared" si="299"/>
        <v>-0.47799999999999998</v>
      </c>
      <c r="Y166" s="916">
        <f t="shared" si="299"/>
        <v>-0.47799999999999998</v>
      </c>
      <c r="Z166" s="931"/>
      <c r="AA166" s="916">
        <f t="shared" ref="AA166:AE166" si="300">-AA18</f>
        <v>-0.47799999999999998</v>
      </c>
      <c r="AB166" s="916">
        <f t="shared" si="300"/>
        <v>-135.768</v>
      </c>
      <c r="AC166" s="916">
        <f t="shared" si="300"/>
        <v>-135.74299999999999</v>
      </c>
      <c r="AD166" s="916">
        <f t="shared" si="300"/>
        <v>-135.38300000000001</v>
      </c>
      <c r="AE166" s="916">
        <f t="shared" si="300"/>
        <v>-135.38300000000001</v>
      </c>
      <c r="AF166" s="931"/>
      <c r="AG166" s="916">
        <f t="shared" ref="AG166:AK166" si="301">-AG18</f>
        <v>-135.827</v>
      </c>
      <c r="AH166" s="916">
        <f t="shared" si="301"/>
        <v>-135.827</v>
      </c>
      <c r="AI166" s="916">
        <f t="shared" si="301"/>
        <v>-111.16200000000001</v>
      </c>
      <c r="AJ166" s="916">
        <f t="shared" si="301"/>
        <v>-99.236000000000004</v>
      </c>
      <c r="AK166" s="916">
        <f t="shared" si="301"/>
        <v>-99.236000000000004</v>
      </c>
      <c r="AL166" s="931"/>
      <c r="AM166" s="916">
        <f t="shared" ref="AM166:AQ166" si="302">-AM18</f>
        <v>-58.542999999999999</v>
      </c>
      <c r="AN166" s="916">
        <f t="shared" si="302"/>
        <v>-61.713000000000001</v>
      </c>
      <c r="AO166" s="916">
        <f t="shared" si="302"/>
        <v>-61.744999999999997</v>
      </c>
      <c r="AP166" s="916">
        <f t="shared" si="302"/>
        <v>-61.622999999999998</v>
      </c>
      <c r="AQ166" s="916">
        <f t="shared" si="302"/>
        <v>-61.622999999999998</v>
      </c>
      <c r="AR166" s="931"/>
      <c r="AS166" s="916">
        <f t="shared" ref="AS166:AW166" si="303">-AS18</f>
        <v>-61.750999999999998</v>
      </c>
      <c r="AT166" s="916">
        <f t="shared" si="303"/>
        <v>-61.807000000000002</v>
      </c>
      <c r="AU166" s="916">
        <f t="shared" si="303"/>
        <v>-61.588999999999999</v>
      </c>
      <c r="AV166" s="916">
        <f t="shared" si="303"/>
        <v>-61.369</v>
      </c>
      <c r="AW166" s="916">
        <f t="shared" si="303"/>
        <v>-61.369</v>
      </c>
      <c r="AX166" s="931"/>
      <c r="AY166" s="916">
        <f t="shared" ref="AY166:BC166" si="304">-AY18</f>
        <v>-61.237000000000002</v>
      </c>
      <c r="AZ166" s="916">
        <f t="shared" si="304"/>
        <v>-61.203000000000003</v>
      </c>
      <c r="BA166" s="916">
        <f t="shared" si="304"/>
        <v>-60.978000000000002</v>
      </c>
      <c r="BB166" s="916">
        <f t="shared" si="304"/>
        <v>-61.073999999999998</v>
      </c>
      <c r="BC166" s="916">
        <f t="shared" si="304"/>
        <v>-61.073999999999998</v>
      </c>
      <c r="BD166" s="931"/>
      <c r="BE166" s="916">
        <f t="shared" ref="BE166:BI166" si="305">-BE18</f>
        <v>-61.167999999999999</v>
      </c>
      <c r="BF166" s="916">
        <f t="shared" si="305"/>
        <v>-61.119</v>
      </c>
      <c r="BG166" s="916">
        <f t="shared" si="305"/>
        <v>-61.195</v>
      </c>
      <c r="BH166" s="916">
        <f t="shared" si="305"/>
        <v>-61.043999999999997</v>
      </c>
      <c r="BI166" s="916">
        <f t="shared" si="305"/>
        <v>-61.043999999999997</v>
      </c>
      <c r="BJ166" s="931"/>
      <c r="BK166" s="916">
        <f t="shared" ref="BK166:BO166" si="306">-BK18</f>
        <v>-64.545000000000002</v>
      </c>
      <c r="BL166" s="916">
        <f t="shared" si="306"/>
        <v>-64.525000000000006</v>
      </c>
      <c r="BM166" s="916">
        <f t="shared" si="306"/>
        <v>-64.614999999999995</v>
      </c>
      <c r="BN166" s="916">
        <f t="shared" si="306"/>
        <v>-64.614000000000004</v>
      </c>
      <c r="BO166" s="916">
        <f t="shared" si="306"/>
        <v>-64.614000000000004</v>
      </c>
      <c r="BP166" s="931"/>
      <c r="BQ166" s="916">
        <f t="shared" ref="BQ166:BU166" si="307">-BQ18</f>
        <v>-64.614000000000004</v>
      </c>
      <c r="BR166" s="916">
        <f t="shared" si="307"/>
        <v>-64.614000000000004</v>
      </c>
      <c r="BS166" s="916">
        <f t="shared" si="307"/>
        <v>-64.614000000000004</v>
      </c>
      <c r="BT166" s="916">
        <f t="shared" si="307"/>
        <v>-64.614000000000004</v>
      </c>
      <c r="BU166" s="916">
        <f t="shared" si="307"/>
        <v>-64.614000000000004</v>
      </c>
      <c r="BV166" s="931"/>
      <c r="BW166" s="916">
        <f t="shared" ref="BW166:CA166" si="308">-BW18</f>
        <v>-64.614000000000004</v>
      </c>
      <c r="BX166" s="916">
        <f t="shared" si="308"/>
        <v>-64.614000000000004</v>
      </c>
      <c r="BY166" s="916">
        <f t="shared" si="308"/>
        <v>-64.614000000000004</v>
      </c>
      <c r="BZ166" s="916">
        <f t="shared" si="308"/>
        <v>-64.614000000000004</v>
      </c>
      <c r="CA166" s="916">
        <f t="shared" si="308"/>
        <v>-64.614000000000004</v>
      </c>
      <c r="CB166" s="931"/>
      <c r="CC166" s="916">
        <f t="shared" ref="CC166:CG166" si="309">-CC18</f>
        <v>-64.614000000000004</v>
      </c>
      <c r="CD166" s="916">
        <f t="shared" si="309"/>
        <v>-64.614000000000004</v>
      </c>
      <c r="CE166" s="916">
        <f t="shared" si="309"/>
        <v>-64.614000000000004</v>
      </c>
      <c r="CF166" s="916">
        <f t="shared" si="309"/>
        <v>-64.614000000000004</v>
      </c>
      <c r="CG166" s="916">
        <f t="shared" si="309"/>
        <v>-64.614000000000004</v>
      </c>
      <c r="CJ166"/>
      <c r="CK166"/>
      <c r="CL166"/>
      <c r="CM166"/>
      <c r="CN166"/>
      <c r="CO166"/>
    </row>
    <row r="167" spans="1:93" s="79" customFormat="1" ht="11.25" customHeight="1" x14ac:dyDescent="0.2">
      <c r="A167" s="918" t="s">
        <v>559</v>
      </c>
      <c r="B167" s="931"/>
      <c r="C167" s="916">
        <f>+SUM(C153:C165)</f>
        <v>43.012</v>
      </c>
      <c r="D167" s="933">
        <f t="shared" ref="D167:F167" si="310">+SUM(D153:D165)</f>
        <v>60.148999999999987</v>
      </c>
      <c r="E167" s="933">
        <f t="shared" si="310"/>
        <v>62.93300000000005</v>
      </c>
      <c r="F167" s="933">
        <f t="shared" si="310"/>
        <v>72.183000000000007</v>
      </c>
      <c r="G167" s="944">
        <f>+F167</f>
        <v>72.183000000000007</v>
      </c>
      <c r="H167" s="931"/>
      <c r="I167" s="916">
        <f t="shared" ref="I167:L167" si="311">+SUM(I153:I165)</f>
        <v>63.412000000000077</v>
      </c>
      <c r="J167" s="933">
        <f t="shared" si="311"/>
        <v>95.013000000000034</v>
      </c>
      <c r="K167" s="933">
        <f t="shared" si="311"/>
        <v>80.022000000000006</v>
      </c>
      <c r="L167" s="933">
        <f t="shared" si="311"/>
        <v>69.973000000000042</v>
      </c>
      <c r="M167" s="944">
        <f t="shared" ref="M167:Y169" si="312">+L167</f>
        <v>69.973000000000042</v>
      </c>
      <c r="N167" s="931"/>
      <c r="O167" s="916">
        <f t="shared" ref="O167:R167" si="313">+SUM(O153:O165)</f>
        <v>69.719000000000051</v>
      </c>
      <c r="P167" s="933">
        <f t="shared" si="313"/>
        <v>54.668000000000035</v>
      </c>
      <c r="Q167" s="933">
        <f t="shared" si="313"/>
        <v>60.87299999999999</v>
      </c>
      <c r="R167" s="933">
        <f t="shared" si="313"/>
        <v>45.975000000000023</v>
      </c>
      <c r="S167" s="944">
        <f t="shared" si="312"/>
        <v>45.975000000000023</v>
      </c>
      <c r="T167" s="931"/>
      <c r="U167" s="916">
        <f t="shared" ref="U167:X167" si="314">+SUM(U153:U165)</f>
        <v>50.335000000000178</v>
      </c>
      <c r="V167" s="933">
        <f t="shared" si="314"/>
        <v>54.913000000000068</v>
      </c>
      <c r="W167" s="933">
        <f t="shared" si="314"/>
        <v>48.66800000000007</v>
      </c>
      <c r="X167" s="933">
        <f t="shared" si="314"/>
        <v>37.777000000000214</v>
      </c>
      <c r="Y167" s="944">
        <f t="shared" si="312"/>
        <v>37.777000000000214</v>
      </c>
      <c r="Z167" s="931"/>
      <c r="AA167" s="916">
        <f t="shared" ref="AA167:AD167" si="315">+SUM(AA153:AA165)</f>
        <v>56.74100000000022</v>
      </c>
      <c r="AB167" s="933">
        <f t="shared" si="315"/>
        <v>236.33300000000008</v>
      </c>
      <c r="AC167" s="933">
        <f t="shared" si="315"/>
        <v>239.88199999999995</v>
      </c>
      <c r="AD167" s="933">
        <f t="shared" si="315"/>
        <v>238.13500000000005</v>
      </c>
      <c r="AE167" s="944">
        <f t="shared" ref="AE167:AQ169" si="316">+AD167</f>
        <v>238.13500000000005</v>
      </c>
      <c r="AF167" s="931"/>
      <c r="AG167" s="916">
        <f t="shared" ref="AG167:AJ167" si="317">+SUM(AG153:AG165)</f>
        <v>275.83100000000013</v>
      </c>
      <c r="AH167" s="933">
        <f t="shared" si="317"/>
        <v>287.20000000000005</v>
      </c>
      <c r="AI167" s="933">
        <f t="shared" si="317"/>
        <v>263.57800000000003</v>
      </c>
      <c r="AJ167" s="933">
        <f t="shared" si="317"/>
        <v>251.29399999999998</v>
      </c>
      <c r="AK167" s="944">
        <f t="shared" si="316"/>
        <v>251.29399999999998</v>
      </c>
      <c r="AL167" s="931"/>
      <c r="AM167" s="916">
        <f t="shared" ref="AM167:AP167" si="318">+SUM(AM153:AM165)</f>
        <v>214.54799999999994</v>
      </c>
      <c r="AN167" s="933">
        <f t="shared" si="318"/>
        <v>285.23600000000005</v>
      </c>
      <c r="AO167" s="933">
        <f t="shared" si="318"/>
        <v>314.44100000000009</v>
      </c>
      <c r="AP167" s="933">
        <f t="shared" si="318"/>
        <v>296.11200000000002</v>
      </c>
      <c r="AQ167" s="944">
        <f t="shared" si="316"/>
        <v>296.11200000000002</v>
      </c>
      <c r="AR167" s="931"/>
      <c r="AS167" s="916">
        <f t="shared" ref="AS167:AV167" si="319">+SUM(AS153:AS165)</f>
        <v>370.35200000000009</v>
      </c>
      <c r="AT167" s="933">
        <f t="shared" si="319"/>
        <v>373.245</v>
      </c>
      <c r="AU167" s="933">
        <f t="shared" si="319"/>
        <v>413.32199999999995</v>
      </c>
      <c r="AV167" s="933">
        <f t="shared" si="319"/>
        <v>435.32400000000013</v>
      </c>
      <c r="AW167" s="944">
        <f t="shared" ref="AW167:BI169" si="320">+AV167</f>
        <v>435.32400000000013</v>
      </c>
      <c r="AX167" s="931"/>
      <c r="AY167" s="916">
        <f t="shared" ref="AY167:BB167" si="321">+SUM(AY153:AY165)</f>
        <v>455.05099999999999</v>
      </c>
      <c r="AZ167" s="933">
        <f t="shared" si="321"/>
        <v>469.72800000000012</v>
      </c>
      <c r="BA167" s="933">
        <f t="shared" si="321"/>
        <v>501.22300000000007</v>
      </c>
      <c r="BB167" s="933">
        <f t="shared" si="321"/>
        <v>516.4609999999999</v>
      </c>
      <c r="BC167" s="944">
        <f t="shared" si="320"/>
        <v>516.4609999999999</v>
      </c>
      <c r="BD167" s="931"/>
      <c r="BE167" s="965">
        <f t="shared" ref="BE167:BH167" si="322">+SUM(BE153:BE165)</f>
        <v>588.17500000000018</v>
      </c>
      <c r="BF167" s="966">
        <f t="shared" si="322"/>
        <v>611.36900000000003</v>
      </c>
      <c r="BG167" s="966">
        <f t="shared" si="322"/>
        <v>464.15600000000012</v>
      </c>
      <c r="BH167" s="966">
        <f t="shared" si="322"/>
        <v>524.91399999999999</v>
      </c>
      <c r="BI167" s="967">
        <f t="shared" si="320"/>
        <v>524.91399999999999</v>
      </c>
      <c r="BJ167" s="934"/>
      <c r="BK167" s="965">
        <f t="shared" ref="BK167:BN167" si="323">+SUM(BK153:BK165)</f>
        <v>674.07</v>
      </c>
      <c r="BL167" s="966">
        <f t="shared" si="323"/>
        <v>631.8069999999999</v>
      </c>
      <c r="BM167" s="966">
        <f t="shared" si="323"/>
        <v>741.26699999999994</v>
      </c>
      <c r="BN167" s="966">
        <f t="shared" si="323"/>
        <v>740.52199999999982</v>
      </c>
      <c r="BO167" s="967">
        <f t="shared" ref="BO167:BU169" si="324">+BN167</f>
        <v>740.52199999999982</v>
      </c>
      <c r="BP167" s="934"/>
      <c r="BQ167" s="965">
        <f t="shared" ref="BQ167:BT167" si="325">+SUM(BQ153:BQ165)</f>
        <v>815.68982543110621</v>
      </c>
      <c r="BR167" s="966">
        <f t="shared" si="325"/>
        <v>857.55747929916231</v>
      </c>
      <c r="BS167" s="966">
        <f t="shared" si="325"/>
        <v>919.94605625032341</v>
      </c>
      <c r="BT167" s="966">
        <f t="shared" si="325"/>
        <v>997.99954667214013</v>
      </c>
      <c r="BU167" s="967">
        <f t="shared" si="324"/>
        <v>997.99954667214013</v>
      </c>
      <c r="BV167" s="934"/>
      <c r="BW167" s="965">
        <f t="shared" ref="BW167:BZ167" si="326">+SUM(BW153:BW165)</f>
        <v>1031.6894475296565</v>
      </c>
      <c r="BX167" s="966">
        <f t="shared" si="326"/>
        <v>1043.3051563597353</v>
      </c>
      <c r="BY167" s="966">
        <f t="shared" si="326"/>
        <v>1081.9683207705964</v>
      </c>
      <c r="BZ167" s="966">
        <f t="shared" si="326"/>
        <v>1134.7092313758826</v>
      </c>
      <c r="CA167" s="967">
        <f t="shared" ref="CA167:CG169" si="327">+BZ167</f>
        <v>1134.7092313758826</v>
      </c>
      <c r="CB167" s="934"/>
      <c r="CC167" s="965">
        <f t="shared" ref="CC167:CF167" si="328">+SUM(CC153:CC165)</f>
        <v>1176.8011976004243</v>
      </c>
      <c r="CD167" s="966">
        <f t="shared" si="328"/>
        <v>1188.7529496440827</v>
      </c>
      <c r="CE167" s="966">
        <f t="shared" si="328"/>
        <v>1231.6794403714125</v>
      </c>
      <c r="CF167" s="966">
        <f t="shared" si="328"/>
        <v>1288.9435309807852</v>
      </c>
      <c r="CG167" s="967">
        <f t="shared" si="327"/>
        <v>1288.9435309807852</v>
      </c>
      <c r="CJ167"/>
      <c r="CK167"/>
      <c r="CL167"/>
      <c r="CM167"/>
      <c r="CN167"/>
      <c r="CO167"/>
    </row>
    <row r="168" spans="1:93" s="79" customFormat="1" ht="11.25" customHeight="1" x14ac:dyDescent="0.2">
      <c r="A168" s="926" t="s">
        <v>566</v>
      </c>
      <c r="B168" s="931"/>
      <c r="C168" s="946"/>
      <c r="D168" s="935">
        <f>+AVERAGE(C167:D167)</f>
        <v>51.580499999999994</v>
      </c>
      <c r="E168" s="935">
        <f>+AVERAGE(D167:E167)</f>
        <v>61.541000000000018</v>
      </c>
      <c r="F168" s="935">
        <f>+AVERAGE(E167:F167)</f>
        <v>67.558000000000021</v>
      </c>
      <c r="G168" s="935">
        <f>+AVERAGE(F167:G167)</f>
        <v>72.183000000000007</v>
      </c>
      <c r="H168" s="931"/>
      <c r="I168" s="935">
        <f>+AVERAGE(I167,F167)</f>
        <v>67.797500000000042</v>
      </c>
      <c r="J168" s="935">
        <f>+AVERAGE(I167:J167)</f>
        <v>79.212500000000063</v>
      </c>
      <c r="K168" s="935">
        <f>+AVERAGE(J167:K167)</f>
        <v>87.517500000000013</v>
      </c>
      <c r="L168" s="935">
        <f>+AVERAGE(K167:L167)</f>
        <v>74.997500000000031</v>
      </c>
      <c r="M168" s="935">
        <f>+AVERAGE(G167,M167)</f>
        <v>71.078000000000031</v>
      </c>
      <c r="N168" s="931"/>
      <c r="O168" s="935">
        <f t="shared" ref="O168" si="329">+AVERAGE(O167,L167)</f>
        <v>69.846000000000046</v>
      </c>
      <c r="P168" s="935">
        <f t="shared" ref="P168:R168" si="330">+AVERAGE(O167:P167)</f>
        <v>62.193500000000043</v>
      </c>
      <c r="Q168" s="935">
        <f t="shared" si="330"/>
        <v>57.770500000000013</v>
      </c>
      <c r="R168" s="935">
        <f t="shared" si="330"/>
        <v>53.424000000000007</v>
      </c>
      <c r="S168" s="935">
        <f t="shared" ref="S168" si="331">+AVERAGE(M167,S167)</f>
        <v>57.974000000000032</v>
      </c>
      <c r="T168" s="931"/>
      <c r="U168" s="935">
        <f t="shared" ref="U168" si="332">+AVERAGE(U167,R167)</f>
        <v>48.155000000000101</v>
      </c>
      <c r="V168" s="935">
        <f t="shared" ref="V168:X168" si="333">+AVERAGE(U167:V167)</f>
        <v>52.624000000000123</v>
      </c>
      <c r="W168" s="935">
        <f t="shared" si="333"/>
        <v>51.790500000000065</v>
      </c>
      <c r="X168" s="935">
        <f t="shared" si="333"/>
        <v>43.222500000000139</v>
      </c>
      <c r="Y168" s="935">
        <f t="shared" ref="Y168" si="334">+AVERAGE(S167,Y167)</f>
        <v>41.876000000000118</v>
      </c>
      <c r="Z168" s="931"/>
      <c r="AA168" s="935">
        <f t="shared" ref="AA168" si="335">+AVERAGE(AA167,X167)</f>
        <v>47.259000000000214</v>
      </c>
      <c r="AB168" s="935">
        <f t="shared" ref="AB168:AD168" si="336">+AVERAGE(AA167:AB167)</f>
        <v>146.53700000000015</v>
      </c>
      <c r="AC168" s="935">
        <f t="shared" si="336"/>
        <v>238.10750000000002</v>
      </c>
      <c r="AD168" s="935">
        <f t="shared" si="336"/>
        <v>239.0085</v>
      </c>
      <c r="AE168" s="935">
        <f t="shared" ref="AE168" si="337">+AVERAGE(Y167,AE167)</f>
        <v>137.95600000000013</v>
      </c>
      <c r="AF168" s="931"/>
      <c r="AG168" s="935">
        <f t="shared" ref="AG168" si="338">+AVERAGE(AG167,AD167)</f>
        <v>256.98300000000006</v>
      </c>
      <c r="AH168" s="935">
        <f t="shared" ref="AH168:AJ168" si="339">+AVERAGE(AG167:AH167)</f>
        <v>281.51550000000009</v>
      </c>
      <c r="AI168" s="935">
        <f t="shared" si="339"/>
        <v>275.38900000000001</v>
      </c>
      <c r="AJ168" s="935">
        <f t="shared" si="339"/>
        <v>257.43600000000004</v>
      </c>
      <c r="AK168" s="935">
        <f t="shared" ref="AK168" si="340">+AVERAGE(AE167,AK167)</f>
        <v>244.71450000000002</v>
      </c>
      <c r="AL168" s="931"/>
      <c r="AM168" s="935">
        <f t="shared" ref="AM168" si="341">+AVERAGE(AM167,AJ167)</f>
        <v>232.92099999999996</v>
      </c>
      <c r="AN168" s="935">
        <f t="shared" ref="AN168:AP168" si="342">+AVERAGE(AM167:AN167)</f>
        <v>249.892</v>
      </c>
      <c r="AO168" s="935">
        <f t="shared" si="342"/>
        <v>299.83850000000007</v>
      </c>
      <c r="AP168" s="935">
        <f t="shared" si="342"/>
        <v>305.27650000000006</v>
      </c>
      <c r="AQ168" s="935">
        <f t="shared" ref="AQ168" si="343">+AVERAGE(AK167,AQ167)</f>
        <v>273.70299999999997</v>
      </c>
      <c r="AR168" s="931"/>
      <c r="AS168" s="935">
        <f t="shared" ref="AS168" si="344">+AVERAGE(AS167,AP167)</f>
        <v>333.23200000000008</v>
      </c>
      <c r="AT168" s="935">
        <f t="shared" ref="AT168:AV168" si="345">+AVERAGE(AS167:AT167)</f>
        <v>371.79850000000005</v>
      </c>
      <c r="AU168" s="935">
        <f t="shared" si="345"/>
        <v>393.2835</v>
      </c>
      <c r="AV168" s="935">
        <f t="shared" si="345"/>
        <v>424.32300000000004</v>
      </c>
      <c r="AW168" s="935">
        <f t="shared" ref="AW168" si="346">+AVERAGE(AQ167,AW167)</f>
        <v>365.71800000000007</v>
      </c>
      <c r="AX168" s="931"/>
      <c r="AY168" s="935">
        <f t="shared" ref="AY168" si="347">+AVERAGE(AY167,AV167)</f>
        <v>445.18750000000006</v>
      </c>
      <c r="AZ168" s="935">
        <f t="shared" ref="AZ168:BB168" si="348">+AVERAGE(AY167:AZ167)</f>
        <v>462.38950000000006</v>
      </c>
      <c r="BA168" s="935">
        <f t="shared" si="348"/>
        <v>485.47550000000012</v>
      </c>
      <c r="BB168" s="935">
        <f t="shared" si="348"/>
        <v>508.84199999999998</v>
      </c>
      <c r="BC168" s="935">
        <f t="shared" ref="BC168" si="349">+AVERAGE(AW167,BC167)</f>
        <v>475.89250000000004</v>
      </c>
      <c r="BD168" s="931"/>
      <c r="BE168" s="935">
        <f t="shared" ref="BE168" si="350">+AVERAGE(BE167,BB167)</f>
        <v>552.31799999999998</v>
      </c>
      <c r="BF168" s="935">
        <f t="shared" ref="BF168:BH168" si="351">+AVERAGE(BE167:BF167)</f>
        <v>599.77200000000016</v>
      </c>
      <c r="BG168" s="935">
        <f t="shared" si="351"/>
        <v>537.76250000000005</v>
      </c>
      <c r="BH168" s="935">
        <f t="shared" si="351"/>
        <v>494.53500000000008</v>
      </c>
      <c r="BI168" s="935">
        <f t="shared" ref="BI168" si="352">+AVERAGE(BC167,BI167)</f>
        <v>520.6875</v>
      </c>
      <c r="BJ168" s="931"/>
      <c r="BK168" s="935">
        <f t="shared" ref="BK168" si="353">+AVERAGE(BK167,BH167)</f>
        <v>599.49199999999996</v>
      </c>
      <c r="BL168" s="935">
        <f t="shared" ref="BL168:BN168" si="354">+AVERAGE(BK167:BL167)</f>
        <v>652.93849999999998</v>
      </c>
      <c r="BM168" s="935">
        <f t="shared" si="354"/>
        <v>686.53699999999992</v>
      </c>
      <c r="BN168" s="935">
        <f t="shared" si="354"/>
        <v>740.89449999999988</v>
      </c>
      <c r="BO168" s="935">
        <f t="shared" ref="BO168" si="355">+AVERAGE(BI167,BO167)</f>
        <v>632.71799999999985</v>
      </c>
      <c r="BP168" s="931"/>
      <c r="BQ168" s="935">
        <f t="shared" ref="BQ168" si="356">+AVERAGE(BQ167,BN167)</f>
        <v>778.10591271555302</v>
      </c>
      <c r="BR168" s="935">
        <f t="shared" ref="BR168:BT168" si="357">+AVERAGE(BQ167:BR167)</f>
        <v>836.62365236513426</v>
      </c>
      <c r="BS168" s="935">
        <f t="shared" si="357"/>
        <v>888.7517677747428</v>
      </c>
      <c r="BT168" s="935">
        <f t="shared" si="357"/>
        <v>958.97280146123171</v>
      </c>
      <c r="BU168" s="935">
        <f t="shared" ref="BU168" si="358">+AVERAGE(BO167,BU167)</f>
        <v>869.26077333606997</v>
      </c>
      <c r="BV168" s="931"/>
      <c r="BW168" s="935">
        <f t="shared" ref="BW168" si="359">+AVERAGE(BW167,BT167)</f>
        <v>1014.8444971008983</v>
      </c>
      <c r="BX168" s="935">
        <f t="shared" ref="BX168:BZ168" si="360">+AVERAGE(BW167:BX167)</f>
        <v>1037.4973019446959</v>
      </c>
      <c r="BY168" s="935">
        <f t="shared" si="360"/>
        <v>1062.6367385651658</v>
      </c>
      <c r="BZ168" s="935">
        <f t="shared" si="360"/>
        <v>1108.3387760732394</v>
      </c>
      <c r="CA168" s="935">
        <f t="shared" ref="CA168" si="361">+AVERAGE(BU167,CA167)</f>
        <v>1066.3543890240114</v>
      </c>
      <c r="CB168" s="931"/>
      <c r="CC168" s="935">
        <f t="shared" ref="CC168" si="362">+AVERAGE(CC167,BZ167)</f>
        <v>1155.7552144881533</v>
      </c>
      <c r="CD168" s="935">
        <f t="shared" ref="CD168:CF168" si="363">+AVERAGE(CC167:CD167)</f>
        <v>1182.7770736222535</v>
      </c>
      <c r="CE168" s="935">
        <f t="shared" si="363"/>
        <v>1210.2161950077475</v>
      </c>
      <c r="CF168" s="935">
        <f t="shared" si="363"/>
        <v>1260.311485676099</v>
      </c>
      <c r="CG168" s="935">
        <f t="shared" ref="CG168" si="364">+AVERAGE(CA167,CG167)</f>
        <v>1211.826381178334</v>
      </c>
      <c r="CJ168"/>
      <c r="CK168"/>
      <c r="CL168"/>
      <c r="CM168"/>
      <c r="CN168"/>
      <c r="CO168"/>
    </row>
    <row r="169" spans="1:93" s="79" customFormat="1" ht="11.25" customHeight="1" x14ac:dyDescent="0.2">
      <c r="A169" s="918" t="s">
        <v>560</v>
      </c>
      <c r="B169" s="931"/>
      <c r="C169" s="916">
        <f>+SUM(C154:C166)</f>
        <v>42.533999999999999</v>
      </c>
      <c r="D169" s="933">
        <f>+SUM(D154:D166)</f>
        <v>59.670999999999985</v>
      </c>
      <c r="E169" s="933">
        <f>+SUM(E154:E166)</f>
        <v>62.455000000000048</v>
      </c>
      <c r="F169" s="933">
        <f>+SUM(F154:F166)</f>
        <v>71.705000000000013</v>
      </c>
      <c r="G169" s="944">
        <f>+F169</f>
        <v>71.705000000000013</v>
      </c>
      <c r="H169" s="931"/>
      <c r="I169" s="916">
        <f>+SUM(I154:I166)</f>
        <v>62.934000000000076</v>
      </c>
      <c r="J169" s="933">
        <f>+SUM(J154:J166)</f>
        <v>94.535000000000039</v>
      </c>
      <c r="K169" s="933">
        <f>+SUM(K154:K166)</f>
        <v>79.544000000000011</v>
      </c>
      <c r="L169" s="933">
        <f>+SUM(L154:L166)</f>
        <v>69.495000000000047</v>
      </c>
      <c r="M169" s="944">
        <f t="shared" si="312"/>
        <v>69.495000000000047</v>
      </c>
      <c r="N169" s="931"/>
      <c r="O169" s="916">
        <f>+SUM(O154:O166)</f>
        <v>69.241000000000057</v>
      </c>
      <c r="P169" s="933">
        <f>+SUM(P154:P166)</f>
        <v>54.190000000000033</v>
      </c>
      <c r="Q169" s="933">
        <f>+SUM(Q154:Q166)</f>
        <v>60.394999999999989</v>
      </c>
      <c r="R169" s="933">
        <f>+SUM(R154:R166)</f>
        <v>45.497000000000021</v>
      </c>
      <c r="S169" s="944">
        <f t="shared" si="312"/>
        <v>45.497000000000021</v>
      </c>
      <c r="T169" s="931"/>
      <c r="U169" s="916">
        <f>+SUM(U154:U166)</f>
        <v>49.857000000000177</v>
      </c>
      <c r="V169" s="933">
        <f>+SUM(V154:V166)</f>
        <v>54.435000000000066</v>
      </c>
      <c r="W169" s="933">
        <f>+SUM(W154:W166)</f>
        <v>48.190000000000069</v>
      </c>
      <c r="X169" s="933">
        <f>+SUM(X154:X166)</f>
        <v>37.299000000000213</v>
      </c>
      <c r="Y169" s="944">
        <f t="shared" si="312"/>
        <v>37.299000000000213</v>
      </c>
      <c r="Z169" s="931"/>
      <c r="AA169" s="916">
        <f>+SUM(AA154:AA166)</f>
        <v>56.263000000000218</v>
      </c>
      <c r="AB169" s="933">
        <f>+SUM(AB154:AB166)</f>
        <v>100.56500000000008</v>
      </c>
      <c r="AC169" s="933">
        <f>+SUM(AC154:AC166)</f>
        <v>104.13899999999995</v>
      </c>
      <c r="AD169" s="933">
        <f>+SUM(AD154:AD166)</f>
        <v>102.75200000000004</v>
      </c>
      <c r="AE169" s="944">
        <f t="shared" si="316"/>
        <v>102.75200000000004</v>
      </c>
      <c r="AF169" s="931"/>
      <c r="AG169" s="916">
        <f>+SUM(AG154:AG166)</f>
        <v>140.00400000000013</v>
      </c>
      <c r="AH169" s="933">
        <f>+SUM(AH154:AH166)</f>
        <v>151.37300000000005</v>
      </c>
      <c r="AI169" s="933">
        <f>+SUM(AI154:AI166)</f>
        <v>152.41600000000003</v>
      </c>
      <c r="AJ169" s="933">
        <f>+SUM(AJ154:AJ166)</f>
        <v>152.05799999999999</v>
      </c>
      <c r="AK169" s="944">
        <f t="shared" si="316"/>
        <v>152.05799999999999</v>
      </c>
      <c r="AL169" s="931"/>
      <c r="AM169" s="916">
        <f>+SUM(AM154:AM166)</f>
        <v>156.00499999999994</v>
      </c>
      <c r="AN169" s="933">
        <f>+SUM(AN154:AN166)</f>
        <v>223.52300000000005</v>
      </c>
      <c r="AO169" s="933">
        <f>+SUM(AO154:AO166)</f>
        <v>252.69600000000008</v>
      </c>
      <c r="AP169" s="933">
        <f>+SUM(AP154:AP166)</f>
        <v>234.48900000000003</v>
      </c>
      <c r="AQ169" s="944">
        <f t="shared" si="316"/>
        <v>234.48900000000003</v>
      </c>
      <c r="AR169" s="931"/>
      <c r="AS169" s="916">
        <f>+SUM(AS154:AS166)</f>
        <v>308.60100000000011</v>
      </c>
      <c r="AT169" s="933">
        <f>+SUM(AT154:AT166)</f>
        <v>311.43799999999999</v>
      </c>
      <c r="AU169" s="933">
        <f>+SUM(AU154:AU166)</f>
        <v>351.73299999999995</v>
      </c>
      <c r="AV169" s="933">
        <f>+SUM(AV154:AV166)</f>
        <v>373.95500000000015</v>
      </c>
      <c r="AW169" s="944">
        <f t="shared" si="320"/>
        <v>373.95500000000015</v>
      </c>
      <c r="AX169" s="931"/>
      <c r="AY169" s="916">
        <f>+SUM(AY154:AY166)</f>
        <v>393.81399999999996</v>
      </c>
      <c r="AZ169" s="933">
        <f>+SUM(AZ154:AZ166)</f>
        <v>408.52500000000009</v>
      </c>
      <c r="BA169" s="933">
        <f>+SUM(BA154:BA166)</f>
        <v>440.24500000000006</v>
      </c>
      <c r="BB169" s="933">
        <f>+SUM(BB154:BB166)</f>
        <v>455.38699999999989</v>
      </c>
      <c r="BC169" s="944">
        <f t="shared" si="320"/>
        <v>455.38699999999989</v>
      </c>
      <c r="BD169" s="931"/>
      <c r="BE169" s="965">
        <f>+SUM(BE154:BE166)</f>
        <v>527.00700000000018</v>
      </c>
      <c r="BF169" s="966">
        <f>+SUM(BF154:BF166)</f>
        <v>550.25</v>
      </c>
      <c r="BG169" s="966">
        <f>+SUM(BG154:BG166)</f>
        <v>402.96100000000013</v>
      </c>
      <c r="BH169" s="966">
        <f>+SUM(BH154:BH166)</f>
        <v>463.87</v>
      </c>
      <c r="BI169" s="967">
        <f t="shared" si="320"/>
        <v>463.87</v>
      </c>
      <c r="BJ169" s="934"/>
      <c r="BK169" s="965">
        <f>+SUM(BK154:BK166)</f>
        <v>609.52500000000009</v>
      </c>
      <c r="BL169" s="966">
        <f>+SUM(BL154:BL166)</f>
        <v>567.28199999999993</v>
      </c>
      <c r="BM169" s="966">
        <f>+SUM(BM154:BM166)</f>
        <v>676.65199999999993</v>
      </c>
      <c r="BN169" s="966">
        <f>+SUM(BN154:BN166)</f>
        <v>675.90799999999979</v>
      </c>
      <c r="BO169" s="967">
        <f t="shared" si="324"/>
        <v>675.90799999999979</v>
      </c>
      <c r="BP169" s="934"/>
      <c r="BQ169" s="965">
        <f>+SUM(BQ154:BQ166)</f>
        <v>751.07582543110618</v>
      </c>
      <c r="BR169" s="966">
        <f>+SUM(BR154:BR166)</f>
        <v>792.94347929916228</v>
      </c>
      <c r="BS169" s="966">
        <f>+SUM(BS154:BS166)</f>
        <v>855.33205625032338</v>
      </c>
      <c r="BT169" s="966">
        <f>+SUM(BT154:BT166)</f>
        <v>933.38554667214009</v>
      </c>
      <c r="BU169" s="967">
        <f t="shared" si="324"/>
        <v>933.38554667214009</v>
      </c>
      <c r="BV169" s="934"/>
      <c r="BW169" s="965">
        <f>+SUM(BW154:BW166)</f>
        <v>967.07544752965646</v>
      </c>
      <c r="BX169" s="966">
        <f>+SUM(BX154:BX166)</f>
        <v>978.69115635973526</v>
      </c>
      <c r="BY169" s="966">
        <f>+SUM(BY154:BY166)</f>
        <v>1017.3543207705964</v>
      </c>
      <c r="BZ169" s="966">
        <f>+SUM(BZ154:BZ166)</f>
        <v>1070.0952313758826</v>
      </c>
      <c r="CA169" s="967">
        <f t="shared" si="327"/>
        <v>1070.0952313758826</v>
      </c>
      <c r="CB169" s="934"/>
      <c r="CC169" s="965">
        <f>+SUM(CC154:CC166)</f>
        <v>1112.1871976004243</v>
      </c>
      <c r="CD169" s="966">
        <f>+SUM(CD154:CD166)</f>
        <v>1124.1389496440827</v>
      </c>
      <c r="CE169" s="966">
        <f>+SUM(CE154:CE166)</f>
        <v>1167.0654403714125</v>
      </c>
      <c r="CF169" s="966">
        <f>+SUM(CF154:CF166)</f>
        <v>1224.3295309807852</v>
      </c>
      <c r="CG169" s="967">
        <f t="shared" si="327"/>
        <v>1224.3295309807852</v>
      </c>
      <c r="CJ169"/>
      <c r="CK169"/>
      <c r="CL169"/>
      <c r="CM169"/>
      <c r="CN169"/>
      <c r="CO169"/>
    </row>
    <row r="170" spans="1:93" s="79" customFormat="1" ht="11.25" customHeight="1" x14ac:dyDescent="0.2">
      <c r="A170" s="926" t="s">
        <v>567</v>
      </c>
      <c r="B170" s="931"/>
      <c r="C170" s="946"/>
      <c r="D170" s="935"/>
      <c r="E170" s="935"/>
      <c r="F170" s="935"/>
      <c r="G170" s="947"/>
      <c r="H170" s="931"/>
      <c r="I170" s="935">
        <f>+AVERAGE(I169,F169)</f>
        <v>67.319500000000048</v>
      </c>
      <c r="J170" s="935">
        <f>+AVERAGE(I169:J169)</f>
        <v>78.734500000000054</v>
      </c>
      <c r="K170" s="935">
        <f>+AVERAGE(J169:K169)</f>
        <v>87.039500000000032</v>
      </c>
      <c r="L170" s="935">
        <f>+AVERAGE(K169:L169)</f>
        <v>74.519500000000022</v>
      </c>
      <c r="M170" s="935">
        <f>+AVERAGE(G169,M169)</f>
        <v>70.600000000000023</v>
      </c>
      <c r="N170" s="931"/>
      <c r="O170" s="935">
        <f t="shared" ref="O170" si="365">+AVERAGE(O169,L169)</f>
        <v>69.368000000000052</v>
      </c>
      <c r="P170" s="935">
        <f t="shared" ref="P170" si="366">+AVERAGE(O169:P169)</f>
        <v>61.715500000000048</v>
      </c>
      <c r="Q170" s="935">
        <f t="shared" ref="Q170" si="367">+AVERAGE(P169:Q169)</f>
        <v>57.292500000000011</v>
      </c>
      <c r="R170" s="935">
        <f t="shared" ref="R170" si="368">+AVERAGE(Q169:R169)</f>
        <v>52.946000000000005</v>
      </c>
      <c r="S170" s="935">
        <f t="shared" ref="S170" si="369">+AVERAGE(M169,S169)</f>
        <v>57.496000000000038</v>
      </c>
      <c r="T170" s="931"/>
      <c r="U170" s="935">
        <f t="shared" ref="U170" si="370">+AVERAGE(U169,R169)</f>
        <v>47.677000000000099</v>
      </c>
      <c r="V170" s="935">
        <f t="shared" ref="V170" si="371">+AVERAGE(U169:V169)</f>
        <v>52.146000000000122</v>
      </c>
      <c r="W170" s="935">
        <f t="shared" ref="W170" si="372">+AVERAGE(V169:W169)</f>
        <v>51.312500000000071</v>
      </c>
      <c r="X170" s="935">
        <f t="shared" ref="X170" si="373">+AVERAGE(W169:X169)</f>
        <v>42.744500000000144</v>
      </c>
      <c r="Y170" s="935">
        <f t="shared" ref="Y170" si="374">+AVERAGE(S169,Y169)</f>
        <v>41.398000000000117</v>
      </c>
      <c r="Z170" s="931"/>
      <c r="AA170" s="935">
        <f t="shared" ref="AA170" si="375">+AVERAGE(AA169,X169)</f>
        <v>46.781000000000219</v>
      </c>
      <c r="AB170" s="935">
        <f t="shared" ref="AB170" si="376">+AVERAGE(AA169:AB169)</f>
        <v>78.414000000000158</v>
      </c>
      <c r="AC170" s="935">
        <f t="shared" ref="AC170" si="377">+AVERAGE(AB169:AC169)</f>
        <v>102.35200000000002</v>
      </c>
      <c r="AD170" s="935">
        <f t="shared" ref="AD170" si="378">+AVERAGE(AC169:AD169)</f>
        <v>103.4455</v>
      </c>
      <c r="AE170" s="935">
        <f t="shared" ref="AE170" si="379">+AVERAGE(Y169,AE169)</f>
        <v>70.025500000000122</v>
      </c>
      <c r="AF170" s="931"/>
      <c r="AG170" s="935">
        <f t="shared" ref="AG170" si="380">+AVERAGE(AG169,AD169)</f>
        <v>121.37800000000009</v>
      </c>
      <c r="AH170" s="935">
        <f t="shared" ref="AH170" si="381">+AVERAGE(AG169:AH169)</f>
        <v>145.68850000000009</v>
      </c>
      <c r="AI170" s="935">
        <f t="shared" ref="AI170" si="382">+AVERAGE(AH169:AI169)</f>
        <v>151.89450000000005</v>
      </c>
      <c r="AJ170" s="935">
        <f t="shared" ref="AJ170" si="383">+AVERAGE(AI169:AJ169)</f>
        <v>152.23700000000002</v>
      </c>
      <c r="AK170" s="935">
        <f t="shared" ref="AK170" si="384">+AVERAGE(AE169,AK169)</f>
        <v>127.40500000000002</v>
      </c>
      <c r="AL170" s="931"/>
      <c r="AM170" s="935">
        <f t="shared" ref="AM170" si="385">+AVERAGE(AM169,AJ169)</f>
        <v>154.03149999999997</v>
      </c>
      <c r="AN170" s="935">
        <f t="shared" ref="AN170" si="386">+AVERAGE(AM169:AN169)</f>
        <v>189.76400000000001</v>
      </c>
      <c r="AO170" s="935">
        <f t="shared" ref="AO170" si="387">+AVERAGE(AN169:AO169)</f>
        <v>238.10950000000008</v>
      </c>
      <c r="AP170" s="935">
        <f t="shared" ref="AP170" si="388">+AVERAGE(AO169:AP169)</f>
        <v>243.59250000000006</v>
      </c>
      <c r="AQ170" s="935">
        <f t="shared" ref="AQ170" si="389">+AVERAGE(AK169,AQ169)</f>
        <v>193.27350000000001</v>
      </c>
      <c r="AR170" s="931"/>
      <c r="AS170" s="935">
        <f t="shared" ref="AS170" si="390">+AVERAGE(AS169,AP169)</f>
        <v>271.54500000000007</v>
      </c>
      <c r="AT170" s="935">
        <f t="shared" ref="AT170" si="391">+AVERAGE(AS169:AT169)</f>
        <v>310.01950000000005</v>
      </c>
      <c r="AU170" s="935">
        <f t="shared" ref="AU170" si="392">+AVERAGE(AT169:AU169)</f>
        <v>331.58549999999997</v>
      </c>
      <c r="AV170" s="935">
        <f t="shared" ref="AV170" si="393">+AVERAGE(AU169:AV169)</f>
        <v>362.84400000000005</v>
      </c>
      <c r="AW170" s="935">
        <f t="shared" ref="AW170" si="394">+AVERAGE(AQ169,AW169)</f>
        <v>304.22200000000009</v>
      </c>
      <c r="AX170" s="931"/>
      <c r="AY170" s="935">
        <f t="shared" ref="AY170" si="395">+AVERAGE(AY169,AV169)</f>
        <v>383.88450000000006</v>
      </c>
      <c r="AZ170" s="935">
        <f t="shared" ref="AZ170" si="396">+AVERAGE(AY169:AZ169)</f>
        <v>401.16950000000003</v>
      </c>
      <c r="BA170" s="935">
        <f t="shared" ref="BA170" si="397">+AVERAGE(AZ169:BA169)</f>
        <v>424.3850000000001</v>
      </c>
      <c r="BB170" s="935">
        <f t="shared" ref="BB170" si="398">+AVERAGE(BA169:BB169)</f>
        <v>447.81599999999997</v>
      </c>
      <c r="BC170" s="935">
        <f t="shared" ref="BC170" si="399">+AVERAGE(AW169,BC169)</f>
        <v>414.67100000000005</v>
      </c>
      <c r="BD170" s="931"/>
      <c r="BE170" s="935">
        <f t="shared" ref="BE170" si="400">+AVERAGE(BE169,BB169)</f>
        <v>491.197</v>
      </c>
      <c r="BF170" s="935">
        <f t="shared" ref="BF170" si="401">+AVERAGE(BE169:BF169)</f>
        <v>538.62850000000003</v>
      </c>
      <c r="BG170" s="935">
        <f t="shared" ref="BG170" si="402">+AVERAGE(BF169:BG169)</f>
        <v>476.60550000000006</v>
      </c>
      <c r="BH170" s="935">
        <f t="shared" ref="BH170" si="403">+AVERAGE(BG169:BH169)</f>
        <v>433.41550000000007</v>
      </c>
      <c r="BI170" s="935">
        <f t="shared" ref="BI170" si="404">+AVERAGE(BC169,BI169)</f>
        <v>459.62849999999992</v>
      </c>
      <c r="BJ170" s="931"/>
      <c r="BK170" s="935">
        <f t="shared" ref="BK170" si="405">+AVERAGE(BK169,BH169)</f>
        <v>536.69749999999999</v>
      </c>
      <c r="BL170" s="935">
        <f t="shared" ref="BL170" si="406">+AVERAGE(BK169:BL169)</f>
        <v>588.40350000000001</v>
      </c>
      <c r="BM170" s="935">
        <f t="shared" ref="BM170" si="407">+AVERAGE(BL169:BM169)</f>
        <v>621.96699999999987</v>
      </c>
      <c r="BN170" s="935">
        <f t="shared" ref="BN170" si="408">+AVERAGE(BM169:BN169)</f>
        <v>676.27999999999986</v>
      </c>
      <c r="BO170" s="935">
        <f t="shared" ref="BO170" si="409">+AVERAGE(BI169,BO169)</f>
        <v>569.8889999999999</v>
      </c>
      <c r="BP170" s="931"/>
      <c r="BQ170" s="935">
        <f t="shared" ref="BQ170" si="410">+AVERAGE(BQ169,BN169)</f>
        <v>713.49191271555298</v>
      </c>
      <c r="BR170" s="935">
        <f t="shared" ref="BR170" si="411">+AVERAGE(BQ169:BR169)</f>
        <v>772.00965236513423</v>
      </c>
      <c r="BS170" s="935">
        <f t="shared" ref="BS170" si="412">+AVERAGE(BR169:BS169)</f>
        <v>824.13776777474277</v>
      </c>
      <c r="BT170" s="935">
        <f t="shared" ref="BT170" si="413">+AVERAGE(BS169:BT169)</f>
        <v>894.35880146123168</v>
      </c>
      <c r="BU170" s="935">
        <f t="shared" ref="BU170" si="414">+AVERAGE(BO169,BU169)</f>
        <v>804.64677333606994</v>
      </c>
      <c r="BV170" s="931"/>
      <c r="BW170" s="935">
        <f t="shared" ref="BW170" si="415">+AVERAGE(BW169,BT169)</f>
        <v>950.23049710089822</v>
      </c>
      <c r="BX170" s="935">
        <f t="shared" ref="BX170" si="416">+AVERAGE(BW169:BX169)</f>
        <v>972.88330194469586</v>
      </c>
      <c r="BY170" s="935">
        <f t="shared" ref="BY170" si="417">+AVERAGE(BX169:BY169)</f>
        <v>998.02273856516581</v>
      </c>
      <c r="BZ170" s="935">
        <f t="shared" ref="BZ170" si="418">+AVERAGE(BY169:BZ169)</f>
        <v>1043.7247760732394</v>
      </c>
      <c r="CA170" s="935">
        <f t="shared" ref="CA170" si="419">+AVERAGE(BU169,CA169)</f>
        <v>1001.7403890240114</v>
      </c>
      <c r="CB170" s="931"/>
      <c r="CC170" s="935">
        <f t="shared" ref="CC170" si="420">+AVERAGE(CC169,BZ169)</f>
        <v>1091.1412144881533</v>
      </c>
      <c r="CD170" s="935">
        <f t="shared" ref="CD170" si="421">+AVERAGE(CC169:CD169)</f>
        <v>1118.1630736222535</v>
      </c>
      <c r="CE170" s="935">
        <f t="shared" ref="CE170" si="422">+AVERAGE(CD169:CE169)</f>
        <v>1145.6021950077475</v>
      </c>
      <c r="CF170" s="935">
        <f t="shared" ref="CF170" si="423">+AVERAGE(CE169:CF169)</f>
        <v>1195.6974856760989</v>
      </c>
      <c r="CG170" s="935">
        <f t="shared" ref="CG170" si="424">+AVERAGE(CA169,CG169)</f>
        <v>1147.212381178334</v>
      </c>
      <c r="CJ170"/>
      <c r="CK170"/>
      <c r="CL170"/>
      <c r="CM170"/>
      <c r="CN170"/>
      <c r="CO170"/>
    </row>
    <row r="171" spans="1:93" s="79" customFormat="1" ht="11.25" customHeight="1" x14ac:dyDescent="0.2">
      <c r="A171" s="918"/>
      <c r="B171" s="936"/>
      <c r="C171" s="937"/>
      <c r="D171" s="937"/>
      <c r="E171" s="937"/>
      <c r="F171" s="937"/>
      <c r="G171" s="936"/>
      <c r="H171" s="936"/>
      <c r="I171" s="937"/>
      <c r="J171" s="937"/>
      <c r="K171" s="937"/>
      <c r="L171" s="937"/>
      <c r="M171" s="936"/>
      <c r="N171" s="936"/>
      <c r="O171" s="937"/>
      <c r="P171" s="937"/>
      <c r="Q171" s="937"/>
      <c r="R171" s="937"/>
      <c r="S171" s="936"/>
      <c r="T171" s="936"/>
      <c r="U171" s="937"/>
      <c r="V171" s="937"/>
      <c r="W171" s="937"/>
      <c r="X171" s="937"/>
      <c r="Y171" s="936"/>
      <c r="Z171" s="936"/>
      <c r="AA171" s="937"/>
      <c r="AB171" s="937"/>
      <c r="AC171" s="937"/>
      <c r="AD171" s="937"/>
      <c r="AE171" s="936"/>
      <c r="AF171" s="936"/>
      <c r="AG171" s="937"/>
      <c r="AH171" s="937"/>
      <c r="AI171" s="937"/>
      <c r="AJ171" s="937"/>
      <c r="AK171" s="936"/>
      <c r="AL171" s="936"/>
      <c r="AM171" s="937"/>
      <c r="AN171" s="937"/>
      <c r="AO171" s="937"/>
      <c r="AP171" s="937"/>
      <c r="AQ171" s="936"/>
      <c r="AR171" s="936"/>
      <c r="AS171" s="937"/>
      <c r="AT171" s="937"/>
      <c r="AU171" s="937"/>
      <c r="AV171" s="937"/>
      <c r="AW171" s="936"/>
      <c r="AX171" s="936"/>
      <c r="AY171" s="937"/>
      <c r="AZ171" s="937"/>
      <c r="BA171" s="937"/>
      <c r="BB171" s="937"/>
      <c r="BC171" s="936"/>
      <c r="BD171" s="936"/>
      <c r="BE171" s="937"/>
      <c r="BF171" s="937"/>
      <c r="BG171" s="937"/>
      <c r="BH171" s="937"/>
      <c r="BI171" s="936"/>
      <c r="BJ171" s="936"/>
      <c r="BK171" s="937"/>
      <c r="BL171" s="937"/>
      <c r="BM171" s="937"/>
      <c r="BN171" s="937"/>
      <c r="BO171" s="936"/>
      <c r="BP171" s="936"/>
      <c r="BQ171" s="937"/>
      <c r="BR171" s="937"/>
      <c r="BS171" s="937"/>
      <c r="BT171" s="937"/>
      <c r="BU171" s="936"/>
      <c r="BV171" s="936"/>
      <c r="BW171" s="937"/>
      <c r="BX171" s="937"/>
      <c r="BY171" s="937"/>
      <c r="BZ171" s="937"/>
      <c r="CA171" s="936"/>
      <c r="CB171" s="936"/>
      <c r="CC171" s="937"/>
      <c r="CD171" s="937"/>
      <c r="CE171" s="937"/>
      <c r="CF171" s="937"/>
      <c r="CG171" s="936"/>
      <c r="CJ171"/>
      <c r="CK171"/>
      <c r="CL171"/>
      <c r="CM171"/>
      <c r="CN171"/>
      <c r="CO171"/>
    </row>
    <row r="172" spans="1:93" s="79" customFormat="1" ht="11.25" customHeight="1" x14ac:dyDescent="0.2">
      <c r="A172" s="926" t="s">
        <v>561</v>
      </c>
      <c r="B172" s="936"/>
      <c r="C172" s="930"/>
      <c r="D172" s="930">
        <f>+D150*4/D168</f>
        <v>1.0052284874219901</v>
      </c>
      <c r="E172" s="930">
        <f t="shared" ref="E172:F172" si="425">+E150*4/E168</f>
        <v>0.54318347603455386</v>
      </c>
      <c r="F172" s="930">
        <f t="shared" si="425"/>
        <v>0.28683368304378909</v>
      </c>
      <c r="G172" s="930">
        <f>+G150/G168</f>
        <v>0.45345430386986058</v>
      </c>
      <c r="H172" s="936"/>
      <c r="I172" s="930">
        <f>+I150*4/I168</f>
        <v>0.25887391558457823</v>
      </c>
      <c r="J172" s="930">
        <f>+J150*4/J168</f>
        <v>0.18261055059115944</v>
      </c>
      <c r="K172" s="930">
        <f t="shared" ref="K172:L172" si="426">+K150*4/K168</f>
        <v>0.32106292746502663</v>
      </c>
      <c r="L172" s="930">
        <f t="shared" si="426"/>
        <v>0.26615325533682133</v>
      </c>
      <c r="M172" s="930">
        <f>+M150/M168</f>
        <v>0.28196313580766152</v>
      </c>
      <c r="N172" s="936"/>
      <c r="O172" s="930">
        <f t="shared" ref="O172:BZ172" si="427">+O150*4/O168</f>
        <v>0.17848027204202008</v>
      </c>
      <c r="P172" s="930">
        <f t="shared" si="427"/>
        <v>0.28649686816050624</v>
      </c>
      <c r="Q172" s="930">
        <f t="shared" si="427"/>
        <v>0.63168301317604503</v>
      </c>
      <c r="R172" s="930">
        <f t="shared" si="427"/>
        <v>0.92481432379951922</v>
      </c>
      <c r="S172" s="930">
        <f t="shared" ref="S172" si="428">+S150/S168</f>
        <v>0.50005246099786971</v>
      </c>
      <c r="T172" s="936"/>
      <c r="U172" s="930">
        <f t="shared" ref="U172:V172" si="429">+U150*4/U168</f>
        <v>1.3249558521072189</v>
      </c>
      <c r="V172" s="930">
        <f t="shared" si="429"/>
        <v>1.2421020256309847</v>
      </c>
      <c r="W172" s="930">
        <f t="shared" si="427"/>
        <v>1.4982523315230678</v>
      </c>
      <c r="X172" s="930">
        <f t="shared" si="427"/>
        <v>1.0309126122574381</v>
      </c>
      <c r="Y172" s="930">
        <f t="shared" ref="Y172" si="430">+Y150/Y168</f>
        <v>1.5005124257978648</v>
      </c>
      <c r="Z172" s="936"/>
      <c r="AA172" s="930">
        <f t="shared" ref="AA172:AB172" si="431">+AA150*4/AA168</f>
        <v>1.428405754986612</v>
      </c>
      <c r="AB172" s="930">
        <f t="shared" si="431"/>
        <v>0.45028504484217324</v>
      </c>
      <c r="AC172" s="930">
        <f t="shared" si="427"/>
        <v>0.37008577960002975</v>
      </c>
      <c r="AD172" s="930">
        <f t="shared" si="427"/>
        <v>0.38569727482972832</v>
      </c>
      <c r="AE172" s="930">
        <f t="shared" ref="AE172" si="432">+AE150/AE168</f>
        <v>0.56871852197380979</v>
      </c>
      <c r="AF172" s="936"/>
      <c r="AG172" s="930">
        <f t="shared" ref="AG172:AH172" si="433">+AG150*4/AG168</f>
        <v>0.35381328726024686</v>
      </c>
      <c r="AH172" s="930">
        <f t="shared" si="433"/>
        <v>0.40058439034675447</v>
      </c>
      <c r="AI172" s="930">
        <f t="shared" si="427"/>
        <v>0.34825449523459812</v>
      </c>
      <c r="AJ172" s="930">
        <f t="shared" si="427"/>
        <v>0.35486928301484266</v>
      </c>
      <c r="AK172" s="930">
        <f t="shared" ref="AK172" si="434">+AK150/AK168</f>
        <v>0.39937543545642007</v>
      </c>
      <c r="AL172" s="936"/>
      <c r="AM172" s="930">
        <f t="shared" ref="AM172:AN172" si="435">+AM150*4/AM168</f>
        <v>0.37768822905620419</v>
      </c>
      <c r="AN172" s="930">
        <f t="shared" si="435"/>
        <v>0.47350799792968384</v>
      </c>
      <c r="AO172" s="930">
        <f t="shared" si="427"/>
        <v>0.4558055970755629</v>
      </c>
      <c r="AP172" s="930">
        <f t="shared" si="427"/>
        <v>0.55794817377126293</v>
      </c>
      <c r="AQ172" s="930">
        <f t="shared" ref="AQ172" si="436">+AQ150/AQ168</f>
        <v>0.46903165370585814</v>
      </c>
      <c r="AR172" s="936"/>
      <c r="AS172" s="930">
        <f t="shared" ref="AS172:AT172" si="437">+AS150*4/AS168</f>
        <v>0.38392682369426839</v>
      </c>
      <c r="AT172" s="930">
        <f t="shared" si="437"/>
        <v>0.38373547858479262</v>
      </c>
      <c r="AU172" s="930">
        <f t="shared" si="427"/>
        <v>0.40469599524852634</v>
      </c>
      <c r="AV172" s="930">
        <f t="shared" si="427"/>
        <v>0.38559424461955205</v>
      </c>
      <c r="AW172" s="930">
        <f t="shared" ref="AW172" si="438">+AW150/AW168</f>
        <v>0.40547284914843562</v>
      </c>
      <c r="AX172" s="936"/>
      <c r="AY172" s="930">
        <f t="shared" ref="AY172:AZ172" si="439">+AY150*4/AY168</f>
        <v>0.29052241442310311</v>
      </c>
      <c r="AZ172" s="930">
        <f t="shared" si="439"/>
        <v>0.27008957938430539</v>
      </c>
      <c r="BA172" s="930">
        <f t="shared" si="427"/>
        <v>0.23731841124247613</v>
      </c>
      <c r="BB172" s="930">
        <f t="shared" si="427"/>
        <v>0.38220538006562527</v>
      </c>
      <c r="BC172" s="930">
        <f t="shared" ref="BC172" si="440">+BC150/BC168</f>
        <v>0.29640156357225039</v>
      </c>
      <c r="BD172" s="936"/>
      <c r="BE172" s="930">
        <f t="shared" ref="BE172:BF172" si="441">+BE150*4/BE168</f>
        <v>0.29601234988097613</v>
      </c>
      <c r="BF172" s="930">
        <f t="shared" si="441"/>
        <v>0.33380649464988271</v>
      </c>
      <c r="BG172" s="930">
        <f t="shared" si="427"/>
        <v>0.37610576627173203</v>
      </c>
      <c r="BH172" s="930">
        <f t="shared" si="427"/>
        <v>0.44450315167126642</v>
      </c>
      <c r="BI172" s="930">
        <f t="shared" ref="BI172" si="442">+BI150/BI168</f>
        <v>0.37714529866258434</v>
      </c>
      <c r="BJ172" s="936"/>
      <c r="BK172" s="930">
        <f t="shared" ref="BK172:BL172" si="443">+BK150*4/BK168</f>
        <v>0.45928984776693604</v>
      </c>
      <c r="BL172" s="930">
        <f t="shared" si="443"/>
        <v>0.41880456857785081</v>
      </c>
      <c r="BM172" s="930">
        <f t="shared" si="427"/>
        <v>0.470811255289249</v>
      </c>
      <c r="BN172" s="930">
        <f t="shared" si="427"/>
        <v>0.50316218784045552</v>
      </c>
      <c r="BO172" s="930">
        <f t="shared" ref="BO172" si="444">+BO150/BO168</f>
        <v>0.49154454210181986</v>
      </c>
      <c r="BP172" s="936"/>
      <c r="BQ172" s="930">
        <f t="shared" ref="BQ172:BR172" si="445">+BQ150*4/BQ168</f>
        <v>0.48994319393543045</v>
      </c>
      <c r="BR172" s="930">
        <f t="shared" si="445"/>
        <v>0.46555258361831631</v>
      </c>
      <c r="BS172" s="930">
        <f t="shared" si="427"/>
        <v>0.43728928018480606</v>
      </c>
      <c r="BT172" s="930">
        <f t="shared" si="427"/>
        <v>0.45678304810884202</v>
      </c>
      <c r="BU172" s="930">
        <f t="shared" ref="BU172" si="446">+BU150/BU168</f>
        <v>0.45947885735545096</v>
      </c>
      <c r="BV172" s="936"/>
      <c r="BW172" s="930">
        <f t="shared" ref="BW172:BX172" si="447">+BW150*4/BW168</f>
        <v>0.42058318420852397</v>
      </c>
      <c r="BX172" s="930">
        <f t="shared" si="447"/>
        <v>0.48463380574493625</v>
      </c>
      <c r="BY172" s="930">
        <f t="shared" si="427"/>
        <v>0.51795344786673203</v>
      </c>
      <c r="BZ172" s="930">
        <f t="shared" si="427"/>
        <v>0.55060179710103418</v>
      </c>
      <c r="CA172" s="930">
        <f t="shared" ref="CA172" si="448">+CA150/CA168</f>
        <v>0.49005342453372258</v>
      </c>
      <c r="CB172" s="936"/>
      <c r="CC172" s="930">
        <f>+CC$150*4/CC168</f>
        <v>0.46783103169137707</v>
      </c>
      <c r="CD172" s="930">
        <f t="shared" ref="CD172:CF172" si="449">+CD$150*4/CD168</f>
        <v>0.52850509854348227</v>
      </c>
      <c r="CE172" s="930">
        <f t="shared" si="449"/>
        <v>0.56338892294997833</v>
      </c>
      <c r="CF172" s="930">
        <f t="shared" si="449"/>
        <v>0.59247853357996016</v>
      </c>
      <c r="CG172" s="930">
        <f>+CG$150/CG168</f>
        <v>0.53521110945636152</v>
      </c>
      <c r="CJ172"/>
      <c r="CK172"/>
      <c r="CL172"/>
      <c r="CM172"/>
      <c r="CN172"/>
      <c r="CO172"/>
    </row>
    <row r="173" spans="1:93" s="79" customFormat="1" ht="11.25" customHeight="1" x14ac:dyDescent="0.2">
      <c r="A173" s="926" t="s">
        <v>562</v>
      </c>
      <c r="B173" s="936"/>
      <c r="C173" s="930"/>
      <c r="D173" s="930">
        <f>+D150*4/D169</f>
        <v>0.868934457198136</v>
      </c>
      <c r="E173" s="930">
        <f>+E150*4/E169</f>
        <v>0.53523423742922838</v>
      </c>
      <c r="F173" s="930">
        <f>+F150*4/F169</f>
        <v>0.27024489169614818</v>
      </c>
      <c r="G173" s="927">
        <f>+G150/AVERAGE(C169:F169)</f>
        <v>0.55391774613395628</v>
      </c>
      <c r="H173" s="936"/>
      <c r="I173" s="930">
        <f>+I150*4/I170</f>
        <v>0.26071204170924389</v>
      </c>
      <c r="J173" s="930">
        <f>+J150*4/J170</f>
        <v>0.18371918585502187</v>
      </c>
      <c r="K173" s="930">
        <f>+K150*4/K170</f>
        <v>0.3228261278433408</v>
      </c>
      <c r="L173" s="930">
        <f>+L150*4/L170</f>
        <v>0.26786047634677174</v>
      </c>
      <c r="M173" s="930">
        <f>+M150/M170</f>
        <v>0.28387217800194003</v>
      </c>
      <c r="N173" s="936"/>
      <c r="O173" s="930">
        <f t="shared" ref="O173:R173" si="450">+O150*4/O170</f>
        <v>0.17971014129060855</v>
      </c>
      <c r="P173" s="930">
        <f t="shared" si="450"/>
        <v>0.28871584885386076</v>
      </c>
      <c r="Q173" s="930">
        <f t="shared" si="450"/>
        <v>0.63695324017431099</v>
      </c>
      <c r="R173" s="930">
        <f t="shared" si="450"/>
        <v>0.93316360885931926</v>
      </c>
      <c r="S173" s="930">
        <f t="shared" ref="S173" si="451">+S150/S170</f>
        <v>0.50420970804735099</v>
      </c>
      <c r="T173" s="936"/>
      <c r="U173" s="930">
        <f t="shared" ref="U173:X173" si="452">+U150*4/U170</f>
        <v>1.3382395926384447</v>
      </c>
      <c r="V173" s="930">
        <f t="shared" si="452"/>
        <v>1.2534878417674402</v>
      </c>
      <c r="W173" s="930">
        <f t="shared" si="452"/>
        <v>1.5122092545821277</v>
      </c>
      <c r="X173" s="930">
        <f t="shared" si="452"/>
        <v>1.0424410247703708</v>
      </c>
      <c r="Y173" s="930">
        <f t="shared" ref="Y173" si="453">+Y150/Y170</f>
        <v>1.5178380197765926</v>
      </c>
      <c r="Z173" s="936"/>
      <c r="AA173" s="930">
        <f t="shared" ref="AA173:AD173" si="454">+AA150*4/AA170</f>
        <v>1.4430009528422283</v>
      </c>
      <c r="AB173" s="930">
        <f t="shared" si="454"/>
        <v>0.84147498681405708</v>
      </c>
      <c r="AC173" s="930">
        <f t="shared" si="454"/>
        <v>0.86095239727718142</v>
      </c>
      <c r="AD173" s="930">
        <f t="shared" si="454"/>
        <v>0.89114487446182888</v>
      </c>
      <c r="AE173" s="930">
        <f t="shared" ref="AE173" si="455">+AE150/AE170</f>
        <v>1.1204223092647514</v>
      </c>
      <c r="AF173" s="936"/>
      <c r="AG173" s="930">
        <f t="shared" ref="AG173:AJ173" si="456">+AG150*4/AG170</f>
        <v>0.74909785957916564</v>
      </c>
      <c r="AH173" s="930">
        <f t="shared" si="456"/>
        <v>0.77405364830210843</v>
      </c>
      <c r="AI173" s="930">
        <f t="shared" si="456"/>
        <v>0.63139519329640448</v>
      </c>
      <c r="AJ173" s="930">
        <f t="shared" si="456"/>
        <v>0.60009149380379956</v>
      </c>
      <c r="AK173" s="930">
        <f t="shared" ref="AK173" si="457">+AK150/AK170</f>
        <v>0.76710458773203649</v>
      </c>
      <c r="AL173" s="936"/>
      <c r="AM173" s="930">
        <f t="shared" ref="AM173:AP173" si="458">+AM150*4/AM170</f>
        <v>0.57112681496966622</v>
      </c>
      <c r="AN173" s="930">
        <f t="shared" si="458"/>
        <v>0.62354219250566256</v>
      </c>
      <c r="AO173" s="930">
        <f t="shared" si="458"/>
        <v>0.57397149848595352</v>
      </c>
      <c r="AP173" s="930">
        <f t="shared" si="458"/>
        <v>0.69923526245792844</v>
      </c>
      <c r="AQ173" s="930">
        <f t="shared" ref="AQ173" si="459">+AQ150/AQ170</f>
        <v>0.66421610160862443</v>
      </c>
      <c r="AR173" s="936"/>
      <c r="AS173" s="930">
        <f t="shared" ref="AS173:AV173" si="460">+AS150*4/AS170</f>
        <v>0.47114365321876095</v>
      </c>
      <c r="AT173" s="930">
        <f t="shared" si="460"/>
        <v>0.46020419791209266</v>
      </c>
      <c r="AU173" s="930">
        <f t="shared" si="460"/>
        <v>0.47999763996713912</v>
      </c>
      <c r="AV173" s="930">
        <f t="shared" si="460"/>
        <v>0.45092796535068008</v>
      </c>
      <c r="AW173" s="930">
        <f t="shared" ref="AW173" si="461">+AW150/AW170</f>
        <v>0.48743588381138631</v>
      </c>
      <c r="AX173" s="936"/>
      <c r="AY173" s="930">
        <f t="shared" ref="AY173:BB173" si="462">+AY150*4/AY170</f>
        <v>0.33691630521936994</v>
      </c>
      <c r="AZ173" s="930">
        <f t="shared" si="462"/>
        <v>0.31130628217429113</v>
      </c>
      <c r="BA173" s="930">
        <f t="shared" si="462"/>
        <v>0.27148055269895666</v>
      </c>
      <c r="BB173" s="930">
        <f t="shared" si="462"/>
        <v>0.43429031120672978</v>
      </c>
      <c r="BC173" s="930">
        <f t="shared" ref="BC173" si="463">+BC150/BC170</f>
        <v>0.3401619141254324</v>
      </c>
      <c r="BD173" s="936"/>
      <c r="BE173" s="930">
        <f t="shared" ref="BE173:BH173" si="464">+BE150*4/BE170</f>
        <v>0.332845984526699</v>
      </c>
      <c r="BF173" s="930">
        <f t="shared" si="464"/>
        <v>0.37169921181138671</v>
      </c>
      <c r="BG173" s="930">
        <f t="shared" si="464"/>
        <v>0.42436685505035571</v>
      </c>
      <c r="BH173" s="930">
        <f t="shared" si="464"/>
        <v>0.50718621302595257</v>
      </c>
      <c r="BI173" s="930">
        <f t="shared" ref="BI173" si="465">+BI150/BI170</f>
        <v>0.42724688024649132</v>
      </c>
      <c r="BJ173" s="936"/>
      <c r="BK173" s="930">
        <f t="shared" ref="BK173:BN173" si="466">+BK150*4/BK170</f>
        <v>0.51302752373077198</v>
      </c>
      <c r="BL173" s="930">
        <f t="shared" si="466"/>
        <v>0.46473827365127673</v>
      </c>
      <c r="BM173" s="930">
        <f t="shared" si="466"/>
        <v>0.51968890113545441</v>
      </c>
      <c r="BN173" s="930">
        <f t="shared" si="466"/>
        <v>0.55123631865345768</v>
      </c>
      <c r="BO173" s="930">
        <f t="shared" ref="BO173" si="467">+BO150/BO170</f>
        <v>0.54573623914407765</v>
      </c>
      <c r="BP173" s="936"/>
      <c r="BQ173" s="930">
        <f t="shared" ref="BQ173:BT173" si="468">+BQ150*4/BQ170</f>
        <v>0.5343125679518177</v>
      </c>
      <c r="BR173" s="930">
        <f t="shared" si="468"/>
        <v>0.50451740037385417</v>
      </c>
      <c r="BS173" s="930">
        <f t="shared" si="468"/>
        <v>0.47157360818757738</v>
      </c>
      <c r="BT173" s="930">
        <f t="shared" si="468"/>
        <v>0.48978387487130348</v>
      </c>
      <c r="BU173" s="930">
        <f t="shared" ref="BU173" si="469">+BU150/BU170</f>
        <v>0.49637550303026717</v>
      </c>
      <c r="BV173" s="936"/>
      <c r="BW173" s="930">
        <f t="shared" ref="BW173:BZ173" si="470">+BW150*4/BW170</f>
        <v>0.44918209988988839</v>
      </c>
      <c r="BX173" s="930">
        <f t="shared" si="470"/>
        <v>0.51682073778684667</v>
      </c>
      <c r="BY173" s="930">
        <f t="shared" si="470"/>
        <v>0.55148679614352158</v>
      </c>
      <c r="BZ173" s="930">
        <f t="shared" si="470"/>
        <v>0.58468797128551075</v>
      </c>
      <c r="CA173" s="930">
        <f t="shared" ref="CA173" si="471">+CA150/CA170</f>
        <v>0.52166272402864688</v>
      </c>
      <c r="CB173" s="936"/>
      <c r="CC173" s="930">
        <f t="shared" ref="CC173:CF173" si="472">+CC150*4/CC170</f>
        <v>0.49553453503295569</v>
      </c>
      <c r="CD173" s="930">
        <f t="shared" si="472"/>
        <v>0.55904521316796585</v>
      </c>
      <c r="CE173" s="930">
        <f t="shared" si="472"/>
        <v>0.59516505957587207</v>
      </c>
      <c r="CF173" s="930">
        <f t="shared" si="472"/>
        <v>0.6244953341732048</v>
      </c>
      <c r="CG173" s="930">
        <f t="shared" ref="CG173" si="473">+CG150/CG170</f>
        <v>0.56535559812627378</v>
      </c>
      <c r="CJ173"/>
      <c r="CK173"/>
      <c r="CL173"/>
      <c r="CM173"/>
      <c r="CN173"/>
      <c r="CO173"/>
    </row>
    <row r="174" spans="1:93" s="79" customFormat="1" ht="11.25" customHeight="1" x14ac:dyDescent="0.2">
      <c r="A174" s="918"/>
      <c r="B174" s="922"/>
      <c r="C174" s="948"/>
      <c r="D174" s="948"/>
      <c r="E174" s="948"/>
      <c r="F174" s="948"/>
      <c r="G174" s="922"/>
      <c r="H174" s="922"/>
      <c r="I174" s="948"/>
      <c r="J174" s="948"/>
      <c r="K174" s="948"/>
      <c r="L174" s="948"/>
      <c r="M174" s="922"/>
      <c r="N174" s="922"/>
      <c r="O174" s="948"/>
      <c r="P174" s="948"/>
      <c r="Q174" s="948"/>
      <c r="R174" s="948"/>
      <c r="S174" s="922"/>
      <c r="T174" s="922"/>
      <c r="U174" s="948"/>
      <c r="V174" s="948"/>
      <c r="W174" s="948"/>
      <c r="X174" s="948"/>
      <c r="Y174" s="922"/>
      <c r="Z174" s="922"/>
      <c r="AA174" s="948"/>
      <c r="AB174" s="948"/>
      <c r="AC174" s="948"/>
      <c r="AD174" s="948"/>
      <c r="AE174" s="922"/>
      <c r="AF174" s="922"/>
      <c r="AG174" s="948"/>
      <c r="AH174" s="948"/>
      <c r="AI174" s="948"/>
      <c r="AJ174" s="948"/>
      <c r="AK174" s="922"/>
      <c r="AL174" s="922"/>
      <c r="AM174" s="948"/>
      <c r="AN174" s="948"/>
      <c r="AO174" s="948"/>
      <c r="AP174" s="948"/>
      <c r="AQ174" s="922"/>
      <c r="AR174" s="922"/>
      <c r="AS174" s="948"/>
      <c r="AT174" s="948"/>
      <c r="AU174" s="948"/>
      <c r="AV174" s="948"/>
      <c r="AW174" s="922"/>
      <c r="AX174" s="922"/>
      <c r="AY174" s="948"/>
      <c r="AZ174" s="948"/>
      <c r="BA174" s="948"/>
      <c r="BB174" s="948"/>
      <c r="BC174" s="922"/>
      <c r="BD174" s="922"/>
      <c r="BE174" s="948"/>
      <c r="BF174" s="948"/>
      <c r="BG174" s="948"/>
      <c r="BH174" s="948"/>
      <c r="BI174" s="922"/>
      <c r="BJ174" s="922"/>
      <c r="BK174" s="948"/>
      <c r="BL174" s="948"/>
      <c r="BM174" s="948"/>
      <c r="BN174" s="948"/>
      <c r="BO174" s="922"/>
      <c r="BP174" s="922"/>
      <c r="BQ174" s="948"/>
      <c r="BR174" s="948"/>
      <c r="BS174" s="948"/>
      <c r="BT174" s="948"/>
      <c r="BU174" s="922"/>
      <c r="BV174" s="922"/>
      <c r="BW174" s="948"/>
      <c r="BX174" s="948"/>
      <c r="BY174" s="948"/>
      <c r="BZ174" s="948"/>
      <c r="CA174" s="922"/>
      <c r="CB174" s="922"/>
      <c r="CC174" s="948"/>
      <c r="CD174" s="948"/>
      <c r="CE174" s="948"/>
      <c r="CF174" s="948"/>
      <c r="CG174" s="922"/>
      <c r="CJ174"/>
      <c r="CK174"/>
      <c r="CL174"/>
      <c r="CM174"/>
      <c r="CN174"/>
      <c r="CO174"/>
    </row>
    <row r="175" spans="1:93" s="79" customFormat="1" ht="11.25" customHeight="1" x14ac:dyDescent="0.2">
      <c r="A175" s="79" t="s">
        <v>568</v>
      </c>
      <c r="BK175" s="968">
        <f>+BK172-DCF!$C$104</f>
        <v>0.38108684776693602</v>
      </c>
      <c r="BL175" s="968">
        <f>+BL172-DCF!$C$104</f>
        <v>0.34060156857785084</v>
      </c>
      <c r="BM175" s="968">
        <f>+BM172-DCF!$C$104</f>
        <v>0.39260825528924903</v>
      </c>
      <c r="BN175" s="968">
        <f>+BN172-DCF!$C$104</f>
        <v>0.4249591878404555</v>
      </c>
      <c r="BO175" s="968">
        <f>+BO172-DCF!$C$104</f>
        <v>0.41334154210181984</v>
      </c>
      <c r="BP175" s="664"/>
      <c r="BQ175" s="968">
        <f>+BQ172-DCF!$C$104</f>
        <v>0.41174019393543049</v>
      </c>
      <c r="BR175" s="968">
        <f>+BR172-DCF!$C$104</f>
        <v>0.38734958361831628</v>
      </c>
      <c r="BS175" s="968">
        <f>+BS172-DCF!$C$104</f>
        <v>0.35908628018480604</v>
      </c>
      <c r="BT175" s="968">
        <f>+BT172-DCF!$C$104</f>
        <v>0.37858004810884205</v>
      </c>
      <c r="BU175" s="968">
        <f>+BU172-DCF!$C$104</f>
        <v>0.381275857355451</v>
      </c>
      <c r="BV175" s="664"/>
      <c r="BW175" s="968">
        <f>+BW172-DCF!$C$104</f>
        <v>0.34238018420852401</v>
      </c>
      <c r="BX175" s="968">
        <f>+BX172-DCF!$C$104</f>
        <v>0.40643080574493629</v>
      </c>
      <c r="BY175" s="968">
        <f>+BY172-DCF!$C$104</f>
        <v>0.43975044786673201</v>
      </c>
      <c r="BZ175" s="968">
        <f>+BZ172-DCF!$C$104</f>
        <v>0.47239879710103416</v>
      </c>
      <c r="CA175" s="968">
        <f>+CA172-DCF!$C$104</f>
        <v>0.41185042453372256</v>
      </c>
      <c r="CB175" s="664"/>
      <c r="CC175" s="968">
        <f>+CC172-DCF!$C$104</f>
        <v>0.38962803169137705</v>
      </c>
      <c r="CD175" s="968">
        <f>+CD172-DCF!$C$104</f>
        <v>0.45030209854348224</v>
      </c>
      <c r="CE175" s="968">
        <f>+CE172-DCF!$C$104</f>
        <v>0.48518592294997831</v>
      </c>
      <c r="CF175" s="968">
        <f>+CF172-DCF!$C$104</f>
        <v>0.51427553357996014</v>
      </c>
      <c r="CG175" s="968">
        <f>+CG172-DCF!$C$104</f>
        <v>0.4570081094563615</v>
      </c>
      <c r="CH175" s="917"/>
      <c r="CI175" s="917"/>
      <c r="CJ175"/>
      <c r="CK175"/>
      <c r="CL175"/>
      <c r="CM175"/>
      <c r="CN175"/>
      <c r="CO175"/>
    </row>
    <row r="176" spans="1:93" x14ac:dyDescent="0.2">
      <c r="A176" s="160" t="s">
        <v>569</v>
      </c>
      <c r="B176" s="5"/>
      <c r="C176" s="140"/>
      <c r="D176" s="140"/>
      <c r="E176" s="140"/>
      <c r="F176" s="140"/>
      <c r="G176" s="140"/>
      <c r="H176" s="5"/>
      <c r="I176" s="140"/>
      <c r="J176" s="140"/>
      <c r="K176" s="140"/>
      <c r="L176" s="140"/>
      <c r="M176" s="140"/>
      <c r="N176" s="5"/>
      <c r="O176" s="140"/>
      <c r="P176" s="140"/>
      <c r="Q176" s="140"/>
      <c r="R176" s="140"/>
      <c r="S176" s="140"/>
      <c r="T176" s="5"/>
      <c r="U176" s="140"/>
      <c r="V176" s="140"/>
      <c r="W176" s="140"/>
      <c r="X176" s="140"/>
      <c r="Y176" s="77"/>
      <c r="Z176" s="5"/>
      <c r="AA176" s="77"/>
      <c r="AB176" s="77"/>
      <c r="AC176" s="77"/>
      <c r="AD176" s="77"/>
      <c r="AE176" s="77"/>
      <c r="AF176" s="25"/>
      <c r="AG176" s="77"/>
      <c r="AH176" s="77"/>
      <c r="AI176" s="77"/>
      <c r="AJ176" s="77"/>
      <c r="AK176" s="77"/>
      <c r="AL176" s="25"/>
      <c r="AM176" s="77"/>
      <c r="AN176" s="77"/>
      <c r="AO176" s="77"/>
      <c r="AP176" s="77"/>
      <c r="AQ176" s="77"/>
      <c r="AR176" s="25"/>
      <c r="AS176" s="77"/>
      <c r="AT176" s="77"/>
      <c r="AU176" s="77"/>
      <c r="AV176" s="77"/>
      <c r="AW176" s="77"/>
      <c r="AX176" s="25"/>
      <c r="AY176" s="77"/>
      <c r="AZ176" s="77"/>
      <c r="BA176" s="77"/>
      <c r="BB176" s="77"/>
      <c r="BC176" s="77"/>
      <c r="BD176" s="25"/>
      <c r="BE176" s="77"/>
      <c r="BF176" s="77"/>
      <c r="BG176" s="77"/>
      <c r="BH176" s="77"/>
      <c r="BI176" s="77"/>
      <c r="BJ176" s="25"/>
      <c r="BK176" s="968">
        <f>+BK172%/DCF!$C$104</f>
        <v>5.8730464018891357E-2</v>
      </c>
      <c r="BL176" s="968">
        <f>+BL172%/DCF!$C$104</f>
        <v>5.3553516946645376E-2</v>
      </c>
      <c r="BM176" s="968">
        <f>+BM172%/DCF!$C$104</f>
        <v>6.0203733269727382E-2</v>
      </c>
      <c r="BN176" s="968">
        <f>+BN172%/DCF!$C$104</f>
        <v>6.4340522465948305E-2</v>
      </c>
      <c r="BO176" s="968">
        <f>+BO172%/DCF!$C$104</f>
        <v>6.2854947009938225E-2</v>
      </c>
      <c r="BP176" s="25"/>
      <c r="BQ176" s="968">
        <f>+BQ172%/DCF!$C$104</f>
        <v>6.2650178885136187E-2</v>
      </c>
      <c r="BR176" s="968">
        <f>+BR172%/DCF!$C$104</f>
        <v>5.9531294658557388E-2</v>
      </c>
      <c r="BS176" s="968">
        <f>+BS172%/DCF!$C$104</f>
        <v>5.5917200131044349E-2</v>
      </c>
      <c r="BT176" s="968">
        <f>+BT172%/DCF!$C$104</f>
        <v>5.8409913700093609E-2</v>
      </c>
      <c r="BU176" s="968">
        <f>+BU172%/DCF!$C$104</f>
        <v>5.8754633115794916E-2</v>
      </c>
      <c r="BV176" s="25"/>
      <c r="BW176" s="968">
        <f>+BW172%/DCF!$C$104</f>
        <v>5.3780952675539812E-2</v>
      </c>
      <c r="BX176" s="968">
        <f>+BX172%/DCF!$C$104</f>
        <v>6.1971255034325573E-2</v>
      </c>
      <c r="BY176" s="968">
        <f>+BY172%/DCF!$C$104</f>
        <v>6.6231915382623699E-2</v>
      </c>
      <c r="BZ176" s="968">
        <f>+BZ172%/DCF!$C$104</f>
        <v>7.0406735943766119E-2</v>
      </c>
      <c r="CA176" s="968">
        <f>+CA172%/DCF!$C$104</f>
        <v>6.2664274328826597E-2</v>
      </c>
      <c r="CB176" s="25"/>
      <c r="CC176" s="968">
        <f>+CC172%/DCF!$C$104</f>
        <v>5.9822645127600875E-2</v>
      </c>
      <c r="CD176" s="968">
        <f>+CD172%/DCF!$C$104</f>
        <v>6.7581179563889149E-2</v>
      </c>
      <c r="CE176" s="968">
        <f>+CE172%/DCF!$C$104</f>
        <v>7.2041855549017098E-2</v>
      </c>
      <c r="CF176" s="968">
        <f>+CF172%/DCF!$C$104</f>
        <v>7.5761611904909043E-2</v>
      </c>
      <c r="CG176" s="968">
        <f>+CG172%/DCF!$C$104</f>
        <v>6.8438692819503294E-2</v>
      </c>
      <c r="CH176" s="31"/>
      <c r="CI176" s="42"/>
    </row>
    <row r="177" spans="1:87" x14ac:dyDescent="0.2">
      <c r="A177" s="25"/>
      <c r="B177" s="25"/>
      <c r="C177" s="11"/>
      <c r="D177" s="11"/>
      <c r="E177" s="11"/>
      <c r="F177" s="11"/>
      <c r="G177" s="11"/>
      <c r="H177" s="25"/>
      <c r="I177" s="11"/>
      <c r="J177" s="11"/>
      <c r="K177" s="11"/>
      <c r="L177" s="11"/>
      <c r="M177" s="11"/>
      <c r="N177" s="25"/>
      <c r="O177" s="11"/>
      <c r="P177" s="11"/>
      <c r="Q177" s="11"/>
      <c r="R177" s="11"/>
      <c r="S177" s="11"/>
      <c r="T177" s="25"/>
      <c r="U177" s="11"/>
      <c r="V177" s="11"/>
      <c r="W177" s="11"/>
      <c r="X177" s="11"/>
      <c r="Z177" s="25"/>
      <c r="AF177" s="25"/>
      <c r="AL177" s="25"/>
      <c r="AR177" s="25"/>
      <c r="AX177" s="25"/>
      <c r="BD177" s="25"/>
      <c r="BJ177" s="25"/>
      <c r="BP177" s="25"/>
      <c r="BV177" s="25"/>
      <c r="CB177" s="25"/>
      <c r="CH177" s="42"/>
      <c r="CI177" s="42"/>
    </row>
  </sheetData>
  <mergeCells count="14">
    <mergeCell ref="C5:G5"/>
    <mergeCell ref="I5:M5"/>
    <mergeCell ref="O5:S5"/>
    <mergeCell ref="U5:Y5"/>
    <mergeCell ref="AS5:AW5"/>
    <mergeCell ref="AA5:AE5"/>
    <mergeCell ref="BW5:CA5"/>
    <mergeCell ref="CC5:CG5"/>
    <mergeCell ref="AG5:AK5"/>
    <mergeCell ref="AM5:AQ5"/>
    <mergeCell ref="BE5:BI5"/>
    <mergeCell ref="BK5:BO5"/>
    <mergeCell ref="BQ5:BU5"/>
    <mergeCell ref="AY5:BC5"/>
  </mergeCells>
  <phoneticPr fontId="13" type="noConversion"/>
  <printOptions horizontalCentered="1" verticalCentered="1"/>
  <pageMargins left="0" right="0" top="0" bottom="0" header="0" footer="0"/>
  <pageSetup scale="27" orientation="landscape" r:id="rId1"/>
  <headerFooter alignWithMargins="0"/>
  <rowBreaks count="1" manualBreakCount="1">
    <brk id="88" max="41" man="1"/>
  </rowBreaks>
  <ignoredErrors>
    <ignoredError sqref="G39 BC124:BF124 BC118:BE118 BJ118 BC128:BE128 BC127:BE127 BJ127 BI128:BJ128 BC119:BE123 BJ123:BL123 BC125:BE126 BJ125:BJ126 BH124:BL124 BU111 BP118 BJ119:BJ122 BP119:BU122 BP127:BU127 BP125:BU126 BP123:BU123 BP124:BU124 BR93:BT93 BU118 BX93:BZ93" formula="1"/>
    <ignoredError sqref="CH164:CH170 CC164:CG170 CC146:CG163 CC171:CG174 BW146:CA148"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rgb="FF66CCFF"/>
    <pageSetUpPr fitToPage="1"/>
  </sheetPr>
  <dimension ref="A1:CN124"/>
  <sheetViews>
    <sheetView showGridLines="0" zoomScaleNormal="100" workbookViewId="0">
      <pane xSplit="1" ySplit="6" topLeftCell="B7" activePane="bottomRight" state="frozen"/>
      <selection activeCell="G46" sqref="G46"/>
      <selection pane="topRight" activeCell="G46" sqref="G46"/>
      <selection pane="bottomLeft" activeCell="G46" sqref="G46"/>
      <selection pane="bottomRight" sqref="A1:XFD1048576"/>
    </sheetView>
  </sheetViews>
  <sheetFormatPr defaultRowHeight="12.75" outlineLevelRow="1" outlineLevelCol="1" x14ac:dyDescent="0.2"/>
  <cols>
    <col min="1" max="1" width="35.7109375" customWidth="1"/>
    <col min="2" max="5" width="7" hidden="1" customWidth="1" outlineLevel="1"/>
    <col min="6" max="6" width="7" hidden="1" customWidth="1" outlineLevel="1" collapsed="1"/>
    <col min="7" max="7" width="1.42578125" hidden="1" customWidth="1" outlineLevel="1"/>
    <col min="8" max="9" width="7" hidden="1" customWidth="1" outlineLevel="1"/>
    <col min="10" max="10" width="7.140625" hidden="1" customWidth="1" outlineLevel="1"/>
    <col min="11" max="11" width="7" hidden="1" customWidth="1" outlineLevel="1"/>
    <col min="12" max="12" width="7" hidden="1" customWidth="1" outlineLevel="1" collapsed="1"/>
    <col min="13" max="13" width="1.42578125" hidden="1" customWidth="1" outlineLevel="1"/>
    <col min="14" max="18" width="7" hidden="1" customWidth="1" outlineLevel="1"/>
    <col min="19" max="19" width="1.42578125" hidden="1" customWidth="1" outlineLevel="1"/>
    <col min="20" max="24" width="7" hidden="1" customWidth="1" outlineLevel="1"/>
    <col min="25" max="25" width="1.42578125" hidden="1" customWidth="1" outlineLevel="1"/>
    <col min="26" max="29" width="7" hidden="1" customWidth="1" outlineLevel="1"/>
    <col min="30" max="30" width="7" hidden="1" customWidth="1" outlineLevel="1" collapsed="1"/>
    <col min="31" max="31" width="1.42578125" hidden="1" customWidth="1" outlineLevel="1"/>
    <col min="32" max="35" width="7" hidden="1" customWidth="1" outlineLevel="1"/>
    <col min="36" max="36" width="7" customWidth="1" collapsed="1"/>
    <col min="37" max="37" width="1.42578125" customWidth="1"/>
    <col min="38" max="41" width="7.7109375" hidden="1" customWidth="1" outlineLevel="1"/>
    <col min="42" max="42" width="8.7109375" bestFit="1" customWidth="1" collapsed="1"/>
    <col min="43" max="43" width="1.42578125" customWidth="1"/>
    <col min="44" max="47" width="7.7109375" hidden="1" customWidth="1" outlineLevel="1"/>
    <col min="48" max="48" width="8.7109375" bestFit="1" customWidth="1" collapsed="1"/>
    <col min="49" max="49" width="1.42578125" customWidth="1"/>
    <col min="50" max="52" width="7.7109375" hidden="1" customWidth="1" outlineLevel="1"/>
    <col min="53" max="53" width="8.7109375" hidden="1" customWidth="1" outlineLevel="1"/>
    <col min="54" max="54" width="8.7109375" bestFit="1" customWidth="1" collapsed="1"/>
    <col min="55" max="55" width="1.42578125" customWidth="1"/>
    <col min="56" max="58" width="7.7109375" hidden="1" customWidth="1" outlineLevel="1"/>
    <col min="59" max="59" width="8.7109375" hidden="1" customWidth="1" outlineLevel="1"/>
    <col min="60" max="60" width="8.7109375" bestFit="1" customWidth="1" collapsed="1"/>
    <col min="61" max="61" width="1.42578125" customWidth="1"/>
    <col min="62" max="65" width="8.7109375" customWidth="1" outlineLevel="1"/>
    <col min="66" max="66" width="8.7109375" customWidth="1"/>
    <col min="67" max="67" width="1.42578125" customWidth="1"/>
    <col min="68" max="71" width="7" customWidth="1" outlineLevel="1"/>
    <col min="72" max="72" width="7" customWidth="1"/>
    <col min="73" max="73" width="1.42578125" customWidth="1"/>
    <col min="74" max="77" width="7" hidden="1" customWidth="1" outlineLevel="1"/>
    <col min="78" max="78" width="7" customWidth="1" collapsed="1"/>
    <col min="79" max="79" width="1.42578125" customWidth="1"/>
    <col min="80" max="83" width="7" hidden="1" customWidth="1" outlineLevel="1"/>
    <col min="84" max="84" width="7" customWidth="1" collapsed="1"/>
    <col min="85" max="85" width="7" customWidth="1"/>
    <col min="86" max="86" width="36.140625" hidden="1" customWidth="1" outlineLevel="1"/>
    <col min="87" max="91" width="9.140625" hidden="1" customWidth="1" outlineLevel="1"/>
    <col min="92" max="92" width="9.140625" collapsed="1"/>
  </cols>
  <sheetData>
    <row r="1" spans="1:85" x14ac:dyDescent="0.2">
      <c r="A1" s="237" t="s">
        <v>124</v>
      </c>
      <c r="G1" s="61"/>
      <c r="M1" s="61"/>
      <c r="S1" s="61"/>
      <c r="Y1" s="61"/>
    </row>
    <row r="2" spans="1:85" x14ac:dyDescent="0.2">
      <c r="A2" s="27" t="s">
        <v>387</v>
      </c>
      <c r="G2" s="61"/>
      <c r="M2" s="61"/>
      <c r="S2" s="61"/>
      <c r="Y2" s="61"/>
    </row>
    <row r="3" spans="1:85" x14ac:dyDescent="0.2">
      <c r="A3" s="9" t="s">
        <v>223</v>
      </c>
      <c r="F3" s="340"/>
      <c r="G3" s="2"/>
      <c r="L3" s="340"/>
      <c r="M3" s="2"/>
      <c r="R3" s="340"/>
      <c r="S3" s="2"/>
      <c r="T3" s="340"/>
      <c r="U3" s="340"/>
      <c r="V3" s="340"/>
      <c r="W3" s="340"/>
      <c r="X3" s="340"/>
      <c r="Y3" s="2"/>
      <c r="Z3" s="340"/>
      <c r="AA3" s="340"/>
      <c r="AB3" s="340"/>
      <c r="AC3" s="340"/>
      <c r="AD3" s="340"/>
      <c r="AE3" s="340"/>
      <c r="AF3" s="340"/>
      <c r="AG3" s="340"/>
      <c r="AH3" s="340"/>
      <c r="AI3" s="340"/>
      <c r="AJ3" s="340"/>
      <c r="AK3" s="340"/>
      <c r="AL3" s="375"/>
      <c r="AM3" s="340"/>
      <c r="AN3" s="340"/>
      <c r="AO3" s="340"/>
      <c r="AP3" s="340"/>
      <c r="AQ3" s="340"/>
      <c r="AR3" s="340"/>
      <c r="AS3" s="340"/>
      <c r="AT3" s="340"/>
      <c r="AU3" s="340"/>
      <c r="AV3" s="340"/>
      <c r="AW3" s="340"/>
      <c r="AX3" s="340"/>
      <c r="AY3" s="340"/>
      <c r="AZ3" s="340"/>
      <c r="BA3" s="340"/>
      <c r="BB3" s="340"/>
      <c r="BC3" s="340"/>
      <c r="BD3" s="340"/>
      <c r="BE3" s="340"/>
      <c r="BF3" s="340"/>
      <c r="BG3" s="340"/>
      <c r="BH3" s="340"/>
      <c r="BI3" s="340"/>
      <c r="BJ3" s="340"/>
      <c r="BK3" s="340"/>
      <c r="BL3" s="340"/>
      <c r="BM3" s="340"/>
      <c r="BN3" s="340"/>
      <c r="BO3" s="340"/>
      <c r="BP3" s="340"/>
      <c r="BQ3" s="340"/>
      <c r="BR3" s="340"/>
      <c r="BS3" s="340"/>
      <c r="BT3" s="340"/>
      <c r="BU3" s="340"/>
      <c r="BV3" s="340"/>
      <c r="BW3" s="340"/>
      <c r="BX3" s="340"/>
      <c r="BY3" s="340"/>
      <c r="BZ3" s="340"/>
      <c r="CA3" s="340"/>
      <c r="CB3" s="340"/>
      <c r="CC3" s="340"/>
      <c r="CD3" s="340"/>
      <c r="CE3" s="340"/>
      <c r="CF3" s="340"/>
      <c r="CG3" s="340"/>
    </row>
    <row r="4" spans="1:85" x14ac:dyDescent="0.2">
      <c r="A4" s="10" t="s">
        <v>125</v>
      </c>
      <c r="F4" s="340"/>
      <c r="G4" s="2"/>
      <c r="L4" s="340"/>
      <c r="M4" s="2"/>
      <c r="R4" s="340"/>
      <c r="S4" s="2"/>
      <c r="T4" s="340"/>
      <c r="U4" s="340"/>
      <c r="V4" s="340"/>
      <c r="W4" s="340"/>
      <c r="X4" s="340"/>
      <c r="Y4" s="2"/>
      <c r="Z4" s="340"/>
      <c r="AA4" s="340"/>
      <c r="AB4" s="340"/>
      <c r="AC4" s="340"/>
      <c r="AD4" s="340"/>
      <c r="AE4" s="2"/>
      <c r="AF4" s="340"/>
      <c r="AG4" s="340"/>
      <c r="AH4" s="340"/>
      <c r="AI4" s="340"/>
      <c r="AJ4" s="340"/>
      <c r="AK4" s="2"/>
      <c r="AP4" s="340"/>
      <c r="AQ4" s="2"/>
      <c r="AV4" s="340"/>
      <c r="AW4" s="2"/>
      <c r="BB4" s="340"/>
      <c r="BC4" s="2"/>
      <c r="BH4" s="340"/>
      <c r="BI4" s="2"/>
      <c r="BJ4" s="322"/>
      <c r="BN4" s="340"/>
      <c r="BO4" s="2"/>
      <c r="BT4" s="340"/>
      <c r="BU4" s="2"/>
      <c r="BZ4" s="340"/>
      <c r="CA4" s="2"/>
      <c r="CF4" s="340"/>
      <c r="CG4" s="340"/>
    </row>
    <row r="5" spans="1:85" ht="13.5" thickBot="1" x14ac:dyDescent="0.25">
      <c r="A5" s="340"/>
      <c r="B5" s="1006" t="s">
        <v>208</v>
      </c>
      <c r="C5" s="1006"/>
      <c r="D5" s="1006"/>
      <c r="E5" s="1006"/>
      <c r="F5" s="1006"/>
      <c r="G5" s="2"/>
      <c r="H5" s="1006" t="s">
        <v>209</v>
      </c>
      <c r="I5" s="1006"/>
      <c r="J5" s="1006"/>
      <c r="K5" s="1006"/>
      <c r="L5" s="1006"/>
      <c r="M5" s="2"/>
      <c r="N5" s="1006" t="s">
        <v>210</v>
      </c>
      <c r="O5" s="1006"/>
      <c r="P5" s="1006"/>
      <c r="Q5" s="1006"/>
      <c r="R5" s="1006"/>
      <c r="S5" s="2"/>
      <c r="T5" s="1006" t="s">
        <v>301</v>
      </c>
      <c r="U5" s="1006"/>
      <c r="V5" s="1006"/>
      <c r="W5" s="1006"/>
      <c r="X5" s="1006"/>
      <c r="Y5" s="2"/>
      <c r="Z5" s="1005" t="s">
        <v>263</v>
      </c>
      <c r="AA5" s="1005"/>
      <c r="AB5" s="1005"/>
      <c r="AC5" s="1005"/>
      <c r="AD5" s="1005"/>
      <c r="AE5" s="2"/>
      <c r="AF5" s="1005" t="str">
        <f>+'P&amp;L'!AG5</f>
        <v>2012A</v>
      </c>
      <c r="AG5" s="1005"/>
      <c r="AH5" s="1005"/>
      <c r="AI5" s="1005"/>
      <c r="AJ5" s="1005"/>
      <c r="AK5" s="2"/>
      <c r="AL5" s="1005" t="str">
        <f>+'P&amp;L'!AM5</f>
        <v>2013A</v>
      </c>
      <c r="AM5" s="1005"/>
      <c r="AN5" s="1005"/>
      <c r="AO5" s="1005"/>
      <c r="AP5" s="1005"/>
      <c r="AQ5" s="2"/>
      <c r="AR5" s="1005" t="str">
        <f>+'P&amp;L'!AS5</f>
        <v>2014A</v>
      </c>
      <c r="AS5" s="1005"/>
      <c r="AT5" s="1005"/>
      <c r="AU5" s="1005"/>
      <c r="AV5" s="1005"/>
      <c r="AW5" s="2"/>
      <c r="AX5" s="1005" t="str">
        <f>+'P&amp;L'!AY5</f>
        <v>2015A</v>
      </c>
      <c r="AY5" s="1005"/>
      <c r="AZ5" s="1005"/>
      <c r="BA5" s="1005"/>
      <c r="BB5" s="1005"/>
      <c r="BC5" s="2"/>
      <c r="BD5" s="1005" t="str">
        <f>+'P&amp;L'!BE5</f>
        <v>2016A</v>
      </c>
      <c r="BE5" s="1005"/>
      <c r="BF5" s="1005"/>
      <c r="BG5" s="1005"/>
      <c r="BH5" s="1005"/>
      <c r="BI5" s="2"/>
      <c r="BJ5" s="1005" t="str">
        <f>+'P&amp;L'!BK5</f>
        <v>2017A</v>
      </c>
      <c r="BK5" s="1005"/>
      <c r="BL5" s="1005"/>
      <c r="BM5" s="1005"/>
      <c r="BN5" s="1005"/>
      <c r="BO5" s="2"/>
      <c r="BP5" s="1005" t="str">
        <f>+'P&amp;L'!BQ5</f>
        <v>2018E</v>
      </c>
      <c r="BQ5" s="1005"/>
      <c r="BR5" s="1005"/>
      <c r="BS5" s="1005"/>
      <c r="BT5" s="1005"/>
      <c r="BU5" s="2"/>
      <c r="BV5" s="1005" t="str">
        <f>+'P&amp;L'!BW5</f>
        <v>2019E</v>
      </c>
      <c r="BW5" s="1005"/>
      <c r="BX5" s="1005"/>
      <c r="BY5" s="1005"/>
      <c r="BZ5" s="1005"/>
      <c r="CA5" s="2"/>
      <c r="CB5" s="1005" t="str">
        <f>+'P&amp;L'!CC5</f>
        <v>2020E</v>
      </c>
      <c r="CC5" s="1005"/>
      <c r="CD5" s="1005"/>
      <c r="CE5" s="1005"/>
      <c r="CF5" s="1005"/>
      <c r="CG5" s="52"/>
    </row>
    <row r="6" spans="1:85" x14ac:dyDescent="0.2">
      <c r="A6" s="341"/>
      <c r="B6" s="3">
        <f>+'P&amp;L'!C6</f>
        <v>39172</v>
      </c>
      <c r="C6" s="3">
        <f>+'P&amp;L'!D6</f>
        <v>39263</v>
      </c>
      <c r="D6" s="3">
        <f>+'P&amp;L'!E6</f>
        <v>39355</v>
      </c>
      <c r="E6" s="3">
        <f>+'P&amp;L'!F6</f>
        <v>39447</v>
      </c>
      <c r="F6" s="132" t="str">
        <f>+'P&amp;L'!G6</f>
        <v>2007A</v>
      </c>
      <c r="G6" s="4"/>
      <c r="H6" s="3">
        <f>+'P&amp;L'!I6</f>
        <v>39538</v>
      </c>
      <c r="I6" s="3">
        <f>+'P&amp;L'!J6</f>
        <v>39629</v>
      </c>
      <c r="J6" s="3">
        <f>+'P&amp;L'!K6</f>
        <v>39721</v>
      </c>
      <c r="K6" s="3">
        <f>+'P&amp;L'!L6</f>
        <v>39813</v>
      </c>
      <c r="L6" s="132" t="str">
        <f>+'P&amp;L'!M6</f>
        <v>2008A</v>
      </c>
      <c r="M6" s="4"/>
      <c r="N6" s="3">
        <f>+'P&amp;L'!O6</f>
        <v>39903</v>
      </c>
      <c r="O6" s="3">
        <f>+'P&amp;L'!P6</f>
        <v>39994</v>
      </c>
      <c r="P6" s="3">
        <f>+'P&amp;L'!Q6</f>
        <v>40086</v>
      </c>
      <c r="Q6" s="3">
        <f>+'P&amp;L'!R6</f>
        <v>40178</v>
      </c>
      <c r="R6" s="132" t="str">
        <f>+'P&amp;L'!S6</f>
        <v>2009A</v>
      </c>
      <c r="S6" s="4"/>
      <c r="T6" s="3">
        <f>+'P&amp;L'!U6</f>
        <v>40268</v>
      </c>
      <c r="U6" s="3">
        <f>+'P&amp;L'!V6</f>
        <v>40359</v>
      </c>
      <c r="V6" s="3">
        <f>+'P&amp;L'!W6</f>
        <v>40451</v>
      </c>
      <c r="W6" s="3">
        <f>+'P&amp;L'!X6</f>
        <v>40543</v>
      </c>
      <c r="X6" s="132" t="str">
        <f>+'P&amp;L'!Y6</f>
        <v>2010A</v>
      </c>
      <c r="Y6" s="4"/>
      <c r="Z6" s="3">
        <f>+'P&amp;L'!AA6</f>
        <v>40633</v>
      </c>
      <c r="AA6" s="3">
        <f>+'P&amp;L'!AB6</f>
        <v>40724</v>
      </c>
      <c r="AB6" s="3">
        <f>+'P&amp;L'!AC6</f>
        <v>40816</v>
      </c>
      <c r="AC6" s="3">
        <f>+'P&amp;L'!AD6</f>
        <v>40908</v>
      </c>
      <c r="AD6" s="225" t="str">
        <f>+'P&amp;L'!AE6</f>
        <v>2011A</v>
      </c>
      <c r="AE6" s="4"/>
      <c r="AF6" s="3">
        <f>+'P&amp;L'!AG6</f>
        <v>40998.25</v>
      </c>
      <c r="AG6" s="3">
        <f>+'P&amp;L'!AH6</f>
        <v>41089.25</v>
      </c>
      <c r="AH6" s="3">
        <f>+'P&amp;L'!AI6</f>
        <v>41181.25</v>
      </c>
      <c r="AI6" s="3">
        <f>+'P&amp;L'!AJ6</f>
        <v>41273.25</v>
      </c>
      <c r="AJ6" s="225" t="str">
        <f>+'P&amp;L'!AK6</f>
        <v>2012A</v>
      </c>
      <c r="AK6" s="4"/>
      <c r="AL6" s="3">
        <f>+'P&amp;L'!AM6</f>
        <v>41363.5</v>
      </c>
      <c r="AM6" s="3">
        <f>+'P&amp;L'!AN6</f>
        <v>41454.5</v>
      </c>
      <c r="AN6" s="3">
        <f>+'P&amp;L'!AO6</f>
        <v>41546.5</v>
      </c>
      <c r="AO6" s="3">
        <f>+'P&amp;L'!AP6</f>
        <v>41638.5</v>
      </c>
      <c r="AP6" s="225" t="str">
        <f>+'P&amp;L'!AQ6</f>
        <v>2013A</v>
      </c>
      <c r="AQ6" s="4"/>
      <c r="AR6" s="3">
        <f>+'P&amp;L'!AS6</f>
        <v>41728.75</v>
      </c>
      <c r="AS6" s="3">
        <f>+'P&amp;L'!AT6</f>
        <v>41819.75</v>
      </c>
      <c r="AT6" s="3">
        <f>+'P&amp;L'!AU6</f>
        <v>41911.75</v>
      </c>
      <c r="AU6" s="3">
        <f>+'P&amp;L'!AV6</f>
        <v>42003.75</v>
      </c>
      <c r="AV6" s="225" t="str">
        <f>+'P&amp;L'!AW6</f>
        <v>2014A</v>
      </c>
      <c r="AW6" s="4"/>
      <c r="AX6" s="3">
        <f>+'P&amp;L'!AY6</f>
        <v>42094</v>
      </c>
      <c r="AY6" s="3">
        <f>+'P&amp;L'!AZ6</f>
        <v>42185</v>
      </c>
      <c r="AZ6" s="3">
        <f>+'P&amp;L'!BA6</f>
        <v>42277</v>
      </c>
      <c r="BA6" s="3">
        <f>+'P&amp;L'!BB6</f>
        <v>42369</v>
      </c>
      <c r="BB6" s="225" t="str">
        <f>+'P&amp;L'!BC6</f>
        <v>2015A</v>
      </c>
      <c r="BC6" s="4"/>
      <c r="BD6" s="3">
        <f>+'P&amp;L'!BE6</f>
        <v>42459.25</v>
      </c>
      <c r="BE6" s="3">
        <f>+'P&amp;L'!BF6</f>
        <v>42550.25</v>
      </c>
      <c r="BF6" s="3">
        <f>+'P&amp;L'!BG6</f>
        <v>42642.25</v>
      </c>
      <c r="BG6" s="3">
        <f>+'P&amp;L'!BH6</f>
        <v>42734.25</v>
      </c>
      <c r="BH6" s="623" t="str">
        <f>+'P&amp;L'!BI6</f>
        <v>2016A</v>
      </c>
      <c r="BI6" s="4"/>
      <c r="BJ6" s="3">
        <f>+'P&amp;L'!BK6</f>
        <v>42824.5</v>
      </c>
      <c r="BK6" s="3">
        <f>+'P&amp;L'!BL6</f>
        <v>42915.5</v>
      </c>
      <c r="BL6" s="3">
        <f>+'P&amp;L'!BM6</f>
        <v>43007.5</v>
      </c>
      <c r="BM6" s="3">
        <f>+'P&amp;L'!BN6</f>
        <v>43099.5</v>
      </c>
      <c r="BN6" s="623" t="str">
        <f>+'P&amp;L'!BO6</f>
        <v>2017A</v>
      </c>
      <c r="BO6" s="4"/>
      <c r="BP6" s="224">
        <f>+'P&amp;L'!BQ6</f>
        <v>43189.75</v>
      </c>
      <c r="BQ6" s="224">
        <f>+'P&amp;L'!BR6</f>
        <v>43280.75</v>
      </c>
      <c r="BR6" s="224">
        <f>+'P&amp;L'!BS6</f>
        <v>43372.75</v>
      </c>
      <c r="BS6" s="224">
        <f>+'P&amp;L'!BT6</f>
        <v>43464.75</v>
      </c>
      <c r="BT6" s="225" t="str">
        <f>+'P&amp;L'!BU6</f>
        <v>2018E</v>
      </c>
      <c r="BU6" s="4"/>
      <c r="BV6" s="224">
        <f>+'P&amp;L'!BW6</f>
        <v>43555</v>
      </c>
      <c r="BW6" s="224">
        <f>+'P&amp;L'!BX6</f>
        <v>43646</v>
      </c>
      <c r="BX6" s="224">
        <f>+'P&amp;L'!BY6</f>
        <v>43738</v>
      </c>
      <c r="BY6" s="224">
        <f>+'P&amp;L'!BZ6</f>
        <v>43830</v>
      </c>
      <c r="BZ6" s="225" t="str">
        <f>+'P&amp;L'!CA6</f>
        <v>2019E</v>
      </c>
      <c r="CA6" s="4"/>
      <c r="CB6" s="224">
        <f>+'P&amp;L'!CC6</f>
        <v>43920.25</v>
      </c>
      <c r="CC6" s="224">
        <f>+'P&amp;L'!CD6</f>
        <v>44011.25</v>
      </c>
      <c r="CD6" s="224">
        <f>+'P&amp;L'!CE6</f>
        <v>44103.25</v>
      </c>
      <c r="CE6" s="224">
        <f>+'P&amp;L'!CF6</f>
        <v>44195.25</v>
      </c>
      <c r="CF6" s="225" t="str">
        <f>+'P&amp;L'!CG6</f>
        <v>2020E</v>
      </c>
      <c r="CG6" s="162"/>
    </row>
    <row r="7" spans="1:85" x14ac:dyDescent="0.2">
      <c r="A7" s="44" t="s">
        <v>284</v>
      </c>
      <c r="B7" s="45"/>
      <c r="C7" s="45"/>
      <c r="D7" s="45"/>
      <c r="E7" s="45"/>
      <c r="F7" s="346"/>
      <c r="G7" s="4"/>
      <c r="H7" s="45"/>
      <c r="I7" s="45"/>
      <c r="J7" s="45"/>
      <c r="K7" s="45"/>
      <c r="L7" s="346"/>
      <c r="M7" s="4"/>
      <c r="N7" s="45"/>
      <c r="O7" s="45"/>
      <c r="P7" s="45"/>
      <c r="Q7" s="45"/>
      <c r="R7" s="346"/>
      <c r="S7" s="4"/>
      <c r="T7" s="346"/>
      <c r="U7" s="346"/>
      <c r="V7" s="346"/>
      <c r="W7" s="229"/>
      <c r="X7" s="229"/>
      <c r="Y7" s="4"/>
      <c r="Z7" s="57"/>
      <c r="AA7" s="346"/>
      <c r="AB7" s="57"/>
      <c r="AC7" s="57"/>
      <c r="AD7" s="57"/>
      <c r="AE7" s="4"/>
      <c r="AF7" s="57"/>
      <c r="AG7" s="57"/>
      <c r="AH7" s="57"/>
      <c r="AI7" s="57"/>
      <c r="AJ7" s="57"/>
      <c r="AK7" s="4"/>
      <c r="AL7" s="57"/>
      <c r="AM7" s="57"/>
      <c r="AN7" s="57"/>
      <c r="AO7" s="57"/>
      <c r="AP7" s="57"/>
      <c r="AQ7" s="4"/>
      <c r="AR7" s="57"/>
      <c r="AS7" s="57"/>
      <c r="AT7" s="57"/>
      <c r="AU7" s="57"/>
      <c r="AV7" s="57"/>
      <c r="AW7" s="4"/>
      <c r="AX7" s="57"/>
      <c r="AY7" s="57"/>
      <c r="AZ7" s="57"/>
      <c r="BA7" s="57"/>
      <c r="BB7" s="57"/>
      <c r="BC7" s="4"/>
      <c r="BD7" s="57"/>
      <c r="BE7" s="57"/>
      <c r="BF7" s="57"/>
      <c r="BG7" s="57"/>
      <c r="BH7" s="57"/>
      <c r="BI7" s="4"/>
      <c r="BJ7" s="57"/>
      <c r="BK7" s="57"/>
      <c r="BL7" s="57"/>
      <c r="BM7" s="57"/>
      <c r="BN7" s="57"/>
      <c r="BO7" s="4"/>
      <c r="BP7" s="57"/>
      <c r="BQ7" s="57"/>
      <c r="BR7" s="57"/>
      <c r="BS7" s="57"/>
      <c r="BT7" s="836"/>
      <c r="BU7" s="4"/>
      <c r="BV7" s="57"/>
      <c r="BW7" s="57"/>
      <c r="BX7" s="57"/>
      <c r="BY7" s="57"/>
      <c r="BZ7" s="57"/>
      <c r="CA7" s="4"/>
      <c r="CB7" s="57"/>
      <c r="CC7" s="57"/>
      <c r="CD7" s="57"/>
      <c r="CE7" s="57"/>
      <c r="CF7" s="57"/>
      <c r="CG7" s="57"/>
    </row>
    <row r="8" spans="1:85" x14ac:dyDescent="0.2">
      <c r="A8" s="168" t="s">
        <v>285</v>
      </c>
      <c r="B8" s="254">
        <f>+'P&amp;L'!C77</f>
        <v>6.9779999999999998</v>
      </c>
      <c r="C8" s="168">
        <f>+'P&amp;L'!D77</f>
        <v>13.617999999999993</v>
      </c>
      <c r="D8" s="168">
        <f>+'P&amp;L'!E77</f>
        <v>9.4599999999999902</v>
      </c>
      <c r="E8" s="168">
        <f>+'P&amp;L'!F77</f>
        <v>5.668000000000001</v>
      </c>
      <c r="F8" s="168">
        <f>SUM(B8:E8)</f>
        <v>35.723999999999982</v>
      </c>
      <c r="G8" s="168"/>
      <c r="H8" s="254">
        <f>+'P&amp;L'!I77</f>
        <v>5.3039999999999905</v>
      </c>
      <c r="I8" s="168">
        <f>+'P&amp;L'!J77</f>
        <v>4.0300000000000065</v>
      </c>
      <c r="J8" s="168">
        <f>+'P&amp;L'!K77</f>
        <v>5.1570000000000089</v>
      </c>
      <c r="K8" s="168">
        <f>+'P&amp;L'!L77</f>
        <v>65.495999999999995</v>
      </c>
      <c r="L8" s="168">
        <f>SUM(H8:K8)</f>
        <v>79.986999999999995</v>
      </c>
      <c r="M8" s="168"/>
      <c r="N8" s="254">
        <f>+'P&amp;L'!O77</f>
        <v>2.6359999999999881</v>
      </c>
      <c r="O8" s="168">
        <f>+'P&amp;L'!P77</f>
        <v>4.5450000000000061</v>
      </c>
      <c r="P8" s="168">
        <f>+'P&amp;L'!Q77</f>
        <v>-49.942</v>
      </c>
      <c r="Q8" s="168">
        <f>+'P&amp;L'!R77</f>
        <v>11.491999999999962</v>
      </c>
      <c r="R8" s="168">
        <f>SUM(N8:Q8)</f>
        <v>-31.269000000000048</v>
      </c>
      <c r="S8" s="168"/>
      <c r="T8" s="254">
        <f>+'P&amp;L'!U77</f>
        <v>14.93</v>
      </c>
      <c r="U8" s="168">
        <f>+'P&amp;L'!V77</f>
        <v>32.602999999999994</v>
      </c>
      <c r="V8" s="168">
        <f>+'P&amp;L'!W77</f>
        <v>16.815000000000005</v>
      </c>
      <c r="W8" s="168">
        <f>+'P&amp;L'!X77</f>
        <v>9.9049999999999745</v>
      </c>
      <c r="X8" s="168">
        <f>SUM(T8:W8)</f>
        <v>74.252999999999972</v>
      </c>
      <c r="Y8" s="5"/>
      <c r="Z8" s="254">
        <f>+'P&amp;L'!AA77</f>
        <v>15.841000000000005</v>
      </c>
      <c r="AA8" s="168">
        <f>27.003-Z8</f>
        <v>11.161999999999995</v>
      </c>
      <c r="AB8" s="168">
        <f>46.267-AA8-Z8</f>
        <v>19.263999999999999</v>
      </c>
      <c r="AC8" s="168">
        <f>66.716-AB8-AA8-Z8</f>
        <v>20.449000000000002</v>
      </c>
      <c r="AD8" s="168">
        <f>SUM(Z8:AC8)</f>
        <v>66.715999999999994</v>
      </c>
      <c r="AE8" s="5"/>
      <c r="AF8" s="254">
        <f>+'P&amp;L'!AG77</f>
        <v>20.984000000000002</v>
      </c>
      <c r="AG8" s="254">
        <f>49.476-AF8</f>
        <v>28.491999999999997</v>
      </c>
      <c r="AH8" s="254">
        <f>49.132-AG8-AF8</f>
        <v>-0.34400000000000119</v>
      </c>
      <c r="AI8" s="254">
        <f>58.691-AH8-AG8-AF8</f>
        <v>9.5590000000000046</v>
      </c>
      <c r="AJ8" s="254">
        <f>SUM(AF8:AI8)</f>
        <v>58.691000000000003</v>
      </c>
      <c r="AK8" s="5"/>
      <c r="AL8" s="254">
        <f>+'P&amp;L'!AM77</f>
        <v>-41.982999999999997</v>
      </c>
      <c r="AM8" s="254">
        <f>-12.663-AL8</f>
        <v>29.319999999999997</v>
      </c>
      <c r="AN8" s="254">
        <f>+'P&amp;L'!AO77</f>
        <v>34.536999999999999</v>
      </c>
      <c r="AO8" s="254">
        <f>64.295-AN8-AM8-AL8</f>
        <v>42.421000000000006</v>
      </c>
      <c r="AP8" s="254">
        <f>SUM(AL8:AO8)</f>
        <v>64.295000000000002</v>
      </c>
      <c r="AQ8" s="5"/>
      <c r="AR8" s="254">
        <f>+'P&amp;L'!AS77</f>
        <v>32.444000000000003</v>
      </c>
      <c r="AS8" s="254">
        <f>+'P&amp;L'!AT77</f>
        <v>35.6</v>
      </c>
      <c r="AT8" s="254">
        <f>+'P&amp;L'!AU77</f>
        <v>38.247</v>
      </c>
      <c r="AU8" s="254">
        <f>+'P&amp;L'!AV77</f>
        <v>39.540999999999983</v>
      </c>
      <c r="AV8" s="168">
        <f>SUM(AR8:AU8)</f>
        <v>145.83199999999999</v>
      </c>
      <c r="AW8" s="5"/>
      <c r="AX8" s="254">
        <f>+'P&amp;L'!AY77</f>
        <v>36.177</v>
      </c>
      <c r="AY8" s="254">
        <f>+'P&amp;L'!AZ77</f>
        <v>31.35</v>
      </c>
      <c r="AZ8" s="254">
        <f>+'P&amp;L'!BA77</f>
        <v>27.616</v>
      </c>
      <c r="BA8" s="254">
        <f>+'P&amp;L'!BB77</f>
        <v>48.877000000000002</v>
      </c>
      <c r="BB8" s="168">
        <f>SUM(AX8:BA8)</f>
        <v>144.02000000000001</v>
      </c>
      <c r="BC8" s="5"/>
      <c r="BD8" s="254">
        <f>+'P&amp;L'!BE77</f>
        <v>40.545999999999999</v>
      </c>
      <c r="BE8" s="254">
        <f>+'P&amp;L'!BF77</f>
        <v>50.148000000000003</v>
      </c>
      <c r="BF8" s="254">
        <f>+'P&amp;L'!BG77</f>
        <v>51.366999999999997</v>
      </c>
      <c r="BG8" s="254">
        <f>+'P&amp;L'!BH77</f>
        <v>47.621000000000002</v>
      </c>
      <c r="BH8" s="168">
        <f>SUM(BD8:BG8)</f>
        <v>189.68200000000002</v>
      </c>
      <c r="BI8" s="5"/>
      <c r="BJ8" s="254">
        <f>+'P&amp;L'!BK77</f>
        <v>69.42</v>
      </c>
      <c r="BK8" s="254">
        <f>+'P&amp;L'!BL77</f>
        <v>69.179000000000002</v>
      </c>
      <c r="BL8" s="254">
        <f>+'P&amp;L'!BM77</f>
        <v>82.555000000000007</v>
      </c>
      <c r="BM8" s="254">
        <f>+'P&amp;L'!BN77</f>
        <v>10.263999999999999</v>
      </c>
      <c r="BN8" s="168">
        <f>SUM(BJ8:BM8)</f>
        <v>231.41800000000001</v>
      </c>
      <c r="BO8" s="5"/>
      <c r="BP8" s="254">
        <f>+'P&amp;L'!BQ77</f>
        <v>95.866</v>
      </c>
      <c r="BQ8" s="254">
        <f>+'P&amp;L'!BR77</f>
        <v>97.245802292294272</v>
      </c>
      <c r="BR8" s="254">
        <f>+'P&amp;L'!BS77</f>
        <v>97.160037017123003</v>
      </c>
      <c r="BS8" s="254">
        <f>+'P&amp;L'!BT77</f>
        <v>109.69888854810318</v>
      </c>
      <c r="BT8" s="168">
        <f>SUM(BP8:BS8)</f>
        <v>399.97072785752044</v>
      </c>
      <c r="BU8" s="5"/>
      <c r="BV8" s="254">
        <f>+'P&amp;L'!BW77</f>
        <v>107.63669769767534</v>
      </c>
      <c r="BW8" s="254">
        <f>+'P&amp;L'!BX77</f>
        <v>126.64524059714589</v>
      </c>
      <c r="BX8" s="254">
        <f>+'P&amp;L'!BY77</f>
        <v>138.7547347725033</v>
      </c>
      <c r="BY8" s="254">
        <f>+'P&amp;L'!BZ77</f>
        <v>153.90192801793552</v>
      </c>
      <c r="BZ8" s="168">
        <f>SUM(BV8:BY8)</f>
        <v>526.93860108525996</v>
      </c>
      <c r="CA8" s="5"/>
      <c r="CB8" s="254">
        <f>+'P&amp;L'!CC77</f>
        <v>153.84467911750437</v>
      </c>
      <c r="CC8" s="254">
        <f>+'P&amp;L'!CD77</f>
        <v>176.02213955458916</v>
      </c>
      <c r="CD8" s="254">
        <f>+'P&amp;L'!CE77</f>
        <v>193.51802238499693</v>
      </c>
      <c r="CE8" s="254">
        <f>+'P&amp;L'!CF77</f>
        <v>212.29683881279286</v>
      </c>
      <c r="CF8" s="168">
        <f>SUM(CB8:CE8)</f>
        <v>735.68167986988328</v>
      </c>
      <c r="CG8" s="168"/>
    </row>
    <row r="9" spans="1:85" x14ac:dyDescent="0.2">
      <c r="A9" s="7" t="s">
        <v>139</v>
      </c>
      <c r="B9" s="169">
        <v>0</v>
      </c>
      <c r="C9" s="169">
        <f>0-B9</f>
        <v>0</v>
      </c>
      <c r="D9" s="169">
        <f>0-SUM(B9:C9)</f>
        <v>0</v>
      </c>
      <c r="E9" s="169">
        <f>0-SUM(B9:D9)</f>
        <v>0</v>
      </c>
      <c r="F9" s="83">
        <f t="shared" ref="F9:F15" si="0">SUM(B9:E9)</f>
        <v>0</v>
      </c>
      <c r="G9" s="168"/>
      <c r="H9" s="169">
        <v>0</v>
      </c>
      <c r="I9" s="169">
        <f>0-H9</f>
        <v>0</v>
      </c>
      <c r="J9" s="169">
        <f>0-SUM(H9:I9)</f>
        <v>0</v>
      </c>
      <c r="K9" s="169">
        <f>-64.608-SUM(H9:J9)</f>
        <v>-64.608000000000004</v>
      </c>
      <c r="L9" s="83">
        <f t="shared" ref="L9:L15" si="1">SUM(H9:K9)</f>
        <v>-64.608000000000004</v>
      </c>
      <c r="M9" s="168"/>
      <c r="N9" s="169">
        <v>0.56299999999999994</v>
      </c>
      <c r="O9" s="169">
        <f>0.563-N9</f>
        <v>0</v>
      </c>
      <c r="P9" s="169">
        <f>0.74-SUM(N9:O9)</f>
        <v>0.17700000000000005</v>
      </c>
      <c r="Q9" s="169">
        <f>-2.612-SUM(N9:P9)</f>
        <v>-3.3520000000000003</v>
      </c>
      <c r="R9" s="83">
        <f t="shared" ref="R9:R15" si="2">SUM(N9:Q9)</f>
        <v>-2.6120000000000001</v>
      </c>
      <c r="S9" s="168"/>
      <c r="T9" s="169">
        <v>4.9749999999999996</v>
      </c>
      <c r="U9" s="169">
        <f>17.364-T9</f>
        <v>12.389000000000001</v>
      </c>
      <c r="V9" s="169">
        <f>17.631-SUM(T9:U9)</f>
        <v>0.26699999999999946</v>
      </c>
      <c r="W9" s="169">
        <f>17.307-SUM(T9:V9)</f>
        <v>-0.32400000000000162</v>
      </c>
      <c r="X9" s="83">
        <f t="shared" ref="X9:X15" si="3">SUM(T9:W9)</f>
        <v>17.306999999999999</v>
      </c>
      <c r="Y9" s="5"/>
      <c r="Z9" s="235">
        <v>3.9830000000000001</v>
      </c>
      <c r="AA9" s="169">
        <f>7.905-Z9</f>
        <v>3.9220000000000002</v>
      </c>
      <c r="AB9" s="169">
        <v>5.6009999999999991</v>
      </c>
      <c r="AC9" s="169">
        <v>-7.6639999999999997</v>
      </c>
      <c r="AD9" s="83">
        <f t="shared" ref="AD9:AD16" si="4">SUM(Z9:AC9)</f>
        <v>5.8420000000000005</v>
      </c>
      <c r="AE9" s="52"/>
      <c r="AF9" s="235">
        <v>4.726</v>
      </c>
      <c r="AG9" s="235">
        <f>9.228-AF9</f>
        <v>4.5019999999999998</v>
      </c>
      <c r="AH9" s="169">
        <f>13.165-AG9-AF9</f>
        <v>3.9370000000000003</v>
      </c>
      <c r="AI9" s="169">
        <f>17.783-AH9-AG9-AF9</f>
        <v>4.6180000000000012</v>
      </c>
      <c r="AJ9" s="177">
        <f t="shared" ref="AJ9:AJ16" si="5">SUM(AF9:AI9)</f>
        <v>17.783000000000001</v>
      </c>
      <c r="AK9" s="52"/>
      <c r="AL9" s="235">
        <v>0.93100000000000005</v>
      </c>
      <c r="AM9" s="235">
        <f>6.272-AL9</f>
        <v>5.3410000000000002</v>
      </c>
      <c r="AN9" s="169">
        <f>14.501-AM9-AL9</f>
        <v>8.2289999999999992</v>
      </c>
      <c r="AO9" s="169">
        <f>21.204-AN9-AM9-AL9</f>
        <v>6.7030000000000012</v>
      </c>
      <c r="AP9" s="177">
        <f t="shared" ref="AP9:AP16" si="6">SUM(AL9:AO9)</f>
        <v>21.204000000000001</v>
      </c>
      <c r="AQ9" s="52"/>
      <c r="AR9" s="235">
        <v>12.769</v>
      </c>
      <c r="AS9" s="235">
        <f>17.496-AR9</f>
        <v>4.7269999999999985</v>
      </c>
      <c r="AT9" s="235">
        <f>20.87-AS9-AR9</f>
        <v>3.3740000000000006</v>
      </c>
      <c r="AU9" s="639">
        <f>25.481-SUM(AR9:AT9)</f>
        <v>4.6110000000000042</v>
      </c>
      <c r="AV9" s="177">
        <f>SUM(AR9:AU9)</f>
        <v>25.481000000000002</v>
      </c>
      <c r="AW9" s="52"/>
      <c r="AX9" s="639">
        <v>0.29099999999999998</v>
      </c>
      <c r="AY9" s="639">
        <f>0.297-AX9</f>
        <v>6.0000000000000053E-3</v>
      </c>
      <c r="AZ9" s="639">
        <f>4.017-SUM(AX9:AY9)</f>
        <v>3.72</v>
      </c>
      <c r="BA9" s="639">
        <f>-11.424-SUM(AX9:AZ9)</f>
        <v>-15.440999999999999</v>
      </c>
      <c r="BB9" s="177">
        <f>SUM(AX9:BA9)</f>
        <v>-11.423999999999999</v>
      </c>
      <c r="BC9" s="52"/>
      <c r="BD9" s="639">
        <v>-6.1130000000000004</v>
      </c>
      <c r="BE9" s="639">
        <f>-8.608-BD9</f>
        <v>-2.4950000000000001</v>
      </c>
      <c r="BF9" s="639">
        <f>-17.476-SUM(BD9:BE9)</f>
        <v>-8.8679999999999986</v>
      </c>
      <c r="BG9" s="639">
        <f>-16.401-SUM(BD9:BF9)</f>
        <v>1.0749999999999993</v>
      </c>
      <c r="BH9" s="177">
        <f>SUM(BD9:BG9)</f>
        <v>-16.401</v>
      </c>
      <c r="BI9" s="52"/>
      <c r="BJ9" s="639">
        <v>7.7889999999999997</v>
      </c>
      <c r="BK9" s="639">
        <f>6.145-BJ9</f>
        <v>-1.6440000000000001</v>
      </c>
      <c r="BL9" s="639">
        <f>-5.481-SUM(BJ9:BK9)</f>
        <v>-11.625999999999999</v>
      </c>
      <c r="BM9" s="639">
        <f>17.572-SUM(BJ9:BL9)</f>
        <v>23.052999999999997</v>
      </c>
      <c r="BN9" s="177">
        <f>SUM(BJ9:BM9)</f>
        <v>17.571999999999996</v>
      </c>
      <c r="BO9" s="52"/>
      <c r="BP9" s="177">
        <f>+'Bal Sht'!BO20-'Bal Sht'!BQ20</f>
        <v>-19.92377353936719</v>
      </c>
      <c r="BQ9" s="177">
        <f>+'Bal Sht'!BQ20-'Bal Sht'!BR20</f>
        <v>-3.6346070867194129</v>
      </c>
      <c r="BR9" s="177">
        <f>+'Bal Sht'!BR20-'Bal Sht'!BS20</f>
        <v>-11.59678069334899</v>
      </c>
      <c r="BS9" s="177">
        <f>+'Bal Sht'!BS20-'Bal Sht'!BT20</f>
        <v>31.430303585204477</v>
      </c>
      <c r="BT9" s="177">
        <f>SUM(BP9:BS9)</f>
        <v>-3.7248577342311151</v>
      </c>
      <c r="BU9" s="52"/>
      <c r="BV9" s="177">
        <f>+'Bal Sht'!BU20-'Bal Sht'!BW20</f>
        <v>-18.973630128507899</v>
      </c>
      <c r="BW9" s="177">
        <f>+'Bal Sht'!BW20-'Bal Sht'!BX20</f>
        <v>-5.3742781823410866</v>
      </c>
      <c r="BX9" s="177">
        <f>+'Bal Sht'!BX20-'Bal Sht'!BY20</f>
        <v>-13.52354198213142</v>
      </c>
      <c r="BY9" s="177">
        <f>+'Bal Sht'!BY20-'Bal Sht'!BZ20</f>
        <v>39.17517213519389</v>
      </c>
      <c r="BZ9" s="177">
        <f>SUM(BV9:BY9)</f>
        <v>1.3037218422134842</v>
      </c>
      <c r="CA9" s="52"/>
      <c r="CB9" s="177">
        <f>+'Bal Sht'!CA20-'Bal Sht'!CC20</f>
        <v>-19.29243083074897</v>
      </c>
      <c r="CC9" s="177">
        <f>+'Bal Sht'!CC20-'Bal Sht'!CD20</f>
        <v>-3.6414485966657679</v>
      </c>
      <c r="CD9" s="177">
        <f>+'Bal Sht'!CD20-'Bal Sht'!CE20</f>
        <v>-15.586565175808062</v>
      </c>
      <c r="CE9" s="177">
        <f>+'Bal Sht'!CE20-'Bal Sht'!CF20</f>
        <v>46.150241946967093</v>
      </c>
      <c r="CF9" s="177">
        <f>SUM(CB9:CE9)</f>
        <v>7.6297973437442934</v>
      </c>
      <c r="CG9" s="177"/>
    </row>
    <row r="10" spans="1:85" x14ac:dyDescent="0.2">
      <c r="A10" s="7" t="s">
        <v>273</v>
      </c>
      <c r="B10" s="235">
        <v>2.552</v>
      </c>
      <c r="C10" s="169">
        <f>5.211-B10</f>
        <v>2.6590000000000003</v>
      </c>
      <c r="D10" s="169">
        <f>7.838-SUM(B10:C10)</f>
        <v>2.6269999999999998</v>
      </c>
      <c r="E10" s="169">
        <f>10.176-SUM(B10:D10)</f>
        <v>2.3380000000000001</v>
      </c>
      <c r="F10" s="83">
        <f t="shared" si="0"/>
        <v>10.176</v>
      </c>
      <c r="G10" s="62"/>
      <c r="H10" s="235">
        <v>2.3530000000000002</v>
      </c>
      <c r="I10" s="169">
        <f>4.803-H10</f>
        <v>2.4499999999999997</v>
      </c>
      <c r="J10" s="169">
        <f>7.365-SUM(H10:I10)</f>
        <v>2.5620000000000003</v>
      </c>
      <c r="K10" s="169">
        <f>9.964-SUM(H10:J10)</f>
        <v>2.5990000000000002</v>
      </c>
      <c r="L10" s="83">
        <f t="shared" si="1"/>
        <v>9.9640000000000004</v>
      </c>
      <c r="M10" s="62"/>
      <c r="N10" s="235">
        <v>2.4430000000000001</v>
      </c>
      <c r="O10" s="169">
        <f>4.979-N10</f>
        <v>2.536</v>
      </c>
      <c r="P10" s="169">
        <f>7.582-SUM(N10:O10)</f>
        <v>2.6029999999999998</v>
      </c>
      <c r="Q10" s="169">
        <f>10.204-SUM(N10:P10)</f>
        <v>2.6220000000000008</v>
      </c>
      <c r="R10" s="83">
        <f t="shared" si="2"/>
        <v>10.204000000000001</v>
      </c>
      <c r="S10" s="62"/>
      <c r="T10" s="235">
        <v>2.944</v>
      </c>
      <c r="U10" s="169">
        <f>5.955-T10</f>
        <v>3.0110000000000001</v>
      </c>
      <c r="V10" s="169">
        <f>8.694-SUM(T10:U10)</f>
        <v>2.7390000000000008</v>
      </c>
      <c r="W10" s="169">
        <f>11.386-SUM(T10:V10)</f>
        <v>2.6919999999999984</v>
      </c>
      <c r="X10" s="83">
        <f t="shared" si="3"/>
        <v>11.385999999999999</v>
      </c>
      <c r="Y10" s="62"/>
      <c r="Z10" s="235">
        <v>2.9790000000000001</v>
      </c>
      <c r="AA10" s="169">
        <f>6.109-Z10</f>
        <v>3.13</v>
      </c>
      <c r="AB10" s="169">
        <v>2.99</v>
      </c>
      <c r="AC10" s="169">
        <v>3.0129999999999999</v>
      </c>
      <c r="AD10" s="83">
        <f t="shared" si="4"/>
        <v>12.112</v>
      </c>
      <c r="AE10" s="336"/>
      <c r="AF10" s="235">
        <v>2.7530000000000001</v>
      </c>
      <c r="AG10" s="235">
        <f>5.905-AF10</f>
        <v>3.1520000000000001</v>
      </c>
      <c r="AH10" s="169">
        <f>9.214-AG10-AF10</f>
        <v>3.3090000000000002</v>
      </c>
      <c r="AI10" s="169">
        <f>13.44-AH10-AG10-AF10</f>
        <v>4.226</v>
      </c>
      <c r="AJ10" s="177">
        <f t="shared" si="5"/>
        <v>13.440000000000001</v>
      </c>
      <c r="AK10" s="336"/>
      <c r="AL10" s="235">
        <v>3.855</v>
      </c>
      <c r="AM10" s="235">
        <f>7.087-AL10</f>
        <v>3.2319999999999998</v>
      </c>
      <c r="AN10" s="169">
        <f>12.647-AM10-AL10</f>
        <v>5.5600000000000005</v>
      </c>
      <c r="AO10" s="169">
        <f>13.887-AN10-AM10-AL10</f>
        <v>1.2400000000000007</v>
      </c>
      <c r="AP10" s="177">
        <f t="shared" si="6"/>
        <v>13.887</v>
      </c>
      <c r="AQ10" s="336"/>
      <c r="AR10" s="235">
        <v>4.7759999999999998</v>
      </c>
      <c r="AS10" s="235">
        <f>9.13-AR10</f>
        <v>4.354000000000001</v>
      </c>
      <c r="AT10" s="235">
        <f>13.469-AS10-AR10</f>
        <v>4.3389999999999986</v>
      </c>
      <c r="AU10" s="639">
        <f>17.856-SUM(AR10:AT10)</f>
        <v>4.3870000000000022</v>
      </c>
      <c r="AV10" s="177">
        <f t="shared" ref="AV10:AV16" si="7">SUM(AR10:AU10)</f>
        <v>17.856000000000002</v>
      </c>
      <c r="AW10" s="336"/>
      <c r="AX10" s="639">
        <v>4.3079999999999998</v>
      </c>
      <c r="AY10" s="639">
        <f>8.638-AX10</f>
        <v>4.33</v>
      </c>
      <c r="AZ10" s="639">
        <f>13.141-SUM(AX10:AY10)</f>
        <v>4.5030000000000001</v>
      </c>
      <c r="BA10" s="639">
        <f>18.004-SUM(AX10:AZ10)</f>
        <v>4.8630000000000013</v>
      </c>
      <c r="BB10" s="177">
        <f t="shared" ref="BB10:BB16" si="8">SUM(AX10:BA10)</f>
        <v>18.004000000000001</v>
      </c>
      <c r="BC10" s="336"/>
      <c r="BD10" s="639">
        <v>4.7919999999999998</v>
      </c>
      <c r="BE10" s="639">
        <f>9.885-BD10</f>
        <v>5.093</v>
      </c>
      <c r="BF10" s="639">
        <f>16.786-SUM(BD10:BE10)</f>
        <v>6.9010000000000016</v>
      </c>
      <c r="BG10" s="639">
        <f>24.002-SUM(BD10:BF10)</f>
        <v>7.2159999999999975</v>
      </c>
      <c r="BH10" s="177">
        <f t="shared" ref="BH10:BH16" si="9">SUM(BD10:BG10)</f>
        <v>24.001999999999999</v>
      </c>
      <c r="BI10" s="336"/>
      <c r="BJ10" s="639">
        <v>7.867</v>
      </c>
      <c r="BK10" s="639">
        <f>16.743-BJ10</f>
        <v>8.8759999999999977</v>
      </c>
      <c r="BL10" s="639">
        <f>26.715-SUM(BJ10:BK10)</f>
        <v>9.9720000000000013</v>
      </c>
      <c r="BM10" s="639">
        <f>37.739-SUM(BJ10:BL10)</f>
        <v>11.023999999999997</v>
      </c>
      <c r="BN10" s="177">
        <f t="shared" ref="BN10:BN16" si="10">SUM(BJ10:BM10)</f>
        <v>37.738999999999997</v>
      </c>
      <c r="BO10" s="336"/>
      <c r="BP10" s="177">
        <f>-'Bal Sht'!BQ117</f>
        <v>11.932335</v>
      </c>
      <c r="BQ10" s="177">
        <f>-'Bal Sht'!BR117</f>
        <v>13.505261399999998</v>
      </c>
      <c r="BR10" s="177">
        <f>-'Bal Sht'!BS117</f>
        <v>15.23831169065471</v>
      </c>
      <c r="BS10" s="177">
        <f>-'Bal Sht'!BT117</f>
        <v>17.010370456165951</v>
      </c>
      <c r="BT10" s="177">
        <f t="shared" ref="BT10:BT16" si="11">SUM(BP10:BS10)</f>
        <v>57.68627854682066</v>
      </c>
      <c r="BU10" s="336"/>
      <c r="BV10" s="177">
        <f>-'Bal Sht'!BW117</f>
        <v>18.954910369523656</v>
      </c>
      <c r="BW10" s="177">
        <f>-'Bal Sht'!BX117</f>
        <v>20.146963093409564</v>
      </c>
      <c r="BX10" s="177">
        <f>-'Bal Sht'!BY117</f>
        <v>21.498566383508582</v>
      </c>
      <c r="BY10" s="177">
        <f>-'Bal Sht'!BZ117</f>
        <v>22.867680350441766</v>
      </c>
      <c r="BZ10" s="177">
        <f t="shared" ref="BZ10:BZ16" si="12">SUM(BV10:BY10)</f>
        <v>83.468120196883575</v>
      </c>
      <c r="CA10" s="336"/>
      <c r="CB10" s="177">
        <f>-'Bal Sht'!CC117</f>
        <v>24.370620248641401</v>
      </c>
      <c r="CC10" s="177">
        <f>-'Bal Sht'!CD117</f>
        <v>25.774279349927802</v>
      </c>
      <c r="CD10" s="177">
        <f>-'Bal Sht'!CE117</f>
        <v>27.348791683930862</v>
      </c>
      <c r="CE10" s="177">
        <f>-'Bal Sht'!CF117</f>
        <v>28.93975007220164</v>
      </c>
      <c r="CF10" s="177">
        <f t="shared" ref="CF10:CF16" si="13">SUM(CB10:CE10)</f>
        <v>106.4334413547017</v>
      </c>
      <c r="CG10" s="177"/>
    </row>
    <row r="11" spans="1:85" ht="12.75" hidden="1" customHeight="1" outlineLevel="1" x14ac:dyDescent="0.2">
      <c r="A11" s="7" t="s">
        <v>12</v>
      </c>
      <c r="B11" s="235">
        <f>2.522+0.845</f>
        <v>3.367</v>
      </c>
      <c r="C11" s="235">
        <f>5.387-B11</f>
        <v>2.0199999999999996</v>
      </c>
      <c r="D11" s="169">
        <f>8.775-SUM(B11:C11)</f>
        <v>3.3880000000000008</v>
      </c>
      <c r="E11" s="169">
        <f>12.211-SUM(B11:D11)</f>
        <v>3.4359999999999999</v>
      </c>
      <c r="F11" s="177">
        <f t="shared" si="0"/>
        <v>12.211</v>
      </c>
      <c r="G11" s="236"/>
      <c r="H11" s="235">
        <v>4.0110000000000001</v>
      </c>
      <c r="I11" s="235">
        <f>8.786-H11</f>
        <v>4.7749999999999995</v>
      </c>
      <c r="J11" s="169">
        <f>13.176-SUM(H11:I11)</f>
        <v>4.3900000000000006</v>
      </c>
      <c r="K11" s="169">
        <f>17.057+0.678-SUM(H11:J11)</f>
        <v>4.5589999999999993</v>
      </c>
      <c r="L11" s="177">
        <f t="shared" si="1"/>
        <v>17.734999999999999</v>
      </c>
      <c r="M11" s="236"/>
      <c r="N11" s="235">
        <v>3.7149999999999999</v>
      </c>
      <c r="O11" s="235">
        <f>8.024-N11</f>
        <v>4.3089999999999993</v>
      </c>
      <c r="P11" s="169">
        <f>12.011-SUM(N11:O11)</f>
        <v>3.9870000000000001</v>
      </c>
      <c r="Q11" s="169">
        <f>15.088-SUM(N11:P11)</f>
        <v>3.077</v>
      </c>
      <c r="R11" s="177">
        <f t="shared" si="2"/>
        <v>15.087999999999999</v>
      </c>
      <c r="S11" s="236"/>
      <c r="T11" s="235">
        <v>3.4729999999999999</v>
      </c>
      <c r="U11" s="235">
        <f>7.724-T11</f>
        <v>4.2510000000000003</v>
      </c>
      <c r="V11" s="169">
        <f>12.138-SUM(T11:U11)</f>
        <v>4.4139999999999997</v>
      </c>
      <c r="W11" s="169">
        <f>16.072-SUM(T11:V11)</f>
        <v>3.9339999999999993</v>
      </c>
      <c r="X11" s="177">
        <f t="shared" si="3"/>
        <v>16.071999999999999</v>
      </c>
      <c r="Y11" s="236"/>
      <c r="Z11" s="235">
        <v>4.2789999999999999</v>
      </c>
      <c r="AA11" s="235">
        <f>9.252-Z11</f>
        <v>4.9730000000000008</v>
      </c>
      <c r="AB11" s="169">
        <v>4.9539999999999988</v>
      </c>
      <c r="AC11" s="169">
        <v>4.9589999999999996</v>
      </c>
      <c r="AD11" s="177">
        <f t="shared" si="4"/>
        <v>19.164999999999999</v>
      </c>
      <c r="AE11" s="236"/>
      <c r="AF11" s="235">
        <v>4.8630000000000004</v>
      </c>
      <c r="AG11" s="235">
        <f>10.142-AF11</f>
        <v>5.278999999999999</v>
      </c>
      <c r="AH11" s="169">
        <f>15.504-AG11-AF11</f>
        <v>5.362000000000001</v>
      </c>
      <c r="AI11" s="169">
        <f>21.483-AH11-AG11-AF11</f>
        <v>5.9789999999999983</v>
      </c>
      <c r="AJ11" s="177">
        <f t="shared" si="5"/>
        <v>21.483000000000001</v>
      </c>
      <c r="AK11" s="236"/>
      <c r="AL11" s="235">
        <v>6.41</v>
      </c>
      <c r="AM11" s="235">
        <f>13.675-AL11</f>
        <v>7.2650000000000006</v>
      </c>
      <c r="AN11" s="169">
        <f>21.265-AM11-AL11</f>
        <v>7.59</v>
      </c>
      <c r="AO11" s="169">
        <f>26.438-AN11-AM11-AL11</f>
        <v>5.1729999999999983</v>
      </c>
      <c r="AP11" s="177">
        <f t="shared" si="6"/>
        <v>26.437999999999999</v>
      </c>
      <c r="AQ11" s="236"/>
      <c r="AR11" s="235">
        <v>9.1319999999999997</v>
      </c>
      <c r="AS11" s="235">
        <f>19.438-AR11</f>
        <v>10.305999999999999</v>
      </c>
      <c r="AT11" s="235">
        <f>29.348-AS11-AR11</f>
        <v>9.9100000000000019</v>
      </c>
      <c r="AU11" s="639">
        <f>39.823-SUM(AR11:AT11)</f>
        <v>10.475000000000001</v>
      </c>
      <c r="AV11" s="177">
        <f t="shared" si="7"/>
        <v>39.823</v>
      </c>
      <c r="AW11" s="236"/>
      <c r="AX11" s="639">
        <v>11.648</v>
      </c>
      <c r="AY11" s="639">
        <f>24.474-AX11</f>
        <v>12.826000000000001</v>
      </c>
      <c r="AZ11" s="639">
        <f>39.135-SUM(AX11:AY11)</f>
        <v>14.660999999999998</v>
      </c>
      <c r="BA11" s="639">
        <f>52.943-SUM(AX11:AZ11)</f>
        <v>13.808</v>
      </c>
      <c r="BB11" s="177">
        <f t="shared" si="8"/>
        <v>52.942999999999998</v>
      </c>
      <c r="BC11" s="236"/>
      <c r="BD11" s="639">
        <v>12.523999999999999</v>
      </c>
      <c r="BE11" s="639">
        <f>26.223-BD11</f>
        <v>13.699</v>
      </c>
      <c r="BF11" s="639">
        <f>39.934-SUM(BD11:BE11)</f>
        <v>13.710999999999999</v>
      </c>
      <c r="BG11" s="639">
        <f>54.148-SUM(BD11:BF11)</f>
        <v>14.214000000000006</v>
      </c>
      <c r="BH11" s="177">
        <f t="shared" si="9"/>
        <v>54.148000000000003</v>
      </c>
      <c r="BI11" s="236"/>
      <c r="BJ11" s="639">
        <v>14.811999999999999</v>
      </c>
      <c r="BK11" s="639">
        <f>29.057-BJ11</f>
        <v>14.244999999999999</v>
      </c>
      <c r="BL11" s="639">
        <f>44.024-SUM(BJ11:BK11)</f>
        <v>14.967000000000002</v>
      </c>
      <c r="BM11" s="639">
        <f>58.854-SUM(BJ11:BL11)</f>
        <v>14.829999999999998</v>
      </c>
      <c r="BN11" s="177">
        <f t="shared" si="10"/>
        <v>58.853999999999999</v>
      </c>
      <c r="BO11" s="236"/>
      <c r="BP11" s="177">
        <f>+BP98</f>
        <v>16.936599999999999</v>
      </c>
      <c r="BQ11" s="177">
        <f>+BQ98</f>
        <v>18.473989148823364</v>
      </c>
      <c r="BR11" s="177">
        <f>+BR98</f>
        <v>18.383696196312254</v>
      </c>
      <c r="BS11" s="177">
        <f>+BS98</f>
        <v>19.987586628286437</v>
      </c>
      <c r="BT11" s="177">
        <f t="shared" si="11"/>
        <v>73.781871973422056</v>
      </c>
      <c r="BU11" s="236"/>
      <c r="BV11" s="177">
        <f>+BV98</f>
        <v>19.983558548066419</v>
      </c>
      <c r="BW11" s="177">
        <f>+BW98</f>
        <v>22.370899005885924</v>
      </c>
      <c r="BX11" s="177">
        <f>+BX98</f>
        <v>22.034566366931237</v>
      </c>
      <c r="BY11" s="177">
        <f>+BY98</f>
        <v>24.096022302261257</v>
      </c>
      <c r="BZ11" s="177">
        <f t="shared" si="12"/>
        <v>88.485046223144835</v>
      </c>
      <c r="CA11" s="236"/>
      <c r="CB11" s="177">
        <f>+CB98</f>
        <v>22.950074558752448</v>
      </c>
      <c r="CC11" s="177">
        <f>+CC98</f>
        <v>25.460142949649189</v>
      </c>
      <c r="CD11" s="177">
        <f>+CD98</f>
        <v>24.960996724820884</v>
      </c>
      <c r="CE11" s="177">
        <f>+CE98</f>
        <v>27.201282372755987</v>
      </c>
      <c r="CF11" s="177">
        <f t="shared" si="13"/>
        <v>100.5724966059785</v>
      </c>
      <c r="CG11" s="177"/>
    </row>
    <row r="12" spans="1:85" collapsed="1" x14ac:dyDescent="0.2">
      <c r="A12" s="7" t="s">
        <v>204</v>
      </c>
      <c r="B12" s="235">
        <v>0</v>
      </c>
      <c r="C12" s="169">
        <f>1.791-B12</f>
        <v>1.7909999999999999</v>
      </c>
      <c r="D12" s="169">
        <f>2.5-SUM(B12:C12)</f>
        <v>0.70900000000000007</v>
      </c>
      <c r="E12" s="169">
        <f>3.209-SUM(B12:D12)</f>
        <v>0.70900000000000007</v>
      </c>
      <c r="F12" s="83">
        <f t="shared" si="0"/>
        <v>3.2090000000000001</v>
      </c>
      <c r="G12" s="63"/>
      <c r="H12" s="235">
        <v>0.70899999999999996</v>
      </c>
      <c r="I12" s="169">
        <f>1.418-H12</f>
        <v>0.70899999999999996</v>
      </c>
      <c r="J12" s="169">
        <f>2.127-SUM(H12:I12)</f>
        <v>0.70899999999999985</v>
      </c>
      <c r="K12" s="169">
        <f>2.827-SUM(H12:J12)</f>
        <v>0.70000000000000018</v>
      </c>
      <c r="L12" s="83">
        <f t="shared" si="1"/>
        <v>2.827</v>
      </c>
      <c r="M12" s="63"/>
      <c r="N12" s="235">
        <v>0.7</v>
      </c>
      <c r="O12" s="169">
        <f>1.4-N12</f>
        <v>0.7</v>
      </c>
      <c r="P12" s="169">
        <f>2.1-SUM(N12:O12)</f>
        <v>0.70000000000000018</v>
      </c>
      <c r="Q12" s="169">
        <f>2.8-SUM(N12:P12)</f>
        <v>0.69999999999999973</v>
      </c>
      <c r="R12" s="83">
        <f t="shared" si="2"/>
        <v>2.8</v>
      </c>
      <c r="S12" s="63"/>
      <c r="T12" s="235">
        <v>0.7</v>
      </c>
      <c r="U12" s="169">
        <f>1.4-T12</f>
        <v>0.7</v>
      </c>
      <c r="V12" s="169">
        <f>2.1-SUM(T12:U12)</f>
        <v>0.70000000000000018</v>
      </c>
      <c r="W12" s="169">
        <f>2.8-SUM(T12:V12)</f>
        <v>0.69999999999999973</v>
      </c>
      <c r="X12" s="83">
        <f t="shared" si="3"/>
        <v>2.8</v>
      </c>
      <c r="Y12" s="63"/>
      <c r="Z12" s="235">
        <v>0.7</v>
      </c>
      <c r="AA12" s="169">
        <f>2.175-Z12</f>
        <v>1.4749999999999999</v>
      </c>
      <c r="AB12" s="169">
        <v>1.8330000000000004</v>
      </c>
      <c r="AC12" s="169">
        <v>1.3570000000000004</v>
      </c>
      <c r="AD12" s="83">
        <f t="shared" si="4"/>
        <v>5.3650000000000002</v>
      </c>
      <c r="AE12" s="236"/>
      <c r="AF12" s="235">
        <v>1.1459999999999999</v>
      </c>
      <c r="AG12" s="235">
        <f>2.246-AF12</f>
        <v>1.1000000000000001</v>
      </c>
      <c r="AH12" s="169">
        <f>3.33-AG12-AF12+24.665</f>
        <v>25.748999999999999</v>
      </c>
      <c r="AI12" s="169">
        <f>4.371-AH12-AG12-AF12</f>
        <v>-23.624000000000002</v>
      </c>
      <c r="AJ12" s="177">
        <f t="shared" si="5"/>
        <v>4.3709999999999951</v>
      </c>
      <c r="AK12" s="236"/>
      <c r="AL12" s="235">
        <v>1.089</v>
      </c>
      <c r="AM12" s="235">
        <f>1.702-AL12</f>
        <v>0.61299999999999999</v>
      </c>
      <c r="AN12" s="169">
        <f>0-AM12-AL12</f>
        <v>-1.702</v>
      </c>
      <c r="AO12" s="169">
        <f>2.938-AN12-AM12-AL12</f>
        <v>2.9380000000000011</v>
      </c>
      <c r="AP12" s="177">
        <f t="shared" si="6"/>
        <v>2.9380000000000011</v>
      </c>
      <c r="AQ12" s="236"/>
      <c r="AR12" s="235">
        <v>0</v>
      </c>
      <c r="AS12" s="235">
        <f>0-AR12</f>
        <v>0</v>
      </c>
      <c r="AT12" s="235">
        <f>0-AS12-AR12</f>
        <v>0</v>
      </c>
      <c r="AU12" s="639">
        <f>0-SUM(AR12:AT12)</f>
        <v>0</v>
      </c>
      <c r="AV12" s="177">
        <f t="shared" si="7"/>
        <v>0</v>
      </c>
      <c r="AW12" s="236"/>
      <c r="AX12" s="639">
        <v>0</v>
      </c>
      <c r="AY12" s="639">
        <f>0-AX12</f>
        <v>0</v>
      </c>
      <c r="AZ12" s="639">
        <f>0-SUM(AX12:AY12)</f>
        <v>0</v>
      </c>
      <c r="BA12" s="639">
        <f>0-SUM(AX12:AZ12)</f>
        <v>0</v>
      </c>
      <c r="BB12" s="177">
        <f t="shared" si="8"/>
        <v>0</v>
      </c>
      <c r="BC12" s="236"/>
      <c r="BD12" s="639">
        <v>0</v>
      </c>
      <c r="BE12" s="639">
        <v>0</v>
      </c>
      <c r="BF12" s="639">
        <f t="shared" ref="BF12:BF14" si="14">0-SUM(BD12:BE12)</f>
        <v>0</v>
      </c>
      <c r="BG12" s="639">
        <f t="shared" ref="BG12:BG14" si="15">0-SUM(BD12:BF12)</f>
        <v>0</v>
      </c>
      <c r="BH12" s="177">
        <f t="shared" si="9"/>
        <v>0</v>
      </c>
      <c r="BI12" s="236"/>
      <c r="BJ12" s="639">
        <v>0</v>
      </c>
      <c r="BK12" s="639">
        <f t="shared" ref="BK12:BK15" si="16">0-BJ12</f>
        <v>0</v>
      </c>
      <c r="BL12" s="639">
        <f>0-SUM(BJ12:BK12)</f>
        <v>0</v>
      </c>
      <c r="BM12" s="639">
        <f t="shared" ref="BM12:BM15" si="17">0-SUM(BJ12:BL12)</f>
        <v>0</v>
      </c>
      <c r="BN12" s="177">
        <f t="shared" si="10"/>
        <v>0</v>
      </c>
      <c r="BO12" s="236"/>
      <c r="BP12" s="177">
        <f>-'Bal Sht'!BQ127</f>
        <v>0</v>
      </c>
      <c r="BQ12" s="177">
        <f>-'Bal Sht'!BR127</f>
        <v>0</v>
      </c>
      <c r="BR12" s="177">
        <f>-'Bal Sht'!BS127</f>
        <v>0</v>
      </c>
      <c r="BS12" s="177">
        <f>-'Bal Sht'!BT127</f>
        <v>0</v>
      </c>
      <c r="BT12" s="177">
        <f t="shared" si="11"/>
        <v>0</v>
      </c>
      <c r="BU12" s="236"/>
      <c r="BV12" s="177">
        <f>-'Bal Sht'!BW127</f>
        <v>0</v>
      </c>
      <c r="BW12" s="177">
        <f>-'Bal Sht'!BX127</f>
        <v>0</v>
      </c>
      <c r="BX12" s="177">
        <f>-'Bal Sht'!BY127</f>
        <v>0</v>
      </c>
      <c r="BY12" s="177">
        <f>-'Bal Sht'!BZ127</f>
        <v>0</v>
      </c>
      <c r="BZ12" s="177">
        <f t="shared" si="12"/>
        <v>0</v>
      </c>
      <c r="CA12" s="236"/>
      <c r="CB12" s="177">
        <f>-'Bal Sht'!CC127</f>
        <v>0</v>
      </c>
      <c r="CC12" s="177">
        <f>-'Bal Sht'!CD127</f>
        <v>0</v>
      </c>
      <c r="CD12" s="177">
        <f>-'Bal Sht'!CE127</f>
        <v>0</v>
      </c>
      <c r="CE12" s="177">
        <f>-'Bal Sht'!CF127</f>
        <v>0</v>
      </c>
      <c r="CF12" s="177">
        <f t="shared" si="13"/>
        <v>0</v>
      </c>
      <c r="CG12" s="177"/>
    </row>
    <row r="13" spans="1:85" x14ac:dyDescent="0.2">
      <c r="A13" s="7" t="s">
        <v>13</v>
      </c>
      <c r="B13" s="235">
        <v>-8.7999999999999995E-2</v>
      </c>
      <c r="C13" s="169">
        <f>-0.062-B13</f>
        <v>2.5999999999999995E-2</v>
      </c>
      <c r="D13" s="169">
        <f>0-SUM(B13:C13)</f>
        <v>6.2E-2</v>
      </c>
      <c r="E13" s="169">
        <f>0.046-SUM(B13:D13)</f>
        <v>4.5999999999999999E-2</v>
      </c>
      <c r="F13" s="83">
        <f t="shared" si="0"/>
        <v>4.5999999999999999E-2</v>
      </c>
      <c r="G13" s="63"/>
      <c r="H13" s="235">
        <v>-9.4E-2</v>
      </c>
      <c r="I13" s="169">
        <f>-0.152-H13</f>
        <v>-5.7999999999999996E-2</v>
      </c>
      <c r="J13" s="169">
        <f>0-SUM(H13:I13)</f>
        <v>0.152</v>
      </c>
      <c r="K13" s="169">
        <f>0.071-SUM(H13:J13)</f>
        <v>7.0999999999999994E-2</v>
      </c>
      <c r="L13" s="83">
        <f t="shared" si="1"/>
        <v>7.0999999999999994E-2</v>
      </c>
      <c r="M13" s="63"/>
      <c r="N13" s="235">
        <v>0.20100000000000001</v>
      </c>
      <c r="O13" s="169">
        <f>0.517-N13</f>
        <v>0.316</v>
      </c>
      <c r="P13" s="169">
        <f>0.958-SUM(N13:O13)</f>
        <v>0.44099999999999995</v>
      </c>
      <c r="Q13" s="169">
        <f>0.708-SUM(N13:P13)</f>
        <v>-0.25</v>
      </c>
      <c r="R13" s="83">
        <f t="shared" si="2"/>
        <v>0.70799999999999996</v>
      </c>
      <c r="S13" s="63"/>
      <c r="T13" s="235">
        <v>-0.2</v>
      </c>
      <c r="U13" s="169">
        <f>-0.15-T13</f>
        <v>5.0000000000000017E-2</v>
      </c>
      <c r="V13" s="169">
        <f>-0.01-SUM(T13:U13)</f>
        <v>0.13999999999999999</v>
      </c>
      <c r="W13" s="169">
        <f>0.195-SUM(T13:V13)</f>
        <v>0.20500000000000002</v>
      </c>
      <c r="X13" s="83">
        <f t="shared" si="3"/>
        <v>0.19500000000000001</v>
      </c>
      <c r="Y13" s="63"/>
      <c r="Z13" s="235">
        <v>-0.16200000000000001</v>
      </c>
      <c r="AA13" s="169">
        <f>-0.085-Z13</f>
        <v>7.6999999999999999E-2</v>
      </c>
      <c r="AB13" s="169">
        <v>-4.6000000000000013E-2</v>
      </c>
      <c r="AC13" s="169">
        <v>0.24800000000000005</v>
      </c>
      <c r="AD13" s="83">
        <f t="shared" si="4"/>
        <v>0.11700000000000005</v>
      </c>
      <c r="AE13" s="236"/>
      <c r="AF13" s="235">
        <v>-0.11899999999999999</v>
      </c>
      <c r="AG13" s="235">
        <f>0.31-AF13</f>
        <v>0.42899999999999999</v>
      </c>
      <c r="AH13" s="235">
        <f>-AG13-AF13</f>
        <v>-0.31</v>
      </c>
      <c r="AI13" s="235">
        <f>0-AH13-AG13-AF13</f>
        <v>0</v>
      </c>
      <c r="AJ13" s="177">
        <f t="shared" si="5"/>
        <v>0</v>
      </c>
      <c r="AK13" s="236"/>
      <c r="AL13" s="235">
        <v>-1.196</v>
      </c>
      <c r="AM13" s="235">
        <f>-1.081-AL13</f>
        <v>0.11499999999999999</v>
      </c>
      <c r="AN13" s="235">
        <f>1.2-AM13-AL13</f>
        <v>2.2809999999999997</v>
      </c>
      <c r="AO13" s="235">
        <f>0-AN13-AM13-AL13</f>
        <v>-1.2</v>
      </c>
      <c r="AP13" s="177">
        <f t="shared" si="6"/>
        <v>0</v>
      </c>
      <c r="AQ13" s="236"/>
      <c r="AR13" s="235">
        <v>0</v>
      </c>
      <c r="AS13" s="235">
        <f>0-AR13</f>
        <v>0</v>
      </c>
      <c r="AT13" s="235">
        <v>0</v>
      </c>
      <c r="AU13" s="639">
        <f>0-SUM(AR13:AT13)</f>
        <v>0</v>
      </c>
      <c r="AV13" s="177">
        <f t="shared" si="7"/>
        <v>0</v>
      </c>
      <c r="AW13" s="236"/>
      <c r="AX13" s="639">
        <v>0</v>
      </c>
      <c r="AY13" s="639">
        <f>0-AX13</f>
        <v>0</v>
      </c>
      <c r="AZ13" s="639">
        <f>0-SUM(AX13:AY13)</f>
        <v>0</v>
      </c>
      <c r="BA13" s="639">
        <f>0-SUM(AX13:AZ13)</f>
        <v>0</v>
      </c>
      <c r="BB13" s="177">
        <f t="shared" si="8"/>
        <v>0</v>
      </c>
      <c r="BC13" s="236"/>
      <c r="BD13" s="639">
        <v>0</v>
      </c>
      <c r="BE13" s="639">
        <v>0</v>
      </c>
      <c r="BF13" s="639">
        <f t="shared" si="14"/>
        <v>0</v>
      </c>
      <c r="BG13" s="639">
        <f t="shared" si="15"/>
        <v>0</v>
      </c>
      <c r="BH13" s="177">
        <f t="shared" si="9"/>
        <v>0</v>
      </c>
      <c r="BI13" s="236"/>
      <c r="BJ13" s="639">
        <v>0</v>
      </c>
      <c r="BK13" s="639">
        <f t="shared" si="16"/>
        <v>0</v>
      </c>
      <c r="BL13" s="639">
        <f t="shared" ref="BL13:BL14" si="18">0-SUM(BJ13:BK13)</f>
        <v>0</v>
      </c>
      <c r="BM13" s="639">
        <f t="shared" si="17"/>
        <v>0</v>
      </c>
      <c r="BN13" s="177">
        <f t="shared" si="10"/>
        <v>0</v>
      </c>
      <c r="BO13" s="236"/>
      <c r="BP13" s="385">
        <v>0</v>
      </c>
      <c r="BQ13" s="385">
        <v>0</v>
      </c>
      <c r="BR13" s="385">
        <v>0</v>
      </c>
      <c r="BS13" s="385">
        <v>0</v>
      </c>
      <c r="BT13" s="177">
        <f t="shared" si="11"/>
        <v>0</v>
      </c>
      <c r="BU13" s="236"/>
      <c r="BV13" s="385">
        <v>0</v>
      </c>
      <c r="BW13" s="385">
        <v>0</v>
      </c>
      <c r="BX13" s="385">
        <v>0</v>
      </c>
      <c r="BY13" s="385">
        <v>0</v>
      </c>
      <c r="BZ13" s="177">
        <f t="shared" si="12"/>
        <v>0</v>
      </c>
      <c r="CA13" s="236"/>
      <c r="CB13" s="385">
        <v>0</v>
      </c>
      <c r="CC13" s="385">
        <v>0</v>
      </c>
      <c r="CD13" s="385">
        <v>0</v>
      </c>
      <c r="CE13" s="385">
        <v>0</v>
      </c>
      <c r="CF13" s="177">
        <f t="shared" si="13"/>
        <v>0</v>
      </c>
      <c r="CG13" s="177"/>
    </row>
    <row r="14" spans="1:85" x14ac:dyDescent="0.2">
      <c r="A14" s="7" t="s">
        <v>140</v>
      </c>
      <c r="B14" s="235">
        <v>2.9000000000000001E-2</v>
      </c>
      <c r="C14" s="169">
        <f>0.028-B14</f>
        <v>-1.0000000000000009E-3</v>
      </c>
      <c r="D14" s="169">
        <f>0.023-SUM(B14:C14)</f>
        <v>-5.000000000000001E-3</v>
      </c>
      <c r="E14" s="169">
        <f>0.024-SUM(B14:D14)</f>
        <v>1.0000000000000009E-3</v>
      </c>
      <c r="F14" s="83">
        <f t="shared" si="0"/>
        <v>2.4E-2</v>
      </c>
      <c r="G14" s="64"/>
      <c r="H14" s="235">
        <v>0.126</v>
      </c>
      <c r="I14" s="169">
        <f>0.21-H14</f>
        <v>8.3999999999999991E-2</v>
      </c>
      <c r="J14" s="169">
        <f>0.206-SUM(H14:I14)</f>
        <v>-4.0000000000000036E-3</v>
      </c>
      <c r="K14" s="169">
        <f>0.513-SUM(H14:J14)</f>
        <v>0.30700000000000005</v>
      </c>
      <c r="L14" s="83">
        <f t="shared" si="1"/>
        <v>0.51300000000000001</v>
      </c>
      <c r="M14" s="64"/>
      <c r="N14" s="235">
        <v>6.0000000000000001E-3</v>
      </c>
      <c r="O14" s="169">
        <f>0.011-N14</f>
        <v>4.9999999999999992E-3</v>
      </c>
      <c r="P14" s="169">
        <f>0.02-SUM(N14:O14)</f>
        <v>9.0000000000000011E-3</v>
      </c>
      <c r="Q14" s="169">
        <f>0.037-SUM(N14:P14)</f>
        <v>1.6999999999999998E-2</v>
      </c>
      <c r="R14" s="83">
        <f t="shared" si="2"/>
        <v>3.6999999999999998E-2</v>
      </c>
      <c r="S14" s="64"/>
      <c r="T14" s="235">
        <v>0</v>
      </c>
      <c r="U14" s="169">
        <f>0.011-T14</f>
        <v>1.0999999999999999E-2</v>
      </c>
      <c r="V14" s="169">
        <f>0.06-SUM(T14:U14)</f>
        <v>4.9000000000000002E-2</v>
      </c>
      <c r="W14" s="169">
        <f>0.061-SUM(T14:V14)</f>
        <v>1.0000000000000009E-3</v>
      </c>
      <c r="X14" s="83">
        <f t="shared" si="3"/>
        <v>6.0999999999999999E-2</v>
      </c>
      <c r="Y14" s="64"/>
      <c r="Z14" s="235">
        <v>0</v>
      </c>
      <c r="AA14" s="169">
        <f>-0.01-Z14</f>
        <v>-0.01</v>
      </c>
      <c r="AB14" s="169">
        <v>-1.4999999999999999E-2</v>
      </c>
      <c r="AC14" s="169">
        <v>2.6000000000000002E-2</v>
      </c>
      <c r="AD14" s="83">
        <f t="shared" si="4"/>
        <v>1.0000000000000009E-3</v>
      </c>
      <c r="AE14" s="178"/>
      <c r="AF14" s="235">
        <v>5.1999999999999998E-2</v>
      </c>
      <c r="AG14" s="235">
        <f>0.074-AF14</f>
        <v>2.1999999999999999E-2</v>
      </c>
      <c r="AH14" s="235">
        <f>-AG14-AF14</f>
        <v>-7.3999999999999996E-2</v>
      </c>
      <c r="AI14" s="235">
        <f>0-AH14-AG14-AF14</f>
        <v>0</v>
      </c>
      <c r="AJ14" s="177">
        <f t="shared" si="5"/>
        <v>0</v>
      </c>
      <c r="AK14" s="178"/>
      <c r="AL14" s="235">
        <v>-0.01</v>
      </c>
      <c r="AM14" s="235">
        <f>-0.013-AL14</f>
        <v>-2.9999999999999992E-3</v>
      </c>
      <c r="AN14" s="235">
        <f>0-AM14-AL14</f>
        <v>1.2999999999999999E-2</v>
      </c>
      <c r="AO14" s="235">
        <f>0-AN14-AM14-AL14</f>
        <v>0</v>
      </c>
      <c r="AP14" s="177">
        <f t="shared" si="6"/>
        <v>0</v>
      </c>
      <c r="AQ14" s="178"/>
      <c r="AR14" s="235">
        <v>0</v>
      </c>
      <c r="AS14" s="235">
        <f>0-AR14</f>
        <v>0</v>
      </c>
      <c r="AT14" s="235">
        <v>0</v>
      </c>
      <c r="AU14" s="639">
        <f>0-SUM(AR14:AT14)</f>
        <v>0</v>
      </c>
      <c r="AV14" s="177">
        <f t="shared" si="7"/>
        <v>0</v>
      </c>
      <c r="AW14" s="178"/>
      <c r="AX14" s="639">
        <v>0</v>
      </c>
      <c r="AY14" s="639">
        <f>0-AX14</f>
        <v>0</v>
      </c>
      <c r="AZ14" s="639">
        <f>0-SUM(AX14:AY14)</f>
        <v>0</v>
      </c>
      <c r="BA14" s="639">
        <f>0-SUM(AX14:AZ14)</f>
        <v>0</v>
      </c>
      <c r="BB14" s="177">
        <f t="shared" si="8"/>
        <v>0</v>
      </c>
      <c r="BC14" s="178"/>
      <c r="BD14" s="639">
        <v>0</v>
      </c>
      <c r="BE14" s="639">
        <v>0</v>
      </c>
      <c r="BF14" s="639">
        <f t="shared" si="14"/>
        <v>0</v>
      </c>
      <c r="BG14" s="639">
        <f t="shared" si="15"/>
        <v>0</v>
      </c>
      <c r="BH14" s="177">
        <f t="shared" si="9"/>
        <v>0</v>
      </c>
      <c r="BI14" s="178"/>
      <c r="BJ14" s="639">
        <v>0</v>
      </c>
      <c r="BK14" s="639">
        <f t="shared" si="16"/>
        <v>0</v>
      </c>
      <c r="BL14" s="639">
        <f t="shared" si="18"/>
        <v>0</v>
      </c>
      <c r="BM14" s="639">
        <f t="shared" si="17"/>
        <v>0</v>
      </c>
      <c r="BN14" s="177">
        <f t="shared" si="10"/>
        <v>0</v>
      </c>
      <c r="BO14" s="178"/>
      <c r="BP14" s="385">
        <v>0</v>
      </c>
      <c r="BQ14" s="385">
        <v>0</v>
      </c>
      <c r="BR14" s="385">
        <v>0</v>
      </c>
      <c r="BS14" s="385">
        <v>0</v>
      </c>
      <c r="BT14" s="177">
        <f t="shared" si="11"/>
        <v>0</v>
      </c>
      <c r="BU14" s="178"/>
      <c r="BV14" s="385">
        <v>0</v>
      </c>
      <c r="BW14" s="385">
        <v>0</v>
      </c>
      <c r="BX14" s="385">
        <v>0</v>
      </c>
      <c r="BY14" s="385">
        <v>0</v>
      </c>
      <c r="BZ14" s="177">
        <f t="shared" si="12"/>
        <v>0</v>
      </c>
      <c r="CA14" s="178"/>
      <c r="CB14" s="385">
        <v>0</v>
      </c>
      <c r="CC14" s="385">
        <v>0</v>
      </c>
      <c r="CD14" s="385">
        <v>0</v>
      </c>
      <c r="CE14" s="385">
        <v>0</v>
      </c>
      <c r="CF14" s="177">
        <f t="shared" si="13"/>
        <v>0</v>
      </c>
      <c r="CG14" s="177"/>
    </row>
    <row r="15" spans="1:85" x14ac:dyDescent="0.2">
      <c r="A15" s="7" t="s">
        <v>69</v>
      </c>
      <c r="B15" s="235">
        <v>0</v>
      </c>
      <c r="C15" s="169">
        <f>-0.409-B15</f>
        <v>-0.40899999999999997</v>
      </c>
      <c r="D15" s="169">
        <f>-0.339-SUM(B15:C15)</f>
        <v>6.9999999999999951E-2</v>
      </c>
      <c r="E15" s="169">
        <f>-0.449-SUM(B15:D15)</f>
        <v>-0.10999999999999999</v>
      </c>
      <c r="F15" s="83">
        <f t="shared" si="0"/>
        <v>-0.44900000000000001</v>
      </c>
      <c r="G15" s="63"/>
      <c r="H15" s="235">
        <v>-4.4999999999999998E-2</v>
      </c>
      <c r="I15" s="169">
        <f>-0.086-H15</f>
        <v>-4.0999999999999995E-2</v>
      </c>
      <c r="J15" s="169">
        <f>-0.188-SUM(H15:I15)</f>
        <v>-0.10200000000000001</v>
      </c>
      <c r="K15" s="169">
        <f>-0.144-SUM(H15:J15)</f>
        <v>4.4000000000000011E-2</v>
      </c>
      <c r="L15" s="83">
        <f t="shared" si="1"/>
        <v>-0.14399999999999999</v>
      </c>
      <c r="M15" s="63"/>
      <c r="N15" s="235">
        <v>0</v>
      </c>
      <c r="O15" s="169">
        <f>0-N15</f>
        <v>0</v>
      </c>
      <c r="P15" s="169">
        <f>0-SUM(N15:O15)</f>
        <v>0</v>
      </c>
      <c r="Q15" s="169">
        <f>0.637-SUM(N15:P15)</f>
        <v>0.63700000000000001</v>
      </c>
      <c r="R15" s="83">
        <f t="shared" si="2"/>
        <v>0.63700000000000001</v>
      </c>
      <c r="S15" s="63"/>
      <c r="T15" s="235">
        <v>0</v>
      </c>
      <c r="U15" s="169">
        <f>0-T15</f>
        <v>0</v>
      </c>
      <c r="V15" s="169">
        <f>0-SUM(T15:U15)</f>
        <v>0</v>
      </c>
      <c r="W15" s="169">
        <f>-3.965-SUM(T15:V15)</f>
        <v>-3.9649999999999999</v>
      </c>
      <c r="X15" s="83">
        <f t="shared" si="3"/>
        <v>-3.9649999999999999</v>
      </c>
      <c r="Y15" s="63"/>
      <c r="Z15" s="235">
        <v>0</v>
      </c>
      <c r="AA15" s="235">
        <v>0</v>
      </c>
      <c r="AB15" s="169">
        <v>0</v>
      </c>
      <c r="AC15" s="169">
        <v>-11.391</v>
      </c>
      <c r="AD15" s="83">
        <f t="shared" si="4"/>
        <v>-11.391</v>
      </c>
      <c r="AE15" s="236"/>
      <c r="AF15" s="235">
        <v>0</v>
      </c>
      <c r="AG15" s="235">
        <v>-16.745000000000001</v>
      </c>
      <c r="AH15" s="169">
        <f>-18.14-AG15-AF15</f>
        <v>-1.3949999999999996</v>
      </c>
      <c r="AI15" s="169">
        <f>-17.187-AH15-AG15-AF15</f>
        <v>0.9529999999999994</v>
      </c>
      <c r="AJ15" s="177">
        <f t="shared" si="5"/>
        <v>-17.187000000000001</v>
      </c>
      <c r="AK15" s="236"/>
      <c r="AL15" s="235">
        <v>0</v>
      </c>
      <c r="AM15" s="235">
        <f>-15.331-AL15</f>
        <v>-15.331</v>
      </c>
      <c r="AN15" s="169">
        <f>-21.849-AM15-AL15</f>
        <v>-6.5180000000000007</v>
      </c>
      <c r="AO15" s="169">
        <f>-27.103-AN15-AM15-AL15</f>
        <v>-5.2540000000000013</v>
      </c>
      <c r="AP15" s="177">
        <f t="shared" si="6"/>
        <v>-27.103000000000002</v>
      </c>
      <c r="AQ15" s="236"/>
      <c r="AR15" s="235">
        <v>-13.568</v>
      </c>
      <c r="AS15" s="235">
        <f>-16.161-AR15</f>
        <v>-2.5930000000000017</v>
      </c>
      <c r="AT15" s="235">
        <f>-18.887-AS15-AR15</f>
        <v>-2.7259999999999973</v>
      </c>
      <c r="AU15" s="639">
        <f>-21.393-SUM(AR15:AT15)</f>
        <v>-2.5060000000000002</v>
      </c>
      <c r="AV15" s="177">
        <f t="shared" si="7"/>
        <v>-21.393000000000001</v>
      </c>
      <c r="AW15" s="236"/>
      <c r="AX15" s="639">
        <v>-4.7789999999999999</v>
      </c>
      <c r="AY15" s="639">
        <f>-6.207-AX15</f>
        <v>-1.4279999999999999</v>
      </c>
      <c r="AZ15" s="639">
        <f>-8.663-SUM(AX15:AY15)</f>
        <v>-2.4560000000000004</v>
      </c>
      <c r="BA15" s="639">
        <f>-10.396-SUM(AX15:AZ15)</f>
        <v>-1.7330000000000005</v>
      </c>
      <c r="BB15" s="177">
        <f t="shared" si="8"/>
        <v>-10.396000000000001</v>
      </c>
      <c r="BC15" s="236"/>
      <c r="BD15" s="639">
        <v>0</v>
      </c>
      <c r="BE15" s="639">
        <v>0</v>
      </c>
      <c r="BF15" s="639">
        <v>0</v>
      </c>
      <c r="BG15" s="639">
        <f>0-SUM(BD15:BF15)</f>
        <v>0</v>
      </c>
      <c r="BH15" s="177">
        <f t="shared" si="9"/>
        <v>0</v>
      </c>
      <c r="BI15" s="236"/>
      <c r="BJ15" s="639">
        <v>0</v>
      </c>
      <c r="BK15" s="639">
        <f t="shared" si="16"/>
        <v>0</v>
      </c>
      <c r="BL15" s="639">
        <v>0</v>
      </c>
      <c r="BM15" s="639">
        <f t="shared" si="17"/>
        <v>0</v>
      </c>
      <c r="BN15" s="177">
        <f t="shared" si="10"/>
        <v>0</v>
      </c>
      <c r="BO15" s="236"/>
      <c r="BP15" s="385">
        <v>0</v>
      </c>
      <c r="BQ15" s="385">
        <v>0</v>
      </c>
      <c r="BR15" s="385">
        <v>0</v>
      </c>
      <c r="BS15" s="385">
        <v>0</v>
      </c>
      <c r="BT15" s="177">
        <f t="shared" si="11"/>
        <v>0</v>
      </c>
      <c r="BU15" s="236"/>
      <c r="BV15" s="385">
        <v>0</v>
      </c>
      <c r="BW15" s="385">
        <v>0</v>
      </c>
      <c r="BX15" s="385">
        <v>0</v>
      </c>
      <c r="BY15" s="385">
        <v>0</v>
      </c>
      <c r="BZ15" s="177">
        <f t="shared" si="12"/>
        <v>0</v>
      </c>
      <c r="CA15" s="236"/>
      <c r="CB15" s="385">
        <v>0</v>
      </c>
      <c r="CC15" s="385">
        <v>0</v>
      </c>
      <c r="CD15" s="385">
        <v>0</v>
      </c>
      <c r="CE15" s="385">
        <v>0</v>
      </c>
      <c r="CF15" s="177">
        <f t="shared" si="13"/>
        <v>0</v>
      </c>
      <c r="CG15" s="177"/>
    </row>
    <row r="16" spans="1:85" x14ac:dyDescent="0.2">
      <c r="A16" s="7" t="s">
        <v>360</v>
      </c>
      <c r="B16" s="235">
        <v>0</v>
      </c>
      <c r="C16" s="169">
        <f>0-B16</f>
        <v>0</v>
      </c>
      <c r="D16" s="169">
        <f>0-SUM(B16:C16)</f>
        <v>0</v>
      </c>
      <c r="E16" s="169">
        <f>0-SUM(B16:D16)</f>
        <v>0</v>
      </c>
      <c r="F16" s="83">
        <f>SUM(B16:E16)</f>
        <v>0</v>
      </c>
      <c r="G16" s="63"/>
      <c r="H16" s="235">
        <v>0</v>
      </c>
      <c r="I16" s="169">
        <f>0-H16</f>
        <v>0</v>
      </c>
      <c r="J16" s="169">
        <f>0.411-SUM(H16:I16)</f>
        <v>0.41099999999999998</v>
      </c>
      <c r="K16" s="169">
        <f>1.712-SUM(H16:J16)</f>
        <v>1.3009999999999999</v>
      </c>
      <c r="L16" s="83">
        <f>SUM(H16:K16)</f>
        <v>1.712</v>
      </c>
      <c r="M16" s="63"/>
      <c r="N16" s="235">
        <v>0</v>
      </c>
      <c r="O16" s="169">
        <f>0-N16</f>
        <v>0</v>
      </c>
      <c r="P16" s="169">
        <f>56.524+1.906-SUM(N16:O16)</f>
        <v>58.43</v>
      </c>
      <c r="Q16" s="169">
        <f>56.523+6.165-SUM(N16:P16)</f>
        <v>4.2580000000000027</v>
      </c>
      <c r="R16" s="83">
        <f>SUM(N16:Q16)</f>
        <v>62.688000000000002</v>
      </c>
      <c r="S16" s="63"/>
      <c r="T16" s="235">
        <v>0.82699999999999996</v>
      </c>
      <c r="U16" s="169">
        <f>0.827-T16</f>
        <v>0</v>
      </c>
      <c r="V16" s="169">
        <f>0.827-SUM(T16:U16)</f>
        <v>0</v>
      </c>
      <c r="W16" s="169">
        <f>0.827-SUM(T16:V16)</f>
        <v>0</v>
      </c>
      <c r="X16" s="83">
        <f>SUM(T16:W16)</f>
        <v>0.82699999999999996</v>
      </c>
      <c r="Y16" s="63"/>
      <c r="Z16" s="235">
        <v>0</v>
      </c>
      <c r="AA16" s="235">
        <v>0</v>
      </c>
      <c r="AB16" s="169">
        <v>0</v>
      </c>
      <c r="AC16" s="169">
        <v>0</v>
      </c>
      <c r="AD16" s="83">
        <f t="shared" si="4"/>
        <v>0</v>
      </c>
      <c r="AE16" s="236"/>
      <c r="AF16" s="235">
        <v>0</v>
      </c>
      <c r="AG16" s="235">
        <v>0</v>
      </c>
      <c r="AH16" s="169">
        <f>0.848-AG16-AF16</f>
        <v>0.84799999999999998</v>
      </c>
      <c r="AI16" s="169">
        <f>36.591+1.989-AH16-AG16-AF16</f>
        <v>37.731999999999999</v>
      </c>
      <c r="AJ16" s="177">
        <f t="shared" si="5"/>
        <v>38.58</v>
      </c>
      <c r="AK16" s="236"/>
      <c r="AL16" s="235">
        <f>40.693+26.32</f>
        <v>67.013000000000005</v>
      </c>
      <c r="AM16" s="235">
        <f>40.693+26.32-AL16</f>
        <v>0</v>
      </c>
      <c r="AN16" s="169">
        <f>40.693+26.32-AM16-AL16</f>
        <v>0</v>
      </c>
      <c r="AO16" s="169">
        <f>40.693+26.32+4.142-AN16-AM16-AL16</f>
        <v>4.1419999999999959</v>
      </c>
      <c r="AP16" s="177">
        <f t="shared" si="6"/>
        <v>71.155000000000001</v>
      </c>
      <c r="AQ16" s="236"/>
      <c r="AR16" s="235">
        <v>1.9770000000000001</v>
      </c>
      <c r="AS16" s="235">
        <f>5.095-AR16</f>
        <v>3.1179999999999994</v>
      </c>
      <c r="AT16" s="235">
        <f>7.368-AS16-AR16</f>
        <v>2.2730000000000006</v>
      </c>
      <c r="AU16" s="639">
        <f>10.106-SUM(AR16:AT16)</f>
        <v>2.7379999999999995</v>
      </c>
      <c r="AV16" s="177">
        <f t="shared" si="7"/>
        <v>10.106</v>
      </c>
      <c r="AW16" s="236"/>
      <c r="AX16" s="639">
        <v>2.6139999999999999</v>
      </c>
      <c r="AY16" s="639">
        <f>6.162-AX16</f>
        <v>3.548</v>
      </c>
      <c r="AZ16" s="639">
        <f>9.252-SUM(AX16:AY16)</f>
        <v>3.0900000000000007</v>
      </c>
      <c r="BA16" s="639">
        <f>13.799+10.224-SUM(AX16:AZ16)</f>
        <v>14.770999999999999</v>
      </c>
      <c r="BB16" s="177">
        <f t="shared" si="8"/>
        <v>24.023</v>
      </c>
      <c r="BC16" s="236"/>
      <c r="BD16" s="639">
        <f>7.22+3.754</f>
        <v>10.974</v>
      </c>
      <c r="BE16" s="639">
        <f>9.811+7.041-BD16</f>
        <v>5.8780000000000001</v>
      </c>
      <c r="BF16" s="639">
        <f>13.057+0.477+9.525-SUM(BD16:BE16)</f>
        <v>6.2070000000000007</v>
      </c>
      <c r="BG16" s="639">
        <f>15.888+1.684+12.031-SUM(BD16:BF16)</f>
        <v>6.5440000000000005</v>
      </c>
      <c r="BH16" s="177">
        <f t="shared" si="9"/>
        <v>29.603000000000002</v>
      </c>
      <c r="BI16" s="236"/>
      <c r="BJ16" s="639">
        <f>1.121+2.079</f>
        <v>3.2</v>
      </c>
      <c r="BK16" s="639">
        <f>3.336+5.837-BJ16</f>
        <v>5.9729999999999999</v>
      </c>
      <c r="BL16" s="639">
        <f>4.95+9.432-SUM(BJ16:BK16)</f>
        <v>5.2090000000000014</v>
      </c>
      <c r="BM16" s="639">
        <f>3.219+13.847-SUM(BJ16:BL16)</f>
        <v>2.6839999999999975</v>
      </c>
      <c r="BN16" s="177">
        <f t="shared" si="10"/>
        <v>17.065999999999999</v>
      </c>
      <c r="BO16" s="236"/>
      <c r="BP16" s="385">
        <v>0</v>
      </c>
      <c r="BQ16" s="385">
        <v>0</v>
      </c>
      <c r="BR16" s="385">
        <v>0</v>
      </c>
      <c r="BS16" s="385">
        <v>0</v>
      </c>
      <c r="BT16" s="177">
        <f t="shared" si="11"/>
        <v>0</v>
      </c>
      <c r="BU16" s="236"/>
      <c r="BV16" s="385">
        <v>0</v>
      </c>
      <c r="BW16" s="385">
        <v>0</v>
      </c>
      <c r="BX16" s="385">
        <v>0</v>
      </c>
      <c r="BY16" s="385">
        <v>0</v>
      </c>
      <c r="BZ16" s="177">
        <f t="shared" si="12"/>
        <v>0</v>
      </c>
      <c r="CA16" s="236"/>
      <c r="CB16" s="385">
        <v>0</v>
      </c>
      <c r="CC16" s="385">
        <v>0</v>
      </c>
      <c r="CD16" s="385">
        <v>0</v>
      </c>
      <c r="CE16" s="385">
        <v>0</v>
      </c>
      <c r="CF16" s="177">
        <f t="shared" si="13"/>
        <v>0</v>
      </c>
      <c r="CG16" s="177"/>
    </row>
    <row r="17" spans="1:85" ht="4.5" customHeight="1" x14ac:dyDescent="0.2">
      <c r="A17" s="7"/>
      <c r="B17" s="235"/>
      <c r="C17" s="169"/>
      <c r="D17" s="169"/>
      <c r="E17" s="169"/>
      <c r="F17" s="83"/>
      <c r="G17" s="63"/>
      <c r="H17" s="235"/>
      <c r="I17" s="169"/>
      <c r="J17" s="169"/>
      <c r="K17" s="169"/>
      <c r="L17" s="83"/>
      <c r="M17" s="63"/>
      <c r="N17" s="235"/>
      <c r="O17" s="169"/>
      <c r="P17" s="169"/>
      <c r="Q17" s="169"/>
      <c r="R17" s="83"/>
      <c r="S17" s="63"/>
      <c r="T17" s="235"/>
      <c r="U17" s="169"/>
      <c r="V17" s="169"/>
      <c r="W17" s="169"/>
      <c r="X17" s="83"/>
      <c r="Y17" s="63"/>
      <c r="Z17" s="235"/>
      <c r="AA17" s="169"/>
      <c r="AB17" s="169"/>
      <c r="AC17" s="169"/>
      <c r="AD17" s="83"/>
      <c r="AE17" s="236"/>
      <c r="AF17" s="235"/>
      <c r="AG17" s="169"/>
      <c r="AH17" s="169"/>
      <c r="AI17" s="169"/>
      <c r="AJ17" s="177"/>
      <c r="AK17" s="236"/>
      <c r="AL17" s="235"/>
      <c r="AM17" s="235"/>
      <c r="AN17" s="169"/>
      <c r="AO17" s="169"/>
      <c r="AP17" s="177"/>
      <c r="AQ17" s="236"/>
      <c r="AR17" s="235"/>
      <c r="AS17" s="235"/>
      <c r="AT17" s="235"/>
      <c r="AU17" s="235"/>
      <c r="AV17" s="177"/>
      <c r="AW17" s="236"/>
      <c r="AX17" s="235"/>
      <c r="AY17" s="235"/>
      <c r="AZ17" s="235"/>
      <c r="BA17" s="235"/>
      <c r="BB17" s="177"/>
      <c r="BC17" s="236"/>
      <c r="BD17" s="235"/>
      <c r="BE17" s="235"/>
      <c r="BF17" s="235"/>
      <c r="BG17" s="235"/>
      <c r="BH17" s="177"/>
      <c r="BI17" s="236"/>
      <c r="BJ17" s="235"/>
      <c r="BK17" s="235"/>
      <c r="BL17" s="235"/>
      <c r="BM17" s="235"/>
      <c r="BN17" s="177"/>
      <c r="BO17" s="236"/>
      <c r="BP17" s="235"/>
      <c r="BQ17" s="235"/>
      <c r="BR17" s="235"/>
      <c r="BS17" s="235"/>
      <c r="BT17" s="177"/>
      <c r="BU17" s="236"/>
      <c r="BV17" s="235"/>
      <c r="BW17" s="235"/>
      <c r="BX17" s="235"/>
      <c r="BY17" s="235"/>
      <c r="BZ17" s="177"/>
      <c r="CA17" s="236"/>
      <c r="CB17" s="235"/>
      <c r="CC17" s="235"/>
      <c r="CD17" s="235"/>
      <c r="CE17" s="235"/>
      <c r="CF17" s="177"/>
      <c r="CG17" s="177"/>
    </row>
    <row r="18" spans="1:85" x14ac:dyDescent="0.2">
      <c r="A18" s="2" t="s">
        <v>286</v>
      </c>
      <c r="B18" s="83">
        <f>SUM(B19:B24)</f>
        <v>-12.100999999999999</v>
      </c>
      <c r="C18" s="83">
        <f>SUM(C19:C24)</f>
        <v>-6.7340000000000018</v>
      </c>
      <c r="D18" s="83">
        <f>SUM(D19:D24)</f>
        <v>5.7650000000000023</v>
      </c>
      <c r="E18" s="83">
        <f>SUM(E19:E24)</f>
        <v>4.9060000000000006</v>
      </c>
      <c r="F18" s="83">
        <f>SUM(F19:F24)</f>
        <v>-8.1639999999999997</v>
      </c>
      <c r="G18" s="63"/>
      <c r="H18" s="83">
        <f>SUM(H19:H24)</f>
        <v>-9.202</v>
      </c>
      <c r="I18" s="83">
        <f>SUM(I19:I24)</f>
        <v>-1.4789999999999992</v>
      </c>
      <c r="J18" s="83">
        <f>SUM(J19:J24)</f>
        <v>4.0839999999999996</v>
      </c>
      <c r="K18" s="83">
        <f>SUM(K19:K24)</f>
        <v>-1.7139999999999982</v>
      </c>
      <c r="L18" s="83">
        <f>SUM(L19:L24)</f>
        <v>-8.3109999999999999</v>
      </c>
      <c r="M18" s="63"/>
      <c r="N18" s="83">
        <f>SUM(N19:N24)</f>
        <v>0.33900000000000041</v>
      </c>
      <c r="O18" s="83">
        <f>SUM(O19:O24)</f>
        <v>6.0990000000000002</v>
      </c>
      <c r="P18" s="83">
        <f>SUM(P19:P24)</f>
        <v>-5.6120000000000001</v>
      </c>
      <c r="Q18" s="83">
        <f>SUM(Q19:Q24)</f>
        <v>15.057999999999998</v>
      </c>
      <c r="R18" s="83">
        <f>SUM(R19:R24)</f>
        <v>15.883999999999999</v>
      </c>
      <c r="S18" s="63"/>
      <c r="T18" s="83">
        <f>SUM(T19:T24)</f>
        <v>-9.0039999999999978</v>
      </c>
      <c r="U18" s="83">
        <f>SUM(U19:U24)</f>
        <v>-10.418999999999999</v>
      </c>
      <c r="V18" s="83">
        <f>SUM(V19:V24)</f>
        <v>10.638999999999999</v>
      </c>
      <c r="W18" s="83">
        <f>SUM(W19:W24)</f>
        <v>19.376999999999999</v>
      </c>
      <c r="X18" s="83">
        <f>SUM(X19:X24)</f>
        <v>10.592999999999998</v>
      </c>
      <c r="Y18" s="63"/>
      <c r="Z18" s="83">
        <f>SUM(Z19:Z24)</f>
        <v>-10.372000000000002</v>
      </c>
      <c r="AA18" s="83">
        <f>SUM(AA19:AA24)</f>
        <v>4.9670000000000023</v>
      </c>
      <c r="AB18" s="83">
        <f>SUM(AB19:AB24)</f>
        <v>6.9539999999999997</v>
      </c>
      <c r="AC18" s="83">
        <f>SUM(AC19:AC24)</f>
        <v>30.992999999999995</v>
      </c>
      <c r="AD18" s="83">
        <f>SUM(AD19:AD24)</f>
        <v>32.542000000000002</v>
      </c>
      <c r="AE18" s="236"/>
      <c r="AF18" s="177">
        <f>SUM(AF19:AF24)</f>
        <v>-18.980999999999998</v>
      </c>
      <c r="AG18" s="83">
        <f>SUM(AG19:AG24)</f>
        <v>1.0999999999999988</v>
      </c>
      <c r="AH18" s="83">
        <f>SUM(AH19:AH24)</f>
        <v>3.1829999999999989</v>
      </c>
      <c r="AI18" s="83">
        <f>SUM(AI19:AI24)</f>
        <v>11.315000000000001</v>
      </c>
      <c r="AJ18" s="177">
        <f>SUM(AJ19:AJ24)</f>
        <v>-3.3830000000000009</v>
      </c>
      <c r="AK18" s="236"/>
      <c r="AL18" s="177">
        <f>SUM(AL19:AL24)</f>
        <v>-17.951999999999998</v>
      </c>
      <c r="AM18" s="177">
        <f>SUM(AM19:AM24)</f>
        <v>15.016999999999999</v>
      </c>
      <c r="AN18" s="83">
        <f>SUM(AN19:AN24)</f>
        <v>5.1479999999999988</v>
      </c>
      <c r="AO18" s="83">
        <f>SUM(AO19:AO24)</f>
        <v>10.949</v>
      </c>
      <c r="AP18" s="177">
        <f>SUM(AP19:AP24)</f>
        <v>13.161999999999999</v>
      </c>
      <c r="AQ18" s="236"/>
      <c r="AR18" s="177">
        <f>SUM(AR19:AR24)</f>
        <v>-29.536999999999999</v>
      </c>
      <c r="AS18" s="177">
        <f>SUM(AS19:AS24)</f>
        <v>14.217999999999996</v>
      </c>
      <c r="AT18" s="177">
        <f>SUM(AT19:AT24)</f>
        <v>12.154000000000002</v>
      </c>
      <c r="AU18" s="177">
        <f>SUM(AU19:AU24)</f>
        <v>12.359000000000002</v>
      </c>
      <c r="AV18" s="177">
        <f>SUM(AV19:AV24)</f>
        <v>9.1939999999999991</v>
      </c>
      <c r="AW18" s="236"/>
      <c r="AX18" s="177">
        <f>SUM(AX19:AX24)</f>
        <v>-14.614000000000003</v>
      </c>
      <c r="AY18" s="177">
        <f>SUM(AY19:AY24)</f>
        <v>12.308000000000002</v>
      </c>
      <c r="AZ18" s="177">
        <f>SUM(AZ19:AZ24)</f>
        <v>8.9229999999999965</v>
      </c>
      <c r="BA18" s="177">
        <f>SUM(BA19:BA24)</f>
        <v>14.210000000000003</v>
      </c>
      <c r="BB18" s="177">
        <f>SUM(BB19:BB24)</f>
        <v>20.827000000000002</v>
      </c>
      <c r="BC18" s="236"/>
      <c r="BD18" s="177">
        <f>SUM(BD19:BD24)</f>
        <v>-23.961000000000006</v>
      </c>
      <c r="BE18" s="177">
        <f>SUM(BE19:BE24)</f>
        <v>6.4590000000000014</v>
      </c>
      <c r="BF18" s="177">
        <f>SUM(BF19:BF24)</f>
        <v>-6.2449999999999974</v>
      </c>
      <c r="BG18" s="177">
        <f>SUM(BG19:BG24)</f>
        <v>7.1400000000000006</v>
      </c>
      <c r="BH18" s="177">
        <f>SUM(BH19:BH24)</f>
        <v>-16.607000000000006</v>
      </c>
      <c r="BI18" s="236"/>
      <c r="BJ18" s="177">
        <f>SUM(BJ19:BJ24)</f>
        <v>-55.466999999999999</v>
      </c>
      <c r="BK18" s="177">
        <f>SUM(BK19:BK24)</f>
        <v>13.837999999999994</v>
      </c>
      <c r="BL18" s="177">
        <f>SUM(BL19:BL24)</f>
        <v>17.048000000000002</v>
      </c>
      <c r="BM18" s="177">
        <f>SUM(BM19:BM24)</f>
        <v>100.471</v>
      </c>
      <c r="BN18" s="177">
        <f>SUM(BN19:BN24)</f>
        <v>75.890000000000029</v>
      </c>
      <c r="BO18" s="236"/>
      <c r="BP18" s="177">
        <f>SUM(BP19:BP24)</f>
        <v>-17.192320431106204</v>
      </c>
      <c r="BQ18" s="177">
        <f>SUM(BQ19:BQ24)</f>
        <v>21.651542094375657</v>
      </c>
      <c r="BR18" s="177">
        <f>SUM(BR19:BR24)</f>
        <v>1.1312787142390448</v>
      </c>
      <c r="BS18" s="177">
        <f>SUM(BS19:BS24)</f>
        <v>-8.6398647287510784</v>
      </c>
      <c r="BT18" s="177">
        <f>SUM(BT19:BT24)</f>
        <v>-3.0493643512425876</v>
      </c>
      <c r="BU18" s="236"/>
      <c r="BV18" s="177">
        <f>SUM(BV19:BV24)</f>
        <v>0.3353098345559502</v>
      </c>
      <c r="BW18" s="177">
        <f>SUM(BW19:BW24)</f>
        <v>28.308585414245393</v>
      </c>
      <c r="BX18" s="177">
        <f>SUM(BX19:BX24)</f>
        <v>0.68777884710565473</v>
      </c>
      <c r="BY18" s="177">
        <f>SUM(BY19:BY24)</f>
        <v>-8.8112621468554195</v>
      </c>
      <c r="BZ18" s="177">
        <f>SUM(BZ19:BZ24)</f>
        <v>20.520411949051578</v>
      </c>
      <c r="CA18" s="236"/>
      <c r="CB18" s="177">
        <f>SUM(CB19:CB24)</f>
        <v>-4.0777375271209451</v>
      </c>
      <c r="CC18" s="177">
        <f>SUM(CC19:CC24)</f>
        <v>32.252294562105426</v>
      </c>
      <c r="CD18" s="177">
        <f>SUM(CD19:CD24)</f>
        <v>0.43397928966246013</v>
      </c>
      <c r="CE18" s="177">
        <f>SUM(CE19:CE24)</f>
        <v>-9.035803348033312</v>
      </c>
      <c r="CF18" s="177">
        <f>SUM(CF19:CF24)</f>
        <v>19.572732976613622</v>
      </c>
      <c r="CG18" s="177"/>
    </row>
    <row r="19" spans="1:85" ht="12.75" hidden="1" customHeight="1" outlineLevel="1" x14ac:dyDescent="0.2">
      <c r="A19" s="7" t="s">
        <v>212</v>
      </c>
      <c r="B19" s="169">
        <v>-4.5620000000000003</v>
      </c>
      <c r="C19" s="169">
        <f>-13.441-B19</f>
        <v>-8.8790000000000013</v>
      </c>
      <c r="D19" s="169">
        <f>-12.006-SUM(B19:C19)</f>
        <v>1.4350000000000023</v>
      </c>
      <c r="E19" s="169">
        <f>-10.703-SUM(B19:D19)</f>
        <v>1.3030000000000008</v>
      </c>
      <c r="F19" s="83">
        <f t="shared" ref="F19:F24" si="19">SUM(B19:E19)</f>
        <v>-10.702999999999999</v>
      </c>
      <c r="G19" s="65"/>
      <c r="H19" s="169">
        <v>-1.8380000000000001</v>
      </c>
      <c r="I19" s="169">
        <f>-5.537-H19</f>
        <v>-3.6989999999999998</v>
      </c>
      <c r="J19" s="169">
        <f>-4.093-SUM(H19:I19)</f>
        <v>1.444</v>
      </c>
      <c r="K19" s="169">
        <f>-7.951-SUM(H19:J19)</f>
        <v>-3.8579999999999997</v>
      </c>
      <c r="L19" s="83">
        <f t="shared" ref="L19:L24" si="20">SUM(H19:K19)</f>
        <v>-7.9509999999999996</v>
      </c>
      <c r="M19" s="65"/>
      <c r="N19" s="169">
        <v>-8.1000000000000003E-2</v>
      </c>
      <c r="O19" s="169">
        <f>-1.37-N19</f>
        <v>-1.2890000000000001</v>
      </c>
      <c r="P19" s="169">
        <f>-3.167-SUM(N19:O19)</f>
        <v>-1.7969999999999997</v>
      </c>
      <c r="Q19" s="169">
        <f>-2.586-SUM(N19:P19)</f>
        <v>0.58099999999999996</v>
      </c>
      <c r="R19" s="83">
        <f t="shared" ref="R19:R24" si="21">SUM(N19:Q19)</f>
        <v>-2.5859999999999999</v>
      </c>
      <c r="S19" s="65"/>
      <c r="T19" s="169">
        <v>-4.8570000000000002</v>
      </c>
      <c r="U19" s="169">
        <f>-10.126-T19</f>
        <v>-5.2689999999999992</v>
      </c>
      <c r="V19" s="169">
        <f>-9.962-SUM(T19:U19)</f>
        <v>0.1639999999999997</v>
      </c>
      <c r="W19" s="169">
        <f>-12.184-SUM(T19:V19)</f>
        <v>-2.2219999999999995</v>
      </c>
      <c r="X19" s="83">
        <f t="shared" ref="X19:X24" si="22">SUM(T19:W19)</f>
        <v>-12.183999999999999</v>
      </c>
      <c r="Y19" s="65"/>
      <c r="Z19" s="169">
        <v>-7.3170000000000002</v>
      </c>
      <c r="AA19" s="169">
        <f>-10.789-Z19</f>
        <v>-3.4719999999999995</v>
      </c>
      <c r="AB19" s="169">
        <v>-5.2969999999999988</v>
      </c>
      <c r="AC19" s="169">
        <v>-5.6070000000000011</v>
      </c>
      <c r="AD19" s="83">
        <f t="shared" ref="AD19:AD24" si="23">SUM(Z19:AC19)</f>
        <v>-21.692999999999998</v>
      </c>
      <c r="AE19" s="252"/>
      <c r="AF19" s="235">
        <v>-2.3980000000000001</v>
      </c>
      <c r="AG19" s="169">
        <f>-11.813-AF19</f>
        <v>-9.4150000000000009</v>
      </c>
      <c r="AH19" s="169">
        <f>-15.46-AG19-AF19</f>
        <v>-3.6469999999999998</v>
      </c>
      <c r="AI19" s="169">
        <f>-9.138-AH19-AG19-AF19</f>
        <v>6.322000000000001</v>
      </c>
      <c r="AJ19" s="177">
        <f t="shared" ref="AJ19:AJ24" si="24">SUM(AF19:AI19)</f>
        <v>-9.1379999999999999</v>
      </c>
      <c r="AK19" s="252"/>
      <c r="AL19" s="235">
        <v>-9.24</v>
      </c>
      <c r="AM19" s="235">
        <f>-7.567-AL19</f>
        <v>1.673</v>
      </c>
      <c r="AN19" s="169">
        <f>-5.936-AM19-AL19</f>
        <v>1.6310000000000002</v>
      </c>
      <c r="AO19" s="169">
        <f>-11.981-AN19-AM19-AL19</f>
        <v>-6.0449999999999999</v>
      </c>
      <c r="AP19" s="177">
        <f t="shared" ref="AP19:AP24" si="25">SUM(AL19:AO19)</f>
        <v>-11.981</v>
      </c>
      <c r="AQ19" s="252"/>
      <c r="AR19" s="235">
        <v>-13.939</v>
      </c>
      <c r="AS19" s="235">
        <f>-21.407-AR19</f>
        <v>-7.468</v>
      </c>
      <c r="AT19" s="235">
        <f>-24.93-AS19-AR19</f>
        <v>-3.5229999999999997</v>
      </c>
      <c r="AU19" s="639">
        <f>-27.229-SUM(AR19:AT19)</f>
        <v>-2.2989999999999995</v>
      </c>
      <c r="AV19" s="177">
        <f t="shared" ref="AV19:AV24" si="26">SUM(AR19:AU19)</f>
        <v>-27.228999999999999</v>
      </c>
      <c r="AW19" s="252"/>
      <c r="AX19" s="639">
        <v>-12.233000000000001</v>
      </c>
      <c r="AY19" s="639">
        <f>-22.904-AX19</f>
        <v>-10.670999999999999</v>
      </c>
      <c r="AZ19" s="639">
        <f>-27.123-SUM(AX19:AY19)</f>
        <v>-4.2190000000000012</v>
      </c>
      <c r="BA19" s="639">
        <f>-40.775-SUM(AX19:AZ19)</f>
        <v>-13.651999999999997</v>
      </c>
      <c r="BB19" s="177">
        <f t="shared" ref="BB19:BB24" si="27">SUM(AX19:BA19)</f>
        <v>-40.774999999999999</v>
      </c>
      <c r="BC19" s="252"/>
      <c r="BD19" s="639">
        <v>-20.838999999999999</v>
      </c>
      <c r="BE19" s="639">
        <f>-38.433-BD19</f>
        <v>-17.594000000000001</v>
      </c>
      <c r="BF19" s="639">
        <f>-93.122-SUM(BD19:BE19)</f>
        <v>-54.689</v>
      </c>
      <c r="BG19" s="639">
        <f>-94.444-SUM(BD19:BF19)</f>
        <v>-1.3220000000000027</v>
      </c>
      <c r="BH19" s="177">
        <f t="shared" ref="BH19:BH24" si="28">SUM(BD19:BG19)</f>
        <v>-94.444000000000003</v>
      </c>
      <c r="BI19" s="252"/>
      <c r="BJ19" s="639">
        <v>-24.524999999999999</v>
      </c>
      <c r="BK19" s="639">
        <f>-52.038-BJ19</f>
        <v>-27.512999999999998</v>
      </c>
      <c r="BL19" s="639">
        <f>-84.437-SUM(BJ19:BK19)</f>
        <v>-32.399000000000001</v>
      </c>
      <c r="BM19" s="639">
        <f>-90.99-SUM(BJ19:BL19)</f>
        <v>-6.5529999999999973</v>
      </c>
      <c r="BN19" s="177">
        <f t="shared" ref="BN19:BN24" si="29">SUM(BJ19:BM19)</f>
        <v>-90.99</v>
      </c>
      <c r="BO19" s="252"/>
      <c r="BP19" s="177">
        <f>+'Bal Sht'!BO11-'Bal Sht'!BQ11</f>
        <v>-16.063421052631611</v>
      </c>
      <c r="BQ19" s="177">
        <f>+'Bal Sht'!BQ11-'Bal Sht'!BR11</f>
        <v>-26.131328810539912</v>
      </c>
      <c r="BR19" s="177">
        <f>+'Bal Sht'!BR11-'Bal Sht'!BS11</f>
        <v>1.1912593596558168</v>
      </c>
      <c r="BS19" s="177">
        <f>+'Bal Sht'!BS11-'Bal Sht'!BT11</f>
        <v>-29.541600664860539</v>
      </c>
      <c r="BT19" s="177">
        <f t="shared" ref="BT19:BT24" si="30">SUM(BP19:BS19)</f>
        <v>-70.545091168376246</v>
      </c>
      <c r="BU19" s="252"/>
      <c r="BV19" s="177">
        <f>+'Bal Sht'!BU11-'Bal Sht'!BW11</f>
        <v>-11.685682044934424</v>
      </c>
      <c r="BW19" s="177">
        <f>+'Bal Sht'!BW11-'Bal Sht'!BX11</f>
        <v>-43.828347552174762</v>
      </c>
      <c r="BX19" s="177">
        <f>+'Bal Sht'!BX11-'Bal Sht'!BY11</f>
        <v>5.7409527243096932</v>
      </c>
      <c r="BY19" s="177">
        <f>+'Bal Sht'!BY11-'Bal Sht'!BZ11</f>
        <v>-36.055060370302385</v>
      </c>
      <c r="BZ19" s="177">
        <f t="shared" ref="BZ19:BZ24" si="31">SUM(BV19:BY19)</f>
        <v>-85.828137243101878</v>
      </c>
      <c r="CA19" s="252"/>
      <c r="CB19" s="177">
        <f>+'Bal Sht'!CA11-'Bal Sht'!CC11</f>
        <v>9.1517211170478276</v>
      </c>
      <c r="CC19" s="177">
        <f>+'Bal Sht'!CC11-'Bal Sht'!CD11</f>
        <v>-45.178529961761114</v>
      </c>
      <c r="CD19" s="177">
        <f>+'Bal Sht'!CD11-'Bal Sht'!CE11</f>
        <v>7.9629424452195963</v>
      </c>
      <c r="CE19" s="177">
        <f>+'Bal Sht'!CE11-'Bal Sht'!CF11</f>
        <v>-37.946864610786179</v>
      </c>
      <c r="CF19" s="177">
        <f t="shared" ref="CF19:CF24" si="32">SUM(CB19:CE19)</f>
        <v>-66.010731010279869</v>
      </c>
      <c r="CG19" s="177"/>
    </row>
    <row r="20" spans="1:85" ht="12.75" hidden="1" customHeight="1" outlineLevel="1" x14ac:dyDescent="0.2">
      <c r="A20" s="7" t="s">
        <v>213</v>
      </c>
      <c r="B20" s="169">
        <v>-0.63700000000000001</v>
      </c>
      <c r="C20" s="169">
        <f>-0.3-B20</f>
        <v>0.33700000000000002</v>
      </c>
      <c r="D20" s="169">
        <f>-0.468-SUM(B20:C20)</f>
        <v>-0.16800000000000004</v>
      </c>
      <c r="E20" s="169">
        <f>0.186-SUM(B20:D20)</f>
        <v>0.65400000000000003</v>
      </c>
      <c r="F20" s="83">
        <f t="shared" si="19"/>
        <v>0.186</v>
      </c>
      <c r="G20" s="66"/>
      <c r="H20" s="169">
        <v>-9.2999999999999999E-2</v>
      </c>
      <c r="I20" s="169">
        <f>-0.1-H20</f>
        <v>-7.0000000000000062E-3</v>
      </c>
      <c r="J20" s="169">
        <f>-0.109-SUM(H20:I20)</f>
        <v>-8.9999999999999941E-3</v>
      </c>
      <c r="K20" s="169">
        <f>0.943-SUM(H20:J20)</f>
        <v>1.052</v>
      </c>
      <c r="L20" s="83">
        <f t="shared" si="20"/>
        <v>0.94300000000000006</v>
      </c>
      <c r="M20" s="66"/>
      <c r="N20" s="169">
        <v>-0.11700000000000001</v>
      </c>
      <c r="O20" s="169">
        <f>-0.15-N20</f>
        <v>-3.2999999999999988E-2</v>
      </c>
      <c r="P20" s="169">
        <f>0.074-SUM(N20:O20)</f>
        <v>0.22399999999999998</v>
      </c>
      <c r="Q20" s="169">
        <f>-0.085-SUM(N20:P20)</f>
        <v>-0.15899999999999997</v>
      </c>
      <c r="R20" s="83">
        <f t="shared" si="21"/>
        <v>-8.4999999999999992E-2</v>
      </c>
      <c r="S20" s="66"/>
      <c r="T20" s="169">
        <v>-0.31900000000000001</v>
      </c>
      <c r="U20" s="169">
        <f>-0.462-T20</f>
        <v>-0.14300000000000002</v>
      </c>
      <c r="V20" s="169">
        <f>-0.343-SUM(T20:U20)</f>
        <v>0.11899999999999999</v>
      </c>
      <c r="W20" s="169">
        <f>-0.508-SUM(T20:V20)</f>
        <v>-0.16499999999999998</v>
      </c>
      <c r="X20" s="83">
        <f t="shared" si="22"/>
        <v>-0.50800000000000001</v>
      </c>
      <c r="Y20" s="66"/>
      <c r="Z20" s="169">
        <v>-0.312</v>
      </c>
      <c r="AA20" s="169">
        <f>-0.96-Z20</f>
        <v>-0.64799999999999991</v>
      </c>
      <c r="AB20" s="169">
        <v>-2.0150000000000001</v>
      </c>
      <c r="AC20" s="169">
        <v>-1.0829999999999997</v>
      </c>
      <c r="AD20" s="83">
        <f t="shared" si="23"/>
        <v>-4.0579999999999998</v>
      </c>
      <c r="AE20" s="253"/>
      <c r="AF20" s="235">
        <v>-4.03</v>
      </c>
      <c r="AG20" s="169">
        <f>-5.221-AF20</f>
        <v>-1.1909999999999998</v>
      </c>
      <c r="AH20" s="169">
        <f>-5.735-AG20-AF20</f>
        <v>-0.51400000000000023</v>
      </c>
      <c r="AI20" s="169">
        <f>-5.718-AH20-AG20-AF20</f>
        <v>1.7000000000000348E-2</v>
      </c>
      <c r="AJ20" s="177">
        <f t="shared" si="24"/>
        <v>-5.718</v>
      </c>
      <c r="AK20" s="253"/>
      <c r="AL20" s="235">
        <v>-0.32</v>
      </c>
      <c r="AM20" s="235">
        <f>-0.581-AL20</f>
        <v>-0.26099999999999995</v>
      </c>
      <c r="AN20" s="169">
        <f>0.467-AM20-AL20</f>
        <v>1.048</v>
      </c>
      <c r="AO20" s="169">
        <f>1.158-AN20-AM20-AL20</f>
        <v>0.69099999999999984</v>
      </c>
      <c r="AP20" s="177">
        <f t="shared" si="25"/>
        <v>1.1579999999999999</v>
      </c>
      <c r="AQ20" s="253"/>
      <c r="AR20" s="235">
        <v>-1.87</v>
      </c>
      <c r="AS20" s="235">
        <f>0.855-AR20</f>
        <v>2.7250000000000001</v>
      </c>
      <c r="AT20" s="235">
        <f>-2.033-AS20-AR20</f>
        <v>-2.8879999999999999</v>
      </c>
      <c r="AU20" s="639">
        <f>-1.999-SUM(AR20:AT20)</f>
        <v>3.3999999999999808E-2</v>
      </c>
      <c r="AV20" s="177">
        <f t="shared" si="26"/>
        <v>-1.9990000000000001</v>
      </c>
      <c r="AW20" s="253"/>
      <c r="AX20" s="639">
        <v>1.3340000000000001</v>
      </c>
      <c r="AY20" s="639">
        <f>-0.51-AX20</f>
        <v>-1.8440000000000001</v>
      </c>
      <c r="AZ20" s="639">
        <f>-3.033-SUM(AX20:AY20)</f>
        <v>-2.5229999999999997</v>
      </c>
      <c r="BA20" s="639">
        <f>-3.563-SUM(AX20:AZ20)</f>
        <v>-0.53000000000000069</v>
      </c>
      <c r="BB20" s="177">
        <f t="shared" si="27"/>
        <v>-3.5630000000000002</v>
      </c>
      <c r="BC20" s="253"/>
      <c r="BD20" s="639">
        <v>-3.1549999999999998</v>
      </c>
      <c r="BE20" s="639">
        <f>-3.524-BD20</f>
        <v>-0.36900000000000022</v>
      </c>
      <c r="BF20" s="639">
        <f>-6.873-SUM(BD20:BE20)</f>
        <v>-3.3490000000000002</v>
      </c>
      <c r="BG20" s="639">
        <f>-7.663-SUM(BD20:BF20)</f>
        <v>-0.79</v>
      </c>
      <c r="BH20" s="177">
        <f t="shared" si="28"/>
        <v>-7.6630000000000003</v>
      </c>
      <c r="BI20" s="253"/>
      <c r="BJ20" s="639">
        <v>-7.923</v>
      </c>
      <c r="BK20" s="639">
        <f>-8.616-BJ20</f>
        <v>-0.69299999999999962</v>
      </c>
      <c r="BL20" s="639">
        <f>-10.709-SUM(BJ20:BK20)</f>
        <v>-2.093</v>
      </c>
      <c r="BM20" s="639">
        <f>-5.481-SUM(BJ20:BL20)</f>
        <v>5.2279999999999998</v>
      </c>
      <c r="BN20" s="177">
        <f t="shared" si="29"/>
        <v>-5.4809999999999999</v>
      </c>
      <c r="BO20" s="253"/>
      <c r="BP20" s="177">
        <f>+'Bal Sht'!BO12-'Bal Sht'!BQ12</f>
        <v>-17.441824728586287</v>
      </c>
      <c r="BQ20" s="177">
        <f>+'Bal Sht'!BQ12-'Bal Sht'!BR12</f>
        <v>0.31016648066139396</v>
      </c>
      <c r="BR20" s="177">
        <f>+'Bal Sht'!BR12-'Bal Sht'!BS12</f>
        <v>2.5265054745778599</v>
      </c>
      <c r="BS20" s="177">
        <f>+'Bal Sht'!BS12-'Bal Sht'!BT12</f>
        <v>-2.9059139703879069</v>
      </c>
      <c r="BT20" s="177">
        <f t="shared" si="30"/>
        <v>-17.51106674373494</v>
      </c>
      <c r="BU20" s="253"/>
      <c r="BV20" s="177">
        <f>+'Bal Sht'!BU12-'Bal Sht'!BW12</f>
        <v>-5.6841306108972702</v>
      </c>
      <c r="BW20" s="177">
        <f>+'Bal Sht'!BW12-'Bal Sht'!BX12</f>
        <v>-0.56923440789564239</v>
      </c>
      <c r="BX20" s="177">
        <f>+'Bal Sht'!BX12-'Bal Sht'!BY12</f>
        <v>3.4818021756962381</v>
      </c>
      <c r="BY20" s="177">
        <f>+'Bal Sht'!BY12-'Bal Sht'!BZ12</f>
        <v>-4.2844100269376852</v>
      </c>
      <c r="BZ20" s="177">
        <f t="shared" si="31"/>
        <v>-7.0559728700343598</v>
      </c>
      <c r="CA20" s="253"/>
      <c r="CB20" s="177">
        <f>+'Bal Sht'!CA12-'Bal Sht'!CC12</f>
        <v>-3.6422907223397516</v>
      </c>
      <c r="CC20" s="177">
        <f>+'Bal Sht'!CC12-'Bal Sht'!CD12</f>
        <v>-0.12815627993106915</v>
      </c>
      <c r="CD20" s="177">
        <f>+'Bal Sht'!CD12-'Bal Sht'!CE12</f>
        <v>4.3079102891580874</v>
      </c>
      <c r="CE20" s="177">
        <f>+'Bal Sht'!CE12-'Bal Sht'!CF12</f>
        <v>-4.7478923420276189</v>
      </c>
      <c r="CF20" s="177">
        <f t="shared" si="32"/>
        <v>-4.2104290551403523</v>
      </c>
      <c r="CG20" s="177"/>
    </row>
    <row r="21" spans="1:85" ht="12.75" hidden="1" customHeight="1" outlineLevel="1" x14ac:dyDescent="0.2">
      <c r="A21" s="7" t="s">
        <v>117</v>
      </c>
      <c r="B21" s="169">
        <v>-0.42</v>
      </c>
      <c r="C21" s="169">
        <f>-1.301-B21</f>
        <v>-0.88100000000000001</v>
      </c>
      <c r="D21" s="169">
        <f>-0.304-SUM(B21:C21)</f>
        <v>0.99699999999999989</v>
      </c>
      <c r="E21" s="169">
        <f>-1.48-SUM(B21:D21)</f>
        <v>-1.1759999999999999</v>
      </c>
      <c r="F21" s="83">
        <f t="shared" si="19"/>
        <v>-1.48</v>
      </c>
      <c r="G21" s="63"/>
      <c r="H21" s="169">
        <v>0.69799999999999995</v>
      </c>
      <c r="I21" s="169">
        <f>-1.163-H21</f>
        <v>-1.861</v>
      </c>
      <c r="J21" s="169">
        <f>1.491-SUM(H21:I21)</f>
        <v>2.6539999999999999</v>
      </c>
      <c r="K21" s="169">
        <f>0.276-SUM(H21:J21)</f>
        <v>-1.2149999999999999</v>
      </c>
      <c r="L21" s="83">
        <f t="shared" si="20"/>
        <v>0.27600000000000002</v>
      </c>
      <c r="M21" s="63"/>
      <c r="N21" s="169">
        <v>-1.2669999999999999</v>
      </c>
      <c r="O21" s="169">
        <f>-1.843-N21</f>
        <v>-0.57600000000000007</v>
      </c>
      <c r="P21" s="169">
        <f>-7.036-SUM(N21:O21)</f>
        <v>-5.1929999999999996</v>
      </c>
      <c r="Q21" s="169">
        <f>0.306-SUM(N21:P21)</f>
        <v>7.3419999999999996</v>
      </c>
      <c r="R21" s="83">
        <f t="shared" si="21"/>
        <v>0.30600000000000005</v>
      </c>
      <c r="S21" s="63"/>
      <c r="T21" s="169">
        <v>-0.73799999999999999</v>
      </c>
      <c r="U21" s="169">
        <f>-3.705-T21</f>
        <v>-2.9670000000000001</v>
      </c>
      <c r="V21" s="169">
        <f>-3.086-SUM(T21:U21)</f>
        <v>0.61900000000000022</v>
      </c>
      <c r="W21" s="169">
        <f>-1.212-SUM(T21:V21)</f>
        <v>1.8739999999999999</v>
      </c>
      <c r="X21" s="83">
        <f t="shared" si="22"/>
        <v>-1.212</v>
      </c>
      <c r="Y21" s="63"/>
      <c r="Z21" s="169">
        <v>0.20699999999999999</v>
      </c>
      <c r="AA21" s="169">
        <f>-1.036-Z21</f>
        <v>-1.2430000000000001</v>
      </c>
      <c r="AB21" s="169">
        <v>1.5580000000000001</v>
      </c>
      <c r="AC21" s="169">
        <v>-3.2029999999999994</v>
      </c>
      <c r="AD21" s="83">
        <f t="shared" si="23"/>
        <v>-2.6809999999999992</v>
      </c>
      <c r="AE21" s="236"/>
      <c r="AF21" s="235">
        <v>-1.53</v>
      </c>
      <c r="AG21" s="169">
        <f>-1.97-AF21</f>
        <v>-0.43999999999999995</v>
      </c>
      <c r="AH21" s="169">
        <f>-1.62-AG21-AF21</f>
        <v>0.34999999999999987</v>
      </c>
      <c r="AI21" s="169">
        <f>-3.853-AH21-AG21-AF21</f>
        <v>-2.2330000000000005</v>
      </c>
      <c r="AJ21" s="177">
        <f t="shared" si="24"/>
        <v>-3.8530000000000006</v>
      </c>
      <c r="AK21" s="236"/>
      <c r="AL21" s="235">
        <v>-0.58599999999999997</v>
      </c>
      <c r="AM21" s="235">
        <f>-0.234-AL21</f>
        <v>0.35199999999999998</v>
      </c>
      <c r="AN21" s="169">
        <f>0.256-AM21-AL21</f>
        <v>0.49</v>
      </c>
      <c r="AO21" s="169">
        <f>-0.392-AN21-AM21-AL21</f>
        <v>-0.64800000000000002</v>
      </c>
      <c r="AP21" s="177">
        <f t="shared" si="25"/>
        <v>-0.39200000000000002</v>
      </c>
      <c r="AQ21" s="236"/>
      <c r="AR21" s="235">
        <v>-1.79</v>
      </c>
      <c r="AS21" s="235">
        <f>-2.806-AR21</f>
        <v>-1.016</v>
      </c>
      <c r="AT21" s="235">
        <f>-2.349-AS21-AR21</f>
        <v>0.45699999999999985</v>
      </c>
      <c r="AU21" s="639">
        <f>-2.924-SUM(AR21:AT21)</f>
        <v>-0.57499999999999973</v>
      </c>
      <c r="AV21" s="177">
        <f t="shared" si="26"/>
        <v>-2.9239999999999999</v>
      </c>
      <c r="AW21" s="236"/>
      <c r="AX21" s="639">
        <v>-10.526999999999999</v>
      </c>
      <c r="AY21" s="639">
        <f>-4.786-AX21</f>
        <v>5.7409999999999997</v>
      </c>
      <c r="AZ21" s="639">
        <f>-2.529-SUM(AX21:AY21)</f>
        <v>2.2569999999999997</v>
      </c>
      <c r="BA21" s="639">
        <f>-3.726-SUM(AX21:AZ21)</f>
        <v>-1.1970000000000001</v>
      </c>
      <c r="BB21" s="177">
        <f t="shared" si="27"/>
        <v>-3.726</v>
      </c>
      <c r="BC21" s="236"/>
      <c r="BD21" s="639">
        <v>-0.61799999999999999</v>
      </c>
      <c r="BE21" s="639">
        <f>-5.025-BD21</f>
        <v>-4.407</v>
      </c>
      <c r="BF21" s="639">
        <f>-5.069-SUM(BD21:BE21)</f>
        <v>-4.3999999999999595E-2</v>
      </c>
      <c r="BG21" s="639">
        <f>-9.39-SUM(BD21:BF21)</f>
        <v>-4.3210000000000006</v>
      </c>
      <c r="BH21" s="177">
        <f t="shared" si="28"/>
        <v>-9.39</v>
      </c>
      <c r="BI21" s="236"/>
      <c r="BJ21" s="639">
        <v>-0.52700000000000002</v>
      </c>
      <c r="BK21" s="639">
        <f>0.388-BJ21</f>
        <v>0.91500000000000004</v>
      </c>
      <c r="BL21" s="639">
        <f>-5.848-SUM(BJ21:BK21)</f>
        <v>-6.2359999999999998</v>
      </c>
      <c r="BM21" s="639">
        <f>-8.669-SUM(BJ21:BL21)</f>
        <v>-2.8210000000000006</v>
      </c>
      <c r="BN21" s="177">
        <f t="shared" si="29"/>
        <v>-8.6690000000000005</v>
      </c>
      <c r="BO21" s="236"/>
      <c r="BP21" s="177">
        <f>+'Bal Sht'!BO13-'Bal Sht'!BQ13</f>
        <v>-6.4368000000000052</v>
      </c>
      <c r="BQ21" s="177">
        <f>+'Bal Sht'!BQ13-'Bal Sht'!BR13</f>
        <v>-8.8957717030394434</v>
      </c>
      <c r="BR21" s="177">
        <f>+'Bal Sht'!BR13-'Bal Sht'!BS13</f>
        <v>-2.167137492029525</v>
      </c>
      <c r="BS21" s="177">
        <f>+'Bal Sht'!BS13-'Bal Sht'!BT13</f>
        <v>-9.5822859914701866</v>
      </c>
      <c r="BT21" s="177">
        <f t="shared" si="30"/>
        <v>-27.08199518653916</v>
      </c>
      <c r="BU21" s="236"/>
      <c r="BV21" s="177">
        <f>+'Bal Sht'!BU13-'Bal Sht'!BW13</f>
        <v>2.069753063347008</v>
      </c>
      <c r="BW21" s="177">
        <f>+'Bal Sht'!BW13-'Bal Sht'!BX13</f>
        <v>-14.182272552276004</v>
      </c>
      <c r="BX21" s="177">
        <f>+'Bal Sht'!BX13-'Bal Sht'!BY13</f>
        <v>-1.5565046074816138</v>
      </c>
      <c r="BY21" s="177">
        <f>+'Bal Sht'!BY13-'Bal Sht'!BZ13</f>
        <v>-11.895638334795649</v>
      </c>
      <c r="BZ21" s="177">
        <f t="shared" si="31"/>
        <v>-25.564662431206258</v>
      </c>
      <c r="CA21" s="236"/>
      <c r="CB21" s="177">
        <f>+'Bal Sht'!CA13-'Bal Sht'!CC13</f>
        <v>8.8249597256209</v>
      </c>
      <c r="CC21" s="177">
        <f>+'Bal Sht'!CC13-'Bal Sht'!CD13</f>
        <v>-15.186954019258835</v>
      </c>
      <c r="CD21" s="177">
        <f>+'Bal Sht'!CD13-'Bal Sht'!CE13</f>
        <v>-1.4618714904633521</v>
      </c>
      <c r="CE21" s="177">
        <f>+'Bal Sht'!CE13-'Bal Sht'!CF13</f>
        <v>-12.917551265235545</v>
      </c>
      <c r="CF21" s="177">
        <f t="shared" si="32"/>
        <v>-20.741417049336832</v>
      </c>
      <c r="CG21" s="177"/>
    </row>
    <row r="22" spans="1:85" ht="12.75" hidden="1" customHeight="1" outlineLevel="1" x14ac:dyDescent="0.2">
      <c r="A22" s="7" t="s">
        <v>219</v>
      </c>
      <c r="B22" s="169">
        <v>1.615</v>
      </c>
      <c r="C22" s="169">
        <f>0.575-B22</f>
        <v>-1.04</v>
      </c>
      <c r="D22" s="169">
        <f>0.432-SUM(B22:C22)</f>
        <v>-0.14299999999999996</v>
      </c>
      <c r="E22" s="169">
        <f>2.738-SUM(B22:D22)</f>
        <v>2.306</v>
      </c>
      <c r="F22" s="83">
        <f t="shared" si="19"/>
        <v>2.738</v>
      </c>
      <c r="G22" s="63"/>
      <c r="H22" s="169">
        <v>0.95099999999999996</v>
      </c>
      <c r="I22" s="169">
        <f>0.081-H22</f>
        <v>-0.87</v>
      </c>
      <c r="J22" s="169">
        <f>-0.733-SUM(H22:I22)</f>
        <v>-0.81399999999999995</v>
      </c>
      <c r="K22" s="169">
        <f>-2.651-SUM(H22:J22)</f>
        <v>-1.9179999999999997</v>
      </c>
      <c r="L22" s="83">
        <f t="shared" si="20"/>
        <v>-2.6509999999999998</v>
      </c>
      <c r="M22" s="63"/>
      <c r="N22" s="169">
        <v>0.73799999999999999</v>
      </c>
      <c r="O22" s="169">
        <f>1.24-N22</f>
        <v>0.502</v>
      </c>
      <c r="P22" s="169">
        <f>0.816-SUM(N22:O22)</f>
        <v>-0.42400000000000004</v>
      </c>
      <c r="Q22" s="169">
        <f>-0.614-SUM(N22:P22)</f>
        <v>-1.43</v>
      </c>
      <c r="R22" s="83">
        <f t="shared" si="21"/>
        <v>-0.61399999999999999</v>
      </c>
      <c r="S22" s="63"/>
      <c r="T22" s="169">
        <v>-0.27100000000000002</v>
      </c>
      <c r="U22" s="169">
        <f>-0.009-T22</f>
        <v>0.26200000000000001</v>
      </c>
      <c r="V22" s="169">
        <f>0.013-SUM(T22:U22)</f>
        <v>2.2000000000000006E-2</v>
      </c>
      <c r="W22" s="169">
        <f>2.612-SUM(T22:V22)</f>
        <v>2.5990000000000002</v>
      </c>
      <c r="X22" s="83">
        <f t="shared" si="22"/>
        <v>2.6120000000000001</v>
      </c>
      <c r="Y22" s="63"/>
      <c r="Z22" s="169">
        <v>-0.63400000000000001</v>
      </c>
      <c r="AA22" s="169">
        <f>-0.165-Z22</f>
        <v>0.46899999999999997</v>
      </c>
      <c r="AB22" s="169">
        <v>3.9130000000000003</v>
      </c>
      <c r="AC22" s="169">
        <v>3.7869999999999999</v>
      </c>
      <c r="AD22" s="83">
        <f t="shared" si="23"/>
        <v>7.5350000000000001</v>
      </c>
      <c r="AE22" s="236"/>
      <c r="AF22" s="235">
        <v>-3.641</v>
      </c>
      <c r="AG22" s="169">
        <f>-1.954-AF22</f>
        <v>1.6870000000000001</v>
      </c>
      <c r="AH22" s="169">
        <f>-3.888-AG22-AF22</f>
        <v>-1.9340000000000002</v>
      </c>
      <c r="AI22" s="169">
        <f>-0.006-AH22-AG22-AF22</f>
        <v>3.8820000000000001</v>
      </c>
      <c r="AJ22" s="177">
        <f t="shared" si="24"/>
        <v>-5.9999999999997833E-3</v>
      </c>
      <c r="AK22" s="236"/>
      <c r="AL22" s="235">
        <v>1.611</v>
      </c>
      <c r="AM22" s="235">
        <f>0.05-AL22</f>
        <v>-1.5609999999999999</v>
      </c>
      <c r="AN22" s="169">
        <f>-0.318-AM22-AL22</f>
        <v>-0.3680000000000001</v>
      </c>
      <c r="AO22" s="169">
        <f>-0.186-AN22-AM22-AL22</f>
        <v>0.13200000000000012</v>
      </c>
      <c r="AP22" s="177">
        <f t="shared" si="25"/>
        <v>-0.18599999999999994</v>
      </c>
      <c r="AQ22" s="236"/>
      <c r="AR22" s="235">
        <v>0.26500000000000001</v>
      </c>
      <c r="AS22" s="235">
        <f>-0.009-AR22</f>
        <v>-0.27400000000000002</v>
      </c>
      <c r="AT22" s="235">
        <f>3.788-AS22-AR22</f>
        <v>3.7969999999999993</v>
      </c>
      <c r="AU22" s="639">
        <f>2.887-SUM(AR22:AT22)</f>
        <v>-0.90099999999999936</v>
      </c>
      <c r="AV22" s="177">
        <f t="shared" si="26"/>
        <v>2.887</v>
      </c>
      <c r="AW22" s="236"/>
      <c r="AX22" s="639">
        <v>1.871</v>
      </c>
      <c r="AY22" s="639">
        <f>4.902-AX22</f>
        <v>3.0310000000000001</v>
      </c>
      <c r="AZ22" s="639">
        <f>4.408-SUM(AX22:AY22)</f>
        <v>-0.49399999999999977</v>
      </c>
      <c r="BA22" s="639">
        <f>7.575-SUM(AX22:AZ22)</f>
        <v>3.1669999999999998</v>
      </c>
      <c r="BB22" s="177">
        <f t="shared" si="27"/>
        <v>7.5750000000000002</v>
      </c>
      <c r="BC22" s="236"/>
      <c r="BD22" s="639">
        <v>0.44700000000000001</v>
      </c>
      <c r="BE22" s="639">
        <f>-4.753-BD22</f>
        <v>-5.2</v>
      </c>
      <c r="BF22" s="639">
        <f>-4.134-SUM(BD22:BE22)</f>
        <v>0.61899999999999977</v>
      </c>
      <c r="BG22" s="639">
        <f>-3.395-SUM(BD22:BF22)</f>
        <v>0.73900000000000032</v>
      </c>
      <c r="BH22" s="177">
        <f t="shared" si="28"/>
        <v>-3.395</v>
      </c>
      <c r="BI22" s="236"/>
      <c r="BJ22" s="639">
        <v>5.5220000000000002</v>
      </c>
      <c r="BK22" s="639">
        <f>4.41-BJ22</f>
        <v>-1.1120000000000001</v>
      </c>
      <c r="BL22" s="639">
        <f>4.22-SUM(BJ22:BK22)</f>
        <v>-0.19000000000000039</v>
      </c>
      <c r="BM22" s="639">
        <f>8.175-SUM(BJ22:BL22)</f>
        <v>3.955000000000001</v>
      </c>
      <c r="BN22" s="177">
        <f t="shared" si="29"/>
        <v>8.1750000000000007</v>
      </c>
      <c r="BO22" s="236"/>
      <c r="BP22" s="177">
        <f>+'Bal Sht'!BQ25-'Bal Sht'!BO25</f>
        <v>19.92524535011173</v>
      </c>
      <c r="BQ22" s="177">
        <f>+'Bal Sht'!BR25-'Bal Sht'!BQ25</f>
        <v>7.8284040264313859</v>
      </c>
      <c r="BR22" s="177">
        <f>+'Bal Sht'!BS25-'Bal Sht'!BR25</f>
        <v>-4.1921790629009337</v>
      </c>
      <c r="BS22" s="177">
        <f>+'Bal Sht'!BT25-'Bal Sht'!BS25</f>
        <v>-10.806628369203047</v>
      </c>
      <c r="BT22" s="177">
        <f t="shared" si="30"/>
        <v>12.754841944439136</v>
      </c>
      <c r="BU22" s="236"/>
      <c r="BV22" s="177">
        <f>+'Bal Sht'!BW25-'Bal Sht'!BU25</f>
        <v>16.804446223791864</v>
      </c>
      <c r="BW22" s="177">
        <f>+'Bal Sht'!BX25-'Bal Sht'!BW25</f>
        <v>10.396048003698027</v>
      </c>
      <c r="BX22" s="177">
        <f>+'Bal Sht'!BY25-'Bal Sht'!BX25</f>
        <v>-5.6206701266924455</v>
      </c>
      <c r="BY22" s="177">
        <f>+'Bal Sht'!BZ25-'Bal Sht'!BY25</f>
        <v>-11.105119964771617</v>
      </c>
      <c r="BZ22" s="177">
        <f t="shared" si="31"/>
        <v>10.474704136025828</v>
      </c>
      <c r="CA22" s="236"/>
      <c r="CB22" s="177">
        <f>+'Bal Sht'!CC25-'Bal Sht'!CA25</f>
        <v>15.82748801991076</v>
      </c>
      <c r="CC22" s="177">
        <f>+'Bal Sht'!CD25-'Bal Sht'!CC25</f>
        <v>11.147720193843583</v>
      </c>
      <c r="CD22" s="177">
        <f>+'Bal Sht'!CE25-'Bal Sht'!CD25</f>
        <v>-6.9169588181058828</v>
      </c>
      <c r="CE22" s="177">
        <f>+'Bal Sht'!CF25-'Bal Sht'!CE25</f>
        <v>-11.720576183439064</v>
      </c>
      <c r="CF22" s="177">
        <f t="shared" si="32"/>
        <v>8.3376732122093955</v>
      </c>
      <c r="CG22" s="177"/>
    </row>
    <row r="23" spans="1:85" ht="12.75" hidden="1" customHeight="1" outlineLevel="1" x14ac:dyDescent="0.2">
      <c r="A23" s="7" t="s">
        <v>82</v>
      </c>
      <c r="B23" s="169">
        <v>-8.3889999999999993</v>
      </c>
      <c r="C23" s="169">
        <f>-5.55-B23</f>
        <v>2.8389999999999995</v>
      </c>
      <c r="D23" s="169">
        <f>-2.763-SUM(B23:C23)</f>
        <v>2.7869999999999999</v>
      </c>
      <c r="E23" s="169">
        <f>-0.295-SUM(B23:D23)</f>
        <v>2.468</v>
      </c>
      <c r="F23" s="83">
        <f t="shared" si="19"/>
        <v>-0.29499999999999993</v>
      </c>
      <c r="G23" s="63"/>
      <c r="H23" s="169">
        <v>-9.7360000000000007</v>
      </c>
      <c r="I23" s="169">
        <f>-5.677-H23</f>
        <v>4.0590000000000011</v>
      </c>
      <c r="J23" s="169">
        <f>-6.269-SUM(H23:I23)</f>
        <v>-0.59200000000000053</v>
      </c>
      <c r="K23" s="169">
        <f>-3.487-SUM(H23:J23)</f>
        <v>2.782</v>
      </c>
      <c r="L23" s="83">
        <f t="shared" si="20"/>
        <v>-3.4870000000000001</v>
      </c>
      <c r="M23" s="63"/>
      <c r="N23" s="169">
        <v>-2.0379999999999998</v>
      </c>
      <c r="O23" s="169">
        <f>2.141-N23</f>
        <v>4.1790000000000003</v>
      </c>
      <c r="P23" s="169">
        <f>-0.912-SUM(N23:O23)</f>
        <v>-3.0530000000000004</v>
      </c>
      <c r="Q23" s="169">
        <f>3.336-SUM(N23:P23)</f>
        <v>4.2479999999999993</v>
      </c>
      <c r="R23" s="83">
        <f t="shared" si="21"/>
        <v>3.3359999999999994</v>
      </c>
      <c r="S23" s="63"/>
      <c r="T23" s="169">
        <v>-7.9269999999999996</v>
      </c>
      <c r="U23" s="169">
        <f>-0.73-T23</f>
        <v>7.1969999999999992</v>
      </c>
      <c r="V23" s="169">
        <f>6.26-SUM(T23:U23)</f>
        <v>6.99</v>
      </c>
      <c r="W23" s="169">
        <f>19.705-SUM(T23:V23)</f>
        <v>13.444999999999999</v>
      </c>
      <c r="X23" s="83">
        <f t="shared" si="22"/>
        <v>19.704999999999998</v>
      </c>
      <c r="Y23" s="63"/>
      <c r="Z23" s="169">
        <v>-5.3150000000000004</v>
      </c>
      <c r="AA23" s="169">
        <f>1.77-Z23</f>
        <v>7.0850000000000009</v>
      </c>
      <c r="AB23" s="169">
        <v>3.7339999999999991</v>
      </c>
      <c r="AC23" s="169">
        <v>31.600999999999996</v>
      </c>
      <c r="AD23" s="83">
        <f t="shared" si="23"/>
        <v>37.104999999999997</v>
      </c>
      <c r="AE23" s="236"/>
      <c r="AF23" s="235">
        <v>-9.1910000000000007</v>
      </c>
      <c r="AG23" s="169">
        <f>-3.927-AF23</f>
        <v>5.2640000000000011</v>
      </c>
      <c r="AH23" s="169">
        <f>-0.669-AG23-AF23</f>
        <v>3.2579999999999991</v>
      </c>
      <c r="AI23" s="169">
        <f>2.943-AH23-AG23-AF23</f>
        <v>3.6120000000000001</v>
      </c>
      <c r="AJ23" s="177">
        <f t="shared" si="24"/>
        <v>2.9429999999999996</v>
      </c>
      <c r="AK23" s="236"/>
      <c r="AL23" s="235">
        <v>-7.9409999999999998</v>
      </c>
      <c r="AM23" s="235">
        <f>3.298-AL23</f>
        <v>11.239000000000001</v>
      </c>
      <c r="AN23" s="169">
        <f>-0.671-AM23-AL23</f>
        <v>-3.9690000000000003</v>
      </c>
      <c r="AO23" s="169">
        <f>9.662-AN23-AM23-AL23</f>
        <v>10.332999999999998</v>
      </c>
      <c r="AP23" s="177">
        <f t="shared" si="25"/>
        <v>9.661999999999999</v>
      </c>
      <c r="AQ23" s="236"/>
      <c r="AR23" s="235">
        <v>-15.286</v>
      </c>
      <c r="AS23" s="235">
        <f>1.343-AR23</f>
        <v>16.628999999999998</v>
      </c>
      <c r="AT23" s="235">
        <f>12.402-AS23-AR23</f>
        <v>11.059000000000001</v>
      </c>
      <c r="AU23" s="639">
        <f>22.692-SUM(AR23:AT23)</f>
        <v>10.290000000000001</v>
      </c>
      <c r="AV23" s="177">
        <f t="shared" si="26"/>
        <v>22.692</v>
      </c>
      <c r="AW23" s="236"/>
      <c r="AX23" s="639">
        <v>-1.0780000000000001</v>
      </c>
      <c r="AY23" s="639">
        <f>8.259-AX23</f>
        <v>9.3369999999999997</v>
      </c>
      <c r="AZ23" s="639">
        <f>6.712-SUM(AX23:AY23)</f>
        <v>-1.5470000000000006</v>
      </c>
      <c r="BA23" s="639">
        <f>19.462-SUM(AX23:AZ23)</f>
        <v>12.75</v>
      </c>
      <c r="BB23" s="177">
        <f t="shared" si="27"/>
        <v>19.462</v>
      </c>
      <c r="BC23" s="236"/>
      <c r="BD23" s="639">
        <v>-14.544</v>
      </c>
      <c r="BE23" s="639">
        <f>4.446-BD23</f>
        <v>18.990000000000002</v>
      </c>
      <c r="BF23" s="639">
        <f>38.969-SUM(BD23:BE23)</f>
        <v>34.522999999999996</v>
      </c>
      <c r="BG23" s="639">
        <f>37.629-SUM(BD23:BF23)</f>
        <v>-1.3399999999999963</v>
      </c>
      <c r="BH23" s="177">
        <f t="shared" si="28"/>
        <v>37.628999999999998</v>
      </c>
      <c r="BI23" s="236"/>
      <c r="BJ23" s="639">
        <v>-39.701999999999998</v>
      </c>
      <c r="BK23" s="639">
        <f>-15.353-BJ23</f>
        <v>24.348999999999997</v>
      </c>
      <c r="BL23" s="639">
        <f>18.995-SUM(BJ23:BK23)</f>
        <v>34.347999999999999</v>
      </c>
      <c r="BM23" s="639">
        <f>68.958+24.235-SUM(BJ23:BL23)</f>
        <v>74.198000000000008</v>
      </c>
      <c r="BN23" s="177">
        <f t="shared" si="29"/>
        <v>93.193000000000012</v>
      </c>
      <c r="BO23" s="236"/>
      <c r="BP23" s="177">
        <f>+'Bal Sht'!BQ26-'Bal Sht'!BO26</f>
        <v>7.5120799999999974</v>
      </c>
      <c r="BQ23" s="177">
        <f>+'Bal Sht'!BR26-'Bal Sht'!BQ26</f>
        <v>21.852756991743888</v>
      </c>
      <c r="BR23" s="177">
        <f>+'Bal Sht'!BS26-'Bal Sht'!BR26</f>
        <v>-2.7285820411527197</v>
      </c>
      <c r="BS23" s="177">
        <f>+'Bal Sht'!BT26-'Bal Sht'!BS26</f>
        <v>15.449706292759998</v>
      </c>
      <c r="BT23" s="177">
        <f t="shared" si="30"/>
        <v>42.085961243351164</v>
      </c>
      <c r="BU23" s="236"/>
      <c r="BV23" s="177">
        <f>+'Bal Sht'!BW26-'Bal Sht'!BU26</f>
        <v>5.0401823932898253</v>
      </c>
      <c r="BW23" s="177">
        <f>+'Bal Sht'!BX26-'Bal Sht'!BW26</f>
        <v>33.945574266065762</v>
      </c>
      <c r="BX23" s="177">
        <f>+'Bal Sht'!BY26-'Bal Sht'!BX26</f>
        <v>-6.0273151411710728</v>
      </c>
      <c r="BY23" s="177">
        <f>+'Bal Sht'!BZ26-'Bal Sht'!BY26</f>
        <v>18.842051545564971</v>
      </c>
      <c r="BZ23" s="177">
        <f t="shared" si="31"/>
        <v>51.800493063749485</v>
      </c>
      <c r="CA23" s="236"/>
      <c r="CB23" s="177">
        <f>+'Bal Sht'!CC26-'Bal Sht'!CA26</f>
        <v>-7.7647364904979668</v>
      </c>
      <c r="CC23" s="177">
        <f>+'Bal Sht'!CD26-'Bal Sht'!CC26</f>
        <v>36.037352571436315</v>
      </c>
      <c r="CD23" s="177">
        <f>+'Bal Sht'!CE26-'Bal Sht'!CD26</f>
        <v>-7.8436576075359881</v>
      </c>
      <c r="CE23" s="177">
        <f>+'Bal Sht'!CF26-'Bal Sht'!CE26</f>
        <v>19.544427257748396</v>
      </c>
      <c r="CF23" s="177">
        <f t="shared" si="32"/>
        <v>39.973385731150756</v>
      </c>
      <c r="CG23" s="177"/>
    </row>
    <row r="24" spans="1:85" ht="12.75" hidden="1" customHeight="1" outlineLevel="1" x14ac:dyDescent="0.2">
      <c r="A24" s="7" t="s">
        <v>118</v>
      </c>
      <c r="B24" s="169">
        <v>0.29199999999999998</v>
      </c>
      <c r="C24" s="169">
        <f>1.182-B24</f>
        <v>0.8899999999999999</v>
      </c>
      <c r="D24" s="169">
        <f>2.039-SUM(B24:C24)</f>
        <v>0.85700000000000021</v>
      </c>
      <c r="E24" s="169">
        <f>1.39-SUM(B24:D24)</f>
        <v>-0.64900000000000024</v>
      </c>
      <c r="F24" s="83">
        <f t="shared" si="19"/>
        <v>1.39</v>
      </c>
      <c r="G24" s="67"/>
      <c r="H24" s="169">
        <v>0.81599999999999995</v>
      </c>
      <c r="I24" s="169">
        <f>1.715-H24</f>
        <v>0.89900000000000013</v>
      </c>
      <c r="J24" s="169">
        <f>3.116-SUM(H24:I24)</f>
        <v>1.401</v>
      </c>
      <c r="K24" s="169">
        <f>4.559-SUM(H24:J24)</f>
        <v>1.4430000000000001</v>
      </c>
      <c r="L24" s="83">
        <f t="shared" si="20"/>
        <v>4.5590000000000002</v>
      </c>
      <c r="M24" s="67"/>
      <c r="N24" s="169">
        <v>3.1040000000000001</v>
      </c>
      <c r="O24" s="169">
        <f>6.42-N24</f>
        <v>3.3159999999999998</v>
      </c>
      <c r="P24" s="169">
        <f>11.051-SUM(N24:O24)</f>
        <v>4.6310000000000002</v>
      </c>
      <c r="Q24" s="169">
        <f>15.527-SUM(N24:P24)</f>
        <v>4.4759999999999991</v>
      </c>
      <c r="R24" s="83">
        <f t="shared" si="21"/>
        <v>15.526999999999999</v>
      </c>
      <c r="S24" s="67"/>
      <c r="T24" s="169">
        <v>5.1079999999999997</v>
      </c>
      <c r="U24" s="169">
        <f>-4.391-T24</f>
        <v>-9.4989999999999988</v>
      </c>
      <c r="V24" s="169">
        <f>-1.666-SUM(T24:U24)</f>
        <v>2.7249999999999992</v>
      </c>
      <c r="W24" s="169">
        <f>2.18-SUM(T24:V24)</f>
        <v>3.8460000000000001</v>
      </c>
      <c r="X24" s="83">
        <f t="shared" si="22"/>
        <v>2.1800000000000002</v>
      </c>
      <c r="Y24" s="67"/>
      <c r="Z24" s="169">
        <v>2.9990000000000001</v>
      </c>
      <c r="AA24" s="169">
        <f>5.775-Z24</f>
        <v>2.7760000000000002</v>
      </c>
      <c r="AB24" s="169">
        <v>5.0609999999999999</v>
      </c>
      <c r="AC24" s="169">
        <v>5.4979999999999993</v>
      </c>
      <c r="AD24" s="83">
        <f t="shared" si="23"/>
        <v>16.334</v>
      </c>
      <c r="AE24" s="255"/>
      <c r="AF24" s="235">
        <v>1.8089999999999999</v>
      </c>
      <c r="AG24" s="169">
        <f>7.004-AF24</f>
        <v>5.1949999999999994</v>
      </c>
      <c r="AH24" s="169">
        <f>12.674-AG24-AF24</f>
        <v>5.67</v>
      </c>
      <c r="AI24" s="169">
        <f>12.389-AH24-AG24-AF24</f>
        <v>-0.28499999999999992</v>
      </c>
      <c r="AJ24" s="177">
        <f t="shared" si="24"/>
        <v>12.388999999999999</v>
      </c>
      <c r="AK24" s="255"/>
      <c r="AL24" s="235">
        <v>-1.476</v>
      </c>
      <c r="AM24" s="235">
        <f>2.099-AL24</f>
        <v>3.5750000000000002</v>
      </c>
      <c r="AN24" s="169">
        <f>8.415-AM24-AL24</f>
        <v>6.3159999999999989</v>
      </c>
      <c r="AO24" s="169">
        <f>14.901-AN24-AM24-AL24</f>
        <v>6.4860000000000007</v>
      </c>
      <c r="AP24" s="177">
        <f t="shared" si="25"/>
        <v>14.901</v>
      </c>
      <c r="AQ24" s="255"/>
      <c r="AR24" s="235">
        <v>3.0830000000000002</v>
      </c>
      <c r="AS24" s="235">
        <f>6.705-AR24</f>
        <v>3.6219999999999999</v>
      </c>
      <c r="AT24" s="235">
        <f>9.957-AS24-AR24</f>
        <v>3.2520000000000007</v>
      </c>
      <c r="AU24" s="639">
        <f>15.767-SUM(AR24:AT24)</f>
        <v>5.8099999999999987</v>
      </c>
      <c r="AV24" s="177">
        <f t="shared" si="26"/>
        <v>15.766999999999999</v>
      </c>
      <c r="AW24" s="255"/>
      <c r="AX24" s="639">
        <v>6.0190000000000001</v>
      </c>
      <c r="AY24" s="639">
        <f>12.733-AX24</f>
        <v>6.7140000000000004</v>
      </c>
      <c r="AZ24" s="639">
        <f>28.182-SUM(AX24:AY24)</f>
        <v>15.448999999999998</v>
      </c>
      <c r="BA24" s="639">
        <f>41.854-SUM(AX24:AZ24)</f>
        <v>13.672000000000001</v>
      </c>
      <c r="BB24" s="177">
        <f t="shared" si="27"/>
        <v>41.853999999999999</v>
      </c>
      <c r="BC24" s="255"/>
      <c r="BD24" s="639">
        <v>14.747999999999999</v>
      </c>
      <c r="BE24" s="639">
        <f>29.787-BD24</f>
        <v>15.039</v>
      </c>
      <c r="BF24" s="639">
        <f>46.482-SUM(BD24:BE24)</f>
        <v>16.695</v>
      </c>
      <c r="BG24" s="639">
        <f>60.656-SUM(BD24:BF24)</f>
        <v>14.173999999999999</v>
      </c>
      <c r="BH24" s="177">
        <f t="shared" si="28"/>
        <v>60.655999999999999</v>
      </c>
      <c r="BI24" s="255"/>
      <c r="BJ24" s="639">
        <v>11.688000000000001</v>
      </c>
      <c r="BK24" s="639">
        <f>29.58-BJ24</f>
        <v>17.891999999999996</v>
      </c>
      <c r="BL24" s="639">
        <f>53.198-SUM(BJ24:BK24)</f>
        <v>23.618000000000002</v>
      </c>
      <c r="BM24" s="639">
        <f>79.662-SUM(BJ24:BL24)</f>
        <v>26.464000000000006</v>
      </c>
      <c r="BN24" s="177">
        <f t="shared" si="29"/>
        <v>79.662000000000006</v>
      </c>
      <c r="BO24" s="255"/>
      <c r="BP24" s="177">
        <f>+'Bal Sht'!BQ27-'Bal Sht'!BO27</f>
        <v>-4.6876000000000317</v>
      </c>
      <c r="BQ24" s="177">
        <f>+'Bal Sht'!BR27-'Bal Sht'!BQ27</f>
        <v>26.687315109118344</v>
      </c>
      <c r="BR24" s="177">
        <f>+'Bal Sht'!BS27-'Bal Sht'!BR27</f>
        <v>6.5014124760885466</v>
      </c>
      <c r="BS24" s="177">
        <f>+'Bal Sht'!BT27-'Bal Sht'!BS27</f>
        <v>28.746857974410602</v>
      </c>
      <c r="BT24" s="177">
        <f t="shared" si="30"/>
        <v>57.247985559617462</v>
      </c>
      <c r="BU24" s="255"/>
      <c r="BV24" s="177">
        <f>+'Bal Sht'!BW27-'Bal Sht'!BU27</f>
        <v>-6.2092591900410525</v>
      </c>
      <c r="BW24" s="177">
        <f>+'Bal Sht'!BX27-'Bal Sht'!BW27</f>
        <v>42.546817656828011</v>
      </c>
      <c r="BX24" s="177">
        <f>+'Bal Sht'!BY27-'Bal Sht'!BX27</f>
        <v>4.6695138224448556</v>
      </c>
      <c r="BY24" s="177">
        <f>+'Bal Sht'!BZ27-'Bal Sht'!BY27</f>
        <v>35.686915004386947</v>
      </c>
      <c r="BZ24" s="177">
        <f t="shared" si="31"/>
        <v>76.693987293618761</v>
      </c>
      <c r="CA24" s="255"/>
      <c r="CB24" s="177">
        <f>+'Bal Sht'!CC27-'Bal Sht'!CA27</f>
        <v>-26.474879176862714</v>
      </c>
      <c r="CC24" s="177">
        <f>+'Bal Sht'!CD27-'Bal Sht'!CC27</f>
        <v>45.560862057776546</v>
      </c>
      <c r="CD24" s="177">
        <f>+'Bal Sht'!CE27-'Bal Sht'!CD27</f>
        <v>4.3856144713899994</v>
      </c>
      <c r="CE24" s="177">
        <f>+'Bal Sht'!CF27-'Bal Sht'!CE27</f>
        <v>38.752653795706692</v>
      </c>
      <c r="CF24" s="177">
        <f t="shared" si="32"/>
        <v>62.224251148010524</v>
      </c>
      <c r="CG24" s="177"/>
    </row>
    <row r="25" spans="1:85" collapsed="1" x14ac:dyDescent="0.2">
      <c r="A25" s="6" t="s">
        <v>287</v>
      </c>
      <c r="B25" s="172">
        <f>SUM(,B18,B8:B16)</f>
        <v>0.73700000000000077</v>
      </c>
      <c r="C25" s="172">
        <f>SUM(,C18,C8:C16)</f>
        <v>12.969999999999992</v>
      </c>
      <c r="D25" s="172">
        <f>SUM(,D18,D8:D16)</f>
        <v>22.075999999999997</v>
      </c>
      <c r="E25" s="172">
        <f>SUM(,E18,E8:E16)</f>
        <v>16.994000000000003</v>
      </c>
      <c r="F25" s="172">
        <f>SUM(,F18,F8:F16)</f>
        <v>52.776999999999987</v>
      </c>
      <c r="G25" s="66"/>
      <c r="H25" s="172">
        <f>SUM(,H18,H8:H16)</f>
        <v>3.161999999999991</v>
      </c>
      <c r="I25" s="172">
        <f>SUM(,I18,I8:I16)</f>
        <v>10.470000000000006</v>
      </c>
      <c r="J25" s="172">
        <f>SUM(,J18,J8:J16)</f>
        <v>17.359000000000009</v>
      </c>
      <c r="K25" s="172">
        <f>SUM(,K18,K8:K16)</f>
        <v>8.7549999999999919</v>
      </c>
      <c r="L25" s="172">
        <f>SUM(,L18,L8:L16)</f>
        <v>39.745999999999981</v>
      </c>
      <c r="M25" s="66"/>
      <c r="N25" s="172">
        <f>SUM(,N18,N8:N16)</f>
        <v>10.602999999999989</v>
      </c>
      <c r="O25" s="172">
        <f>SUM(,O18,O8:O16)</f>
        <v>18.510000000000002</v>
      </c>
      <c r="P25" s="172">
        <f>SUM(,P18,P8:P16)</f>
        <v>10.793000000000006</v>
      </c>
      <c r="Q25" s="172">
        <f>SUM(,Q18,Q8:Q16)</f>
        <v>34.258999999999965</v>
      </c>
      <c r="R25" s="172">
        <f>SUM(,R18,R8:R16)</f>
        <v>74.164999999999949</v>
      </c>
      <c r="S25" s="66"/>
      <c r="T25" s="172">
        <f>SUM(,T18,T8:T16)</f>
        <v>18.645000000000003</v>
      </c>
      <c r="U25" s="172">
        <f>SUM(,U18,U8:U16)</f>
        <v>42.596000000000004</v>
      </c>
      <c r="V25" s="172">
        <f>SUM(,V18,V8:V16)</f>
        <v>35.763000000000005</v>
      </c>
      <c r="W25" s="172">
        <f>SUM(,W18,W8:W16)</f>
        <v>32.524999999999963</v>
      </c>
      <c r="X25" s="172">
        <f>SUM(,X18,X8:X16)</f>
        <v>129.52899999999997</v>
      </c>
      <c r="Y25" s="66"/>
      <c r="Z25" s="172">
        <f>SUM(,Z18,Z8:Z16)</f>
        <v>17.248000000000005</v>
      </c>
      <c r="AA25" s="172">
        <f>SUM(,AA18,AA8:AA16)</f>
        <v>29.695999999999998</v>
      </c>
      <c r="AB25" s="172">
        <f>SUM(,AB18,AB8:AB16)</f>
        <v>41.534999999999997</v>
      </c>
      <c r="AC25" s="172">
        <f>SUM(,AC18,AC8:AC16)</f>
        <v>41.989999999999988</v>
      </c>
      <c r="AD25" s="172">
        <f>SUM(,AD18,AD8:AD16)</f>
        <v>130.46899999999999</v>
      </c>
      <c r="AE25" s="253"/>
      <c r="AF25" s="256">
        <f>SUM(,AF18,AF8:AF16)</f>
        <v>15.424000000000003</v>
      </c>
      <c r="AG25" s="172">
        <f>SUM(,AG18,AG8:AG16)</f>
        <v>27.330999999999992</v>
      </c>
      <c r="AH25" s="172">
        <f>SUM(,AH18,AH8:AH16)</f>
        <v>40.265000000000001</v>
      </c>
      <c r="AI25" s="256">
        <f>SUM(,AI18,AI8:AI16)</f>
        <v>50.757999999999996</v>
      </c>
      <c r="AJ25" s="256">
        <f>SUM(,AJ18,AJ8:AJ16)</f>
        <v>133.77800000000002</v>
      </c>
      <c r="AK25" s="253"/>
      <c r="AL25" s="256">
        <f>SUM(,AL18,AL8:AL16)</f>
        <v>18.157000000000004</v>
      </c>
      <c r="AM25" s="256">
        <f>SUM(,AM18,AM8:AM16)</f>
        <v>45.569000000000003</v>
      </c>
      <c r="AN25" s="172">
        <f>SUM(,AN18,AN8:AN16)</f>
        <v>55.137999999999991</v>
      </c>
      <c r="AO25" s="256">
        <f>SUM(,AO18,AO8:AO16)</f>
        <v>67.111999999999995</v>
      </c>
      <c r="AP25" s="256">
        <f>SUM(,AP18,AP8:AP16)</f>
        <v>185.97599999999997</v>
      </c>
      <c r="AQ25" s="253"/>
      <c r="AR25" s="256">
        <f>SUM(,AR18,AR8:AR16)</f>
        <v>17.993000000000006</v>
      </c>
      <c r="AS25" s="256">
        <f>SUM(,AS18,AS8:AS16)</f>
        <v>69.72999999999999</v>
      </c>
      <c r="AT25" s="256">
        <f>SUM(,AT18,AT8:AT16)</f>
        <v>67.570999999999998</v>
      </c>
      <c r="AU25" s="256">
        <f>SUM(,AU18,AU8:AU16)</f>
        <v>71.60499999999999</v>
      </c>
      <c r="AV25" s="256">
        <f>SUM(,AV18,AV8:AV16)</f>
        <v>226.89899999999997</v>
      </c>
      <c r="AW25" s="253"/>
      <c r="AX25" s="256">
        <f>SUM(,AX18,AX8:AX16)</f>
        <v>35.644999999999989</v>
      </c>
      <c r="AY25" s="256">
        <f>SUM(,AY18,AY8:AY16)</f>
        <v>62.940000000000005</v>
      </c>
      <c r="AZ25" s="256">
        <f>SUM(,AZ18,AZ8:AZ16)</f>
        <v>60.056999999999988</v>
      </c>
      <c r="BA25" s="256">
        <f>SUM(,BA18,BA8:BA16)</f>
        <v>79.355000000000004</v>
      </c>
      <c r="BB25" s="256">
        <f>SUM(,BB18,BB8:BB16)</f>
        <v>237.99699999999999</v>
      </c>
      <c r="BC25" s="253"/>
      <c r="BD25" s="256">
        <f>SUM(,BD18,BD8:BD16)</f>
        <v>38.761999999999993</v>
      </c>
      <c r="BE25" s="256">
        <f>SUM(,BE18,BE8:BE16)</f>
        <v>78.782000000000011</v>
      </c>
      <c r="BF25" s="256">
        <f>SUM(,BF18,BF8:BF16)</f>
        <v>63.073000000000008</v>
      </c>
      <c r="BG25" s="256">
        <f>SUM(,BG18,BG8:BG16)</f>
        <v>83.809999999999988</v>
      </c>
      <c r="BH25" s="256">
        <f>SUM(,BH18,BH8:BH16)</f>
        <v>264.42700000000002</v>
      </c>
      <c r="BI25" s="253"/>
      <c r="BJ25" s="256">
        <f>SUM(,BJ18,BJ8:BJ16)</f>
        <v>47.621000000000009</v>
      </c>
      <c r="BK25" s="256">
        <f>SUM(,BK18,BK8:BK16)</f>
        <v>110.467</v>
      </c>
      <c r="BL25" s="256">
        <f>SUM(,BL18,BL8:BL16)</f>
        <v>118.12500000000001</v>
      </c>
      <c r="BM25" s="256">
        <f>SUM(,BM18,BM8:BM16)</f>
        <v>162.32599999999999</v>
      </c>
      <c r="BN25" s="256">
        <f>SUM(,BN18,BN8:BN16)</f>
        <v>438.53899999999999</v>
      </c>
      <c r="BO25" s="253"/>
      <c r="BP25" s="256">
        <f>SUM(,BP18,BP8:BP16)</f>
        <v>87.618841029526592</v>
      </c>
      <c r="BQ25" s="256">
        <f>SUM(,BQ18,BQ8:BQ16)</f>
        <v>147.24198784877387</v>
      </c>
      <c r="BR25" s="256">
        <f>SUM(,BR18,BR8:BR16)</f>
        <v>120.31654292498003</v>
      </c>
      <c r="BS25" s="256">
        <f>SUM(,BS18,BS8:BS16)</f>
        <v>169.48728448900897</v>
      </c>
      <c r="BT25" s="256">
        <f>SUM(,BT18,BT8:BT16)</f>
        <v>524.66465629228946</v>
      </c>
      <c r="BU25" s="253"/>
      <c r="BV25" s="256">
        <f>SUM(,BV18,BV8:BV16)</f>
        <v>127.93684632131348</v>
      </c>
      <c r="BW25" s="256">
        <f>SUM(,BW18,BW8:BW16)</f>
        <v>192.09740992834566</v>
      </c>
      <c r="BX25" s="256">
        <f>SUM(,BX18,BX8:BX16)</f>
        <v>169.45210438791736</v>
      </c>
      <c r="BY25" s="256">
        <f>SUM(,BY18,BY8:BY16)</f>
        <v>231.22954065897699</v>
      </c>
      <c r="BZ25" s="256">
        <f>SUM(,BZ18,BZ8:BZ16)</f>
        <v>720.7159012965534</v>
      </c>
      <c r="CA25" s="253"/>
      <c r="CB25" s="256">
        <f>SUM(,CB18,CB8:CB16)</f>
        <v>177.79520556702832</v>
      </c>
      <c r="CC25" s="256">
        <f>SUM(,CC18,CC8:CC16)</f>
        <v>255.8674078196058</v>
      </c>
      <c r="CD25" s="256">
        <f>SUM(,CD18,CD8:CD16)</f>
        <v>230.67522490760308</v>
      </c>
      <c r="CE25" s="256">
        <f>SUM(,CE18,CE8:CE16)</f>
        <v>305.5523098566843</v>
      </c>
      <c r="CF25" s="256">
        <f>SUM(,CF18,CF8:CF16)</f>
        <v>969.89014815092139</v>
      </c>
      <c r="CG25" s="252"/>
    </row>
    <row r="26" spans="1:85" ht="4.5" customHeight="1" x14ac:dyDescent="0.2">
      <c r="A26" s="2"/>
      <c r="B26" s="12"/>
      <c r="C26" s="12"/>
      <c r="D26" s="12"/>
      <c r="E26" s="12"/>
      <c r="F26" s="12"/>
      <c r="G26" s="66"/>
      <c r="H26" s="12"/>
      <c r="I26" s="12"/>
      <c r="J26" s="12"/>
      <c r="K26" s="12"/>
      <c r="L26" s="12"/>
      <c r="M26" s="66"/>
      <c r="N26" s="12"/>
      <c r="O26" s="12"/>
      <c r="P26" s="12"/>
      <c r="Q26" s="12"/>
      <c r="R26" s="12"/>
      <c r="S26" s="66"/>
      <c r="T26" s="12"/>
      <c r="U26" s="12"/>
      <c r="V26" s="12"/>
      <c r="W26" s="12"/>
      <c r="X26" s="12"/>
      <c r="Y26" s="66"/>
      <c r="Z26" s="12"/>
      <c r="AA26" s="12"/>
      <c r="AB26" s="12"/>
      <c r="AC26" s="12"/>
      <c r="AD26" s="451"/>
      <c r="AE26" s="253"/>
      <c r="AF26" s="35"/>
      <c r="AG26" s="12"/>
      <c r="AH26" s="12"/>
      <c r="AI26" s="35"/>
      <c r="AJ26" s="35"/>
      <c r="AK26" s="253"/>
      <c r="AL26" s="35"/>
      <c r="AM26" s="35"/>
      <c r="AN26" s="12"/>
      <c r="AO26" s="35"/>
      <c r="AP26" s="35"/>
      <c r="AQ26" s="253"/>
      <c r="AR26" s="35"/>
      <c r="AS26" s="35"/>
      <c r="AT26" s="35"/>
      <c r="AU26" s="35"/>
      <c r="AV26" s="35"/>
      <c r="AW26" s="253"/>
      <c r="AX26" s="35"/>
      <c r="AY26" s="35"/>
      <c r="AZ26" s="35"/>
      <c r="BA26" s="35"/>
      <c r="BB26" s="35"/>
      <c r="BC26" s="253"/>
      <c r="BD26" s="35"/>
      <c r="BE26" s="35"/>
      <c r="BF26" s="35"/>
      <c r="BG26" s="35"/>
      <c r="BH26" s="35"/>
      <c r="BI26" s="253"/>
      <c r="BJ26" s="35"/>
      <c r="BK26" s="35"/>
      <c r="BM26" s="35"/>
      <c r="BN26" s="35"/>
      <c r="BO26" s="253"/>
      <c r="BP26" s="35"/>
      <c r="BQ26" s="35"/>
      <c r="BR26" s="35"/>
      <c r="BS26" s="35"/>
      <c r="BT26" s="35"/>
      <c r="BU26" s="253"/>
      <c r="BV26" s="35"/>
      <c r="BW26" s="35"/>
      <c r="BX26" s="35"/>
      <c r="BY26" s="35"/>
      <c r="BZ26" s="35"/>
      <c r="CA26" s="253"/>
      <c r="CB26" s="35"/>
      <c r="CC26" s="35"/>
      <c r="CD26" s="35"/>
      <c r="CE26" s="35"/>
      <c r="CF26" s="35"/>
      <c r="CG26" s="35"/>
    </row>
    <row r="27" spans="1:85" x14ac:dyDescent="0.2">
      <c r="A27" s="29" t="s">
        <v>288</v>
      </c>
      <c r="B27" s="12"/>
      <c r="C27" s="12"/>
      <c r="D27" s="12"/>
      <c r="E27" s="12"/>
      <c r="F27" s="12"/>
      <c r="G27" s="68"/>
      <c r="H27" s="12"/>
      <c r="I27" s="12"/>
      <c r="J27" s="12"/>
      <c r="K27" s="12"/>
      <c r="L27" s="12"/>
      <c r="M27" s="68"/>
      <c r="N27" s="12"/>
      <c r="O27" s="12"/>
      <c r="P27" s="12"/>
      <c r="Q27" s="12"/>
      <c r="R27" s="12"/>
      <c r="S27" s="68"/>
      <c r="T27" s="12"/>
      <c r="U27" s="12"/>
      <c r="V27" s="12"/>
      <c r="W27" s="12"/>
      <c r="X27" s="12"/>
      <c r="Y27" s="68"/>
      <c r="Z27" s="12"/>
      <c r="AA27" s="12"/>
      <c r="AB27" s="12"/>
      <c r="AC27" s="12"/>
      <c r="AD27" s="451"/>
      <c r="AE27" s="337"/>
      <c r="AF27" s="35"/>
      <c r="AG27" s="12"/>
      <c r="AH27" s="12"/>
      <c r="AI27" s="35"/>
      <c r="AJ27" s="35"/>
      <c r="AK27" s="337"/>
      <c r="AL27" s="35"/>
      <c r="AM27" s="35"/>
      <c r="AN27" s="12"/>
      <c r="AO27" s="35"/>
      <c r="AP27" s="35"/>
      <c r="AQ27" s="337"/>
      <c r="AR27" s="35"/>
      <c r="AS27" s="35"/>
      <c r="AT27" s="35"/>
      <c r="AU27" s="35"/>
      <c r="AV27" s="35"/>
      <c r="AW27" s="337"/>
      <c r="AX27" s="35"/>
      <c r="AY27" s="35"/>
      <c r="AZ27" s="35"/>
      <c r="BA27" s="35"/>
      <c r="BB27" s="35"/>
      <c r="BC27" s="337"/>
      <c r="BD27" s="35"/>
      <c r="BE27" s="35"/>
      <c r="BF27" s="35"/>
      <c r="BG27" s="35"/>
      <c r="BH27" s="35"/>
      <c r="BI27" s="337"/>
      <c r="BJ27" s="35"/>
      <c r="BK27" s="35"/>
      <c r="BL27" s="35"/>
      <c r="BM27" s="35"/>
      <c r="BN27" s="35"/>
      <c r="BO27" s="337"/>
      <c r="BP27" s="35"/>
      <c r="BQ27" s="35"/>
      <c r="BR27" s="35"/>
      <c r="BS27" s="35"/>
      <c r="BT27" s="35"/>
      <c r="BU27" s="337"/>
      <c r="BV27" s="35"/>
      <c r="BW27" s="35"/>
      <c r="BX27" s="35"/>
      <c r="BY27" s="35"/>
      <c r="BZ27" s="35"/>
      <c r="CA27" s="337"/>
      <c r="CB27" s="35"/>
      <c r="CC27" s="35"/>
      <c r="CD27" s="35"/>
      <c r="CE27" s="35"/>
      <c r="CF27" s="35"/>
      <c r="CG27" s="35"/>
    </row>
    <row r="28" spans="1:85" x14ac:dyDescent="0.2">
      <c r="A28" s="2" t="s">
        <v>141</v>
      </c>
      <c r="B28" s="169">
        <v>-1.762</v>
      </c>
      <c r="C28" s="169">
        <f>-3.426-B28</f>
        <v>-1.6640000000000001</v>
      </c>
      <c r="D28" s="169">
        <f>-6.305-SUM(B28:C28)</f>
        <v>-2.8789999999999996</v>
      </c>
      <c r="E28" s="169">
        <f>-7.429-SUM(B28:D28)</f>
        <v>-1.1240000000000006</v>
      </c>
      <c r="F28" s="83">
        <f>SUM(B28:E28)</f>
        <v>-7.4290000000000003</v>
      </c>
      <c r="G28" s="63"/>
      <c r="H28" s="169">
        <v>-5.1920000000000002</v>
      </c>
      <c r="I28" s="169">
        <f>-9.634-H28</f>
        <v>-4.4420000000000002</v>
      </c>
      <c r="J28" s="169">
        <f>-12.361-SUM(H28:I28)</f>
        <v>-2.7270000000000003</v>
      </c>
      <c r="K28" s="169">
        <f>-14.334-SUM(H28:J28)</f>
        <v>-1.972999999999999</v>
      </c>
      <c r="L28" s="83">
        <f>SUM(H28:K28)</f>
        <v>-14.334</v>
      </c>
      <c r="M28" s="63"/>
      <c r="N28" s="169">
        <v>-1.8859999999999999</v>
      </c>
      <c r="O28" s="169">
        <f>-3.044-N28</f>
        <v>-1.1580000000000001</v>
      </c>
      <c r="P28" s="169">
        <f>-4.084-SUM(N28:O28)</f>
        <v>-1.0399999999999996</v>
      </c>
      <c r="Q28" s="169">
        <f>-7.192-SUM(N28:P28)</f>
        <v>-3.1080000000000005</v>
      </c>
      <c r="R28" s="83">
        <f>SUM(N28:Q28)</f>
        <v>-7.1920000000000002</v>
      </c>
      <c r="S28" s="63"/>
      <c r="T28" s="169">
        <v>-4.53</v>
      </c>
      <c r="U28" s="169">
        <f>-8.849-T28</f>
        <v>-4.319</v>
      </c>
      <c r="V28" s="169">
        <f>-11.932-SUM(T28:U28)</f>
        <v>-3.0830000000000002</v>
      </c>
      <c r="W28" s="169">
        <f>-18.031-SUM(T28:V28)</f>
        <v>-6.0989999999999984</v>
      </c>
      <c r="X28" s="83">
        <f>SUM(T28:W28)</f>
        <v>-18.030999999999999</v>
      </c>
      <c r="Y28" s="63"/>
      <c r="Z28" s="169">
        <v>-2.8250000000000002</v>
      </c>
      <c r="AA28" s="169">
        <f>-8.522-Z28</f>
        <v>-5.6970000000000001</v>
      </c>
      <c r="AB28" s="169">
        <v>-12.507000000000001</v>
      </c>
      <c r="AC28" s="169">
        <v>-9.2799999999999994</v>
      </c>
      <c r="AD28" s="254">
        <f>SUM(Z28:AC28)</f>
        <v>-30.309000000000005</v>
      </c>
      <c r="AE28" s="236"/>
      <c r="AF28" s="235">
        <v>-12.558999999999999</v>
      </c>
      <c r="AG28" s="169">
        <f>-25.778-AF28</f>
        <v>-13.218999999999999</v>
      </c>
      <c r="AH28" s="169">
        <f>-31.485-AG28-AF28</f>
        <v>-5.706999999999999</v>
      </c>
      <c r="AI28" s="169">
        <f>-38.333-AH28-AG28-AF28</f>
        <v>-6.8479999999999972</v>
      </c>
      <c r="AJ28" s="177">
        <f>SUM(AF28:AI28)</f>
        <v>-38.332999999999998</v>
      </c>
      <c r="AK28" s="236"/>
      <c r="AL28" s="235">
        <v>-5.6079999999999997</v>
      </c>
      <c r="AM28" s="235">
        <f>-9.389-AL28</f>
        <v>-3.7809999999999997</v>
      </c>
      <c r="AN28" s="169">
        <f>-15.172-AM28-AL28</f>
        <v>-5.7830000000000021</v>
      </c>
      <c r="AO28" s="169">
        <f>-19.412-AN28-AM28-AL28</f>
        <v>-4.2399999999999993</v>
      </c>
      <c r="AP28" s="177">
        <f>SUM(AL28:AO28)</f>
        <v>-19.411999999999999</v>
      </c>
      <c r="AQ28" s="236"/>
      <c r="AR28" s="235">
        <v>-4.9960000000000004</v>
      </c>
      <c r="AS28" s="235">
        <f>-9.96-AR28</f>
        <v>-4.9640000000000004</v>
      </c>
      <c r="AT28" s="235">
        <f>-16.957-AS28-AR28</f>
        <v>-6.9969999999999999</v>
      </c>
      <c r="AU28" s="639">
        <f>-24.092-SUM(AR28:AT28)</f>
        <v>-7.134999999999998</v>
      </c>
      <c r="AV28" s="177">
        <f>SUM(AR28:AU28)</f>
        <v>-24.091999999999999</v>
      </c>
      <c r="AW28" s="236"/>
      <c r="AX28" s="639">
        <v>-15.612</v>
      </c>
      <c r="AY28" s="639">
        <f>-26.172-AX28</f>
        <v>-10.56</v>
      </c>
      <c r="AZ28" s="639">
        <f>-36.663-SUM(AX28:AY28)</f>
        <v>-10.490999999999996</v>
      </c>
      <c r="BA28" s="639">
        <f>-53.451-SUM(AX28:AZ28)</f>
        <v>-16.788000000000004</v>
      </c>
      <c r="BB28" s="177">
        <f>SUM(AX28:BA28)</f>
        <v>-53.451000000000001</v>
      </c>
      <c r="BC28" s="236"/>
      <c r="BD28" s="639">
        <v>-20.207000000000001</v>
      </c>
      <c r="BE28" s="639">
        <f>-39.025-BD28</f>
        <v>-18.817999999999998</v>
      </c>
      <c r="BF28" s="639">
        <f>-56.368-SUM(BD28:BE28)</f>
        <v>-17.343000000000004</v>
      </c>
      <c r="BG28" s="639">
        <f>-70.576-SUM(BD28:BF28)</f>
        <v>-14.207999999999991</v>
      </c>
      <c r="BH28" s="177">
        <f>SUM(BD28:BG28)</f>
        <v>-70.575999999999993</v>
      </c>
      <c r="BI28" s="236"/>
      <c r="BJ28" s="639">
        <v>-59.569000000000003</v>
      </c>
      <c r="BK28" s="639">
        <f>-78.045-BJ28</f>
        <v>-18.475999999999999</v>
      </c>
      <c r="BL28" s="639">
        <f>-126.15-SUM(BJ28:BK28)</f>
        <v>-48.105000000000004</v>
      </c>
      <c r="BM28" s="639">
        <f>-195.695-SUM(BJ28:BL28)</f>
        <v>-69.544999999999987</v>
      </c>
      <c r="BN28" s="177">
        <f>SUM(BJ28:BM28)</f>
        <v>-195.69499999999999</v>
      </c>
      <c r="BO28" s="236"/>
      <c r="BP28" s="35">
        <f>-'Bal Sht'!BQ110</f>
        <v>-69.907839999999993</v>
      </c>
      <c r="BQ28" s="35">
        <f>-'Bal Sht'!BR110</f>
        <v>-77.024457362431548</v>
      </c>
      <c r="BR28" s="35">
        <f>-'Bal Sht'!BS110</f>
        <v>-78.758167356055168</v>
      </c>
      <c r="BS28" s="35">
        <f>-'Bal Sht'!BT110</f>
        <v>-86.423996149231314</v>
      </c>
      <c r="BT28" s="177">
        <f>SUM(BP28:BS28)</f>
        <v>-312.11446086771804</v>
      </c>
      <c r="BU28" s="236"/>
      <c r="BV28" s="35">
        <f>-'Bal Sht'!BW110</f>
        <v>-52.980121061596073</v>
      </c>
      <c r="BW28" s="35">
        <f>-'Bal Sht'!BX110</f>
        <v>-60.071257337734075</v>
      </c>
      <c r="BX28" s="35">
        <f>-'Bal Sht'!BY110</f>
        <v>-60.849509641474882</v>
      </c>
      <c r="BY28" s="35">
        <f>-'Bal Sht'!BZ110</f>
        <v>-66.797328808872706</v>
      </c>
      <c r="BZ28" s="177">
        <f>SUM(BV28:BY28)</f>
        <v>-240.69821684967775</v>
      </c>
      <c r="CA28" s="236"/>
      <c r="CB28" s="35">
        <f>-'Bal Sht'!CC110</f>
        <v>-62.384848946062256</v>
      </c>
      <c r="CC28" s="35">
        <f>-'Bal Sht'!CD110</f>
        <v>-69.978325955691673</v>
      </c>
      <c r="CD28" s="35">
        <f>-'Bal Sht'!CE110</f>
        <v>-70.709261700923349</v>
      </c>
      <c r="CE28" s="35">
        <f>-'Bal Sht'!CF110</f>
        <v>-77.168037333541122</v>
      </c>
      <c r="CF28" s="177">
        <f>SUM(CB28:CE28)</f>
        <v>-280.24047393621839</v>
      </c>
      <c r="CG28" s="177"/>
    </row>
    <row r="29" spans="1:85" x14ac:dyDescent="0.2">
      <c r="A29" s="2" t="s">
        <v>270</v>
      </c>
      <c r="B29" s="169">
        <v>0</v>
      </c>
      <c r="C29" s="169">
        <f>0-B29</f>
        <v>0</v>
      </c>
      <c r="D29" s="169">
        <f>0-SUM(B29:C29)</f>
        <v>0</v>
      </c>
      <c r="E29" s="169">
        <f>0-SUM(B29:D29)</f>
        <v>0</v>
      </c>
      <c r="F29" s="83">
        <f>SUM(B29:E29)</f>
        <v>0</v>
      </c>
      <c r="G29" s="63"/>
      <c r="H29" s="169">
        <v>0</v>
      </c>
      <c r="I29" s="169">
        <f>0-H29</f>
        <v>0</v>
      </c>
      <c r="J29" s="169">
        <f>0-SUM(H29:I29)</f>
        <v>0</v>
      </c>
      <c r="K29" s="169">
        <f>0-SUM(H29:J29)</f>
        <v>0</v>
      </c>
      <c r="L29" s="83">
        <f>SUM(H29:K29)</f>
        <v>0</v>
      </c>
      <c r="M29" s="63"/>
      <c r="N29" s="169">
        <v>0</v>
      </c>
      <c r="O29" s="169">
        <f>0-N29</f>
        <v>0</v>
      </c>
      <c r="P29" s="169">
        <f>0-SUM(N29:O29)</f>
        <v>0</v>
      </c>
      <c r="Q29" s="169">
        <f>0-SUM(N29:P29)</f>
        <v>0</v>
      </c>
      <c r="R29" s="83">
        <f>SUM(N29:Q29)</f>
        <v>0</v>
      </c>
      <c r="S29" s="63"/>
      <c r="T29" s="169">
        <v>0</v>
      </c>
      <c r="U29" s="169">
        <f>0-T29</f>
        <v>0</v>
      </c>
      <c r="V29" s="169">
        <f>0-SUM(T29:U29)</f>
        <v>0</v>
      </c>
      <c r="W29" s="169">
        <f>0-SUM(T29:V29)</f>
        <v>0</v>
      </c>
      <c r="X29" s="83">
        <f>SUM(T29:W29)</f>
        <v>0</v>
      </c>
      <c r="Y29" s="63"/>
      <c r="Z29" s="169">
        <v>0</v>
      </c>
      <c r="AA29" s="169">
        <f>-186.949-Z29</f>
        <v>-186.94900000000001</v>
      </c>
      <c r="AB29" s="169">
        <v>2.9000000000024784E-2</v>
      </c>
      <c r="AC29" s="169">
        <v>-0.66800000000000637</v>
      </c>
      <c r="AD29" s="254">
        <f>SUM(Z29:AC29)</f>
        <v>-187.58799999999999</v>
      </c>
      <c r="AE29" s="236"/>
      <c r="AF29" s="235">
        <v>0</v>
      </c>
      <c r="AG29" s="169">
        <v>0</v>
      </c>
      <c r="AH29" s="169">
        <v>0</v>
      </c>
      <c r="AI29" s="169">
        <f>0-AH29-AG29-AF29</f>
        <v>0</v>
      </c>
      <c r="AJ29" s="177">
        <f>SUM(AF29:AI29)</f>
        <v>0</v>
      </c>
      <c r="AK29" s="236"/>
      <c r="AL29" s="235">
        <v>0</v>
      </c>
      <c r="AM29" s="235">
        <f>-7.652-AL29</f>
        <v>-7.6520000000000001</v>
      </c>
      <c r="AN29" s="169">
        <f>-7.652-AM29-AL29</f>
        <v>0</v>
      </c>
      <c r="AO29" s="169">
        <f>-7.652-AN29-AM29-AL29</f>
        <v>0</v>
      </c>
      <c r="AP29" s="177">
        <f>SUM(AL29:AO29)</f>
        <v>-7.6520000000000001</v>
      </c>
      <c r="AQ29" s="236"/>
      <c r="AR29" s="235">
        <v>0</v>
      </c>
      <c r="AS29" s="235">
        <f>0-AR29</f>
        <v>0</v>
      </c>
      <c r="AT29" s="235">
        <v>0</v>
      </c>
      <c r="AU29" s="639">
        <f>0-SUM(AR29:AT29)</f>
        <v>0</v>
      </c>
      <c r="AV29" s="177">
        <f>SUM(AR29:AU29)</f>
        <v>0</v>
      </c>
      <c r="AW29" s="236"/>
      <c r="AX29" s="639">
        <v>0</v>
      </c>
      <c r="AY29" s="639">
        <f>0-AX29</f>
        <v>0</v>
      </c>
      <c r="AZ29" s="639">
        <f>0-SUM(AX29:AY29)</f>
        <v>0</v>
      </c>
      <c r="BA29" s="639">
        <f>0-SUM(AX29:AZ29)</f>
        <v>0</v>
      </c>
      <c r="BB29" s="177">
        <f>SUM(AX29:BA29)</f>
        <v>0</v>
      </c>
      <c r="BC29" s="236"/>
      <c r="BD29" s="639">
        <v>0</v>
      </c>
      <c r="BE29" s="639">
        <v>0</v>
      </c>
      <c r="BF29" s="639">
        <f t="shared" ref="BF29:BF30" si="33">0-SUM(BD29:BE29)</f>
        <v>0</v>
      </c>
      <c r="BG29" s="639">
        <f t="shared" ref="BG29:BG30" si="34">0-SUM(BD29:BF29)</f>
        <v>0</v>
      </c>
      <c r="BH29" s="177">
        <f>SUM(BD29:BG29)</f>
        <v>0</v>
      </c>
      <c r="BI29" s="236"/>
      <c r="BJ29" s="639">
        <v>-8.9529999999999994</v>
      </c>
      <c r="BK29" s="639">
        <f>-8.953-BJ29</f>
        <v>0</v>
      </c>
      <c r="BL29" s="639">
        <f>-8.953-SUM(BJ29:BK29)</f>
        <v>0</v>
      </c>
      <c r="BM29" s="639">
        <f>-8.953-SUM(BJ29:BL29)</f>
        <v>0</v>
      </c>
      <c r="BN29" s="177">
        <f>SUM(BJ29:BM29)</f>
        <v>-8.9529999999999994</v>
      </c>
      <c r="BO29" s="236"/>
      <c r="BP29" s="385">
        <v>0</v>
      </c>
      <c r="BQ29" s="385">
        <v>0</v>
      </c>
      <c r="BR29" s="385">
        <v>0</v>
      </c>
      <c r="BS29" s="385">
        <v>0</v>
      </c>
      <c r="BT29" s="177">
        <f>SUM(BP29:BS29)</f>
        <v>0</v>
      </c>
      <c r="BU29" s="236"/>
      <c r="BV29" s="385">
        <v>0</v>
      </c>
      <c r="BW29" s="385">
        <v>0</v>
      </c>
      <c r="BX29" s="385">
        <v>0</v>
      </c>
      <c r="BY29" s="385">
        <v>0</v>
      </c>
      <c r="BZ29" s="177">
        <f>SUM(BV29:BY29)</f>
        <v>0</v>
      </c>
      <c r="CA29" s="236"/>
      <c r="CB29" s="385">
        <v>0</v>
      </c>
      <c r="CC29" s="385">
        <v>0</v>
      </c>
      <c r="CD29" s="385">
        <v>0</v>
      </c>
      <c r="CE29" s="385">
        <v>0</v>
      </c>
      <c r="CF29" s="177">
        <f>SUM(CB29:CE29)</f>
        <v>0</v>
      </c>
      <c r="CG29" s="177"/>
    </row>
    <row r="30" spans="1:85" x14ac:dyDescent="0.2">
      <c r="A30" s="2" t="s">
        <v>142</v>
      </c>
      <c r="B30" s="169">
        <v>0</v>
      </c>
      <c r="C30" s="169">
        <f>0-B30</f>
        <v>0</v>
      </c>
      <c r="D30" s="169">
        <f>0.074-SUM(B30:C30)</f>
        <v>7.3999999999999996E-2</v>
      </c>
      <c r="E30" s="169">
        <f>0.077-SUM(B30:D30)</f>
        <v>3.0000000000000027E-3</v>
      </c>
      <c r="F30" s="83">
        <f>SUM(B30:E30)</f>
        <v>7.6999999999999999E-2</v>
      </c>
      <c r="G30" s="64"/>
      <c r="H30" s="169">
        <v>0</v>
      </c>
      <c r="I30" s="169">
        <f>0-H30</f>
        <v>0</v>
      </c>
      <c r="J30" s="169">
        <f>0-SUM(H30:I30)</f>
        <v>0</v>
      </c>
      <c r="K30" s="169">
        <f>0.021-SUM(H30:J30)</f>
        <v>2.1000000000000001E-2</v>
      </c>
      <c r="L30" s="83">
        <f>SUM(H30:K30)</f>
        <v>2.1000000000000001E-2</v>
      </c>
      <c r="M30" s="64"/>
      <c r="N30" s="169">
        <v>0</v>
      </c>
      <c r="O30" s="169">
        <f>0-N30</f>
        <v>0</v>
      </c>
      <c r="P30" s="169">
        <f>0-SUM(N30:O30)</f>
        <v>0</v>
      </c>
      <c r="Q30" s="169">
        <f>0-SUM(N30:P30)</f>
        <v>0</v>
      </c>
      <c r="R30" s="83">
        <f>SUM(N30:Q30)</f>
        <v>0</v>
      </c>
      <c r="S30" s="64"/>
      <c r="T30" s="169">
        <v>0</v>
      </c>
      <c r="U30" s="169">
        <f>0-T30</f>
        <v>0</v>
      </c>
      <c r="V30" s="169">
        <f>0-SUM(T30:U30)</f>
        <v>0</v>
      </c>
      <c r="W30" s="169">
        <f>0-SUM(T30:V30)</f>
        <v>0</v>
      </c>
      <c r="X30" s="83">
        <f>SUM(T30:W30)</f>
        <v>0</v>
      </c>
      <c r="Y30" s="64"/>
      <c r="Z30" s="169">
        <v>-7.9909999999999997</v>
      </c>
      <c r="AA30" s="169">
        <f>0-Z30</f>
        <v>7.9909999999999997</v>
      </c>
      <c r="AB30" s="169">
        <v>0</v>
      </c>
      <c r="AC30" s="169">
        <v>-4.0259999999999998</v>
      </c>
      <c r="AD30" s="254">
        <f>SUM(Z30:AC30)</f>
        <v>-4.0259999999999998</v>
      </c>
      <c r="AE30" s="178"/>
      <c r="AF30" s="235">
        <v>3.0000000000000001E-3</v>
      </c>
      <c r="AG30" s="169">
        <f>2.848-AF30</f>
        <v>2.8449999999999998</v>
      </c>
      <c r="AH30" s="169">
        <f>2.462-AG30-AF30</f>
        <v>-0.38599999999999957</v>
      </c>
      <c r="AI30" s="169">
        <f>2.471-AH30-AG30-AF30</f>
        <v>9.0000000000000115E-3</v>
      </c>
      <c r="AJ30" s="177">
        <f>SUM(AF30:AI30)</f>
        <v>2.4710000000000001</v>
      </c>
      <c r="AK30" s="178"/>
      <c r="AL30" s="235">
        <v>1.0529999999999999</v>
      </c>
      <c r="AM30" s="235">
        <f>1.053-AL30</f>
        <v>0</v>
      </c>
      <c r="AN30" s="169">
        <f>0-AM30-AL30</f>
        <v>-1.0529999999999999</v>
      </c>
      <c r="AO30" s="169">
        <f>0-AN30-AM30-AL30</f>
        <v>0</v>
      </c>
      <c r="AP30" s="177">
        <f>SUM(AL30:AO30)</f>
        <v>0</v>
      </c>
      <c r="AQ30" s="178"/>
      <c r="AR30" s="235">
        <v>0</v>
      </c>
      <c r="AS30" s="235">
        <f>0-AR30</f>
        <v>0</v>
      </c>
      <c r="AT30" s="235">
        <v>0</v>
      </c>
      <c r="AU30" s="639">
        <f>0-SUM(AR30:AT30)</f>
        <v>0</v>
      </c>
      <c r="AV30" s="177">
        <f>SUM(AR30:AU30)</f>
        <v>0</v>
      </c>
      <c r="AW30" s="178"/>
      <c r="AX30" s="639">
        <v>0</v>
      </c>
      <c r="AY30" s="639">
        <f>0-AX30</f>
        <v>0</v>
      </c>
      <c r="AZ30" s="639">
        <f>0-SUM(AX30:AY30)</f>
        <v>0</v>
      </c>
      <c r="BA30" s="639">
        <f>0-SUM(AX30:AZ30)</f>
        <v>0</v>
      </c>
      <c r="BB30" s="177">
        <f>SUM(AX30:BA30)</f>
        <v>0</v>
      </c>
      <c r="BC30" s="178"/>
      <c r="BD30" s="639">
        <v>0</v>
      </c>
      <c r="BE30" s="639">
        <v>0</v>
      </c>
      <c r="BF30" s="639">
        <f t="shared" si="33"/>
        <v>0</v>
      </c>
      <c r="BG30" s="639">
        <f t="shared" si="34"/>
        <v>0</v>
      </c>
      <c r="BH30" s="177">
        <f>SUM(BD30:BG30)</f>
        <v>0</v>
      </c>
      <c r="BI30" s="178"/>
      <c r="BJ30" s="639">
        <v>0</v>
      </c>
      <c r="BK30" s="639">
        <f t="shared" ref="BK30" si="35">0-BJ30</f>
        <v>0</v>
      </c>
      <c r="BL30" s="639">
        <f t="shared" ref="BL30" si="36">0-SUM(BJ30:BK30)</f>
        <v>0</v>
      </c>
      <c r="BM30" s="639">
        <f t="shared" ref="BM30" si="37">0-SUM(BJ30:BL30)</f>
        <v>0</v>
      </c>
      <c r="BN30" s="177">
        <f>SUM(BJ30:BM30)</f>
        <v>0</v>
      </c>
      <c r="BO30" s="178"/>
      <c r="BP30" s="385">
        <v>0</v>
      </c>
      <c r="BQ30" s="385">
        <v>0</v>
      </c>
      <c r="BR30" s="385">
        <v>0</v>
      </c>
      <c r="BS30" s="385">
        <v>0</v>
      </c>
      <c r="BT30" s="177">
        <f>SUM(BP30:BS30)</f>
        <v>0</v>
      </c>
      <c r="BU30" s="178"/>
      <c r="BV30" s="385">
        <v>0</v>
      </c>
      <c r="BW30" s="385">
        <v>0</v>
      </c>
      <c r="BX30" s="385">
        <v>0</v>
      </c>
      <c r="BY30" s="385">
        <v>0</v>
      </c>
      <c r="BZ30" s="177">
        <f>SUM(BV30:BY30)</f>
        <v>0</v>
      </c>
      <c r="CA30" s="178"/>
      <c r="CB30" s="385">
        <v>0</v>
      </c>
      <c r="CC30" s="385">
        <v>0</v>
      </c>
      <c r="CD30" s="385">
        <v>0</v>
      </c>
      <c r="CE30" s="385">
        <v>0</v>
      </c>
      <c r="CF30" s="177">
        <f>SUM(CB30:CE30)</f>
        <v>0</v>
      </c>
      <c r="CG30" s="177"/>
    </row>
    <row r="31" spans="1:85" x14ac:dyDescent="0.2">
      <c r="A31" s="2" t="s">
        <v>165</v>
      </c>
      <c r="B31" s="169">
        <f>-5.817+5.364</f>
        <v>-0.45300000000000029</v>
      </c>
      <c r="C31" s="169">
        <f>-17.586+10.18-B31</f>
        <v>-6.9529999999999985</v>
      </c>
      <c r="D31" s="169">
        <f>-31.651+18.555-SUM(B31:C31)</f>
        <v>-5.6900000000000013</v>
      </c>
      <c r="E31" s="169">
        <f>-64.686+34.797-SUM(B31:D31)</f>
        <v>-16.79300000000001</v>
      </c>
      <c r="F31" s="83">
        <f>SUM(B31:E31)</f>
        <v>-29.88900000000001</v>
      </c>
      <c r="G31" s="63"/>
      <c r="H31" s="169">
        <f>-10.725+30.859</f>
        <v>20.134</v>
      </c>
      <c r="I31" s="169">
        <f>-45.148+36.309-H31</f>
        <v>-28.973000000000006</v>
      </c>
      <c r="J31" s="169">
        <f>-65.094+66.463-SUM(H31:I31)</f>
        <v>10.208000000000006</v>
      </c>
      <c r="K31" s="169">
        <f>-75.05+87.926-SUM(H31:J31)</f>
        <v>11.507000000000005</v>
      </c>
      <c r="L31" s="83">
        <f>SUM(H31:K31)</f>
        <v>12.876000000000005</v>
      </c>
      <c r="M31" s="63"/>
      <c r="N31" s="169">
        <f>-13.977+12.293</f>
        <v>-1.6840000000000011</v>
      </c>
      <c r="O31" s="169">
        <f>-20.972+26.027-N31</f>
        <v>6.7390000000000008</v>
      </c>
      <c r="P31" s="169">
        <f>-33.94+40.91-SUM(N31:O31)</f>
        <v>1.9149999999999991</v>
      </c>
      <c r="Q31" s="169">
        <f>-42.923+48.893-SUM(N31:P31)</f>
        <v>-1</v>
      </c>
      <c r="R31" s="83">
        <f>SUM(N31:Q31)</f>
        <v>5.9699999999999989</v>
      </c>
      <c r="S31" s="63"/>
      <c r="T31" s="169">
        <v>4.9880000000000004</v>
      </c>
      <c r="U31" s="169">
        <f>10.98-T31</f>
        <v>5.992</v>
      </c>
      <c r="V31" s="169">
        <f>-12.742+17.474-SUM(T31:U31)</f>
        <v>-6.2480000000000011</v>
      </c>
      <c r="W31" s="169">
        <f>-18.334+20.59-SUM(T31:V31)</f>
        <v>-2.4759999999999991</v>
      </c>
      <c r="X31" s="83">
        <f>SUM(T31:W31)</f>
        <v>2.2560000000000002</v>
      </c>
      <c r="Y31" s="63"/>
      <c r="Z31" s="169">
        <v>3.7669999999999999</v>
      </c>
      <c r="AA31" s="169">
        <f>6.859-Z31</f>
        <v>3.0920000000000001</v>
      </c>
      <c r="AB31" s="169">
        <v>1.9830000000000001</v>
      </c>
      <c r="AC31" s="169">
        <v>1.4750000000000001</v>
      </c>
      <c r="AD31" s="254">
        <f>SUM(Z31:AC31)</f>
        <v>10.317</v>
      </c>
      <c r="AE31" s="177"/>
      <c r="AF31" s="235">
        <f>-28.19+2.751</f>
        <v>-25.439</v>
      </c>
      <c r="AG31" s="169">
        <f>-33.857-AF31</f>
        <v>-8.4179999999999993</v>
      </c>
      <c r="AH31" s="169">
        <f>-53.862-AG31-AF31+17.363</f>
        <v>-2.642000000000003</v>
      </c>
      <c r="AI31" s="169">
        <f>-67.511+25.198-AH31-AG31-AF31</f>
        <v>-5.813999999999993</v>
      </c>
      <c r="AJ31" s="177">
        <f>SUM(AF31:AI31)</f>
        <v>-42.312999999999995</v>
      </c>
      <c r="AK31" s="177"/>
      <c r="AL31" s="235">
        <f>-3.282+4.366</f>
        <v>1.0839999999999996</v>
      </c>
      <c r="AM31" s="235">
        <f>-127.646-AL31</f>
        <v>-128.72999999999999</v>
      </c>
      <c r="AN31" s="169">
        <f>-213.99+32.229+6.943-AM31-AL31</f>
        <v>-47.172000000000025</v>
      </c>
      <c r="AO31" s="169">
        <f>-303.917+90.917+31.741-AN31-AM31-AL31</f>
        <v>-6.4409999999999421</v>
      </c>
      <c r="AP31" s="177">
        <f>SUM(AL31:AO31)</f>
        <v>-181.25899999999996</v>
      </c>
      <c r="AQ31" s="177"/>
      <c r="AR31" s="235">
        <f>53.137-157.919+10.564</f>
        <v>-94.218000000000018</v>
      </c>
      <c r="AS31" s="235">
        <f>-232.178+92.005+32.683-AR31</f>
        <v>-13.271999999999991</v>
      </c>
      <c r="AT31" s="235">
        <f>-350.611+124.101+72.276-AS31-AR31</f>
        <v>-46.743999999999971</v>
      </c>
      <c r="AU31" s="639">
        <f>-437.152+176.81+82.99-SUM(AR31:AT31)</f>
        <v>-23.117999999999995</v>
      </c>
      <c r="AV31" s="177">
        <f>SUM(AR31:AU31)</f>
        <v>-177.35199999999998</v>
      </c>
      <c r="AW31" s="177"/>
      <c r="AX31" s="639">
        <f>-113.508+86.908+5.505</f>
        <v>-21.094999999999995</v>
      </c>
      <c r="AY31" s="639">
        <f>-195.399+148.685+12.518-AX31</f>
        <v>-13.101000000000003</v>
      </c>
      <c r="AZ31" s="639">
        <f>-306.938+238.412+12.518-SUM(AX31:AY31)</f>
        <v>-21.811999999999983</v>
      </c>
      <c r="BA31" s="639">
        <f>-447.092+304.125+30.011-SUM(AX31:AZ31)</f>
        <v>-56.948000000000008</v>
      </c>
      <c r="BB31" s="177">
        <f>SUM(AX31:BA31)</f>
        <v>-112.95599999999999</v>
      </c>
      <c r="BC31" s="177"/>
      <c r="BD31" s="639">
        <f>-143.926+128.524+0.293</f>
        <v>-15.108999999999988</v>
      </c>
      <c r="BE31" s="639">
        <f>-241.364-BD31+210.693+24.224</f>
        <v>8.6619999999999884</v>
      </c>
      <c r="BF31" s="639">
        <f>-283.797+328.498+209.302-SUM(BD31:BE31)</f>
        <v>260.44999999999993</v>
      </c>
      <c r="BG31" s="639">
        <f>-405.612+387.873+216.119-SUM(BD31:BF31)</f>
        <v>-55.622999999999962</v>
      </c>
      <c r="BH31" s="177">
        <f>SUM(BD31:BG31)</f>
        <v>198.37999999999997</v>
      </c>
      <c r="BI31" s="177"/>
      <c r="BJ31" s="639">
        <f>-169.777+87.003+11.684</f>
        <v>-71.089999999999989</v>
      </c>
      <c r="BK31" s="639">
        <f>-212.226+173.094+32.352-BJ31</f>
        <v>64.309999999999974</v>
      </c>
      <c r="BL31" s="639">
        <f>+-356.928+260.487-12.764+32.291-SUM(BJ31:BK31)</f>
        <v>-70.133999999999958</v>
      </c>
      <c r="BM31" s="639">
        <f>-390.244+349.24+39.536-SUM(BJ31:BL31)</f>
        <v>75.445999999999955</v>
      </c>
      <c r="BN31" s="177">
        <f>SUM(BJ31:BM31)</f>
        <v>-1.4680000000000177</v>
      </c>
      <c r="BO31" s="177"/>
      <c r="BP31" s="177">
        <f>+'Bal Sht'!BO10-'Bal Sht'!BQ10+'Bal Sht'!BO16-'Bal Sht'!BQ16</f>
        <v>0</v>
      </c>
      <c r="BQ31" s="177">
        <f>+'Bal Sht'!BQ10-'Bal Sht'!BR10+'Bal Sht'!BQ16-'Bal Sht'!BR16</f>
        <v>0</v>
      </c>
      <c r="BR31" s="177">
        <f>+'Bal Sht'!BR10-'Bal Sht'!BS10+'Bal Sht'!BR16-'Bal Sht'!BS16</f>
        <v>0</v>
      </c>
      <c r="BS31" s="177">
        <f>+'Bal Sht'!BS10-'Bal Sht'!BT10+'Bal Sht'!BS16-'Bal Sht'!BT16</f>
        <v>0</v>
      </c>
      <c r="BT31" s="177">
        <f>SUM(BP31:BS31)</f>
        <v>0</v>
      </c>
      <c r="BU31" s="177"/>
      <c r="BV31" s="177">
        <f>+'Bal Sht'!BU10-'Bal Sht'!BW10+'Bal Sht'!BU16-'Bal Sht'!BW16</f>
        <v>0</v>
      </c>
      <c r="BW31" s="177">
        <f>+'Bal Sht'!BW10-'Bal Sht'!BX10+'Bal Sht'!BW16-'Bal Sht'!BX16</f>
        <v>0</v>
      </c>
      <c r="BX31" s="177">
        <f>+'Bal Sht'!BX10-'Bal Sht'!BY10+'Bal Sht'!BX16-'Bal Sht'!BY16</f>
        <v>0</v>
      </c>
      <c r="BY31" s="177">
        <f>+'Bal Sht'!BY10-'Bal Sht'!BZ10+'Bal Sht'!BY16-'Bal Sht'!BZ16</f>
        <v>0</v>
      </c>
      <c r="BZ31" s="177">
        <f>SUM(BV31:BY31)</f>
        <v>0</v>
      </c>
      <c r="CA31" s="177"/>
      <c r="CB31" s="177">
        <f>+'Bal Sht'!CA10-'Bal Sht'!CC10+'Bal Sht'!CA16-'Bal Sht'!CC16</f>
        <v>0</v>
      </c>
      <c r="CC31" s="177">
        <f>+'Bal Sht'!CC10-'Bal Sht'!CD10+'Bal Sht'!CC16-'Bal Sht'!CD16</f>
        <v>0</v>
      </c>
      <c r="CD31" s="177">
        <f>+'Bal Sht'!CD10-'Bal Sht'!CE10+'Bal Sht'!CD16-'Bal Sht'!CE16</f>
        <v>0</v>
      </c>
      <c r="CE31" s="177">
        <f>+'Bal Sht'!CE10-'Bal Sht'!CF10+'Bal Sht'!CE16-'Bal Sht'!CF16</f>
        <v>0</v>
      </c>
      <c r="CF31" s="177">
        <f>SUM(CB31:CE31)</f>
        <v>0</v>
      </c>
      <c r="CG31" s="177"/>
    </row>
    <row r="32" spans="1:85" x14ac:dyDescent="0.2">
      <c r="A32" s="2" t="s">
        <v>135</v>
      </c>
      <c r="B32" s="169">
        <v>0.124</v>
      </c>
      <c r="C32" s="169">
        <f>0.302-B32</f>
        <v>0.17799999999999999</v>
      </c>
      <c r="D32" s="169">
        <f>0.363-SUM(B32:C32)</f>
        <v>6.0999999999999999E-2</v>
      </c>
      <c r="E32" s="169">
        <f>0.462-SUM(B32:D32)</f>
        <v>9.9000000000000032E-2</v>
      </c>
      <c r="F32" s="83">
        <f>SUM(B32:E32)</f>
        <v>0.46200000000000002</v>
      </c>
      <c r="G32" s="66"/>
      <c r="H32" s="169">
        <f>0.108+0.185</f>
        <v>0.29299999999999998</v>
      </c>
      <c r="I32" s="169">
        <f>0.17+0.185-H32</f>
        <v>6.2E-2</v>
      </c>
      <c r="J32" s="169">
        <f>0.272+0.189-SUM(H32:I32)</f>
        <v>0.10600000000000004</v>
      </c>
      <c r="K32" s="169">
        <f>0.193+0.189-SUM(H32:J32)</f>
        <v>-7.9000000000000015E-2</v>
      </c>
      <c r="L32" s="83">
        <f>SUM(H32:K32)</f>
        <v>0.38200000000000001</v>
      </c>
      <c r="M32" s="66"/>
      <c r="N32" s="169">
        <v>3.5999999999999997E-2</v>
      </c>
      <c r="O32" s="169">
        <f>0.1-N32</f>
        <v>6.4000000000000001E-2</v>
      </c>
      <c r="P32" s="169">
        <f>0.035-SUM(N32:O32)</f>
        <v>-6.5000000000000002E-2</v>
      </c>
      <c r="Q32" s="169">
        <f>-0.334-SUM(N32:P32)</f>
        <v>-0.36899999999999999</v>
      </c>
      <c r="R32" s="83">
        <f>SUM(N32:Q32)</f>
        <v>-0.33399999999999996</v>
      </c>
      <c r="S32" s="66"/>
      <c r="T32" s="169">
        <v>-0.246</v>
      </c>
      <c r="U32" s="169">
        <f>-0.172-T32</f>
        <v>7.400000000000001E-2</v>
      </c>
      <c r="V32" s="169">
        <f>-1.356-SUM(T32:U32)</f>
        <v>-1.1840000000000002</v>
      </c>
      <c r="W32" s="169">
        <f>-0.145-SUM(T32:V32)</f>
        <v>1.2110000000000001</v>
      </c>
      <c r="X32" s="83">
        <f>SUM(T32:W32)</f>
        <v>-0.14500000000000002</v>
      </c>
      <c r="Y32" s="66"/>
      <c r="Z32" s="169">
        <v>-0.17699999999999999</v>
      </c>
      <c r="AA32" s="169">
        <f>0.406-Z32</f>
        <v>0.58299999999999996</v>
      </c>
      <c r="AB32" s="169">
        <v>-0.59599999999999986</v>
      </c>
      <c r="AC32" s="169">
        <v>0.19</v>
      </c>
      <c r="AD32" s="254">
        <f>SUM(Z32:AC32)</f>
        <v>0</v>
      </c>
      <c r="AE32" s="253"/>
      <c r="AF32" s="235">
        <v>0</v>
      </c>
      <c r="AG32" s="169">
        <f>-0.125-AF32</f>
        <v>-0.125</v>
      </c>
      <c r="AH32" s="169">
        <f>-0.126-AG32-AF32</f>
        <v>-1.0000000000000009E-3</v>
      </c>
      <c r="AI32" s="169">
        <f>-0.125-AH32-AG32-AF32</f>
        <v>1.0000000000000009E-3</v>
      </c>
      <c r="AJ32" s="177">
        <f>SUM(AF32:AI32)</f>
        <v>-0.125</v>
      </c>
      <c r="AK32" s="253"/>
      <c r="AL32" s="235">
        <v>2.5999999999999999E-2</v>
      </c>
      <c r="AM32" s="235">
        <f>-0.138-AL32</f>
        <v>-0.16400000000000001</v>
      </c>
      <c r="AN32" s="169">
        <f>-2.347-AM32-AL32</f>
        <v>-2.2089999999999996</v>
      </c>
      <c r="AO32" s="169">
        <f>-2.411-AN32-AM32-AL32</f>
        <v>-6.400000000000039E-2</v>
      </c>
      <c r="AP32" s="177">
        <f>SUM(AL32:AO32)</f>
        <v>-2.411</v>
      </c>
      <c r="AQ32" s="253"/>
      <c r="AR32" s="235">
        <v>-0.13300000000000001</v>
      </c>
      <c r="AS32" s="235">
        <f>-0.133-AR32</f>
        <v>0</v>
      </c>
      <c r="AT32" s="235">
        <f>-0.182-AS32-AR32</f>
        <v>-4.8999999999999988E-2</v>
      </c>
      <c r="AU32" s="639">
        <f>-0.183-SUM(AR32:AT32)</f>
        <v>-1.0000000000000009E-3</v>
      </c>
      <c r="AV32" s="177">
        <f>SUM(AR32:AU32)</f>
        <v>-0.183</v>
      </c>
      <c r="AW32" s="253"/>
      <c r="AX32" s="639">
        <v>4.5999999999999999E-2</v>
      </c>
      <c r="AY32" s="639">
        <f>0.046-AX32</f>
        <v>0</v>
      </c>
      <c r="AZ32" s="639">
        <f>0.046-SUM(AX32:AY32)</f>
        <v>0</v>
      </c>
      <c r="BA32" s="639">
        <f>0.046-SUM(AX32:AZ32)</f>
        <v>0</v>
      </c>
      <c r="BB32" s="177">
        <f>SUM(AX32:BA32)</f>
        <v>4.5999999999999999E-2</v>
      </c>
      <c r="BC32" s="253"/>
      <c r="BD32" s="639">
        <v>0</v>
      </c>
      <c r="BE32" s="639">
        <f>-6.031-BD32</f>
        <v>-6.0309999999999997</v>
      </c>
      <c r="BF32" s="639">
        <f>-46.745-8.031-SUM(BD32:BE32)</f>
        <v>-48.744999999999997</v>
      </c>
      <c r="BG32" s="639">
        <f>-8.211-46.745-SUM(BD32:BF32)</f>
        <v>-0.17999999999999972</v>
      </c>
      <c r="BH32" s="177">
        <f>SUM(BD32:BG32)</f>
        <v>-54.955999999999996</v>
      </c>
      <c r="BI32" s="253"/>
      <c r="BJ32" s="639">
        <f>-8+2.314</f>
        <v>-5.6859999999999999</v>
      </c>
      <c r="BK32" s="639">
        <f>-15+0.224-BJ32</f>
        <v>-9.09</v>
      </c>
      <c r="BL32" s="639">
        <f>-23+6+0.397-SUM(BJ32:BK32)</f>
        <v>-1.8270000000000017</v>
      </c>
      <c r="BM32" s="639">
        <f>-12.764-36+6+0.567-SUM(BJ32:BL32)</f>
        <v>-25.593999999999994</v>
      </c>
      <c r="BN32" s="177">
        <f>SUM(BJ32:BM32)</f>
        <v>-42.196999999999996</v>
      </c>
      <c r="BO32" s="253"/>
      <c r="BP32" s="385">
        <v>0</v>
      </c>
      <c r="BQ32" s="385">
        <v>0</v>
      </c>
      <c r="BR32" s="385">
        <v>0</v>
      </c>
      <c r="BS32" s="385">
        <v>0</v>
      </c>
      <c r="BT32" s="177">
        <f>SUM(BP32:BS32)</f>
        <v>0</v>
      </c>
      <c r="BU32" s="253"/>
      <c r="BV32" s="385">
        <v>0</v>
      </c>
      <c r="BW32" s="385">
        <v>0</v>
      </c>
      <c r="BX32" s="385">
        <v>0</v>
      </c>
      <c r="BY32" s="385">
        <v>0</v>
      </c>
      <c r="BZ32" s="177">
        <f>SUM(BV32:BY32)</f>
        <v>0</v>
      </c>
      <c r="CA32" s="253"/>
      <c r="CB32" s="385">
        <v>0</v>
      </c>
      <c r="CC32" s="385">
        <v>0</v>
      </c>
      <c r="CD32" s="385">
        <v>0</v>
      </c>
      <c r="CE32" s="385">
        <v>0</v>
      </c>
      <c r="CF32" s="177">
        <f>SUM(CB32:CE32)</f>
        <v>0</v>
      </c>
      <c r="CG32" s="177"/>
    </row>
    <row r="33" spans="1:85" x14ac:dyDescent="0.2">
      <c r="A33" s="6" t="s">
        <v>289</v>
      </c>
      <c r="B33" s="172">
        <f>SUM(B28:B32)</f>
        <v>-2.0910000000000002</v>
      </c>
      <c r="C33" s="172">
        <f>SUM(C28:C32)</f>
        <v>-8.4389999999999983</v>
      </c>
      <c r="D33" s="172">
        <f>SUM(D28:D32)</f>
        <v>-8.4340000000000011</v>
      </c>
      <c r="E33" s="172">
        <f>SUM(E28:E32)</f>
        <v>-17.815000000000008</v>
      </c>
      <c r="F33" s="172">
        <f>SUM(F28:F32)</f>
        <v>-36.779000000000011</v>
      </c>
      <c r="G33" s="69"/>
      <c r="H33" s="172">
        <f>SUM(H28:H32)</f>
        <v>15.234999999999999</v>
      </c>
      <c r="I33" s="172">
        <f>SUM(I28:I32)</f>
        <v>-33.353000000000009</v>
      </c>
      <c r="J33" s="172">
        <f>SUM(J28:J32)</f>
        <v>7.5870000000000051</v>
      </c>
      <c r="K33" s="172">
        <f>SUM(K28:K32)</f>
        <v>9.4760000000000062</v>
      </c>
      <c r="L33" s="172">
        <f>SUM(L28:L32)</f>
        <v>-1.0549999999999939</v>
      </c>
      <c r="M33" s="69"/>
      <c r="N33" s="172">
        <f>SUM(N28:N32)</f>
        <v>-3.5340000000000011</v>
      </c>
      <c r="O33" s="172">
        <f>SUM(O28:O32)</f>
        <v>5.6450000000000005</v>
      </c>
      <c r="P33" s="172">
        <f>SUM(P28:P32)</f>
        <v>0.80999999999999961</v>
      </c>
      <c r="Q33" s="172">
        <f>SUM(Q28:Q32)</f>
        <v>-4.4770000000000003</v>
      </c>
      <c r="R33" s="172">
        <f>SUM(R28:R32)</f>
        <v>-1.5560000000000014</v>
      </c>
      <c r="S33" s="69"/>
      <c r="T33" s="172">
        <f>SUM(T28:T32)</f>
        <v>0.21200000000000019</v>
      </c>
      <c r="U33" s="172">
        <f>SUM(U28:U32)</f>
        <v>1.7470000000000001</v>
      </c>
      <c r="V33" s="172">
        <f>SUM(V28:V32)</f>
        <v>-10.515000000000001</v>
      </c>
      <c r="W33" s="172">
        <f>SUM(W28:W32)</f>
        <v>-7.3639999999999972</v>
      </c>
      <c r="X33" s="172">
        <f>SUM(X28:X32)</f>
        <v>-15.919999999999998</v>
      </c>
      <c r="Y33" s="106"/>
      <c r="Z33" s="172">
        <f>SUM(Z28:Z32)</f>
        <v>-7.2259999999999991</v>
      </c>
      <c r="AA33" s="172">
        <f>SUM(AA28:AA32)</f>
        <v>-180.98000000000002</v>
      </c>
      <c r="AB33" s="172">
        <f>SUM(AB28:AB32)</f>
        <v>-11.090999999999976</v>
      </c>
      <c r="AC33" s="172">
        <f>SUM(AC28:AC32)</f>
        <v>-12.309000000000006</v>
      </c>
      <c r="AD33" s="452">
        <f>SUM(AD28:AD32)</f>
        <v>-211.60599999999999</v>
      </c>
      <c r="AE33" s="106"/>
      <c r="AF33" s="256">
        <f>SUM(AF28:AF32)</f>
        <v>-37.994999999999997</v>
      </c>
      <c r="AG33" s="172">
        <f>SUM(AG28:AG32)</f>
        <v>-18.916999999999998</v>
      </c>
      <c r="AH33" s="172">
        <f>SUM(AH28:AH32)</f>
        <v>-8.7360000000000007</v>
      </c>
      <c r="AI33" s="256">
        <f>SUM(AI28:AI32)</f>
        <v>-12.65199999999999</v>
      </c>
      <c r="AJ33" s="172">
        <f>SUM(AJ28:AJ32)</f>
        <v>-78.299999999999983</v>
      </c>
      <c r="AK33" s="106"/>
      <c r="AL33" s="256">
        <f>SUM(AL28:AL32)</f>
        <v>-3.4450000000000003</v>
      </c>
      <c r="AM33" s="256">
        <f>SUM(AM28:AM32)</f>
        <v>-140.32699999999997</v>
      </c>
      <c r="AN33" s="172">
        <f>SUM(AN28:AN32)</f>
        <v>-56.217000000000027</v>
      </c>
      <c r="AO33" s="256">
        <f>SUM(AO28:AO32)</f>
        <v>-10.744999999999941</v>
      </c>
      <c r="AP33" s="172">
        <f>SUM(AP28:AP32)</f>
        <v>-210.73399999999995</v>
      </c>
      <c r="AQ33" s="106"/>
      <c r="AR33" s="256">
        <f>SUM(AR28:AR32)</f>
        <v>-99.347000000000008</v>
      </c>
      <c r="AS33" s="256">
        <f>SUM(AS28:AS32)</f>
        <v>-18.23599999999999</v>
      </c>
      <c r="AT33" s="256">
        <f>SUM(AT28:AT32)</f>
        <v>-53.789999999999971</v>
      </c>
      <c r="AU33" s="256">
        <f>SUM(AU28:AU32)</f>
        <v>-30.253999999999994</v>
      </c>
      <c r="AV33" s="172">
        <f>SUM(AV28:AV32)</f>
        <v>-201.62699999999995</v>
      </c>
      <c r="AW33" s="106"/>
      <c r="AX33" s="256">
        <f>SUM(AX28:AX32)</f>
        <v>-36.660999999999994</v>
      </c>
      <c r="AY33" s="256">
        <f>SUM(AY28:AY32)</f>
        <v>-23.661000000000001</v>
      </c>
      <c r="AZ33" s="256">
        <f>SUM(AZ28:AZ32)</f>
        <v>-32.302999999999983</v>
      </c>
      <c r="BA33" s="256">
        <f>SUM(BA28:BA32)</f>
        <v>-73.736000000000018</v>
      </c>
      <c r="BB33" s="172">
        <f>SUM(BB28:BB32)</f>
        <v>-166.36099999999999</v>
      </c>
      <c r="BC33" s="106"/>
      <c r="BD33" s="256">
        <f>SUM(BD28:BD32)</f>
        <v>-35.315999999999988</v>
      </c>
      <c r="BE33" s="256">
        <f>SUM(BE28:BE32)</f>
        <v>-16.187000000000008</v>
      </c>
      <c r="BF33" s="256">
        <f>SUM(BF28:BF32)</f>
        <v>194.36199999999991</v>
      </c>
      <c r="BG33" s="256">
        <f>SUM(BG28:BG32)</f>
        <v>-70.010999999999967</v>
      </c>
      <c r="BH33" s="172">
        <f>SUM(BH28:BH32)</f>
        <v>72.847999999999985</v>
      </c>
      <c r="BI33" s="106"/>
      <c r="BJ33" s="256">
        <f>SUM(BJ28:BJ32)</f>
        <v>-145.298</v>
      </c>
      <c r="BK33" s="256">
        <f>SUM(BK28:BK32)</f>
        <v>36.743999999999971</v>
      </c>
      <c r="BL33" s="256">
        <f>SUM(BL28:BL32)</f>
        <v>-120.06599999999996</v>
      </c>
      <c r="BM33" s="256">
        <f>SUM(BM28:BM32)</f>
        <v>-19.693000000000026</v>
      </c>
      <c r="BN33" s="172">
        <f>SUM(BN28:BN32)</f>
        <v>-248.31300000000002</v>
      </c>
      <c r="BO33" s="106"/>
      <c r="BP33" s="256">
        <f>SUM(BP28:BP32)</f>
        <v>-69.907839999999993</v>
      </c>
      <c r="BQ33" s="256">
        <f>SUM(BQ28:BQ32)</f>
        <v>-77.024457362431548</v>
      </c>
      <c r="BR33" s="256">
        <f>SUM(BR28:BR32)</f>
        <v>-78.758167356055168</v>
      </c>
      <c r="BS33" s="256">
        <f>SUM(BS28:BS32)</f>
        <v>-86.423996149231314</v>
      </c>
      <c r="BT33" s="172">
        <f>SUM(BT28:BT32)</f>
        <v>-312.11446086771804</v>
      </c>
      <c r="BU33" s="106"/>
      <c r="BV33" s="256">
        <f>SUM(BV28:BV32)</f>
        <v>-52.980121061596073</v>
      </c>
      <c r="BW33" s="256">
        <f>SUM(BW28:BW32)</f>
        <v>-60.071257337734075</v>
      </c>
      <c r="BX33" s="256">
        <f>SUM(BX28:BX32)</f>
        <v>-60.849509641474882</v>
      </c>
      <c r="BY33" s="256">
        <f>SUM(BY28:BY32)</f>
        <v>-66.797328808872706</v>
      </c>
      <c r="BZ33" s="172">
        <f>SUM(BZ28:BZ32)</f>
        <v>-240.69821684967775</v>
      </c>
      <c r="CA33" s="106"/>
      <c r="CB33" s="256">
        <f>SUM(CB28:CB32)</f>
        <v>-62.384848946062256</v>
      </c>
      <c r="CC33" s="256">
        <f>SUM(CC28:CC32)</f>
        <v>-69.978325955691673</v>
      </c>
      <c r="CD33" s="256">
        <f>SUM(CD28:CD32)</f>
        <v>-70.709261700923349</v>
      </c>
      <c r="CE33" s="256">
        <f>SUM(CE28:CE32)</f>
        <v>-77.168037333541122</v>
      </c>
      <c r="CF33" s="172">
        <f>SUM(CF28:CF32)</f>
        <v>-280.24047393621839</v>
      </c>
      <c r="CG33" s="65"/>
    </row>
    <row r="34" spans="1:85" ht="4.5" customHeight="1" x14ac:dyDescent="0.2">
      <c r="A34" s="2"/>
      <c r="B34" s="12"/>
      <c r="C34" s="12"/>
      <c r="D34" s="12"/>
      <c r="E34" s="12"/>
      <c r="F34" s="12"/>
      <c r="G34" s="63"/>
      <c r="H34" s="12"/>
      <c r="I34" s="12"/>
      <c r="J34" s="12"/>
      <c r="K34" s="12"/>
      <c r="L34" s="12"/>
      <c r="M34" s="63"/>
      <c r="N34" s="12"/>
      <c r="O34" s="12"/>
      <c r="P34" s="12"/>
      <c r="Q34" s="12"/>
      <c r="R34" s="12"/>
      <c r="S34" s="63"/>
      <c r="T34" s="12"/>
      <c r="U34" s="12"/>
      <c r="V34" s="12"/>
      <c r="W34" s="12"/>
      <c r="X34" s="12"/>
      <c r="Y34" s="106"/>
      <c r="Z34" s="12"/>
      <c r="AA34" s="12"/>
      <c r="AB34" s="12"/>
      <c r="AC34" s="12"/>
      <c r="AD34" s="453"/>
      <c r="AE34" s="106"/>
      <c r="AF34" s="35"/>
      <c r="AG34" s="12"/>
      <c r="AH34" s="12"/>
      <c r="AI34" s="35"/>
      <c r="AJ34" s="12"/>
      <c r="AK34" s="106"/>
      <c r="AL34" s="35"/>
      <c r="AM34" s="35"/>
      <c r="AN34" s="12"/>
      <c r="AO34" s="35"/>
      <c r="AP34" s="12"/>
      <c r="AQ34" s="106"/>
      <c r="AR34" s="35"/>
      <c r="AS34" s="35"/>
      <c r="AT34" s="35"/>
      <c r="AU34" s="35"/>
      <c r="AV34" s="12"/>
      <c r="AW34" s="106"/>
      <c r="AX34" s="35"/>
      <c r="AY34" s="35"/>
      <c r="AZ34" s="12"/>
      <c r="BA34" s="12"/>
      <c r="BB34" s="12"/>
      <c r="BC34" s="106"/>
      <c r="BD34" s="35"/>
      <c r="BE34" s="35"/>
      <c r="BF34" s="35"/>
      <c r="BG34" s="35"/>
      <c r="BH34" s="12"/>
      <c r="BI34" s="106"/>
      <c r="BJ34" s="35"/>
      <c r="BK34" s="35"/>
      <c r="BL34" s="35"/>
      <c r="BM34" s="35"/>
      <c r="BN34" s="12"/>
      <c r="BO34" s="106"/>
      <c r="BP34" s="35"/>
      <c r="BQ34" s="35"/>
      <c r="BR34" s="35"/>
      <c r="BS34" s="35"/>
      <c r="BT34" s="12"/>
      <c r="BU34" s="106"/>
      <c r="BV34" s="35"/>
      <c r="BW34" s="35"/>
      <c r="BX34" s="35"/>
      <c r="BY34" s="35"/>
      <c r="BZ34" s="12"/>
      <c r="CA34" s="106"/>
      <c r="CB34" s="35"/>
      <c r="CC34" s="35"/>
      <c r="CD34" s="35"/>
      <c r="CE34" s="35"/>
      <c r="CF34" s="12"/>
      <c r="CG34" s="12"/>
    </row>
    <row r="35" spans="1:85" x14ac:dyDescent="0.2">
      <c r="A35" s="29" t="s">
        <v>290</v>
      </c>
      <c r="B35" s="12"/>
      <c r="C35" s="12"/>
      <c r="D35" s="12"/>
      <c r="E35" s="12"/>
      <c r="F35" s="12"/>
      <c r="G35" s="63"/>
      <c r="H35" s="12"/>
      <c r="I35" s="12"/>
      <c r="J35" s="12"/>
      <c r="K35" s="12"/>
      <c r="L35" s="12"/>
      <c r="M35" s="63"/>
      <c r="N35" s="12"/>
      <c r="O35" s="12"/>
      <c r="P35" s="12"/>
      <c r="Q35" s="12"/>
      <c r="R35" s="12"/>
      <c r="S35" s="63"/>
      <c r="T35" s="12"/>
      <c r="U35" s="12"/>
      <c r="V35" s="12"/>
      <c r="W35" s="12"/>
      <c r="X35" s="12"/>
      <c r="Y35" s="63"/>
      <c r="Z35" s="12"/>
      <c r="AA35" s="12"/>
      <c r="AB35" s="12"/>
      <c r="AC35" s="12"/>
      <c r="AD35" s="453"/>
      <c r="AE35" s="63"/>
      <c r="AF35" s="461"/>
      <c r="AG35" s="12"/>
      <c r="AH35" s="12"/>
      <c r="AI35" s="35"/>
      <c r="AJ35" s="12"/>
      <c r="AK35" s="63"/>
      <c r="AL35" s="460"/>
      <c r="AM35" s="460"/>
      <c r="AN35" s="12"/>
      <c r="AO35" s="35"/>
      <c r="AP35" s="12"/>
      <c r="AQ35" s="63"/>
      <c r="AR35" s="460"/>
      <c r="AS35" s="460"/>
      <c r="AT35" s="35"/>
      <c r="AU35" s="35"/>
      <c r="AV35" s="12"/>
      <c r="AW35" s="63"/>
      <c r="AX35" s="35"/>
      <c r="AY35" s="35"/>
      <c r="AZ35" s="12"/>
      <c r="BA35" s="12"/>
      <c r="BB35" s="12"/>
      <c r="BC35" s="63"/>
      <c r="BD35" s="35"/>
      <c r="BE35" s="35"/>
      <c r="BF35" s="35"/>
      <c r="BG35" s="35"/>
      <c r="BH35" s="12"/>
      <c r="BI35" s="63"/>
      <c r="BJ35" s="35"/>
      <c r="BK35" s="35"/>
      <c r="BL35" s="35"/>
      <c r="BM35" s="35"/>
      <c r="BN35" s="12"/>
      <c r="BO35" s="63"/>
      <c r="BP35" s="35"/>
      <c r="BQ35" s="35"/>
      <c r="BR35" s="35"/>
      <c r="BS35" s="35"/>
      <c r="BT35" s="12"/>
      <c r="BU35" s="63"/>
      <c r="BV35" s="35"/>
      <c r="BW35" s="35"/>
      <c r="BX35" s="35"/>
      <c r="BY35" s="35"/>
      <c r="BZ35" s="12"/>
      <c r="CA35" s="63"/>
      <c r="CB35" s="35"/>
      <c r="CC35" s="35"/>
      <c r="CD35" s="35"/>
      <c r="CE35" s="35"/>
      <c r="CF35" s="12"/>
      <c r="CG35" s="12"/>
    </row>
    <row r="36" spans="1:85" x14ac:dyDescent="0.2">
      <c r="A36" s="2" t="s">
        <v>17</v>
      </c>
      <c r="B36" s="169">
        <v>6.032</v>
      </c>
      <c r="C36" s="169">
        <f>18.484-B36</f>
        <v>12.452000000000002</v>
      </c>
      <c r="D36" s="169">
        <f>27.821-SUM(B36:C36)</f>
        <v>9.3369999999999997</v>
      </c>
      <c r="E36" s="169">
        <f>28.993-SUM(B36:D36)</f>
        <v>1.171999999999997</v>
      </c>
      <c r="F36" s="83">
        <f t="shared" ref="F36:F41" si="38">SUM(B36:E36)</f>
        <v>28.992999999999999</v>
      </c>
      <c r="G36" s="63"/>
      <c r="H36" s="169">
        <v>6.2469999999999999</v>
      </c>
      <c r="I36" s="169">
        <f>7.521-H36</f>
        <v>1.274</v>
      </c>
      <c r="J36" s="169">
        <f>10.222-SUM(H36:I36)</f>
        <v>2.7009999999999996</v>
      </c>
      <c r="K36" s="169">
        <f>10.506-SUM(H36:J36)</f>
        <v>0.2840000000000007</v>
      </c>
      <c r="L36" s="83">
        <f t="shared" ref="L36:L41" si="39">SUM(H36:K36)</f>
        <v>10.506</v>
      </c>
      <c r="M36" s="63"/>
      <c r="N36" s="169">
        <v>3.2519999999999998</v>
      </c>
      <c r="O36" s="169">
        <f>4.185-N36</f>
        <v>0.93299999999999983</v>
      </c>
      <c r="P36" s="169">
        <f>6.376-SUM(N36:O36)</f>
        <v>2.1910000000000007</v>
      </c>
      <c r="Q36" s="169">
        <f>8.097-SUM(N36:P36)</f>
        <v>1.7209999999999992</v>
      </c>
      <c r="R36" s="83">
        <f t="shared" ref="R36:R41" si="40">SUM(N36:Q36)</f>
        <v>8.0969999999999995</v>
      </c>
      <c r="S36" s="63"/>
      <c r="T36" s="169">
        <v>6.016</v>
      </c>
      <c r="U36" s="169">
        <f>7.213-T36</f>
        <v>1.1970000000000001</v>
      </c>
      <c r="V36" s="169">
        <f>10.907-SUM(T36:U36)</f>
        <v>3.694</v>
      </c>
      <c r="W36" s="169">
        <f>11.822-SUM(T36:V36)</f>
        <v>0.91499999999999915</v>
      </c>
      <c r="X36" s="83">
        <f t="shared" ref="X36:X41" si="41">SUM(T36:W36)</f>
        <v>11.821999999999999</v>
      </c>
      <c r="Y36" s="63"/>
      <c r="Z36" s="169">
        <v>5.0679999999999996</v>
      </c>
      <c r="AA36" s="169">
        <f>16.548-Z36</f>
        <v>11.479999999999999</v>
      </c>
      <c r="AB36" s="169">
        <v>3.3340000000000032</v>
      </c>
      <c r="AC36" s="169">
        <v>5.6189999999999998</v>
      </c>
      <c r="AD36" s="168">
        <f t="shared" ref="AD36:AD41" si="42">SUM(Z36:AC36)</f>
        <v>25.501000000000001</v>
      </c>
      <c r="AE36" s="63"/>
      <c r="AF36" s="235">
        <v>10.18</v>
      </c>
      <c r="AG36" s="169">
        <f>23.689-AF36</f>
        <v>13.509</v>
      </c>
      <c r="AH36" s="169">
        <f>40.194-AG36-AF36</f>
        <v>16.505000000000003</v>
      </c>
      <c r="AI36" s="169">
        <f>42.327-AH36-AG36-AF36</f>
        <v>2.1329999999999956</v>
      </c>
      <c r="AJ36" s="83">
        <f t="shared" ref="AJ36:AJ41" si="43">SUM(AF36:AI36)</f>
        <v>42.326999999999998</v>
      </c>
      <c r="AK36" s="63"/>
      <c r="AL36" s="235">
        <v>13.268000000000001</v>
      </c>
      <c r="AM36" s="235">
        <f>21.128-AL36</f>
        <v>7.8599999999999994</v>
      </c>
      <c r="AN36" s="169">
        <f>28.291-AM36-AL36</f>
        <v>7.1630000000000003</v>
      </c>
      <c r="AO36" s="169">
        <f>34.196-AN36-AM36-AL36</f>
        <v>5.9049999999999976</v>
      </c>
      <c r="AP36" s="83">
        <f t="shared" ref="AP36:AP41" si="44">SUM(AL36:AO36)</f>
        <v>34.195999999999998</v>
      </c>
      <c r="AQ36" s="63"/>
      <c r="AR36" s="235">
        <v>11.946</v>
      </c>
      <c r="AS36" s="235">
        <f>12.622-AR36</f>
        <v>0.67600000000000016</v>
      </c>
      <c r="AT36" s="235">
        <f>17.373-AS36-AR36</f>
        <v>4.751000000000003</v>
      </c>
      <c r="AU36" s="639">
        <f>18.028-SUM(AR36:AT36)</f>
        <v>0.65499999999999403</v>
      </c>
      <c r="AV36" s="83">
        <f t="shared" ref="AV36:AV41" si="45">SUM(AR36:AU36)</f>
        <v>18.027999999999999</v>
      </c>
      <c r="AW36" s="63"/>
      <c r="AX36" s="639">
        <v>4.5519999999999996</v>
      </c>
      <c r="AY36" s="639">
        <f>6.036-AX36</f>
        <v>1.484</v>
      </c>
      <c r="AZ36" s="639">
        <f>10.559-SUM(AX36:AY36)</f>
        <v>4.5229999999999997</v>
      </c>
      <c r="BA36" s="639">
        <f>11.325-SUM(AX36:AZ36)</f>
        <v>0.76600000000000001</v>
      </c>
      <c r="BB36" s="83">
        <f t="shared" ref="BB36:BB41" si="46">SUM(AX36:BA36)</f>
        <v>11.324999999999999</v>
      </c>
      <c r="BC36" s="63"/>
      <c r="BD36" s="639">
        <v>5.3840000000000003</v>
      </c>
      <c r="BE36" s="639">
        <f>7.002-BD36</f>
        <v>1.6179999999999994</v>
      </c>
      <c r="BF36" s="639">
        <f>12.877-SUM(BD36:BE36)</f>
        <v>5.8750000000000009</v>
      </c>
      <c r="BG36" s="639">
        <f>13.778-SUM(BD36:BF36)</f>
        <v>0.9009999999999998</v>
      </c>
      <c r="BH36" s="83">
        <f t="shared" ref="BH36:BH41" si="47">SUM(BD36:BG36)</f>
        <v>13.778</v>
      </c>
      <c r="BI36" s="63"/>
      <c r="BJ36" s="639">
        <v>7.2880000000000003</v>
      </c>
      <c r="BK36" s="639">
        <f>7.521-BJ36</f>
        <v>0.23299999999999965</v>
      </c>
      <c r="BL36" s="639">
        <f>13.85-SUM(BJ36:BK36)</f>
        <v>6.3289999999999997</v>
      </c>
      <c r="BM36" s="639">
        <f>14.461-SUM(BJ36:BL36)</f>
        <v>0.61100000000000065</v>
      </c>
      <c r="BN36" s="83">
        <f t="shared" ref="BN36:BN41" si="48">SUM(BJ36:BM36)</f>
        <v>14.461</v>
      </c>
      <c r="BO36" s="63"/>
      <c r="BP36" s="177">
        <f>+BP79</f>
        <v>2.8761870468513857</v>
      </c>
      <c r="BQ36" s="177">
        <f>+BQ79</f>
        <v>3.7790575313681214</v>
      </c>
      <c r="BR36" s="177">
        <f>+BR79</f>
        <v>4.0648361119591971</v>
      </c>
      <c r="BS36" s="177">
        <f>+BS79</f>
        <v>5.8097133086238566</v>
      </c>
      <c r="BT36" s="83">
        <f t="shared" ref="BT36:BT41" si="49">SUM(BP36:BS36)</f>
        <v>16.52979399880256</v>
      </c>
      <c r="BU36" s="63"/>
      <c r="BV36" s="177">
        <f>+BV79</f>
        <v>4.4689473837654168</v>
      </c>
      <c r="BW36" s="177">
        <f>+BW79</f>
        <v>5.8206086373657664</v>
      </c>
      <c r="BX36" s="177">
        <f>+BX79</f>
        <v>6.2551498973150848</v>
      </c>
      <c r="BY36" s="177">
        <f>+BY79</f>
        <v>8.9350470537889173</v>
      </c>
      <c r="BZ36" s="83">
        <f t="shared" ref="BZ36:BZ41" si="50">SUM(BV36:BY36)</f>
        <v>25.479752972235186</v>
      </c>
      <c r="CA36" s="63"/>
      <c r="CB36" s="177">
        <f>+CB79</f>
        <v>6.8694320597858098</v>
      </c>
      <c r="CC36" s="177">
        <f>+CC79</f>
        <v>8.8940855058489028</v>
      </c>
      <c r="CD36" s="177">
        <f>+CD79</f>
        <v>9.5522015736151253</v>
      </c>
      <c r="CE36" s="177">
        <f>+CE79</f>
        <v>13.639218753661364</v>
      </c>
      <c r="CF36" s="83">
        <f t="shared" ref="CF36:CF41" si="51">SUM(CB36:CE36)</f>
        <v>38.954937892911204</v>
      </c>
      <c r="CG36" s="83"/>
    </row>
    <row r="37" spans="1:85" ht="12" customHeight="1" x14ac:dyDescent="0.2">
      <c r="A37" s="2" t="s">
        <v>68</v>
      </c>
      <c r="B37" s="169">
        <v>-3.5</v>
      </c>
      <c r="C37" s="169">
        <f>-11.5-B37</f>
        <v>-8</v>
      </c>
      <c r="D37" s="169">
        <f>-11.5-SUM(B37:C37)</f>
        <v>0</v>
      </c>
      <c r="E37" s="169">
        <f>-11.5-SUM(B37:D37)</f>
        <v>0</v>
      </c>
      <c r="F37" s="83">
        <f t="shared" si="38"/>
        <v>-11.5</v>
      </c>
      <c r="G37" s="63"/>
      <c r="H37" s="169">
        <v>0</v>
      </c>
      <c r="I37" s="169">
        <f>0-H37</f>
        <v>0</v>
      </c>
      <c r="J37" s="169">
        <f>-0.271-SUM(H37:I37)</f>
        <v>-0.27100000000000002</v>
      </c>
      <c r="K37" s="169">
        <f>-0.407-SUM(H37:J37)</f>
        <v>-0.13599999999999995</v>
      </c>
      <c r="L37" s="83">
        <f t="shared" si="39"/>
        <v>-0.40699999999999997</v>
      </c>
      <c r="M37" s="63"/>
      <c r="N37" s="169">
        <v>-0.13600000000000001</v>
      </c>
      <c r="O37" s="169">
        <f>-0.136-N37</f>
        <v>0</v>
      </c>
      <c r="P37" s="169">
        <f>-0.136-SUM(N37:O37)</f>
        <v>0</v>
      </c>
      <c r="Q37" s="169">
        <f>-0.136-SUM(N37:P37)</f>
        <v>0</v>
      </c>
      <c r="R37" s="83">
        <f t="shared" si="40"/>
        <v>-0.13600000000000001</v>
      </c>
      <c r="S37" s="63"/>
      <c r="T37" s="169">
        <v>0</v>
      </c>
      <c r="U37" s="169">
        <f>0-T37</f>
        <v>0</v>
      </c>
      <c r="V37" s="169">
        <f>0-SUM(T37:U37)</f>
        <v>0</v>
      </c>
      <c r="W37" s="169">
        <f>0-SUM(T37:V37)</f>
        <v>0</v>
      </c>
      <c r="X37" s="83">
        <f t="shared" si="41"/>
        <v>0</v>
      </c>
      <c r="Y37" s="63"/>
      <c r="Z37" s="169">
        <v>0</v>
      </c>
      <c r="AA37" s="169">
        <v>0</v>
      </c>
      <c r="AB37" s="169">
        <v>0</v>
      </c>
      <c r="AC37" s="169">
        <v>0</v>
      </c>
      <c r="AD37" s="168">
        <f t="shared" si="42"/>
        <v>0</v>
      </c>
      <c r="AE37" s="63"/>
      <c r="AF37" s="235">
        <v>0</v>
      </c>
      <c r="AG37" s="169">
        <v>0</v>
      </c>
      <c r="AH37" s="169">
        <v>0</v>
      </c>
      <c r="AI37" s="169">
        <f>0-AH37-AG37-AF37</f>
        <v>0</v>
      </c>
      <c r="AJ37" s="83">
        <f t="shared" si="43"/>
        <v>0</v>
      </c>
      <c r="AK37" s="63"/>
      <c r="AL37" s="235">
        <v>0</v>
      </c>
      <c r="AM37" s="235">
        <v>0</v>
      </c>
      <c r="AN37" s="169">
        <f>0-AM37-AL37</f>
        <v>0</v>
      </c>
      <c r="AO37" s="169">
        <f>0-AN37-AM37-AL37</f>
        <v>0</v>
      </c>
      <c r="AP37" s="83">
        <f t="shared" si="44"/>
        <v>0</v>
      </c>
      <c r="AQ37" s="63"/>
      <c r="AR37" s="235">
        <v>0</v>
      </c>
      <c r="AS37" s="235">
        <f>0-AR37</f>
        <v>0</v>
      </c>
      <c r="AT37" s="235">
        <v>0</v>
      </c>
      <c r="AU37" s="639">
        <f>0-SUM(AR37:AT37)</f>
        <v>0</v>
      </c>
      <c r="AV37" s="83">
        <f t="shared" si="45"/>
        <v>0</v>
      </c>
      <c r="AW37" s="63"/>
      <c r="AX37" s="639">
        <v>0</v>
      </c>
      <c r="AY37" s="639">
        <f>0-AX37</f>
        <v>0</v>
      </c>
      <c r="AZ37" s="639">
        <f>0-SUM(AX37:AY37)</f>
        <v>0</v>
      </c>
      <c r="BA37" s="639">
        <f>0-SUM(AX37:AZ37)</f>
        <v>0</v>
      </c>
      <c r="BB37" s="83">
        <f t="shared" si="46"/>
        <v>0</v>
      </c>
      <c r="BC37" s="63"/>
      <c r="BD37" s="639">
        <v>0</v>
      </c>
      <c r="BE37" s="639">
        <v>0</v>
      </c>
      <c r="BF37" s="639">
        <f t="shared" ref="BF37:BF39" si="52">0-SUM(BD37:BE37)</f>
        <v>0</v>
      </c>
      <c r="BG37" s="639">
        <f t="shared" ref="BG37:BG39" si="53">0-SUM(BD37:BF37)</f>
        <v>0</v>
      </c>
      <c r="BH37" s="83">
        <f t="shared" si="47"/>
        <v>0</v>
      </c>
      <c r="BI37" s="63"/>
      <c r="BJ37" s="639">
        <v>0</v>
      </c>
      <c r="BK37" s="639">
        <f t="shared" ref="BK37:BK39" si="54">0-BJ37</f>
        <v>0</v>
      </c>
      <c r="BL37" s="639">
        <f>0-SUM(BJ37:BK37)</f>
        <v>0</v>
      </c>
      <c r="BM37" s="639">
        <f t="shared" ref="BM37:BM41" si="55">0-SUM(BJ37:BL37)</f>
        <v>0</v>
      </c>
      <c r="BN37" s="83">
        <f t="shared" si="48"/>
        <v>0</v>
      </c>
      <c r="BO37" s="63"/>
      <c r="BP37" s="385">
        <v>0</v>
      </c>
      <c r="BQ37" s="385">
        <v>0</v>
      </c>
      <c r="BR37" s="385">
        <v>0</v>
      </c>
      <c r="BS37" s="385">
        <v>0</v>
      </c>
      <c r="BT37" s="83">
        <f t="shared" si="49"/>
        <v>0</v>
      </c>
      <c r="BU37" s="63"/>
      <c r="BV37" s="385">
        <v>0</v>
      </c>
      <c r="BW37" s="385">
        <v>0</v>
      </c>
      <c r="BX37" s="385">
        <v>0</v>
      </c>
      <c r="BY37" s="385">
        <v>0</v>
      </c>
      <c r="BZ37" s="83">
        <f t="shared" si="50"/>
        <v>0</v>
      </c>
      <c r="CA37" s="63"/>
      <c r="CB37" s="385">
        <v>0</v>
      </c>
      <c r="CC37" s="385">
        <v>0</v>
      </c>
      <c r="CD37" s="385">
        <v>0</v>
      </c>
      <c r="CE37" s="385">
        <v>0</v>
      </c>
      <c r="CF37" s="83">
        <f t="shared" si="51"/>
        <v>0</v>
      </c>
      <c r="CG37" s="83"/>
    </row>
    <row r="38" spans="1:85" x14ac:dyDescent="0.2">
      <c r="A38" s="2" t="s">
        <v>143</v>
      </c>
      <c r="B38" s="169">
        <v>0</v>
      </c>
      <c r="C38" s="169">
        <f>0-B38</f>
        <v>0</v>
      </c>
      <c r="D38" s="169">
        <f>0-SUM(B38:C38)</f>
        <v>0</v>
      </c>
      <c r="E38" s="169">
        <f>0-SUM(B38:D38)</f>
        <v>0</v>
      </c>
      <c r="F38" s="83">
        <f t="shared" si="38"/>
        <v>0</v>
      </c>
      <c r="G38" s="63"/>
      <c r="H38" s="169">
        <v>0</v>
      </c>
      <c r="I38" s="169">
        <f>-27.686-H38</f>
        <v>-27.686</v>
      </c>
      <c r="J38" s="169">
        <f>-39.432-SUM(H38:I38)</f>
        <v>-11.746000000000002</v>
      </c>
      <c r="K38" s="169">
        <f>-50.138-SUM(H38:J38)</f>
        <v>-10.705999999999996</v>
      </c>
      <c r="L38" s="83">
        <f t="shared" si="39"/>
        <v>-50.137999999999998</v>
      </c>
      <c r="M38" s="63"/>
      <c r="N38" s="169">
        <v>0</v>
      </c>
      <c r="O38" s="169">
        <f>0-N38</f>
        <v>0</v>
      </c>
      <c r="P38" s="169">
        <f>0-SUM(N38:O38)</f>
        <v>0</v>
      </c>
      <c r="Q38" s="169">
        <f>0-SUM(N38:P38)</f>
        <v>0</v>
      </c>
      <c r="R38" s="83">
        <f t="shared" si="40"/>
        <v>0</v>
      </c>
      <c r="S38" s="63"/>
      <c r="T38" s="169">
        <v>0</v>
      </c>
      <c r="U38" s="169">
        <f>0-T38</f>
        <v>0</v>
      </c>
      <c r="V38" s="169">
        <f>0-SUM(T38:U38)</f>
        <v>0</v>
      </c>
      <c r="W38" s="169">
        <f>0-SUM(T38:V38)</f>
        <v>0</v>
      </c>
      <c r="X38" s="83">
        <f t="shared" si="41"/>
        <v>0</v>
      </c>
      <c r="Y38" s="63"/>
      <c r="Z38" s="169">
        <v>0</v>
      </c>
      <c r="AA38" s="169">
        <v>0</v>
      </c>
      <c r="AB38" s="169">
        <v>0</v>
      </c>
      <c r="AC38" s="169">
        <v>-7.7539999999999996</v>
      </c>
      <c r="AD38" s="168">
        <f t="shared" si="42"/>
        <v>-7.7539999999999996</v>
      </c>
      <c r="AE38" s="63"/>
      <c r="AF38" s="235">
        <v>-2.524</v>
      </c>
      <c r="AG38" s="169">
        <f>-2.524-AF38</f>
        <v>0</v>
      </c>
      <c r="AH38" s="169">
        <f>-9.796-AG38-AF38</f>
        <v>-7.2719999999999994</v>
      </c>
      <c r="AI38" s="169">
        <f>-47.203-AH38-AG38-AF38</f>
        <v>-37.407000000000004</v>
      </c>
      <c r="AJ38" s="83">
        <f t="shared" si="43"/>
        <v>-47.203000000000003</v>
      </c>
      <c r="AK38" s="63"/>
      <c r="AL38" s="235">
        <v>-2.4380000000000002</v>
      </c>
      <c r="AM38" s="235">
        <f>-95.108-AL38</f>
        <v>-92.67</v>
      </c>
      <c r="AN38" s="169">
        <f>-95.105-AM38-AL38</f>
        <v>2.9999999999978932E-3</v>
      </c>
      <c r="AO38" s="169">
        <f>-95.107-AN38-AM38-AL38</f>
        <v>-1.9999999999975593E-3</v>
      </c>
      <c r="AP38" s="83">
        <f t="shared" si="44"/>
        <v>-95.106999999999999</v>
      </c>
      <c r="AQ38" s="63"/>
      <c r="AR38" s="235">
        <v>0</v>
      </c>
      <c r="AS38" s="235">
        <f>-49-21-AR38</f>
        <v>-70</v>
      </c>
      <c r="AT38" s="235">
        <f>-77.417-AS38-AR38</f>
        <v>-7.4170000000000016</v>
      </c>
      <c r="AU38" s="639">
        <f>-98.233-SUM(AR38:AT38)</f>
        <v>-20.816000000000003</v>
      </c>
      <c r="AV38" s="83">
        <f t="shared" si="45"/>
        <v>-98.233000000000004</v>
      </c>
      <c r="AW38" s="63"/>
      <c r="AX38" s="639">
        <v>-1.7809999999999999</v>
      </c>
      <c r="AY38" s="639">
        <f>-50.781-21-AX38</f>
        <v>-70</v>
      </c>
      <c r="AZ38" s="639">
        <f>-90.603-SUM(AX38:AY38)</f>
        <v>-18.821999999999989</v>
      </c>
      <c r="BA38" s="639">
        <f>-101.791-SUM(AX38:AZ38)</f>
        <v>-11.188000000000002</v>
      </c>
      <c r="BB38" s="83">
        <f t="shared" si="46"/>
        <v>-101.791</v>
      </c>
      <c r="BC38" s="63"/>
      <c r="BD38" s="639">
        <v>0</v>
      </c>
      <c r="BE38" s="639">
        <f>-35-BD38-15</f>
        <v>-50</v>
      </c>
      <c r="BF38" s="639">
        <f>-58.174-SUM(BD38:BE38)</f>
        <v>-8.1739999999999995</v>
      </c>
      <c r="BG38" s="639">
        <f>-96.218-SUM(BD38:BF38)</f>
        <v>-38.044000000000004</v>
      </c>
      <c r="BH38" s="83">
        <f t="shared" si="47"/>
        <v>-96.218000000000004</v>
      </c>
      <c r="BI38" s="63"/>
      <c r="BJ38" s="639">
        <v>-3.7930000000000001</v>
      </c>
      <c r="BK38" s="639">
        <f>-38.793-15-BJ38</f>
        <v>-50</v>
      </c>
      <c r="BL38" s="639">
        <f>-53.793-SUM(BJ38:BK38)</f>
        <v>0</v>
      </c>
      <c r="BM38" s="639">
        <f>-103.793-SUM(BJ38:BL38)</f>
        <v>-50.000000000000007</v>
      </c>
      <c r="BN38" s="83">
        <f t="shared" si="48"/>
        <v>-103.79300000000001</v>
      </c>
      <c r="BO38" s="63"/>
      <c r="BP38" s="177">
        <f>BT38/4</f>
        <v>-68.75</v>
      </c>
      <c r="BQ38" s="177">
        <f>(BT38-BP38)/3</f>
        <v>-68.75</v>
      </c>
      <c r="BR38" s="177">
        <f>(BT38-SUM(BP38:BQ38))/2</f>
        <v>-68.75</v>
      </c>
      <c r="BS38" s="177">
        <f>BT38-SUM(BP38:BR38)</f>
        <v>-68.75</v>
      </c>
      <c r="BT38" s="385">
        <v>-275</v>
      </c>
      <c r="BU38" s="63"/>
      <c r="BV38" s="177">
        <f>BZ38/4</f>
        <v>-75</v>
      </c>
      <c r="BW38" s="177">
        <f>(BZ38-BV38)/3</f>
        <v>-75</v>
      </c>
      <c r="BX38" s="177">
        <f>(BZ38-SUM(BV38:BW38))/2</f>
        <v>-75</v>
      </c>
      <c r="BY38" s="177">
        <f>BZ38-SUM(BV38:BX38)</f>
        <v>-75</v>
      </c>
      <c r="BZ38" s="385">
        <v>-300</v>
      </c>
      <c r="CA38" s="63"/>
      <c r="CB38" s="177">
        <f>CF38/4</f>
        <v>-87.5</v>
      </c>
      <c r="CC38" s="177">
        <f>(CF38-CB38)/3</f>
        <v>-87.5</v>
      </c>
      <c r="CD38" s="177">
        <f>(CF38-SUM(CB38:CC38))/2</f>
        <v>-87.5</v>
      </c>
      <c r="CE38" s="177">
        <f>CF38-SUM(CB38:CD38)</f>
        <v>-87.5</v>
      </c>
      <c r="CF38" s="385">
        <v>-350</v>
      </c>
      <c r="CG38" s="83"/>
    </row>
    <row r="39" spans="1:85" x14ac:dyDescent="0.2">
      <c r="A39" s="2" t="s">
        <v>261</v>
      </c>
      <c r="B39" s="169">
        <v>0</v>
      </c>
      <c r="C39" s="169">
        <f>0-B39</f>
        <v>0</v>
      </c>
      <c r="D39" s="169">
        <f>0-SUM(B39:C39)</f>
        <v>0</v>
      </c>
      <c r="E39" s="169">
        <f>0-SUM(B39:D39)</f>
        <v>0</v>
      </c>
      <c r="F39" s="83">
        <f t="shared" si="38"/>
        <v>0</v>
      </c>
      <c r="G39" s="63"/>
      <c r="H39" s="169">
        <v>0</v>
      </c>
      <c r="I39" s="169">
        <f>0-H39</f>
        <v>0</v>
      </c>
      <c r="J39" s="169">
        <f>0-SUM(H39:I39)</f>
        <v>0</v>
      </c>
      <c r="K39" s="169">
        <f>0-SUM(H39:J39)</f>
        <v>0</v>
      </c>
      <c r="L39" s="83">
        <f t="shared" si="39"/>
        <v>0</v>
      </c>
      <c r="M39" s="63"/>
      <c r="N39" s="169">
        <v>0</v>
      </c>
      <c r="O39" s="169">
        <f>0-N39</f>
        <v>0</v>
      </c>
      <c r="P39" s="169">
        <f>0-SUM(N39:O39)</f>
        <v>0</v>
      </c>
      <c r="Q39" s="169">
        <f>0-SUM(N39:P39)</f>
        <v>0</v>
      </c>
      <c r="R39" s="83">
        <f t="shared" si="40"/>
        <v>0</v>
      </c>
      <c r="S39" s="63"/>
      <c r="T39" s="169">
        <v>0</v>
      </c>
      <c r="U39" s="169">
        <f>0-T39</f>
        <v>0</v>
      </c>
      <c r="V39" s="169">
        <f>0-SUM(T39:U39)</f>
        <v>0</v>
      </c>
      <c r="W39" s="169">
        <f>0-SUM(T39:V39)</f>
        <v>0</v>
      </c>
      <c r="X39" s="83">
        <f t="shared" si="41"/>
        <v>0</v>
      </c>
      <c r="Y39" s="63"/>
      <c r="Z39" s="169">
        <v>0</v>
      </c>
      <c r="AA39" s="169">
        <v>0</v>
      </c>
      <c r="AB39" s="169">
        <v>0</v>
      </c>
      <c r="AC39" s="169">
        <v>0</v>
      </c>
      <c r="AD39" s="168">
        <f t="shared" si="42"/>
        <v>0</v>
      </c>
      <c r="AE39" s="63"/>
      <c r="AF39" s="235">
        <v>0</v>
      </c>
      <c r="AG39" s="169">
        <v>0</v>
      </c>
      <c r="AH39" s="169">
        <v>0</v>
      </c>
      <c r="AI39" s="169">
        <f>0-AH39-AG39-AF39</f>
        <v>0</v>
      </c>
      <c r="AJ39" s="83">
        <f t="shared" si="43"/>
        <v>0</v>
      </c>
      <c r="AK39" s="63"/>
      <c r="AL39" s="235">
        <v>0</v>
      </c>
      <c r="AM39" s="235">
        <f>0-AL39</f>
        <v>0</v>
      </c>
      <c r="AN39" s="169">
        <f>0-AM39-AL39</f>
        <v>0</v>
      </c>
      <c r="AO39" s="169">
        <f>0-AN39-AM39-AL39</f>
        <v>0</v>
      </c>
      <c r="AP39" s="551">
        <f t="shared" si="44"/>
        <v>0</v>
      </c>
      <c r="AQ39" s="63"/>
      <c r="AR39" s="235">
        <v>0</v>
      </c>
      <c r="AS39" s="235">
        <f>0-AR39</f>
        <v>0</v>
      </c>
      <c r="AT39" s="235">
        <v>0</v>
      </c>
      <c r="AU39" s="639">
        <f>0-SUM(AR39:AT39)</f>
        <v>0</v>
      </c>
      <c r="AV39" s="83">
        <f t="shared" si="45"/>
        <v>0</v>
      </c>
      <c r="AW39" s="63"/>
      <c r="AX39" s="639">
        <v>0</v>
      </c>
      <c r="AY39" s="639">
        <f>0-AX39</f>
        <v>0</v>
      </c>
      <c r="AZ39" s="639">
        <f>0-SUM(AX39:AY39)</f>
        <v>0</v>
      </c>
      <c r="BA39" s="639">
        <f>0-SUM(AX39:AZ39)</f>
        <v>0</v>
      </c>
      <c r="BB39" s="83">
        <f t="shared" si="46"/>
        <v>0</v>
      </c>
      <c r="BC39" s="63"/>
      <c r="BD39" s="639">
        <v>0</v>
      </c>
      <c r="BE39" s="639">
        <v>0</v>
      </c>
      <c r="BF39" s="639">
        <f t="shared" si="52"/>
        <v>0</v>
      </c>
      <c r="BG39" s="639">
        <f t="shared" si="53"/>
        <v>0</v>
      </c>
      <c r="BH39" s="83">
        <f t="shared" si="47"/>
        <v>0</v>
      </c>
      <c r="BI39" s="63"/>
      <c r="BJ39" s="639">
        <v>0</v>
      </c>
      <c r="BK39" s="639">
        <f t="shared" si="54"/>
        <v>0</v>
      </c>
      <c r="BL39" s="639">
        <f t="shared" ref="BL39" si="56">0-SUM(BJ39:BK39)</f>
        <v>0</v>
      </c>
      <c r="BM39" s="639">
        <f t="shared" si="55"/>
        <v>0</v>
      </c>
      <c r="BN39" s="83">
        <f t="shared" si="48"/>
        <v>0</v>
      </c>
      <c r="BO39" s="63"/>
      <c r="BP39" s="177">
        <f>-BP61*'P&amp;L'!BQ39</f>
        <v>0</v>
      </c>
      <c r="BQ39" s="177">
        <f>-BQ61*'P&amp;L'!BR39</f>
        <v>0</v>
      </c>
      <c r="BR39" s="177">
        <f>-BR61*'P&amp;L'!BS39</f>
        <v>0</v>
      </c>
      <c r="BS39" s="177">
        <f>-BS61*'P&amp;L'!BT39</f>
        <v>0</v>
      </c>
      <c r="BT39" s="83">
        <f t="shared" si="49"/>
        <v>0</v>
      </c>
      <c r="BU39" s="63"/>
      <c r="BV39" s="177">
        <f>-BV61*'P&amp;L'!BW39</f>
        <v>0</v>
      </c>
      <c r="BW39" s="177">
        <f>-BW61*'P&amp;L'!BX39</f>
        <v>0</v>
      </c>
      <c r="BX39" s="177">
        <f>-BX61*'P&amp;L'!BY39</f>
        <v>0</v>
      </c>
      <c r="BY39" s="177">
        <f>-BY61*'P&amp;L'!BZ39</f>
        <v>0</v>
      </c>
      <c r="BZ39" s="83">
        <f t="shared" si="50"/>
        <v>0</v>
      </c>
      <c r="CA39" s="63"/>
      <c r="CB39" s="177">
        <f>-CB61*'P&amp;L'!CC39</f>
        <v>0</v>
      </c>
      <c r="CC39" s="177">
        <f>-CC61*'P&amp;L'!CD39</f>
        <v>0</v>
      </c>
      <c r="CD39" s="177">
        <f>-CD61*'P&amp;L'!CE39</f>
        <v>0</v>
      </c>
      <c r="CE39" s="177">
        <f>-CE61*'P&amp;L'!CF39</f>
        <v>0</v>
      </c>
      <c r="CF39" s="83">
        <f t="shared" si="51"/>
        <v>0</v>
      </c>
      <c r="CG39" s="83"/>
    </row>
    <row r="40" spans="1:85" x14ac:dyDescent="0.2">
      <c r="A40" s="2" t="s">
        <v>70</v>
      </c>
      <c r="B40" s="169">
        <v>-0.19500000000000001</v>
      </c>
      <c r="C40" s="169">
        <f>-0.265+0.409-B40</f>
        <v>0.33899999999999997</v>
      </c>
      <c r="D40" s="169">
        <f>-0.377+0.339-SUM(B40:C40)</f>
        <v>-0.18199999999999994</v>
      </c>
      <c r="E40" s="169">
        <f>-0.433+0.449-SUM(B40:D40)</f>
        <v>5.3999999999999992E-2</v>
      </c>
      <c r="F40" s="83">
        <f t="shared" si="38"/>
        <v>1.6000000000000014E-2</v>
      </c>
      <c r="G40" s="70"/>
      <c r="H40" s="169">
        <f>-0.17+0.045</f>
        <v>-0.125</v>
      </c>
      <c r="I40" s="169">
        <f>-0.238+0.086-H40</f>
        <v>-2.6999999999999996E-2</v>
      </c>
      <c r="J40" s="169">
        <f>-0.347+0.188-SUM(H40:I40)</f>
        <v>-6.9999999999999785E-3</v>
      </c>
      <c r="K40" s="169">
        <f>-0.46+0.144-SUM(H40:J40)</f>
        <v>-0.15700000000000008</v>
      </c>
      <c r="L40" s="83">
        <f t="shared" si="39"/>
        <v>-0.31600000000000006</v>
      </c>
      <c r="M40" s="70"/>
      <c r="N40" s="169">
        <v>-0.107</v>
      </c>
      <c r="O40" s="169">
        <f>-0.199-N40</f>
        <v>-9.2000000000000012E-2</v>
      </c>
      <c r="P40" s="169">
        <f>-0.264-SUM(N40:O40)</f>
        <v>-6.5000000000000002E-2</v>
      </c>
      <c r="Q40" s="169">
        <f>-0.487-0.637-SUM(N40:P40)</f>
        <v>-0.8600000000000001</v>
      </c>
      <c r="R40" s="83">
        <f t="shared" si="40"/>
        <v>-1.1240000000000001</v>
      </c>
      <c r="S40" s="70"/>
      <c r="T40" s="169">
        <v>-0.755</v>
      </c>
      <c r="U40" s="169">
        <f>-0.849-T40</f>
        <v>-9.3999999999999972E-2</v>
      </c>
      <c r="V40" s="169">
        <f>-0.889-SUM(T40:U40)</f>
        <v>-4.0000000000000036E-2</v>
      </c>
      <c r="W40" s="169">
        <f>-1.08+3.965-SUM(T40:V40)</f>
        <v>3.774</v>
      </c>
      <c r="X40" s="83">
        <f t="shared" si="41"/>
        <v>2.8849999999999998</v>
      </c>
      <c r="Y40" s="70"/>
      <c r="Z40" s="169">
        <v>-1.319</v>
      </c>
      <c r="AA40" s="169">
        <f>-1.42-Z40</f>
        <v>-0.10099999999999998</v>
      </c>
      <c r="AB40" s="169">
        <v>-6.1000000000000165E-2</v>
      </c>
      <c r="AC40" s="169">
        <v>10.975</v>
      </c>
      <c r="AD40" s="168">
        <f t="shared" si="42"/>
        <v>9.4939999999999998</v>
      </c>
      <c r="AE40" s="70"/>
      <c r="AF40" s="235">
        <v>-1.4079999999999999</v>
      </c>
      <c r="AG40" s="169">
        <f>-1.627-AF40</f>
        <v>-0.21900000000000008</v>
      </c>
      <c r="AH40" s="169">
        <f>-1.719-AG40-AF40</f>
        <v>-9.2000000000000082E-2</v>
      </c>
      <c r="AI40" s="169">
        <f>-2.106-AH40-AG40-AF40</f>
        <v>-0.38699999999999979</v>
      </c>
      <c r="AJ40" s="83">
        <f t="shared" si="43"/>
        <v>-2.1059999999999999</v>
      </c>
      <c r="AK40" s="70"/>
      <c r="AL40" s="235">
        <v>-3.141</v>
      </c>
      <c r="AM40" s="235">
        <f>-3.234-AL40</f>
        <v>-9.2999999999999972E-2</v>
      </c>
      <c r="AN40" s="169">
        <f>-3.931-AM40-AL40</f>
        <v>-0.69700000000000006</v>
      </c>
      <c r="AO40" s="169">
        <f>-4.363-AN40-AM40-AL40</f>
        <v>-0.43200000000000038</v>
      </c>
      <c r="AP40" s="83">
        <f t="shared" si="44"/>
        <v>-4.3630000000000004</v>
      </c>
      <c r="AQ40" s="70"/>
      <c r="AR40" s="235">
        <v>-4.4530000000000003</v>
      </c>
      <c r="AS40" s="235">
        <f>-4.65-AR40</f>
        <v>-0.19700000000000006</v>
      </c>
      <c r="AT40" s="235">
        <f>-5.761-AS40-AR40</f>
        <v>-1.1109999999999998</v>
      </c>
      <c r="AU40" s="639">
        <f>-7.608-SUM(AR40:AT40)</f>
        <v>-1.8469999999999995</v>
      </c>
      <c r="AV40" s="83">
        <f t="shared" si="45"/>
        <v>-7.6079999999999997</v>
      </c>
      <c r="AW40" s="70"/>
      <c r="AX40" s="639">
        <v>-14.647</v>
      </c>
      <c r="AY40" s="639">
        <f>-15.389-AX40</f>
        <v>-0.7419999999999991</v>
      </c>
      <c r="AZ40" s="639">
        <f>-17.574-SUM(AX40:AY40)</f>
        <v>-2.1850000000000023</v>
      </c>
      <c r="BA40" s="639">
        <f>-20.716-SUM(AX40:AZ40)</f>
        <v>-3.1419999999999995</v>
      </c>
      <c r="BB40" s="83">
        <f t="shared" si="46"/>
        <v>-20.716000000000001</v>
      </c>
      <c r="BC40" s="70"/>
      <c r="BD40" s="639">
        <v>-22.571999999999999</v>
      </c>
      <c r="BE40" s="639">
        <f>-23.207-BD40</f>
        <v>-0.63500000000000156</v>
      </c>
      <c r="BF40" s="639">
        <f>-26.265-SUM(BD40:BE40)</f>
        <v>-3.0579999999999998</v>
      </c>
      <c r="BG40" s="639">
        <f>-29.857-SUM(BD40:BF40)</f>
        <v>-3.5919999999999987</v>
      </c>
      <c r="BH40" s="83">
        <f t="shared" si="47"/>
        <v>-29.856999999999999</v>
      </c>
      <c r="BI40" s="70"/>
      <c r="BJ40" s="639">
        <v>-36.496000000000002</v>
      </c>
      <c r="BK40" s="639">
        <f>-37.968-BJ40</f>
        <v>-1.4720000000000013</v>
      </c>
      <c r="BL40" s="639">
        <f>-39.093-SUM(BJ40:BK40)</f>
        <v>-1.125</v>
      </c>
      <c r="BM40" s="639">
        <f>-46.168-SUM(BJ40:BL40)</f>
        <v>-7.0749999999999957</v>
      </c>
      <c r="BN40" s="83">
        <f t="shared" si="48"/>
        <v>-46.167999999999999</v>
      </c>
      <c r="BO40" s="70"/>
      <c r="BP40" s="385">
        <v>0</v>
      </c>
      <c r="BQ40" s="385">
        <v>0</v>
      </c>
      <c r="BR40" s="385">
        <v>0</v>
      </c>
      <c r="BS40" s="385">
        <v>0</v>
      </c>
      <c r="BT40" s="83">
        <f t="shared" si="49"/>
        <v>0</v>
      </c>
      <c r="BU40" s="70"/>
      <c r="BV40" s="385">
        <v>0</v>
      </c>
      <c r="BW40" s="385">
        <v>0</v>
      </c>
      <c r="BX40" s="385">
        <v>0</v>
      </c>
      <c r="BY40" s="385">
        <v>0</v>
      </c>
      <c r="BZ40" s="83">
        <f t="shared" si="50"/>
        <v>0</v>
      </c>
      <c r="CA40" s="70"/>
      <c r="CB40" s="385">
        <v>0</v>
      </c>
      <c r="CC40" s="385">
        <v>0</v>
      </c>
      <c r="CD40" s="385">
        <v>0</v>
      </c>
      <c r="CE40" s="385">
        <v>0</v>
      </c>
      <c r="CF40" s="83">
        <f t="shared" si="51"/>
        <v>0</v>
      </c>
      <c r="CG40" s="83"/>
    </row>
    <row r="41" spans="1:85" x14ac:dyDescent="0.2">
      <c r="A41" s="2" t="s">
        <v>76</v>
      </c>
      <c r="B41" s="169"/>
      <c r="C41" s="169"/>
      <c r="D41" s="169"/>
      <c r="E41" s="169"/>
      <c r="F41" s="83">
        <f t="shared" si="38"/>
        <v>0</v>
      </c>
      <c r="G41" s="169"/>
      <c r="H41" s="169">
        <v>0</v>
      </c>
      <c r="I41" s="169">
        <v>0</v>
      </c>
      <c r="J41" s="169">
        <v>0</v>
      </c>
      <c r="K41" s="169">
        <v>0</v>
      </c>
      <c r="L41" s="83">
        <f t="shared" si="39"/>
        <v>0</v>
      </c>
      <c r="M41" s="169"/>
      <c r="N41" s="169">
        <v>0</v>
      </c>
      <c r="O41" s="169">
        <v>0</v>
      </c>
      <c r="P41" s="169">
        <v>0</v>
      </c>
      <c r="Q41" s="169">
        <v>0</v>
      </c>
      <c r="R41" s="83">
        <f t="shared" si="40"/>
        <v>0</v>
      </c>
      <c r="S41" s="169"/>
      <c r="T41" s="169">
        <v>0</v>
      </c>
      <c r="U41" s="169">
        <v>0</v>
      </c>
      <c r="V41" s="169">
        <v>0</v>
      </c>
      <c r="W41" s="169">
        <v>0</v>
      </c>
      <c r="X41" s="83">
        <f t="shared" si="41"/>
        <v>0</v>
      </c>
      <c r="Y41" s="169"/>
      <c r="Z41" s="169">
        <v>0</v>
      </c>
      <c r="AA41" s="169">
        <v>0</v>
      </c>
      <c r="AB41" s="169">
        <v>0</v>
      </c>
      <c r="AC41" s="169">
        <v>0</v>
      </c>
      <c r="AD41" s="168">
        <f t="shared" si="42"/>
        <v>0</v>
      </c>
      <c r="AE41" s="70"/>
      <c r="AF41" s="235">
        <v>0</v>
      </c>
      <c r="AG41" s="235">
        <v>16.745000000000001</v>
      </c>
      <c r="AH41" s="169">
        <f>18.14-AG41-AF41</f>
        <v>1.3949999999999996</v>
      </c>
      <c r="AI41" s="169">
        <f>17.187-AH41-AG41-AF41</f>
        <v>-0.9529999999999994</v>
      </c>
      <c r="AJ41" s="83">
        <f t="shared" si="43"/>
        <v>17.187000000000001</v>
      </c>
      <c r="AK41" s="70"/>
      <c r="AL41" s="549">
        <v>-5.0000000000000001E-3</v>
      </c>
      <c r="AM41" s="235">
        <f>15.331-0.013-AL41</f>
        <v>15.323</v>
      </c>
      <c r="AN41" s="169">
        <f>21.849-0.006-AM41-AL41</f>
        <v>6.5249999999999995</v>
      </c>
      <c r="AO41" s="169">
        <f>27.103-AN41-AM41-AL41</f>
        <v>5.2600000000000025</v>
      </c>
      <c r="AP41" s="83">
        <f t="shared" si="44"/>
        <v>27.103000000000002</v>
      </c>
      <c r="AQ41" s="70"/>
      <c r="AR41" s="235">
        <v>13.568</v>
      </c>
      <c r="AS41" s="235">
        <f>16.161-AR41</f>
        <v>2.5930000000000017</v>
      </c>
      <c r="AT41" s="235">
        <f>18.887-AS41-AR41</f>
        <v>2.7259999999999973</v>
      </c>
      <c r="AU41" s="639">
        <f>21.393-SUM(AR41:AT41)</f>
        <v>2.5060000000000002</v>
      </c>
      <c r="AV41" s="83">
        <f t="shared" si="45"/>
        <v>21.393000000000001</v>
      </c>
      <c r="AW41" s="70"/>
      <c r="AX41" s="639">
        <v>4.7789999999999999</v>
      </c>
      <c r="AY41" s="639">
        <f>6.207-AX41</f>
        <v>1.4279999999999999</v>
      </c>
      <c r="AZ41" s="639">
        <f>8.663-SUM(AX41:AY41)</f>
        <v>2.4560000000000004</v>
      </c>
      <c r="BA41" s="639">
        <f>10.396-SUM(AX41:AZ41)</f>
        <v>1.7330000000000005</v>
      </c>
      <c r="BB41" s="83">
        <f t="shared" si="46"/>
        <v>10.396000000000001</v>
      </c>
      <c r="BC41" s="70"/>
      <c r="BD41" s="639">
        <v>0</v>
      </c>
      <c r="BE41" s="639">
        <v>0</v>
      </c>
      <c r="BF41" s="639">
        <v>0</v>
      </c>
      <c r="BG41" s="639">
        <v>0</v>
      </c>
      <c r="BH41" s="177">
        <f t="shared" si="47"/>
        <v>0</v>
      </c>
      <c r="BI41" s="70"/>
      <c r="BJ41" s="639">
        <v>0</v>
      </c>
      <c r="BK41" s="639">
        <f>0-BJ41</f>
        <v>0</v>
      </c>
      <c r="BL41" s="639">
        <v>0</v>
      </c>
      <c r="BM41" s="639">
        <f t="shared" si="55"/>
        <v>0</v>
      </c>
      <c r="BN41" s="177">
        <f t="shared" si="48"/>
        <v>0</v>
      </c>
      <c r="BO41" s="70"/>
      <c r="BP41" s="385">
        <v>0</v>
      </c>
      <c r="BQ41" s="385">
        <v>0</v>
      </c>
      <c r="BR41" s="385">
        <v>0</v>
      </c>
      <c r="BS41" s="385">
        <v>0</v>
      </c>
      <c r="BT41" s="83">
        <f t="shared" si="49"/>
        <v>0</v>
      </c>
      <c r="BU41" s="70"/>
      <c r="BV41" s="385">
        <v>0</v>
      </c>
      <c r="BW41" s="385">
        <v>0</v>
      </c>
      <c r="BX41" s="385">
        <v>0</v>
      </c>
      <c r="BY41" s="385">
        <v>0</v>
      </c>
      <c r="BZ41" s="83">
        <f t="shared" si="50"/>
        <v>0</v>
      </c>
      <c r="CA41" s="70"/>
      <c r="CB41" s="385">
        <v>0</v>
      </c>
      <c r="CC41" s="385">
        <v>0</v>
      </c>
      <c r="CD41" s="385">
        <v>0</v>
      </c>
      <c r="CE41" s="385">
        <v>0</v>
      </c>
      <c r="CF41" s="83">
        <f t="shared" si="51"/>
        <v>0</v>
      </c>
      <c r="CG41" s="83"/>
    </row>
    <row r="42" spans="1:85" x14ac:dyDescent="0.2">
      <c r="A42" s="6" t="s">
        <v>291</v>
      </c>
      <c r="B42" s="172">
        <f>SUM(B36:B40)</f>
        <v>2.3370000000000002</v>
      </c>
      <c r="C42" s="172">
        <f>SUM(C36:C40)</f>
        <v>4.7910000000000021</v>
      </c>
      <c r="D42" s="172">
        <f>SUM(D36:D40)</f>
        <v>9.1549999999999994</v>
      </c>
      <c r="E42" s="172">
        <f>SUM(E36:E40)</f>
        <v>1.2259999999999971</v>
      </c>
      <c r="F42" s="172">
        <f>SUM(F36:F40)</f>
        <v>17.509</v>
      </c>
      <c r="G42" s="172"/>
      <c r="H42" s="172">
        <f>SUM(H36:H41)</f>
        <v>6.1219999999999999</v>
      </c>
      <c r="I42" s="172">
        <f>SUM(I36:I41)</f>
        <v>-26.439</v>
      </c>
      <c r="J42" s="172">
        <f>SUM(J36:J41)</f>
        <v>-9.3230000000000022</v>
      </c>
      <c r="K42" s="172">
        <f>SUM(K36:K41)</f>
        <v>-10.714999999999995</v>
      </c>
      <c r="L42" s="172">
        <f>SUM(L36:L41)</f>
        <v>-40.355000000000004</v>
      </c>
      <c r="M42" s="172"/>
      <c r="N42" s="172">
        <f>SUM(N36:N41)</f>
        <v>3.0089999999999995</v>
      </c>
      <c r="O42" s="172">
        <f>SUM(O36:O41)</f>
        <v>0.84099999999999986</v>
      </c>
      <c r="P42" s="172">
        <f>SUM(P36:P41)</f>
        <v>2.1260000000000008</v>
      </c>
      <c r="Q42" s="172">
        <f>SUM(Q36:Q41)</f>
        <v>0.8609999999999991</v>
      </c>
      <c r="R42" s="172">
        <f>SUM(R36:R41)</f>
        <v>6.8369999999999997</v>
      </c>
      <c r="S42" s="172"/>
      <c r="T42" s="172">
        <f>SUM(T36:T41)</f>
        <v>5.2610000000000001</v>
      </c>
      <c r="U42" s="172">
        <f>SUM(U36:U41)</f>
        <v>1.1030000000000002</v>
      </c>
      <c r="V42" s="172">
        <f>SUM(V36:V41)</f>
        <v>3.6539999999999999</v>
      </c>
      <c r="W42" s="172">
        <f>SUM(W36:W41)</f>
        <v>4.6889999999999992</v>
      </c>
      <c r="X42" s="172">
        <f>SUM(X36:X41)</f>
        <v>14.706999999999999</v>
      </c>
      <c r="Y42" s="172"/>
      <c r="Z42" s="172">
        <f>SUM(Z36:Z41)</f>
        <v>3.7489999999999997</v>
      </c>
      <c r="AA42" s="172">
        <f>SUM(AA36:AA41)</f>
        <v>11.378999999999998</v>
      </c>
      <c r="AB42" s="172">
        <f>SUM(AB36:AB41)</f>
        <v>3.2730000000000032</v>
      </c>
      <c r="AC42" s="172">
        <f>SUM(AC36:AC41)</f>
        <v>8.84</v>
      </c>
      <c r="AD42" s="452">
        <f>SUM(AD36:AD41)</f>
        <v>27.241</v>
      </c>
      <c r="AE42" s="70"/>
      <c r="AF42" s="256">
        <f>SUM(AF36:AF41)</f>
        <v>6.2479999999999993</v>
      </c>
      <c r="AG42" s="172">
        <f>SUM(AG36:AG41)</f>
        <v>30.035000000000004</v>
      </c>
      <c r="AH42" s="172">
        <f>SUM(AH36:AH41)</f>
        <v>10.536000000000003</v>
      </c>
      <c r="AI42" s="172">
        <f>SUM(AI36:AI41)</f>
        <v>-36.614000000000004</v>
      </c>
      <c r="AJ42" s="172">
        <f>SUM(AJ36:AJ41)</f>
        <v>10.204999999999997</v>
      </c>
      <c r="AK42" s="172"/>
      <c r="AL42" s="256">
        <f>SUM(AL36:AL41)</f>
        <v>7.6840000000000002</v>
      </c>
      <c r="AM42" s="256">
        <f>SUM(AM36:AM41)</f>
        <v>-69.580000000000013</v>
      </c>
      <c r="AN42" s="172">
        <f>SUM(AN36:AN41)</f>
        <v>12.993999999999998</v>
      </c>
      <c r="AO42" s="172">
        <f>SUM(AO36:AO41)</f>
        <v>10.731000000000002</v>
      </c>
      <c r="AP42" s="172">
        <f>SUM(AP36:AP41)</f>
        <v>-38.170999999999999</v>
      </c>
      <c r="AQ42" s="172"/>
      <c r="AR42" s="256">
        <f>SUM(AR36:AR41)</f>
        <v>21.061</v>
      </c>
      <c r="AS42" s="256">
        <f>SUM(AS36:AS41)</f>
        <v>-66.927999999999997</v>
      </c>
      <c r="AT42" s="256">
        <f>SUM(AT36:AT41)</f>
        <v>-1.051000000000001</v>
      </c>
      <c r="AU42" s="172">
        <f>SUM(AU36:AU41)</f>
        <v>-19.50200000000001</v>
      </c>
      <c r="AV42" s="172">
        <f>SUM(AV36:AV41)</f>
        <v>-66.420000000000016</v>
      </c>
      <c r="AW42" s="172"/>
      <c r="AX42" s="172">
        <f>SUM(AX36:AX41)</f>
        <v>-7.0970000000000013</v>
      </c>
      <c r="AY42" s="172">
        <f>SUM(AY36:AY41)</f>
        <v>-67.830000000000013</v>
      </c>
      <c r="AZ42" s="172">
        <f>SUM(AZ36:AZ41)</f>
        <v>-14.027999999999992</v>
      </c>
      <c r="BA42" s="172">
        <f>SUM(BA36:BA41)</f>
        <v>-11.831000000000001</v>
      </c>
      <c r="BB42" s="172">
        <f>SUM(BB36:BB41)</f>
        <v>-100.78599999999999</v>
      </c>
      <c r="BC42" s="172"/>
      <c r="BD42" s="172">
        <f>SUM(BD36:BD41)</f>
        <v>-17.187999999999999</v>
      </c>
      <c r="BE42" s="172">
        <f>SUM(BE36:BE41)</f>
        <v>-49.016999999999996</v>
      </c>
      <c r="BF42" s="172">
        <f>SUM(BF36:BF41)</f>
        <v>-5.3569999999999984</v>
      </c>
      <c r="BG42" s="172">
        <f>SUM(BG36:BG41)</f>
        <v>-40.734999999999999</v>
      </c>
      <c r="BH42" s="172">
        <f>SUM(BH36:BH41)</f>
        <v>-112.297</v>
      </c>
      <c r="BI42" s="172"/>
      <c r="BJ42" s="172">
        <f>SUM(BJ36:BJ41)</f>
        <v>-33.001000000000005</v>
      </c>
      <c r="BK42" s="172">
        <f>SUM(BK36:BK41)</f>
        <v>-51.239000000000004</v>
      </c>
      <c r="BL42" s="172">
        <f>SUM(BL36:BL41)</f>
        <v>5.2039999999999997</v>
      </c>
      <c r="BM42" s="172">
        <f>SUM(BM36:BM41)</f>
        <v>-56.464000000000006</v>
      </c>
      <c r="BN42" s="172">
        <f>SUM(BN36:BN41)</f>
        <v>-135.5</v>
      </c>
      <c r="BO42" s="172"/>
      <c r="BP42" s="172">
        <f>SUM(BP36:BP41)</f>
        <v>-65.873812953148615</v>
      </c>
      <c r="BQ42" s="172">
        <f>SUM(BQ36:BQ41)</f>
        <v>-64.970942468631875</v>
      </c>
      <c r="BR42" s="172">
        <f>SUM(BR36:BR41)</f>
        <v>-64.685163888040805</v>
      </c>
      <c r="BS42" s="172">
        <f>SUM(BS36:BS41)</f>
        <v>-62.940286691376144</v>
      </c>
      <c r="BT42" s="172">
        <f>SUM(BT36:BT41)</f>
        <v>-258.47020600119743</v>
      </c>
      <c r="BU42" s="172"/>
      <c r="BV42" s="172">
        <f>SUM(BV36:BV41)</f>
        <v>-70.531052616234589</v>
      </c>
      <c r="BW42" s="172">
        <f>SUM(BW36:BW41)</f>
        <v>-69.179391362634234</v>
      </c>
      <c r="BX42" s="172">
        <f>SUM(BX36:BX41)</f>
        <v>-68.744850102684921</v>
      </c>
      <c r="BY42" s="172">
        <f>SUM(BY36:BY41)</f>
        <v>-66.064952946211079</v>
      </c>
      <c r="BZ42" s="172">
        <f>SUM(BZ36:BZ41)</f>
        <v>-274.52024702776481</v>
      </c>
      <c r="CA42" s="172"/>
      <c r="CB42" s="172">
        <f>SUM(CB36:CB41)</f>
        <v>-80.630567940214192</v>
      </c>
      <c r="CC42" s="172">
        <f>SUM(CC36:CC41)</f>
        <v>-78.605914494151094</v>
      </c>
      <c r="CD42" s="172">
        <f>SUM(CD36:CD41)</f>
        <v>-77.947798426384878</v>
      </c>
      <c r="CE42" s="172">
        <f>SUM(CE36:CE41)</f>
        <v>-73.860781246338632</v>
      </c>
      <c r="CF42" s="172">
        <f>SUM(CF36:CF41)</f>
        <v>-311.04506210708882</v>
      </c>
      <c r="CG42" s="65"/>
    </row>
    <row r="43" spans="1:85" ht="4.5" customHeight="1" x14ac:dyDescent="0.2">
      <c r="A43" s="2"/>
      <c r="B43" s="83"/>
      <c r="C43" s="83"/>
      <c r="D43" s="83"/>
      <c r="E43" s="83"/>
      <c r="F43" s="83"/>
      <c r="G43" s="70"/>
      <c r="H43" s="83"/>
      <c r="I43" s="83"/>
      <c r="J43" s="83"/>
      <c r="K43" s="83"/>
      <c r="L43" s="83"/>
      <c r="M43" s="70"/>
      <c r="N43" s="83"/>
      <c r="O43" s="83"/>
      <c r="P43" s="83"/>
      <c r="Q43" s="83"/>
      <c r="R43" s="83"/>
      <c r="S43" s="70"/>
      <c r="T43" s="83"/>
      <c r="U43" s="83"/>
      <c r="V43" s="83"/>
      <c r="W43" s="83"/>
      <c r="X43" s="83"/>
      <c r="Y43" s="70"/>
      <c r="Z43" s="83"/>
      <c r="AA43" s="83"/>
      <c r="AB43" s="83"/>
      <c r="AC43" s="83"/>
      <c r="AD43" s="453"/>
      <c r="AE43" s="70"/>
      <c r="AF43" s="177"/>
      <c r="AG43" s="83"/>
      <c r="AH43" s="83"/>
      <c r="AI43" s="177"/>
      <c r="AJ43" s="12"/>
      <c r="AK43" s="70"/>
      <c r="AL43" s="177"/>
      <c r="AM43" s="177"/>
      <c r="AN43" s="83"/>
      <c r="AO43" s="177"/>
      <c r="AP43" s="12"/>
      <c r="AQ43" s="70"/>
      <c r="AR43" s="177"/>
      <c r="AS43" s="177"/>
      <c r="AT43" s="177"/>
      <c r="AU43" s="177"/>
      <c r="AV43" s="12"/>
      <c r="AW43" s="70"/>
      <c r="AX43" s="177"/>
      <c r="AY43" s="177"/>
      <c r="AZ43" s="177"/>
      <c r="BA43" s="177"/>
      <c r="BB43" s="177"/>
      <c r="BC43" s="177"/>
      <c r="BD43" s="177"/>
      <c r="BE43" s="177"/>
      <c r="BF43" s="177"/>
      <c r="BG43" s="177"/>
      <c r="BH43" s="12"/>
      <c r="BI43" s="70"/>
      <c r="BJ43" s="177"/>
      <c r="BK43" s="177"/>
      <c r="BL43" s="177"/>
      <c r="BM43" s="177"/>
      <c r="BN43" s="12"/>
      <c r="BO43" s="70"/>
      <c r="BP43" s="177"/>
      <c r="BQ43" s="177"/>
      <c r="BR43" s="177"/>
      <c r="BS43" s="177"/>
      <c r="BT43" s="12"/>
      <c r="BU43" s="70"/>
      <c r="BV43" s="177"/>
      <c r="BW43" s="177"/>
      <c r="BX43" s="177"/>
      <c r="BY43" s="177"/>
      <c r="BZ43" s="12"/>
      <c r="CA43" s="70"/>
      <c r="CB43" s="177"/>
      <c r="CC43" s="177"/>
      <c r="CD43" s="177"/>
      <c r="CE43" s="177"/>
      <c r="CF43" s="12"/>
      <c r="CG43" s="12"/>
    </row>
    <row r="44" spans="1:85" x14ac:dyDescent="0.2">
      <c r="A44" s="2" t="s">
        <v>292</v>
      </c>
      <c r="B44" s="169">
        <v>0.115</v>
      </c>
      <c r="C44" s="169">
        <f>0.176-B44</f>
        <v>6.0999999999999985E-2</v>
      </c>
      <c r="D44" s="169">
        <f>-0.246-SUM(B44:C44)</f>
        <v>-0.42199999999999999</v>
      </c>
      <c r="E44" s="169">
        <f>0.499-SUM(B44:D44)</f>
        <v>0.745</v>
      </c>
      <c r="F44" s="83">
        <f>SUM(B44:E44)</f>
        <v>0.499</v>
      </c>
      <c r="G44" s="60"/>
      <c r="H44" s="169">
        <v>2.1000000000000001E-2</v>
      </c>
      <c r="I44" s="169">
        <f>0.002-H44</f>
        <v>-1.9000000000000003E-2</v>
      </c>
      <c r="J44" s="169">
        <f>-0.204-SUM(H44:I44)</f>
        <v>-0.20599999999999999</v>
      </c>
      <c r="K44" s="169">
        <f>-0.355-SUM(H44:J44)</f>
        <v>-0.151</v>
      </c>
      <c r="L44" s="83">
        <f>SUM(H44:K44)</f>
        <v>-0.35499999999999998</v>
      </c>
      <c r="M44" s="60"/>
      <c r="N44" s="169">
        <v>-0.127</v>
      </c>
      <c r="O44" s="169">
        <f>0.008-N44</f>
        <v>0.13500000000000001</v>
      </c>
      <c r="P44" s="169">
        <f>0.058-SUM(N44:O44)</f>
        <v>4.9999999999999996E-2</v>
      </c>
      <c r="Q44" s="169">
        <f>-0.059-SUM(N44:P44)</f>
        <v>-0.11699999999999999</v>
      </c>
      <c r="R44" s="83">
        <f>SUM(N44:Q44)</f>
        <v>-5.899999999999999E-2</v>
      </c>
      <c r="S44" s="60"/>
      <c r="T44" s="169">
        <v>-0.19800000000000001</v>
      </c>
      <c r="U44" s="169">
        <f>-0.25-T44</f>
        <v>-5.1999999999999991E-2</v>
      </c>
      <c r="V44" s="169">
        <f>-0.029-SUM(T44:U44)</f>
        <v>0.221</v>
      </c>
      <c r="W44" s="169">
        <f>-0.139-SUM(T44:V44)</f>
        <v>-0.11000000000000001</v>
      </c>
      <c r="X44" s="83">
        <f>SUM(T44:W44)</f>
        <v>-0.13900000000000001</v>
      </c>
      <c r="Y44" s="91"/>
      <c r="Z44" s="169">
        <v>0.17299999999999999</v>
      </c>
      <c r="AA44" s="169">
        <f>0.077-Z44</f>
        <v>-9.5999999999999988E-2</v>
      </c>
      <c r="AB44" s="169">
        <v>-9.5000000000000001E-2</v>
      </c>
      <c r="AC44" s="169">
        <f>-0.093-AB44-AA44-Z44</f>
        <v>-7.4999999999999997E-2</v>
      </c>
      <c r="AD44" s="168">
        <f>SUM(Z44:AC44)</f>
        <v>-9.2999999999999999E-2</v>
      </c>
      <c r="AE44" s="91"/>
      <c r="AF44" s="235">
        <v>8.9999999999999993E-3</v>
      </c>
      <c r="AG44" s="169">
        <v>-4.0000000000000001E-3</v>
      </c>
      <c r="AH44" s="169">
        <f>0.041-AG44-AF44</f>
        <v>3.5999999999999997E-2</v>
      </c>
      <c r="AI44" s="169">
        <f>0.028-AH44-AG44-AF44</f>
        <v>-1.2999999999999996E-2</v>
      </c>
      <c r="AJ44" s="83">
        <f>SUM(AF44:AI44)</f>
        <v>2.7999999999999997E-2</v>
      </c>
      <c r="AK44" s="91"/>
      <c r="AL44" s="235">
        <v>-3.6999999999999998E-2</v>
      </c>
      <c r="AM44" s="235">
        <f>0.053-AL44</f>
        <v>0.09</v>
      </c>
      <c r="AN44" s="169">
        <f>-0.52-AM44-AL44</f>
        <v>-0.57299999999999995</v>
      </c>
      <c r="AO44" s="169">
        <f>-0.504-AN44-AM44-AL44</f>
        <v>1.5999999999999952E-2</v>
      </c>
      <c r="AP44" s="83">
        <f>SUM(AL44:AO44)</f>
        <v>-0.504</v>
      </c>
      <c r="AQ44" s="91"/>
      <c r="AR44" s="235">
        <v>0.106</v>
      </c>
      <c r="AS44" s="235">
        <f>0.245-AR44</f>
        <v>0.13900000000000001</v>
      </c>
      <c r="AT44" s="606">
        <f>0.72-AS44-AR44</f>
        <v>0.47499999999999998</v>
      </c>
      <c r="AU44" s="639">
        <f>-1.934-SUM(AR44:AT44)</f>
        <v>-2.6539999999999999</v>
      </c>
      <c r="AV44" s="83">
        <f>SUM(AR44:AU44)</f>
        <v>-1.9339999999999999</v>
      </c>
      <c r="AW44" s="91"/>
      <c r="AX44" s="639">
        <v>-1.78</v>
      </c>
      <c r="AY44" s="639">
        <f>-1.454-AX44</f>
        <v>0.32600000000000007</v>
      </c>
      <c r="AZ44" s="639">
        <f>-2.893-SUM(AX44:AY44)</f>
        <v>-1.4389999999999998</v>
      </c>
      <c r="BA44" s="639">
        <f>-3.007-SUM(AX44:AZ44)</f>
        <v>-0.11400000000000032</v>
      </c>
      <c r="BB44" s="83">
        <f>SUM(AX44:BA44)</f>
        <v>-3.0070000000000001</v>
      </c>
      <c r="BC44" s="91"/>
      <c r="BD44" s="639">
        <v>0.44600000000000001</v>
      </c>
      <c r="BE44" s="639">
        <f>0.156-BD44</f>
        <v>-0.29000000000000004</v>
      </c>
      <c r="BF44" s="639">
        <f>0.32-SUM(BD44:BE44)</f>
        <v>0.16400000000000003</v>
      </c>
      <c r="BG44" s="639">
        <f>-3.417-SUM(BD44:BF44)</f>
        <v>-3.7369999999999997</v>
      </c>
      <c r="BH44" s="83">
        <f>SUM(BD44:BG44)</f>
        <v>-3.4169999999999998</v>
      </c>
      <c r="BI44" s="91"/>
      <c r="BJ44" s="639">
        <v>2.4300000000000002</v>
      </c>
      <c r="BK44" s="639">
        <f>3.613-BJ44</f>
        <v>1.1829999999999998</v>
      </c>
      <c r="BL44" s="639">
        <f>4.781-SUM(BJ44:BK44)</f>
        <v>1.1679999999999997</v>
      </c>
      <c r="BM44" s="639">
        <f>5.51-SUM(BJ44:BL44)</f>
        <v>0.72900000000000009</v>
      </c>
      <c r="BN44" s="83">
        <f>SUM(BJ44:BM44)</f>
        <v>5.51</v>
      </c>
      <c r="BO44" s="91"/>
      <c r="BP44" s="385">
        <v>0</v>
      </c>
      <c r="BQ44" s="385">
        <v>0</v>
      </c>
      <c r="BR44" s="385">
        <v>0</v>
      </c>
      <c r="BS44" s="385">
        <v>0</v>
      </c>
      <c r="BT44" s="83">
        <f>SUM(BP44:BS44)</f>
        <v>0</v>
      </c>
      <c r="BU44" s="91"/>
      <c r="BV44" s="385">
        <v>0</v>
      </c>
      <c r="BW44" s="385">
        <v>0</v>
      </c>
      <c r="BX44" s="385">
        <v>0</v>
      </c>
      <c r="BY44" s="385">
        <v>0</v>
      </c>
      <c r="BZ44" s="83">
        <f>SUM(BV44:BY44)</f>
        <v>0</v>
      </c>
      <c r="CA44" s="91"/>
      <c r="CB44" s="385">
        <v>0</v>
      </c>
      <c r="CC44" s="385">
        <v>0</v>
      </c>
      <c r="CD44" s="385">
        <v>0</v>
      </c>
      <c r="CE44" s="385">
        <v>0</v>
      </c>
      <c r="CF44" s="83">
        <f>SUM(CB44:CE44)</f>
        <v>0</v>
      </c>
      <c r="CG44" s="83"/>
    </row>
    <row r="45" spans="1:85" x14ac:dyDescent="0.2">
      <c r="A45" s="2" t="s">
        <v>145</v>
      </c>
      <c r="B45" s="169">
        <f>56.209-56.304</f>
        <v>-9.4999999999998863E-2</v>
      </c>
      <c r="C45" s="169">
        <f>55.113-55.206-B45</f>
        <v>1.9999999999953388E-3</v>
      </c>
      <c r="D45" s="169">
        <v>0</v>
      </c>
      <c r="E45" s="169">
        <v>0</v>
      </c>
      <c r="F45" s="83">
        <f>SUM(B45:E45)</f>
        <v>-9.3000000000003524E-2</v>
      </c>
      <c r="G45" s="60"/>
      <c r="H45" s="169">
        <f>-89.119+89.14</f>
        <v>2.1000000000000796E-2</v>
      </c>
      <c r="I45" s="169">
        <v>0</v>
      </c>
      <c r="J45" s="169">
        <v>0</v>
      </c>
      <c r="K45" s="169">
        <f>-89.14+89.119</f>
        <v>-2.1000000000000796E-2</v>
      </c>
      <c r="L45" s="83">
        <f>SUM(H45:K45)</f>
        <v>0</v>
      </c>
      <c r="M45" s="60"/>
      <c r="N45" s="169">
        <v>0</v>
      </c>
      <c r="O45" s="169">
        <f>0-N45</f>
        <v>0</v>
      </c>
      <c r="P45" s="169">
        <f>0-SUM(N45:O45)</f>
        <v>0</v>
      </c>
      <c r="Q45" s="169">
        <f>0-SUM(N45:P45)</f>
        <v>0</v>
      </c>
      <c r="R45" s="83">
        <f>SUM(N45:Q45)</f>
        <v>0</v>
      </c>
      <c r="S45" s="60"/>
      <c r="T45" s="169">
        <v>0</v>
      </c>
      <c r="U45" s="169">
        <f>0-T45</f>
        <v>0</v>
      </c>
      <c r="V45" s="169">
        <f>0-SUM(T45:U45)</f>
        <v>0</v>
      </c>
      <c r="W45" s="169">
        <f>0-SUM(T45:V45)</f>
        <v>0</v>
      </c>
      <c r="X45" s="83">
        <f>SUM(T45:W45)</f>
        <v>0</v>
      </c>
      <c r="Y45" s="91"/>
      <c r="Z45" s="169">
        <v>0</v>
      </c>
      <c r="AA45" s="169">
        <v>0</v>
      </c>
      <c r="AB45" s="169">
        <v>0</v>
      </c>
      <c r="AC45" s="169">
        <v>0</v>
      </c>
      <c r="AD45" s="168">
        <f>SUM(Z45:AC45)</f>
        <v>0</v>
      </c>
      <c r="AE45" s="91"/>
      <c r="AF45" s="235">
        <v>0</v>
      </c>
      <c r="AG45" s="169">
        <v>0</v>
      </c>
      <c r="AH45" s="169">
        <v>0</v>
      </c>
      <c r="AI45" s="169">
        <v>0</v>
      </c>
      <c r="AJ45" s="83">
        <f>SUM(AF45:AI45)</f>
        <v>0</v>
      </c>
      <c r="AK45" s="91"/>
      <c r="AL45" s="235">
        <v>0</v>
      </c>
      <c r="AM45" s="235">
        <v>0</v>
      </c>
      <c r="AN45" s="169">
        <v>0</v>
      </c>
      <c r="AO45" s="169">
        <v>0</v>
      </c>
      <c r="AP45" s="83">
        <f>SUM(AL45:AO45)</f>
        <v>0</v>
      </c>
      <c r="AQ45" s="91"/>
      <c r="AR45" s="235">
        <v>0</v>
      </c>
      <c r="AS45" s="235">
        <f>0-AR45</f>
        <v>0</v>
      </c>
      <c r="AT45" s="235">
        <f>0-AS45</f>
        <v>0</v>
      </c>
      <c r="AU45" s="639">
        <f>0-SUM(AR45:AT45)</f>
        <v>0</v>
      </c>
      <c r="AV45" s="83">
        <f>SUM(AR45:AU45)</f>
        <v>0</v>
      </c>
      <c r="AW45" s="91"/>
      <c r="AX45" s="639">
        <v>0</v>
      </c>
      <c r="AY45" s="639">
        <f>0-AX45</f>
        <v>0</v>
      </c>
      <c r="AZ45" s="639">
        <f>0-SUM(AX45:AY45)</f>
        <v>0</v>
      </c>
      <c r="BA45" s="639">
        <f>0-SUM(AX45:AZ45)</f>
        <v>0</v>
      </c>
      <c r="BB45" s="83">
        <f>SUM(AX45:BA45)</f>
        <v>0</v>
      </c>
      <c r="BC45" s="91"/>
      <c r="BD45" s="639">
        <v>0</v>
      </c>
      <c r="BE45" s="639">
        <f>0-BD45</f>
        <v>0</v>
      </c>
      <c r="BF45" s="639">
        <f t="shared" ref="BF45" si="57">0-SUM(BD45:BE45)</f>
        <v>0</v>
      </c>
      <c r="BG45" s="639">
        <f t="shared" ref="BG45" si="58">0-SUM(BD45:BF45)</f>
        <v>0</v>
      </c>
      <c r="BH45" s="83">
        <f>SUM(BD45:BG45)</f>
        <v>0</v>
      </c>
      <c r="BI45" s="91"/>
      <c r="BJ45" s="639">
        <v>0</v>
      </c>
      <c r="BK45" s="639">
        <f t="shared" ref="BK45" si="59">0-BJ45</f>
        <v>0</v>
      </c>
      <c r="BL45" s="639">
        <f t="shared" ref="BL45" si="60">0-SUM(BJ45:BK45)</f>
        <v>0</v>
      </c>
      <c r="BM45" s="639">
        <f t="shared" ref="BM45" si="61">0-SUM(BJ45:BL45)</f>
        <v>0</v>
      </c>
      <c r="BN45" s="83">
        <f>SUM(BJ45:BM45)</f>
        <v>0</v>
      </c>
      <c r="BO45" s="91"/>
      <c r="BP45" s="385">
        <v>0</v>
      </c>
      <c r="BQ45" s="385">
        <v>0</v>
      </c>
      <c r="BR45" s="385">
        <v>0</v>
      </c>
      <c r="BS45" s="385">
        <v>0</v>
      </c>
      <c r="BT45" s="83">
        <f>SUM(BP45:BS45)</f>
        <v>0</v>
      </c>
      <c r="BU45" s="91"/>
      <c r="BV45" s="385">
        <v>0</v>
      </c>
      <c r="BW45" s="385">
        <v>0</v>
      </c>
      <c r="BX45" s="385">
        <v>0</v>
      </c>
      <c r="BY45" s="385">
        <v>0</v>
      </c>
      <c r="BZ45" s="83">
        <f>SUM(BV45:BY45)</f>
        <v>0</v>
      </c>
      <c r="CA45" s="91"/>
      <c r="CB45" s="385">
        <v>0</v>
      </c>
      <c r="CC45" s="385">
        <v>0</v>
      </c>
      <c r="CD45" s="385">
        <v>0</v>
      </c>
      <c r="CE45" s="385">
        <v>0</v>
      </c>
      <c r="CF45" s="83">
        <f>SUM(CB45:CE45)</f>
        <v>0</v>
      </c>
      <c r="CG45" s="83"/>
    </row>
    <row r="46" spans="1:85" x14ac:dyDescent="0.2">
      <c r="A46" s="2"/>
      <c r="B46" s="12"/>
      <c r="C46" s="12"/>
      <c r="D46" s="12"/>
      <c r="E46" s="12"/>
      <c r="F46" s="12"/>
      <c r="G46" s="70"/>
      <c r="H46" s="12"/>
      <c r="I46" s="12"/>
      <c r="J46" s="12"/>
      <c r="K46" s="12"/>
      <c r="L46" s="12"/>
      <c r="M46" s="70"/>
      <c r="N46" s="12"/>
      <c r="O46" s="12"/>
      <c r="P46" s="12"/>
      <c r="Q46" s="12"/>
      <c r="R46" s="12"/>
      <c r="S46" s="70"/>
      <c r="T46" s="12"/>
      <c r="U46" s="12"/>
      <c r="V46" s="12"/>
      <c r="W46" s="12"/>
      <c r="X46" s="12"/>
      <c r="Y46" s="109"/>
      <c r="Z46" s="12"/>
      <c r="AA46" s="12"/>
      <c r="AB46" s="12"/>
      <c r="AC46" s="12"/>
      <c r="AD46" s="453"/>
      <c r="AE46" s="109"/>
      <c r="AF46" s="35"/>
      <c r="AG46" s="12"/>
      <c r="AH46" s="12"/>
      <c r="AI46" s="35"/>
      <c r="AJ46" s="12"/>
      <c r="AK46" s="109"/>
      <c r="AL46" s="550"/>
      <c r="AM46" s="550"/>
      <c r="AN46" s="550"/>
      <c r="AO46" s="550"/>
      <c r="AP46" s="12"/>
      <c r="AQ46" s="109"/>
      <c r="AR46" s="35"/>
      <c r="AS46" s="35"/>
      <c r="AT46" s="35"/>
      <c r="AU46" s="35"/>
      <c r="AV46" s="12"/>
      <c r="AW46" s="109"/>
      <c r="AX46" s="35"/>
      <c r="AY46" s="35"/>
      <c r="AZ46" s="35"/>
      <c r="BA46" s="35"/>
      <c r="BB46" s="12"/>
      <c r="BC46" s="109"/>
      <c r="BD46" s="35"/>
      <c r="BE46" s="35"/>
      <c r="BF46" s="35"/>
      <c r="BG46" s="35"/>
      <c r="BH46" s="12"/>
      <c r="BI46" s="109"/>
      <c r="BJ46" s="35"/>
      <c r="BK46" s="35"/>
      <c r="BL46" s="35"/>
      <c r="BM46" s="35"/>
      <c r="BN46" s="12"/>
      <c r="BO46" s="109"/>
      <c r="BP46" s="35"/>
      <c r="BQ46" s="35"/>
      <c r="BR46" s="35"/>
      <c r="BS46" s="35"/>
      <c r="BT46" s="12"/>
      <c r="BU46" s="109"/>
      <c r="BV46" s="35"/>
      <c r="BW46" s="35"/>
      <c r="BX46" s="35"/>
      <c r="BY46" s="35"/>
      <c r="BZ46" s="12"/>
      <c r="CA46" s="109"/>
      <c r="CB46" s="35"/>
      <c r="CC46" s="35"/>
      <c r="CD46" s="35"/>
      <c r="CE46" s="35"/>
      <c r="CF46" s="12"/>
      <c r="CG46" s="12"/>
    </row>
    <row r="47" spans="1:85" ht="13.5" thickBot="1" x14ac:dyDescent="0.25">
      <c r="A47" s="30" t="s">
        <v>293</v>
      </c>
      <c r="B47" s="171">
        <f>B44+B42+B33+B25+B45</f>
        <v>1.0030000000000021</v>
      </c>
      <c r="C47" s="171">
        <f>C44+C42+C33+C25+C45</f>
        <v>9.3849999999999909</v>
      </c>
      <c r="D47" s="171">
        <f>D44+D42+D33+D25+D45</f>
        <v>22.374999999999993</v>
      </c>
      <c r="E47" s="171">
        <f>E44+E42+E33+E25+E45</f>
        <v>1.1499999999999915</v>
      </c>
      <c r="F47" s="171">
        <f>F44+F42+F33+F25+F45</f>
        <v>33.912999999999968</v>
      </c>
      <c r="G47" s="70"/>
      <c r="H47" s="171">
        <f>H44+H42+H33+H25+H45</f>
        <v>24.560999999999993</v>
      </c>
      <c r="I47" s="171">
        <f>I44+I42+I33+I25+I45</f>
        <v>-49.341000000000001</v>
      </c>
      <c r="J47" s="299">
        <f>J44+J42+J33+J25+J45</f>
        <v>15.417000000000012</v>
      </c>
      <c r="K47" s="171">
        <f>K44+K42+K33+K25+K45</f>
        <v>7.344000000000003</v>
      </c>
      <c r="L47" s="171">
        <f>L44+L42+L33+L25+L45</f>
        <v>-2.0190000000000126</v>
      </c>
      <c r="M47" s="70"/>
      <c r="N47" s="171">
        <f>N44+N42+N33+N25+N45</f>
        <v>9.9509999999999881</v>
      </c>
      <c r="O47" s="171">
        <f>O44+O42+O33+O25+O45</f>
        <v>25.131</v>
      </c>
      <c r="P47" s="171">
        <f>P44+P42+P33+P25+P45</f>
        <v>13.779000000000007</v>
      </c>
      <c r="Q47" s="171">
        <f>Q44+Q42+Q33+Q25+Q45</f>
        <v>30.525999999999964</v>
      </c>
      <c r="R47" s="171">
        <f>R44+R42+R33+R25+R45</f>
        <v>79.386999999999944</v>
      </c>
      <c r="S47" s="70"/>
      <c r="T47" s="171">
        <f>T44+T42+T33+T25+T45</f>
        <v>23.92</v>
      </c>
      <c r="U47" s="171">
        <f>U44+U42+U33+U25+U45</f>
        <v>45.394000000000005</v>
      </c>
      <c r="V47" s="171">
        <f>V44+V42+V33+V25+V45</f>
        <v>29.123000000000005</v>
      </c>
      <c r="W47" s="171">
        <f>W44+W42+W33+W25+W45</f>
        <v>29.739999999999966</v>
      </c>
      <c r="X47" s="171">
        <f>X44+X42+X33+X25+X45</f>
        <v>128.17699999999996</v>
      </c>
      <c r="Y47" s="109"/>
      <c r="Z47" s="171">
        <f>Z44+Z42+Z33+Z25+Z45</f>
        <v>13.944000000000006</v>
      </c>
      <c r="AA47" s="171">
        <f>AA44+AA42+AA33+AA25+AA45</f>
        <v>-140.00100000000003</v>
      </c>
      <c r="AB47" s="284">
        <f>AB44+AB42+AB33+AB25+AB45</f>
        <v>33.622000000000021</v>
      </c>
      <c r="AC47" s="284">
        <f>AC44+AC42+AC33+AC25+AC45</f>
        <v>38.445999999999984</v>
      </c>
      <c r="AD47" s="171">
        <f>AD44+AD42+AD33+AD25+AD45</f>
        <v>-53.989000000000004</v>
      </c>
      <c r="AE47" s="109"/>
      <c r="AF47" s="284">
        <f>AF44+AF42+AF33+AF25+AF45</f>
        <v>-16.313999999999997</v>
      </c>
      <c r="AG47" s="171">
        <f>AG44+AG42+AG33+AG25+AG45</f>
        <v>38.444999999999993</v>
      </c>
      <c r="AH47" s="284">
        <f>AH44+AH42+AH33+AH25+AH45</f>
        <v>42.100999999999999</v>
      </c>
      <c r="AI47" s="284">
        <f>AI44+AI42+AI33+AI25+AI45</f>
        <v>1.4789999999999992</v>
      </c>
      <c r="AJ47" s="171">
        <f>AJ44+AJ42+AJ33+AJ25+AJ45</f>
        <v>65.711000000000041</v>
      </c>
      <c r="AK47" s="109"/>
      <c r="AL47" s="284">
        <f>AL44+AL42+AL33+AL25+AL45</f>
        <v>22.359000000000002</v>
      </c>
      <c r="AM47" s="284">
        <f>AM44+AM42+AM33+AM25+AM45</f>
        <v>-164.24799999999999</v>
      </c>
      <c r="AN47" s="284">
        <f>AN44+AN42+AN33+AN25+AN45</f>
        <v>11.341999999999963</v>
      </c>
      <c r="AO47" s="284">
        <f>AO44+AO42+AO33+AO25+AO45</f>
        <v>67.114000000000061</v>
      </c>
      <c r="AP47" s="171">
        <f>AP44+AP42+AP33+AP25+AP45</f>
        <v>-63.432999999999964</v>
      </c>
      <c r="AQ47" s="109"/>
      <c r="AR47" s="284">
        <f>AR44+AR42+AR33+AR25+AR45</f>
        <v>-60.186999999999998</v>
      </c>
      <c r="AS47" s="284">
        <f>AS44+AS42+AS33+AS25+AS45</f>
        <v>-15.295000000000002</v>
      </c>
      <c r="AT47" s="284">
        <f>AT44+AT42+AT33+AT25+AT45</f>
        <v>13.205000000000027</v>
      </c>
      <c r="AU47" s="284">
        <f>AU44+AU42+AU33+AU25+AU45</f>
        <v>19.194999999999986</v>
      </c>
      <c r="AV47" s="171">
        <f>AV44+AV42+AV33+AV25+AV45</f>
        <v>-43.082000000000022</v>
      </c>
      <c r="AW47" s="109"/>
      <c r="AX47" s="284">
        <f>AX44+AX42+AX33+AX25+AX45</f>
        <v>-9.8930000000000078</v>
      </c>
      <c r="AY47" s="284">
        <f>AY44+AY42+AY33+AY25+AY45</f>
        <v>-28.225000000000016</v>
      </c>
      <c r="AZ47" s="284">
        <f>AZ44+AZ42+AZ33+AZ25+AZ45</f>
        <v>12.287000000000013</v>
      </c>
      <c r="BA47" s="284">
        <f>BA44+BA42+BA33+BA25+BA45</f>
        <v>-6.3260000000000218</v>
      </c>
      <c r="BB47" s="171">
        <f>BB44+BB42+BB33+BB25+BB45</f>
        <v>-32.157000000000011</v>
      </c>
      <c r="BC47" s="109"/>
      <c r="BD47" s="284">
        <f>BD44+BD42+BD33+BD25+BD45</f>
        <v>-13.295999999999992</v>
      </c>
      <c r="BE47" s="284">
        <f>BE44+BE42+BE33+BE25+BE45</f>
        <v>13.288000000000011</v>
      </c>
      <c r="BF47" s="284">
        <f>BF44+BF42+BF33+BF25+BF45</f>
        <v>252.2419999999999</v>
      </c>
      <c r="BG47" s="284">
        <f>BG44+BG42+BG33+BG25+BG45</f>
        <v>-30.672999999999988</v>
      </c>
      <c r="BH47" s="171">
        <f>BH44+BH42+BH33+BH25+BH45</f>
        <v>221.56100000000001</v>
      </c>
      <c r="BI47" s="109"/>
      <c r="BJ47" s="284">
        <f>BJ44+BJ42+BJ33+BJ25+BJ45</f>
        <v>-128.24799999999999</v>
      </c>
      <c r="BK47" s="284">
        <f>BK44+BK42+BK33+BK25+BK45</f>
        <v>97.154999999999973</v>
      </c>
      <c r="BL47" s="284">
        <f>BL44+BL42+BL33+BL25+BL45</f>
        <v>4.4310000000000542</v>
      </c>
      <c r="BM47" s="284">
        <f>BM44+BM42+BM33+BM25+BM45</f>
        <v>86.897999999999968</v>
      </c>
      <c r="BN47" s="171">
        <f>BN44+BN42+BN33+BN25+BN45</f>
        <v>60.23599999999999</v>
      </c>
      <c r="BO47" s="109"/>
      <c r="BP47" s="284">
        <f>BP44+BP42+BP33+BP25+BP45</f>
        <v>-48.162811923622016</v>
      </c>
      <c r="BQ47" s="284">
        <f>BQ44+BQ42+BQ33+BQ25+BQ45</f>
        <v>5.2465880177104509</v>
      </c>
      <c r="BR47" s="284">
        <f>BR44+BR42+BR33+BR25+BR45</f>
        <v>-23.12678831911596</v>
      </c>
      <c r="BS47" s="284">
        <f>BS44+BS42+BS33+BS25+BS45</f>
        <v>20.123001648401498</v>
      </c>
      <c r="BT47" s="171">
        <f>BT44+BT42+BT33+BT25+BT45</f>
        <v>-45.920010576626055</v>
      </c>
      <c r="BU47" s="109"/>
      <c r="BV47" s="284">
        <f>BV44+BV42+BV33+BV25+BV45</f>
        <v>4.4256726434828124</v>
      </c>
      <c r="BW47" s="284">
        <f>BW44+BW42+BW33+BW25+BW45</f>
        <v>62.846761227977339</v>
      </c>
      <c r="BX47" s="284">
        <f>BX44+BX42+BX33+BX25+BX45</f>
        <v>39.857744643757542</v>
      </c>
      <c r="BY47" s="284">
        <f>BY44+BY42+BY33+BY25+BY45</f>
        <v>98.367258903893202</v>
      </c>
      <c r="BZ47" s="171">
        <f>BZ44+BZ42+BZ33+BZ25+BZ45</f>
        <v>205.49743741911084</v>
      </c>
      <c r="CA47" s="109"/>
      <c r="CB47" s="284">
        <f>CB44+CB42+CB33+CB25+CB45</f>
        <v>34.779788680751864</v>
      </c>
      <c r="CC47" s="284">
        <f>CC44+CC42+CC33+CC25+CC45</f>
        <v>107.28316736976305</v>
      </c>
      <c r="CD47" s="284">
        <f>CD44+CD42+CD33+CD25+CD45</f>
        <v>82.018164780294853</v>
      </c>
      <c r="CE47" s="284">
        <f>CE44+CE42+CE33+CE25+CE45</f>
        <v>154.52349127680455</v>
      </c>
      <c r="CF47" s="171">
        <f>CF44+CF42+CF33+CF25+CF45</f>
        <v>378.60461210761412</v>
      </c>
      <c r="CG47" s="67"/>
    </row>
    <row r="48" spans="1:85" ht="13.5" thickTop="1" x14ac:dyDescent="0.2">
      <c r="A48" s="2" t="s">
        <v>294</v>
      </c>
      <c r="B48" s="128">
        <v>55.206000000000003</v>
      </c>
      <c r="C48" s="12">
        <f>+B49</f>
        <v>56.209000000000003</v>
      </c>
      <c r="D48" s="12">
        <f>+C49</f>
        <v>65.593999999999994</v>
      </c>
      <c r="E48" s="12">
        <f>+D49</f>
        <v>87.968999999999994</v>
      </c>
      <c r="F48" s="12">
        <f>B48</f>
        <v>55.206000000000003</v>
      </c>
      <c r="G48" s="71"/>
      <c r="H48" s="12">
        <f>+F49</f>
        <v>89.118999999999971</v>
      </c>
      <c r="I48" s="12">
        <f>+H49</f>
        <v>113.67999999999996</v>
      </c>
      <c r="J48" s="12">
        <f>+I49</f>
        <v>64.33899999999997</v>
      </c>
      <c r="K48" s="12">
        <f>+J49</f>
        <v>79.755999999999986</v>
      </c>
      <c r="L48" s="12">
        <f>H48</f>
        <v>89.118999999999971</v>
      </c>
      <c r="M48" s="71"/>
      <c r="N48" s="12">
        <f>+L49</f>
        <v>87.099999999999966</v>
      </c>
      <c r="O48" s="12">
        <f>+N49</f>
        <v>97.050999999999959</v>
      </c>
      <c r="P48" s="12">
        <f>+O49</f>
        <v>122.18199999999996</v>
      </c>
      <c r="Q48" s="12">
        <f>+P49</f>
        <v>135.96099999999996</v>
      </c>
      <c r="R48" s="12">
        <f>N48</f>
        <v>87.099999999999966</v>
      </c>
      <c r="S48" s="71"/>
      <c r="T48" s="12">
        <f>+R49</f>
        <v>166.48699999999991</v>
      </c>
      <c r="U48" s="12">
        <f>+T49</f>
        <v>190.40699999999993</v>
      </c>
      <c r="V48" s="12">
        <f>+U49</f>
        <v>235.80099999999993</v>
      </c>
      <c r="W48" s="12">
        <f>+V49</f>
        <v>264.92399999999992</v>
      </c>
      <c r="X48" s="12">
        <f>T48</f>
        <v>166.48699999999991</v>
      </c>
      <c r="Y48" s="110"/>
      <c r="Z48" s="12">
        <f>+X49</f>
        <v>294.66399999999987</v>
      </c>
      <c r="AA48" s="12">
        <f>+Z49</f>
        <v>308.60799999999989</v>
      </c>
      <c r="AB48" s="12">
        <f>AA49</f>
        <v>168.60699999999986</v>
      </c>
      <c r="AC48" s="12">
        <f>AB49</f>
        <v>202.22899999999987</v>
      </c>
      <c r="AD48" s="453">
        <f>X49</f>
        <v>294.66399999999987</v>
      </c>
      <c r="AE48" s="110"/>
      <c r="AF48" s="35">
        <f>+AD49</f>
        <v>240.67499999999987</v>
      </c>
      <c r="AG48" s="12">
        <f>+AF49</f>
        <v>224.36099999999988</v>
      </c>
      <c r="AH48" s="12">
        <f>AG49</f>
        <v>262.80599999999987</v>
      </c>
      <c r="AI48" s="12">
        <f>AH49</f>
        <v>304.90699999999987</v>
      </c>
      <c r="AJ48" s="12">
        <f>AD49</f>
        <v>240.67499999999987</v>
      </c>
      <c r="AK48" s="110"/>
      <c r="AL48" s="35">
        <f>AJ49</f>
        <v>306.38599999999991</v>
      </c>
      <c r="AM48" s="35">
        <f>AL49</f>
        <v>328.74499999999989</v>
      </c>
      <c r="AN48" s="12">
        <f>AM49</f>
        <v>164.4969999999999</v>
      </c>
      <c r="AO48" s="12">
        <f>AN49</f>
        <v>175.83899999999986</v>
      </c>
      <c r="AP48" s="12">
        <f>AJ49</f>
        <v>306.38599999999991</v>
      </c>
      <c r="AQ48" s="110"/>
      <c r="AR48" s="12">
        <f>AP49</f>
        <v>242.95299999999995</v>
      </c>
      <c r="AS48" s="12">
        <f>AR49</f>
        <v>182.76599999999996</v>
      </c>
      <c r="AT48" s="12">
        <f>AS49</f>
        <v>167.47099999999995</v>
      </c>
      <c r="AU48" s="12">
        <f>AT49</f>
        <v>180.67599999999999</v>
      </c>
      <c r="AV48" s="12">
        <f>AP49</f>
        <v>242.95299999999995</v>
      </c>
      <c r="AW48" s="110"/>
      <c r="AX48" s="12">
        <f>AV49</f>
        <v>199.87099999999992</v>
      </c>
      <c r="AY48" s="12">
        <f>AX49</f>
        <v>189.97799999999992</v>
      </c>
      <c r="AZ48" s="12">
        <f>AY49</f>
        <v>161.7529999999999</v>
      </c>
      <c r="BA48" s="12">
        <f>AZ49</f>
        <v>174.03999999999991</v>
      </c>
      <c r="BB48" s="12">
        <f>AV49</f>
        <v>199.87099999999992</v>
      </c>
      <c r="BC48" s="110"/>
      <c r="BD48" s="12">
        <f>BB49</f>
        <v>167.71399999999991</v>
      </c>
      <c r="BE48" s="12">
        <f>BD49</f>
        <v>154.41799999999992</v>
      </c>
      <c r="BF48" s="12">
        <f>BE49</f>
        <v>167.70599999999993</v>
      </c>
      <c r="BG48" s="12">
        <f>BF49</f>
        <v>419.94799999999987</v>
      </c>
      <c r="BH48" s="12">
        <f>BB49</f>
        <v>167.71399999999991</v>
      </c>
      <c r="BI48" s="110"/>
      <c r="BJ48" s="12">
        <f>BH49</f>
        <v>389.27499999999992</v>
      </c>
      <c r="BK48" s="12">
        <f>BJ49</f>
        <v>261.02699999999993</v>
      </c>
      <c r="BL48" s="12">
        <f>BK49</f>
        <v>358.1819999999999</v>
      </c>
      <c r="BM48" s="12">
        <f>BL49</f>
        <v>362.61299999999994</v>
      </c>
      <c r="BN48" s="12">
        <f>BH49</f>
        <v>389.27499999999992</v>
      </c>
      <c r="BO48" s="110"/>
      <c r="BP48" s="12">
        <f>BN49</f>
        <v>449.51099999999991</v>
      </c>
      <c r="BQ48" s="12">
        <f>BP49</f>
        <v>401.34818807637788</v>
      </c>
      <c r="BR48" s="12">
        <f>BQ49</f>
        <v>406.59477609408833</v>
      </c>
      <c r="BS48" s="12">
        <f>BR49</f>
        <v>383.46798777497236</v>
      </c>
      <c r="BT48" s="12">
        <f>BN49</f>
        <v>449.51099999999991</v>
      </c>
      <c r="BU48" s="110"/>
      <c r="BV48" s="12">
        <f>BT49</f>
        <v>403.59098942337386</v>
      </c>
      <c r="BW48" s="12">
        <f>BV49</f>
        <v>408.01666206685667</v>
      </c>
      <c r="BX48" s="12">
        <f>BW49</f>
        <v>470.86342329483398</v>
      </c>
      <c r="BY48" s="12">
        <f>BX49</f>
        <v>510.72116793859152</v>
      </c>
      <c r="BZ48" s="12">
        <f>BT49</f>
        <v>403.59098942337386</v>
      </c>
      <c r="CA48" s="110"/>
      <c r="CB48" s="12">
        <f>BZ49</f>
        <v>609.08842684248475</v>
      </c>
      <c r="CC48" s="12">
        <f>CB49</f>
        <v>643.86821552323659</v>
      </c>
      <c r="CD48" s="12">
        <f>CC49</f>
        <v>751.15138289299966</v>
      </c>
      <c r="CE48" s="12">
        <f>CD49</f>
        <v>833.16954767329457</v>
      </c>
      <c r="CF48" s="12">
        <f>BZ49</f>
        <v>609.08842684248475</v>
      </c>
      <c r="CG48" s="12"/>
    </row>
    <row r="49" spans="1:92" x14ac:dyDescent="0.2">
      <c r="A49" s="380" t="s">
        <v>295</v>
      </c>
      <c r="B49" s="381">
        <f>+B47+B48</f>
        <v>56.209000000000003</v>
      </c>
      <c r="C49" s="381">
        <f>+C47+C48</f>
        <v>65.593999999999994</v>
      </c>
      <c r="D49" s="381">
        <f>+D47+D48</f>
        <v>87.968999999999994</v>
      </c>
      <c r="E49" s="381">
        <f>+E47+E48</f>
        <v>89.118999999999986</v>
      </c>
      <c r="F49" s="381">
        <f>+F47+F48</f>
        <v>89.118999999999971</v>
      </c>
      <c r="G49" s="382"/>
      <c r="H49" s="381">
        <f>+H47+H48</f>
        <v>113.67999999999996</v>
      </c>
      <c r="I49" s="381">
        <f>+I47+I48</f>
        <v>64.33899999999997</v>
      </c>
      <c r="J49" s="381">
        <f>+J47+J48</f>
        <v>79.755999999999986</v>
      </c>
      <c r="K49" s="381">
        <f>+K47+K48</f>
        <v>87.1</v>
      </c>
      <c r="L49" s="381">
        <f>+L47+L48</f>
        <v>87.099999999999966</v>
      </c>
      <c r="M49" s="382"/>
      <c r="N49" s="381">
        <f>+N47+N48</f>
        <v>97.050999999999959</v>
      </c>
      <c r="O49" s="381">
        <f>+O47+O48</f>
        <v>122.18199999999996</v>
      </c>
      <c r="P49" s="381">
        <f>+P47+P48</f>
        <v>135.96099999999996</v>
      </c>
      <c r="Q49" s="381">
        <f>+Q47+Q48</f>
        <v>166.48699999999991</v>
      </c>
      <c r="R49" s="381">
        <f>+R47+R48</f>
        <v>166.48699999999991</v>
      </c>
      <c r="S49" s="382"/>
      <c r="T49" s="381">
        <f>+T47+T48</f>
        <v>190.40699999999993</v>
      </c>
      <c r="U49" s="381">
        <f>+U47+U48</f>
        <v>235.80099999999993</v>
      </c>
      <c r="V49" s="381">
        <f>+V47+V48</f>
        <v>264.92399999999992</v>
      </c>
      <c r="W49" s="381">
        <f>+W47+W48</f>
        <v>294.66399999999987</v>
      </c>
      <c r="X49" s="381">
        <f>+X47+X48</f>
        <v>294.66399999999987</v>
      </c>
      <c r="Y49" s="383"/>
      <c r="Z49" s="381">
        <f>+Z47+Z48</f>
        <v>308.60799999999989</v>
      </c>
      <c r="AA49" s="381">
        <f>+AA47+AA48</f>
        <v>168.60699999999986</v>
      </c>
      <c r="AB49" s="381">
        <f>+AB47+AB48</f>
        <v>202.22899999999987</v>
      </c>
      <c r="AC49" s="381">
        <f>+AC47+AC48</f>
        <v>240.67499999999984</v>
      </c>
      <c r="AD49" s="454">
        <f>+AD47+AD48</f>
        <v>240.67499999999987</v>
      </c>
      <c r="AE49" s="383"/>
      <c r="AF49" s="459">
        <f>+AF47+AF48</f>
        <v>224.36099999999988</v>
      </c>
      <c r="AG49" s="381">
        <f>+AG47+AG48</f>
        <v>262.80599999999987</v>
      </c>
      <c r="AH49" s="381">
        <f>+AH47+AH48</f>
        <v>304.90699999999987</v>
      </c>
      <c r="AI49" s="381">
        <f>+AI47+AI48</f>
        <v>306.38599999999985</v>
      </c>
      <c r="AJ49" s="381">
        <f>+AJ47+AJ48</f>
        <v>306.38599999999991</v>
      </c>
      <c r="AK49" s="383"/>
      <c r="AL49" s="459">
        <f>+AL47+AL48</f>
        <v>328.74499999999989</v>
      </c>
      <c r="AM49" s="459">
        <f>+AM47+AM48</f>
        <v>164.4969999999999</v>
      </c>
      <c r="AN49" s="381">
        <f>+AN47+AN48</f>
        <v>175.83899999999986</v>
      </c>
      <c r="AO49" s="381">
        <f>+AO47+AO48</f>
        <v>242.95299999999992</v>
      </c>
      <c r="AP49" s="381">
        <f>+AP47+AP48</f>
        <v>242.95299999999995</v>
      </c>
      <c r="AQ49" s="383"/>
      <c r="AR49" s="381">
        <f>+AR47+AR48</f>
        <v>182.76599999999996</v>
      </c>
      <c r="AS49" s="381">
        <f>+AS47+AS48</f>
        <v>167.47099999999995</v>
      </c>
      <c r="AT49" s="381">
        <f>+AT47+AT48</f>
        <v>180.67599999999999</v>
      </c>
      <c r="AU49" s="381">
        <f>+AU47+AU48</f>
        <v>199.87099999999998</v>
      </c>
      <c r="AV49" s="381">
        <f>+AV47+AV48</f>
        <v>199.87099999999992</v>
      </c>
      <c r="AW49" s="383"/>
      <c r="AX49" s="381">
        <f>+AX47+AX48</f>
        <v>189.97799999999992</v>
      </c>
      <c r="AY49" s="381">
        <f>+AY47+AY48</f>
        <v>161.7529999999999</v>
      </c>
      <c r="AZ49" s="381">
        <f>+AZ47+AZ48</f>
        <v>174.03999999999991</v>
      </c>
      <c r="BA49" s="381">
        <f>+BA47+BA48</f>
        <v>167.71399999999988</v>
      </c>
      <c r="BB49" s="381">
        <f>+BB47+BB48</f>
        <v>167.71399999999991</v>
      </c>
      <c r="BC49" s="383"/>
      <c r="BD49" s="381">
        <f>+BD47+BD48</f>
        <v>154.41799999999992</v>
      </c>
      <c r="BE49" s="381">
        <f>+BE47+BE48</f>
        <v>167.70599999999993</v>
      </c>
      <c r="BF49" s="381">
        <f>+BF47+BF48</f>
        <v>419.94799999999987</v>
      </c>
      <c r="BG49" s="381">
        <f>+BG47+BG48</f>
        <v>389.27499999999986</v>
      </c>
      <c r="BH49" s="381">
        <f>+BH47+BH48</f>
        <v>389.27499999999992</v>
      </c>
      <c r="BI49" s="383"/>
      <c r="BJ49" s="381">
        <f>+BJ47+BJ48</f>
        <v>261.02699999999993</v>
      </c>
      <c r="BK49" s="381">
        <f>+BK47+BK48</f>
        <v>358.1819999999999</v>
      </c>
      <c r="BL49" s="381">
        <f>+BL47+BL48</f>
        <v>362.61299999999994</v>
      </c>
      <c r="BM49" s="381">
        <f>+BM47+BM48</f>
        <v>449.51099999999991</v>
      </c>
      <c r="BN49" s="381">
        <f>+BN47+BN48</f>
        <v>449.51099999999991</v>
      </c>
      <c r="BO49" s="383"/>
      <c r="BP49" s="381">
        <f>+BP47+BP48</f>
        <v>401.34818807637788</v>
      </c>
      <c r="BQ49" s="381">
        <f>+BQ47+BQ48</f>
        <v>406.59477609408833</v>
      </c>
      <c r="BR49" s="381">
        <f>+BR47+BR48</f>
        <v>383.46798777497236</v>
      </c>
      <c r="BS49" s="381">
        <f>+BS47+BS48</f>
        <v>403.59098942337386</v>
      </c>
      <c r="BT49" s="381">
        <f>+BT47+BT48</f>
        <v>403.59098942337386</v>
      </c>
      <c r="BU49" s="383"/>
      <c r="BV49" s="381">
        <f>+BV47+BV48</f>
        <v>408.01666206685667</v>
      </c>
      <c r="BW49" s="381">
        <f>+BW47+BW48</f>
        <v>470.86342329483398</v>
      </c>
      <c r="BX49" s="381">
        <f>+BX47+BX48</f>
        <v>510.72116793859152</v>
      </c>
      <c r="BY49" s="381">
        <f>+BY47+BY48</f>
        <v>609.08842684248475</v>
      </c>
      <c r="BZ49" s="381">
        <f>+BZ47+BZ48</f>
        <v>609.08842684248475</v>
      </c>
      <c r="CA49" s="383"/>
      <c r="CB49" s="381">
        <f>+CB47+CB48</f>
        <v>643.86821552323659</v>
      </c>
      <c r="CC49" s="381">
        <f>+CC47+CC48</f>
        <v>751.15138289299966</v>
      </c>
      <c r="CD49" s="381">
        <f>+CD47+CD48</f>
        <v>833.16954767329457</v>
      </c>
      <c r="CE49" s="381">
        <f>+CE47+CE48</f>
        <v>987.69303895009909</v>
      </c>
      <c r="CF49" s="381">
        <f>+CF47+CF48</f>
        <v>987.69303895009887</v>
      </c>
      <c r="CG49" s="651"/>
    </row>
    <row r="50" spans="1:92" ht="11.25" hidden="1" customHeight="1" outlineLevel="1" x14ac:dyDescent="0.2">
      <c r="A50" s="376" t="s">
        <v>229</v>
      </c>
      <c r="B50" s="377">
        <f>B49-'Bal Sht'!C8</f>
        <v>0</v>
      </c>
      <c r="C50" s="377">
        <f>C49-'Bal Sht'!D8</f>
        <v>0</v>
      </c>
      <c r="D50" s="377">
        <f>D49-'Bal Sht'!E8</f>
        <v>0</v>
      </c>
      <c r="E50" s="377">
        <f>E49-'Bal Sht'!F8</f>
        <v>0</v>
      </c>
      <c r="F50" s="377">
        <f>F49-'Bal Sht'!G8</f>
        <v>0</v>
      </c>
      <c r="G50" s="378"/>
      <c r="H50" s="377">
        <f>H49-'Bal Sht'!I8</f>
        <v>0</v>
      </c>
      <c r="I50" s="377">
        <f>I49-'Bal Sht'!J8</f>
        <v>0</v>
      </c>
      <c r="J50" s="377">
        <f>J49-'Bal Sht'!K8</f>
        <v>0</v>
      </c>
      <c r="K50" s="377">
        <f>K49-'Bal Sht'!L8</f>
        <v>0</v>
      </c>
      <c r="L50" s="377">
        <f>L49-'Bal Sht'!M8</f>
        <v>0</v>
      </c>
      <c r="M50" s="378"/>
      <c r="N50" s="377">
        <f>N49-'Bal Sht'!O8</f>
        <v>0</v>
      </c>
      <c r="O50" s="377">
        <f>O49-'Bal Sht'!P8</f>
        <v>0</v>
      </c>
      <c r="P50" s="377">
        <f>P49-'Bal Sht'!Q8</f>
        <v>0</v>
      </c>
      <c r="Q50" s="377">
        <f>Q49-'Bal Sht'!R8</f>
        <v>0</v>
      </c>
      <c r="R50" s="377">
        <f>R49-'Bal Sht'!S8</f>
        <v>0</v>
      </c>
      <c r="S50" s="378"/>
      <c r="T50" s="377">
        <f>T49-'Bal Sht'!U8</f>
        <v>0</v>
      </c>
      <c r="U50" s="377">
        <f>U49-'Bal Sht'!V8</f>
        <v>0</v>
      </c>
      <c r="V50" s="377">
        <f>V49-'Bal Sht'!W8</f>
        <v>0</v>
      </c>
      <c r="W50" s="377">
        <f>W49-'Bal Sht'!X8</f>
        <v>0</v>
      </c>
      <c r="X50" s="377">
        <f>X49-'Bal Sht'!Y8</f>
        <v>0</v>
      </c>
      <c r="Y50" s="379"/>
      <c r="Z50" s="377">
        <f>Z49-'Bal Sht'!AA8</f>
        <v>0</v>
      </c>
      <c r="AA50" s="377">
        <f>AA49-'Bal Sht'!AB8</f>
        <v>0</v>
      </c>
      <c r="AB50" s="377">
        <f>AB49-'Bal Sht'!AC8</f>
        <v>0</v>
      </c>
      <c r="AC50" s="377">
        <f>AC49-'Bal Sht'!AD8</f>
        <v>0</v>
      </c>
      <c r="AD50" s="377">
        <f>AD49-'Bal Sht'!AE8</f>
        <v>0</v>
      </c>
      <c r="AE50" s="379"/>
      <c r="AF50" s="377">
        <f>AF49-'Bal Sht'!AG8</f>
        <v>0</v>
      </c>
      <c r="AG50" s="377">
        <f>AG49-'Bal Sht'!AH8</f>
        <v>6.9999999998913154E-3</v>
      </c>
      <c r="AH50" s="377">
        <f>AH49-'Bal Sht'!AI8</f>
        <v>0</v>
      </c>
      <c r="AI50" s="377">
        <f>AI49-'Bal Sht'!AJ8</f>
        <v>0</v>
      </c>
      <c r="AJ50" s="377">
        <f>AJ49-'Bal Sht'!AK8</f>
        <v>0</v>
      </c>
      <c r="AK50" s="379"/>
      <c r="AL50" s="377">
        <f>AL49-'Bal Sht'!AM8</f>
        <v>0</v>
      </c>
      <c r="AM50" s="377">
        <f>AM49-'Bal Sht'!AN8</f>
        <v>0</v>
      </c>
      <c r="AN50" s="377">
        <f>AN49-'Bal Sht'!AO8</f>
        <v>0</v>
      </c>
      <c r="AO50" s="377">
        <f>AO49-'Bal Sht'!AP8</f>
        <v>0</v>
      </c>
      <c r="AP50" s="377">
        <f>AP49-'Bal Sht'!AQ8</f>
        <v>0</v>
      </c>
      <c r="AQ50" s="379"/>
      <c r="AR50" s="377">
        <f>AR49-'Bal Sht'!AS8</f>
        <v>0</v>
      </c>
      <c r="AS50" s="377">
        <f>AS49-'Bal Sht'!AT8</f>
        <v>0</v>
      </c>
      <c r="AT50" s="377">
        <f>AT49-'Bal Sht'!AU8</f>
        <v>0</v>
      </c>
      <c r="AU50" s="377">
        <f>AU49-'Bal Sht'!AV8</f>
        <v>0</v>
      </c>
      <c r="AV50" s="377">
        <f>AV49-'Bal Sht'!AW8</f>
        <v>0</v>
      </c>
      <c r="AW50" s="379"/>
      <c r="AX50" s="377">
        <f>AX49-'Bal Sht'!AY8</f>
        <v>0</v>
      </c>
      <c r="AY50" s="377">
        <f>AY49-'Bal Sht'!AZ8</f>
        <v>0</v>
      </c>
      <c r="AZ50" s="377">
        <f>AZ49-'Bal Sht'!BA8</f>
        <v>0</v>
      </c>
      <c r="BA50" s="377">
        <f>BA49-'Bal Sht'!BB8</f>
        <v>0</v>
      </c>
      <c r="BB50" s="377">
        <f>BB49-'Bal Sht'!BC8</f>
        <v>0</v>
      </c>
      <c r="BC50" s="379"/>
      <c r="BD50" s="377">
        <f>BD49-'Bal Sht'!BE8</f>
        <v>0</v>
      </c>
      <c r="BE50" s="377">
        <f>BE49-'Bal Sht'!BF8</f>
        <v>0</v>
      </c>
      <c r="BF50" s="377">
        <f>BF49-'Bal Sht'!BG8</f>
        <v>0</v>
      </c>
      <c r="BG50" s="377">
        <f>BG49-'Bal Sht'!BH8</f>
        <v>0</v>
      </c>
      <c r="BH50" s="377">
        <f>BH49-'Bal Sht'!BI8</f>
        <v>0</v>
      </c>
      <c r="BI50" s="379"/>
      <c r="BJ50" s="377">
        <f>BJ49-'Bal Sht'!BK8</f>
        <v>0</v>
      </c>
      <c r="BK50" s="377">
        <f>BK49-'Bal Sht'!BL8</f>
        <v>0</v>
      </c>
      <c r="BL50" s="377">
        <f>BL49-'Bal Sht'!BM8</f>
        <v>0</v>
      </c>
      <c r="BM50" s="377">
        <f>BM49-'Bal Sht'!BN8</f>
        <v>0</v>
      </c>
      <c r="BN50" s="377">
        <f>BN49-'Bal Sht'!BO8</f>
        <v>0</v>
      </c>
      <c r="BO50" s="379"/>
      <c r="BP50" s="377">
        <f>BP49-'Bal Sht'!BQ8</f>
        <v>0</v>
      </c>
      <c r="BQ50" s="377">
        <f>BQ49-'Bal Sht'!BR8</f>
        <v>0</v>
      </c>
      <c r="BR50" s="377">
        <f>BR49-'Bal Sht'!BS8</f>
        <v>0</v>
      </c>
      <c r="BS50" s="377">
        <f>BS49-'Bal Sht'!BT8</f>
        <v>0</v>
      </c>
      <c r="BT50" s="377">
        <f>BT49-'Bal Sht'!BU8</f>
        <v>0</v>
      </c>
      <c r="BU50" s="379"/>
      <c r="BV50" s="377">
        <f>BV49-'Bal Sht'!BW8</f>
        <v>0</v>
      </c>
      <c r="BW50" s="377">
        <f>BW49-'Bal Sht'!BX8</f>
        <v>0</v>
      </c>
      <c r="BX50" s="377">
        <f>BX49-'Bal Sht'!BY8</f>
        <v>0</v>
      </c>
      <c r="BY50" s="377">
        <f>BY49-'Bal Sht'!BZ8</f>
        <v>0</v>
      </c>
      <c r="BZ50" s="377">
        <f>BZ49-'Bal Sht'!CA8</f>
        <v>0</v>
      </c>
      <c r="CA50" s="379"/>
      <c r="CB50" s="377">
        <f>CB49-'Bal Sht'!CC8</f>
        <v>0</v>
      </c>
      <c r="CC50" s="377">
        <f>CC49-'Bal Sht'!CD8</f>
        <v>0</v>
      </c>
      <c r="CD50" s="377">
        <f>CD49-'Bal Sht'!CE8</f>
        <v>0</v>
      </c>
      <c r="CE50" s="377">
        <f>CE49-'Bal Sht'!CF8</f>
        <v>0</v>
      </c>
      <c r="CF50" s="377">
        <f>CF49-'Bal Sht'!CG8</f>
        <v>0</v>
      </c>
      <c r="CG50" s="363"/>
    </row>
    <row r="51" spans="1:92" collapsed="1" x14ac:dyDescent="0.2">
      <c r="A51" s="340"/>
      <c r="F51" s="340"/>
      <c r="G51" s="70"/>
      <c r="L51" s="340"/>
      <c r="M51" s="70"/>
      <c r="R51" s="340"/>
      <c r="S51" s="70"/>
      <c r="T51" s="340"/>
      <c r="U51" s="340"/>
      <c r="V51" s="340"/>
      <c r="W51" s="340"/>
      <c r="X51" s="340"/>
      <c r="Y51" s="111"/>
      <c r="Z51" s="340"/>
      <c r="AA51" s="340"/>
      <c r="AB51" s="340"/>
      <c r="AC51" s="340"/>
      <c r="AD51" s="347"/>
      <c r="AE51" s="111"/>
      <c r="AF51" s="340"/>
      <c r="AG51" s="340"/>
      <c r="AH51" s="340"/>
      <c r="AI51" s="340"/>
      <c r="AJ51" s="340"/>
      <c r="AK51" s="111"/>
      <c r="AL51" s="340"/>
      <c r="AM51" s="340"/>
      <c r="AN51" s="340"/>
      <c r="AO51" s="340"/>
      <c r="AP51" s="340"/>
      <c r="AQ51" s="111"/>
      <c r="AR51" s="340"/>
      <c r="AS51" s="340"/>
      <c r="AT51" s="340"/>
      <c r="AU51" s="340"/>
      <c r="AV51" s="340"/>
      <c r="AW51" s="111"/>
      <c r="AX51" s="340"/>
      <c r="AY51" s="340"/>
      <c r="AZ51" s="340"/>
      <c r="BA51" s="340"/>
      <c r="BB51" s="340"/>
      <c r="BC51" s="111"/>
      <c r="BD51" s="340"/>
      <c r="BE51" s="340"/>
      <c r="BF51" s="340"/>
      <c r="BG51" s="340"/>
      <c r="BH51" s="340"/>
      <c r="BI51" s="111"/>
      <c r="BJ51" s="340"/>
      <c r="BK51" s="340"/>
      <c r="BL51" s="340"/>
      <c r="BM51" s="340"/>
      <c r="BN51" s="340"/>
      <c r="BO51" s="111"/>
      <c r="BP51" s="340"/>
      <c r="BQ51" s="340"/>
      <c r="BR51" s="340"/>
      <c r="BS51" s="340"/>
      <c r="BT51" s="340"/>
      <c r="BU51" s="111"/>
      <c r="BV51" s="340"/>
      <c r="BW51" s="340"/>
      <c r="BX51" s="340"/>
      <c r="BY51" s="340"/>
      <c r="BZ51" s="340"/>
      <c r="CA51" s="111"/>
      <c r="CB51" s="340"/>
      <c r="CC51" s="340"/>
      <c r="CD51" s="340"/>
      <c r="CE51" s="340"/>
      <c r="CF51" s="340"/>
      <c r="CG51" s="340"/>
    </row>
    <row r="52" spans="1:92" x14ac:dyDescent="0.2">
      <c r="A52" s="16" t="s">
        <v>230</v>
      </c>
      <c r="B52" s="73"/>
      <c r="C52" s="73"/>
      <c r="D52" s="73"/>
      <c r="E52" s="73"/>
      <c r="F52" s="73"/>
      <c r="G52" s="70"/>
      <c r="H52" s="73"/>
      <c r="I52" s="73"/>
      <c r="J52" s="73"/>
      <c r="K52" s="73"/>
      <c r="L52" s="73"/>
      <c r="M52" s="70"/>
      <c r="N52" s="73"/>
      <c r="O52" s="73"/>
      <c r="P52" s="73"/>
      <c r="Q52" s="73"/>
      <c r="R52" s="73"/>
      <c r="S52" s="109"/>
      <c r="T52" s="73"/>
      <c r="U52" s="73"/>
      <c r="V52" s="73"/>
      <c r="W52" s="73"/>
      <c r="X52" s="73"/>
      <c r="Y52" s="70"/>
      <c r="Z52" s="73"/>
      <c r="AA52" s="73"/>
      <c r="AB52" s="73"/>
      <c r="AC52" s="73"/>
      <c r="AD52" s="73"/>
      <c r="AE52" s="70"/>
      <c r="AF52" s="73"/>
      <c r="AG52" s="73"/>
      <c r="AH52" s="73"/>
      <c r="AI52" s="73"/>
      <c r="AJ52" s="73"/>
      <c r="AK52" s="70"/>
      <c r="AL52" s="73"/>
      <c r="AM52" s="73"/>
      <c r="AN52" s="73"/>
      <c r="AO52" s="73"/>
      <c r="AP52" s="73"/>
      <c r="AQ52" s="70"/>
      <c r="AR52" s="73"/>
      <c r="AS52" s="73"/>
      <c r="AT52" s="73"/>
      <c r="AU52" s="73"/>
      <c r="AV52" s="73"/>
      <c r="AW52" s="70"/>
      <c r="AX52" s="73"/>
      <c r="AY52" s="73"/>
      <c r="AZ52" s="73"/>
      <c r="BA52" s="73"/>
      <c r="BB52" s="73"/>
      <c r="BC52" s="70"/>
      <c r="BD52" s="73"/>
      <c r="BE52" s="73"/>
      <c r="BF52" s="73"/>
      <c r="BG52" s="73"/>
      <c r="BH52" s="73"/>
      <c r="BI52" s="70"/>
      <c r="BJ52" s="73"/>
      <c r="BK52" s="73"/>
      <c r="BL52" s="73"/>
      <c r="BM52" s="73"/>
      <c r="BN52" s="73"/>
      <c r="BO52" s="70"/>
      <c r="BP52" s="73"/>
      <c r="BQ52" s="73"/>
      <c r="BR52" s="73"/>
      <c r="BS52" s="73"/>
      <c r="BT52" s="73"/>
      <c r="BU52" s="70"/>
      <c r="BV52" s="73"/>
      <c r="BW52" s="73"/>
      <c r="BX52" s="73"/>
      <c r="BY52" s="73"/>
      <c r="BZ52" s="73"/>
      <c r="CA52" s="70"/>
      <c r="CB52" s="73"/>
      <c r="CC52" s="73"/>
      <c r="CD52" s="73"/>
      <c r="CE52" s="73"/>
      <c r="CF52" s="73"/>
      <c r="CG52" s="73"/>
    </row>
    <row r="53" spans="1:92" x14ac:dyDescent="0.2">
      <c r="A53" s="2" t="s">
        <v>325</v>
      </c>
      <c r="B53" s="177">
        <f>+B25+B28</f>
        <v>-1.0249999999999992</v>
      </c>
      <c r="C53" s="177">
        <f>+C25+C28</f>
        <v>11.305999999999992</v>
      </c>
      <c r="D53" s="177">
        <f>+D25+D28</f>
        <v>19.196999999999996</v>
      </c>
      <c r="E53" s="177">
        <f>+E25+E28</f>
        <v>15.870000000000003</v>
      </c>
      <c r="F53" s="177">
        <f>+F25+F28</f>
        <v>45.347999999999985</v>
      </c>
      <c r="G53" s="178"/>
      <c r="H53" s="177">
        <f>+H25+H28</f>
        <v>-2.0300000000000091</v>
      </c>
      <c r="I53" s="177">
        <f>+I25+I28</f>
        <v>6.0280000000000058</v>
      </c>
      <c r="J53" s="177">
        <f>+J25+J28</f>
        <v>14.632000000000009</v>
      </c>
      <c r="K53" s="177">
        <f>+K25+K28</f>
        <v>6.7819999999999929</v>
      </c>
      <c r="L53" s="177">
        <f>+L25+L28</f>
        <v>25.411999999999981</v>
      </c>
      <c r="M53" s="178"/>
      <c r="N53" s="177">
        <f>+N25+N28</f>
        <v>8.7169999999999899</v>
      </c>
      <c r="O53" s="177">
        <f>+O25+O28</f>
        <v>17.352</v>
      </c>
      <c r="P53" s="177">
        <f>+P25+P28</f>
        <v>9.7530000000000072</v>
      </c>
      <c r="Q53" s="177">
        <f>+Q25+Q28</f>
        <v>31.150999999999964</v>
      </c>
      <c r="R53" s="177">
        <f>+R25+R28</f>
        <v>66.972999999999956</v>
      </c>
      <c r="S53" s="178"/>
      <c r="T53" s="177">
        <f>+T25+T28</f>
        <v>14.115000000000002</v>
      </c>
      <c r="U53" s="177">
        <f>+U25+U28</f>
        <v>38.277000000000001</v>
      </c>
      <c r="V53" s="177">
        <f>+V25+V28</f>
        <v>32.680000000000007</v>
      </c>
      <c r="W53" s="177">
        <f>+W25+W28</f>
        <v>26.425999999999966</v>
      </c>
      <c r="X53" s="177">
        <f>+X25+X28</f>
        <v>111.49799999999996</v>
      </c>
      <c r="Y53" s="178"/>
      <c r="Z53" s="177">
        <f>+Z25+Z28</f>
        <v>14.423000000000005</v>
      </c>
      <c r="AA53" s="177">
        <f>+AA25+AA28</f>
        <v>23.998999999999999</v>
      </c>
      <c r="AB53" s="177">
        <f>+AB25+AB28</f>
        <v>29.027999999999995</v>
      </c>
      <c r="AC53" s="177">
        <f>+AC25+AC28</f>
        <v>32.709999999999987</v>
      </c>
      <c r="AD53" s="177">
        <f>+AD25+AD28</f>
        <v>100.16</v>
      </c>
      <c r="AE53" s="178"/>
      <c r="AF53" s="177">
        <f>+AF25+AF28</f>
        <v>2.8650000000000038</v>
      </c>
      <c r="AG53" s="177">
        <f>+AG25+AG28</f>
        <v>14.111999999999993</v>
      </c>
      <c r="AH53" s="177">
        <f>+AH25+AH28</f>
        <v>34.558</v>
      </c>
      <c r="AI53" s="177">
        <f>+AI25+AI28</f>
        <v>43.91</v>
      </c>
      <c r="AJ53" s="177">
        <f>+AJ25+AJ28</f>
        <v>95.445000000000022</v>
      </c>
      <c r="AK53" s="178"/>
      <c r="AL53" s="177">
        <f>+AL25+AL28</f>
        <v>12.549000000000003</v>
      </c>
      <c r="AM53" s="177">
        <f>+AM25+AM28</f>
        <v>41.788000000000004</v>
      </c>
      <c r="AN53" s="177">
        <f>+AN25+AN28</f>
        <v>49.35499999999999</v>
      </c>
      <c r="AO53" s="177">
        <f>+AO25+AO28</f>
        <v>62.871999999999993</v>
      </c>
      <c r="AP53" s="177">
        <f>+AP25+AP28</f>
        <v>166.56399999999996</v>
      </c>
      <c r="AQ53" s="178"/>
      <c r="AR53" s="177">
        <f>+AR25+AR28</f>
        <v>12.997000000000005</v>
      </c>
      <c r="AS53" s="177">
        <f>+AS25+AS28</f>
        <v>64.765999999999991</v>
      </c>
      <c r="AT53" s="177">
        <f>+AT25+AT28</f>
        <v>60.573999999999998</v>
      </c>
      <c r="AU53" s="177">
        <f>+AU25+AU28</f>
        <v>64.47</v>
      </c>
      <c r="AV53" s="177">
        <f>+AV25+AV28</f>
        <v>202.80699999999996</v>
      </c>
      <c r="AW53" s="178"/>
      <c r="AX53" s="177">
        <f>+AX25+AX28</f>
        <v>20.032999999999987</v>
      </c>
      <c r="AY53" s="177">
        <f>+AY25+AY28</f>
        <v>52.38</v>
      </c>
      <c r="AZ53" s="177">
        <f>+AZ25+AZ28</f>
        <v>49.565999999999988</v>
      </c>
      <c r="BA53" s="177">
        <f>+BA25+BA28</f>
        <v>62.567</v>
      </c>
      <c r="BB53" s="177">
        <f>+BB25+BB28</f>
        <v>184.54599999999999</v>
      </c>
      <c r="BC53" s="178"/>
      <c r="BD53" s="177">
        <f>+BD25+BD28</f>
        <v>18.554999999999993</v>
      </c>
      <c r="BE53" s="177">
        <f>+BE25+BE28</f>
        <v>59.964000000000013</v>
      </c>
      <c r="BF53" s="177">
        <f>+BF25+BF28</f>
        <v>45.730000000000004</v>
      </c>
      <c r="BG53" s="177">
        <f>+BG25+BG28</f>
        <v>69.602000000000004</v>
      </c>
      <c r="BH53" s="177">
        <f>+BH25+BH28</f>
        <v>193.85100000000003</v>
      </c>
      <c r="BI53" s="178"/>
      <c r="BJ53" s="177">
        <f>+BJ25+BJ28</f>
        <v>-11.947999999999993</v>
      </c>
      <c r="BK53" s="177">
        <f>+BK25+BK28</f>
        <v>91.991</v>
      </c>
      <c r="BL53" s="177">
        <f>+BL25+BL28</f>
        <v>70.02000000000001</v>
      </c>
      <c r="BM53" s="177">
        <f>+BM25+BM28</f>
        <v>92.781000000000006</v>
      </c>
      <c r="BN53" s="177">
        <f>+BN25+BN28</f>
        <v>242.84399999999999</v>
      </c>
      <c r="BO53" s="178"/>
      <c r="BP53" s="177">
        <f>+BP25+BP28</f>
        <v>17.711001029526599</v>
      </c>
      <c r="BQ53" s="177">
        <f>+BQ25+BQ28</f>
        <v>70.217530486342326</v>
      </c>
      <c r="BR53" s="177">
        <f>+BR25+BR28</f>
        <v>41.558375568924859</v>
      </c>
      <c r="BS53" s="177">
        <f>+BS25+BS28</f>
        <v>83.063288339777657</v>
      </c>
      <c r="BT53" s="177">
        <f>+BT25+BT28</f>
        <v>212.55019542457143</v>
      </c>
      <c r="BU53" s="178"/>
      <c r="BV53" s="177">
        <f>+BV25+BV28</f>
        <v>74.956725259717416</v>
      </c>
      <c r="BW53" s="177">
        <f>+BW25+BW28</f>
        <v>132.02615259061159</v>
      </c>
      <c r="BX53" s="177">
        <f>+BX25+BX28</f>
        <v>108.60259474644248</v>
      </c>
      <c r="BY53" s="177">
        <f>+BY25+BY28</f>
        <v>164.4322118501043</v>
      </c>
      <c r="BZ53" s="177">
        <f>+BZ25+BZ28</f>
        <v>480.01768444687565</v>
      </c>
      <c r="CA53" s="178"/>
      <c r="CB53" s="177">
        <f>+CB25+CB28</f>
        <v>115.41035662096607</v>
      </c>
      <c r="CC53" s="177">
        <f>+CC25+CC28</f>
        <v>185.88908186391413</v>
      </c>
      <c r="CD53" s="177">
        <f>+CD25+CD28</f>
        <v>159.96596320667973</v>
      </c>
      <c r="CE53" s="177">
        <f>+CE25+CE28</f>
        <v>228.38427252314318</v>
      </c>
      <c r="CF53" s="177">
        <f>+CF25+CF28</f>
        <v>689.64967421470305</v>
      </c>
      <c r="CG53" s="177"/>
      <c r="CN53">
        <f>+((BT53/BB53)^(1/3))-1</f>
        <v>4.8219635477614764E-2</v>
      </c>
    </row>
    <row r="54" spans="1:92" x14ac:dyDescent="0.2">
      <c r="A54" s="2" t="s">
        <v>326</v>
      </c>
      <c r="B54" s="84">
        <f>+B53/'P&amp;L'!C39</f>
        <v>-1.478415138971022E-2</v>
      </c>
      <c r="C54" s="84">
        <f>+C53/'P&amp;L'!D39</f>
        <v>0.15877652477986706</v>
      </c>
      <c r="D54" s="84">
        <f>+D53/'P&amp;L'!E39</f>
        <v>0.26577599335456176</v>
      </c>
      <c r="E54" s="84">
        <f>+E53/'P&amp;L'!F39</f>
        <v>0.22083379717243684</v>
      </c>
      <c r="F54" s="84">
        <f>+F53/'P&amp;L'!G39</f>
        <v>0.63473489726219112</v>
      </c>
      <c r="G54" s="193"/>
      <c r="H54" s="84">
        <f>+H53/'P&amp;L'!I39</f>
        <v>-2.86480383855491E-2</v>
      </c>
      <c r="I54" s="84">
        <f>+I53/'P&amp;L'!J39</f>
        <v>8.6217747010698634E-2</v>
      </c>
      <c r="J54" s="84">
        <f>+J53/'P&amp;L'!K39</f>
        <v>0.21297158826269227</v>
      </c>
      <c r="K54" s="84">
        <f>+K53/'P&amp;L'!L39</f>
        <v>0.10150263409961675</v>
      </c>
      <c r="L54" s="84">
        <f>+L53/'P&amp;L'!M39</f>
        <v>0.37335448989186626</v>
      </c>
      <c r="M54" s="193"/>
      <c r="N54" s="84">
        <f>+N53/'P&amp;L'!O39</f>
        <v>0.13118726202838338</v>
      </c>
      <c r="O54" s="84">
        <f>+O53/'P&amp;L'!P39</f>
        <v>0.25755124456384604</v>
      </c>
      <c r="P54" s="84">
        <f>+P53/'P&amp;L'!Q39</f>
        <v>0.14027442181567149</v>
      </c>
      <c r="Q54" s="84">
        <f>+Q53/'P&amp;L'!R39</f>
        <v>0.40544832164100381</v>
      </c>
      <c r="R54" s="84">
        <f>+R53/'P&amp;L'!S39</f>
        <v>0.96930268909022432</v>
      </c>
      <c r="S54" s="193"/>
      <c r="T54" s="84">
        <f>+T53/'P&amp;L'!U39</f>
        <v>0.18190136216606317</v>
      </c>
      <c r="U54" s="84">
        <f>+U53/'P&amp;L'!V39</f>
        <v>0.49321581816073296</v>
      </c>
      <c r="V54" s="84">
        <f>+V53/'P&amp;L'!W39</f>
        <v>0.41838968620773548</v>
      </c>
      <c r="W54" s="84">
        <f>+W53/'P&amp;L'!X39</f>
        <v>0.33567908134749208</v>
      </c>
      <c r="X54" s="84">
        <f>+X53/'P&amp;L'!Y39</f>
        <v>1.4279969262295078</v>
      </c>
      <c r="Y54" s="193"/>
      <c r="Z54" s="84">
        <f>+Z53/'P&amp;L'!AA39</f>
        <v>0.18173914139186759</v>
      </c>
      <c r="AA54" s="84">
        <f>+AA53/'P&amp;L'!AB39</f>
        <v>0.29878861069956797</v>
      </c>
      <c r="AB54" s="84">
        <f>+AB53/'P&amp;L'!AC39</f>
        <v>0.36164752198938521</v>
      </c>
      <c r="AC54" s="84">
        <f>+AC53/'P&amp;L'!AD39</f>
        <v>0.40458138010364986</v>
      </c>
      <c r="AD54" s="84">
        <f>+AD53/'P&amp;L'!AE39</f>
        <v>1.2488894846273499</v>
      </c>
      <c r="AE54" s="193"/>
      <c r="AF54" s="84">
        <f>+AF53/'P&amp;L'!AG39</f>
        <v>3.5000488663018033E-2</v>
      </c>
      <c r="AG54" s="84">
        <f>+AG53/'P&amp;L'!AH39</f>
        <v>0.17011837886057327</v>
      </c>
      <c r="AH54" s="84">
        <f>+AH53/'P&amp;L'!AI39</f>
        <v>0.41186565919004597</v>
      </c>
      <c r="AI54" s="84">
        <f>+AI53/'P&amp;L'!AJ39</f>
        <v>0.52915727696701653</v>
      </c>
      <c r="AJ54" s="84">
        <f>+AJ53/'P&amp;L'!AK39</f>
        <v>1.1509902109455319</v>
      </c>
      <c r="AK54" s="193"/>
      <c r="AL54" s="84">
        <f>+AL53/'P&amp;L'!AM39</f>
        <v>0.15445303269003546</v>
      </c>
      <c r="AM54" s="84">
        <f>+AM53/'P&amp;L'!AN39</f>
        <v>0.50868543743685257</v>
      </c>
      <c r="AN54" s="84">
        <f>+AN53/'P&amp;L'!AO39</f>
        <v>0.60300801485680766</v>
      </c>
      <c r="AO54" s="84">
        <f>+AO53/'P&amp;L'!AP39</f>
        <v>0.76265799752541297</v>
      </c>
      <c r="AP54" s="84">
        <f>+AP53/'P&amp;L'!AQ39</f>
        <v>2.0332333383178249</v>
      </c>
      <c r="AQ54" s="193"/>
      <c r="AR54" s="84">
        <f>+AR53/'P&amp;L'!AS39</f>
        <v>0.15693637779682923</v>
      </c>
      <c r="AS54" s="84">
        <f>+AS53/'P&amp;L'!AT39</f>
        <v>0.78655833667310326</v>
      </c>
      <c r="AT54" s="84">
        <f>+AT53/'P&amp;L'!AU39</f>
        <v>0.73858121784085651</v>
      </c>
      <c r="AU54" s="84">
        <f>+AU53/'P&amp;L'!AV39</f>
        <v>0.78919342400019588</v>
      </c>
      <c r="AV54" s="84">
        <f>+AV53/'P&amp;L'!AW39</f>
        <v>2.464749705285417</v>
      </c>
      <c r="AW54" s="193"/>
      <c r="AX54" s="84">
        <f>+AX53/'P&amp;L'!AY39</f>
        <v>0.24483036761830254</v>
      </c>
      <c r="AY54" s="84">
        <f>+AY53/'P&amp;L'!AZ39</f>
        <v>0.6435363786028454</v>
      </c>
      <c r="AZ54" s="84">
        <f>+AZ53/'P&amp;L'!BA39</f>
        <v>0.6112316874660878</v>
      </c>
      <c r="BA54" s="84">
        <f>+BA53/'P&amp;L'!BB39</f>
        <v>0.77194605865442745</v>
      </c>
      <c r="BB54" s="84">
        <f>+BB53/'P&amp;L'!BC39</f>
        <v>2.2688152544404523</v>
      </c>
      <c r="BC54" s="193"/>
      <c r="BD54" s="84">
        <f>+BD53/'P&amp;L'!BE39</f>
        <v>0.22817265125430392</v>
      </c>
      <c r="BE54" s="84">
        <f>+BE53/'P&amp;L'!BF39</f>
        <v>0.73773698650361108</v>
      </c>
      <c r="BF54" s="84">
        <f>+BF53/'P&amp;L'!BG39</f>
        <v>0.56133847249159163</v>
      </c>
      <c r="BG54" s="84">
        <f>+BG53/'P&amp;L'!BH39</f>
        <v>0.85666108704214261</v>
      </c>
      <c r="BH54" s="84">
        <f>+BH53/'P&amp;L'!BI39</f>
        <v>2.3835482532314836</v>
      </c>
      <c r="BI54" s="193"/>
      <c r="BJ54" s="84">
        <f>+BJ53/'P&amp;L'!BK39</f>
        <v>-0.14654009370324028</v>
      </c>
      <c r="BK54" s="84">
        <f>+BK53/'P&amp;L'!BL39</f>
        <v>1.1269125699795421</v>
      </c>
      <c r="BL54" s="84">
        <f>+BL53/'P&amp;L'!BM39</f>
        <v>0.85610534423944551</v>
      </c>
      <c r="BM54" s="84">
        <f>+BM53/'P&amp;L'!BN39</f>
        <v>1.1333691655570894</v>
      </c>
      <c r="BN54" s="84">
        <f>+BN53/'P&amp;L'!BO39</f>
        <v>2.9722321666253588</v>
      </c>
      <c r="BO54" s="193"/>
      <c r="BP54" s="84">
        <f>+BP53/'P&amp;L'!BQ39</f>
        <v>0.21697213002311216</v>
      </c>
      <c r="BQ54" s="84">
        <f>+BQ53/'P&amp;L'!BR39</f>
        <v>0.87475322433574199</v>
      </c>
      <c r="BR54" s="84">
        <f>+BR53/'P&amp;L'!BS39</f>
        <v>0.51960228739599601</v>
      </c>
      <c r="BS54" s="84">
        <f>+BS53/'P&amp;L'!BT39</f>
        <v>1.0417558532314488</v>
      </c>
      <c r="BT54" s="84">
        <f>+BT53/'P&amp;L'!BU39</f>
        <v>2.6435415989874134</v>
      </c>
      <c r="BU54" s="193"/>
      <c r="BV54" s="84">
        <f>+BV53/'P&amp;L'!BW39</f>
        <v>0.94294204982735463</v>
      </c>
      <c r="BW54" s="84">
        <f>+BW53/'P&amp;L'!BX39</f>
        <v>1.6665097831587181</v>
      </c>
      <c r="BX54" s="84">
        <f>+BX53/'P&amp;L'!BY39</f>
        <v>1.3753539801957739</v>
      </c>
      <c r="BY54" s="84">
        <f>+BY53/'P&amp;L'!BZ39</f>
        <v>2.0881792327793787</v>
      </c>
      <c r="BZ54" s="84">
        <f>+BZ53/'P&amp;L'!CA39</f>
        <v>6.0680461811902902</v>
      </c>
      <c r="CA54" s="193"/>
      <c r="CB54" s="84">
        <f>+CB53/'P&amp;L'!CC39</f>
        <v>1.4698240515201777</v>
      </c>
      <c r="CC54" s="84">
        <f>+CC53/'P&amp;L'!CD39</f>
        <v>2.3752622552282499</v>
      </c>
      <c r="CD54" s="84">
        <f>+CD53/'P&amp;L'!CE39</f>
        <v>2.0494879013923328</v>
      </c>
      <c r="CE54" s="84">
        <f>+CE53/'P&amp;L'!CF39</f>
        <v>2.9464255986466665</v>
      </c>
      <c r="CF54" s="84">
        <f>+CF53/'P&amp;L'!CG39</f>
        <v>8.8319167745028029</v>
      </c>
      <c r="CG54" s="84"/>
      <c r="CN54">
        <f>+((BN54/BB54)^(1/2))-1</f>
        <v>0.14456852329742742</v>
      </c>
    </row>
    <row r="55" spans="1:92" x14ac:dyDescent="0.2">
      <c r="A55" s="81" t="s">
        <v>327</v>
      </c>
      <c r="B55" s="194">
        <f>+B54/$Z$56</f>
        <v>-2.6880275254018583E-4</v>
      </c>
      <c r="C55" s="194">
        <f>+C54/$Z$56</f>
        <v>2.8868459050884919E-3</v>
      </c>
      <c r="D55" s="194">
        <f>+D54/$Z$56</f>
        <v>4.8322907882647594E-3</v>
      </c>
      <c r="E55" s="194">
        <f>+E54/$Z$56</f>
        <v>4.0151599485897605E-3</v>
      </c>
      <c r="F55" s="194">
        <f>+F54/$Z$56</f>
        <v>1.1540634495676202E-2</v>
      </c>
      <c r="G55" s="194"/>
      <c r="H55" s="194">
        <f>+H54/$Z$56</f>
        <v>-5.2087342519180184E-4</v>
      </c>
      <c r="I55" s="194">
        <f>+I54/$Z$56</f>
        <v>1.5675954001945207E-3</v>
      </c>
      <c r="J55" s="194">
        <f>+J54/$Z$56</f>
        <v>3.8722106956853141E-3</v>
      </c>
      <c r="K55" s="194">
        <f>+K54/$Z$56</f>
        <v>1.8455024381748501E-3</v>
      </c>
      <c r="L55" s="194">
        <f>+L54/$Z$56</f>
        <v>6.7882634525793864E-3</v>
      </c>
      <c r="M55" s="194"/>
      <c r="N55" s="194">
        <f>+N54/$Z$56</f>
        <v>2.3852229459706067E-3</v>
      </c>
      <c r="O55" s="194">
        <f>+O54/$Z$56</f>
        <v>4.6827499011608369E-3</v>
      </c>
      <c r="P55" s="194">
        <f>+P54/$Z$56</f>
        <v>2.5504440330122087E-3</v>
      </c>
      <c r="Q55" s="194">
        <f>+Q54/$Z$56</f>
        <v>7.3717876662000694E-3</v>
      </c>
      <c r="R55" s="194">
        <f>+R54/$Z$56</f>
        <v>1.7623685256185895E-2</v>
      </c>
      <c r="S55" s="194"/>
      <c r="T55" s="194">
        <f>+T54/$Z$56</f>
        <v>3.3072974939284214E-3</v>
      </c>
      <c r="U55" s="194">
        <f>+U54/$Z$56</f>
        <v>8.967560330195145E-3</v>
      </c>
      <c r="V55" s="194">
        <f>+V54/$Z$56</f>
        <v>7.6070852037770087E-3</v>
      </c>
      <c r="W55" s="194">
        <f>+W54/$Z$56</f>
        <v>6.1032560244998557E-3</v>
      </c>
      <c r="X55" s="194">
        <f>+X54/$Z$56</f>
        <v>2.5963580476900141E-2</v>
      </c>
      <c r="Y55" s="194"/>
      <c r="Z55" s="194">
        <f>+Z54/$Z$56</f>
        <v>3.3043480253066833E-3</v>
      </c>
      <c r="AA55" s="194">
        <f>+AA54/$Z$56</f>
        <v>5.4325201945375993E-3</v>
      </c>
      <c r="AB55" s="194">
        <f>+AB54/$Z$56</f>
        <v>6.5754094907160944E-3</v>
      </c>
      <c r="AC55" s="194">
        <f>+AC54/$Z$56</f>
        <v>7.3560250927936334E-3</v>
      </c>
      <c r="AD55" s="194">
        <f>+AD54/$Z$56</f>
        <v>2.2707081538679091E-2</v>
      </c>
      <c r="AE55" s="194"/>
      <c r="AF55" s="194">
        <f>+AF54/$Z$56</f>
        <v>6.3637252114578241E-4</v>
      </c>
      <c r="AG55" s="194">
        <f>+AG54/$Z$56</f>
        <v>3.0930614338286048E-3</v>
      </c>
      <c r="AH55" s="194">
        <f>+AH54/$Z$56</f>
        <v>7.4884665307281082E-3</v>
      </c>
      <c r="AI55" s="194">
        <f>+AI54/$Z$56</f>
        <v>9.6210413994003013E-3</v>
      </c>
      <c r="AJ55" s="194">
        <f>+AJ54/$Z$56</f>
        <v>2.0927094744464216E-2</v>
      </c>
      <c r="AK55" s="194"/>
      <c r="AL55" s="194">
        <f>+AL54/$Z$56</f>
        <v>2.8082369580006449E-3</v>
      </c>
      <c r="AM55" s="194">
        <f>+AM54/$Z$56</f>
        <v>9.2488261352155019E-3</v>
      </c>
      <c r="AN55" s="194">
        <f>+AN54/$Z$56</f>
        <v>1.0963782088305594E-2</v>
      </c>
      <c r="AO55" s="194">
        <f>+AO54/$Z$56</f>
        <v>1.3866509045916599E-2</v>
      </c>
      <c r="AP55" s="194">
        <f>+AP54/$Z$56</f>
        <v>3.696787887850591E-2</v>
      </c>
      <c r="AQ55" s="194"/>
      <c r="AR55" s="194">
        <f>+AR54/$Z$56</f>
        <v>2.853388687215077E-3</v>
      </c>
      <c r="AS55" s="194">
        <f>+AS54/$Z$56</f>
        <v>1.4301060666783695E-2</v>
      </c>
      <c r="AT55" s="194">
        <f>+AT54/$Z$56</f>
        <v>1.3428749415288301E-2</v>
      </c>
      <c r="AU55" s="194">
        <f>+AU54/$Z$56</f>
        <v>1.4348971345458107E-2</v>
      </c>
      <c r="AV55" s="194">
        <f>+AV54/$Z$56</f>
        <v>4.4813631005189404E-2</v>
      </c>
      <c r="AW55" s="194"/>
      <c r="AX55" s="194">
        <f>+AX54/$Z$56</f>
        <v>4.4514612294236826E-3</v>
      </c>
      <c r="AY55" s="194">
        <f>+AY54/$Z$56</f>
        <v>1.1700661429142644E-2</v>
      </c>
      <c r="AZ55" s="194">
        <f>+AZ54/$Z$56</f>
        <v>1.1113303408474324E-2</v>
      </c>
      <c r="BA55" s="194">
        <f>+BA54/$Z$56</f>
        <v>1.4035382884625953E-2</v>
      </c>
      <c r="BB55" s="194">
        <f>+BB54/$Z$56</f>
        <v>4.1251186444371861E-2</v>
      </c>
      <c r="BC55" s="194"/>
      <c r="BD55" s="194">
        <f>+BD54/$Z$56</f>
        <v>4.1485936591691619E-3</v>
      </c>
      <c r="BE55" s="194">
        <f>+BE54/$Z$56</f>
        <v>1.3413399754611111E-2</v>
      </c>
      <c r="BF55" s="194">
        <f>+BF54/$Z$56</f>
        <v>1.0206154045301665E-2</v>
      </c>
      <c r="BG55" s="194">
        <f>+BG54/$Z$56</f>
        <v>1.5575656128038956E-2</v>
      </c>
      <c r="BH55" s="194">
        <f>+BH54/$Z$56</f>
        <v>4.3337240967845157E-2</v>
      </c>
      <c r="BI55" s="194"/>
      <c r="BJ55" s="194">
        <f>+BJ54/$Z$56</f>
        <v>-2.6643653400589143E-3</v>
      </c>
      <c r="BK55" s="194">
        <f>+BK54/$Z$56</f>
        <v>2.0489319454173493E-2</v>
      </c>
      <c r="BL55" s="194">
        <f>+BL54/$Z$56</f>
        <v>1.5565551713444464E-2</v>
      </c>
      <c r="BM55" s="194">
        <f>+BM54/$Z$56</f>
        <v>2.060671210103799E-2</v>
      </c>
      <c r="BN55" s="194">
        <f>+BN54/$Z$56</f>
        <v>5.4040584847733796E-2</v>
      </c>
      <c r="BO55" s="194"/>
      <c r="BP55" s="194">
        <f>+BP54/$Z$56</f>
        <v>3.9449478186020393E-3</v>
      </c>
      <c r="BQ55" s="194">
        <f>+BQ54/$Z$56</f>
        <v>1.5904604078831673E-2</v>
      </c>
      <c r="BR55" s="194">
        <f>+BR54/$Z$56</f>
        <v>9.4473143162908373E-3</v>
      </c>
      <c r="BS55" s="194">
        <f>+BS54/$Z$56</f>
        <v>1.8941015513299068E-2</v>
      </c>
      <c r="BT55" s="194">
        <f>+BT54/$Z$56</f>
        <v>4.8064392708862064E-2</v>
      </c>
      <c r="BU55" s="194"/>
      <c r="BV55" s="194">
        <f>+BV54/$Z$56</f>
        <v>1.7144400905951901E-2</v>
      </c>
      <c r="BW55" s="194">
        <f>+BW54/$Z$56</f>
        <v>3.0300177875613055E-2</v>
      </c>
      <c r="BX55" s="194">
        <f>+BX54/$Z$56</f>
        <v>2.5006436003559528E-2</v>
      </c>
      <c r="BY55" s="194">
        <f>+BY54/$Z$56</f>
        <v>3.7966895141443247E-2</v>
      </c>
      <c r="BZ55" s="194">
        <f>+BZ54/$Z$56</f>
        <v>0.110328112385278</v>
      </c>
      <c r="CA55" s="194"/>
      <c r="CB55" s="194">
        <f>+CB54/$Z$56</f>
        <v>2.6724073664003232E-2</v>
      </c>
      <c r="CC55" s="194">
        <f>+CC54/$Z$56</f>
        <v>4.3186586458695449E-2</v>
      </c>
      <c r="CD55" s="194">
        <f>+CD54/$Z$56</f>
        <v>3.7263416388951504E-2</v>
      </c>
      <c r="CE55" s="194">
        <f>+CE54/$Z$56</f>
        <v>5.357137452084848E-2</v>
      </c>
      <c r="CF55" s="194">
        <f>+CF54/$Z$56</f>
        <v>0.16058030499096004</v>
      </c>
      <c r="CG55" s="194"/>
    </row>
    <row r="56" spans="1:92" ht="13.5" hidden="1" customHeight="1" outlineLevel="1" thickBot="1" x14ac:dyDescent="0.25">
      <c r="A56" s="82" t="s">
        <v>328</v>
      </c>
      <c r="G56" s="23"/>
      <c r="M56" s="23"/>
      <c r="S56" s="23"/>
      <c r="Y56" s="109"/>
      <c r="Z56" s="373">
        <v>55</v>
      </c>
      <c r="AC56" s="42"/>
      <c r="AD56" s="42"/>
      <c r="AE56" s="109"/>
      <c r="AI56" s="42"/>
      <c r="AJ56" s="42"/>
      <c r="AK56" s="109"/>
      <c r="AL56" s="42"/>
      <c r="AM56" s="42"/>
      <c r="AN56" s="42"/>
      <c r="AO56" s="42"/>
      <c r="AP56" s="42"/>
      <c r="AQ56" s="109"/>
      <c r="AR56" s="42"/>
      <c r="AS56" s="42"/>
      <c r="AT56" s="42"/>
      <c r="AU56" s="42"/>
      <c r="AV56" s="42"/>
      <c r="AW56" s="109"/>
      <c r="AX56" s="42"/>
      <c r="AY56" s="42"/>
      <c r="AZ56" s="42"/>
      <c r="BA56" s="42"/>
      <c r="BB56" s="42"/>
      <c r="BC56" s="109"/>
      <c r="BD56" s="42"/>
      <c r="BE56" s="42"/>
      <c r="BF56" s="42"/>
      <c r="BG56" s="42"/>
      <c r="BH56" s="42"/>
      <c r="BI56" s="109"/>
      <c r="BJ56" s="42"/>
      <c r="BK56" s="42"/>
      <c r="BL56" s="42"/>
      <c r="BM56" s="42"/>
      <c r="BN56" s="42"/>
      <c r="BO56" s="109"/>
      <c r="BP56" s="42"/>
      <c r="BQ56" s="42"/>
      <c r="BR56" s="42"/>
      <c r="BS56" s="42"/>
      <c r="BT56" s="618">
        <f>+BT53/BN53-1</f>
        <v>-0.12474594626768032</v>
      </c>
      <c r="BU56" s="109"/>
      <c r="BV56" s="42"/>
      <c r="BW56" s="42"/>
      <c r="BX56" s="42"/>
      <c r="BY56" s="42"/>
      <c r="BZ56" s="42"/>
      <c r="CA56" s="109"/>
      <c r="CB56" s="42"/>
      <c r="CC56" s="42"/>
      <c r="CD56" s="42"/>
      <c r="CE56" s="42"/>
      <c r="CF56" s="42"/>
      <c r="CG56" s="42"/>
    </row>
    <row r="57" spans="1:92" collapsed="1" x14ac:dyDescent="0.2">
      <c r="A57" s="82"/>
      <c r="G57" s="23"/>
      <c r="M57" s="23"/>
      <c r="S57" s="23"/>
      <c r="Y57" s="111"/>
      <c r="Z57" s="42"/>
      <c r="AB57" s="42"/>
      <c r="AC57" s="42"/>
      <c r="AD57" s="42"/>
      <c r="AE57" s="111"/>
      <c r="AF57" s="42"/>
      <c r="AH57" s="42"/>
      <c r="AI57" s="42"/>
      <c r="AJ57" s="42"/>
      <c r="AK57" s="111"/>
      <c r="AL57" s="42"/>
      <c r="AM57" s="42"/>
      <c r="AN57" s="42"/>
      <c r="AO57" s="42"/>
      <c r="AP57" s="42"/>
      <c r="AQ57" s="111"/>
      <c r="AR57" s="42"/>
      <c r="AS57" s="42"/>
      <c r="AT57" s="42"/>
      <c r="AU57" s="42"/>
      <c r="AV57" s="42"/>
      <c r="AW57" s="111"/>
      <c r="AX57" s="42"/>
      <c r="AY57" s="42"/>
      <c r="AZ57" s="42"/>
      <c r="BA57" s="42"/>
      <c r="BB57" s="42"/>
      <c r="BC57" s="111"/>
      <c r="BD57" s="42"/>
      <c r="BE57" s="42"/>
      <c r="BF57" s="42"/>
      <c r="BG57" s="42"/>
      <c r="BH57" s="42"/>
      <c r="BI57" s="111"/>
      <c r="BJ57" s="42"/>
      <c r="BK57" s="42"/>
      <c r="BL57" s="42"/>
      <c r="BM57" s="42"/>
      <c r="BN57" s="42"/>
      <c r="BO57" s="111"/>
      <c r="BP57" s="42"/>
      <c r="BQ57" s="42"/>
      <c r="BR57" s="42"/>
      <c r="BS57" s="229" t="s">
        <v>504</v>
      </c>
      <c r="BT57" s="618">
        <f>+(BT53/BH53)^(1/2)-1</f>
        <v>4.7120667276904449E-2</v>
      </c>
      <c r="BU57" s="111"/>
      <c r="BV57" s="42"/>
      <c r="BW57" s="42"/>
      <c r="BX57" s="42"/>
      <c r="BY57" s="42"/>
      <c r="BZ57" s="618">
        <f>+(BZ53/BN53)^(1/2)-1</f>
        <v>0.40593398785771062</v>
      </c>
      <c r="CA57" s="111"/>
      <c r="CB57" s="42"/>
      <c r="CC57" s="42"/>
      <c r="CD57" s="42"/>
      <c r="CE57" s="42"/>
      <c r="CF57" s="618"/>
      <c r="CG57" s="42"/>
    </row>
    <row r="58" spans="1:92" x14ac:dyDescent="0.2">
      <c r="A58" s="16" t="s">
        <v>306</v>
      </c>
      <c r="G58" s="72"/>
      <c r="M58" s="72"/>
      <c r="S58" s="72"/>
      <c r="Y58" s="109"/>
      <c r="Z58" s="42"/>
      <c r="AB58" s="42"/>
      <c r="AC58" s="42"/>
      <c r="AD58" s="42"/>
      <c r="AE58" s="109"/>
      <c r="AF58" s="42"/>
      <c r="AH58" s="42"/>
      <c r="AI58" s="42"/>
      <c r="AJ58" s="42"/>
      <c r="AK58" s="109"/>
      <c r="AL58" s="42"/>
      <c r="AM58" s="42"/>
      <c r="AN58" s="42"/>
      <c r="AO58" s="42"/>
      <c r="AP58" s="42"/>
      <c r="AQ58" s="109"/>
      <c r="AR58" s="42"/>
      <c r="AS58" s="42"/>
      <c r="AT58" s="42"/>
      <c r="AU58" s="42"/>
      <c r="AV58" s="42"/>
      <c r="AW58" s="109"/>
      <c r="AX58" s="42"/>
      <c r="AY58" s="42"/>
      <c r="AZ58" s="42"/>
      <c r="BA58" s="42"/>
      <c r="BB58" s="42"/>
      <c r="BC58" s="109"/>
      <c r="BD58" s="42"/>
      <c r="BE58" s="42"/>
      <c r="BF58" s="42"/>
      <c r="BG58" s="42"/>
      <c r="BH58" s="42"/>
      <c r="BI58" s="109"/>
      <c r="BJ58" s="42"/>
      <c r="BK58" s="42"/>
      <c r="BL58" s="42"/>
      <c r="BM58" s="42"/>
      <c r="BN58" s="42"/>
      <c r="BO58" s="109"/>
      <c r="BP58" s="42"/>
      <c r="BQ58" s="42"/>
      <c r="BR58" s="42"/>
      <c r="BS58" s="42"/>
      <c r="BT58" s="618">
        <f>+(BT54/BH54)^(1/2)-1</f>
        <v>5.3127855883410513E-2</v>
      </c>
      <c r="BU58" s="109"/>
      <c r="BV58" s="42"/>
      <c r="BW58" s="42"/>
      <c r="BX58" s="42"/>
      <c r="BY58" s="42"/>
      <c r="BZ58" s="618">
        <f>+(BZ54/BN54)^(1/2)-1</f>
        <v>0.4288382694973385</v>
      </c>
      <c r="CA58" s="109"/>
      <c r="CB58" s="42"/>
      <c r="CC58" s="42"/>
      <c r="CD58" s="42"/>
      <c r="CE58" s="42"/>
      <c r="CF58" s="618">
        <f>+(CF54/BT54)^(1/2)-1</f>
        <v>0.82782414329772114</v>
      </c>
      <c r="CG58" s="42"/>
    </row>
    <row r="59" spans="1:92" x14ac:dyDescent="0.2">
      <c r="A59" s="2"/>
      <c r="G59" s="72"/>
      <c r="M59" s="72"/>
      <c r="S59" s="72"/>
      <c r="Y59" s="109"/>
      <c r="Z59" s="42"/>
      <c r="AB59" s="42"/>
      <c r="AC59" s="42"/>
      <c r="AD59" s="42"/>
      <c r="AE59" s="109"/>
      <c r="AF59" s="42"/>
      <c r="AH59" s="42"/>
      <c r="AI59" s="42"/>
      <c r="AJ59" s="42"/>
      <c r="AK59" s="109"/>
      <c r="AL59" s="42"/>
      <c r="AM59" s="42"/>
      <c r="AN59" s="42"/>
      <c r="AO59" s="42"/>
      <c r="AP59" s="42"/>
      <c r="AQ59" s="109"/>
      <c r="AR59" s="42"/>
      <c r="AS59" s="42"/>
      <c r="AT59" s="42"/>
      <c r="AU59" s="42"/>
      <c r="AV59" s="42"/>
      <c r="AW59" s="109"/>
      <c r="AX59" s="42"/>
      <c r="AY59" s="42"/>
      <c r="AZ59" s="42"/>
      <c r="BA59" s="42"/>
      <c r="BB59" s="42"/>
      <c r="BC59" s="109"/>
      <c r="BD59" s="42"/>
      <c r="BE59" s="42"/>
      <c r="BF59" s="42"/>
      <c r="BG59" s="42"/>
      <c r="BH59" s="42"/>
      <c r="BI59" s="109"/>
      <c r="BJ59" s="42"/>
      <c r="BK59" s="42"/>
      <c r="BL59" s="42"/>
      <c r="BM59" s="42"/>
      <c r="BN59" s="42"/>
      <c r="BO59" s="109"/>
      <c r="BP59" s="42"/>
      <c r="BQ59" s="42"/>
      <c r="BR59" s="42"/>
      <c r="BS59" s="42"/>
      <c r="BT59" s="42"/>
      <c r="BU59" s="109"/>
      <c r="BV59" s="42"/>
      <c r="BW59" s="42"/>
      <c r="BX59" s="42"/>
      <c r="BY59" s="42"/>
      <c r="BZ59" s="42"/>
      <c r="CA59" s="109"/>
      <c r="CB59" s="42"/>
      <c r="CC59" s="42"/>
      <c r="CD59" s="42"/>
      <c r="CE59" s="42"/>
      <c r="CF59" s="42"/>
      <c r="CG59" s="42"/>
    </row>
    <row r="60" spans="1:92" ht="12.75" hidden="1" customHeight="1" outlineLevel="1" x14ac:dyDescent="0.2">
      <c r="A60" s="16" t="s">
        <v>307</v>
      </c>
      <c r="G60" s="72"/>
      <c r="M60" s="72"/>
      <c r="S60" s="72"/>
      <c r="Y60" s="109"/>
      <c r="Z60" s="42"/>
      <c r="AB60" s="42"/>
      <c r="AC60" s="42"/>
      <c r="AD60" s="42"/>
      <c r="AE60" s="109"/>
      <c r="AF60" s="42"/>
      <c r="AH60" s="42"/>
      <c r="AI60" s="42"/>
      <c r="AJ60" s="42"/>
      <c r="AK60" s="109"/>
      <c r="AL60" s="42"/>
      <c r="AM60" s="42"/>
      <c r="AN60" s="42"/>
      <c r="AO60" s="42"/>
      <c r="AP60" s="42"/>
      <c r="AQ60" s="109"/>
      <c r="AR60" s="42"/>
      <c r="AS60" s="42"/>
      <c r="AT60" s="42"/>
      <c r="AU60" s="42"/>
      <c r="AV60" s="42"/>
      <c r="AW60" s="109"/>
      <c r="AX60" s="42"/>
      <c r="AY60" s="42"/>
      <c r="AZ60" s="42"/>
      <c r="BA60" s="42"/>
      <c r="BB60" s="42"/>
      <c r="BC60" s="109"/>
      <c r="BD60" s="42"/>
      <c r="BE60" s="42"/>
      <c r="BF60" s="42"/>
      <c r="BG60" s="42"/>
      <c r="BH60" s="42"/>
      <c r="BI60" s="109"/>
      <c r="BJ60" s="42"/>
      <c r="BK60" s="42"/>
      <c r="BL60" s="42"/>
      <c r="BM60" s="42"/>
      <c r="BN60" s="42"/>
      <c r="BO60" s="109"/>
      <c r="BP60" s="42"/>
      <c r="BQ60" s="42"/>
      <c r="BR60" s="42"/>
      <c r="BS60" s="42"/>
      <c r="BT60" s="42"/>
      <c r="BU60" s="109"/>
      <c r="BV60" s="42"/>
      <c r="BW60" s="42"/>
      <c r="BX60" s="42"/>
      <c r="BY60" s="42"/>
      <c r="BZ60" s="42"/>
      <c r="CA60" s="109"/>
      <c r="CB60" s="42"/>
      <c r="CC60" s="42"/>
      <c r="CD60" s="42"/>
      <c r="CE60" s="42"/>
      <c r="CF60" s="42"/>
      <c r="CG60" s="42"/>
    </row>
    <row r="61" spans="1:92" ht="12.75" hidden="1" customHeight="1" outlineLevel="1" x14ac:dyDescent="0.2">
      <c r="A61" s="2" t="s">
        <v>311</v>
      </c>
      <c r="B61" s="84">
        <f>-B39/'P&amp;L'!C39</f>
        <v>0</v>
      </c>
      <c r="C61" s="84">
        <f>-C39/'P&amp;L'!D39</f>
        <v>0</v>
      </c>
      <c r="D61" s="84">
        <f>-D39/'P&amp;L'!E39</f>
        <v>0</v>
      </c>
      <c r="E61" s="84">
        <f>-E39/'P&amp;L'!F39</f>
        <v>0</v>
      </c>
      <c r="F61" s="84">
        <f>-F39/'P&amp;L'!G39</f>
        <v>0</v>
      </c>
      <c r="G61" s="70"/>
      <c r="H61" s="84">
        <f>-H39/'P&amp;L'!I39</f>
        <v>0</v>
      </c>
      <c r="I61" s="84">
        <f>-I39/'P&amp;L'!J39</f>
        <v>0</v>
      </c>
      <c r="J61" s="84">
        <f>-J39/'P&amp;L'!K39</f>
        <v>0</v>
      </c>
      <c r="K61" s="84">
        <f>-K39/'P&amp;L'!L39</f>
        <v>0</v>
      </c>
      <c r="L61" s="84">
        <f>-L39/'P&amp;L'!M39</f>
        <v>0</v>
      </c>
      <c r="M61" s="70"/>
      <c r="N61" s="84">
        <f>-N39/'P&amp;L'!O39</f>
        <v>0</v>
      </c>
      <c r="O61" s="84">
        <f>-O39/'P&amp;L'!P39</f>
        <v>0</v>
      </c>
      <c r="P61" s="84">
        <f>-P39/'P&amp;L'!Q39</f>
        <v>0</v>
      </c>
      <c r="Q61" s="84">
        <f>-Q39/'P&amp;L'!R39</f>
        <v>0</v>
      </c>
      <c r="R61" s="84">
        <f>-R39/'P&amp;L'!S39</f>
        <v>0</v>
      </c>
      <c r="S61" s="70"/>
      <c r="T61" s="84">
        <f>-T39/'P&amp;L'!U39</f>
        <v>0</v>
      </c>
      <c r="U61" s="84">
        <f>-U39/'P&amp;L'!V39</f>
        <v>0</v>
      </c>
      <c r="V61" s="84">
        <f>-V39/'P&amp;L'!W39</f>
        <v>0</v>
      </c>
      <c r="W61" s="84">
        <f>-W39/'P&amp;L'!X39</f>
        <v>0</v>
      </c>
      <c r="X61" s="84">
        <f>-X39/'P&amp;L'!Y39</f>
        <v>0</v>
      </c>
      <c r="Y61" s="70"/>
      <c r="Z61" s="84">
        <f>-Z39/'P&amp;L'!AA39</f>
        <v>0</v>
      </c>
      <c r="AA61" s="84">
        <f>-AA39/'P&amp;L'!AB39</f>
        <v>0</v>
      </c>
      <c r="AB61" s="84">
        <f>-AB39/'P&amp;L'!AC39</f>
        <v>0</v>
      </c>
      <c r="AC61" s="84">
        <f>-AC39/'P&amp;L'!AD39</f>
        <v>0</v>
      </c>
      <c r="AD61" s="84">
        <f>-AD39/'P&amp;L'!AE39</f>
        <v>0</v>
      </c>
      <c r="AE61" s="70"/>
      <c r="AF61" s="84">
        <f>-AF39/'P&amp;L'!AG39</f>
        <v>0</v>
      </c>
      <c r="AG61" s="84">
        <f>-AG39/'P&amp;L'!AH39</f>
        <v>0</v>
      </c>
      <c r="AH61" s="84">
        <f>-AH39/'P&amp;L'!AI39</f>
        <v>0</v>
      </c>
      <c r="AI61" s="84">
        <f>-AI39/'P&amp;L'!AJ39</f>
        <v>0</v>
      </c>
      <c r="AJ61" s="84">
        <f>-AJ39/'P&amp;L'!AK39</f>
        <v>0</v>
      </c>
      <c r="AK61" s="70"/>
      <c r="AL61" s="84">
        <f>-AL39/'P&amp;L'!AM39</f>
        <v>0</v>
      </c>
      <c r="AM61" s="84">
        <f>-AM39/'P&amp;L'!AN39</f>
        <v>0</v>
      </c>
      <c r="AN61" s="84">
        <f>-AN39/'P&amp;L'!AO39</f>
        <v>0</v>
      </c>
      <c r="AO61" s="84">
        <f>-AO39/'P&amp;L'!AP39</f>
        <v>0</v>
      </c>
      <c r="AP61" s="84">
        <f>-AP39/'P&amp;L'!AQ39</f>
        <v>0</v>
      </c>
      <c r="AQ61" s="109"/>
      <c r="AR61" s="84">
        <f>-AR39/'P&amp;L'!AS39</f>
        <v>0</v>
      </c>
      <c r="AS61" s="84">
        <f>-AS39/'P&amp;L'!AT39</f>
        <v>0</v>
      </c>
      <c r="AT61" s="84">
        <f>-AT39/'P&amp;L'!AU39</f>
        <v>0</v>
      </c>
      <c r="AU61" s="84">
        <f>-AU39/'P&amp;L'!AV39</f>
        <v>0</v>
      </c>
      <c r="AV61" s="84">
        <f>-AV39/'P&amp;L'!AW39</f>
        <v>0</v>
      </c>
      <c r="AW61" s="109"/>
      <c r="AX61" s="84">
        <f>-AX39/'P&amp;L'!AY39</f>
        <v>0</v>
      </c>
      <c r="AY61" s="84">
        <f>-AY39/'P&amp;L'!AZ39</f>
        <v>0</v>
      </c>
      <c r="AZ61" s="84">
        <f>-AZ39/'P&amp;L'!BA39</f>
        <v>0</v>
      </c>
      <c r="BA61" s="84">
        <f>-BA39/'P&amp;L'!BB39</f>
        <v>0</v>
      </c>
      <c r="BB61" s="84">
        <f>-BB39/'P&amp;L'!BC39</f>
        <v>0</v>
      </c>
      <c r="BC61" s="109"/>
      <c r="BD61" s="84">
        <f>-BD39/'P&amp;L'!BE39</f>
        <v>0</v>
      </c>
      <c r="BE61" s="84">
        <f>-BE39/'P&amp;L'!BF39</f>
        <v>0</v>
      </c>
      <c r="BF61" s="84">
        <f>-BF39/'P&amp;L'!BG39</f>
        <v>0</v>
      </c>
      <c r="BG61" s="84">
        <f>-BG39/'P&amp;L'!BH39</f>
        <v>0</v>
      </c>
      <c r="BH61" s="84">
        <f>-BH39/'P&amp;L'!BI39</f>
        <v>0</v>
      </c>
      <c r="BI61" s="109"/>
      <c r="BJ61" s="84">
        <f>-BJ39/'P&amp;L'!BK39</f>
        <v>0</v>
      </c>
      <c r="BK61" s="84">
        <f>-BK39/'P&amp;L'!BL39</f>
        <v>0</v>
      </c>
      <c r="BL61" s="84">
        <f>-BL39/'P&amp;L'!BM39</f>
        <v>0</v>
      </c>
      <c r="BM61" s="84">
        <f>-BM39/'P&amp;L'!BN39</f>
        <v>0</v>
      </c>
      <c r="BN61" s="84">
        <f>-BN39/'P&amp;L'!BO39</f>
        <v>0</v>
      </c>
      <c r="BO61" s="109"/>
      <c r="BP61" s="84">
        <f>+BJ61*(1+BP62)</f>
        <v>0</v>
      </c>
      <c r="BQ61" s="84">
        <f>+BK61*(1+BQ62)</f>
        <v>0</v>
      </c>
      <c r="BR61" s="84">
        <f>+BL61*(1+BR62)</f>
        <v>0</v>
      </c>
      <c r="BS61" s="84">
        <f>+BM61*(1+BS62)</f>
        <v>0</v>
      </c>
      <c r="BT61" s="84">
        <f>-BT39/'P&amp;L'!BU39</f>
        <v>0</v>
      </c>
      <c r="BU61" s="109"/>
      <c r="BV61" s="84">
        <f>+BP61*(1+BV62)</f>
        <v>0</v>
      </c>
      <c r="BW61" s="84">
        <f>+BQ61*(1+BW62)</f>
        <v>0</v>
      </c>
      <c r="BX61" s="84">
        <f>+BR61*(1+BX62)</f>
        <v>0</v>
      </c>
      <c r="BY61" s="84">
        <f>+BS61*(1+BY62)</f>
        <v>0</v>
      </c>
      <c r="BZ61" s="84">
        <f>-BZ39/'P&amp;L'!CA39</f>
        <v>0</v>
      </c>
      <c r="CA61" s="109"/>
      <c r="CB61" s="84">
        <f>+BV61*(1+CB62)</f>
        <v>0</v>
      </c>
      <c r="CC61" s="84">
        <f>+BW61*(1+CC62)</f>
        <v>0</v>
      </c>
      <c r="CD61" s="84">
        <f>+BX61*(1+CD62)</f>
        <v>0</v>
      </c>
      <c r="CE61" s="84">
        <f>+BY61*(1+CE62)</f>
        <v>0</v>
      </c>
      <c r="CF61" s="84">
        <f>-CF39/'P&amp;L'!CG39</f>
        <v>0</v>
      </c>
      <c r="CG61" s="84"/>
    </row>
    <row r="62" spans="1:92" ht="12.75" hidden="1" customHeight="1" outlineLevel="1" x14ac:dyDescent="0.2">
      <c r="A62" s="80" t="s">
        <v>299</v>
      </c>
      <c r="F62" s="85"/>
      <c r="G62" s="85"/>
      <c r="H62" s="85" t="str">
        <f>IF(ISERROR(H61/B61-1),"NM",H61/B61-1)</f>
        <v>NM</v>
      </c>
      <c r="I62" s="85" t="str">
        <f>IF(ISERROR(I61/C61-1),"NM",I61/C61-1)</f>
        <v>NM</v>
      </c>
      <c r="J62" s="85" t="str">
        <f>IF(ISERROR(J61/D61-1),"NM",J61/D61-1)</f>
        <v>NM</v>
      </c>
      <c r="K62" s="85" t="str">
        <f>IF(ISERROR(K61/E61-1),"NM",K61/E61-1)</f>
        <v>NM</v>
      </c>
      <c r="L62" s="85" t="str">
        <f>IF(ISERROR(L61/F61-1),"NM",L61/F61-1)</f>
        <v>NM</v>
      </c>
      <c r="M62" s="70"/>
      <c r="N62" s="85" t="str">
        <f>IF(ISERROR(N61/H61-1),"NM",N61/H61-1)</f>
        <v>NM</v>
      </c>
      <c r="O62" s="85" t="str">
        <f>IF(ISERROR(O61/I61-1),"NM",O61/I61-1)</f>
        <v>NM</v>
      </c>
      <c r="P62" s="85" t="str">
        <f>IF(ISERROR(P61/J61-1),"NM",P61/J61-1)</f>
        <v>NM</v>
      </c>
      <c r="Q62" s="85" t="str">
        <f>IF(ISERROR(Q61/K61-1),"NM",Q61/K61-1)</f>
        <v>NM</v>
      </c>
      <c r="R62" s="85" t="str">
        <f>IF(ISERROR(R61/L61-1),"NM",R61/L61-1)</f>
        <v>NM</v>
      </c>
      <c r="S62" s="70"/>
      <c r="T62" s="85" t="str">
        <f>IF(ISERROR(T61/N61-1),"NM",T61/N61-1)</f>
        <v>NM</v>
      </c>
      <c r="U62" s="85" t="str">
        <f>IF(ISERROR(U61/O61-1),"NM",U61/O61-1)</f>
        <v>NM</v>
      </c>
      <c r="V62" s="85" t="str">
        <f>IF(ISERROR(V61/P61-1),"NM",V61/P61-1)</f>
        <v>NM</v>
      </c>
      <c r="W62" s="85" t="str">
        <f>IF(ISERROR(W61/Q61-1),"NM",W61/Q61-1)</f>
        <v>NM</v>
      </c>
      <c r="X62" s="85" t="str">
        <f>IF(ISERROR(X61/R61-1),"NM",X61/R61-1)</f>
        <v>NM</v>
      </c>
      <c r="Y62" s="70"/>
      <c r="Z62" s="85" t="str">
        <f>IF(ISERROR(Z61/T61-1),"NM",Z61/T61-1)</f>
        <v>NM</v>
      </c>
      <c r="AA62" s="85" t="str">
        <f>IF(ISERROR(AA61/U61-1),"NM",AA61/U61-1)</f>
        <v>NM</v>
      </c>
      <c r="AB62" s="85" t="str">
        <f>IF(ISERROR(AB61/V61-1),"NM",AB61/V61-1)</f>
        <v>NM</v>
      </c>
      <c r="AC62" s="85" t="str">
        <f>IF(ISERROR(AC61/W61-1),"NM",AC61/W61-1)</f>
        <v>NM</v>
      </c>
      <c r="AD62" s="85" t="str">
        <f>IF(ISERROR(AD61/X61-1),"NM",AD61/X61-1)</f>
        <v>NM</v>
      </c>
      <c r="AE62" s="70"/>
      <c r="AF62" s="85" t="str">
        <f>IF(ISERROR(AF61/Z61-1),"NM",AF61/Z61-1)</f>
        <v>NM</v>
      </c>
      <c r="AG62" s="85" t="str">
        <f>IF(ISERROR(AG61/AA61-1),"NM",AG61/AA61-1)</f>
        <v>NM</v>
      </c>
      <c r="AH62" s="85" t="str">
        <f>IF(ISERROR(AH61/AB61-1),"NM",AH61/AB61-1)</f>
        <v>NM</v>
      </c>
      <c r="AI62" s="85" t="str">
        <f>IF(ISERROR(AI61/AC61-1),"NM",AI61/AC61-1)</f>
        <v>NM</v>
      </c>
      <c r="AJ62" s="85" t="str">
        <f>IF(ISERROR(AJ61/AD61-1),"NM",AJ61/AD61-1)</f>
        <v>NM</v>
      </c>
      <c r="AK62" s="70"/>
      <c r="AL62" s="85" t="str">
        <f>IF(ISERROR(AL61/AF61-1),"NM",AL61/AF61-1)</f>
        <v>NM</v>
      </c>
      <c r="AM62" s="85" t="str">
        <f>IF(ISERROR(AM61/AG61-1),"NM",AM61/AG61-1)</f>
        <v>NM</v>
      </c>
      <c r="AN62" s="85" t="str">
        <f>IF(ISERROR(AN61/AH61-1),"NM",AN61/AH61-1)</f>
        <v>NM</v>
      </c>
      <c r="AO62" s="85" t="str">
        <f>IF(ISERROR(AO61/AI61-1),"NM",AO61/AI61-1)</f>
        <v>NM</v>
      </c>
      <c r="AP62" s="85" t="str">
        <f>IF(ISERROR(AP61/AJ61-1),"NM",AP61/AJ61-1)</f>
        <v>NM</v>
      </c>
      <c r="AQ62" s="113"/>
      <c r="AR62" s="85" t="str">
        <f>IF(ISERROR(AR61/AL61-1),"NM",AR61/AL61-1)</f>
        <v>NM</v>
      </c>
      <c r="AS62" s="85" t="str">
        <f>IF(ISERROR(AS61/AM61-1),"NM",AS61/AM61-1)</f>
        <v>NM</v>
      </c>
      <c r="AT62" s="85" t="str">
        <f>IF(ISERROR(AT61/AN61-1),"NM",AT61/AN61-1)</f>
        <v>NM</v>
      </c>
      <c r="AU62" s="85" t="str">
        <f>IF(ISERROR(AU61/AO61-1),"NM",AU61/AO61-1)</f>
        <v>NM</v>
      </c>
      <c r="AV62" s="85" t="str">
        <f>IF(ISERROR(AV61/AP61-1),"NM",AV61/AP61-1)</f>
        <v>NM</v>
      </c>
      <c r="AW62" s="113"/>
      <c r="AX62" s="85" t="str">
        <f>IF(ISERROR(AX61/AR61-1),"NM",AX61/AR61-1)</f>
        <v>NM</v>
      </c>
      <c r="AY62" s="85" t="str">
        <f>IF(ISERROR(AY61/AS61-1),"NM",AY61/AS61-1)</f>
        <v>NM</v>
      </c>
      <c r="AZ62" s="85" t="str">
        <f>IF(ISERROR(AZ61/AT61-1),"NM",AZ61/AT61-1)</f>
        <v>NM</v>
      </c>
      <c r="BA62" s="85" t="str">
        <f>IF(ISERROR(BA61/AU61-1),"NM",BA61/AU61-1)</f>
        <v>NM</v>
      </c>
      <c r="BB62" s="85" t="str">
        <f>IF(ISERROR(BB61/AV61-1),"NM",BB61/AV61-1)</f>
        <v>NM</v>
      </c>
      <c r="BC62" s="113"/>
      <c r="BD62" s="85" t="str">
        <f>IF(ISERROR(BD61/AX61-1),"NM",BD61/AX61-1)</f>
        <v>NM</v>
      </c>
      <c r="BE62" s="85" t="str">
        <f>IF(ISERROR(BE61/AY61-1),"NM",BE61/AY61-1)</f>
        <v>NM</v>
      </c>
      <c r="BF62" s="85" t="str">
        <f>IF(ISERROR(BF61/AZ61-1),"NM",BF61/AZ61-1)</f>
        <v>NM</v>
      </c>
      <c r="BG62" s="85" t="str">
        <f>IF(ISERROR(BG61/BA61-1),"NM",BG61/BA61-1)</f>
        <v>NM</v>
      </c>
      <c r="BH62" s="85" t="str">
        <f>IF(ISERROR(BH61/BB61-1),"NM",BH61/BB61-1)</f>
        <v>NM</v>
      </c>
      <c r="BI62" s="113"/>
      <c r="BJ62" s="85" t="str">
        <f>IF(ISERROR(BJ61/BD61-1),"NM",BJ61/BD61-1)</f>
        <v>NM</v>
      </c>
      <c r="BK62" s="85" t="str">
        <f>IF(ISERROR(BK61/BE61-1),"NM",BK61/BE61-1)</f>
        <v>NM</v>
      </c>
      <c r="BL62" s="85" t="str">
        <f>IF(ISERROR(BL61/BF61-1),"NM",BL61/BF61-1)</f>
        <v>NM</v>
      </c>
      <c r="BM62" s="85" t="str">
        <f>IF(ISERROR(BM61/BG61-1),"NM",BM61/BG61-1)</f>
        <v>NM</v>
      </c>
      <c r="BN62" s="85" t="str">
        <f>IF(ISERROR(BN61/BH61-1),"NM",BN61/BH61-1)</f>
        <v>NM</v>
      </c>
      <c r="BO62" s="113"/>
      <c r="BP62" s="389">
        <v>0.1</v>
      </c>
      <c r="BQ62" s="389">
        <v>0.1</v>
      </c>
      <c r="BR62" s="389">
        <v>0.1</v>
      </c>
      <c r="BS62" s="389">
        <v>0.1</v>
      </c>
      <c r="BT62" s="85" t="str">
        <f>IF(ISERROR(BT61/BN61-1),"NM",BT61/BN61-1)</f>
        <v>NM</v>
      </c>
      <c r="BU62" s="113"/>
      <c r="BV62" s="389">
        <v>0.1</v>
      </c>
      <c r="BW62" s="389">
        <v>0.1</v>
      </c>
      <c r="BX62" s="389">
        <v>0.1</v>
      </c>
      <c r="BY62" s="389">
        <v>0.1</v>
      </c>
      <c r="BZ62" s="85" t="str">
        <f>IF(ISERROR(BZ61/BT61-1),"NM",BZ61/BT61-1)</f>
        <v>NM</v>
      </c>
      <c r="CA62" s="113"/>
      <c r="CB62" s="389">
        <v>0.1</v>
      </c>
      <c r="CC62" s="389">
        <v>0.1</v>
      </c>
      <c r="CD62" s="389">
        <v>0.1</v>
      </c>
      <c r="CE62" s="389">
        <v>0.1</v>
      </c>
      <c r="CF62" s="85" t="str">
        <f>IF(ISERROR(CF61/BZ61-1),"NM",CF61/BZ61-1)</f>
        <v>NM</v>
      </c>
      <c r="CG62" s="85"/>
    </row>
    <row r="63" spans="1:92" ht="12.75" hidden="1" customHeight="1" outlineLevel="1" x14ac:dyDescent="0.2">
      <c r="A63" s="80" t="s">
        <v>312</v>
      </c>
      <c r="B63" s="55">
        <f>+B61/'P&amp;L'!C43</f>
        <v>0</v>
      </c>
      <c r="C63" s="55">
        <f>+C61/'P&amp;L'!D43</f>
        <v>0</v>
      </c>
      <c r="D63" s="55">
        <f>+D61/'P&amp;L'!E43</f>
        <v>0</v>
      </c>
      <c r="E63" s="55">
        <f>+E61/'P&amp;L'!F43</f>
        <v>0</v>
      </c>
      <c r="F63" s="55">
        <f>+F61/'P&amp;L'!G43</f>
        <v>0</v>
      </c>
      <c r="G63" s="86"/>
      <c r="H63" s="55">
        <f>+H61/'P&amp;L'!I43</f>
        <v>0</v>
      </c>
      <c r="I63" s="55">
        <f>+I61/'P&amp;L'!J43</f>
        <v>0</v>
      </c>
      <c r="J63" s="55">
        <f>+J61/'P&amp;L'!K43</f>
        <v>0</v>
      </c>
      <c r="K63" s="55">
        <f>+K61/'P&amp;L'!L43</f>
        <v>0</v>
      </c>
      <c r="L63" s="55">
        <f>+L61/'P&amp;L'!M43</f>
        <v>0</v>
      </c>
      <c r="M63" s="86"/>
      <c r="N63" s="55">
        <f>+N61/'P&amp;L'!O43</f>
        <v>0</v>
      </c>
      <c r="O63" s="55">
        <f>+O61/'P&amp;L'!P43</f>
        <v>0</v>
      </c>
      <c r="P63" s="55">
        <f>+P61/'P&amp;L'!Q43</f>
        <v>0</v>
      </c>
      <c r="Q63" s="55">
        <f>+Q61/'P&amp;L'!R43</f>
        <v>0</v>
      </c>
      <c r="R63" s="55">
        <f>+R61/'P&amp;L'!S43</f>
        <v>0</v>
      </c>
      <c r="S63" s="86"/>
      <c r="T63" s="55">
        <f>+T61/'P&amp;L'!U43</f>
        <v>0</v>
      </c>
      <c r="U63" s="55">
        <f>+U61/'P&amp;L'!V43</f>
        <v>0</v>
      </c>
      <c r="V63" s="55">
        <f>+V61/'P&amp;L'!W43</f>
        <v>0</v>
      </c>
      <c r="W63" s="55">
        <f>+W61/'P&amp;L'!X43</f>
        <v>0</v>
      </c>
      <c r="X63" s="55">
        <f>+X61/'P&amp;L'!Y43</f>
        <v>0</v>
      </c>
      <c r="Y63" s="86"/>
      <c r="Z63" s="55">
        <f>+Z61/'P&amp;L'!AA43</f>
        <v>0</v>
      </c>
      <c r="AA63" s="55">
        <f>+AA61/'P&amp;L'!AB43</f>
        <v>0</v>
      </c>
      <c r="AB63" s="55">
        <f>+AB61/'P&amp;L'!AC43</f>
        <v>0</v>
      </c>
      <c r="AC63" s="55">
        <f>+AC61/'P&amp;L'!AD43</f>
        <v>0</v>
      </c>
      <c r="AD63" s="55">
        <f>+AD61/'P&amp;L'!AE43</f>
        <v>0</v>
      </c>
      <c r="AE63" s="86"/>
      <c r="AF63" s="55">
        <f>+AF61/'P&amp;L'!AG43</f>
        <v>0</v>
      </c>
      <c r="AG63" s="55">
        <f>+AG61/'P&amp;L'!AH43</f>
        <v>0</v>
      </c>
      <c r="AH63" s="55">
        <f>+AH61/'P&amp;L'!AI43</f>
        <v>0</v>
      </c>
      <c r="AI63" s="55">
        <f>+AI61/'P&amp;L'!AJ43</f>
        <v>0</v>
      </c>
      <c r="AJ63" s="55">
        <f>+AJ61/'P&amp;L'!AK43</f>
        <v>0</v>
      </c>
      <c r="AK63" s="86"/>
      <c r="AL63" s="55">
        <f>+AL61/'P&amp;L'!AM43</f>
        <v>0</v>
      </c>
      <c r="AM63" s="55">
        <f>+AM61/'P&amp;L'!AN43</f>
        <v>0</v>
      </c>
      <c r="AN63" s="55">
        <f>+AN61/'P&amp;L'!AO43</f>
        <v>0</v>
      </c>
      <c r="AO63" s="55">
        <f>+AO61/'P&amp;L'!AP43</f>
        <v>0</v>
      </c>
      <c r="AP63" s="55">
        <f>+AP61/'P&amp;L'!AQ43</f>
        <v>0</v>
      </c>
      <c r="AQ63" s="52"/>
      <c r="AR63" s="55">
        <f>+AR61/'P&amp;L'!AS43</f>
        <v>0</v>
      </c>
      <c r="AS63" s="55">
        <f>+AS61/'P&amp;L'!AT43</f>
        <v>0</v>
      </c>
      <c r="AT63" s="55">
        <f>+AT61/'P&amp;L'!AU43</f>
        <v>0</v>
      </c>
      <c r="AU63" s="55">
        <f>+AU61/'P&amp;L'!AV43</f>
        <v>0</v>
      </c>
      <c r="AV63" s="55">
        <f>+AV61/'P&amp;L'!AW43</f>
        <v>0</v>
      </c>
      <c r="AW63" s="52"/>
      <c r="AX63" s="55">
        <f>+AX61/'P&amp;L'!AY43</f>
        <v>0</v>
      </c>
      <c r="AY63" s="55">
        <f>+AY61/'P&amp;L'!AZ43</f>
        <v>0</v>
      </c>
      <c r="AZ63" s="55">
        <f>+AZ61/'P&amp;L'!BA43</f>
        <v>0</v>
      </c>
      <c r="BA63" s="55">
        <f>+BA61/'P&amp;L'!BB43</f>
        <v>0</v>
      </c>
      <c r="BB63" s="55">
        <f>+BB61/'P&amp;L'!BC43</f>
        <v>0</v>
      </c>
      <c r="BC63" s="52"/>
      <c r="BD63" s="55">
        <f>+BD61/'P&amp;L'!BE43</f>
        <v>0</v>
      </c>
      <c r="BE63" s="55">
        <f>+BE61/'P&amp;L'!BF43</f>
        <v>0</v>
      </c>
      <c r="BF63" s="55">
        <f>+BF61/'P&amp;L'!BG43</f>
        <v>0</v>
      </c>
      <c r="BG63" s="55">
        <f>+BG61/'P&amp;L'!BH43</f>
        <v>0</v>
      </c>
      <c r="BH63" s="55">
        <f>+BH61/'P&amp;L'!BI43</f>
        <v>0</v>
      </c>
      <c r="BI63" s="52"/>
      <c r="BJ63" s="55">
        <f>+BJ61/'P&amp;L'!BK43</f>
        <v>0</v>
      </c>
      <c r="BK63" s="55">
        <f>+BK61/'P&amp;L'!BL43</f>
        <v>0</v>
      </c>
      <c r="BL63" s="55">
        <f>+BL61/'P&amp;L'!BM43</f>
        <v>0</v>
      </c>
      <c r="BM63" s="55">
        <f>+BM61/'P&amp;L'!BN43</f>
        <v>0</v>
      </c>
      <c r="BN63" s="55">
        <f>+BN61/'P&amp;L'!BO43</f>
        <v>0</v>
      </c>
      <c r="BO63" s="52"/>
      <c r="BP63" s="55">
        <f>+BP61/'P&amp;L'!BQ43</f>
        <v>0</v>
      </c>
      <c r="BQ63" s="55">
        <f>+BQ61/'P&amp;L'!BR43</f>
        <v>0</v>
      </c>
      <c r="BR63" s="55">
        <f>+BR61/'P&amp;L'!BS43</f>
        <v>0</v>
      </c>
      <c r="BS63" s="55">
        <f>+BS61/'P&amp;L'!BT43</f>
        <v>0</v>
      </c>
      <c r="BT63" s="55">
        <f>+BT61/'P&amp;L'!BU43</f>
        <v>0</v>
      </c>
      <c r="BU63" s="52"/>
      <c r="BV63" s="55">
        <f>+BV61/'P&amp;L'!BW43</f>
        <v>0</v>
      </c>
      <c r="BW63" s="55">
        <f>+BW61/'P&amp;L'!BX43</f>
        <v>0</v>
      </c>
      <c r="BX63" s="55">
        <f>+BX61/'P&amp;L'!BY43</f>
        <v>0</v>
      </c>
      <c r="BY63" s="55">
        <f>+BY61/'P&amp;L'!BZ43</f>
        <v>0</v>
      </c>
      <c r="BZ63" s="55">
        <f>+BZ61/'P&amp;L'!CA43</f>
        <v>0</v>
      </c>
      <c r="CA63" s="52"/>
      <c r="CB63" s="55">
        <f>+CB61/'P&amp;L'!CC43</f>
        <v>0</v>
      </c>
      <c r="CC63" s="55">
        <f>+CC61/'P&amp;L'!CD43</f>
        <v>0</v>
      </c>
      <c r="CD63" s="55">
        <f>+CD61/'P&amp;L'!CE43</f>
        <v>0</v>
      </c>
      <c r="CE63" s="55">
        <f>+CE61/'P&amp;L'!CF43</f>
        <v>0</v>
      </c>
      <c r="CF63" s="55">
        <f>+CF61/'P&amp;L'!CG43</f>
        <v>0</v>
      </c>
      <c r="CG63" s="55"/>
    </row>
    <row r="64" spans="1:92" ht="12.75" hidden="1" customHeight="1" outlineLevel="1" x14ac:dyDescent="0.2">
      <c r="A64" s="2"/>
      <c r="G64" s="73"/>
      <c r="M64" s="73"/>
      <c r="S64" s="73"/>
      <c r="Y64" s="114"/>
      <c r="Z64" s="42"/>
      <c r="AB64" s="42"/>
      <c r="AC64" s="42"/>
      <c r="AD64" s="42"/>
      <c r="AE64" s="114"/>
      <c r="AF64" s="42"/>
      <c r="AH64" s="42"/>
      <c r="AI64" s="42"/>
      <c r="AJ64" s="42"/>
      <c r="AK64" s="114"/>
      <c r="AL64" s="42"/>
      <c r="AM64" s="42"/>
      <c r="AN64" s="42"/>
      <c r="AO64" s="42"/>
      <c r="AP64" s="42"/>
      <c r="AQ64" s="114"/>
      <c r="AR64" s="42"/>
      <c r="AS64" s="42"/>
      <c r="AT64" s="42"/>
      <c r="AU64" s="42"/>
      <c r="AV64" s="42"/>
      <c r="AW64" s="114"/>
      <c r="AX64" s="42"/>
      <c r="AY64" s="42"/>
      <c r="AZ64" s="42"/>
      <c r="BA64" s="42"/>
      <c r="BB64" s="42"/>
      <c r="BC64" s="114"/>
      <c r="BD64" s="42"/>
      <c r="BE64" s="42"/>
      <c r="BF64" s="42"/>
      <c r="BG64" s="42"/>
      <c r="BH64" s="42"/>
      <c r="BI64" s="114"/>
      <c r="BJ64" s="42"/>
      <c r="BK64" s="42"/>
      <c r="BL64" s="42"/>
      <c r="BM64" s="42"/>
      <c r="BN64" s="42"/>
      <c r="BO64" s="114"/>
      <c r="BP64" s="42"/>
      <c r="BQ64" s="42"/>
      <c r="BR64" s="42"/>
      <c r="BS64" s="42"/>
      <c r="BT64" s="42"/>
      <c r="BU64" s="114"/>
      <c r="BV64" s="42"/>
      <c r="BW64" s="42"/>
      <c r="BX64" s="42"/>
      <c r="BY64" s="42"/>
      <c r="BZ64" s="42"/>
      <c r="CA64" s="114"/>
      <c r="CB64" s="42"/>
      <c r="CC64" s="42"/>
      <c r="CD64" s="42"/>
      <c r="CE64" s="42"/>
      <c r="CF64" s="42"/>
      <c r="CG64" s="42"/>
    </row>
    <row r="65" spans="1:85" ht="12.75" hidden="1" customHeight="1" outlineLevel="1" x14ac:dyDescent="0.2">
      <c r="A65" s="94" t="s">
        <v>313</v>
      </c>
      <c r="B65" s="42"/>
      <c r="C65" s="42"/>
      <c r="D65" s="42"/>
      <c r="E65" s="42"/>
      <c r="F65" s="42"/>
      <c r="G65" s="173"/>
      <c r="H65" s="42"/>
      <c r="I65" s="42"/>
      <c r="J65" s="42"/>
      <c r="K65" s="42"/>
      <c r="L65" s="42"/>
      <c r="M65" s="173"/>
      <c r="N65" s="42"/>
      <c r="O65" s="42"/>
      <c r="P65" s="42"/>
      <c r="Q65" s="42"/>
      <c r="R65" s="42"/>
      <c r="S65" s="173"/>
      <c r="T65" s="42"/>
      <c r="U65" s="42"/>
      <c r="V65" s="42"/>
      <c r="W65" s="42"/>
      <c r="X65" s="42"/>
      <c r="Y65" s="114"/>
      <c r="Z65" s="42"/>
      <c r="AA65" s="42"/>
      <c r="AB65" s="42"/>
      <c r="AC65" s="42"/>
      <c r="AD65" s="42"/>
      <c r="AE65" s="114"/>
      <c r="AF65" s="42"/>
      <c r="AG65" s="42"/>
      <c r="AH65" s="42"/>
      <c r="AI65" s="42"/>
      <c r="AJ65" s="42"/>
      <c r="AK65" s="114"/>
      <c r="AL65" s="42"/>
      <c r="AM65" s="42"/>
      <c r="AN65" s="42"/>
      <c r="AO65" s="42"/>
      <c r="AP65" s="42"/>
      <c r="AQ65" s="114"/>
      <c r="AR65" s="42"/>
      <c r="AS65" s="309"/>
      <c r="AT65" s="42"/>
      <c r="AU65" s="42"/>
      <c r="AV65" s="42"/>
      <c r="AW65" s="114"/>
      <c r="AX65" s="42"/>
      <c r="AY65" s="42"/>
      <c r="BB65" s="42"/>
      <c r="BC65" s="114"/>
      <c r="BD65" s="42"/>
      <c r="BE65" s="42"/>
      <c r="BF65" s="42"/>
      <c r="BG65" s="42"/>
      <c r="BH65" s="42"/>
      <c r="BI65" s="114"/>
      <c r="BJ65" s="42"/>
      <c r="BK65" s="42"/>
      <c r="BL65" s="42"/>
      <c r="BM65" s="42"/>
      <c r="BN65" s="42"/>
      <c r="BO65" s="114"/>
      <c r="BP65" s="42"/>
      <c r="BQ65" s="42"/>
      <c r="BR65" s="42"/>
      <c r="BS65" s="42"/>
      <c r="BT65" s="42"/>
      <c r="BU65" s="114"/>
      <c r="BV65" s="42"/>
      <c r="BW65" s="42"/>
      <c r="BX65" s="42"/>
      <c r="BY65" s="42"/>
      <c r="BZ65" s="42"/>
      <c r="CA65" s="114"/>
      <c r="CB65" s="42"/>
      <c r="CC65" s="42"/>
      <c r="CD65" s="42"/>
      <c r="CE65" s="42"/>
      <c r="CF65" s="42"/>
      <c r="CG65" s="42"/>
    </row>
    <row r="66" spans="1:85" ht="12.75" hidden="1" customHeight="1" outlineLevel="1" x14ac:dyDescent="0.2">
      <c r="A66" s="79"/>
      <c r="B66" s="42"/>
      <c r="C66" s="42"/>
      <c r="D66" s="42"/>
      <c r="E66" s="42"/>
      <c r="F66" s="42"/>
      <c r="G66" s="173"/>
      <c r="H66" s="42"/>
      <c r="I66" s="42"/>
      <c r="J66" s="42"/>
      <c r="K66" s="42"/>
      <c r="L66" s="42"/>
      <c r="M66" s="173"/>
      <c r="N66" s="42"/>
      <c r="O66" s="42"/>
      <c r="P66" s="42"/>
      <c r="Q66" s="42"/>
      <c r="R66" s="42"/>
      <c r="S66" s="173"/>
      <c r="T66" s="42"/>
      <c r="U66" s="42"/>
      <c r="V66" s="42"/>
      <c r="W66" s="42"/>
      <c r="X66" s="42"/>
      <c r="Y66" s="114"/>
      <c r="Z66" s="42"/>
      <c r="AA66" s="42"/>
      <c r="AB66" s="42"/>
      <c r="AC66" s="42"/>
      <c r="AD66" s="42"/>
      <c r="AE66" s="114"/>
      <c r="AF66" s="42"/>
      <c r="AG66" s="42"/>
      <c r="AH66" s="42"/>
      <c r="AI66" s="42"/>
      <c r="AJ66" s="42"/>
      <c r="AK66" s="114"/>
      <c r="AL66" s="42"/>
      <c r="AM66" s="42"/>
      <c r="AN66" s="42"/>
      <c r="AO66" s="42"/>
      <c r="AP66" s="42"/>
      <c r="AQ66" s="114"/>
      <c r="AR66" s="42"/>
      <c r="AS66" s="42"/>
      <c r="AT66" s="42"/>
      <c r="AU66" s="828"/>
      <c r="AV66" s="702"/>
      <c r="AW66" s="114"/>
      <c r="AX66" s="702"/>
      <c r="AY66" s="42"/>
      <c r="AZ66" s="42"/>
      <c r="BA66" s="828"/>
      <c r="BB66" s="42"/>
      <c r="BC66" s="114"/>
      <c r="BD66" s="42"/>
      <c r="BE66" s="42"/>
      <c r="BF66" s="42"/>
      <c r="BG66" s="828"/>
      <c r="BH66" s="42"/>
      <c r="BI66" s="114"/>
      <c r="BJ66" s="42"/>
      <c r="BK66" s="42"/>
      <c r="BL66" s="42"/>
      <c r="BM66" s="42"/>
      <c r="BN66" s="42"/>
      <c r="BO66" s="114"/>
      <c r="BP66" s="42"/>
      <c r="BQ66" s="42"/>
      <c r="BR66" s="42"/>
      <c r="BS66" s="42"/>
      <c r="BT66" s="42"/>
      <c r="BU66" s="114"/>
      <c r="BV66" s="42"/>
      <c r="BW66" s="42"/>
      <c r="BX66" s="42"/>
      <c r="BY66" s="42"/>
      <c r="BZ66" s="42"/>
      <c r="CA66" s="114"/>
      <c r="CB66" s="42"/>
      <c r="CC66" s="42"/>
      <c r="CD66" s="42"/>
      <c r="CE66" s="42"/>
      <c r="CF66" s="42"/>
      <c r="CG66" s="42"/>
    </row>
    <row r="67" spans="1:85" ht="12.75" hidden="1" customHeight="1" outlineLevel="1" x14ac:dyDescent="0.2">
      <c r="A67" s="79" t="s">
        <v>373</v>
      </c>
      <c r="B67" s="89">
        <v>9.1780000000000008</v>
      </c>
      <c r="C67" s="87">
        <f>+B71</f>
        <v>9.5210000000000008</v>
      </c>
      <c r="D67" s="87">
        <f>+C71</f>
        <v>8.2010000000000005</v>
      </c>
      <c r="E67" s="87">
        <f>+D71</f>
        <v>7.0280000000000014</v>
      </c>
      <c r="F67" s="87">
        <f>+B67</f>
        <v>9.1780000000000008</v>
      </c>
      <c r="G67" s="109"/>
      <c r="H67" s="87">
        <f>+F71</f>
        <v>7.133</v>
      </c>
      <c r="I67" s="87">
        <f>+H71</f>
        <v>8.125</v>
      </c>
      <c r="J67" s="87">
        <f>+I71</f>
        <v>8.0559999999999992</v>
      </c>
      <c r="K67" s="87">
        <f>+J71</f>
        <v>7.8019999999999987</v>
      </c>
      <c r="L67" s="87">
        <f>+H67</f>
        <v>7.133</v>
      </c>
      <c r="M67" s="109"/>
      <c r="N67" s="87">
        <f>+L71</f>
        <v>7.3090000000000002</v>
      </c>
      <c r="O67" s="87">
        <f>+N71</f>
        <v>7.9819999999999993</v>
      </c>
      <c r="P67" s="87">
        <f>+O71</f>
        <v>7.831999999999999</v>
      </c>
      <c r="Q67" s="87">
        <f>+P71</f>
        <v>7.698999999999999</v>
      </c>
      <c r="R67" s="87">
        <f>+N67</f>
        <v>7.3090000000000002</v>
      </c>
      <c r="S67" s="109"/>
      <c r="T67" s="87">
        <f>+R71</f>
        <v>7.4879999999999995</v>
      </c>
      <c r="U67" s="87">
        <f>+T71</f>
        <v>8.0169999999999995</v>
      </c>
      <c r="V67" s="87">
        <f>+U71</f>
        <v>7.996999999999999</v>
      </c>
      <c r="W67" s="87">
        <f>+V71</f>
        <v>7.8969999999999985</v>
      </c>
      <c r="X67" s="87">
        <f>+T67</f>
        <v>7.4879999999999995</v>
      </c>
      <c r="Y67" s="114"/>
      <c r="Z67" s="87">
        <f>+X71</f>
        <v>7.8149999999999986</v>
      </c>
      <c r="AA67" s="87">
        <f>+Z71</f>
        <v>7.8419999999999996</v>
      </c>
      <c r="AB67" s="87">
        <f>+AA71</f>
        <v>8.3239999999999998</v>
      </c>
      <c r="AC67" s="87">
        <f>+AB71</f>
        <v>6.4381899999999996</v>
      </c>
      <c r="AD67" s="87">
        <f>+Z67</f>
        <v>7.8149999999999986</v>
      </c>
      <c r="AE67" s="114"/>
      <c r="AF67" s="87">
        <f>+AD71</f>
        <v>6.1539350249999982</v>
      </c>
      <c r="AG67" s="87">
        <f>+AF71</f>
        <v>5.4409350249999981</v>
      </c>
      <c r="AH67" s="87">
        <f>+AG71</f>
        <v>6.6629350249999977</v>
      </c>
      <c r="AI67" s="87">
        <f>+AH71</f>
        <v>4.8150276874374978</v>
      </c>
      <c r="AJ67" s="87">
        <f>+AF67</f>
        <v>6.1539350249999982</v>
      </c>
      <c r="AK67" s="114"/>
      <c r="AL67" s="87">
        <f>+AJ71</f>
        <v>4.6294262338470293</v>
      </c>
      <c r="AM67" s="87">
        <f>+AL71</f>
        <v>4.5021170124162362</v>
      </c>
      <c r="AN67" s="87">
        <f>+AM71</f>
        <v>6.0658087945747896</v>
      </c>
      <c r="AO67" s="87">
        <f>+AN71</f>
        <v>3.2286773753009577</v>
      </c>
      <c r="AP67" s="87">
        <f>+AL67</f>
        <v>4.6294262338470293</v>
      </c>
      <c r="AQ67" s="114"/>
      <c r="AR67" s="87">
        <f>2.044+1.321</f>
        <v>3.3650000000000002</v>
      </c>
      <c r="AS67" s="87">
        <f>+AR71</f>
        <v>3.2670000000000003</v>
      </c>
      <c r="AT67" s="87">
        <f>+AS71</f>
        <v>3.1010000000000004</v>
      </c>
      <c r="AU67" s="87">
        <f>+AT71</f>
        <v>2.9380000000000002</v>
      </c>
      <c r="AV67" s="87">
        <f>+AR67</f>
        <v>3.3650000000000002</v>
      </c>
      <c r="AW67" s="114"/>
      <c r="AX67" s="87">
        <f>+AV71</f>
        <v>2.7920000000000003</v>
      </c>
      <c r="AY67" s="87">
        <f>+AX71</f>
        <v>2.8570000000000007</v>
      </c>
      <c r="AZ67" s="87">
        <f>+AY71</f>
        <v>2.8570000000000011</v>
      </c>
      <c r="BA67" s="87">
        <f>+AZ71</f>
        <v>2.757000000000001</v>
      </c>
      <c r="BB67" s="87">
        <f>+AX67</f>
        <v>2.7920000000000003</v>
      </c>
      <c r="BC67" s="114"/>
      <c r="BD67" s="87">
        <f>+BB71</f>
        <v>2.5750000000000002</v>
      </c>
      <c r="BE67" s="87">
        <f>+BD71</f>
        <v>2.3959999999999999</v>
      </c>
      <c r="BF67" s="87">
        <f>+BE71</f>
        <v>2.2839999999999998</v>
      </c>
      <c r="BG67" s="87">
        <f>+BF71</f>
        <v>2.1399999999999997</v>
      </c>
      <c r="BH67" s="87">
        <f>+BD67</f>
        <v>2.5750000000000002</v>
      </c>
      <c r="BI67" s="114"/>
      <c r="BJ67" s="87">
        <f>+BH71</f>
        <v>2.0110000000000001</v>
      </c>
      <c r="BK67" s="87">
        <f>+BJ71</f>
        <v>1.5880000000000003</v>
      </c>
      <c r="BL67" s="87">
        <f>+BK71</f>
        <v>1.5210000000000001</v>
      </c>
      <c r="BM67" s="87">
        <f>+BL71</f>
        <v>1.4970000000000003</v>
      </c>
      <c r="BN67" s="87">
        <f>+BJ67</f>
        <v>2.0110000000000001</v>
      </c>
      <c r="BO67" s="114"/>
      <c r="BP67" s="87">
        <f>+BN71</f>
        <v>1.4160000000000001</v>
      </c>
      <c r="BQ67" s="87">
        <f>+BP71</f>
        <v>1.8408099999999998</v>
      </c>
      <c r="BR67" s="87">
        <f>+BQ71</f>
        <v>1.8539377249999998</v>
      </c>
      <c r="BS67" s="87">
        <f>+BR71</f>
        <v>1.8454544375624997</v>
      </c>
      <c r="BT67" s="87">
        <f>+BP67</f>
        <v>1.4160000000000001</v>
      </c>
      <c r="BU67" s="114"/>
      <c r="BV67" s="87">
        <f>+BT71</f>
        <v>1.8334544405295312</v>
      </c>
      <c r="BW67" s="87">
        <f>+BV71</f>
        <v>2.3627219434149689</v>
      </c>
      <c r="BX67" s="87">
        <f>+BW71</f>
        <v>2.3774345899710569</v>
      </c>
      <c r="BY67" s="87">
        <f>+BX71</f>
        <v>2.3651801387468532</v>
      </c>
      <c r="BZ67" s="87">
        <f>+BV67</f>
        <v>1.8334544405295312</v>
      </c>
      <c r="CA67" s="114"/>
      <c r="CB67" s="87">
        <f>+BZ71</f>
        <v>2.3485751849313155</v>
      </c>
      <c r="CC67" s="87">
        <f>+CB71</f>
        <v>3.0085987423457046</v>
      </c>
      <c r="CD67" s="87">
        <f>+CC71</f>
        <v>3.0254716519311979</v>
      </c>
      <c r="CE67" s="87">
        <f>+CD71</f>
        <v>3.0086774315030897</v>
      </c>
      <c r="CF67" s="87">
        <f>+CB67</f>
        <v>2.3485751849313155</v>
      </c>
      <c r="CG67" s="87"/>
    </row>
    <row r="68" spans="1:85" ht="12.75" hidden="1" customHeight="1" outlineLevel="1" x14ac:dyDescent="0.2">
      <c r="A68" s="131" t="s">
        <v>314</v>
      </c>
      <c r="B68" s="89">
        <v>1.0129999999999999</v>
      </c>
      <c r="C68" s="89">
        <f>1.084-B68</f>
        <v>7.1000000000000174E-2</v>
      </c>
      <c r="D68" s="89">
        <f>1.145-SUM(B68:C68)</f>
        <v>6.0999999999999943E-2</v>
      </c>
      <c r="E68" s="89">
        <f>1.517-SUM(B68:D68)</f>
        <v>0.37199999999999989</v>
      </c>
      <c r="F68" s="87">
        <f>+SUM(B68:E68)</f>
        <v>1.5169999999999999</v>
      </c>
      <c r="G68" s="109"/>
      <c r="H68" s="89">
        <v>1.8120000000000001</v>
      </c>
      <c r="I68" s="89">
        <f>2.021-H68</f>
        <v>0.20899999999999985</v>
      </c>
      <c r="J68" s="89">
        <f>2.104-SUM(H68:I68)</f>
        <v>8.3000000000000185E-2</v>
      </c>
      <c r="K68" s="89">
        <f>2.182-SUM(H68:J68)</f>
        <v>7.7999999999999847E-2</v>
      </c>
      <c r="L68" s="87">
        <f>+SUM(H68:K68)</f>
        <v>2.1819999999999999</v>
      </c>
      <c r="M68" s="109"/>
      <c r="N68" s="89">
        <v>0.94</v>
      </c>
      <c r="O68" s="89">
        <f>1.03-N68</f>
        <v>9.000000000000008E-2</v>
      </c>
      <c r="P68" s="89">
        <f>1.088-SUM(N68:O68)</f>
        <v>5.8000000000000052E-2</v>
      </c>
      <c r="Q68" s="89">
        <f>1.134-SUM(N68:P68)</f>
        <v>4.5999999999999819E-2</v>
      </c>
      <c r="R68" s="87">
        <f>+SUM(N68:Q68)</f>
        <v>1.1339999999999999</v>
      </c>
      <c r="S68" s="109"/>
      <c r="T68" s="89">
        <v>1.2210000000000001</v>
      </c>
      <c r="U68" s="89">
        <f>1.35-T68</f>
        <v>0.129</v>
      </c>
      <c r="V68" s="89">
        <f>1.458-SUM(T68:U68)</f>
        <v>0.10799999999999987</v>
      </c>
      <c r="W68" s="89">
        <f>1.501-SUM(T68:V68)</f>
        <v>4.2999999999999927E-2</v>
      </c>
      <c r="X68" s="87">
        <f>+SUM(T68:W68)</f>
        <v>1.5009999999999999</v>
      </c>
      <c r="Y68" s="114"/>
      <c r="Z68" s="89">
        <v>0.26300000000000001</v>
      </c>
      <c r="AA68" s="89">
        <f>1.35-Z68</f>
        <v>1.0870000000000002</v>
      </c>
      <c r="AB68" s="89">
        <f>+V68*(1+AB77)</f>
        <v>0.13499999999999984</v>
      </c>
      <c r="AC68" s="87">
        <f>+W68*(1+AC77)</f>
        <v>5.3749999999999909E-2</v>
      </c>
      <c r="AD68" s="87">
        <f>+SUM(Z68:AC68)</f>
        <v>1.5387499999999998</v>
      </c>
      <c r="AE68" s="114"/>
      <c r="AF68" s="89">
        <v>0</v>
      </c>
      <c r="AG68" s="89">
        <f>1.35-AF68</f>
        <v>1.35</v>
      </c>
      <c r="AH68" s="89">
        <f>+AB68*(1+AH77)</f>
        <v>0.16874999999999979</v>
      </c>
      <c r="AI68" s="87">
        <f>+AC68*(1+AI77)</f>
        <v>6.7187499999999886E-2</v>
      </c>
      <c r="AJ68" s="87">
        <f>+SUM(AF68:AI68)</f>
        <v>1.5859374999999998</v>
      </c>
      <c r="AK68" s="114"/>
      <c r="AL68" s="87">
        <f>+AF68*(1+AL77)</f>
        <v>0</v>
      </c>
      <c r="AM68" s="87">
        <f>+AG68*(1+AM77)</f>
        <v>1.6875</v>
      </c>
      <c r="AN68" s="87">
        <f>+AH68*(1+AN77)</f>
        <v>0.21093749999999972</v>
      </c>
      <c r="AO68" s="87">
        <f>+AI68*(1+AO77)</f>
        <v>8.3984374999999861E-2</v>
      </c>
      <c r="AP68" s="87">
        <v>0</v>
      </c>
      <c r="AQ68" s="114"/>
      <c r="AR68" s="640">
        <v>0.89400000000000002</v>
      </c>
      <c r="AS68" s="640">
        <f>0.943-AR68</f>
        <v>4.8999999999999932E-2</v>
      </c>
      <c r="AT68" s="640">
        <f>0.958-AS68-AR68</f>
        <v>1.5000000000000013E-2</v>
      </c>
      <c r="AU68" s="640">
        <f>0.981-SUM(AR68:AT68)</f>
        <v>2.300000000000002E-2</v>
      </c>
      <c r="AV68" s="87">
        <f>+SUM(AR68:AU68)</f>
        <v>0.98099999999999998</v>
      </c>
      <c r="AW68" s="114"/>
      <c r="AX68" s="640">
        <f>0+0.621</f>
        <v>0.621</v>
      </c>
      <c r="AY68" s="640">
        <f>0+0.806-AX68</f>
        <v>0.18500000000000005</v>
      </c>
      <c r="AZ68" s="640">
        <f>0+0.835-SUM(AX68:AY68)</f>
        <v>2.8999999999999915E-2</v>
      </c>
      <c r="BA68" s="640">
        <f>0+0.843-SUM(AX68:AZ68)</f>
        <v>8.0000000000000071E-3</v>
      </c>
      <c r="BB68" s="87">
        <f>+SUM(AX68:BA68)</f>
        <v>0.84299999999999997</v>
      </c>
      <c r="BC68" s="114"/>
      <c r="BD68" s="640">
        <f>0+0.558</f>
        <v>0.55800000000000005</v>
      </c>
      <c r="BE68" s="640">
        <f>0+0.65-BD68</f>
        <v>9.1999999999999971E-2</v>
      </c>
      <c r="BF68" s="640">
        <f>0+0.683-SUM(BD68:BE68)</f>
        <v>3.3000000000000029E-2</v>
      </c>
      <c r="BG68" s="640">
        <f>0+0.714-SUM(BD68:BF68)</f>
        <v>3.0999999999999917E-2</v>
      </c>
      <c r="BH68" s="87">
        <f>+SUM(BD68:BG68)</f>
        <v>0.71399999999999997</v>
      </c>
      <c r="BI68" s="114"/>
      <c r="BJ68" s="640">
        <f>0+0.371</f>
        <v>0.371</v>
      </c>
      <c r="BK68" s="640">
        <f>0+0.422-BJ68</f>
        <v>5.099999999999999E-2</v>
      </c>
      <c r="BL68" s="640">
        <f>0+0.456-SUM(BJ68:BK68)</f>
        <v>3.400000000000003E-2</v>
      </c>
      <c r="BM68" s="640">
        <f>0+0.487-SUM(BJ68:BL68)</f>
        <v>3.0999999999999972E-2</v>
      </c>
      <c r="BN68" s="87">
        <f>+SUM(BJ68:BM68)</f>
        <v>0.48699999999999999</v>
      </c>
      <c r="BO68" s="114"/>
      <c r="BP68" s="87">
        <f>+BJ68*(1+BP77)</f>
        <v>0.46375</v>
      </c>
      <c r="BQ68" s="87">
        <f>+BK68*(1+BQ77)</f>
        <v>6.3749999999999987E-2</v>
      </c>
      <c r="BR68" s="87">
        <f>+BL68*(1+BR77)</f>
        <v>4.2500000000000038E-2</v>
      </c>
      <c r="BS68" s="87">
        <f>+BM68*(1+BS77)</f>
        <v>3.8749999999999965E-2</v>
      </c>
      <c r="BT68" s="87">
        <f>+SUM(BP68:BS68)</f>
        <v>0.60875000000000001</v>
      </c>
      <c r="BU68" s="114"/>
      <c r="BV68" s="87">
        <f>+BP68*(1+BV77)</f>
        <v>0.57968750000000002</v>
      </c>
      <c r="BW68" s="87">
        <f>+BQ68*(1+BW77)</f>
        <v>7.9687499999999981E-2</v>
      </c>
      <c r="BX68" s="87">
        <f>+BR68*(1+BX77)</f>
        <v>5.3125000000000047E-2</v>
      </c>
      <c r="BY68" s="87">
        <f>+BS68*(1+BY77)</f>
        <v>4.8437499999999953E-2</v>
      </c>
      <c r="BZ68" s="87">
        <f>+SUM(BV68:BY68)</f>
        <v>0.76093750000000004</v>
      </c>
      <c r="CA68" s="114"/>
      <c r="CB68" s="87">
        <f>+BV68*(1+CB77)</f>
        <v>0.724609375</v>
      </c>
      <c r="CC68" s="87">
        <f>+BW68*(1+CC77)</f>
        <v>9.9609374999999972E-2</v>
      </c>
      <c r="CD68" s="87">
        <f>+BX68*(1+CD77)</f>
        <v>6.6406250000000056E-2</v>
      </c>
      <c r="CE68" s="87">
        <f>+BY68*(1+CE77)</f>
        <v>6.0546874999999944E-2</v>
      </c>
      <c r="CF68" s="87">
        <f>+SUM(CB68:CE68)</f>
        <v>0.951171875</v>
      </c>
      <c r="CG68" s="87"/>
    </row>
    <row r="69" spans="1:85" ht="12.75" hidden="1" customHeight="1" outlineLevel="1" x14ac:dyDescent="0.2">
      <c r="A69" s="131" t="s">
        <v>122</v>
      </c>
      <c r="B69" s="89">
        <v>-0.63900000000000001</v>
      </c>
      <c r="C69" s="89">
        <f>-1.96-B69</f>
        <v>-1.321</v>
      </c>
      <c r="D69" s="89">
        <f>-2.913-SUM(B69:C69)</f>
        <v>-0.95299999999999985</v>
      </c>
      <c r="E69" s="89">
        <f>-3.048-SUM(B69:D69)</f>
        <v>-0.13500000000000023</v>
      </c>
      <c r="F69" s="87">
        <f>+SUM(B69:E69)</f>
        <v>-3.048</v>
      </c>
      <c r="G69" s="178"/>
      <c r="H69" s="89">
        <v>-0.53900000000000003</v>
      </c>
      <c r="I69" s="89">
        <f>-0.709-H69</f>
        <v>-0.16999999999999993</v>
      </c>
      <c r="J69" s="89">
        <f>-0.82-SUM(H69:I69)</f>
        <v>-0.11099999999999999</v>
      </c>
      <c r="K69" s="89">
        <f>-1.094-SUM(H69:J69)</f>
        <v>-0.27400000000000013</v>
      </c>
      <c r="L69" s="87">
        <f>+SUM(H69:K69)</f>
        <v>-1.0940000000000001</v>
      </c>
      <c r="M69" s="178"/>
      <c r="N69" s="89">
        <v>-0.13300000000000001</v>
      </c>
      <c r="O69" s="89">
        <f>-0.274-N69</f>
        <v>-0.14100000000000001</v>
      </c>
      <c r="P69" s="89">
        <f>-0.389-SUM(N69:O69)</f>
        <v>-0.11499999999999999</v>
      </c>
      <c r="Q69" s="89">
        <f>-0.586-SUM(N69:P69)</f>
        <v>-0.19699999999999995</v>
      </c>
      <c r="R69" s="87">
        <f>+SUM(N69:Q69)</f>
        <v>-0.58599999999999997</v>
      </c>
      <c r="S69" s="178"/>
      <c r="T69" s="89">
        <v>-0.56000000000000005</v>
      </c>
      <c r="U69" s="89">
        <f>-0.672-T69</f>
        <v>-0.11199999999999999</v>
      </c>
      <c r="V69" s="89">
        <f>-0.806-SUM(T69:U69)</f>
        <v>-0.13400000000000001</v>
      </c>
      <c r="W69" s="89">
        <f>-0.913-SUM(T69:V69)</f>
        <v>-0.10699999999999998</v>
      </c>
      <c r="X69" s="87">
        <f>+SUM(T69:W69)</f>
        <v>-0.91300000000000003</v>
      </c>
      <c r="Y69" s="114"/>
      <c r="Z69" s="89">
        <v>-0.218</v>
      </c>
      <c r="AA69" s="89">
        <f>-0.672-Z69</f>
        <v>-0.45400000000000007</v>
      </c>
      <c r="AB69" s="89">
        <v>-2</v>
      </c>
      <c r="AC69" s="87">
        <f>-AC67*AC75/4</f>
        <v>-0.32190950000000002</v>
      </c>
      <c r="AD69" s="87">
        <f>+SUM(Z69:AC69)</f>
        <v>-2.9939095</v>
      </c>
      <c r="AE69" s="114"/>
      <c r="AF69" s="89">
        <v>-0.69599999999999995</v>
      </c>
      <c r="AG69" s="89">
        <f>-0.672-AF69</f>
        <v>2.399999999999991E-2</v>
      </c>
      <c r="AH69" s="89">
        <v>-2</v>
      </c>
      <c r="AI69" s="87">
        <f>-AI67*AI75/4</f>
        <v>-0.2407513843718749</v>
      </c>
      <c r="AJ69" s="87">
        <f>+SUM(AF69:AI69)</f>
        <v>-2.9127513843718749</v>
      </c>
      <c r="AK69" s="114"/>
      <c r="AL69" s="87">
        <f>-AL67*AL75/4</f>
        <v>-0.11573565584617573</v>
      </c>
      <c r="AM69" s="87">
        <f>-AM67*AM75/4</f>
        <v>-0.11255292531040591</v>
      </c>
      <c r="AN69" s="87">
        <f>-AN67*AN75/4</f>
        <v>-3.0329043972873948</v>
      </c>
      <c r="AO69" s="87">
        <f>-AO67*AO75/4</f>
        <v>-0.16143386876504789</v>
      </c>
      <c r="AP69" s="87">
        <f>+SUM(AL69:AO69)</f>
        <v>-3.4226268472090244</v>
      </c>
      <c r="AQ69" s="114"/>
      <c r="AR69" s="640">
        <f>-0.472-0.47</f>
        <v>-0.94199999999999995</v>
      </c>
      <c r="AS69" s="640">
        <f>-0.514-0.58-AR69</f>
        <v>-0.15199999999999991</v>
      </c>
      <c r="AT69" s="640">
        <f>-0.598-0.639-AS69-AR69</f>
        <v>-0.14300000000000024</v>
      </c>
      <c r="AU69" s="640">
        <f>-0.648-0.728-SUM(AR69:AT69)</f>
        <v>-0.13899999999999979</v>
      </c>
      <c r="AV69" s="87">
        <f>+SUM(AR69:AU69)</f>
        <v>-1.3759999999999999</v>
      </c>
      <c r="AW69" s="114"/>
      <c r="AX69" s="640">
        <f>-0.028-0.498</f>
        <v>-0.52600000000000002</v>
      </c>
      <c r="AY69" s="640">
        <f>-0.112-0.585-AX69</f>
        <v>-0.17099999999999993</v>
      </c>
      <c r="AZ69" s="640">
        <f>-0.129-0.661-SUM(AX69:AY69)</f>
        <v>-9.3000000000000083E-2</v>
      </c>
      <c r="BA69" s="640">
        <f>-0.172-0.781-SUM(AX69:AZ69)</f>
        <v>-0.16300000000000003</v>
      </c>
      <c r="BB69" s="87">
        <f>+SUM(AX69:BA69)</f>
        <v>-0.95300000000000007</v>
      </c>
      <c r="BC69" s="114"/>
      <c r="BD69" s="640">
        <f>-0.03-0.646</f>
        <v>-0.67600000000000005</v>
      </c>
      <c r="BE69" s="640">
        <f>-0.13-0.715-BD69</f>
        <v>-0.16899999999999993</v>
      </c>
      <c r="BF69" s="640">
        <f>-0.224-0.774-SUM(BD69:BE69)</f>
        <v>-0.15300000000000002</v>
      </c>
      <c r="BG69" s="640">
        <f>-0.274-0.859-SUM(BD69:BF69)</f>
        <v>-0.13500000000000001</v>
      </c>
      <c r="BH69" s="87">
        <f>+SUM(BD69:BG69)</f>
        <v>-1.133</v>
      </c>
      <c r="BI69" s="114"/>
      <c r="BJ69" s="640">
        <f>-0.082-0.689</f>
        <v>-0.77099999999999991</v>
      </c>
      <c r="BK69" s="640">
        <f>-0.101-0.761-BJ69</f>
        <v>-9.1000000000000081E-2</v>
      </c>
      <c r="BL69" s="640">
        <f>-0.11-0.785-SUM(BJ69:BK69)</f>
        <v>-3.3000000000000029E-2</v>
      </c>
      <c r="BM69" s="640">
        <f>-0.143-0.852-SUM(BJ69:BL69)</f>
        <v>-9.9999999999999978E-2</v>
      </c>
      <c r="BN69" s="87">
        <f>+SUM(BJ69:BM69)</f>
        <v>-0.995</v>
      </c>
      <c r="BO69" s="114"/>
      <c r="BP69" s="87">
        <f>-BP67*BP75/4</f>
        <v>-3.5400000000000008E-2</v>
      </c>
      <c r="BQ69" s="87">
        <f>-BQ67*BQ75/4</f>
        <v>-4.6020249999999999E-2</v>
      </c>
      <c r="BR69" s="87">
        <f>-BR67*BR75/4</f>
        <v>-4.6348443125E-2</v>
      </c>
      <c r="BS69" s="87">
        <f>-BS67*BS75/4</f>
        <v>-4.6136360939062496E-2</v>
      </c>
      <c r="BT69" s="87">
        <f>+SUM(BP69:BS69)</f>
        <v>-0.17390505406406248</v>
      </c>
      <c r="BU69" s="114"/>
      <c r="BV69" s="87">
        <f>-BV67*BV75/4</f>
        <v>-4.5836361013238285E-2</v>
      </c>
      <c r="BW69" s="87">
        <f>-BW67*BW75/4</f>
        <v>-5.9068048585374226E-2</v>
      </c>
      <c r="BX69" s="87">
        <f>-BX67*BX75/4</f>
        <v>-5.9435864749276424E-2</v>
      </c>
      <c r="BY69" s="87">
        <f>-BY67*BY75/4</f>
        <v>-5.9129503468671331E-2</v>
      </c>
      <c r="BZ69" s="87">
        <f>+SUM(BV69:BY69)</f>
        <v>-0.22346977781656027</v>
      </c>
      <c r="CA69" s="114"/>
      <c r="CB69" s="87">
        <f>-CB67*CB75/4</f>
        <v>-5.8714379623282888E-2</v>
      </c>
      <c r="CC69" s="87">
        <f>-CC67*CC75/4</f>
        <v>-7.5214968558642625E-2</v>
      </c>
      <c r="CD69" s="87">
        <f>-CD67*CD75/4</f>
        <v>-7.5636791298279951E-2</v>
      </c>
      <c r="CE69" s="87">
        <f>-CE67*CE75/4</f>
        <v>-7.5216935787577252E-2</v>
      </c>
      <c r="CF69" s="87">
        <f>+SUM(CB69:CE69)</f>
        <v>-0.28478307526778274</v>
      </c>
      <c r="CG69" s="87"/>
    </row>
    <row r="70" spans="1:85" ht="12.75" hidden="1" customHeight="1" outlineLevel="1" x14ac:dyDescent="0.2">
      <c r="A70" s="131" t="s">
        <v>315</v>
      </c>
      <c r="B70" s="89">
        <v>-3.1E-2</v>
      </c>
      <c r="C70" s="89">
        <f>-0.101-B70</f>
        <v>-7.0000000000000007E-2</v>
      </c>
      <c r="D70" s="89">
        <f>-0.382-SUM(B70:C70)</f>
        <v>-0.28100000000000003</v>
      </c>
      <c r="E70" s="89">
        <f>-0.514-SUM(B70:D70)</f>
        <v>-0.13200000000000001</v>
      </c>
      <c r="F70" s="87">
        <f>+SUM(B70:E70)</f>
        <v>-0.51400000000000001</v>
      </c>
      <c r="G70" s="178"/>
      <c r="H70" s="89">
        <v>-0.28100000000000003</v>
      </c>
      <c r="I70" s="89">
        <f>-0.389-H70</f>
        <v>-0.10799999999999998</v>
      </c>
      <c r="J70" s="89">
        <f>-0.615-SUM(H70:I70)</f>
        <v>-0.22599999999999998</v>
      </c>
      <c r="K70" s="89">
        <f>-0.912-SUM(H70:J70)</f>
        <v>-0.29700000000000004</v>
      </c>
      <c r="L70" s="87">
        <f>+SUM(H70:K70)</f>
        <v>-0.91200000000000003</v>
      </c>
      <c r="M70" s="178"/>
      <c r="N70" s="89">
        <v>-0.13400000000000001</v>
      </c>
      <c r="O70" s="89">
        <f>-0.233-N70</f>
        <v>-9.9000000000000005E-2</v>
      </c>
      <c r="P70" s="89">
        <f>-0.309-SUM(N70:O70)</f>
        <v>-7.5999999999999984E-2</v>
      </c>
      <c r="Q70" s="89">
        <f>-0.369-SUM(N70:P70)</f>
        <v>-0.06</v>
      </c>
      <c r="R70" s="87">
        <f>+SUM(N70:Q70)</f>
        <v>-0.36899999999999999</v>
      </c>
      <c r="S70" s="178"/>
      <c r="T70" s="89">
        <v>-0.13200000000000001</v>
      </c>
      <c r="U70" s="89">
        <f>-0.169-T70</f>
        <v>-3.7000000000000005E-2</v>
      </c>
      <c r="V70" s="89">
        <f>-0.243-SUM(T70:U70)</f>
        <v>-7.3999999999999982E-2</v>
      </c>
      <c r="W70" s="89">
        <f>-0.261-SUM(T70:V70)</f>
        <v>-1.8000000000000016E-2</v>
      </c>
      <c r="X70" s="87">
        <f>+SUM(T70:W70)</f>
        <v>-0.26100000000000001</v>
      </c>
      <c r="Y70" s="114"/>
      <c r="Z70" s="89">
        <v>-1.7999999999999999E-2</v>
      </c>
      <c r="AA70" s="89">
        <f>-0.169-Z70</f>
        <v>-0.15100000000000002</v>
      </c>
      <c r="AB70" s="89">
        <f>+AB67*-AB76/4</f>
        <v>-2.0809999999999999E-2</v>
      </c>
      <c r="AC70" s="87">
        <f>+AC67*-AC76/4</f>
        <v>-1.6095474999999998E-2</v>
      </c>
      <c r="AD70" s="87">
        <f>+SUM(Z70:AC70)</f>
        <v>-0.205905475</v>
      </c>
      <c r="AE70" s="114"/>
      <c r="AF70" s="89">
        <v>-1.7000000000000001E-2</v>
      </c>
      <c r="AG70" s="89">
        <f>-0.169-AF70</f>
        <v>-0.15200000000000002</v>
      </c>
      <c r="AH70" s="89">
        <f>+AH67*-AH76/4</f>
        <v>-1.6657337562499996E-2</v>
      </c>
      <c r="AI70" s="87">
        <f>+AI67*-AI76/4</f>
        <v>-1.2037569218593745E-2</v>
      </c>
      <c r="AJ70" s="87">
        <f>+SUM(AF70:AI70)</f>
        <v>-0.19769490678109378</v>
      </c>
      <c r="AK70" s="114"/>
      <c r="AL70" s="87">
        <f>+AL67*-AL76/4</f>
        <v>-1.1573565584617574E-2</v>
      </c>
      <c r="AM70" s="87">
        <f>+AM67*-AM76/4</f>
        <v>-1.125529253104059E-2</v>
      </c>
      <c r="AN70" s="87">
        <f>+AN67*-AN76/4</f>
        <v>-1.5164521986436974E-2</v>
      </c>
      <c r="AO70" s="87">
        <f>+AO67*-AO76/4</f>
        <v>-8.071693438252394E-3</v>
      </c>
      <c r="AP70" s="87">
        <f>+SUM(AL70:AO70)</f>
        <v>-4.6065073540347529E-2</v>
      </c>
      <c r="AQ70" s="114"/>
      <c r="AR70" s="640">
        <f>-0.049-0.001</f>
        <v>-0.05</v>
      </c>
      <c r="AS70" s="640">
        <f>-0.111-0.002-AR70</f>
        <v>-6.3E-2</v>
      </c>
      <c r="AT70" s="640">
        <f>-0.144-0.004-AS70-AR70</f>
        <v>-3.4999999999999989E-2</v>
      </c>
      <c r="AU70" s="640">
        <f>-0.005-0.173-SUM(AR70:AT70)</f>
        <v>-0.03</v>
      </c>
      <c r="AV70" s="87">
        <f>+SUM(AR70:AU70)</f>
        <v>-0.17799999999999999</v>
      </c>
      <c r="AW70" s="114"/>
      <c r="AX70" s="640">
        <f>0-0.03</f>
        <v>-0.03</v>
      </c>
      <c r="AY70" s="640">
        <f>0-0.044-AX70</f>
        <v>-1.3999999999999999E-2</v>
      </c>
      <c r="AZ70" s="640">
        <f>0-0.08-SUM(AX70:AY70)</f>
        <v>-3.6000000000000004E-2</v>
      </c>
      <c r="BA70" s="640">
        <f>0-0.107-SUM(AX70:AZ70)</f>
        <v>-2.6999999999999996E-2</v>
      </c>
      <c r="BB70" s="87">
        <f>+SUM(AX70:BA70)</f>
        <v>-0.107</v>
      </c>
      <c r="BC70" s="114"/>
      <c r="BD70" s="640">
        <f>0-0.061</f>
        <v>-6.0999999999999999E-2</v>
      </c>
      <c r="BE70" s="640">
        <f>-0.096-BD70</f>
        <v>-3.5000000000000003E-2</v>
      </c>
      <c r="BF70" s="640">
        <f>0-0.12-SUM(BD70:BE70)</f>
        <v>-2.3999999999999994E-2</v>
      </c>
      <c r="BG70" s="640">
        <f>0-0.145-SUM(BD70:BF70)</f>
        <v>-2.4999999999999994E-2</v>
      </c>
      <c r="BH70" s="87">
        <f>+SUM(BD70:BG70)</f>
        <v>-0.14499999999999999</v>
      </c>
      <c r="BI70" s="114"/>
      <c r="BJ70" s="640">
        <f>-0.004-0.019</f>
        <v>-2.3E-2</v>
      </c>
      <c r="BK70" s="640">
        <f>-0.004-0.046-BJ70</f>
        <v>-2.7000000000000003E-2</v>
      </c>
      <c r="BL70" s="640">
        <f>-0.004-0.071-SUM(BJ70:BK70)</f>
        <v>-2.4999999999999994E-2</v>
      </c>
      <c r="BM70" s="640">
        <f>-0.004-0.083-SUM(BJ70:BL70)</f>
        <v>-1.2000000000000011E-2</v>
      </c>
      <c r="BN70" s="87">
        <f>+SUM(BJ70:BM70)</f>
        <v>-8.7000000000000008E-2</v>
      </c>
      <c r="BO70" s="114"/>
      <c r="BP70" s="87">
        <f>+BP67*-BP76/4</f>
        <v>-3.5400000000000006E-3</v>
      </c>
      <c r="BQ70" s="87">
        <f>+BQ67*-BQ76/4</f>
        <v>-4.602025E-3</v>
      </c>
      <c r="BR70" s="87">
        <f>+BR67*-BR76/4</f>
        <v>-4.6348443124999998E-3</v>
      </c>
      <c r="BS70" s="87">
        <f>+BS67*-BS76/4</f>
        <v>-4.613636093906249E-3</v>
      </c>
      <c r="BT70" s="87">
        <f>+SUM(BP70:BS70)</f>
        <v>-1.7390505406406249E-2</v>
      </c>
      <c r="BU70" s="114"/>
      <c r="BV70" s="87">
        <f>+BV67*-BV76/4</f>
        <v>-4.5836361013238281E-3</v>
      </c>
      <c r="BW70" s="87">
        <f>+BW67*-BW76/4</f>
        <v>-5.9068048585374225E-3</v>
      </c>
      <c r="BX70" s="87">
        <f>+BX67*-BX76/4</f>
        <v>-5.9435864749276422E-3</v>
      </c>
      <c r="BY70" s="87">
        <f>+BY67*-BY76/4</f>
        <v>-5.9129503468671333E-3</v>
      </c>
      <c r="BZ70" s="87">
        <f>+SUM(BV70:BY70)</f>
        <v>-2.2346977781656025E-2</v>
      </c>
      <c r="CA70" s="114"/>
      <c r="CB70" s="87">
        <f>+CB67*-CB76/4</f>
        <v>-5.8714379623282884E-3</v>
      </c>
      <c r="CC70" s="87">
        <f>+CC67*-CC76/4</f>
        <v>-7.5214968558642613E-3</v>
      </c>
      <c r="CD70" s="87">
        <f>+CD67*-CD76/4</f>
        <v>-7.5636791298279949E-3</v>
      </c>
      <c r="CE70" s="87">
        <f>+CE67*-CE76/4</f>
        <v>-7.5216935787577243E-3</v>
      </c>
      <c r="CF70" s="87">
        <f>+SUM(CB70:CE70)</f>
        <v>-2.8478307526778272E-2</v>
      </c>
      <c r="CG70" s="87"/>
    </row>
    <row r="71" spans="1:85" ht="12.75" hidden="1" customHeight="1" outlineLevel="1" x14ac:dyDescent="0.2">
      <c r="A71" s="79" t="s">
        <v>374</v>
      </c>
      <c r="B71" s="87">
        <f>+SUM(B67:B70)</f>
        <v>9.5210000000000008</v>
      </c>
      <c r="C71" s="87">
        <f>+SUM(C67:C70)</f>
        <v>8.2010000000000005</v>
      </c>
      <c r="D71" s="87">
        <f>+SUM(D67:D70)</f>
        <v>7.0280000000000014</v>
      </c>
      <c r="E71" s="87">
        <f>+SUM(E67:E70)</f>
        <v>7.1330000000000009</v>
      </c>
      <c r="F71" s="87">
        <f>+SUM(F67:F70)</f>
        <v>7.133</v>
      </c>
      <c r="G71" s="178"/>
      <c r="H71" s="87">
        <f>+SUM(H67:H70)</f>
        <v>8.125</v>
      </c>
      <c r="I71" s="87">
        <f>+SUM(I67:I70)</f>
        <v>8.0559999999999992</v>
      </c>
      <c r="J71" s="87">
        <f>+SUM(J67:J70)</f>
        <v>7.8019999999999987</v>
      </c>
      <c r="K71" s="87">
        <f>+SUM(K67:K70)</f>
        <v>7.3089999999999993</v>
      </c>
      <c r="L71" s="87">
        <f>+SUM(L67:L70)</f>
        <v>7.3090000000000002</v>
      </c>
      <c r="M71" s="178"/>
      <c r="N71" s="87">
        <f>+SUM(N67:N70)</f>
        <v>7.9819999999999993</v>
      </c>
      <c r="O71" s="87">
        <f>+SUM(O67:O70)</f>
        <v>7.831999999999999</v>
      </c>
      <c r="P71" s="87">
        <f>+SUM(P67:P70)</f>
        <v>7.698999999999999</v>
      </c>
      <c r="Q71" s="87">
        <f>+SUM(Q67:Q70)</f>
        <v>7.4879999999999995</v>
      </c>
      <c r="R71" s="87">
        <f>+SUM(R67:R70)</f>
        <v>7.4879999999999995</v>
      </c>
      <c r="S71" s="178"/>
      <c r="T71" s="87">
        <f>+SUM(T67:T70)</f>
        <v>8.0169999999999995</v>
      </c>
      <c r="U71" s="87">
        <f>+SUM(U67:U70)</f>
        <v>7.996999999999999</v>
      </c>
      <c r="V71" s="87">
        <f>+SUM(V67:V70)</f>
        <v>7.8969999999999985</v>
      </c>
      <c r="W71" s="87">
        <f>+SUM(W67:W70)</f>
        <v>7.8149999999999986</v>
      </c>
      <c r="X71" s="87">
        <f>+SUM(X67:X70)</f>
        <v>7.8149999999999986</v>
      </c>
      <c r="Y71" s="87"/>
      <c r="Z71" s="87">
        <f>+SUM(Z67:Z70)</f>
        <v>7.8419999999999996</v>
      </c>
      <c r="AA71" s="87">
        <f>+SUM(AA67:AA70)</f>
        <v>8.3239999999999998</v>
      </c>
      <c r="AB71" s="87">
        <f>+SUM(AB67:AB70)</f>
        <v>6.4381899999999996</v>
      </c>
      <c r="AC71" s="87">
        <f>+SUM(AC67:AC70)</f>
        <v>6.1539350249999991</v>
      </c>
      <c r="AD71" s="87">
        <f>+SUM(AD67:AD70)</f>
        <v>6.1539350249999982</v>
      </c>
      <c r="AE71" s="114"/>
      <c r="AF71" s="87">
        <f>+SUM(AF67:AF70)</f>
        <v>5.4409350249999981</v>
      </c>
      <c r="AG71" s="87">
        <f>+SUM(AG67:AG70)</f>
        <v>6.6629350249999977</v>
      </c>
      <c r="AH71" s="87">
        <f>+SUM(AH67:AH70)</f>
        <v>4.8150276874374978</v>
      </c>
      <c r="AI71" s="87">
        <f>+SUM(AI67:AI70)</f>
        <v>4.6294262338470293</v>
      </c>
      <c r="AJ71" s="87">
        <f>+SUM(AJ67:AJ70)</f>
        <v>4.6294262338470293</v>
      </c>
      <c r="AK71" s="114"/>
      <c r="AL71" s="87">
        <f>+SUM(AL67:AL70)</f>
        <v>4.5021170124162362</v>
      </c>
      <c r="AM71" s="87">
        <f>+SUM(AM67:AM70)</f>
        <v>6.0658087945747896</v>
      </c>
      <c r="AN71" s="87">
        <f>+SUM(AN67:AN70)</f>
        <v>3.2286773753009577</v>
      </c>
      <c r="AO71" s="87">
        <f>+SUM(AO67:AO70)</f>
        <v>3.1431561880976573</v>
      </c>
      <c r="AP71" s="87">
        <f>+SUM(AP67:AP70)</f>
        <v>1.1607343130976573</v>
      </c>
      <c r="AQ71" s="114"/>
      <c r="AR71" s="87">
        <f>+SUM(AR67:AR70)</f>
        <v>3.2670000000000003</v>
      </c>
      <c r="AS71" s="87">
        <f>+SUM(AS67:AS70)</f>
        <v>3.1010000000000004</v>
      </c>
      <c r="AT71" s="87">
        <f>+SUM(AT67:AT70)</f>
        <v>2.9380000000000002</v>
      </c>
      <c r="AU71" s="87">
        <f>+SUM(AU67:AU70)</f>
        <v>2.7920000000000007</v>
      </c>
      <c r="AV71" s="87">
        <f>+SUM(AV67:AV70)</f>
        <v>2.7920000000000003</v>
      </c>
      <c r="AW71" s="114"/>
      <c r="AX71" s="87">
        <f>+SUM(AX67:AX70)</f>
        <v>2.8570000000000007</v>
      </c>
      <c r="AY71" s="87">
        <f>+SUM(AY67:AY70)</f>
        <v>2.8570000000000011</v>
      </c>
      <c r="AZ71" s="747">
        <f>+SUM(AZ67:AZ70)</f>
        <v>2.757000000000001</v>
      </c>
      <c r="BA71" s="87">
        <f>+SUM(BA67:BA70)</f>
        <v>2.5750000000000011</v>
      </c>
      <c r="BB71" s="87">
        <f>+SUM(BB67:BB70)</f>
        <v>2.5750000000000002</v>
      </c>
      <c r="BC71" s="114"/>
      <c r="BD71" s="87">
        <f>+SUM(BD67:BD70)</f>
        <v>2.3959999999999999</v>
      </c>
      <c r="BE71" s="87">
        <f>+SUM(BE67:BE70)</f>
        <v>2.2839999999999998</v>
      </c>
      <c r="BF71" s="87">
        <f>+SUM(BF67:BF70)</f>
        <v>2.1399999999999997</v>
      </c>
      <c r="BG71" s="87">
        <f>+SUM(BG67:BG70)</f>
        <v>2.0109999999999997</v>
      </c>
      <c r="BH71" s="87">
        <f>+SUM(BH67:BH70)</f>
        <v>2.0110000000000001</v>
      </c>
      <c r="BI71" s="114"/>
      <c r="BJ71" s="87">
        <f>+SUM(BJ67:BJ70)</f>
        <v>1.5880000000000003</v>
      </c>
      <c r="BK71" s="87">
        <f>+SUM(BK67:BK70)</f>
        <v>1.5210000000000001</v>
      </c>
      <c r="BL71" s="87">
        <f>+SUM(BL67:BL70)</f>
        <v>1.4970000000000003</v>
      </c>
      <c r="BM71" s="87">
        <f>+SUM(BM67:BM70)</f>
        <v>1.4160000000000004</v>
      </c>
      <c r="BN71" s="87">
        <f>+SUM(BN67:BN70)</f>
        <v>1.4160000000000001</v>
      </c>
      <c r="BO71" s="114"/>
      <c r="BP71" s="87">
        <f>+SUM(BP67:BP70)</f>
        <v>1.8408099999999998</v>
      </c>
      <c r="BQ71" s="87">
        <f>+SUM(BQ67:BQ70)</f>
        <v>1.8539377249999998</v>
      </c>
      <c r="BR71" s="87">
        <f>+SUM(BR67:BR70)</f>
        <v>1.8454544375624997</v>
      </c>
      <c r="BS71" s="87">
        <f>+SUM(BS67:BS70)</f>
        <v>1.833454440529531</v>
      </c>
      <c r="BT71" s="87">
        <f>+SUM(BT67:BT70)</f>
        <v>1.8334544405295312</v>
      </c>
      <c r="BU71" s="114"/>
      <c r="BV71" s="87">
        <f>+SUM(BV67:BV70)</f>
        <v>2.3627219434149689</v>
      </c>
      <c r="BW71" s="87">
        <f>+SUM(BW67:BW70)</f>
        <v>2.3774345899710569</v>
      </c>
      <c r="BX71" s="87">
        <f>+SUM(BX67:BX70)</f>
        <v>2.3651801387468532</v>
      </c>
      <c r="BY71" s="87">
        <f>+SUM(BY67:BY70)</f>
        <v>2.3485751849313146</v>
      </c>
      <c r="BZ71" s="87">
        <f>+SUM(BZ67:BZ70)</f>
        <v>2.3485751849313155</v>
      </c>
      <c r="CA71" s="114"/>
      <c r="CB71" s="87">
        <f>+SUM(CB67:CB70)</f>
        <v>3.0085987423457046</v>
      </c>
      <c r="CC71" s="87">
        <f>+SUM(CC67:CC70)</f>
        <v>3.0254716519311979</v>
      </c>
      <c r="CD71" s="87">
        <f>+SUM(CD67:CD70)</f>
        <v>3.0086774315030897</v>
      </c>
      <c r="CE71" s="87">
        <f>+SUM(CE67:CE70)</f>
        <v>2.9864856771367547</v>
      </c>
      <c r="CF71" s="87">
        <f>+SUM(CF67:CF70)</f>
        <v>2.9864856771367543</v>
      </c>
      <c r="CG71" s="87"/>
    </row>
    <row r="72" spans="1:85" ht="12.75" hidden="1" customHeight="1" outlineLevel="1" x14ac:dyDescent="0.2">
      <c r="A72" s="79" t="s">
        <v>123</v>
      </c>
      <c r="B72" s="88">
        <v>9.93</v>
      </c>
      <c r="C72" s="88">
        <v>10.09</v>
      </c>
      <c r="D72" s="88">
        <v>10.5</v>
      </c>
      <c r="E72" s="88">
        <v>10.99</v>
      </c>
      <c r="F72" s="88">
        <v>10.99</v>
      </c>
      <c r="G72" s="109"/>
      <c r="H72" s="88">
        <v>11.73</v>
      </c>
      <c r="I72" s="88">
        <v>11.83</v>
      </c>
      <c r="J72" s="88">
        <v>11.69</v>
      </c>
      <c r="K72" s="88">
        <v>11.63</v>
      </c>
      <c r="L72" s="88">
        <v>11.63</v>
      </c>
      <c r="M72" s="109"/>
      <c r="N72" s="88">
        <v>11.24</v>
      </c>
      <c r="O72" s="88">
        <v>11.34</v>
      </c>
      <c r="P72" s="88">
        <v>11.4</v>
      </c>
      <c r="Q72" s="88">
        <v>11.49</v>
      </c>
      <c r="R72" s="88">
        <v>11.49</v>
      </c>
      <c r="S72" s="109"/>
      <c r="T72" s="88">
        <v>12.75</v>
      </c>
      <c r="U72" s="88">
        <v>12.83</v>
      </c>
      <c r="V72" s="88">
        <v>12.9</v>
      </c>
      <c r="W72" s="88">
        <v>12.99</v>
      </c>
      <c r="X72" s="88">
        <v>12.99</v>
      </c>
      <c r="Y72" s="88"/>
      <c r="Z72" s="88">
        <v>13.27</v>
      </c>
      <c r="AA72" s="88">
        <v>12.83</v>
      </c>
      <c r="AB72" s="126">
        <f>+V72*(1+AB73)</f>
        <v>13.416</v>
      </c>
      <c r="AC72" s="126">
        <f>+W72*(1+AC73)</f>
        <v>13.509600000000001</v>
      </c>
      <c r="AD72" s="126">
        <f>+AVERAGE(Z72:AC72)</f>
        <v>13.256400000000001</v>
      </c>
      <c r="AE72" s="114"/>
      <c r="AF72" s="88">
        <v>13.99</v>
      </c>
      <c r="AG72" s="88">
        <v>12.83</v>
      </c>
      <c r="AH72" s="126">
        <f>+AB72*(1+AH73)</f>
        <v>13.952640000000001</v>
      </c>
      <c r="AI72" s="126">
        <f>+AC72*(1+AI73)</f>
        <v>14.049984000000002</v>
      </c>
      <c r="AJ72" s="126">
        <f>+AVERAGE(AF72:AI72)</f>
        <v>13.705656000000001</v>
      </c>
      <c r="AK72" s="114"/>
      <c r="AL72" s="126">
        <f>+AF72*(1+AL73)</f>
        <v>14.5496</v>
      </c>
      <c r="AM72" s="126">
        <f>+AG72*(1+AM73)</f>
        <v>13.343200000000001</v>
      </c>
      <c r="AN72" s="126">
        <f>+AH72*(1+AN73)</f>
        <v>14.510745600000002</v>
      </c>
      <c r="AO72" s="126">
        <f>+AI72*(1+AO73)</f>
        <v>14.611983360000002</v>
      </c>
      <c r="AP72" s="126">
        <f>+AVERAGE(AL72:AO72)</f>
        <v>14.253882240000001</v>
      </c>
      <c r="AQ72" s="114"/>
      <c r="AR72" s="641">
        <f>+((0.848*15.47)+(2.419*36.68))/(0.848+2.419)</f>
        <v>31.174618916437101</v>
      </c>
      <c r="AS72" s="641">
        <f>+((0.805*15.41)+(2.296*36.68))/(0.805+2.296)</f>
        <v>31.158442437923249</v>
      </c>
      <c r="AT72" s="641">
        <f>+((0.719*15.4)+(2.219*41.93))/(0.719+2.296)</f>
        <v>34.532427860696515</v>
      </c>
      <c r="AU72" s="641">
        <v>46.094510784943125</v>
      </c>
      <c r="AV72" s="641">
        <f>+((0.668*15.57)+(2.124*42.08))/(0.668+2.124)</f>
        <v>35.737349570200571</v>
      </c>
      <c r="AW72" s="114"/>
      <c r="AX72" s="641">
        <f>+((0.64*15.76)+(2.217*47.59))/(0.64+2.217)</f>
        <v>40.459723486174312</v>
      </c>
      <c r="AY72" s="641">
        <f>+((0.556*15.47)+(2.301*48.98))/(0.556+2.301)</f>
        <v>42.458627931396563</v>
      </c>
      <c r="AZ72" s="641">
        <f>+((0.539*15.36)+(2.218*49.39))/(0.539+2.218)</f>
        <v>42.737054769677179</v>
      </c>
      <c r="BA72" s="641">
        <v>45.704593812752144</v>
      </c>
      <c r="BB72" s="641">
        <f>+((0.496*15.14)+(2.079*49.45))/(0.496+2.079)</f>
        <v>42.841161165048547</v>
      </c>
      <c r="BC72" s="114"/>
      <c r="BD72" s="641">
        <f>+((0.466*15.37)+(1.93*55.29))/(0.466+1.93)</f>
        <v>47.525926544240399</v>
      </c>
      <c r="BE72" s="641">
        <f>+((0.366*15.13)+(1.918*56.44))/(0.366+1.918)</f>
        <v>49.820271453590202</v>
      </c>
      <c r="BF72" s="641">
        <f>+((0.272*15.52)+(1.868*57.42))/(0.272+1.868)</f>
        <v>52.09439252336449</v>
      </c>
      <c r="BG72" s="641">
        <v>64.919409478804965</v>
      </c>
      <c r="BH72" s="641">
        <f>+((0.222*14.9)+(1.789*58.39))/(0.222+1.789)</f>
        <v>53.589015415216309</v>
      </c>
      <c r="BI72" s="114"/>
      <c r="BJ72" s="641">
        <f>+((0.136*13.33)+(1.452*72.8))/(0.136+1.452)</f>
        <v>67.706851385390422</v>
      </c>
      <c r="BK72" s="641">
        <f>+((0.177*13.39)+(1.404*75.37))/(0.177+1.404)</f>
        <v>68.431062618595831</v>
      </c>
      <c r="BL72" s="641">
        <f>+((0.108*13.47)+(1.389*77.72))/(0.108+1.389)</f>
        <v>73.08472945891782</v>
      </c>
      <c r="BM72" s="641">
        <v>104.93735653709594</v>
      </c>
      <c r="BN72" s="641">
        <f>+((0.075*11.36)+(1.341*82.3))/(0.075+1.341)</f>
        <v>78.542584745762724</v>
      </c>
      <c r="BO72" s="114"/>
      <c r="BP72" s="126">
        <f>+BJ72*(1+BP73)</f>
        <v>81.248221662468509</v>
      </c>
      <c r="BQ72" s="126">
        <f>+BK72*(1+BQ73)</f>
        <v>82.117275142314995</v>
      </c>
      <c r="BR72" s="126">
        <f>+BL72*(1+BR73)</f>
        <v>87.701675350701379</v>
      </c>
      <c r="BS72" s="126">
        <f>+BM72*(1+BS73)</f>
        <v>125.92482784451512</v>
      </c>
      <c r="BT72" s="126">
        <f>+AVERAGE(BP72:BS72)</f>
        <v>94.248000000000005</v>
      </c>
      <c r="BU72" s="114"/>
      <c r="BV72" s="126">
        <f>+BP72*(1+BV73)</f>
        <v>97.497865994962211</v>
      </c>
      <c r="BW72" s="126">
        <f>+BQ72*(1+BW73)</f>
        <v>98.540730170777991</v>
      </c>
      <c r="BX72" s="126">
        <f>+BR72*(1+BX73)</f>
        <v>105.24201042084165</v>
      </c>
      <c r="BY72" s="126">
        <f>+BS72*(1+BY73)</f>
        <v>151.10979341341815</v>
      </c>
      <c r="BZ72" s="126">
        <f>+AVERAGE(BV72:BY72)</f>
        <v>113.0976</v>
      </c>
      <c r="CA72" s="114"/>
      <c r="CB72" s="126">
        <f>+BV72*(1+CB73)</f>
        <v>116.99743919395465</v>
      </c>
      <c r="CC72" s="126">
        <f>+BW72*(1+CC73)</f>
        <v>118.24887620493358</v>
      </c>
      <c r="CD72" s="126">
        <f>+BX72*(1+CD73)</f>
        <v>126.29041250500998</v>
      </c>
      <c r="CE72" s="126">
        <f>+BY72*(1+CE73)</f>
        <v>181.33175209610178</v>
      </c>
      <c r="CF72" s="126">
        <f>+AVERAGE(CB72:CE72)</f>
        <v>135.71711999999999</v>
      </c>
      <c r="CG72" s="126"/>
    </row>
    <row r="73" spans="1:85" ht="12.75" hidden="1" customHeight="1" outlineLevel="1" x14ac:dyDescent="0.2">
      <c r="A73" s="92" t="s">
        <v>316</v>
      </c>
      <c r="B73" s="42"/>
      <c r="C73" s="42"/>
      <c r="D73" s="42"/>
      <c r="E73" s="42"/>
      <c r="F73" s="42"/>
      <c r="G73" s="109"/>
      <c r="H73" s="267">
        <f>+H72/B72-1</f>
        <v>0.18126888217522663</v>
      </c>
      <c r="I73" s="267">
        <f>+I72/C72-1</f>
        <v>0.17244796828543119</v>
      </c>
      <c r="J73" s="267">
        <f>+J72/D72-1</f>
        <v>0.11333333333333329</v>
      </c>
      <c r="K73" s="267">
        <f>+K72/E72-1</f>
        <v>5.8234758871701597E-2</v>
      </c>
      <c r="L73" s="267">
        <f>+L72/F72-1</f>
        <v>5.8234758871701597E-2</v>
      </c>
      <c r="M73" s="109"/>
      <c r="N73" s="267">
        <f>+N72/H72-1</f>
        <v>-4.1773231031543068E-2</v>
      </c>
      <c r="O73" s="267">
        <f>+O72/I72-1</f>
        <v>-4.1420118343195256E-2</v>
      </c>
      <c r="P73" s="267">
        <f>+P72/J72-1</f>
        <v>-2.4807527801539719E-2</v>
      </c>
      <c r="Q73" s="267">
        <f>+Q72/K72-1</f>
        <v>-1.2037833190025826E-2</v>
      </c>
      <c r="R73" s="267">
        <f>+R72/L72-1</f>
        <v>-1.2037833190025826E-2</v>
      </c>
      <c r="S73" s="109"/>
      <c r="T73" s="267">
        <f>+T72/N72-1</f>
        <v>0.13434163701067603</v>
      </c>
      <c r="U73" s="267">
        <f>+U72/O72-1</f>
        <v>0.1313932980599648</v>
      </c>
      <c r="V73" s="267">
        <f>+V72/P72-1</f>
        <v>0.13157894736842102</v>
      </c>
      <c r="W73" s="267">
        <f>+W72/Q72-1</f>
        <v>0.13054830287206265</v>
      </c>
      <c r="X73" s="267">
        <f>+X72/R72-1</f>
        <v>0.13054830287206265</v>
      </c>
      <c r="Y73" s="114"/>
      <c r="Z73" s="267">
        <f>+Z72/T72-1</f>
        <v>4.0784313725490184E-2</v>
      </c>
      <c r="AA73" s="267">
        <f>+AA72/U72-1</f>
        <v>0</v>
      </c>
      <c r="AB73" s="386">
        <v>0.04</v>
      </c>
      <c r="AC73" s="386">
        <v>0.04</v>
      </c>
      <c r="AD73" s="267">
        <f>+AD72/X72-1</f>
        <v>2.0508083140877709E-2</v>
      </c>
      <c r="AE73" s="114"/>
      <c r="AF73" s="267">
        <f>+AF72/Z72-1</f>
        <v>5.4257724189902046E-2</v>
      </c>
      <c r="AG73" s="267">
        <f>+AG72/AA72-1</f>
        <v>0</v>
      </c>
      <c r="AH73" s="386">
        <v>0.04</v>
      </c>
      <c r="AI73" s="386">
        <v>0.04</v>
      </c>
      <c r="AJ73" s="267">
        <f>+AJ72/AD72-1</f>
        <v>3.388974382185217E-2</v>
      </c>
      <c r="AK73" s="114"/>
      <c r="AL73" s="386">
        <v>0.04</v>
      </c>
      <c r="AM73" s="386">
        <v>0.04</v>
      </c>
      <c r="AN73" s="386">
        <v>0.04</v>
      </c>
      <c r="AO73" s="386">
        <v>0.04</v>
      </c>
      <c r="AP73" s="267">
        <f>+AP72/AJ72-1</f>
        <v>4.0000000000000036E-2</v>
      </c>
      <c r="AQ73" s="114"/>
      <c r="AR73" s="386"/>
      <c r="AS73" s="267">
        <f>+AS72/AR72-1</f>
        <v>-5.1889899784218763E-4</v>
      </c>
      <c r="AT73" s="267">
        <f>+AT72/AS72-1</f>
        <v>0.10828479085548759</v>
      </c>
      <c r="AU73" s="267">
        <f>+AU72/AT72-1</f>
        <v>0.33481813010333195</v>
      </c>
      <c r="AV73" s="267">
        <f>+AV72/AP72-1</f>
        <v>1.5072011237691108</v>
      </c>
      <c r="AW73" s="114"/>
      <c r="AX73" s="267">
        <f>+AX72/AR72-1</f>
        <v>0.29784179863194904</v>
      </c>
      <c r="AY73" s="267">
        <f>+AY72/AS72-1</f>
        <v>0.36266849718135297</v>
      </c>
      <c r="AZ73" s="267">
        <f>+AZ72/AT72-1</f>
        <v>0.23759195102290676</v>
      </c>
      <c r="BA73" s="267">
        <f>+BA72/AZ72-1</f>
        <v>6.9437144395371186E-2</v>
      </c>
      <c r="BB73" s="267">
        <f>+BB72/AV72-1</f>
        <v>0.19877835598562288</v>
      </c>
      <c r="BC73" s="114"/>
      <c r="BD73" s="267">
        <f>+BD72/AX72-1</f>
        <v>0.17464783367787251</v>
      </c>
      <c r="BE73" s="267">
        <f>+BE72/AY72-1</f>
        <v>0.17338392408931291</v>
      </c>
      <c r="BF73" s="267">
        <f>+BF72/AZ72-1</f>
        <v>0.2189513948520041</v>
      </c>
      <c r="BG73" s="267">
        <f>+BG72/BF72-1</f>
        <v>0.24618805084805273</v>
      </c>
      <c r="BH73" s="267">
        <f>+BH72/BB72-1</f>
        <v>0.25087681934578998</v>
      </c>
      <c r="BI73" s="114"/>
      <c r="BJ73" s="267">
        <f>+BJ72/BD72-1</f>
        <v>0.4246298033214404</v>
      </c>
      <c r="BK73" s="267">
        <f t="shared" ref="BK73:BN73" si="62">+BK72/BE72-1</f>
        <v>0.37355860620595793</v>
      </c>
      <c r="BL73" s="267">
        <f t="shared" si="62"/>
        <v>0.40292891266827047</v>
      </c>
      <c r="BM73" s="267">
        <f t="shared" si="62"/>
        <v>0.616425001083168</v>
      </c>
      <c r="BN73" s="267">
        <f t="shared" si="62"/>
        <v>0.46564709459955833</v>
      </c>
      <c r="BO73" s="114"/>
      <c r="BP73" s="386">
        <v>0.2</v>
      </c>
      <c r="BQ73" s="386">
        <v>0.2</v>
      </c>
      <c r="BR73" s="386">
        <v>0.2</v>
      </c>
      <c r="BS73" s="386">
        <v>0.2</v>
      </c>
      <c r="BT73" s="267">
        <f>+BT72/BN72-1</f>
        <v>0.19996050938576437</v>
      </c>
      <c r="BU73" s="114"/>
      <c r="BV73" s="386">
        <v>0.2</v>
      </c>
      <c r="BW73" s="386">
        <v>0.2</v>
      </c>
      <c r="BX73" s="386">
        <v>0.2</v>
      </c>
      <c r="BY73" s="386">
        <v>0.2</v>
      </c>
      <c r="BZ73" s="267">
        <f t="shared" ref="BZ73" si="63">+BZ72/BT72-1</f>
        <v>0.19999999999999996</v>
      </c>
      <c r="CA73" s="114"/>
      <c r="CB73" s="386">
        <v>0.2</v>
      </c>
      <c r="CC73" s="386">
        <v>0.2</v>
      </c>
      <c r="CD73" s="386">
        <v>0.2</v>
      </c>
      <c r="CE73" s="386">
        <v>0.2</v>
      </c>
      <c r="CF73" s="267">
        <f t="shared" ref="CF73" si="64">+CF72/BZ72-1</f>
        <v>0.19999999999999996</v>
      </c>
      <c r="CG73" s="267"/>
    </row>
    <row r="74" spans="1:85" ht="12.75" hidden="1" customHeight="1" outlineLevel="1" x14ac:dyDescent="0.2">
      <c r="A74" s="79"/>
      <c r="B74" s="42"/>
      <c r="C74" s="42"/>
      <c r="D74" s="42"/>
      <c r="E74" s="42"/>
      <c r="F74" s="42"/>
      <c r="G74" s="109"/>
      <c r="H74" s="42"/>
      <c r="I74" s="42"/>
      <c r="J74" s="42"/>
      <c r="K74" s="42"/>
      <c r="L74" s="42"/>
      <c r="M74" s="109"/>
      <c r="N74" s="42"/>
      <c r="O74" s="42"/>
      <c r="P74" s="42"/>
      <c r="Q74" s="42"/>
      <c r="R74" s="42"/>
      <c r="S74" s="109"/>
      <c r="T74" s="231"/>
      <c r="U74" s="231"/>
      <c r="V74" s="231"/>
      <c r="W74" s="231"/>
      <c r="X74" s="231"/>
      <c r="Y74" s="114"/>
      <c r="Z74" s="42"/>
      <c r="AA74" s="231"/>
      <c r="AB74" s="42"/>
      <c r="AC74" s="42"/>
      <c r="AD74" s="42"/>
      <c r="AE74" s="114"/>
      <c r="AF74" s="42"/>
      <c r="AG74" s="231"/>
      <c r="AH74" s="42"/>
      <c r="AI74" s="42"/>
      <c r="AJ74" s="42"/>
      <c r="AK74" s="114"/>
      <c r="AL74" s="42"/>
      <c r="AM74" s="42"/>
      <c r="AN74" s="42"/>
      <c r="AO74" s="42"/>
      <c r="AP74" s="42"/>
      <c r="AQ74" s="114"/>
      <c r="AR74" s="42"/>
      <c r="AS74" s="42"/>
      <c r="AT74" s="42"/>
      <c r="AU74" s="42"/>
      <c r="AV74" s="42"/>
      <c r="AW74" s="114"/>
      <c r="AX74" s="42"/>
      <c r="AY74" s="42"/>
      <c r="AZ74" s="42"/>
      <c r="BA74" s="42"/>
      <c r="BB74" s="42"/>
      <c r="BC74" s="114"/>
      <c r="BD74" s="42"/>
      <c r="BE74" s="42"/>
      <c r="BF74" s="42"/>
      <c r="BG74" s="42"/>
      <c r="BH74" s="42"/>
      <c r="BI74" s="114"/>
      <c r="BJ74" s="42"/>
      <c r="BK74" s="42"/>
      <c r="BL74" s="42"/>
      <c r="BM74" s="42"/>
      <c r="BN74" s="707"/>
      <c r="BO74" s="114"/>
      <c r="BP74" s="42"/>
      <c r="BQ74" s="42"/>
      <c r="BR74" s="42"/>
      <c r="BS74" s="42"/>
      <c r="BT74" s="42"/>
      <c r="BU74" s="114"/>
      <c r="BV74" s="42"/>
      <c r="BW74" s="42"/>
      <c r="BX74" s="42"/>
      <c r="BY74" s="42"/>
      <c r="BZ74" s="42"/>
      <c r="CA74" s="114"/>
      <c r="CB74" s="42"/>
      <c r="CC74" s="42"/>
      <c r="CD74" s="42"/>
      <c r="CE74" s="42"/>
      <c r="CF74" s="42"/>
      <c r="CG74" s="42"/>
    </row>
    <row r="75" spans="1:85" ht="12.75" hidden="1" customHeight="1" outlineLevel="1" x14ac:dyDescent="0.2">
      <c r="A75" s="92" t="s">
        <v>317</v>
      </c>
      <c r="B75" s="267">
        <f>-B69*4/B67</f>
        <v>0.27849204619742862</v>
      </c>
      <c r="C75" s="267">
        <f>-C69*4/C67</f>
        <v>0.55498372019745823</v>
      </c>
      <c r="D75" s="267">
        <f>-D69*4/D67</f>
        <v>0.46482136324838425</v>
      </c>
      <c r="E75" s="267">
        <f>-E69*4/E67</f>
        <v>7.6835515082527145E-2</v>
      </c>
      <c r="F75" s="267">
        <f>-F69/F67</f>
        <v>0.33209849640444539</v>
      </c>
      <c r="G75" s="267"/>
      <c r="H75" s="267">
        <f>-H69*4/H67</f>
        <v>0.30225711481844947</v>
      </c>
      <c r="I75" s="267">
        <f>-I69*4/I67</f>
        <v>8.3692307692307663E-2</v>
      </c>
      <c r="J75" s="267">
        <f>-J69*4/J67</f>
        <v>5.5114200595829194E-2</v>
      </c>
      <c r="K75" s="267">
        <f>-K69*4/K67</f>
        <v>0.14047680082030259</v>
      </c>
      <c r="L75" s="267">
        <f>-L69/L67</f>
        <v>0.15337165288097576</v>
      </c>
      <c r="M75" s="267"/>
      <c r="N75" s="267">
        <f>-N69*4/N67</f>
        <v>7.2786974962375156E-2</v>
      </c>
      <c r="O75" s="267">
        <f>-O69*4/O67</f>
        <v>7.0658982711099994E-2</v>
      </c>
      <c r="P75" s="267">
        <f>-P69*4/P67</f>
        <v>5.8733401430030648E-2</v>
      </c>
      <c r="Q75" s="267">
        <f>-Q69*4/Q67</f>
        <v>0.10235095466943758</v>
      </c>
      <c r="R75" s="267">
        <f>-R69/R67</f>
        <v>8.0175126556300449E-2</v>
      </c>
      <c r="S75" s="267"/>
      <c r="T75" s="267">
        <f>-T69*4/T67</f>
        <v>0.29914529914529919</v>
      </c>
      <c r="U75" s="267">
        <f>-U69*4/U67</f>
        <v>5.5881252338780094E-2</v>
      </c>
      <c r="V75" s="267">
        <f>-V69*4/V67</f>
        <v>6.7025134425409541E-2</v>
      </c>
      <c r="W75" s="267">
        <f>-W69*4/W67</f>
        <v>5.4197796631632267E-2</v>
      </c>
      <c r="X75" s="267">
        <f>-X69/X67</f>
        <v>0.12192841880341881</v>
      </c>
      <c r="Y75" s="267"/>
      <c r="Z75" s="267">
        <f>-Z69*4/Z67</f>
        <v>0.11158029430582216</v>
      </c>
      <c r="AA75" s="267">
        <f>-AA69*4/AA67</f>
        <v>0.23157357816883453</v>
      </c>
      <c r="AB75" s="386">
        <v>0.1</v>
      </c>
      <c r="AC75" s="386">
        <v>0.2</v>
      </c>
      <c r="AD75" s="267">
        <f>-AD69*4/AD67</f>
        <v>1.5323912987843893</v>
      </c>
      <c r="AE75" s="92"/>
      <c r="AF75" s="267">
        <f>-AF69*4/AF67</f>
        <v>0.45239346673147568</v>
      </c>
      <c r="AG75" s="267">
        <f>-AG69*4/AG67</f>
        <v>-1.7644026175445769E-2</v>
      </c>
      <c r="AH75" s="386">
        <v>0.1</v>
      </c>
      <c r="AI75" s="386">
        <v>0.2</v>
      </c>
      <c r="AJ75" s="267">
        <f>-AJ69*4/AJ67</f>
        <v>1.8932610581938185</v>
      </c>
      <c r="AK75" s="92"/>
      <c r="AL75" s="386">
        <v>0.1</v>
      </c>
      <c r="AM75" s="386">
        <v>0.1</v>
      </c>
      <c r="AN75" s="386">
        <v>2</v>
      </c>
      <c r="AO75" s="386">
        <v>0.2</v>
      </c>
      <c r="AP75" s="267">
        <f>-AP69*4/AP67</f>
        <v>2.9572795195959642</v>
      </c>
      <c r="AQ75" s="92"/>
      <c r="AR75" s="386">
        <v>0.1</v>
      </c>
      <c r="AS75" s="386">
        <v>0.1</v>
      </c>
      <c r="AT75" s="386">
        <v>0.1</v>
      </c>
      <c r="AU75" s="386">
        <v>0.2</v>
      </c>
      <c r="AV75" s="267">
        <f>-AV69*4/AV67</f>
        <v>1.6356612184249626</v>
      </c>
      <c r="AW75" s="92"/>
      <c r="AX75" s="386">
        <v>0.1</v>
      </c>
      <c r="AY75" s="386">
        <v>0.1</v>
      </c>
      <c r="AZ75" s="386">
        <v>0.1</v>
      </c>
      <c r="BA75" s="386">
        <v>0.2</v>
      </c>
      <c r="BB75" s="267">
        <f>-BB69*4/BB67</f>
        <v>1.3653295128939829</v>
      </c>
      <c r="BC75" s="92"/>
      <c r="BD75" s="386">
        <v>0.1</v>
      </c>
      <c r="BE75" s="386">
        <v>0.1</v>
      </c>
      <c r="BF75" s="386">
        <v>0.1</v>
      </c>
      <c r="BG75" s="386">
        <v>0.2</v>
      </c>
      <c r="BH75" s="267">
        <f>-BH69*4/BH67</f>
        <v>1.7599999999999998</v>
      </c>
      <c r="BI75" s="92"/>
      <c r="BJ75" s="386">
        <v>0.1</v>
      </c>
      <c r="BK75" s="386">
        <v>0.1</v>
      </c>
      <c r="BL75" s="386">
        <v>0.1</v>
      </c>
      <c r="BM75" s="386">
        <v>0.1</v>
      </c>
      <c r="BN75" s="267">
        <f>-BN69*4/BN67</f>
        <v>1.9791148682247637</v>
      </c>
      <c r="BO75" s="92"/>
      <c r="BP75" s="386">
        <v>0.1</v>
      </c>
      <c r="BQ75" s="386">
        <v>0.1</v>
      </c>
      <c r="BR75" s="386">
        <v>0.1</v>
      </c>
      <c r="BS75" s="386">
        <v>0.1</v>
      </c>
      <c r="BT75" s="267">
        <f>-BT69*4/BT67</f>
        <v>0.49125721487023294</v>
      </c>
      <c r="BU75" s="92"/>
      <c r="BV75" s="386">
        <v>0.1</v>
      </c>
      <c r="BW75" s="386">
        <v>0.1</v>
      </c>
      <c r="BX75" s="386">
        <v>0.1</v>
      </c>
      <c r="BY75" s="386">
        <v>0.1</v>
      </c>
      <c r="BZ75" s="267">
        <f>-BZ69*4/BZ67</f>
        <v>0.48753821829795474</v>
      </c>
      <c r="CA75" s="92"/>
      <c r="CB75" s="386">
        <v>0.1</v>
      </c>
      <c r="CC75" s="386">
        <v>0.1</v>
      </c>
      <c r="CD75" s="386">
        <v>0.1</v>
      </c>
      <c r="CE75" s="386">
        <v>0.1</v>
      </c>
      <c r="CF75" s="267">
        <f>-CF69*4/CF67</f>
        <v>0.48503122590237413</v>
      </c>
      <c r="CG75" s="267"/>
    </row>
    <row r="76" spans="1:85" ht="12.75" hidden="1" customHeight="1" outlineLevel="1" x14ac:dyDescent="0.2">
      <c r="A76" s="92" t="s">
        <v>318</v>
      </c>
      <c r="B76" s="267">
        <f>-B70*4/B67</f>
        <v>1.3510568751361951E-2</v>
      </c>
      <c r="C76" s="267">
        <f>-C70*4/C67</f>
        <v>2.9408675559289991E-2</v>
      </c>
      <c r="D76" s="267">
        <f>-D70*4/D67</f>
        <v>0.13705645652969151</v>
      </c>
      <c r="E76" s="267">
        <f>-E70*4/E67</f>
        <v>7.5128059191804195E-2</v>
      </c>
      <c r="F76" s="267">
        <f>-F70/F67</f>
        <v>5.6003486598387442E-2</v>
      </c>
      <c r="G76" s="267"/>
      <c r="H76" s="267">
        <f>-H70*4/H67</f>
        <v>0.15757745689050892</v>
      </c>
      <c r="I76" s="267">
        <f>-I70*4/I67</f>
        <v>5.316923076923076E-2</v>
      </c>
      <c r="J76" s="267">
        <f>-J70*4/J67</f>
        <v>0.11221449851042702</v>
      </c>
      <c r="K76" s="267">
        <f>-K70*4/K67</f>
        <v>0.15226864906434251</v>
      </c>
      <c r="L76" s="267">
        <f>-L70/L67</f>
        <v>0.12785644188980794</v>
      </c>
      <c r="M76" s="267"/>
      <c r="N76" s="267">
        <f>-N70*4/N67</f>
        <v>7.3334245450814073E-2</v>
      </c>
      <c r="O76" s="267">
        <f>-O70*4/O67</f>
        <v>4.9611626158857433E-2</v>
      </c>
      <c r="P76" s="267">
        <f>-P70*4/P67</f>
        <v>3.8815117466802856E-2</v>
      </c>
      <c r="Q76" s="267">
        <f>-Q70*4/Q67</f>
        <v>3.1172879594752567E-2</v>
      </c>
      <c r="R76" s="267">
        <f>-R70/R67</f>
        <v>5.0485702558489533E-2</v>
      </c>
      <c r="S76" s="267"/>
      <c r="T76" s="267">
        <f>-T70*4/T67</f>
        <v>7.0512820512820526E-2</v>
      </c>
      <c r="U76" s="267">
        <f>-U70*4/U67</f>
        <v>1.8460770861918427E-2</v>
      </c>
      <c r="V76" s="267">
        <f>-V70*4/V67</f>
        <v>3.7013880205076899E-2</v>
      </c>
      <c r="W76" s="267">
        <f>-W70*4/W67</f>
        <v>9.1173863492465586E-3</v>
      </c>
      <c r="X76" s="267">
        <f>-X70/X67</f>
        <v>3.4855769230769232E-2</v>
      </c>
      <c r="Y76" s="267"/>
      <c r="Z76" s="267">
        <f>-Z70*4/Z67</f>
        <v>9.2130518234165085E-3</v>
      </c>
      <c r="AA76" s="267">
        <f>-AA70*4/AA67</f>
        <v>7.702116806937008E-2</v>
      </c>
      <c r="AB76" s="386">
        <v>0.01</v>
      </c>
      <c r="AC76" s="386">
        <v>0.01</v>
      </c>
      <c r="AD76" s="267">
        <f>-AD70*4/AD67</f>
        <v>0.10538987843889958</v>
      </c>
      <c r="AE76" s="297"/>
      <c r="AF76" s="267">
        <f>-AF70*4/AF67</f>
        <v>1.104984042303892E-2</v>
      </c>
      <c r="AG76" s="267">
        <f>-AG70*4/AG67</f>
        <v>0.11174549911115697</v>
      </c>
      <c r="AH76" s="386">
        <v>0.01</v>
      </c>
      <c r="AI76" s="386">
        <v>0.01</v>
      </c>
      <c r="AJ76" s="267">
        <f>-AJ70*4/AJ67</f>
        <v>0.12849983366933182</v>
      </c>
      <c r="AK76" s="297"/>
      <c r="AL76" s="386">
        <v>0.01</v>
      </c>
      <c r="AM76" s="386">
        <v>0.01</v>
      </c>
      <c r="AN76" s="386">
        <v>0.01</v>
      </c>
      <c r="AO76" s="386">
        <v>0.01</v>
      </c>
      <c r="AP76" s="267">
        <f>-AP70*4/AP67</f>
        <v>3.9801972178368797E-2</v>
      </c>
      <c r="AQ76" s="297"/>
      <c r="AR76" s="386">
        <v>0.01</v>
      </c>
      <c r="AS76" s="386">
        <v>0.01</v>
      </c>
      <c r="AT76" s="386">
        <v>0.01</v>
      </c>
      <c r="AU76" s="386">
        <v>0.01</v>
      </c>
      <c r="AV76" s="267">
        <f>-AV70*4/AV67</f>
        <v>0.2115898959881129</v>
      </c>
      <c r="AW76" s="297"/>
      <c r="AX76" s="386">
        <v>0.01</v>
      </c>
      <c r="AY76" s="386">
        <v>0.01</v>
      </c>
      <c r="AZ76" s="386">
        <v>0.01</v>
      </c>
      <c r="BA76" s="386">
        <v>0.01</v>
      </c>
      <c r="BB76" s="267">
        <f>-BB70*4/BB67</f>
        <v>0.15329512893982805</v>
      </c>
      <c r="BC76" s="297"/>
      <c r="BD76" s="386">
        <v>0.01</v>
      </c>
      <c r="BE76" s="386">
        <v>0.01</v>
      </c>
      <c r="BF76" s="386">
        <v>0.01</v>
      </c>
      <c r="BG76" s="386">
        <v>0.01</v>
      </c>
      <c r="BH76" s="267">
        <f>-BH70*4/BH67</f>
        <v>0.2252427184466019</v>
      </c>
      <c r="BI76" s="297"/>
      <c r="BJ76" s="386">
        <v>0.01</v>
      </c>
      <c r="BK76" s="386">
        <v>0.01</v>
      </c>
      <c r="BL76" s="386">
        <v>0.01</v>
      </c>
      <c r="BM76" s="386">
        <v>0.01</v>
      </c>
      <c r="BN76" s="267">
        <f>-BN70*4/BN67</f>
        <v>0.17304823470909997</v>
      </c>
      <c r="BO76" s="297"/>
      <c r="BP76" s="386">
        <v>0.01</v>
      </c>
      <c r="BQ76" s="386">
        <v>0.01</v>
      </c>
      <c r="BR76" s="386">
        <v>0.01</v>
      </c>
      <c r="BS76" s="386">
        <v>0.01</v>
      </c>
      <c r="BT76" s="267">
        <f>-BT70*4/BT67</f>
        <v>4.9125721487023301E-2</v>
      </c>
      <c r="BU76" s="297"/>
      <c r="BV76" s="386">
        <v>0.01</v>
      </c>
      <c r="BW76" s="386">
        <v>0.01</v>
      </c>
      <c r="BX76" s="386">
        <v>0.01</v>
      </c>
      <c r="BY76" s="386">
        <v>0.01</v>
      </c>
      <c r="BZ76" s="267">
        <f>-BZ70*4/BZ67</f>
        <v>4.8753821829795471E-2</v>
      </c>
      <c r="CA76" s="297"/>
      <c r="CB76" s="386">
        <v>0.01</v>
      </c>
      <c r="CC76" s="386">
        <v>0.01</v>
      </c>
      <c r="CD76" s="386">
        <v>0.01</v>
      </c>
      <c r="CE76" s="386">
        <v>0.01</v>
      </c>
      <c r="CF76" s="267">
        <f>-CF70*4/CF67</f>
        <v>4.850312259023741E-2</v>
      </c>
      <c r="CG76" s="267"/>
    </row>
    <row r="77" spans="1:85" ht="12.75" hidden="1" customHeight="1" outlineLevel="1" x14ac:dyDescent="0.2">
      <c r="A77" s="92" t="s">
        <v>319</v>
      </c>
      <c r="B77" s="294"/>
      <c r="C77" s="294"/>
      <c r="D77" s="294"/>
      <c r="E77" s="294"/>
      <c r="F77" s="294"/>
      <c r="G77" s="294"/>
      <c r="H77" s="294">
        <f>IF(ISERROR(H68/B68-1),"NM",H68/B68-1)</f>
        <v>0.78874629812438335</v>
      </c>
      <c r="I77" s="294">
        <f>IF(ISERROR(I68/C68-1),"NM",I68/C68-1)</f>
        <v>1.9436619718309767</v>
      </c>
      <c r="J77" s="294">
        <f>IF(ISERROR(J68/D68-1),"NM",J68/D68-1)</f>
        <v>0.36065573770492243</v>
      </c>
      <c r="K77" s="294">
        <f>IF(ISERROR(K68/E68-1),"NM",K68/E68-1)</f>
        <v>-0.7903225806451617</v>
      </c>
      <c r="L77" s="294">
        <f>IF(ISERROR(L68/F68-1),"NM",L68/F68-1)</f>
        <v>0.43836519446275557</v>
      </c>
      <c r="M77" s="294"/>
      <c r="N77" s="294">
        <f>IF(ISERROR(N68/H68-1),"NM",N68/H68-1)</f>
        <v>-0.48123620309050774</v>
      </c>
      <c r="O77" s="294">
        <f>IF(ISERROR(O68/I68-1),"NM",O68/I68-1)</f>
        <v>-0.56937799043062132</v>
      </c>
      <c r="P77" s="294">
        <f>IF(ISERROR(P68/J68-1),"NM",P68/J68-1)</f>
        <v>-0.3012048192771094</v>
      </c>
      <c r="Q77" s="294">
        <f>IF(ISERROR(Q68/K68-1),"NM",Q68/K68-1)</f>
        <v>-0.41025641025641146</v>
      </c>
      <c r="R77" s="294">
        <f>IF(ISERROR(R68/L68-1),"NM",R68/L68-1)</f>
        <v>-0.48029330889092581</v>
      </c>
      <c r="S77" s="294"/>
      <c r="T77" s="294">
        <f>IF(ISERROR(T68/N68-1),"NM",T68/N68-1)</f>
        <v>0.29893617021276619</v>
      </c>
      <c r="U77" s="294">
        <f>IF(ISERROR(U68/O68-1),"NM",U68/O68-1)</f>
        <v>0.43333333333333202</v>
      </c>
      <c r="V77" s="294">
        <f>IF(ISERROR(V68/P68-1),"NM",V68/P68-1)</f>
        <v>0.86206896551723755</v>
      </c>
      <c r="W77" s="294">
        <f>IF(ISERROR(W68/Q68-1),"NM",W68/Q68-1)</f>
        <v>-6.5217391304345673E-2</v>
      </c>
      <c r="X77" s="294">
        <f>IF(ISERROR(X68/R68-1),"NM",X68/R68-1)</f>
        <v>0.32363315696649031</v>
      </c>
      <c r="Y77" s="294"/>
      <c r="Z77" s="294">
        <f>IF(ISERROR(Z68/T68-1),"NM",Z68/T68-1)</f>
        <v>-0.78460278460278454</v>
      </c>
      <c r="AA77" s="294">
        <f>IF(ISERROR(AA68/U68-1),"NM",AA68/U68-1)</f>
        <v>7.4263565891472876</v>
      </c>
      <c r="AB77" s="387">
        <v>0.25</v>
      </c>
      <c r="AC77" s="387">
        <v>0.25</v>
      </c>
      <c r="AD77" s="294">
        <f>IF(ISERROR(AD68/X68-1),"NM",AD68/X68-1)</f>
        <v>2.5149900066622211E-2</v>
      </c>
      <c r="AE77" s="297"/>
      <c r="AF77" s="294">
        <f>IF(ISERROR(AF68/Z68-1),"NM",AF68/Z68-1)</f>
        <v>-1</v>
      </c>
      <c r="AG77" s="294">
        <f>IF(ISERROR(AG68/AA68-1),"NM",AG68/AA68-1)</f>
        <v>0.24195032198712041</v>
      </c>
      <c r="AH77" s="387">
        <v>0.25</v>
      </c>
      <c r="AI77" s="387">
        <v>0.25</v>
      </c>
      <c r="AJ77" s="294">
        <f>IF(ISERROR(AJ68/AD68-1),"NM",AJ68/AD68-1)</f>
        <v>3.0666125101543429E-2</v>
      </c>
      <c r="AK77" s="297"/>
      <c r="AL77" s="387">
        <v>0.25</v>
      </c>
      <c r="AM77" s="387">
        <v>0.25</v>
      </c>
      <c r="AN77" s="387">
        <v>0.25</v>
      </c>
      <c r="AO77" s="387">
        <v>0.25</v>
      </c>
      <c r="AP77" s="294">
        <f>IF(ISERROR(AP68/AJ68-1),"NM",AP68/AJ68-1)</f>
        <v>-1</v>
      </c>
      <c r="AQ77" s="297"/>
      <c r="AR77" s="387">
        <v>0.25</v>
      </c>
      <c r="AS77" s="387">
        <v>0.25</v>
      </c>
      <c r="AT77" s="387">
        <v>0.25</v>
      </c>
      <c r="AU77" s="387">
        <v>0.25</v>
      </c>
      <c r="AV77" s="294" t="str">
        <f>IF(ISERROR(AV68/AP68-1),"NM",AV68/AP68-1)</f>
        <v>NM</v>
      </c>
      <c r="AW77" s="297"/>
      <c r="AX77" s="387">
        <v>0.25</v>
      </c>
      <c r="AY77" s="387">
        <v>0.25</v>
      </c>
      <c r="AZ77" s="387">
        <v>0.25</v>
      </c>
      <c r="BA77" s="387">
        <v>0.25</v>
      </c>
      <c r="BB77" s="294">
        <f>IF(ISERROR(BB68/AV68-1),"NM",BB68/AV68-1)</f>
        <v>-0.14067278287461771</v>
      </c>
      <c r="BC77" s="297"/>
      <c r="BD77" s="387">
        <v>0.25</v>
      </c>
      <c r="BE77" s="387">
        <v>0.25</v>
      </c>
      <c r="BF77" s="387">
        <v>0.25</v>
      </c>
      <c r="BG77" s="387">
        <v>0.25</v>
      </c>
      <c r="BH77" s="294">
        <f>IF(ISERROR(BH68/BB68-1),"NM",BH68/BB68-1)</f>
        <v>-0.15302491103202853</v>
      </c>
      <c r="BI77" s="297"/>
      <c r="BJ77" s="387">
        <v>0.25</v>
      </c>
      <c r="BK77" s="387">
        <v>0.25</v>
      </c>
      <c r="BL77" s="387">
        <v>0.25</v>
      </c>
      <c r="BM77" s="387">
        <v>0.25</v>
      </c>
      <c r="BN77" s="294">
        <f>IF(ISERROR(BN68/BH68-1),"NM",BN68/BH68-1)</f>
        <v>-0.31792717086834732</v>
      </c>
      <c r="BO77" s="297"/>
      <c r="BP77" s="387">
        <v>0.25</v>
      </c>
      <c r="BQ77" s="387">
        <v>0.25</v>
      </c>
      <c r="BR77" s="387">
        <v>0.25</v>
      </c>
      <c r="BS77" s="387">
        <v>0.25</v>
      </c>
      <c r="BT77" s="294">
        <f>IF(ISERROR(BT68/BN68-1),"NM",BT68/BN68-1)</f>
        <v>0.25</v>
      </c>
      <c r="BU77" s="297"/>
      <c r="BV77" s="387">
        <v>0.25</v>
      </c>
      <c r="BW77" s="387">
        <v>0.25</v>
      </c>
      <c r="BX77" s="387">
        <v>0.25</v>
      </c>
      <c r="BY77" s="387">
        <v>0.25</v>
      </c>
      <c r="BZ77" s="294">
        <f>IF(ISERROR(BZ68/BT68-1),"NM",BZ68/BT68-1)</f>
        <v>0.25</v>
      </c>
      <c r="CA77" s="297"/>
      <c r="CB77" s="387">
        <v>0.25</v>
      </c>
      <c r="CC77" s="387">
        <v>0.25</v>
      </c>
      <c r="CD77" s="387">
        <v>0.25</v>
      </c>
      <c r="CE77" s="387">
        <v>0.25</v>
      </c>
      <c r="CF77" s="294">
        <f>IF(ISERROR(CF68/BZ68-1),"NM",CF68/BZ68-1)</f>
        <v>0.25</v>
      </c>
      <c r="CG77" s="294"/>
    </row>
    <row r="78" spans="1:85" ht="12.75" hidden="1" customHeight="1" outlineLevel="1" x14ac:dyDescent="0.2">
      <c r="A78" s="42"/>
      <c r="B78" s="42"/>
      <c r="C78" s="42"/>
      <c r="D78" s="42"/>
      <c r="E78" s="42"/>
      <c r="F78" s="42"/>
      <c r="G78" s="79"/>
      <c r="H78" s="42"/>
      <c r="I78" s="42"/>
      <c r="J78" s="42"/>
      <c r="K78" s="42"/>
      <c r="L78" s="42"/>
      <c r="M78" s="79"/>
      <c r="N78" s="42"/>
      <c r="O78" s="42"/>
      <c r="P78" s="42"/>
      <c r="Q78" s="42"/>
      <c r="R78" s="42"/>
      <c r="S78" s="79"/>
      <c r="T78" s="42"/>
      <c r="U78" s="42"/>
      <c r="V78" s="42"/>
      <c r="W78" s="42"/>
      <c r="X78" s="42"/>
      <c r="Y78" s="94"/>
      <c r="Z78" s="42"/>
      <c r="AA78" s="42"/>
      <c r="AB78" s="42"/>
      <c r="AC78" s="42"/>
      <c r="AD78" s="42"/>
      <c r="AE78" s="94"/>
      <c r="AF78" s="42"/>
      <c r="AG78" s="42"/>
      <c r="AH78" s="42"/>
      <c r="AI78" s="42"/>
      <c r="AJ78" s="42"/>
      <c r="AK78" s="94"/>
      <c r="AL78" s="42"/>
      <c r="AM78" s="42"/>
      <c r="AN78" s="42"/>
      <c r="AO78" s="42"/>
      <c r="AP78" s="42"/>
      <c r="AQ78" s="94"/>
      <c r="AR78" s="42"/>
      <c r="AS78" s="42"/>
      <c r="AT78" s="42"/>
      <c r="AU78" s="42"/>
      <c r="AV78" s="42"/>
      <c r="AW78" s="94"/>
      <c r="AX78" s="42"/>
      <c r="AY78" s="42"/>
      <c r="AZ78" s="42"/>
      <c r="BA78" s="42"/>
      <c r="BB78" s="42"/>
      <c r="BC78" s="94"/>
      <c r="BD78" s="42"/>
      <c r="BE78" s="42"/>
      <c r="BF78" s="42"/>
      <c r="BG78" s="42"/>
      <c r="BH78" s="42"/>
      <c r="BI78" s="94"/>
      <c r="BJ78" s="42"/>
      <c r="BK78" s="42"/>
      <c r="BL78" s="42"/>
      <c r="BM78" s="42"/>
      <c r="BN78" s="42"/>
      <c r="BO78" s="94"/>
      <c r="BP78" s="42"/>
      <c r="BQ78" s="42"/>
      <c r="BR78" s="42"/>
      <c r="BS78" s="42"/>
      <c r="BT78" s="42"/>
      <c r="BU78" s="94"/>
      <c r="BV78" s="42"/>
      <c r="BW78" s="42"/>
      <c r="BX78" s="42"/>
      <c r="BY78" s="42"/>
      <c r="BZ78" s="42"/>
      <c r="CA78" s="94"/>
      <c r="CB78" s="42"/>
      <c r="CC78" s="42"/>
      <c r="CD78" s="42"/>
      <c r="CE78" s="42"/>
      <c r="CF78" s="42"/>
      <c r="CG78" s="42"/>
    </row>
    <row r="79" spans="1:85" ht="12.75" hidden="1" customHeight="1" outlineLevel="1" x14ac:dyDescent="0.2">
      <c r="A79" s="79" t="s">
        <v>329</v>
      </c>
      <c r="B79" s="90">
        <f>+B36</f>
        <v>6.032</v>
      </c>
      <c r="C79" s="90">
        <f>+C36</f>
        <v>12.452000000000002</v>
      </c>
      <c r="D79" s="90">
        <f>+D36</f>
        <v>9.3369999999999997</v>
      </c>
      <c r="E79" s="90">
        <f>+E36</f>
        <v>1.171999999999997</v>
      </c>
      <c r="F79" s="90">
        <f>+F36</f>
        <v>28.992999999999999</v>
      </c>
      <c r="G79" s="79"/>
      <c r="H79" s="90">
        <f>+H36</f>
        <v>6.2469999999999999</v>
      </c>
      <c r="I79" s="90">
        <f>+I36</f>
        <v>1.274</v>
      </c>
      <c r="J79" s="90">
        <f>+J36</f>
        <v>2.7009999999999996</v>
      </c>
      <c r="K79" s="90">
        <f>+K36</f>
        <v>0.2840000000000007</v>
      </c>
      <c r="L79" s="90">
        <f>+L36</f>
        <v>10.506</v>
      </c>
      <c r="M79" s="79"/>
      <c r="N79" s="90">
        <f>+N36</f>
        <v>3.2519999999999998</v>
      </c>
      <c r="O79" s="90">
        <f>+O36</f>
        <v>0.93299999999999983</v>
      </c>
      <c r="P79" s="90">
        <f>+P36</f>
        <v>2.1910000000000007</v>
      </c>
      <c r="Q79" s="90">
        <f>+Q36</f>
        <v>1.7209999999999992</v>
      </c>
      <c r="R79" s="90">
        <f>+R36</f>
        <v>8.0969999999999995</v>
      </c>
      <c r="S79" s="79"/>
      <c r="T79" s="90">
        <f>+T36</f>
        <v>6.016</v>
      </c>
      <c r="U79" s="90">
        <f>+U36</f>
        <v>1.1970000000000001</v>
      </c>
      <c r="V79" s="90">
        <f>+V36</f>
        <v>3.694</v>
      </c>
      <c r="W79" s="90">
        <f>+W36</f>
        <v>0.91499999999999915</v>
      </c>
      <c r="X79" s="90">
        <f>+X36</f>
        <v>11.821999999999999</v>
      </c>
      <c r="Y79" s="94"/>
      <c r="Z79" s="90">
        <f>+Z36</f>
        <v>5.0679999999999996</v>
      </c>
      <c r="AA79" s="90">
        <f>+AA36</f>
        <v>11.479999999999999</v>
      </c>
      <c r="AB79" s="90">
        <f>-AB69*AB72</f>
        <v>26.832000000000001</v>
      </c>
      <c r="AC79" s="90">
        <f>-AC69*AC72</f>
        <v>4.3488685812000005</v>
      </c>
      <c r="AD79" s="90">
        <f>-AD69*AD72</f>
        <v>39.688461895800003</v>
      </c>
      <c r="AE79" s="94"/>
      <c r="AF79" s="90">
        <f>+AF36</f>
        <v>10.18</v>
      </c>
      <c r="AG79" s="90">
        <f>+AG36</f>
        <v>13.509</v>
      </c>
      <c r="AH79" s="90">
        <f>-AH69*AH72</f>
        <v>27.905280000000001</v>
      </c>
      <c r="AI79" s="90">
        <f t="shared" ref="AI79:AN79" si="65">-AI69*AI72</f>
        <v>3.3825530984026928</v>
      </c>
      <c r="AJ79" s="177">
        <f>SUM(AF79:AI79)</f>
        <v>54.976833098402693</v>
      </c>
      <c r="AK79" s="94"/>
      <c r="AL79" s="90">
        <f t="shared" si="65"/>
        <v>1.6839074982995184</v>
      </c>
      <c r="AM79" s="90">
        <f t="shared" si="65"/>
        <v>1.5018161930018084</v>
      </c>
      <c r="AN79" s="90">
        <f t="shared" si="65"/>
        <v>44.009704138158725</v>
      </c>
      <c r="AO79" s="90">
        <f>-AO69*AO72</f>
        <v>2.358869004135304</v>
      </c>
      <c r="AP79" s="177">
        <f>SUM(AL79:AO79)</f>
        <v>49.554296833595359</v>
      </c>
      <c r="AQ79" s="94"/>
      <c r="AR79" s="90">
        <f>-AR69*AR72</f>
        <v>29.366491019283746</v>
      </c>
      <c r="AS79" s="90">
        <f>-AS69*AS72</f>
        <v>4.7360832505643309</v>
      </c>
      <c r="AT79" s="90">
        <f>-AT69*AT72</f>
        <v>4.9381371840796096</v>
      </c>
      <c r="AU79" s="90">
        <f>-AU69*AU72</f>
        <v>6.4071369991070846</v>
      </c>
      <c r="AV79" s="177">
        <f>SUM(AR79:AU79)</f>
        <v>45.447848453034766</v>
      </c>
      <c r="AW79" s="94"/>
      <c r="AX79" s="90">
        <f>-AX69*AX72</f>
        <v>21.281814553727688</v>
      </c>
      <c r="AY79" s="90">
        <f>-AY69*AY72</f>
        <v>7.2604253762688096</v>
      </c>
      <c r="AZ79" s="90">
        <f>-AZ69*AZ72</f>
        <v>3.9745460935799812</v>
      </c>
      <c r="BA79" s="90">
        <f>-BA69*BA72</f>
        <v>7.4498487914786011</v>
      </c>
      <c r="BB79" s="177">
        <f>SUM(AX79:BA79)</f>
        <v>39.96663481505508</v>
      </c>
      <c r="BC79" s="94"/>
      <c r="BD79" s="90">
        <f>-BD69*BD72</f>
        <v>32.12752634390651</v>
      </c>
      <c r="BE79" s="90">
        <f>-BE69*BE72</f>
        <v>8.4196258756567399</v>
      </c>
      <c r="BF79" s="90">
        <f>-BF69*BF72</f>
        <v>7.9704420560747682</v>
      </c>
      <c r="BG79" s="90">
        <f>-BG69*BG72</f>
        <v>8.7641202796386715</v>
      </c>
      <c r="BH79" s="177">
        <f>SUM(BD79:BG79)</f>
        <v>57.281714555276693</v>
      </c>
      <c r="BI79" s="94"/>
      <c r="BJ79" s="90">
        <f>-BJ69*BJ72</f>
        <v>52.201982418136012</v>
      </c>
      <c r="BK79" s="90">
        <f>-BK69*BK72</f>
        <v>6.2272266982922257</v>
      </c>
      <c r="BL79" s="90">
        <f>-BL69*BL72</f>
        <v>2.4117960721442904</v>
      </c>
      <c r="BM79" s="90">
        <f>-BM69*BM72</f>
        <v>10.49373565370959</v>
      </c>
      <c r="BN79" s="177">
        <f>SUM(BJ79:BM79)</f>
        <v>71.334740842282116</v>
      </c>
      <c r="BO79" s="94"/>
      <c r="BP79" s="90">
        <f>-BP69*BP72</f>
        <v>2.8761870468513857</v>
      </c>
      <c r="BQ79" s="90">
        <f>-BQ69*BQ72</f>
        <v>3.7790575313681214</v>
      </c>
      <c r="BR79" s="90">
        <f>-BR69*BR72</f>
        <v>4.0648361119591971</v>
      </c>
      <c r="BS79" s="90">
        <f>-BS69*BS72</f>
        <v>5.8097133086238566</v>
      </c>
      <c r="BT79" s="177">
        <f>SUM(BP79:BS79)</f>
        <v>16.52979399880256</v>
      </c>
      <c r="BU79" s="94"/>
      <c r="BV79" s="90">
        <f>-BV69*BV72</f>
        <v>4.4689473837654168</v>
      </c>
      <c r="BW79" s="90">
        <f>-BW69*BW72</f>
        <v>5.8206086373657664</v>
      </c>
      <c r="BX79" s="90">
        <f>-BX69*BX72</f>
        <v>6.2551498973150848</v>
      </c>
      <c r="BY79" s="90">
        <f>-BY69*BY72</f>
        <v>8.9350470537889173</v>
      </c>
      <c r="BZ79" s="177">
        <f>SUM(BV79:BY79)</f>
        <v>25.479752972235186</v>
      </c>
      <c r="CA79" s="94"/>
      <c r="CB79" s="90">
        <f>-CB69*CB72</f>
        <v>6.8694320597858098</v>
      </c>
      <c r="CC79" s="90">
        <f>-CC69*CC72</f>
        <v>8.8940855058489028</v>
      </c>
      <c r="CD79" s="90">
        <f>-CD69*CD72</f>
        <v>9.5522015736151253</v>
      </c>
      <c r="CE79" s="90">
        <f>-CE69*CE72</f>
        <v>13.639218753661364</v>
      </c>
      <c r="CF79" s="177">
        <f>SUM(CB79:CE79)</f>
        <v>38.954937892911204</v>
      </c>
      <c r="CG79" s="177"/>
    </row>
    <row r="80" spans="1:85" ht="12.75" hidden="1" customHeight="1" outlineLevel="1" x14ac:dyDescent="0.2">
      <c r="A80" s="42"/>
      <c r="B80" s="42"/>
      <c r="C80" s="42"/>
      <c r="D80" s="42"/>
      <c r="E80" s="42"/>
      <c r="F80" s="42"/>
      <c r="G80" s="79"/>
      <c r="H80" s="42"/>
      <c r="I80" s="42"/>
      <c r="J80" s="42"/>
      <c r="K80" s="42"/>
      <c r="L80" s="42"/>
      <c r="M80" s="79"/>
      <c r="N80" s="42"/>
      <c r="O80" s="42"/>
      <c r="P80" s="42"/>
      <c r="Q80" s="42"/>
      <c r="R80" s="42"/>
      <c r="S80" s="79"/>
      <c r="T80" s="42"/>
      <c r="U80" s="42"/>
      <c r="V80" s="42"/>
      <c r="W80" s="42"/>
      <c r="X80" s="42"/>
      <c r="Y80" s="94"/>
      <c r="Z80" s="42"/>
      <c r="AA80" s="42"/>
      <c r="AB80" s="42"/>
      <c r="AC80" s="42"/>
      <c r="AD80" s="42"/>
      <c r="AE80" s="94"/>
      <c r="AF80" s="42"/>
      <c r="AG80" s="42"/>
      <c r="AH80" s="42"/>
      <c r="AI80" s="42"/>
      <c r="AJ80" s="42"/>
      <c r="AK80" s="94"/>
      <c r="AL80" s="42"/>
      <c r="AM80" s="42"/>
      <c r="AN80" s="42"/>
      <c r="AO80" s="42"/>
      <c r="AP80" s="42"/>
      <c r="AQ80" s="94"/>
      <c r="AR80" s="42"/>
      <c r="AS80" s="42"/>
      <c r="AT80" s="42"/>
      <c r="AU80" s="42"/>
      <c r="AV80" s="42"/>
      <c r="AW80" s="94"/>
      <c r="AX80" s="42"/>
      <c r="AY80" s="42"/>
      <c r="AZ80" s="42"/>
      <c r="BA80" s="42"/>
      <c r="BB80" s="42"/>
      <c r="BC80" s="94"/>
      <c r="BD80" s="42"/>
      <c r="BE80" s="42"/>
      <c r="BF80" s="42"/>
      <c r="BG80" s="42"/>
      <c r="BH80" s="42"/>
      <c r="BI80" s="94"/>
      <c r="BJ80" s="42"/>
      <c r="BK80" s="42"/>
      <c r="BL80" s="42"/>
      <c r="BM80" s="42"/>
      <c r="BN80" s="42"/>
      <c r="BO80" s="94"/>
      <c r="BP80" s="42"/>
      <c r="BQ80" s="42"/>
      <c r="BR80" s="42"/>
      <c r="BS80" s="42"/>
      <c r="BT80" s="42"/>
      <c r="BU80" s="94"/>
      <c r="BV80" s="42"/>
      <c r="BW80" s="42"/>
      <c r="BX80" s="42"/>
      <c r="BY80" s="42"/>
      <c r="BZ80" s="42"/>
      <c r="CA80" s="94"/>
      <c r="CB80" s="42"/>
      <c r="CC80" s="42"/>
      <c r="CD80" s="42"/>
      <c r="CE80" s="42"/>
      <c r="CF80" s="42"/>
      <c r="CG80" s="42"/>
    </row>
    <row r="81" spans="1:85" ht="12.75" hidden="1" customHeight="1" outlineLevel="1" x14ac:dyDescent="0.2">
      <c r="A81" s="24" t="s">
        <v>320</v>
      </c>
      <c r="B81" s="42"/>
      <c r="C81" s="42"/>
      <c r="D81" s="42"/>
      <c r="E81" s="42"/>
      <c r="F81" s="42"/>
      <c r="G81" s="31"/>
      <c r="H81" s="42"/>
      <c r="I81" s="42"/>
      <c r="J81" s="42"/>
      <c r="K81" s="42"/>
      <c r="L81" s="42"/>
      <c r="M81" s="31"/>
      <c r="N81" s="42"/>
      <c r="O81" s="42"/>
      <c r="P81" s="42"/>
      <c r="Q81" s="42"/>
      <c r="R81" s="42"/>
      <c r="S81" s="31"/>
      <c r="T81" s="42"/>
      <c r="U81" s="42"/>
      <c r="V81" s="42"/>
      <c r="W81" s="42"/>
      <c r="X81" s="42"/>
      <c r="Y81" s="94"/>
      <c r="Z81" s="42"/>
      <c r="AA81" s="42"/>
      <c r="AB81" s="42"/>
      <c r="AC81" s="42"/>
      <c r="AD81" s="42"/>
      <c r="AE81" s="94"/>
      <c r="AF81" s="42"/>
      <c r="AG81" s="42"/>
      <c r="AH81" s="42"/>
      <c r="AI81" s="42"/>
      <c r="AJ81" s="42"/>
      <c r="AK81" s="94"/>
      <c r="AL81" s="42"/>
      <c r="AM81" s="42"/>
      <c r="AN81" s="42"/>
      <c r="AO81" s="42"/>
      <c r="AP81" s="42"/>
      <c r="AQ81" s="94"/>
      <c r="AR81" s="42"/>
      <c r="AS81" s="42"/>
      <c r="AT81" s="42"/>
      <c r="AU81" s="42"/>
      <c r="AV81" s="42"/>
      <c r="AW81" s="94"/>
      <c r="AX81" s="42"/>
      <c r="AY81" s="42"/>
      <c r="AZ81" s="42"/>
      <c r="BA81" s="42"/>
      <c r="BB81" s="42"/>
      <c r="BC81" s="94"/>
      <c r="BD81" s="42"/>
      <c r="BE81" s="42"/>
      <c r="BF81" s="42"/>
      <c r="BG81" s="42"/>
      <c r="BH81" s="42"/>
      <c r="BI81" s="94"/>
      <c r="BJ81" s="42"/>
      <c r="BK81" s="42"/>
      <c r="BL81" s="42"/>
      <c r="BM81" s="42"/>
      <c r="BN81" s="42"/>
      <c r="BO81" s="94"/>
      <c r="BP81" s="42"/>
      <c r="BQ81" s="42"/>
      <c r="BR81" s="42"/>
      <c r="BS81" s="42"/>
      <c r="BT81" s="42"/>
      <c r="BU81" s="94"/>
      <c r="BV81" s="42"/>
      <c r="BW81" s="42"/>
      <c r="BX81" s="42"/>
      <c r="BY81" s="42"/>
      <c r="BZ81" s="42"/>
      <c r="CA81" s="94"/>
      <c r="CB81" s="42"/>
      <c r="CC81" s="42"/>
      <c r="CD81" s="42"/>
      <c r="CE81" s="42"/>
      <c r="CF81" s="42"/>
      <c r="CG81" s="42"/>
    </row>
    <row r="82" spans="1:85" ht="12.75" hidden="1" customHeight="1" outlineLevel="1" x14ac:dyDescent="0.2">
      <c r="A82" s="79" t="s">
        <v>321</v>
      </c>
      <c r="B82" s="301">
        <f>+B83/B84</f>
        <v>0</v>
      </c>
      <c r="C82" s="301">
        <f>+C83/C84</f>
        <v>0</v>
      </c>
      <c r="D82" s="301">
        <f>+D83/D84</f>
        <v>0</v>
      </c>
      <c r="E82" s="301">
        <f>+E83/E84</f>
        <v>0</v>
      </c>
      <c r="F82" s="301">
        <f>+F83/F84</f>
        <v>0</v>
      </c>
      <c r="G82" s="31"/>
      <c r="H82" s="301">
        <f>+H83/H84</f>
        <v>0</v>
      </c>
      <c r="I82" s="301">
        <f>+I83/I84</f>
        <v>2.3488742566656287</v>
      </c>
      <c r="J82" s="301">
        <f>+J83/J84</f>
        <v>0.98264230055084378</v>
      </c>
      <c r="K82" s="301">
        <f>+K83/K84</f>
        <v>1.4761960966429979</v>
      </c>
      <c r="L82" s="301">
        <f>+L83/L84</f>
        <v>4.5659372592974812</v>
      </c>
      <c r="M82" s="31"/>
      <c r="N82" s="301">
        <f>+N83/N84</f>
        <v>0</v>
      </c>
      <c r="O82" s="301">
        <f>+O83/O84</f>
        <v>0</v>
      </c>
      <c r="P82" s="301">
        <f>+P83/P84</f>
        <v>0</v>
      </c>
      <c r="Q82" s="301">
        <f>+Q83/Q84</f>
        <v>0</v>
      </c>
      <c r="R82" s="301">
        <f>+R83/R84</f>
        <v>0</v>
      </c>
      <c r="S82" s="31"/>
      <c r="T82" s="301">
        <f>+T83/T84</f>
        <v>0</v>
      </c>
      <c r="U82" s="301">
        <f>+U83/U84</f>
        <v>0</v>
      </c>
      <c r="V82" s="301">
        <f>+V83/V84</f>
        <v>0</v>
      </c>
      <c r="W82" s="301">
        <f>+W83/W84</f>
        <v>0</v>
      </c>
      <c r="X82" s="301">
        <f>+X83/X84</f>
        <v>0</v>
      </c>
      <c r="Y82" s="94"/>
      <c r="Z82" s="301">
        <f>+Z83/Z84</f>
        <v>0</v>
      </c>
      <c r="AA82" s="301">
        <f>+AA83/AA84</f>
        <v>0</v>
      </c>
      <c r="AB82" s="301">
        <f>+AB83/AB84</f>
        <v>0</v>
      </c>
      <c r="AC82" s="301">
        <f>+AC83/AC84</f>
        <v>0.35952162110589431</v>
      </c>
      <c r="AD82" s="301">
        <f>+AD83/AD84</f>
        <v>0.39660797373323797</v>
      </c>
      <c r="AE82" s="94"/>
      <c r="AF82" s="301">
        <f>+AF83/AF84</f>
        <v>0.12219097519920177</v>
      </c>
      <c r="AG82" s="301">
        <f>+AG83/AG84</f>
        <v>0</v>
      </c>
      <c r="AH82" s="301">
        <f>+AH83/AH84</f>
        <v>0.32292482606796274</v>
      </c>
      <c r="AI82" s="301">
        <f>+AI83/AI84</f>
        <v>1.5081837459160705</v>
      </c>
      <c r="AJ82" s="301">
        <f>+AJ83/AJ84</f>
        <v>2.237756371219036</v>
      </c>
      <c r="AK82" s="94"/>
      <c r="AL82" s="301">
        <f>+AL83/AL84</f>
        <v>0.10263267330519327</v>
      </c>
      <c r="AM82" s="301">
        <f>+AM83/AM84</f>
        <v>4.9143108475815378</v>
      </c>
      <c r="AN82" s="301">
        <f>+AN83/AN84</f>
        <v>-1.158433154210561E-4</v>
      </c>
      <c r="AO82" s="301">
        <f>+AO83/AO84</f>
        <v>7.0118647679949693E-5</v>
      </c>
      <c r="AP82" s="301">
        <f>+AP83/AP84</f>
        <v>3.9206479175057747</v>
      </c>
      <c r="AQ82" s="94"/>
      <c r="AR82" s="301">
        <f>+AR83/AR84</f>
        <v>0</v>
      </c>
      <c r="AS82" s="301">
        <f>+AS83/AS84</f>
        <v>1.6139633356825185</v>
      </c>
      <c r="AT82" s="301">
        <f>+AT83/AT84</f>
        <v>0.16365902294830034</v>
      </c>
      <c r="AU82" s="301">
        <f>+AU83/AU84</f>
        <v>0.63460424787287573</v>
      </c>
      <c r="AV82" s="301">
        <f>+AV83/AV84</f>
        <v>2.3250123762219506</v>
      </c>
      <c r="AW82" s="94"/>
      <c r="AX82" s="301">
        <f>+AX83/AX84</f>
        <v>3.1255996491452311E-2</v>
      </c>
      <c r="AY82" s="301">
        <f>+AY83/AY84</f>
        <v>1.1851079473995463</v>
      </c>
      <c r="AZ82" s="301">
        <f>+AZ83/AZ84</f>
        <v>0.3157043908993119</v>
      </c>
      <c r="BA82" s="301">
        <f>+BA83/BA84</f>
        <v>0.17439482104003712</v>
      </c>
      <c r="BB82" s="301">
        <f>+BB83/BB84</f>
        <v>1.6977917105165019</v>
      </c>
      <c r="BC82" s="94"/>
      <c r="BD82" s="301">
        <f>+BD83/BD84</f>
        <v>0</v>
      </c>
      <c r="BE82" s="301">
        <f>+BE83/BE84</f>
        <v>0.65385118347064208</v>
      </c>
      <c r="BF82" s="301">
        <f>+BF83/BF84</f>
        <v>9.0390357182350972E-2</v>
      </c>
      <c r="BG82" s="301">
        <f>+BG83/BG84</f>
        <v>0.40969200947663154</v>
      </c>
      <c r="BH82" s="856">
        <f>+BH83/BH84</f>
        <v>1.1833476817119666</v>
      </c>
      <c r="BI82" s="94"/>
      <c r="BJ82" s="301">
        <f>+BJ83/BJ84</f>
        <v>3.7548847907074114E-2</v>
      </c>
      <c r="BK82" s="301">
        <f>+BK83/BK84</f>
        <v>0.36868278204778238</v>
      </c>
      <c r="BL82" s="301">
        <f>+BL83/BL84</f>
        <v>0</v>
      </c>
      <c r="BM82" s="301">
        <f>+BM83/BM84</f>
        <v>0.22012409131569652</v>
      </c>
      <c r="BN82" s="856">
        <f>+BN83/BN84</f>
        <v>0.65383818081106626</v>
      </c>
      <c r="BO82" s="94"/>
      <c r="BP82" s="301">
        <f>+BP83/BP84</f>
        <v>0.34029571495008504</v>
      </c>
      <c r="BQ82" s="301">
        <f>+BQ83/BQ84</f>
        <v>0.33795921687713387</v>
      </c>
      <c r="BR82" s="301">
        <f>+BR83/BR84</f>
        <v>0.33464943645591194</v>
      </c>
      <c r="BS82" s="301">
        <f>+BS83/BS84</f>
        <v>0.25222552129923559</v>
      </c>
      <c r="BT82" s="301">
        <f>+BT83/BT84</f>
        <v>1.2450911290779474</v>
      </c>
      <c r="BU82" s="94"/>
      <c r="BV82" s="301">
        <f>+BV83/BV84</f>
        <v>0.32281016437952736</v>
      </c>
      <c r="BW82" s="301">
        <f>+BW83/BW84</f>
        <v>0.32059372351981086</v>
      </c>
      <c r="BX82" s="301">
        <f>+BX83/BX84</f>
        <v>0.31745401086726827</v>
      </c>
      <c r="BY82" s="301">
        <f>+BY83/BY84</f>
        <v>0.23926531664749626</v>
      </c>
      <c r="BZ82" s="301">
        <f>+BZ83/BZ84</f>
        <v>1.1811141145403454</v>
      </c>
      <c r="CA82" s="94"/>
      <c r="CB82" s="301">
        <f>+CB83/CB84</f>
        <v>0.32748857255894082</v>
      </c>
      <c r="CC82" s="301">
        <f>+CC83/CC84</f>
        <v>0.32524000936792402</v>
      </c>
      <c r="CD82" s="301">
        <f>+CD83/CD84</f>
        <v>0.32205479363346057</v>
      </c>
      <c r="CE82" s="301">
        <f>+CE83/CE84</f>
        <v>0.24273292993224257</v>
      </c>
      <c r="CF82" s="301">
        <f>+CF83/CF84</f>
        <v>1.1982317104032489</v>
      </c>
      <c r="CG82" s="301"/>
    </row>
    <row r="83" spans="1:85" ht="12.75" hidden="1" customHeight="1" outlineLevel="1" x14ac:dyDescent="0.2">
      <c r="A83" s="79" t="s">
        <v>322</v>
      </c>
      <c r="B83" s="302">
        <f>-B38</f>
        <v>0</v>
      </c>
      <c r="C83" s="302">
        <f>-C38</f>
        <v>0</v>
      </c>
      <c r="D83" s="302">
        <f>-D38</f>
        <v>0</v>
      </c>
      <c r="E83" s="302">
        <f>-E38</f>
        <v>0</v>
      </c>
      <c r="F83" s="302">
        <f>-F38</f>
        <v>0</v>
      </c>
      <c r="G83" s="175"/>
      <c r="H83" s="302">
        <f>-H38</f>
        <v>0</v>
      </c>
      <c r="I83" s="302">
        <f>-I38</f>
        <v>27.686</v>
      </c>
      <c r="J83" s="302">
        <f>-J38</f>
        <v>11.746000000000002</v>
      </c>
      <c r="K83" s="302">
        <f>-K38</f>
        <v>10.705999999999996</v>
      </c>
      <c r="L83" s="302">
        <f>-L38</f>
        <v>50.137999999999998</v>
      </c>
      <c r="M83" s="175"/>
      <c r="N83" s="302">
        <f>-N38</f>
        <v>0</v>
      </c>
      <c r="O83" s="302">
        <f>-O38</f>
        <v>0</v>
      </c>
      <c r="P83" s="302">
        <f>-P38</f>
        <v>0</v>
      </c>
      <c r="Q83" s="302">
        <f>-Q38</f>
        <v>0</v>
      </c>
      <c r="R83" s="302">
        <f>-R38</f>
        <v>0</v>
      </c>
      <c r="S83" s="175"/>
      <c r="T83" s="302">
        <f>-T38</f>
        <v>0</v>
      </c>
      <c r="U83" s="302">
        <f>-U38</f>
        <v>0</v>
      </c>
      <c r="V83" s="302">
        <f>-V38</f>
        <v>0</v>
      </c>
      <c r="W83" s="302">
        <f>-W38</f>
        <v>0</v>
      </c>
      <c r="X83" s="302">
        <f>-X38</f>
        <v>0</v>
      </c>
      <c r="Y83" s="114"/>
      <c r="Z83" s="302">
        <f>-Z38</f>
        <v>0</v>
      </c>
      <c r="AA83" s="302">
        <f>-AA38</f>
        <v>0</v>
      </c>
      <c r="AB83" s="302">
        <f>-AB38</f>
        <v>0</v>
      </c>
      <c r="AC83" s="302">
        <f>-AC38</f>
        <v>7.7539999999999996</v>
      </c>
      <c r="AD83" s="302">
        <f>-AD38</f>
        <v>7.7539999999999996</v>
      </c>
      <c r="AE83" s="114"/>
      <c r="AF83" s="302">
        <f>-AF38</f>
        <v>2.524</v>
      </c>
      <c r="AG83" s="302">
        <f>-AG38</f>
        <v>0</v>
      </c>
      <c r="AH83" s="302">
        <f>-AH38</f>
        <v>7.2719999999999994</v>
      </c>
      <c r="AI83" s="302">
        <f>-AI38</f>
        <v>37.407000000000004</v>
      </c>
      <c r="AJ83" s="302">
        <f>-AJ38</f>
        <v>47.203000000000003</v>
      </c>
      <c r="AK83" s="114"/>
      <c r="AL83" s="302">
        <f>-AL38</f>
        <v>2.4380000000000002</v>
      </c>
      <c r="AM83" s="302">
        <f>-AM38</f>
        <v>92.67</v>
      </c>
      <c r="AN83" s="302">
        <f>-AN38</f>
        <v>-2.9999999999978932E-3</v>
      </c>
      <c r="AO83" s="302">
        <f>-AO38</f>
        <v>1.9999999999975593E-3</v>
      </c>
      <c r="AP83" s="302">
        <f>-AP38</f>
        <v>95.106999999999999</v>
      </c>
      <c r="AQ83" s="114"/>
      <c r="AR83" s="302">
        <f>-AR38</f>
        <v>0</v>
      </c>
      <c r="AS83" s="302">
        <f>-AS38</f>
        <v>70</v>
      </c>
      <c r="AT83" s="302">
        <f>-AT38</f>
        <v>7.4170000000000016</v>
      </c>
      <c r="AU83" s="302">
        <f>-AU38</f>
        <v>20.816000000000003</v>
      </c>
      <c r="AV83" s="302">
        <f>-AV38</f>
        <v>98.233000000000004</v>
      </c>
      <c r="AW83" s="114"/>
      <c r="AX83" s="302">
        <f>-AX38</f>
        <v>1.7809999999999999</v>
      </c>
      <c r="AY83" s="302">
        <f>-AY38</f>
        <v>70</v>
      </c>
      <c r="AZ83" s="302">
        <f>-AZ38</f>
        <v>18.821999999999989</v>
      </c>
      <c r="BA83" s="302">
        <f>-BA38</f>
        <v>11.188000000000002</v>
      </c>
      <c r="BB83" s="302">
        <f>-BB38</f>
        <v>101.791</v>
      </c>
      <c r="BC83" s="114"/>
      <c r="BD83" s="302">
        <f>-BD38</f>
        <v>0</v>
      </c>
      <c r="BE83" s="302">
        <f>-BE38</f>
        <v>50</v>
      </c>
      <c r="BF83" s="302">
        <f>-BF38</f>
        <v>8.1739999999999995</v>
      </c>
      <c r="BG83" s="302">
        <f>-BG38</f>
        <v>38.044000000000004</v>
      </c>
      <c r="BH83" s="302">
        <f>-BH38</f>
        <v>96.218000000000004</v>
      </c>
      <c r="BI83" s="114"/>
      <c r="BJ83" s="302">
        <f>-BJ38</f>
        <v>3.7930000000000001</v>
      </c>
      <c r="BK83" s="302">
        <f>-BK38</f>
        <v>50</v>
      </c>
      <c r="BL83" s="302">
        <f>-BL38</f>
        <v>0</v>
      </c>
      <c r="BM83" s="302">
        <f>-BM38</f>
        <v>50.000000000000007</v>
      </c>
      <c r="BN83" s="302">
        <f>-BN38</f>
        <v>103.79300000000001</v>
      </c>
      <c r="BO83" s="114"/>
      <c r="BP83" s="302">
        <f>-BP38</f>
        <v>68.75</v>
      </c>
      <c r="BQ83" s="302">
        <f>-BQ38</f>
        <v>68.75</v>
      </c>
      <c r="BR83" s="302">
        <f>-BR38</f>
        <v>68.75</v>
      </c>
      <c r="BS83" s="302">
        <f>-BS38</f>
        <v>68.75</v>
      </c>
      <c r="BT83" s="302">
        <f>-BT38</f>
        <v>275</v>
      </c>
      <c r="BU83" s="114"/>
      <c r="BV83" s="302">
        <f>-BV38</f>
        <v>75</v>
      </c>
      <c r="BW83" s="302">
        <f>-BW38</f>
        <v>75</v>
      </c>
      <c r="BX83" s="302">
        <f>-BX38</f>
        <v>75</v>
      </c>
      <c r="BY83" s="302">
        <f>-BY38</f>
        <v>75</v>
      </c>
      <c r="BZ83" s="302">
        <f>-BZ38</f>
        <v>300</v>
      </c>
      <c r="CA83" s="114"/>
      <c r="CB83" s="302">
        <f>-CB38</f>
        <v>87.5</v>
      </c>
      <c r="CC83" s="302">
        <f>-CC38</f>
        <v>87.5</v>
      </c>
      <c r="CD83" s="302">
        <f>-CD38</f>
        <v>87.5</v>
      </c>
      <c r="CE83" s="302">
        <f>-CE38</f>
        <v>87.5</v>
      </c>
      <c r="CF83" s="302">
        <f>-CF38</f>
        <v>350</v>
      </c>
      <c r="CG83" s="302"/>
    </row>
    <row r="84" spans="1:85" ht="12.75" hidden="1" customHeight="1" outlineLevel="1" x14ac:dyDescent="0.2">
      <c r="A84" s="79" t="s">
        <v>323</v>
      </c>
      <c r="B84" s="288">
        <v>15.769231</v>
      </c>
      <c r="C84" s="288">
        <v>21.428920000000002</v>
      </c>
      <c r="D84" s="288">
        <v>25.217120000000001</v>
      </c>
      <c r="E84" s="288">
        <v>20.256970000000003</v>
      </c>
      <c r="F84" s="288">
        <v>20.691870000000002</v>
      </c>
      <c r="G84" s="181"/>
      <c r="H84" s="288">
        <v>12.973077</v>
      </c>
      <c r="I84" s="288">
        <v>11.786923</v>
      </c>
      <c r="J84" s="288">
        <v>11.953484999999999</v>
      </c>
      <c r="K84" s="288">
        <v>7.2524239999999995</v>
      </c>
      <c r="L84" s="288">
        <v>10.980877999999999</v>
      </c>
      <c r="M84" s="181"/>
      <c r="N84" s="288">
        <v>8.0860939999999992</v>
      </c>
      <c r="O84" s="288">
        <v>10.832153999999999</v>
      </c>
      <c r="P84" s="288">
        <v>11.937265</v>
      </c>
      <c r="Q84" s="288">
        <v>16.630760000000002</v>
      </c>
      <c r="R84" s="288">
        <v>11.904556999999999</v>
      </c>
      <c r="S84" s="289"/>
      <c r="T84" s="288">
        <v>18.189060000000001</v>
      </c>
      <c r="U84" s="288">
        <v>16.397540000000003</v>
      </c>
      <c r="V84" s="288">
        <v>17.027730000000002</v>
      </c>
      <c r="W84" s="288">
        <v>18.754390000000001</v>
      </c>
      <c r="X84" s="288">
        <v>17.592180000000003</v>
      </c>
      <c r="Y84" s="94"/>
      <c r="Z84" s="288">
        <v>20.656190000000002</v>
      </c>
      <c r="AA84" s="288">
        <v>16.397540000000003</v>
      </c>
      <c r="AB84" s="288">
        <f>+V84*(1+AB85)</f>
        <v>19.581889499999999</v>
      </c>
      <c r="AC84" s="288">
        <f>+W84*(1+AC85)</f>
        <v>21.567548500000001</v>
      </c>
      <c r="AD84" s="288">
        <f>+AVERAGE(Z84:AC84)</f>
        <v>19.550792000000001</v>
      </c>
      <c r="AE84" s="94"/>
      <c r="AF84" s="288">
        <v>20.656190000000002</v>
      </c>
      <c r="AG84" s="288">
        <v>16.397540000000003</v>
      </c>
      <c r="AH84" s="288">
        <f>+AB84*(1+AH85)</f>
        <v>22.519172924999996</v>
      </c>
      <c r="AI84" s="288">
        <f>+AC84*(1+AI85)</f>
        <v>24.802680774999999</v>
      </c>
      <c r="AJ84" s="288">
        <f>+AVERAGE(AF84:AI84)</f>
        <v>21.093895924999998</v>
      </c>
      <c r="AK84" s="94"/>
      <c r="AL84" s="288">
        <f>+AF84*(1+AL85)</f>
        <v>23.754618499999999</v>
      </c>
      <c r="AM84" s="288">
        <f>+AG84*(1+AM85)</f>
        <v>18.857171000000001</v>
      </c>
      <c r="AN84" s="288">
        <f>+AH84*(1+AN85)</f>
        <v>25.897048863749994</v>
      </c>
      <c r="AO84" s="288">
        <f>+AI84*(1+AO85)</f>
        <v>28.523082891249995</v>
      </c>
      <c r="AP84" s="288">
        <f>+AVERAGE(AL84:AO84)</f>
        <v>24.257980313749997</v>
      </c>
      <c r="AQ84" s="94"/>
      <c r="AR84" s="288">
        <f>+AL84*(1+AR85)</f>
        <v>47.509236999999999</v>
      </c>
      <c r="AS84" s="288">
        <f>+AM84*(1+AS85)</f>
        <v>43.371493299999997</v>
      </c>
      <c r="AT84" s="288">
        <f>+AN84*(1+AT85)</f>
        <v>45.319835511562488</v>
      </c>
      <c r="AU84" s="288">
        <f>+AO84*(1+AU85)</f>
        <v>32.801545324937493</v>
      </c>
      <c r="AV84" s="288">
        <f>+AVERAGE(AR84:AU84)</f>
        <v>42.250527784124998</v>
      </c>
      <c r="AW84" s="94"/>
      <c r="AX84" s="825">
        <v>56.981066032786906</v>
      </c>
      <c r="AY84" s="825">
        <v>59.066349317460329</v>
      </c>
      <c r="AZ84" s="825">
        <v>59.61906309375</v>
      </c>
      <c r="BA84" s="825">
        <v>64.153281234375015</v>
      </c>
      <c r="BB84" s="288">
        <f>+AVERAGE(AX84:BA84)</f>
        <v>59.954939919593059</v>
      </c>
      <c r="BC84" s="94"/>
      <c r="BD84" s="641">
        <v>65.48</v>
      </c>
      <c r="BE84" s="641">
        <v>76.47</v>
      </c>
      <c r="BF84" s="641">
        <v>90.43</v>
      </c>
      <c r="BG84" s="641">
        <v>92.86</v>
      </c>
      <c r="BH84" s="826">
        <f>+AVERAGE(BD84:BG84)</f>
        <v>81.31</v>
      </c>
      <c r="BI84" s="94"/>
      <c r="BJ84" s="825">
        <v>101.01508332258067</v>
      </c>
      <c r="BK84" s="825">
        <v>135.6179415873016</v>
      </c>
      <c r="BL84" s="825">
        <v>171.19905317460322</v>
      </c>
      <c r="BM84" s="641">
        <v>227.14460603174618</v>
      </c>
      <c r="BN84" s="826">
        <f>+AVERAGE(BJ84:BM84)</f>
        <v>158.74417102905792</v>
      </c>
      <c r="BO84" s="94"/>
      <c r="BP84" s="288">
        <f>+BJ84*(1+BP85)</f>
        <v>202.03016664516133</v>
      </c>
      <c r="BQ84" s="288">
        <f>+BK84*(1+BQ85)</f>
        <v>203.42691238095239</v>
      </c>
      <c r="BR84" s="288">
        <f>+BL84*(1+BR85)</f>
        <v>205.43886380952387</v>
      </c>
      <c r="BS84" s="288">
        <f>+BM84*(1+BS85)</f>
        <v>272.57352723809538</v>
      </c>
      <c r="BT84" s="288">
        <f>+AVERAGE(BP84:BS84)</f>
        <v>220.86736751843324</v>
      </c>
      <c r="BU84" s="94"/>
      <c r="BV84" s="288">
        <f>+BP84*(1+BV85)</f>
        <v>232.33469164193551</v>
      </c>
      <c r="BW84" s="288">
        <f>+BQ84*(1+BW85)</f>
        <v>233.94094923809521</v>
      </c>
      <c r="BX84" s="288">
        <f>+BR84*(1+BX85)</f>
        <v>236.25469338095243</v>
      </c>
      <c r="BY84" s="288">
        <f>+BS84*(1+BY85)</f>
        <v>313.45955632380964</v>
      </c>
      <c r="BZ84" s="288">
        <f>+AVERAGE(BV84:BY84)</f>
        <v>253.99747264619822</v>
      </c>
      <c r="CA84" s="94"/>
      <c r="CB84" s="288">
        <f>+BV84*(1+CB85)</f>
        <v>267.18489538822581</v>
      </c>
      <c r="CC84" s="288">
        <f>+BW84*(1+CC85)</f>
        <v>269.03209162380949</v>
      </c>
      <c r="CD84" s="288">
        <f>+BX84*(1+CD85)</f>
        <v>271.69289738809528</v>
      </c>
      <c r="CE84" s="288">
        <f>+BY84*(1+CE85)</f>
        <v>360.47848977238107</v>
      </c>
      <c r="CF84" s="288">
        <f>+AVERAGE(CB84:CE84)</f>
        <v>292.09709354312793</v>
      </c>
      <c r="CG84" s="288"/>
    </row>
    <row r="85" spans="1:85" ht="12.75" hidden="1" customHeight="1" outlineLevel="1" x14ac:dyDescent="0.2">
      <c r="A85" s="303" t="s">
        <v>324</v>
      </c>
      <c r="B85" s="42"/>
      <c r="C85" s="42"/>
      <c r="D85" s="42"/>
      <c r="E85" s="42"/>
      <c r="F85" s="93"/>
      <c r="G85" s="183"/>
      <c r="H85" s="93">
        <f>H84/B84-1</f>
        <v>-0.17731708033194515</v>
      </c>
      <c r="I85" s="93">
        <f>I84/C84-1</f>
        <v>-0.44995254077200353</v>
      </c>
      <c r="J85" s="93">
        <f>J84/D84-1</f>
        <v>-0.52597739154986778</v>
      </c>
      <c r="K85" s="93">
        <f>K84/E84-1</f>
        <v>-0.64197883493928276</v>
      </c>
      <c r="L85" s="93">
        <f>L84/F84-1</f>
        <v>-0.46931437322967917</v>
      </c>
      <c r="M85" s="183"/>
      <c r="N85" s="93">
        <f>N84/H84-1</f>
        <v>-0.37670191890482119</v>
      </c>
      <c r="O85" s="93">
        <f>O84/I84-1</f>
        <v>-8.1002395620977663E-2</v>
      </c>
      <c r="P85" s="93">
        <f>P84/J84-1</f>
        <v>-1.3569264528293656E-3</v>
      </c>
      <c r="Q85" s="93">
        <f>Q84/K84-1</f>
        <v>1.2931312344672627</v>
      </c>
      <c r="R85" s="93">
        <f>R84/L84-1</f>
        <v>8.4117044192641099E-2</v>
      </c>
      <c r="S85" s="183"/>
      <c r="T85" s="93">
        <f>T84/N84-1</f>
        <v>1.2494247531626521</v>
      </c>
      <c r="U85" s="93">
        <f>U84/O84-1</f>
        <v>0.513783869764038</v>
      </c>
      <c r="V85" s="93">
        <f>V84/P84-1</f>
        <v>0.42643478217162833</v>
      </c>
      <c r="W85" s="93">
        <f>W84/Q84-1</f>
        <v>0.12769290158717927</v>
      </c>
      <c r="X85" s="93">
        <f>X84/R84-1</f>
        <v>0.47776855535237517</v>
      </c>
      <c r="Y85" s="114"/>
      <c r="Z85" s="93">
        <f>Z84/T84-1</f>
        <v>0.13563812533467923</v>
      </c>
      <c r="AA85" s="93">
        <f>AA84/U84-1</f>
        <v>0</v>
      </c>
      <c r="AB85" s="388">
        <v>0.15</v>
      </c>
      <c r="AC85" s="388">
        <v>0.15</v>
      </c>
      <c r="AD85" s="93">
        <f>AD84/X84-1</f>
        <v>0.11133424055461005</v>
      </c>
      <c r="AE85" s="114"/>
      <c r="AF85" s="93">
        <f>AF84/Z84-1</f>
        <v>0</v>
      </c>
      <c r="AG85" s="93">
        <f>AG84/AA84-1</f>
        <v>0</v>
      </c>
      <c r="AH85" s="388">
        <v>0.15</v>
      </c>
      <c r="AI85" s="388">
        <v>0.15</v>
      </c>
      <c r="AJ85" s="93">
        <f>AJ84/AD84-1</f>
        <v>7.892794956848781E-2</v>
      </c>
      <c r="AK85" s="114"/>
      <c r="AL85" s="388">
        <v>0.15</v>
      </c>
      <c r="AM85" s="388">
        <v>0.15</v>
      </c>
      <c r="AN85" s="388">
        <v>0.15</v>
      </c>
      <c r="AO85" s="388">
        <v>0.15</v>
      </c>
      <c r="AP85" s="93">
        <f>AP84/AJ84-1</f>
        <v>0.14999999999999991</v>
      </c>
      <c r="AQ85" s="114"/>
      <c r="AR85" s="388">
        <v>1</v>
      </c>
      <c r="AS85" s="388">
        <v>1.3</v>
      </c>
      <c r="AT85" s="388">
        <v>0.75</v>
      </c>
      <c r="AU85" s="388">
        <v>0.15</v>
      </c>
      <c r="AV85" s="93">
        <f>AV84/AP84-1</f>
        <v>0.7417166325333524</v>
      </c>
      <c r="AW85" s="114"/>
      <c r="AX85" s="93">
        <f>AX84/AR84-1</f>
        <v>0.19936815724459866</v>
      </c>
      <c r="AY85" s="93">
        <f>AY84/AS84-1</f>
        <v>0.36187031672853043</v>
      </c>
      <c r="AZ85" s="93">
        <f>AZ84/AT84-1</f>
        <v>0.31551808211085275</v>
      </c>
      <c r="BA85" s="93">
        <f>BA84/AU84-1</f>
        <v>0.95580057582233025</v>
      </c>
      <c r="BB85" s="93">
        <f>BB84/AV84-1</f>
        <v>0.41903410593891399</v>
      </c>
      <c r="BC85" s="114"/>
      <c r="BD85" s="93">
        <f>BD84/AX84-1</f>
        <v>0.14915364978118895</v>
      </c>
      <c r="BE85" s="93">
        <f>BE84/AY84-1</f>
        <v>0.29464578196633284</v>
      </c>
      <c r="BF85" s="93">
        <f>BF84/AZ84-1</f>
        <v>0.51679673090132794</v>
      </c>
      <c r="BG85" s="93">
        <f>BG84/BA84-1</f>
        <v>0.44747077956541315</v>
      </c>
      <c r="BH85" s="93">
        <f>BH84/BB84-1</f>
        <v>0.35618516354193175</v>
      </c>
      <c r="BI85" s="114"/>
      <c r="BJ85" s="93">
        <f>BJ84/BD84-1</f>
        <v>0.54268606173763989</v>
      </c>
      <c r="BK85" s="93">
        <f>BK84/BE84-1</f>
        <v>0.77347903213419134</v>
      </c>
      <c r="BL85" s="93">
        <f>BL84/BF84-1</f>
        <v>0.89316657275907563</v>
      </c>
      <c r="BM85" s="93">
        <f>BM84/BG84-1</f>
        <v>1.4460974158060109</v>
      </c>
      <c r="BN85" s="93">
        <f>BN84/BH84-1</f>
        <v>0.95233269006343524</v>
      </c>
      <c r="BO85" s="114"/>
      <c r="BP85" s="388">
        <v>1</v>
      </c>
      <c r="BQ85" s="388">
        <v>0.5</v>
      </c>
      <c r="BR85" s="388">
        <v>0.2</v>
      </c>
      <c r="BS85" s="388">
        <v>0.2</v>
      </c>
      <c r="BT85" s="93">
        <f>BT84/BN84-1</f>
        <v>0.39134159123237189</v>
      </c>
      <c r="BU85" s="114"/>
      <c r="BV85" s="388">
        <v>0.15</v>
      </c>
      <c r="BW85" s="388">
        <v>0.15</v>
      </c>
      <c r="BX85" s="388">
        <v>0.15</v>
      </c>
      <c r="BY85" s="388">
        <v>0.15</v>
      </c>
      <c r="BZ85" s="93">
        <f>BZ84/BT84-1</f>
        <v>0.14999999999999991</v>
      </c>
      <c r="CA85" s="114"/>
      <c r="CB85" s="388">
        <v>0.15</v>
      </c>
      <c r="CC85" s="388">
        <v>0.15</v>
      </c>
      <c r="CD85" s="388">
        <v>0.15</v>
      </c>
      <c r="CE85" s="388">
        <v>0.15</v>
      </c>
      <c r="CF85" s="93">
        <f>CF84/BZ84-1</f>
        <v>0.14999999999999991</v>
      </c>
      <c r="CG85" s="93"/>
    </row>
    <row r="86" spans="1:85" ht="12.75" hidden="1" customHeight="1" outlineLevel="1" x14ac:dyDescent="0.2">
      <c r="A86" s="79"/>
      <c r="B86" s="42"/>
      <c r="C86" s="42"/>
      <c r="D86" s="42"/>
      <c r="E86" s="42"/>
      <c r="F86" s="42"/>
      <c r="G86" s="183"/>
      <c r="H86" s="42"/>
      <c r="I86" s="42"/>
      <c r="J86" s="42"/>
      <c r="K86" s="42"/>
      <c r="L86" s="42"/>
      <c r="M86" s="183"/>
      <c r="N86" s="42"/>
      <c r="O86" s="42"/>
      <c r="P86" s="42"/>
      <c r="Q86" s="42"/>
      <c r="R86" s="42"/>
      <c r="S86" s="183"/>
      <c r="T86" s="42"/>
      <c r="U86" s="42"/>
      <c r="V86" s="42"/>
      <c r="W86" s="42"/>
      <c r="X86" s="42"/>
      <c r="Y86" s="114"/>
      <c r="Z86" s="42"/>
      <c r="AA86" s="42"/>
      <c r="AB86" s="42"/>
      <c r="AC86" s="42"/>
      <c r="AD86" s="42"/>
      <c r="AE86" s="114"/>
      <c r="AF86" s="42"/>
      <c r="AG86" s="42"/>
      <c r="AH86" s="42"/>
      <c r="AI86" s="42"/>
      <c r="AJ86" s="42"/>
      <c r="AK86" s="114"/>
      <c r="AL86" s="42"/>
      <c r="AM86" s="42"/>
      <c r="AN86" s="42"/>
      <c r="AO86" s="42"/>
      <c r="AP86" s="42"/>
      <c r="AQ86" s="114"/>
      <c r="AR86" s="42"/>
      <c r="AS86" s="42"/>
      <c r="AT86" s="42"/>
      <c r="AU86" s="42"/>
      <c r="AV86" s="42"/>
      <c r="AW86" s="114"/>
      <c r="AX86" s="42"/>
      <c r="AY86" s="42"/>
      <c r="AZ86" s="42"/>
      <c r="BA86" s="42"/>
      <c r="BB86" s="42"/>
      <c r="BC86" s="114"/>
      <c r="BD86" s="42"/>
      <c r="BE86" s="42"/>
      <c r="BF86" s="42"/>
      <c r="BG86" s="42"/>
      <c r="BH86" s="42"/>
      <c r="BI86" s="114"/>
      <c r="BJ86" s="42"/>
      <c r="BK86" s="42"/>
      <c r="BL86" s="42"/>
      <c r="BM86" s="42"/>
      <c r="BN86" s="42"/>
      <c r="BO86" s="114"/>
      <c r="BP86" s="42"/>
      <c r="BQ86" s="42"/>
      <c r="BR86" s="42"/>
      <c r="BS86" s="42"/>
      <c r="BT86" s="42"/>
      <c r="BU86" s="114"/>
      <c r="BV86" s="42"/>
      <c r="BW86" s="42"/>
      <c r="BX86" s="42"/>
      <c r="BY86" s="42"/>
      <c r="BZ86" s="42"/>
      <c r="CA86" s="114"/>
      <c r="CB86" s="42"/>
      <c r="CC86" s="42"/>
      <c r="CD86" s="42"/>
      <c r="CE86" s="42"/>
      <c r="CF86" s="42"/>
      <c r="CG86" s="42"/>
    </row>
    <row r="87" spans="1:85" ht="12" hidden="1" customHeight="1" outlineLevel="1" x14ac:dyDescent="0.2">
      <c r="A87" s="94" t="s">
        <v>330</v>
      </c>
      <c r="B87" s="182">
        <f>+SUM('Bal Sht'!C139:C141)</f>
        <v>1</v>
      </c>
      <c r="C87" s="182">
        <f>+SUM('Bal Sht'!D139:D141)</f>
        <v>1</v>
      </c>
      <c r="D87" s="182">
        <f>+SUM('Bal Sht'!E139:E141)</f>
        <v>1</v>
      </c>
      <c r="E87" s="182">
        <f>+SUM('Bal Sht'!F139:F141)</f>
        <v>1</v>
      </c>
      <c r="F87" s="182">
        <f>+SUM('Bal Sht'!G139:G141)</f>
        <v>1</v>
      </c>
      <c r="G87" s="183"/>
      <c r="H87" s="182">
        <f>+SUM('Bal Sht'!I139:I141)</f>
        <v>1</v>
      </c>
      <c r="I87" s="182">
        <f>+SUM('Bal Sht'!J139:J141)</f>
        <v>1</v>
      </c>
      <c r="J87" s="182">
        <f>+SUM('Bal Sht'!K139:K141)</f>
        <v>1</v>
      </c>
      <c r="K87" s="182">
        <f>+SUM('Bal Sht'!L139:L141)</f>
        <v>1</v>
      </c>
      <c r="L87" s="182">
        <f>+SUM('Bal Sht'!M139:M141)</f>
        <v>1</v>
      </c>
      <c r="M87" s="183"/>
      <c r="N87" s="182">
        <f>+SUM('Bal Sht'!O139:O141)</f>
        <v>1</v>
      </c>
      <c r="O87" s="182">
        <f>+SUM('Bal Sht'!P139:P141)</f>
        <v>1</v>
      </c>
      <c r="P87" s="182">
        <f>+SUM('Bal Sht'!Q139:Q141)</f>
        <v>1</v>
      </c>
      <c r="Q87" s="182">
        <f>+SUM('Bal Sht'!R139:R141)</f>
        <v>1</v>
      </c>
      <c r="R87" s="182">
        <f>+SUM('Bal Sht'!S139:S141)</f>
        <v>1</v>
      </c>
      <c r="S87" s="183"/>
      <c r="T87" s="182">
        <f>+SUM('Bal Sht'!U139:U141)</f>
        <v>1</v>
      </c>
      <c r="U87" s="182">
        <f>+SUM('Bal Sht'!V139:V141)</f>
        <v>1</v>
      </c>
      <c r="V87" s="182">
        <f>+SUM('Bal Sht'!W139:W141)</f>
        <v>1</v>
      </c>
      <c r="W87" s="182">
        <f>+SUM('Bal Sht'!X139:X141)</f>
        <v>1</v>
      </c>
      <c r="X87" s="182">
        <f>+SUM('Bal Sht'!Y139:Y141)</f>
        <v>1</v>
      </c>
      <c r="Y87" s="183"/>
      <c r="Z87" s="182">
        <f>+SUM('Bal Sht'!AA139:AA141)</f>
        <v>1</v>
      </c>
      <c r="AA87" s="182">
        <f>+SUM('Bal Sht'!AB139:AB141)</f>
        <v>1</v>
      </c>
      <c r="AB87" s="182">
        <f>+SUM('Bal Sht'!AC139:AC141)</f>
        <v>1</v>
      </c>
      <c r="AC87" s="182">
        <f>+SUM('Bal Sht'!AD139:AD141)</f>
        <v>1</v>
      </c>
      <c r="AD87" s="182">
        <f>+SUM('Bal Sht'!AE139:AE141)</f>
        <v>1</v>
      </c>
      <c r="AE87" s="183"/>
      <c r="AF87" s="182">
        <f>+SUM('Bal Sht'!AG139:AG141)</f>
        <v>1</v>
      </c>
      <c r="AG87" s="182">
        <f>+SUM('Bal Sht'!AH139:AH141)</f>
        <v>1</v>
      </c>
      <c r="AH87" s="182">
        <f>+SUM('Bal Sht'!AI139:AI141)</f>
        <v>1</v>
      </c>
      <c r="AI87" s="182">
        <f>+SUM('Bal Sht'!AJ139:AJ141)</f>
        <v>1</v>
      </c>
      <c r="AJ87" s="182">
        <f>+SUM('Bal Sht'!AK139:AK141)</f>
        <v>1</v>
      </c>
      <c r="AK87" s="183"/>
      <c r="AL87" s="182">
        <f>+SUM('Bal Sht'!AM139:AM141)</f>
        <v>1</v>
      </c>
      <c r="AM87" s="182">
        <f>+SUM('Bal Sht'!AN139:AN141)</f>
        <v>1</v>
      </c>
      <c r="AN87" s="182">
        <f>+SUM('Bal Sht'!AO139:AO141)</f>
        <v>1</v>
      </c>
      <c r="AO87" s="182">
        <f>+SUM('Bal Sht'!AP139:AP141)</f>
        <v>1</v>
      </c>
      <c r="AP87" s="182">
        <f>+SUM('Bal Sht'!AQ139:AQ141)</f>
        <v>1</v>
      </c>
      <c r="AQ87" s="183"/>
      <c r="AR87" s="182">
        <f>+SUM('Bal Sht'!AS139:AS141)</f>
        <v>1</v>
      </c>
      <c r="AS87" s="182">
        <f>+SUM('Bal Sht'!AT139:AT141)</f>
        <v>1</v>
      </c>
      <c r="AT87" s="182">
        <f>+SUM('Bal Sht'!AU139:AU141)</f>
        <v>1</v>
      </c>
      <c r="AU87" s="182">
        <f>+SUM('Bal Sht'!AV139:AV141)</f>
        <v>1</v>
      </c>
      <c r="AV87" s="182">
        <f>+SUM('Bal Sht'!AW139:AW141)</f>
        <v>1</v>
      </c>
      <c r="AW87" s="183"/>
      <c r="AX87" s="182">
        <f>+SUM('Bal Sht'!AY139:AY141)</f>
        <v>1</v>
      </c>
      <c r="AY87" s="182">
        <f>+SUM('Bal Sht'!AZ139:AZ141)</f>
        <v>1</v>
      </c>
      <c r="AZ87" s="182">
        <f>+SUM('Bal Sht'!BA139:BA141)</f>
        <v>1</v>
      </c>
      <c r="BA87" s="182">
        <f>+SUM('Bal Sht'!BB139:BB141)</f>
        <v>1</v>
      </c>
      <c r="BB87" s="182">
        <f>+SUM('Bal Sht'!BC139:BC141)</f>
        <v>1</v>
      </c>
      <c r="BC87" s="183"/>
      <c r="BD87" s="182">
        <f>+SUM('Bal Sht'!BE139:BE141)</f>
        <v>1</v>
      </c>
      <c r="BE87" s="182">
        <f>+SUM('Bal Sht'!BF139:BF141)</f>
        <v>1</v>
      </c>
      <c r="BF87" s="182">
        <f>+SUM('Bal Sht'!BG139:BG141)</f>
        <v>1</v>
      </c>
      <c r="BG87" s="182">
        <f>+SUM('Bal Sht'!BH139:BH141)</f>
        <v>1</v>
      </c>
      <c r="BH87" s="182">
        <f>+SUM('Bal Sht'!BI139:BI141)</f>
        <v>1</v>
      </c>
      <c r="BI87" s="183"/>
      <c r="BJ87" s="182">
        <f>+SUM('Bal Sht'!BK139:BK141)</f>
        <v>1</v>
      </c>
      <c r="BK87" s="182">
        <f>+SUM('Bal Sht'!BL139:BL141)</f>
        <v>1</v>
      </c>
      <c r="BL87" s="182">
        <f>+SUM('Bal Sht'!BM139:BM141)</f>
        <v>1</v>
      </c>
      <c r="BM87" s="182">
        <f>+SUM('Bal Sht'!BN139:BN141)</f>
        <v>1</v>
      </c>
      <c r="BN87" s="182">
        <f>+SUM('Bal Sht'!BO139:BO141)</f>
        <v>1</v>
      </c>
      <c r="BO87" s="183"/>
      <c r="BP87" s="182">
        <f>+SUM('Bal Sht'!BQ139:BQ141)</f>
        <v>1</v>
      </c>
      <c r="BQ87" s="182">
        <f>+SUM('Bal Sht'!BR139:BR141)</f>
        <v>1</v>
      </c>
      <c r="BR87" s="182">
        <f>+SUM('Bal Sht'!BS139:BS141)</f>
        <v>1</v>
      </c>
      <c r="BS87" s="182">
        <f>+SUM('Bal Sht'!BT139:BT141)</f>
        <v>1</v>
      </c>
      <c r="BT87" s="182">
        <f>+SUM('Bal Sht'!BU139:BU141)</f>
        <v>1</v>
      </c>
      <c r="BU87" s="183"/>
      <c r="BV87" s="182">
        <f>+SUM('Bal Sht'!BW139:BW141)</f>
        <v>1</v>
      </c>
      <c r="BW87" s="182">
        <f>+SUM('Bal Sht'!BX139:BX141)</f>
        <v>1</v>
      </c>
      <c r="BX87" s="182">
        <f>+SUM('Bal Sht'!BY139:BY141)</f>
        <v>1</v>
      </c>
      <c r="BY87" s="182">
        <f>+SUM('Bal Sht'!BZ139:BZ141)</f>
        <v>1</v>
      </c>
      <c r="BZ87" s="182">
        <f>+SUM('Bal Sht'!CA139:CA141)</f>
        <v>1</v>
      </c>
      <c r="CA87" s="183"/>
      <c r="CB87" s="182">
        <f>+SUM('Bal Sht'!CC139:CC141)</f>
        <v>1</v>
      </c>
      <c r="CC87" s="182">
        <f>+SUM('Bal Sht'!CD139:CD141)</f>
        <v>1</v>
      </c>
      <c r="CD87" s="182">
        <f>+SUM('Bal Sht'!CE139:CE141)</f>
        <v>1</v>
      </c>
      <c r="CE87" s="182">
        <f>+SUM('Bal Sht'!CF139:CF141)</f>
        <v>1</v>
      </c>
      <c r="CF87" s="182">
        <f>+SUM('Bal Sht'!CG139:CG141)</f>
        <v>1</v>
      </c>
      <c r="CG87" s="182"/>
    </row>
    <row r="88" spans="1:85" ht="12" hidden="1" customHeight="1" outlineLevel="1" x14ac:dyDescent="0.2">
      <c r="A88" s="131" t="s">
        <v>215</v>
      </c>
      <c r="B88" s="90">
        <f>+'Bal Sht'!C$138*'Bal Sht'!C139</f>
        <v>0</v>
      </c>
      <c r="C88" s="90">
        <f>+'Bal Sht'!D$138*'Bal Sht'!D139</f>
        <v>0</v>
      </c>
      <c r="D88" s="90">
        <f>+'Bal Sht'!E$138*'Bal Sht'!E139</f>
        <v>0</v>
      </c>
      <c r="E88" s="90">
        <f>+'Bal Sht'!F$138*'Bal Sht'!F139</f>
        <v>0</v>
      </c>
      <c r="F88" s="90">
        <f>+'Bal Sht'!G$138*'Bal Sht'!G139</f>
        <v>0</v>
      </c>
      <c r="G88" s="198"/>
      <c r="H88" s="90">
        <f>+'Bal Sht'!I$138*'Bal Sht'!I139</f>
        <v>0</v>
      </c>
      <c r="I88" s="90">
        <f>+'Bal Sht'!J$138*'Bal Sht'!J139</f>
        <v>0</v>
      </c>
      <c r="J88" s="90">
        <f>+'Bal Sht'!K$138*'Bal Sht'!K139</f>
        <v>0</v>
      </c>
      <c r="K88" s="90">
        <f>+'Bal Sht'!L$138*'Bal Sht'!L139</f>
        <v>0</v>
      </c>
      <c r="L88" s="90">
        <f>+'Bal Sht'!M$138*'Bal Sht'!M139</f>
        <v>0</v>
      </c>
      <c r="M88" s="198"/>
      <c r="N88" s="90">
        <f>+'Bal Sht'!O$138*'Bal Sht'!O139</f>
        <v>0</v>
      </c>
      <c r="O88" s="90">
        <f>+'Bal Sht'!P$138*'Bal Sht'!P139</f>
        <v>0</v>
      </c>
      <c r="P88" s="90">
        <f>+'Bal Sht'!Q$138*'Bal Sht'!Q139</f>
        <v>0</v>
      </c>
      <c r="Q88" s="90">
        <f>+'Bal Sht'!R$138*'Bal Sht'!R139</f>
        <v>0</v>
      </c>
      <c r="R88" s="90">
        <f>+'Bal Sht'!S$138*'Bal Sht'!S139</f>
        <v>0</v>
      </c>
      <c r="S88" s="198"/>
      <c r="T88" s="90">
        <f>+'Bal Sht'!U$138*'Bal Sht'!U139</f>
        <v>0</v>
      </c>
      <c r="U88" s="90">
        <f>+'Bal Sht'!V$138*'Bal Sht'!V139</f>
        <v>0</v>
      </c>
      <c r="V88" s="90">
        <f>+'Bal Sht'!W$138*'Bal Sht'!W139</f>
        <v>0</v>
      </c>
      <c r="W88" s="90">
        <f>+'Bal Sht'!X$138*'Bal Sht'!X139</f>
        <v>0</v>
      </c>
      <c r="X88" s="90">
        <f>+'Bal Sht'!Y$138*'Bal Sht'!Y139</f>
        <v>0</v>
      </c>
      <c r="Y88" s="198"/>
      <c r="Z88" s="90">
        <f>+'Bal Sht'!AA$138*'Bal Sht'!AA139</f>
        <v>0</v>
      </c>
      <c r="AA88" s="90">
        <f>+'Bal Sht'!AB$138*'Bal Sht'!AB139</f>
        <v>-84.127050000000011</v>
      </c>
      <c r="AB88" s="90">
        <f>+'Bal Sht'!AC$138*'Bal Sht'!AC139</f>
        <v>1.3050000000011153E-2</v>
      </c>
      <c r="AC88" s="90">
        <f>+'Bal Sht'!AD$138*'Bal Sht'!AD139</f>
        <v>-0.30060000000000286</v>
      </c>
      <c r="AD88" s="90">
        <f>+'Bal Sht'!AE$138*'Bal Sht'!AE139</f>
        <v>-84.414599999999993</v>
      </c>
      <c r="AE88" s="198"/>
      <c r="AF88" s="90">
        <f>+'Bal Sht'!AG$138*'Bal Sht'!AG139</f>
        <v>0</v>
      </c>
      <c r="AG88" s="90">
        <f>+'Bal Sht'!AH$138*'Bal Sht'!AH139</f>
        <v>0</v>
      </c>
      <c r="AH88" s="90">
        <f>+'Bal Sht'!AI$138*'Bal Sht'!AI139</f>
        <v>0</v>
      </c>
      <c r="AI88" s="90">
        <f>+'Bal Sht'!AJ$138*'Bal Sht'!AJ139</f>
        <v>0</v>
      </c>
      <c r="AJ88" s="90">
        <f>+'Bal Sht'!AK$138*'Bal Sht'!AK139</f>
        <v>0</v>
      </c>
      <c r="AK88" s="198"/>
      <c r="AL88" s="90">
        <f>+'Bal Sht'!AM$138*'Bal Sht'!AM139</f>
        <v>0</v>
      </c>
      <c r="AM88" s="90">
        <f>+'Bal Sht'!AN$138*'Bal Sht'!AN139</f>
        <v>-3.4434</v>
      </c>
      <c r="AN88" s="90">
        <f>+'Bal Sht'!AO$138*'Bal Sht'!AO139</f>
        <v>0</v>
      </c>
      <c r="AO88" s="90">
        <f>+'Bal Sht'!AP$138*'Bal Sht'!AP139</f>
        <v>0</v>
      </c>
      <c r="AP88" s="90">
        <f>+'Bal Sht'!AQ$138*'Bal Sht'!AQ139</f>
        <v>-3.4434</v>
      </c>
      <c r="AQ88" s="198"/>
      <c r="AR88" s="90">
        <f>+'Bal Sht'!AS$138*'Bal Sht'!AS139</f>
        <v>0</v>
      </c>
      <c r="AS88" s="90">
        <f>+'Bal Sht'!AT$138*'Bal Sht'!AT139</f>
        <v>0</v>
      </c>
      <c r="AT88" s="90">
        <f>+'Bal Sht'!AU$138*'Bal Sht'!AU139</f>
        <v>0</v>
      </c>
      <c r="AU88" s="90">
        <f>+'Bal Sht'!AV$138*'Bal Sht'!AV139</f>
        <v>0</v>
      </c>
      <c r="AV88" s="90">
        <f>+'Bal Sht'!AW$138*'Bal Sht'!AW139</f>
        <v>0</v>
      </c>
      <c r="AW88" s="198"/>
      <c r="AX88" s="90">
        <f>+'Bal Sht'!AY$138*'Bal Sht'!AY139</f>
        <v>0</v>
      </c>
      <c r="AY88" s="90">
        <f>+'Bal Sht'!AZ$138*'Bal Sht'!AZ139</f>
        <v>0</v>
      </c>
      <c r="AZ88" s="90">
        <f>+'Bal Sht'!BA$138*'Bal Sht'!BA139</f>
        <v>0</v>
      </c>
      <c r="BA88" s="90">
        <f>+'Bal Sht'!BB$138*'Bal Sht'!BB139</f>
        <v>0</v>
      </c>
      <c r="BB88" s="90">
        <f>+'Bal Sht'!BC$138*'Bal Sht'!BC139</f>
        <v>0</v>
      </c>
      <c r="BC88" s="198"/>
      <c r="BD88" s="90">
        <f>+'Bal Sht'!BE$138*'Bal Sht'!BE139</f>
        <v>0</v>
      </c>
      <c r="BE88" s="90">
        <f>+'Bal Sht'!BF$138*'Bal Sht'!BF139</f>
        <v>0</v>
      </c>
      <c r="BF88" s="90">
        <f>+'Bal Sht'!BG$138*'Bal Sht'!BG139</f>
        <v>0</v>
      </c>
      <c r="BG88" s="90">
        <f>+'Bal Sht'!BH$138*'Bal Sht'!BH139</f>
        <v>0</v>
      </c>
      <c r="BH88" s="90">
        <f>+'Bal Sht'!BI$138*'Bal Sht'!BI139</f>
        <v>0</v>
      </c>
      <c r="BI88" s="198"/>
      <c r="BJ88" s="90">
        <f>+'Bal Sht'!BK$138*'Bal Sht'!BK139</f>
        <v>-4.0288500000000003</v>
      </c>
      <c r="BK88" s="90">
        <f>+'Bal Sht'!BL$138*'Bal Sht'!BL139</f>
        <v>0</v>
      </c>
      <c r="BL88" s="90">
        <f>+'Bal Sht'!BM$138*'Bal Sht'!BM139</f>
        <v>0</v>
      </c>
      <c r="BM88" s="90">
        <f>+'Bal Sht'!BN$138*'Bal Sht'!BN139</f>
        <v>0</v>
      </c>
      <c r="BN88" s="90">
        <f>+'Bal Sht'!BO$138*'Bal Sht'!BO139</f>
        <v>-4.0288500000000003</v>
      </c>
      <c r="BO88" s="198"/>
      <c r="BP88" s="90">
        <f>+'Bal Sht'!BQ$138*'Bal Sht'!BQ139</f>
        <v>0</v>
      </c>
      <c r="BQ88" s="90">
        <f>+'Bal Sht'!BR$138*'Bal Sht'!BR139</f>
        <v>0</v>
      </c>
      <c r="BR88" s="90">
        <f>+'Bal Sht'!BS$138*'Bal Sht'!BS139</f>
        <v>0</v>
      </c>
      <c r="BS88" s="90">
        <f>+'Bal Sht'!BT$138*'Bal Sht'!BT139</f>
        <v>0</v>
      </c>
      <c r="BT88" s="90">
        <f>+'Bal Sht'!BU$138*'Bal Sht'!BU139</f>
        <v>0</v>
      </c>
      <c r="BU88" s="198"/>
      <c r="BV88" s="90">
        <f>+'Bal Sht'!BW$138*'Bal Sht'!BW139</f>
        <v>0</v>
      </c>
      <c r="BW88" s="90">
        <f>+'Bal Sht'!BX$138*'Bal Sht'!BX139</f>
        <v>0</v>
      </c>
      <c r="BX88" s="90">
        <f>+'Bal Sht'!BY$138*'Bal Sht'!BY139</f>
        <v>0</v>
      </c>
      <c r="BY88" s="90">
        <f>+'Bal Sht'!BZ$138*'Bal Sht'!BZ139</f>
        <v>0</v>
      </c>
      <c r="BZ88" s="90">
        <f>+'Bal Sht'!CA$138*'Bal Sht'!CA139</f>
        <v>0</v>
      </c>
      <c r="CA88" s="198"/>
      <c r="CB88" s="90">
        <f>+'Bal Sht'!CC$138*'Bal Sht'!CC139</f>
        <v>0</v>
      </c>
      <c r="CC88" s="90">
        <f>+'Bal Sht'!CD$138*'Bal Sht'!CD139</f>
        <v>0</v>
      </c>
      <c r="CD88" s="90">
        <f>+'Bal Sht'!CE$138*'Bal Sht'!CE139</f>
        <v>0</v>
      </c>
      <c r="CE88" s="90">
        <f>+'Bal Sht'!CF$138*'Bal Sht'!CF139</f>
        <v>0</v>
      </c>
      <c r="CF88" s="90">
        <f>+'Bal Sht'!CG$138*'Bal Sht'!CG139</f>
        <v>0</v>
      </c>
      <c r="CG88" s="90"/>
    </row>
    <row r="89" spans="1:85" ht="12" hidden="1" customHeight="1" outlineLevel="1" x14ac:dyDescent="0.2">
      <c r="A89" s="131" t="s">
        <v>277</v>
      </c>
      <c r="B89" s="90">
        <f>+'Bal Sht'!C$138*'Bal Sht'!C140</f>
        <v>0</v>
      </c>
      <c r="C89" s="90">
        <f>+'Bal Sht'!D$138*'Bal Sht'!D140</f>
        <v>0</v>
      </c>
      <c r="D89" s="90">
        <f>+'Bal Sht'!E$138*'Bal Sht'!E140</f>
        <v>0</v>
      </c>
      <c r="E89" s="90">
        <f>+'Bal Sht'!F$138*'Bal Sht'!F140</f>
        <v>0</v>
      </c>
      <c r="F89" s="90">
        <f>+'Bal Sht'!G$138*'Bal Sht'!G140</f>
        <v>0</v>
      </c>
      <c r="G89" s="198"/>
      <c r="H89" s="90">
        <f>+'Bal Sht'!I$138*'Bal Sht'!I140</f>
        <v>0</v>
      </c>
      <c r="I89" s="90">
        <f>+'Bal Sht'!J$138*'Bal Sht'!J140</f>
        <v>0</v>
      </c>
      <c r="J89" s="90">
        <f>+'Bal Sht'!K$138*'Bal Sht'!K140</f>
        <v>0</v>
      </c>
      <c r="K89" s="90">
        <f>+'Bal Sht'!L$138*'Bal Sht'!L140</f>
        <v>0</v>
      </c>
      <c r="L89" s="90">
        <f>+'Bal Sht'!M$138*'Bal Sht'!M140</f>
        <v>0</v>
      </c>
      <c r="M89" s="198"/>
      <c r="N89" s="90">
        <f>+'Bal Sht'!O$138*'Bal Sht'!O140</f>
        <v>0</v>
      </c>
      <c r="O89" s="90">
        <f>+'Bal Sht'!P$138*'Bal Sht'!P140</f>
        <v>0</v>
      </c>
      <c r="P89" s="90">
        <f>+'Bal Sht'!Q$138*'Bal Sht'!Q140</f>
        <v>0</v>
      </c>
      <c r="Q89" s="90">
        <f>+'Bal Sht'!R$138*'Bal Sht'!R140</f>
        <v>0</v>
      </c>
      <c r="R89" s="90">
        <f>+'Bal Sht'!S$138*'Bal Sht'!S140</f>
        <v>0</v>
      </c>
      <c r="S89" s="198"/>
      <c r="T89" s="90">
        <f>+'Bal Sht'!U$138*'Bal Sht'!U140</f>
        <v>0</v>
      </c>
      <c r="U89" s="90">
        <f>+'Bal Sht'!V$138*'Bal Sht'!V140</f>
        <v>0</v>
      </c>
      <c r="V89" s="90">
        <f>+'Bal Sht'!W$138*'Bal Sht'!W140</f>
        <v>0</v>
      </c>
      <c r="W89" s="90">
        <f>+'Bal Sht'!X$138*'Bal Sht'!X140</f>
        <v>0</v>
      </c>
      <c r="X89" s="90">
        <f>+'Bal Sht'!Y$138*'Bal Sht'!Y140</f>
        <v>0</v>
      </c>
      <c r="Y89" s="198"/>
      <c r="Z89" s="90">
        <f>+'Bal Sht'!AA$138*'Bal Sht'!AA140</f>
        <v>0</v>
      </c>
      <c r="AA89" s="90">
        <f>+'Bal Sht'!AB$138*'Bal Sht'!AB140</f>
        <v>-56.084700000000005</v>
      </c>
      <c r="AB89" s="90">
        <f>+'Bal Sht'!AC$138*'Bal Sht'!AC140</f>
        <v>8.7000000000074344E-3</v>
      </c>
      <c r="AC89" s="90">
        <f>+'Bal Sht'!AD$138*'Bal Sht'!AD140</f>
        <v>-0.20040000000000191</v>
      </c>
      <c r="AD89" s="90">
        <f>+'Bal Sht'!AE$138*'Bal Sht'!AE140</f>
        <v>-56.276399999999995</v>
      </c>
      <c r="AE89" s="198"/>
      <c r="AF89" s="90">
        <f>+'Bal Sht'!AG$138*'Bal Sht'!AG140</f>
        <v>0</v>
      </c>
      <c r="AG89" s="90">
        <f>+'Bal Sht'!AH$138*'Bal Sht'!AH140</f>
        <v>0</v>
      </c>
      <c r="AH89" s="90">
        <f>+'Bal Sht'!AI$138*'Bal Sht'!AI140</f>
        <v>0</v>
      </c>
      <c r="AI89" s="90">
        <f>+'Bal Sht'!AJ$138*'Bal Sht'!AJ140</f>
        <v>0</v>
      </c>
      <c r="AJ89" s="90">
        <f>+'Bal Sht'!AK$138*'Bal Sht'!AK140</f>
        <v>0</v>
      </c>
      <c r="AK89" s="198"/>
      <c r="AL89" s="90">
        <f>+'Bal Sht'!AM$138*'Bal Sht'!AM140</f>
        <v>0</v>
      </c>
      <c r="AM89" s="90">
        <f>+'Bal Sht'!AN$138*'Bal Sht'!AN140</f>
        <v>-2.2955999999999999</v>
      </c>
      <c r="AN89" s="90">
        <f>+'Bal Sht'!AO$138*'Bal Sht'!AO140</f>
        <v>0</v>
      </c>
      <c r="AO89" s="90">
        <f>+'Bal Sht'!AP$138*'Bal Sht'!AP140</f>
        <v>0</v>
      </c>
      <c r="AP89" s="90">
        <f>+'Bal Sht'!AQ$138*'Bal Sht'!AQ140</f>
        <v>-2.2955999999999999</v>
      </c>
      <c r="AQ89" s="198"/>
      <c r="AR89" s="90">
        <f>+'Bal Sht'!AS$138*'Bal Sht'!AS140</f>
        <v>0</v>
      </c>
      <c r="AS89" s="90">
        <f>+'Bal Sht'!AT$138*'Bal Sht'!AT140</f>
        <v>0</v>
      </c>
      <c r="AT89" s="90">
        <f>+'Bal Sht'!AU$138*'Bal Sht'!AU140</f>
        <v>0</v>
      </c>
      <c r="AU89" s="90">
        <f>+'Bal Sht'!AV$138*'Bal Sht'!AV140</f>
        <v>0</v>
      </c>
      <c r="AV89" s="90">
        <f>+'Bal Sht'!AW$138*'Bal Sht'!AW140</f>
        <v>0</v>
      </c>
      <c r="AW89" s="198"/>
      <c r="AX89" s="90">
        <f>+'Bal Sht'!AY$138*'Bal Sht'!AY140</f>
        <v>0</v>
      </c>
      <c r="AY89" s="90">
        <f>+'Bal Sht'!AZ$138*'Bal Sht'!AZ140</f>
        <v>0</v>
      </c>
      <c r="AZ89" s="90">
        <f>+'Bal Sht'!BA$138*'Bal Sht'!BA140</f>
        <v>0</v>
      </c>
      <c r="BA89" s="90">
        <f>+'Bal Sht'!BB$138*'Bal Sht'!BB140</f>
        <v>0</v>
      </c>
      <c r="BB89" s="90">
        <f>+'Bal Sht'!BC$138*'Bal Sht'!BC140</f>
        <v>0</v>
      </c>
      <c r="BC89" s="198"/>
      <c r="BD89" s="90">
        <f>+'Bal Sht'!BE$138*'Bal Sht'!BE140</f>
        <v>0</v>
      </c>
      <c r="BE89" s="90">
        <f>+'Bal Sht'!BF$138*'Bal Sht'!BF140</f>
        <v>0</v>
      </c>
      <c r="BF89" s="90">
        <f>+'Bal Sht'!BG$138*'Bal Sht'!BG140</f>
        <v>0</v>
      </c>
      <c r="BG89" s="90">
        <f>+'Bal Sht'!BH$138*'Bal Sht'!BH140</f>
        <v>0</v>
      </c>
      <c r="BH89" s="90">
        <f>+'Bal Sht'!BI$138*'Bal Sht'!BI140</f>
        <v>0</v>
      </c>
      <c r="BI89" s="198"/>
      <c r="BJ89" s="90">
        <f>+'Bal Sht'!BK$138*'Bal Sht'!BK140</f>
        <v>-2.6858999999999997</v>
      </c>
      <c r="BK89" s="90">
        <f>+'Bal Sht'!BL$138*'Bal Sht'!BL140</f>
        <v>0</v>
      </c>
      <c r="BL89" s="90">
        <f>+'Bal Sht'!BM$138*'Bal Sht'!BM140</f>
        <v>0</v>
      </c>
      <c r="BM89" s="90">
        <f>+'Bal Sht'!BN$138*'Bal Sht'!BN140</f>
        <v>0</v>
      </c>
      <c r="BN89" s="90">
        <f>+'Bal Sht'!BO$138*'Bal Sht'!BO140</f>
        <v>-2.6858999999999997</v>
      </c>
      <c r="BO89" s="198"/>
      <c r="BP89" s="90">
        <f>+'Bal Sht'!BQ$138*'Bal Sht'!BQ140</f>
        <v>0</v>
      </c>
      <c r="BQ89" s="90">
        <f>+'Bal Sht'!BR$138*'Bal Sht'!BR140</f>
        <v>0</v>
      </c>
      <c r="BR89" s="90">
        <f>+'Bal Sht'!BS$138*'Bal Sht'!BS140</f>
        <v>0</v>
      </c>
      <c r="BS89" s="90">
        <f>+'Bal Sht'!BT$138*'Bal Sht'!BT140</f>
        <v>0</v>
      </c>
      <c r="BT89" s="90">
        <f>+'Bal Sht'!BU$138*'Bal Sht'!BU140</f>
        <v>0</v>
      </c>
      <c r="BU89" s="198"/>
      <c r="BV89" s="90">
        <f>+'Bal Sht'!BW$138*'Bal Sht'!BW140</f>
        <v>0</v>
      </c>
      <c r="BW89" s="90">
        <f>+'Bal Sht'!BX$138*'Bal Sht'!BX140</f>
        <v>0</v>
      </c>
      <c r="BX89" s="90">
        <f>+'Bal Sht'!BY$138*'Bal Sht'!BY140</f>
        <v>0</v>
      </c>
      <c r="BY89" s="90">
        <f>+'Bal Sht'!BZ$138*'Bal Sht'!BZ140</f>
        <v>0</v>
      </c>
      <c r="BZ89" s="90">
        <f>+'Bal Sht'!CA$138*'Bal Sht'!CA140</f>
        <v>0</v>
      </c>
      <c r="CA89" s="198"/>
      <c r="CB89" s="90">
        <f>+'Bal Sht'!CC$138*'Bal Sht'!CC140</f>
        <v>0</v>
      </c>
      <c r="CC89" s="90">
        <f>+'Bal Sht'!CD$138*'Bal Sht'!CD140</f>
        <v>0</v>
      </c>
      <c r="CD89" s="90">
        <f>+'Bal Sht'!CE$138*'Bal Sht'!CE140</f>
        <v>0</v>
      </c>
      <c r="CE89" s="90">
        <f>+'Bal Sht'!CF$138*'Bal Sht'!CF140</f>
        <v>0</v>
      </c>
      <c r="CF89" s="90">
        <f>+'Bal Sht'!CG$138*'Bal Sht'!CG140</f>
        <v>0</v>
      </c>
      <c r="CG89" s="90"/>
    </row>
    <row r="90" spans="1:85" ht="12" hidden="1" customHeight="1" outlineLevel="1" x14ac:dyDescent="0.2">
      <c r="A90" s="131" t="s">
        <v>266</v>
      </c>
      <c r="B90" s="90">
        <f>+'Bal Sht'!C$138*'Bal Sht'!C141</f>
        <v>0</v>
      </c>
      <c r="C90" s="90">
        <f>+'Bal Sht'!D$138*'Bal Sht'!D141</f>
        <v>0</v>
      </c>
      <c r="D90" s="90">
        <f>+'Bal Sht'!E$138*'Bal Sht'!E141</f>
        <v>0</v>
      </c>
      <c r="E90" s="90">
        <f>+'Bal Sht'!F$138*'Bal Sht'!F141</f>
        <v>0</v>
      </c>
      <c r="F90" s="90">
        <f>+'Bal Sht'!G$138*'Bal Sht'!G141</f>
        <v>0</v>
      </c>
      <c r="G90" s="198"/>
      <c r="H90" s="90">
        <f>+'Bal Sht'!I$138*'Bal Sht'!I141</f>
        <v>0</v>
      </c>
      <c r="I90" s="90">
        <f>+'Bal Sht'!J$138*'Bal Sht'!J141</f>
        <v>0</v>
      </c>
      <c r="J90" s="90">
        <f>+'Bal Sht'!K$138*'Bal Sht'!K141</f>
        <v>0</v>
      </c>
      <c r="K90" s="90">
        <f>+'Bal Sht'!L$138*'Bal Sht'!L141</f>
        <v>0</v>
      </c>
      <c r="L90" s="90">
        <f>+'Bal Sht'!M$138*'Bal Sht'!M141</f>
        <v>0</v>
      </c>
      <c r="M90" s="198"/>
      <c r="N90" s="90">
        <f>+'Bal Sht'!O$138*'Bal Sht'!O141</f>
        <v>0</v>
      </c>
      <c r="O90" s="90">
        <f>+'Bal Sht'!P$138*'Bal Sht'!P141</f>
        <v>0</v>
      </c>
      <c r="P90" s="90">
        <f>+'Bal Sht'!Q$138*'Bal Sht'!Q141</f>
        <v>0</v>
      </c>
      <c r="Q90" s="90">
        <f>+'Bal Sht'!R$138*'Bal Sht'!R141</f>
        <v>0</v>
      </c>
      <c r="R90" s="90">
        <f>+'Bal Sht'!S$138*'Bal Sht'!S141</f>
        <v>0</v>
      </c>
      <c r="S90" s="198"/>
      <c r="T90" s="90">
        <f>+'Bal Sht'!U$138*'Bal Sht'!U141</f>
        <v>0</v>
      </c>
      <c r="U90" s="90">
        <f>+'Bal Sht'!V$138*'Bal Sht'!V141</f>
        <v>0</v>
      </c>
      <c r="V90" s="90">
        <f>+'Bal Sht'!W$138*'Bal Sht'!W141</f>
        <v>0</v>
      </c>
      <c r="W90" s="90">
        <f>+'Bal Sht'!X$138*'Bal Sht'!X141</f>
        <v>0</v>
      </c>
      <c r="X90" s="90">
        <f>+'Bal Sht'!Y$138*'Bal Sht'!Y141</f>
        <v>0</v>
      </c>
      <c r="Y90" s="198"/>
      <c r="Z90" s="90">
        <f>+'Bal Sht'!AA$138*'Bal Sht'!AA141</f>
        <v>0</v>
      </c>
      <c r="AA90" s="90">
        <f>+'Bal Sht'!AB$138*'Bal Sht'!AB141</f>
        <v>-46.737250000000003</v>
      </c>
      <c r="AB90" s="90">
        <f>+'Bal Sht'!AC$138*'Bal Sht'!AC141</f>
        <v>7.2500000000061959E-3</v>
      </c>
      <c r="AC90" s="90">
        <f>+'Bal Sht'!AD$138*'Bal Sht'!AD141</f>
        <v>-0.16700000000000159</v>
      </c>
      <c r="AD90" s="90">
        <f>+'Bal Sht'!AE$138*'Bal Sht'!AE141</f>
        <v>-46.896999999999998</v>
      </c>
      <c r="AE90" s="198"/>
      <c r="AF90" s="90">
        <f>+'Bal Sht'!AG$138*'Bal Sht'!AG141</f>
        <v>0</v>
      </c>
      <c r="AG90" s="90">
        <f>+'Bal Sht'!AH$138*'Bal Sht'!AH141</f>
        <v>0</v>
      </c>
      <c r="AH90" s="90">
        <f>+'Bal Sht'!AI$138*'Bal Sht'!AI141</f>
        <v>0</v>
      </c>
      <c r="AI90" s="90">
        <f>+'Bal Sht'!AJ$138*'Bal Sht'!AJ141</f>
        <v>0</v>
      </c>
      <c r="AJ90" s="90">
        <f>+'Bal Sht'!AK$138*'Bal Sht'!AK141</f>
        <v>0</v>
      </c>
      <c r="AK90" s="198"/>
      <c r="AL90" s="90">
        <f>+'Bal Sht'!AM$138*'Bal Sht'!AM141</f>
        <v>0</v>
      </c>
      <c r="AM90" s="90">
        <f>+'Bal Sht'!AN$138*'Bal Sht'!AN141</f>
        <v>-1.913</v>
      </c>
      <c r="AN90" s="90">
        <f>+'Bal Sht'!AO$138*'Bal Sht'!AO141</f>
        <v>0</v>
      </c>
      <c r="AO90" s="90">
        <f>+'Bal Sht'!AP$138*'Bal Sht'!AP141</f>
        <v>0</v>
      </c>
      <c r="AP90" s="90">
        <f>+'Bal Sht'!AQ$138*'Bal Sht'!AQ141</f>
        <v>-1.913</v>
      </c>
      <c r="AQ90" s="198"/>
      <c r="AR90" s="90">
        <f>+'Bal Sht'!AS$138*'Bal Sht'!AS141</f>
        <v>0</v>
      </c>
      <c r="AS90" s="90">
        <f>+'Bal Sht'!AT$138*'Bal Sht'!AT141</f>
        <v>0</v>
      </c>
      <c r="AT90" s="90">
        <f>+'Bal Sht'!AU$138*'Bal Sht'!AU141</f>
        <v>0</v>
      </c>
      <c r="AU90" s="90">
        <f>+'Bal Sht'!AV$138*'Bal Sht'!AV141</f>
        <v>0</v>
      </c>
      <c r="AV90" s="90">
        <f>+'Bal Sht'!AW$138*'Bal Sht'!AW141</f>
        <v>0</v>
      </c>
      <c r="AW90" s="198"/>
      <c r="AX90" s="90">
        <f>+'Bal Sht'!AY$138*'Bal Sht'!AY141</f>
        <v>0</v>
      </c>
      <c r="AY90" s="90">
        <f>+'Bal Sht'!AZ$138*'Bal Sht'!AZ141</f>
        <v>0</v>
      </c>
      <c r="AZ90" s="90">
        <f>+'Bal Sht'!BA$138*'Bal Sht'!BA141</f>
        <v>0</v>
      </c>
      <c r="BA90" s="90">
        <f>+'Bal Sht'!BB$138*'Bal Sht'!BB141</f>
        <v>0</v>
      </c>
      <c r="BB90" s="90">
        <f>+'Bal Sht'!BC$138*'Bal Sht'!BC141</f>
        <v>0</v>
      </c>
      <c r="BC90" s="198"/>
      <c r="BD90" s="90">
        <f>+'Bal Sht'!BE$138*'Bal Sht'!BE141</f>
        <v>0</v>
      </c>
      <c r="BE90" s="90">
        <f>+'Bal Sht'!BF$138*'Bal Sht'!BF141</f>
        <v>0</v>
      </c>
      <c r="BF90" s="90">
        <f>+'Bal Sht'!BG$138*'Bal Sht'!BG141</f>
        <v>0</v>
      </c>
      <c r="BG90" s="90">
        <f>+'Bal Sht'!BH$138*'Bal Sht'!BH141</f>
        <v>0</v>
      </c>
      <c r="BH90" s="90">
        <f>+'Bal Sht'!BI$138*'Bal Sht'!BI141</f>
        <v>0</v>
      </c>
      <c r="BI90" s="198"/>
      <c r="BJ90" s="90">
        <f>+'Bal Sht'!BK$138*'Bal Sht'!BK141</f>
        <v>-2.2382499999999999</v>
      </c>
      <c r="BK90" s="90">
        <f>+'Bal Sht'!BL$138*'Bal Sht'!BL141</f>
        <v>0</v>
      </c>
      <c r="BL90" s="90">
        <f>+'Bal Sht'!BM$138*'Bal Sht'!BM141</f>
        <v>0</v>
      </c>
      <c r="BM90" s="90">
        <f>+'Bal Sht'!BN$138*'Bal Sht'!BN141</f>
        <v>0</v>
      </c>
      <c r="BN90" s="90">
        <f>+'Bal Sht'!BO$138*'Bal Sht'!BO141</f>
        <v>-2.2382499999999999</v>
      </c>
      <c r="BO90" s="198"/>
      <c r="BP90" s="90">
        <f>+'Bal Sht'!BQ$138*'Bal Sht'!BQ141</f>
        <v>0</v>
      </c>
      <c r="BQ90" s="90">
        <f>+'Bal Sht'!BR$138*'Bal Sht'!BR141</f>
        <v>0</v>
      </c>
      <c r="BR90" s="90">
        <f>+'Bal Sht'!BS$138*'Bal Sht'!BS141</f>
        <v>0</v>
      </c>
      <c r="BS90" s="90">
        <f>+'Bal Sht'!BT$138*'Bal Sht'!BT141</f>
        <v>0</v>
      </c>
      <c r="BT90" s="90">
        <f>+'Bal Sht'!BU$138*'Bal Sht'!BU141</f>
        <v>0</v>
      </c>
      <c r="BU90" s="198"/>
      <c r="BV90" s="90">
        <f>+'Bal Sht'!BW$138*'Bal Sht'!BW141</f>
        <v>0</v>
      </c>
      <c r="BW90" s="90">
        <f>+'Bal Sht'!BX$138*'Bal Sht'!BX141</f>
        <v>0</v>
      </c>
      <c r="BX90" s="90">
        <f>+'Bal Sht'!BY$138*'Bal Sht'!BY141</f>
        <v>0</v>
      </c>
      <c r="BY90" s="90">
        <f>+'Bal Sht'!BZ$138*'Bal Sht'!BZ141</f>
        <v>0</v>
      </c>
      <c r="BZ90" s="90">
        <f>+'Bal Sht'!CA$138*'Bal Sht'!CA141</f>
        <v>0</v>
      </c>
      <c r="CA90" s="198"/>
      <c r="CB90" s="90">
        <f>+'Bal Sht'!CC$138*'Bal Sht'!CC141</f>
        <v>0</v>
      </c>
      <c r="CC90" s="90">
        <f>+'Bal Sht'!CD$138*'Bal Sht'!CD141</f>
        <v>0</v>
      </c>
      <c r="CD90" s="90">
        <f>+'Bal Sht'!CE$138*'Bal Sht'!CE141</f>
        <v>0</v>
      </c>
      <c r="CE90" s="90">
        <f>+'Bal Sht'!CF$138*'Bal Sht'!CF141</f>
        <v>0</v>
      </c>
      <c r="CF90" s="90">
        <f>+'Bal Sht'!CG$138*'Bal Sht'!CG141</f>
        <v>0</v>
      </c>
      <c r="CG90" s="90"/>
    </row>
    <row r="91" spans="1:85" ht="12.75" hidden="1" customHeight="1" outlineLevel="1" x14ac:dyDescent="0.2">
      <c r="A91" s="79"/>
      <c r="B91" s="42"/>
      <c r="C91" s="42"/>
      <c r="D91" s="42"/>
      <c r="E91" s="42"/>
      <c r="F91" s="42"/>
      <c r="G91" s="31"/>
      <c r="H91" s="42"/>
      <c r="I91" s="42"/>
      <c r="J91" s="42"/>
      <c r="K91" s="42"/>
      <c r="L91" s="42"/>
      <c r="M91" s="31"/>
      <c r="N91" s="42"/>
      <c r="O91" s="42"/>
      <c r="P91" s="42"/>
      <c r="Q91" s="42"/>
      <c r="R91" s="42"/>
      <c r="S91" s="31"/>
      <c r="T91" s="42"/>
      <c r="U91" s="42"/>
      <c r="V91" s="42"/>
      <c r="W91" s="42"/>
      <c r="X91" s="42"/>
      <c r="Y91" s="114"/>
      <c r="Z91" s="42"/>
      <c r="AA91" s="42"/>
      <c r="AB91" s="42"/>
      <c r="AC91" s="42"/>
      <c r="AD91" s="42"/>
      <c r="AE91" s="114"/>
      <c r="AF91" s="42"/>
      <c r="AG91" s="42"/>
      <c r="AH91" s="42"/>
      <c r="AI91" s="42"/>
      <c r="AJ91" s="42"/>
      <c r="AK91" s="114"/>
      <c r="AL91" s="42"/>
      <c r="AM91" s="42"/>
      <c r="AN91" s="42"/>
      <c r="AO91" s="42"/>
      <c r="AP91" s="42"/>
      <c r="AQ91" s="114"/>
      <c r="AR91" s="42"/>
      <c r="AS91" s="42"/>
      <c r="AT91" s="42"/>
      <c r="AU91" s="42"/>
      <c r="AV91" s="42"/>
      <c r="AW91" s="114"/>
      <c r="AX91" s="42"/>
      <c r="AY91" s="42"/>
      <c r="AZ91" s="42"/>
      <c r="BA91" s="42"/>
      <c r="BB91" s="42"/>
      <c r="BC91" s="114"/>
      <c r="BD91" s="42"/>
      <c r="BE91" s="42"/>
      <c r="BF91" s="42"/>
      <c r="BG91" s="42"/>
      <c r="BH91" s="42"/>
      <c r="BI91" s="114"/>
      <c r="BJ91" s="42"/>
      <c r="BK91" s="42"/>
      <c r="BL91" s="42"/>
      <c r="BM91" s="42"/>
      <c r="BN91" s="42"/>
      <c r="BO91" s="114"/>
      <c r="BP91" s="42"/>
      <c r="BQ91" s="42"/>
      <c r="BR91" s="42"/>
      <c r="BS91" s="42"/>
      <c r="BT91" s="42"/>
      <c r="BU91" s="114"/>
      <c r="BV91" s="42"/>
      <c r="BW91" s="42"/>
      <c r="BX91" s="42"/>
      <c r="BY91" s="42"/>
      <c r="BZ91" s="42"/>
      <c r="CA91" s="114"/>
      <c r="CB91" s="42"/>
      <c r="CC91" s="42"/>
      <c r="CD91" s="42"/>
      <c r="CE91" s="42"/>
      <c r="CF91" s="42"/>
      <c r="CG91" s="42"/>
    </row>
    <row r="92" spans="1:85" ht="12" hidden="1" customHeight="1" outlineLevel="1" x14ac:dyDescent="0.2">
      <c r="A92" s="94" t="s">
        <v>331</v>
      </c>
      <c r="B92" s="195"/>
      <c r="C92" s="195"/>
      <c r="D92" s="195"/>
      <c r="E92" s="195"/>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c r="BY92" s="52"/>
      <c r="BZ92" s="52"/>
      <c r="CA92" s="52"/>
      <c r="CB92" s="52"/>
      <c r="CC92" s="52"/>
      <c r="CD92" s="52"/>
      <c r="CE92" s="52"/>
      <c r="CF92" s="52"/>
      <c r="CG92" s="52"/>
    </row>
    <row r="93" spans="1:85" ht="12" hidden="1" customHeight="1" outlineLevel="1" x14ac:dyDescent="0.2">
      <c r="A93" s="79" t="s">
        <v>332</v>
      </c>
      <c r="B93" s="195">
        <f>+'P&amp;L'!C11</f>
        <v>17.529</v>
      </c>
      <c r="C93" s="195">
        <f>+'P&amp;L'!D11</f>
        <v>20.247</v>
      </c>
      <c r="D93" s="195">
        <f>+'P&amp;L'!E11</f>
        <v>18.132000000000001</v>
      </c>
      <c r="E93" s="195">
        <f>+'P&amp;L'!F11</f>
        <v>19.126999999999995</v>
      </c>
      <c r="F93" s="195">
        <f>+'P&amp;L'!G11</f>
        <v>75.034999999999997</v>
      </c>
      <c r="G93" s="196"/>
      <c r="H93" s="195">
        <f>+'P&amp;L'!I11</f>
        <v>19.608000000000001</v>
      </c>
      <c r="I93" s="195">
        <f>+'P&amp;L'!J11</f>
        <v>20.242999999999999</v>
      </c>
      <c r="J93" s="195">
        <f>+'P&amp;L'!K11</f>
        <v>18.765999999999998</v>
      </c>
      <c r="K93" s="195">
        <f>+'P&amp;L'!L11</f>
        <v>20.232999999999997</v>
      </c>
      <c r="L93" s="195">
        <f>+'P&amp;L'!M11</f>
        <v>78.849999999999994</v>
      </c>
      <c r="M93" s="196"/>
      <c r="N93" s="195">
        <f>+'P&amp;L'!O11</f>
        <v>17.425000000000001</v>
      </c>
      <c r="O93" s="195">
        <f>+'P&amp;L'!P11</f>
        <v>18.337999999999997</v>
      </c>
      <c r="P93" s="195">
        <f>+'P&amp;L'!Q11</f>
        <v>18.362000000000002</v>
      </c>
      <c r="Q93" s="195">
        <f>+'P&amp;L'!R11</f>
        <v>18.550999999999998</v>
      </c>
      <c r="R93" s="195">
        <f>+'P&amp;L'!S11</f>
        <v>72.676000000000002</v>
      </c>
      <c r="S93" s="196"/>
      <c r="T93" s="195">
        <f>+'P&amp;L'!U11</f>
        <v>19.553000000000001</v>
      </c>
      <c r="U93" s="195">
        <f>+'P&amp;L'!V11</f>
        <v>21.177999999999997</v>
      </c>
      <c r="V93" s="195">
        <f>+'P&amp;L'!W11</f>
        <v>21.013999999999999</v>
      </c>
      <c r="W93" s="195">
        <f>+'P&amp;L'!X11</f>
        <v>21.137000000000008</v>
      </c>
      <c r="X93" s="195">
        <f>+'P&amp;L'!Y11</f>
        <v>82.882000000000005</v>
      </c>
      <c r="Y93" s="196"/>
      <c r="Z93" s="195">
        <f>+'P&amp;L'!AA11</f>
        <v>22.63</v>
      </c>
      <c r="AA93" s="195">
        <f>+'P&amp;L'!AB11</f>
        <v>28.709000000000003</v>
      </c>
      <c r="AB93" s="195">
        <f>+'P&amp;L'!AC11</f>
        <v>32.880000000000003</v>
      </c>
      <c r="AC93" s="195">
        <f>+'P&amp;L'!AD11</f>
        <v>32.351999999999997</v>
      </c>
      <c r="AD93" s="195">
        <f>+'P&amp;L'!AE11</f>
        <v>116.571</v>
      </c>
      <c r="AE93" s="196"/>
      <c r="AF93" s="195">
        <f>+'P&amp;L'!AG11</f>
        <v>33.624000000000002</v>
      </c>
      <c r="AG93" s="195">
        <f>+'P&amp;L'!AH11</f>
        <v>36.387</v>
      </c>
      <c r="AH93" s="195">
        <f>+'P&amp;L'!AI11</f>
        <v>35.838999999999999</v>
      </c>
      <c r="AI93" s="195">
        <f>+'P&amp;L'!AJ11</f>
        <v>36.161000000000001</v>
      </c>
      <c r="AJ93" s="195">
        <f>+'P&amp;L'!AK11</f>
        <v>142.011</v>
      </c>
      <c r="AK93" s="196"/>
      <c r="AL93" s="195">
        <f>+'P&amp;L'!AM11</f>
        <v>40.731000000000002</v>
      </c>
      <c r="AM93" s="195">
        <f>+'P&amp;L'!AN11</f>
        <v>40.137</v>
      </c>
      <c r="AN93" s="195">
        <f>+'P&amp;L'!AO11</f>
        <v>39.415999999999997</v>
      </c>
      <c r="AO93" s="195">
        <f>+'P&amp;L'!AP11</f>
        <v>41.816000000000003</v>
      </c>
      <c r="AP93" s="195">
        <f>+'P&amp;L'!AQ11</f>
        <v>162.1</v>
      </c>
      <c r="AQ93" s="196"/>
      <c r="AR93" s="195">
        <f>+'P&amp;L'!AS11</f>
        <v>43.395000000000003</v>
      </c>
      <c r="AS93" s="195">
        <f>+'P&amp;L'!AT11</f>
        <v>47.055</v>
      </c>
      <c r="AT93" s="195">
        <f>+'P&amp;L'!AU11</f>
        <v>44.822000000000003</v>
      </c>
      <c r="AU93" s="195">
        <f>+'P&amp;L'!AV11</f>
        <v>47.938000000000002</v>
      </c>
      <c r="AV93" s="195">
        <f>+'P&amp;L'!AW11</f>
        <v>183.20999999999998</v>
      </c>
      <c r="AW93" s="196"/>
      <c r="AX93" s="195">
        <f>+'P&amp;L'!AY11</f>
        <v>46.996000000000002</v>
      </c>
      <c r="AY93" s="195">
        <f>+'P&amp;L'!AZ11</f>
        <v>50.853999999999999</v>
      </c>
      <c r="AZ93" s="195">
        <f>+'P&amp;L'!BA11</f>
        <v>50.06</v>
      </c>
      <c r="BA93" s="195">
        <f>+'P&amp;L'!BB11</f>
        <v>57.466000000000001</v>
      </c>
      <c r="BB93" s="195">
        <f>+'P&amp;L'!BC11</f>
        <v>205.376</v>
      </c>
      <c r="BC93" s="196"/>
      <c r="BD93" s="195">
        <f>+'P&amp;L'!BE11</f>
        <v>58.093000000000004</v>
      </c>
      <c r="BE93" s="195">
        <f>+'P&amp;L'!BF11</f>
        <v>64.146000000000001</v>
      </c>
      <c r="BF93" s="195">
        <f>+'P&amp;L'!BG11</f>
        <v>69.387</v>
      </c>
      <c r="BG93" s="195">
        <f>+'P&amp;L'!BH11</f>
        <v>72.593999999999994</v>
      </c>
      <c r="BH93" s="195">
        <f>+'P&amp;L'!BI11</f>
        <v>264.22000000000003</v>
      </c>
      <c r="BI93" s="196"/>
      <c r="BJ93" s="195">
        <f>+'P&amp;L'!BK11</f>
        <v>74.715999999999994</v>
      </c>
      <c r="BK93" s="195">
        <f>+'P&amp;L'!BL11</f>
        <v>85.564999999999998</v>
      </c>
      <c r="BL93" s="195">
        <f>+'P&amp;L'!BM11</f>
        <v>92.778999999999996</v>
      </c>
      <c r="BM93" s="195">
        <f>+'P&amp;L'!BN11</f>
        <v>103.40600000000001</v>
      </c>
      <c r="BN93" s="195">
        <f>+'P&amp;L'!BO11</f>
        <v>356.46600000000001</v>
      </c>
      <c r="BO93" s="196"/>
      <c r="BP93" s="195">
        <f>+'P&amp;L'!BQ11</f>
        <v>109.51600000000001</v>
      </c>
      <c r="BQ93" s="195">
        <f>+'P&amp;L'!BR11</f>
        <v>115.43110457675826</v>
      </c>
      <c r="BR93" s="195">
        <f>+'P&amp;L'!BS11</f>
        <v>116.72590693693688</v>
      </c>
      <c r="BS93" s="195">
        <f>+'P&amp;L'!BT11</f>
        <v>131.24723115282973</v>
      </c>
      <c r="BT93" s="195">
        <f>+'P&amp;L'!BU11</f>
        <v>472.92024266652487</v>
      </c>
      <c r="BU93" s="196"/>
      <c r="BV93" s="195">
        <f>+'P&amp;L'!BW11</f>
        <v>125.43918955605452</v>
      </c>
      <c r="BW93" s="195">
        <f>+'P&amp;L'!BX11</f>
        <v>134.61148250100615</v>
      </c>
      <c r="BX93" s="195">
        <f>+'P&amp;L'!BY11</f>
        <v>134.73405147324328</v>
      </c>
      <c r="BY93" s="195">
        <f>+'P&amp;L'!BZ11</f>
        <v>154.55174796897438</v>
      </c>
      <c r="BZ93" s="195">
        <f>+'P&amp;L'!CA11</f>
        <v>549.33647149927833</v>
      </c>
      <c r="CA93" s="196"/>
      <c r="CB93" s="195">
        <f>+'P&amp;L'!CC11</f>
        <v>140.45635729254587</v>
      </c>
      <c r="CC93" s="195">
        <f>+'P&amp;L'!CD11</f>
        <v>149.70618809748478</v>
      </c>
      <c r="CD93" s="195">
        <f>+'P&amp;L'!CE11</f>
        <v>148.63651088220971</v>
      </c>
      <c r="CE93" s="195">
        <f>+'P&amp;L'!CF11</f>
        <v>171.23264741165224</v>
      </c>
      <c r="CF93" s="195">
        <f>+'P&amp;L'!CG11</f>
        <v>610.0317036838926</v>
      </c>
      <c r="CG93" s="195"/>
    </row>
    <row r="94" spans="1:85" ht="12" hidden="1" customHeight="1" outlineLevel="1" x14ac:dyDescent="0.2">
      <c r="A94" s="79" t="s">
        <v>298</v>
      </c>
      <c r="B94" s="195">
        <f>+'P&amp;L'!C18</f>
        <v>23.15</v>
      </c>
      <c r="C94" s="195">
        <f>+'P&amp;L'!D18</f>
        <v>24.353000000000002</v>
      </c>
      <c r="D94" s="195">
        <f>+'P&amp;L'!E18</f>
        <v>24.225999999999999</v>
      </c>
      <c r="E94" s="195">
        <f>+'P&amp;L'!F18</f>
        <v>26.501999999999995</v>
      </c>
      <c r="F94" s="195">
        <f>+'P&amp;L'!G18</f>
        <v>98.230999999999995</v>
      </c>
      <c r="G94" s="197"/>
      <c r="H94" s="195">
        <f>+'P&amp;L'!I18</f>
        <v>28.059000000000001</v>
      </c>
      <c r="I94" s="195">
        <f>+'P&amp;L'!J18</f>
        <v>32.463999999999999</v>
      </c>
      <c r="J94" s="195">
        <f>+'P&amp;L'!K18</f>
        <v>28.213999999999999</v>
      </c>
      <c r="K94" s="195">
        <f>+'P&amp;L'!L18</f>
        <v>26.325000000000003</v>
      </c>
      <c r="L94" s="195">
        <f>+'P&amp;L'!M18</f>
        <v>115.062</v>
      </c>
      <c r="M94" s="197"/>
      <c r="N94" s="195">
        <f>+'P&amp;L'!O18</f>
        <v>27.853999999999999</v>
      </c>
      <c r="O94" s="195">
        <f>+'P&amp;L'!P18</f>
        <v>29.108000000000001</v>
      </c>
      <c r="P94" s="195">
        <f>+'P&amp;L'!Q18</f>
        <v>27.687000000000001</v>
      </c>
      <c r="Q94" s="195">
        <f>+'P&amp;L'!R18</f>
        <v>27.893000000000001</v>
      </c>
      <c r="R94" s="195">
        <f>+'P&amp;L'!S18</f>
        <v>112.542</v>
      </c>
      <c r="S94" s="197"/>
      <c r="T94" s="195">
        <f>+'P&amp;L'!U18</f>
        <v>27.946000000000002</v>
      </c>
      <c r="U94" s="195">
        <f>+'P&amp;L'!V18</f>
        <v>28.939</v>
      </c>
      <c r="V94" s="195">
        <f>+'P&amp;L'!W18</f>
        <v>26.905000000000001</v>
      </c>
      <c r="W94" s="195">
        <f>+'P&amp;L'!X18</f>
        <v>30.222999999999999</v>
      </c>
      <c r="X94" s="195">
        <f>+'P&amp;L'!Y18</f>
        <v>114.01300000000001</v>
      </c>
      <c r="Y94" s="197"/>
      <c r="Z94" s="195">
        <f>+'P&amp;L'!AA18</f>
        <v>32.820999999999998</v>
      </c>
      <c r="AA94" s="195">
        <f>+'P&amp;L'!AB18</f>
        <v>38.585999999999999</v>
      </c>
      <c r="AB94" s="195">
        <f>+'P&amp;L'!AC18</f>
        <v>34.655000000000001</v>
      </c>
      <c r="AC94" s="195">
        <f>+'P&amp;L'!AD18</f>
        <v>36.112000000000002</v>
      </c>
      <c r="AD94" s="195">
        <f>+'P&amp;L'!AE18</f>
        <v>142.17400000000001</v>
      </c>
      <c r="AE94" s="197"/>
      <c r="AF94" s="195">
        <f>+'P&amp;L'!AG18</f>
        <v>38.429000000000002</v>
      </c>
      <c r="AG94" s="195">
        <f>+'P&amp;L'!AH18</f>
        <v>38.908000000000001</v>
      </c>
      <c r="AH94" s="195">
        <f>+'P&amp;L'!AI18</f>
        <v>36.287999999999997</v>
      </c>
      <c r="AI94" s="195">
        <f>+'P&amp;L'!AJ18</f>
        <v>37.768999999999998</v>
      </c>
      <c r="AJ94" s="195">
        <f>+'P&amp;L'!AK18</f>
        <v>151.39400000000001</v>
      </c>
      <c r="AK94" s="197"/>
      <c r="AL94" s="195">
        <f>+'P&amp;L'!AM18</f>
        <v>42.280999999999999</v>
      </c>
      <c r="AM94" s="195">
        <f>+'P&amp;L'!AN18</f>
        <v>47.847000000000001</v>
      </c>
      <c r="AN94" s="195">
        <f>+'P&amp;L'!AO18</f>
        <v>45.223999999999997</v>
      </c>
      <c r="AO94" s="195">
        <f>+'P&amp;L'!AP18</f>
        <v>44.694000000000003</v>
      </c>
      <c r="AP94" s="195">
        <f>+'P&amp;L'!AQ18</f>
        <v>180.04599999999999</v>
      </c>
      <c r="AQ94" s="197"/>
      <c r="AR94" s="195">
        <f>+'P&amp;L'!AS18</f>
        <v>52.887999999999998</v>
      </c>
      <c r="AS94" s="195">
        <f>+'P&amp;L'!AT18</f>
        <v>56.386000000000003</v>
      </c>
      <c r="AT94" s="195">
        <f>+'P&amp;L'!AU18</f>
        <v>52.368000000000002</v>
      </c>
      <c r="AU94" s="195">
        <f>+'P&amp;L'!AV18</f>
        <v>55.62</v>
      </c>
      <c r="AV94" s="195">
        <f>+'P&amp;L'!AW18</f>
        <v>217.262</v>
      </c>
      <c r="AW94" s="197"/>
      <c r="AX94" s="195">
        <f>+'P&amp;L'!AY18</f>
        <v>57.166349062205299</v>
      </c>
      <c r="AY94" s="195">
        <f>+'P&amp;L'!AZ18</f>
        <v>65.159704516083963</v>
      </c>
      <c r="AZ94" s="195">
        <f>+'P&amp;L'!BA18</f>
        <v>65.888845656805557</v>
      </c>
      <c r="BA94" s="195">
        <f>+'P&amp;L'!BB18</f>
        <v>64.484310013621581</v>
      </c>
      <c r="BB94" s="195">
        <f>+'P&amp;L'!BC18</f>
        <v>252.69920924871641</v>
      </c>
      <c r="BC94" s="197"/>
      <c r="BD94" s="195">
        <f>+'P&amp;L'!BE18</f>
        <v>72.661569627327012</v>
      </c>
      <c r="BE94" s="195">
        <f>+'P&amp;L'!BF18</f>
        <v>78.655938667877479</v>
      </c>
      <c r="BF94" s="195">
        <f>+'P&amp;L'!BG18</f>
        <v>82.049747476511484</v>
      </c>
      <c r="BG94" s="195">
        <f>+'P&amp;L'!BH18</f>
        <v>84.355024972931446</v>
      </c>
      <c r="BH94" s="195">
        <f>+'P&amp;L'!BI18</f>
        <v>317.72228074464743</v>
      </c>
      <c r="BI94" s="197"/>
      <c r="BJ94" s="195">
        <f>+'P&amp;L'!BK18</f>
        <v>97.875866019349658</v>
      </c>
      <c r="BK94" s="195">
        <f>+'P&amp;L'!BL18</f>
        <v>105.5273151479166</v>
      </c>
      <c r="BL94" s="195">
        <f>+'P&amp;L'!BM18</f>
        <v>109.77524221997136</v>
      </c>
      <c r="BM94" s="195">
        <f>+'P&amp;L'!BN18</f>
        <v>117.94537878523279</v>
      </c>
      <c r="BN94" s="195">
        <f>+'P&amp;L'!BO18</f>
        <v>431.12380217247039</v>
      </c>
      <c r="BO94" s="197"/>
      <c r="BP94" s="195">
        <f>+'P&amp;L'!BQ18</f>
        <v>139.73749999999998</v>
      </c>
      <c r="BQ94" s="195">
        <f>+'P&amp;L'!BR18</f>
        <v>154.0489147248631</v>
      </c>
      <c r="BR94" s="195">
        <f>+'P&amp;L'!BS18</f>
        <v>142.74917833284997</v>
      </c>
      <c r="BS94" s="195">
        <f>+'P&amp;L'!BT18</f>
        <v>151.24199326115482</v>
      </c>
      <c r="BT94" s="195">
        <f>+'P&amp;L'!BU18</f>
        <v>587.77758631886786</v>
      </c>
      <c r="BU94" s="197"/>
      <c r="BV94" s="195">
        <f>+'P&amp;L'!BW18</f>
        <v>167.85218499328556</v>
      </c>
      <c r="BW94" s="195">
        <f>+'P&amp;L'!BX18</f>
        <v>190.42588576061701</v>
      </c>
      <c r="BX94" s="195">
        <f>+'P&amp;L'!BY18</f>
        <v>174.63809267103289</v>
      </c>
      <c r="BY94" s="195">
        <f>+'P&amp;L'!BZ18</f>
        <v>185.02860080057741</v>
      </c>
      <c r="BZ94" s="195">
        <f>+'P&amp;L'!CA18</f>
        <v>717.94476422551293</v>
      </c>
      <c r="CA94" s="197"/>
      <c r="CB94" s="195">
        <f>+'P&amp;L'!CC18</f>
        <v>195.77679878319611</v>
      </c>
      <c r="CC94" s="195">
        <f>+'P&amp;L'!CD18</f>
        <v>219.73194350087186</v>
      </c>
      <c r="CD94" s="195">
        <f>+'P&amp;L'!CE18</f>
        <v>200.81430323062227</v>
      </c>
      <c r="CE94" s="195">
        <f>+'P&amp;L'!CF18</f>
        <v>211.44042229390269</v>
      </c>
      <c r="CF94" s="195">
        <f>+'P&amp;L'!CG18</f>
        <v>827.76346780859285</v>
      </c>
      <c r="CG94" s="195"/>
    </row>
    <row r="95" spans="1:85" ht="12" hidden="1" customHeight="1" outlineLevel="1" x14ac:dyDescent="0.2">
      <c r="A95" s="79" t="s">
        <v>127</v>
      </c>
      <c r="B95" s="195">
        <f>+'P&amp;L'!C19</f>
        <v>10.389000000000001</v>
      </c>
      <c r="C95" s="195">
        <f>+'P&amp;L'!D19</f>
        <v>11.88</v>
      </c>
      <c r="D95" s="195">
        <f>+'P&amp;L'!E19</f>
        <v>13.949</v>
      </c>
      <c r="E95" s="195">
        <f>+'P&amp;L'!F19</f>
        <v>15.265999999999998</v>
      </c>
      <c r="F95" s="195">
        <f>+'P&amp;L'!G19</f>
        <v>51.484000000000002</v>
      </c>
      <c r="G95" s="197"/>
      <c r="H95" s="195">
        <f>+'P&amp;L'!I19</f>
        <v>15.188000000000001</v>
      </c>
      <c r="I95" s="195">
        <f>+'P&amp;L'!J19</f>
        <v>16.321999999999999</v>
      </c>
      <c r="J95" s="195">
        <f>+'P&amp;L'!K19</f>
        <v>14.395</v>
      </c>
      <c r="K95" s="195">
        <f>+'P&amp;L'!L19</f>
        <v>16.249000000000002</v>
      </c>
      <c r="L95" s="195">
        <f>+'P&amp;L'!M19</f>
        <v>62.154000000000003</v>
      </c>
      <c r="M95" s="197"/>
      <c r="N95" s="195">
        <f>+'P&amp;L'!O19</f>
        <v>13.468</v>
      </c>
      <c r="O95" s="195">
        <f>+'P&amp;L'!P19</f>
        <v>16.539000000000001</v>
      </c>
      <c r="P95" s="195">
        <f>+'P&amp;L'!Q19</f>
        <v>16.224</v>
      </c>
      <c r="Q95" s="195">
        <f>+'P&amp;L'!R19</f>
        <v>15.487000000000002</v>
      </c>
      <c r="R95" s="195">
        <f>+'P&amp;L'!S19</f>
        <v>61.718000000000004</v>
      </c>
      <c r="S95" s="197"/>
      <c r="T95" s="195">
        <f>+'P&amp;L'!U19</f>
        <v>14.951000000000001</v>
      </c>
      <c r="U95" s="195">
        <f>+'P&amp;L'!V19</f>
        <v>15.005000000000001</v>
      </c>
      <c r="V95" s="195">
        <f>+'P&amp;L'!W19</f>
        <v>16.202999999999999</v>
      </c>
      <c r="W95" s="195">
        <f>+'P&amp;L'!X19</f>
        <v>18.631</v>
      </c>
      <c r="X95" s="195">
        <f>+'P&amp;L'!Y19</f>
        <v>64.790000000000006</v>
      </c>
      <c r="Y95" s="197"/>
      <c r="Z95" s="195">
        <f>+'P&amp;L'!AA19</f>
        <v>17.510999999999999</v>
      </c>
      <c r="AA95" s="195">
        <f>+'P&amp;L'!AB19</f>
        <v>20.244</v>
      </c>
      <c r="AB95" s="195">
        <f>+'P&amp;L'!AC19</f>
        <v>20.241000000000003</v>
      </c>
      <c r="AC95" s="195">
        <f>+'P&amp;L'!AD19</f>
        <v>21.196000000000002</v>
      </c>
      <c r="AD95" s="195">
        <f>+'P&amp;L'!AE19</f>
        <v>79.191999999999993</v>
      </c>
      <c r="AE95" s="197"/>
      <c r="AF95" s="195">
        <f>+'P&amp;L'!AG19</f>
        <v>22.396999999999998</v>
      </c>
      <c r="AG95" s="195">
        <f>+'P&amp;L'!AH19</f>
        <v>22.132999999999999</v>
      </c>
      <c r="AH95" s="195">
        <f>+'P&amp;L'!AI19</f>
        <v>23.872</v>
      </c>
      <c r="AI95" s="195">
        <f>+'P&amp;L'!AJ19</f>
        <v>27.166</v>
      </c>
      <c r="AJ95" s="195">
        <f>+'P&amp;L'!AK19</f>
        <v>95.567999999999998</v>
      </c>
      <c r="AK95" s="197"/>
      <c r="AL95" s="195">
        <f>+'P&amp;L'!AM19</f>
        <v>30.347999999999999</v>
      </c>
      <c r="AM95" s="195">
        <f>+'P&amp;L'!AN19</f>
        <v>27.027000000000001</v>
      </c>
      <c r="AN95" s="195">
        <f>+'P&amp;L'!AO19</f>
        <v>27.486999999999998</v>
      </c>
      <c r="AO95" s="195">
        <f>+'P&amp;L'!AP19</f>
        <v>27.888999999999999</v>
      </c>
      <c r="AP95" s="195">
        <f>+'P&amp;L'!AQ19</f>
        <v>112.75099999999999</v>
      </c>
      <c r="AQ95" s="197"/>
      <c r="AR95" s="195">
        <f>+'P&amp;L'!AS19</f>
        <v>29.178999999999998</v>
      </c>
      <c r="AS95" s="195">
        <f>+'P&amp;L'!AT19</f>
        <v>27.068999999999999</v>
      </c>
      <c r="AT95" s="195">
        <f>+'P&amp;L'!AU19</f>
        <v>28.285</v>
      </c>
      <c r="AU95" s="195">
        <f>+'P&amp;L'!AV19</f>
        <v>30.273</v>
      </c>
      <c r="AV95" s="195">
        <f>+'P&amp;L'!AW19</f>
        <v>114.806</v>
      </c>
      <c r="AW95" s="197"/>
      <c r="AX95" s="195">
        <f>+'P&amp;L'!AY19</f>
        <v>36.024090937794696</v>
      </c>
      <c r="AY95" s="195">
        <f>+'P&amp;L'!AZ19</f>
        <v>35.465295483916037</v>
      </c>
      <c r="AZ95" s="195">
        <f>+'P&amp;L'!BA19</f>
        <v>35.86215434319444</v>
      </c>
      <c r="BA95" s="195">
        <f>+'P&amp;L'!BB19</f>
        <v>35.097689986378398</v>
      </c>
      <c r="BB95" s="195">
        <f>+'P&amp;L'!BC19</f>
        <v>142.44923075128355</v>
      </c>
      <c r="BC95" s="197"/>
      <c r="BD95" s="195">
        <f>+'P&amp;L'!BE19</f>
        <v>39.548430372672975</v>
      </c>
      <c r="BE95" s="195">
        <f>+'P&amp;L'!BF19</f>
        <v>42.81106133212252</v>
      </c>
      <c r="BF95" s="195">
        <f>+'P&amp;L'!BG19</f>
        <v>44.658252523488514</v>
      </c>
      <c r="BG95" s="195">
        <f>+'P&amp;L'!BH19</f>
        <v>45.912975027068555</v>
      </c>
      <c r="BH95" s="195">
        <f>+'P&amp;L'!BI19</f>
        <v>172.93071925535256</v>
      </c>
      <c r="BI95" s="197"/>
      <c r="BJ95" s="195">
        <f>+'P&amp;L'!BK19</f>
        <v>53.272133980650338</v>
      </c>
      <c r="BK95" s="195">
        <f>+'P&amp;L'!BL19</f>
        <v>57.436684852083403</v>
      </c>
      <c r="BL95" s="195">
        <f>+'P&amp;L'!BM19</f>
        <v>59.74875778002864</v>
      </c>
      <c r="BM95" s="195">
        <f>+'P&amp;L'!BN19</f>
        <v>64.195621214767201</v>
      </c>
      <c r="BN95" s="195">
        <f>+'P&amp;L'!BO19</f>
        <v>234.6531978275296</v>
      </c>
      <c r="BO95" s="197"/>
      <c r="BP95" s="195">
        <f>+'P&amp;L'!BQ19</f>
        <v>59.887500000000017</v>
      </c>
      <c r="BQ95" s="195">
        <f>+'P&amp;L'!BR19</f>
        <v>67.396400192127615</v>
      </c>
      <c r="BR95" s="195">
        <f>+'P&amp;L'!BS19</f>
        <v>74.861620252441853</v>
      </c>
      <c r="BS95" s="195">
        <f>+'P&amp;L'!BT19</f>
        <v>80.680452833601024</v>
      </c>
      <c r="BT95" s="195">
        <f>+'P&amp;L'!BU19</f>
        <v>282.82597327817052</v>
      </c>
      <c r="BU95" s="197"/>
      <c r="BV95" s="195">
        <f>+'P&amp;L'!BW19</f>
        <v>71.028420064637913</v>
      </c>
      <c r="BW95" s="195">
        <f>+'P&amp;L'!BX19</f>
        <v>82.297622552695685</v>
      </c>
      <c r="BX95" s="195">
        <f>+'P&amp;L'!BY19</f>
        <v>90.716899304008578</v>
      </c>
      <c r="BY95" s="195">
        <f>+'P&amp;L'!BZ19</f>
        <v>97.769087198614955</v>
      </c>
      <c r="BZ95" s="195">
        <f>+'P&amp;L'!CA19</f>
        <v>341.81202911995712</v>
      </c>
      <c r="CA95" s="197"/>
      <c r="CB95" s="195">
        <f>+'P&amp;L'!CC19</f>
        <v>81.765433228933375</v>
      </c>
      <c r="CC95" s="195">
        <f>+'P&amp;L'!CD19</f>
        <v>93.770956780626847</v>
      </c>
      <c r="CD95" s="195">
        <f>+'P&amp;L'!CE19</f>
        <v>103.29493686257992</v>
      </c>
      <c r="CE95" s="195">
        <f>+'P&amp;L'!CF19</f>
        <v>110.63331632998208</v>
      </c>
      <c r="CF95" s="195">
        <f>+'P&amp;L'!CG19</f>
        <v>389.46464320212226</v>
      </c>
      <c r="CG95" s="195"/>
    </row>
    <row r="96" spans="1:85" ht="12" hidden="1" customHeight="1" outlineLevel="1" x14ac:dyDescent="0.2">
      <c r="A96" s="79" t="s">
        <v>128</v>
      </c>
      <c r="B96" s="195">
        <f>+'P&amp;L'!C20</f>
        <v>5.6929999999999996</v>
      </c>
      <c r="C96" s="195">
        <f>+'P&amp;L'!D20</f>
        <v>6.6749999999999998</v>
      </c>
      <c r="D96" s="195">
        <f>+'P&amp;L'!E20</f>
        <v>6.7489999999999997</v>
      </c>
      <c r="E96" s="195">
        <f>+'P&amp;L'!F20</f>
        <v>6.610000000000003</v>
      </c>
      <c r="F96" s="195">
        <f>+'P&amp;L'!G20</f>
        <v>25.727</v>
      </c>
      <c r="G96" s="197"/>
      <c r="H96" s="195">
        <f>+'P&amp;L'!I20</f>
        <v>7.2949999999999999</v>
      </c>
      <c r="I96" s="195">
        <f>+'P&amp;L'!J20</f>
        <v>7.0010000000000003</v>
      </c>
      <c r="J96" s="195">
        <f>+'P&amp;L'!K20</f>
        <v>5.9180000000000001</v>
      </c>
      <c r="K96" s="195">
        <f>+'P&amp;L'!L20</f>
        <v>5.9510000000000005</v>
      </c>
      <c r="L96" s="195">
        <f>+'P&amp;L'!M20</f>
        <v>26.164999999999999</v>
      </c>
      <c r="M96" s="197"/>
      <c r="N96" s="195">
        <f>+'P&amp;L'!O20</f>
        <v>5.1909999999999998</v>
      </c>
      <c r="O96" s="195">
        <f>+'P&amp;L'!P20</f>
        <v>5.6689999999999996</v>
      </c>
      <c r="P96" s="195">
        <f>+'P&amp;L'!Q20</f>
        <v>5.6109999999999998</v>
      </c>
      <c r="Q96" s="195">
        <f>+'P&amp;L'!R20</f>
        <v>5.7809999999999988</v>
      </c>
      <c r="R96" s="195">
        <f>+'P&amp;L'!S20</f>
        <v>22.251999999999999</v>
      </c>
      <c r="S96" s="197"/>
      <c r="T96" s="195">
        <f>+'P&amp;L'!U20</f>
        <v>6.1159999999999997</v>
      </c>
      <c r="U96" s="195">
        <f>+'P&amp;L'!V20</f>
        <v>6.3959999999999999</v>
      </c>
      <c r="V96" s="195">
        <f>+'P&amp;L'!W20</f>
        <v>6.5919999999999996</v>
      </c>
      <c r="W96" s="195">
        <f>+'P&amp;L'!X20</f>
        <v>6.8930000000000007</v>
      </c>
      <c r="X96" s="195">
        <f>+'P&amp;L'!Y20</f>
        <v>25.997</v>
      </c>
      <c r="Y96" s="197"/>
      <c r="Z96" s="195">
        <f>+'P&amp;L'!AA20</f>
        <v>9.39</v>
      </c>
      <c r="AA96" s="195">
        <f>+'P&amp;L'!AB20</f>
        <v>9.27</v>
      </c>
      <c r="AB96" s="195">
        <f>+'P&amp;L'!AC20</f>
        <v>8.9260000000000002</v>
      </c>
      <c r="AC96" s="195">
        <f>+'P&amp;L'!AD20</f>
        <v>9.5679999999999996</v>
      </c>
      <c r="AD96" s="195">
        <f>+'P&amp;L'!AE20</f>
        <v>37.153999999999996</v>
      </c>
      <c r="AE96" s="197"/>
      <c r="AF96" s="195">
        <f>+'P&amp;L'!AG20</f>
        <v>10.321</v>
      </c>
      <c r="AG96" s="195">
        <f>+'P&amp;L'!AH20</f>
        <v>10.568</v>
      </c>
      <c r="AH96" s="195">
        <f>+'P&amp;L'!AI20</f>
        <v>9.8719999999999999</v>
      </c>
      <c r="AI96" s="195">
        <f>+'P&amp;L'!AJ20</f>
        <v>11.711</v>
      </c>
      <c r="AJ96" s="195">
        <f>+'P&amp;L'!AK20</f>
        <v>42.472000000000001</v>
      </c>
      <c r="AK96" s="197"/>
      <c r="AL96" s="195">
        <f>+'P&amp;L'!AM20</f>
        <v>11.282</v>
      </c>
      <c r="AM96" s="195">
        <f>+'P&amp;L'!AN20</f>
        <v>10.916</v>
      </c>
      <c r="AN96" s="195">
        <f>+'P&amp;L'!AO20</f>
        <v>10.914999999999999</v>
      </c>
      <c r="AO96" s="195">
        <f>+'P&amp;L'!AP20</f>
        <v>10.97</v>
      </c>
      <c r="AP96" s="195">
        <f>+'P&amp;L'!AQ20</f>
        <v>44.082999999999998</v>
      </c>
      <c r="AQ96" s="197"/>
      <c r="AR96" s="195">
        <f>+'P&amp;L'!AS20</f>
        <v>13.38</v>
      </c>
      <c r="AS96" s="195">
        <f>+'P&amp;L'!AT20</f>
        <v>13.289</v>
      </c>
      <c r="AT96" s="195">
        <f>+'P&amp;L'!AU20</f>
        <v>12.853999999999999</v>
      </c>
      <c r="AU96" s="195">
        <f>+'P&amp;L'!AV20</f>
        <v>13.276</v>
      </c>
      <c r="AV96" s="195">
        <f>+'P&amp;L'!AW20</f>
        <v>52.798999999999992</v>
      </c>
      <c r="AW96" s="197"/>
      <c r="AX96" s="195">
        <f>+'P&amp;L'!AY20</f>
        <v>13.885</v>
      </c>
      <c r="AY96" s="195">
        <f>+'P&amp;L'!AZ20</f>
        <v>15.683999999999999</v>
      </c>
      <c r="AZ96" s="195">
        <f>+'P&amp;L'!BA20</f>
        <v>17.779</v>
      </c>
      <c r="BA96" s="195">
        <f>+'P&amp;L'!BB20</f>
        <v>13.888999999999999</v>
      </c>
      <c r="BB96" s="195">
        <f>+'P&amp;L'!BC20</f>
        <v>61.236999999999995</v>
      </c>
      <c r="BC96" s="197"/>
      <c r="BD96" s="195">
        <f>+'P&amp;L'!BE20</f>
        <v>15.083</v>
      </c>
      <c r="BE96" s="195">
        <f>+'P&amp;L'!BF20</f>
        <v>18.613</v>
      </c>
      <c r="BF96" s="195">
        <f>+'P&amp;L'!BG20</f>
        <v>20.414999999999999</v>
      </c>
      <c r="BG96" s="195">
        <f>+'P&amp;L'!BH20</f>
        <v>21.609000000000002</v>
      </c>
      <c r="BH96" s="195">
        <f>+'P&amp;L'!BI20</f>
        <v>75.72</v>
      </c>
      <c r="BI96" s="197"/>
      <c r="BJ96" s="195">
        <f>+'P&amp;L'!BK20</f>
        <v>22.803999999999998</v>
      </c>
      <c r="BK96" s="195">
        <f>+'P&amp;L'!BL20</f>
        <v>24.384</v>
      </c>
      <c r="BL96" s="195">
        <f>+'P&amp;L'!BM20</f>
        <v>24.201000000000001</v>
      </c>
      <c r="BM96" s="195">
        <f>+'P&amp;L'!BN20</f>
        <v>26.17</v>
      </c>
      <c r="BN96" s="195">
        <f>+'P&amp;L'!BO20</f>
        <v>97.559000000000012</v>
      </c>
      <c r="BO96" s="197"/>
      <c r="BP96" s="195">
        <f>+'P&amp;L'!BQ20</f>
        <v>29.591000000000001</v>
      </c>
      <c r="BQ96" s="195">
        <f>+'P&amp;L'!BR20</f>
        <v>32.603363482718272</v>
      </c>
      <c r="BR96" s="195">
        <f>+'P&amp;L'!BS20</f>
        <v>33.337218404016319</v>
      </c>
      <c r="BS96" s="195">
        <f>+'P&amp;L'!BT20</f>
        <v>36.582055318143198</v>
      </c>
      <c r="BT96" s="195">
        <f>+'P&amp;L'!BU20</f>
        <v>132.11363720487779</v>
      </c>
      <c r="BU96" s="197"/>
      <c r="BV96" s="195">
        <f>+'P&amp;L'!BW20</f>
        <v>35.351376347350396</v>
      </c>
      <c r="BW96" s="195">
        <f>+'P&amp;L'!BX20</f>
        <v>40.0829893033996</v>
      </c>
      <c r="BX96" s="195">
        <f>+'P&amp;L'!BY20</f>
        <v>40.602283890339997</v>
      </c>
      <c r="BY96" s="195">
        <f>+'P&amp;L'!BZ20</f>
        <v>44.571010077058347</v>
      </c>
      <c r="BZ96" s="195">
        <f>+'P&amp;L'!CA20</f>
        <v>160.60765961814832</v>
      </c>
      <c r="CA96" s="197"/>
      <c r="CB96" s="195">
        <f>+'P&amp;L'!CC20</f>
        <v>41.002901870373556</v>
      </c>
      <c r="CC96" s="195">
        <f>+'P&amp;L'!CD20</f>
        <v>45.993770614000212</v>
      </c>
      <c r="CD96" s="195">
        <f>+'P&amp;L'!CE20</f>
        <v>46.474183521005806</v>
      </c>
      <c r="CE96" s="195">
        <f>+'P&amp;L'!CF20</f>
        <v>50.719261419582701</v>
      </c>
      <c r="CF96" s="195">
        <f>+'P&amp;L'!CG20</f>
        <v>184.19011742496227</v>
      </c>
      <c r="CG96" s="195"/>
    </row>
    <row r="97" spans="1:85" ht="12" hidden="1" customHeight="1" outlineLevel="1" x14ac:dyDescent="0.2">
      <c r="A97" s="79" t="s">
        <v>333</v>
      </c>
      <c r="B97" s="195">
        <f>+SUM(B93:B96)</f>
        <v>56.761000000000003</v>
      </c>
      <c r="C97" s="195">
        <f>+SUM(C93:C96)</f>
        <v>63.155000000000001</v>
      </c>
      <c r="D97" s="195">
        <f>+SUM(D93:D96)</f>
        <v>63.056000000000004</v>
      </c>
      <c r="E97" s="195">
        <f>+SUM(E93:E96)</f>
        <v>67.504999999999995</v>
      </c>
      <c r="F97" s="195">
        <f>+SUM(F93:F96)</f>
        <v>250.477</v>
      </c>
      <c r="G97" s="197"/>
      <c r="H97" s="195">
        <f>+SUM(H93:H96)</f>
        <v>70.150000000000006</v>
      </c>
      <c r="I97" s="195">
        <f>+SUM(I93:I96)</f>
        <v>76.03</v>
      </c>
      <c r="J97" s="195">
        <f>+SUM(J93:J96)</f>
        <v>67.293000000000006</v>
      </c>
      <c r="K97" s="195">
        <f>+SUM(K93:K96)</f>
        <v>68.75800000000001</v>
      </c>
      <c r="L97" s="195">
        <f>+SUM(L93:L96)</f>
        <v>282.23099999999999</v>
      </c>
      <c r="M97" s="197"/>
      <c r="N97" s="195">
        <f>+SUM(N93:N96)</f>
        <v>63.938000000000002</v>
      </c>
      <c r="O97" s="195">
        <f>+SUM(O93:O96)</f>
        <v>69.653999999999996</v>
      </c>
      <c r="P97" s="195">
        <f>+SUM(P93:P96)</f>
        <v>67.884000000000015</v>
      </c>
      <c r="Q97" s="195">
        <f>+SUM(Q93:Q96)</f>
        <v>67.712000000000003</v>
      </c>
      <c r="R97" s="195">
        <f>+SUM(R93:R96)</f>
        <v>269.18800000000005</v>
      </c>
      <c r="S97" s="197"/>
      <c r="T97" s="195">
        <f>+SUM(T93:T96)</f>
        <v>68.566000000000003</v>
      </c>
      <c r="U97" s="195">
        <f>+SUM(U93:U96)</f>
        <v>71.518000000000001</v>
      </c>
      <c r="V97" s="195">
        <f>+SUM(V93:V96)</f>
        <v>70.713999999999999</v>
      </c>
      <c r="W97" s="195">
        <f>+SUM(W93:W96)</f>
        <v>76.884000000000015</v>
      </c>
      <c r="X97" s="195">
        <f>+SUM(X93:X96)</f>
        <v>287.68200000000002</v>
      </c>
      <c r="Y97" s="197"/>
      <c r="Z97" s="195">
        <f>+SUM(Z93:Z96)</f>
        <v>82.35199999999999</v>
      </c>
      <c r="AA97" s="195">
        <f>+SUM(AA93:AA96)</f>
        <v>96.808999999999997</v>
      </c>
      <c r="AB97" s="195">
        <f>+SUM(AB93:AB96)</f>
        <v>96.701999999999998</v>
      </c>
      <c r="AC97" s="195">
        <f>+SUM(AC93:AC96)</f>
        <v>99.227999999999994</v>
      </c>
      <c r="AD97" s="195">
        <f>+SUM(AD93:AD96)</f>
        <v>375.09100000000001</v>
      </c>
      <c r="AE97" s="197"/>
      <c r="AF97" s="195">
        <f>+SUM(AF93:AF96)</f>
        <v>104.77099999999999</v>
      </c>
      <c r="AG97" s="195">
        <f>+SUM(AG93:AG96)</f>
        <v>107.996</v>
      </c>
      <c r="AH97" s="195">
        <f>+SUM(AH93:AH96)</f>
        <v>105.871</v>
      </c>
      <c r="AI97" s="195">
        <f>+SUM(AI93:AI96)</f>
        <v>112.807</v>
      </c>
      <c r="AJ97" s="195">
        <f>+SUM(AJ93:AJ96)</f>
        <v>431.44499999999994</v>
      </c>
      <c r="AK97" s="197"/>
      <c r="AL97" s="195">
        <f>+SUM(AL93:AL96)</f>
        <v>124.642</v>
      </c>
      <c r="AM97" s="195">
        <f>+SUM(AM93:AM96)</f>
        <v>125.92700000000001</v>
      </c>
      <c r="AN97" s="195">
        <f>+SUM(AN93:AN96)</f>
        <v>123.04199999999997</v>
      </c>
      <c r="AO97" s="195">
        <f>+SUM(AO93:AO96)</f>
        <v>125.369</v>
      </c>
      <c r="AP97" s="195">
        <f>+SUM(AP93:AP96)</f>
        <v>498.9799999999999</v>
      </c>
      <c r="AQ97" s="197"/>
      <c r="AR97" s="195">
        <f>+SUM(AR93:AR96)</f>
        <v>138.84200000000001</v>
      </c>
      <c r="AS97" s="195">
        <f>+SUM(AS93:AS96)</f>
        <v>143.79899999999998</v>
      </c>
      <c r="AT97" s="195">
        <f>+SUM(AT93:AT96)</f>
        <v>138.32900000000001</v>
      </c>
      <c r="AU97" s="195">
        <f>+SUM(AU93:AU96)</f>
        <v>147.107</v>
      </c>
      <c r="AV97" s="195">
        <f>+SUM(AV93:AV96)</f>
        <v>568.077</v>
      </c>
      <c r="AW97" s="197"/>
      <c r="AX97" s="195">
        <f>+SUM(AX93:AX96)</f>
        <v>154.07144</v>
      </c>
      <c r="AY97" s="195">
        <f>+SUM(AY93:AY96)</f>
        <v>167.16299999999998</v>
      </c>
      <c r="AZ97" s="195">
        <f>+SUM(AZ93:AZ96)</f>
        <v>169.59</v>
      </c>
      <c r="BA97" s="195">
        <f>+SUM(BA93:BA96)</f>
        <v>170.93700000000001</v>
      </c>
      <c r="BB97" s="195">
        <f>+SUM(BB93:BB96)</f>
        <v>661.76143999999988</v>
      </c>
      <c r="BC97" s="197"/>
      <c r="BD97" s="195">
        <f>+SUM(BD93:BD96)</f>
        <v>185.386</v>
      </c>
      <c r="BE97" s="195">
        <f>+SUM(BE93:BE96)</f>
        <v>204.226</v>
      </c>
      <c r="BF97" s="195">
        <f>+SUM(BF93:BF96)</f>
        <v>216.50999999999996</v>
      </c>
      <c r="BG97" s="195">
        <f>+SUM(BG93:BG96)</f>
        <v>224.47100000000003</v>
      </c>
      <c r="BH97" s="195">
        <f>+SUM(BH93:BH96)</f>
        <v>830.59299999999996</v>
      </c>
      <c r="BI97" s="197"/>
      <c r="BJ97" s="195">
        <f>+SUM(BJ93:BJ96)</f>
        <v>248.66799999999998</v>
      </c>
      <c r="BK97" s="195">
        <f>+SUM(BK93:BK96)</f>
        <v>272.91300000000001</v>
      </c>
      <c r="BL97" s="195">
        <f>+SUM(BL93:BL96)</f>
        <v>286.50400000000002</v>
      </c>
      <c r="BM97" s="195">
        <f>+SUM(BM93:BM96)</f>
        <v>311.71699999999998</v>
      </c>
      <c r="BN97" s="195">
        <f>+SUM(BN93:BN96)</f>
        <v>1119.8019999999999</v>
      </c>
      <c r="BO97" s="197"/>
      <c r="BP97" s="195">
        <f>+SUM(BP93:BP96)</f>
        <v>338.73199999999997</v>
      </c>
      <c r="BQ97" s="195">
        <f>+SUM(BQ93:BQ96)</f>
        <v>369.47978297646728</v>
      </c>
      <c r="BR97" s="195">
        <f>+SUM(BR93:BR96)</f>
        <v>367.67392392624504</v>
      </c>
      <c r="BS97" s="195">
        <f>+SUM(BS93:BS96)</f>
        <v>399.75173256572873</v>
      </c>
      <c r="BT97" s="195">
        <f>+SUM(BT93:BT96)</f>
        <v>1475.637439468441</v>
      </c>
      <c r="BU97" s="197"/>
      <c r="BV97" s="195">
        <f>+SUM(BV93:BV96)</f>
        <v>399.67117096132836</v>
      </c>
      <c r="BW97" s="195">
        <f>+SUM(BW93:BW96)</f>
        <v>447.41798011771846</v>
      </c>
      <c r="BX97" s="195">
        <f>+SUM(BX93:BX96)</f>
        <v>440.69132733862472</v>
      </c>
      <c r="BY97" s="195">
        <f>+SUM(BY93:BY96)</f>
        <v>481.92044604522511</v>
      </c>
      <c r="BZ97" s="195">
        <f>+SUM(BZ93:BZ96)</f>
        <v>1769.7009244628966</v>
      </c>
      <c r="CA97" s="197"/>
      <c r="CB97" s="195">
        <f>+SUM(CB93:CB96)</f>
        <v>459.0014911750489</v>
      </c>
      <c r="CC97" s="195">
        <f>+SUM(CC93:CC96)</f>
        <v>509.20285899298375</v>
      </c>
      <c r="CD97" s="195">
        <f>+SUM(CD93:CD96)</f>
        <v>499.21993449641764</v>
      </c>
      <c r="CE97" s="195">
        <f>+SUM(CE93:CE96)</f>
        <v>544.02564745511972</v>
      </c>
      <c r="CF97" s="195">
        <f>+SUM(CF93:CF96)</f>
        <v>2011.4499321195699</v>
      </c>
      <c r="CG97" s="195"/>
    </row>
    <row r="98" spans="1:85" ht="12" hidden="1" customHeight="1" outlineLevel="1" x14ac:dyDescent="0.2">
      <c r="A98" s="79" t="s">
        <v>334</v>
      </c>
      <c r="B98" s="195">
        <f>+B11</f>
        <v>3.367</v>
      </c>
      <c r="C98" s="195">
        <f>+C11</f>
        <v>2.0199999999999996</v>
      </c>
      <c r="D98" s="195">
        <f>+D11</f>
        <v>3.3880000000000008</v>
      </c>
      <c r="E98" s="195">
        <f>+E11</f>
        <v>3.4359999999999999</v>
      </c>
      <c r="F98" s="195">
        <f>+F11</f>
        <v>12.211</v>
      </c>
      <c r="G98" s="197"/>
      <c r="H98" s="195">
        <f>+H11</f>
        <v>4.0110000000000001</v>
      </c>
      <c r="I98" s="195">
        <f>+I11</f>
        <v>4.7749999999999995</v>
      </c>
      <c r="J98" s="195">
        <f>+J11</f>
        <v>4.3900000000000006</v>
      </c>
      <c r="K98" s="195">
        <f>+K11</f>
        <v>4.5589999999999993</v>
      </c>
      <c r="L98" s="195">
        <f>+L11</f>
        <v>17.734999999999999</v>
      </c>
      <c r="M98" s="197"/>
      <c r="N98" s="195">
        <f>+N11</f>
        <v>3.7149999999999999</v>
      </c>
      <c r="O98" s="195">
        <f>+O11</f>
        <v>4.3089999999999993</v>
      </c>
      <c r="P98" s="195">
        <f>+P11</f>
        <v>3.9870000000000001</v>
      </c>
      <c r="Q98" s="195">
        <f>+Q11</f>
        <v>3.077</v>
      </c>
      <c r="R98" s="195">
        <f>+R11</f>
        <v>15.087999999999999</v>
      </c>
      <c r="S98" s="197"/>
      <c r="T98" s="195">
        <f>+T11</f>
        <v>3.4729999999999999</v>
      </c>
      <c r="U98" s="195">
        <f>+U11</f>
        <v>4.2510000000000003</v>
      </c>
      <c r="V98" s="195">
        <f>+V11</f>
        <v>4.4139999999999997</v>
      </c>
      <c r="W98" s="195">
        <f>+W11</f>
        <v>3.9339999999999993</v>
      </c>
      <c r="X98" s="195">
        <f>+X11</f>
        <v>16.071999999999999</v>
      </c>
      <c r="Y98" s="197"/>
      <c r="Z98" s="195">
        <f>+Z11</f>
        <v>4.2789999999999999</v>
      </c>
      <c r="AA98" s="195">
        <f>+AA11</f>
        <v>4.9730000000000008</v>
      </c>
      <c r="AB98" s="195">
        <f>+AB97*AB99</f>
        <v>4.8351000000000006</v>
      </c>
      <c r="AC98" s="195">
        <f>+AC97*AC99</f>
        <v>4.9614000000000003</v>
      </c>
      <c r="AD98" s="195">
        <f>+SUM(Z98:AC98)</f>
        <v>19.048500000000001</v>
      </c>
      <c r="AE98" s="197"/>
      <c r="AF98" s="195">
        <f>+AF11</f>
        <v>4.8630000000000004</v>
      </c>
      <c r="AG98" s="195">
        <f>+AG11</f>
        <v>5.278999999999999</v>
      </c>
      <c r="AH98" s="195">
        <f>+AH97*AH99</f>
        <v>5.2935499999999998</v>
      </c>
      <c r="AI98" s="195">
        <f>+AI97*AI99</f>
        <v>5.6403500000000006</v>
      </c>
      <c r="AJ98" s="195">
        <f>+SUM(AF98:AI98)</f>
        <v>21.075900000000001</v>
      </c>
      <c r="AK98" s="197"/>
      <c r="AL98" s="195">
        <f>+AL97*AL99</f>
        <v>6.2321</v>
      </c>
      <c r="AM98" s="195">
        <f>+AM97*AM99</f>
        <v>6.2963500000000003</v>
      </c>
      <c r="AN98" s="195">
        <f>+AN97*AN99</f>
        <v>6.152099999999999</v>
      </c>
      <c r="AO98" s="195">
        <f>+AO97*AO99</f>
        <v>6.2684500000000005</v>
      </c>
      <c r="AP98" s="195">
        <f>+SUM(AL98:AO98)</f>
        <v>24.948999999999998</v>
      </c>
      <c r="AQ98" s="197"/>
      <c r="AR98" s="195">
        <f>+AR97*AR99</f>
        <v>6.9421000000000008</v>
      </c>
      <c r="AS98" s="195">
        <f>+AS97*AS99</f>
        <v>7.1899499999999996</v>
      </c>
      <c r="AT98" s="195">
        <f>+AT97*AT99</f>
        <v>6.9164500000000011</v>
      </c>
      <c r="AU98" s="195">
        <f>+AU97*AU99</f>
        <v>7.3553500000000005</v>
      </c>
      <c r="AV98" s="195">
        <f>+SUM(AR98:AU98)</f>
        <v>28.403850000000002</v>
      </c>
      <c r="AW98" s="197"/>
      <c r="AX98" s="195">
        <f>+AX97*AX99</f>
        <v>7.7035720000000003</v>
      </c>
      <c r="AY98" s="195">
        <f>+AY97*AY99</f>
        <v>8.3581500000000002</v>
      </c>
      <c r="AZ98" s="195">
        <f>+AZ97*AZ99</f>
        <v>8.4794999999999998</v>
      </c>
      <c r="BA98" s="195">
        <f>+BA97*BA99</f>
        <v>8.5468500000000009</v>
      </c>
      <c r="BB98" s="195">
        <f>+SUM(AX98:BA98)</f>
        <v>33.088071999999997</v>
      </c>
      <c r="BC98" s="197"/>
      <c r="BD98" s="195">
        <f>+BD97*BD99</f>
        <v>9.2692999999999994</v>
      </c>
      <c r="BE98" s="195">
        <f>+BE97*BE99</f>
        <v>10.211300000000001</v>
      </c>
      <c r="BF98" s="195">
        <f>+BF97*BF99</f>
        <v>10.825499999999998</v>
      </c>
      <c r="BG98" s="195">
        <f>+BG97*BG99</f>
        <v>11.223550000000003</v>
      </c>
      <c r="BH98" s="195">
        <f>+SUM(BD98:BG98)</f>
        <v>41.529650000000004</v>
      </c>
      <c r="BI98" s="197"/>
      <c r="BJ98" s="195">
        <f>+BJ97*BJ99</f>
        <v>12.433399999999999</v>
      </c>
      <c r="BK98" s="195">
        <f>+BK97*BK99</f>
        <v>13.645650000000002</v>
      </c>
      <c r="BL98" s="195">
        <f>+BL97*BL99</f>
        <v>14.325200000000002</v>
      </c>
      <c r="BM98" s="195">
        <f>+BM97*BM99</f>
        <v>15.585850000000001</v>
      </c>
      <c r="BN98" s="195">
        <f>+SUM(BJ98:BM98)</f>
        <v>55.990100000000005</v>
      </c>
      <c r="BO98" s="197"/>
      <c r="BP98" s="195">
        <f>+BP97*BP99</f>
        <v>16.936599999999999</v>
      </c>
      <c r="BQ98" s="195">
        <f>+BQ97*BQ99</f>
        <v>18.473989148823364</v>
      </c>
      <c r="BR98" s="195">
        <f>+BR97*BR99</f>
        <v>18.383696196312254</v>
      </c>
      <c r="BS98" s="195">
        <f>+BS97*BS99</f>
        <v>19.987586628286437</v>
      </c>
      <c r="BT98" s="195">
        <f>+SUM(BP98:BS98)</f>
        <v>73.781871973422056</v>
      </c>
      <c r="BU98" s="197"/>
      <c r="BV98" s="195">
        <f>+BV97*BV99</f>
        <v>19.983558548066419</v>
      </c>
      <c r="BW98" s="195">
        <f>+BW97*BW99</f>
        <v>22.370899005885924</v>
      </c>
      <c r="BX98" s="195">
        <f>+BX97*BX99</f>
        <v>22.034566366931237</v>
      </c>
      <c r="BY98" s="195">
        <f>+BY97*BY99</f>
        <v>24.096022302261257</v>
      </c>
      <c r="BZ98" s="195">
        <f>+SUM(BV98:BY98)</f>
        <v>88.485046223144835</v>
      </c>
      <c r="CA98" s="197"/>
      <c r="CB98" s="195">
        <f>+CB97*CB99</f>
        <v>22.950074558752448</v>
      </c>
      <c r="CC98" s="195">
        <f>+CC97*CC99</f>
        <v>25.460142949649189</v>
      </c>
      <c r="CD98" s="195">
        <f>+CD97*CD99</f>
        <v>24.960996724820884</v>
      </c>
      <c r="CE98" s="195">
        <f>+CE97*CE99</f>
        <v>27.201282372755987</v>
      </c>
      <c r="CF98" s="195">
        <f>+SUM(CB98:CE98)</f>
        <v>100.5724966059785</v>
      </c>
      <c r="CG98" s="195"/>
    </row>
    <row r="99" spans="1:85" ht="12" hidden="1" customHeight="1" outlineLevel="1" x14ac:dyDescent="0.2">
      <c r="A99" s="296" t="s">
        <v>335</v>
      </c>
      <c r="B99" s="294">
        <f>+B98/B97</f>
        <v>5.9318898539490142E-2</v>
      </c>
      <c r="C99" s="294">
        <f>+C98/C97</f>
        <v>3.1984799303301392E-2</v>
      </c>
      <c r="D99" s="294">
        <f>+D98/D97</f>
        <v>5.3730017761989352E-2</v>
      </c>
      <c r="E99" s="294">
        <f>+E98/E97</f>
        <v>5.0899933338271239E-2</v>
      </c>
      <c r="F99" s="294">
        <f>+F98/F97</f>
        <v>4.8750983124199031E-2</v>
      </c>
      <c r="G99" s="295"/>
      <c r="H99" s="294">
        <f>+H98/H97</f>
        <v>5.7177476835352813E-2</v>
      </c>
      <c r="I99" s="294">
        <f>+I98/I97</f>
        <v>6.2804156254110205E-2</v>
      </c>
      <c r="J99" s="294">
        <f>+J98/J97</f>
        <v>6.5237097469276153E-2</v>
      </c>
      <c r="K99" s="294">
        <f>+K98/K97</f>
        <v>6.6305011780447343E-2</v>
      </c>
      <c r="L99" s="294">
        <f>+L98/L97</f>
        <v>6.2838596752305728E-2</v>
      </c>
      <c r="M99" s="295"/>
      <c r="N99" s="294">
        <f>+N98/N97</f>
        <v>5.8103162438612403E-2</v>
      </c>
      <c r="O99" s="294">
        <f>+O98/O97</f>
        <v>6.1862922445229271E-2</v>
      </c>
      <c r="P99" s="294">
        <f>+P98/P97</f>
        <v>5.8732543751104815E-2</v>
      </c>
      <c r="Q99" s="294">
        <f>+Q98/Q97</f>
        <v>4.5442462192816634E-2</v>
      </c>
      <c r="R99" s="294">
        <f>+R98/R97</f>
        <v>5.605004680743568E-2</v>
      </c>
      <c r="S99" s="295"/>
      <c r="T99" s="294">
        <f>+T98/T97</f>
        <v>5.0651926610856692E-2</v>
      </c>
      <c r="U99" s="294">
        <f>+U98/U97</f>
        <v>5.9439581643781991E-2</v>
      </c>
      <c r="V99" s="294">
        <f>+V98/V97</f>
        <v>6.2420454224057467E-2</v>
      </c>
      <c r="W99" s="294">
        <f>+W98/W97</f>
        <v>5.1167993340617016E-2</v>
      </c>
      <c r="X99" s="294">
        <f>+X98/X97</f>
        <v>5.5867242302264301E-2</v>
      </c>
      <c r="Y99" s="295"/>
      <c r="Z99" s="294">
        <f>+Z98/Z97</f>
        <v>5.1959879541480479E-2</v>
      </c>
      <c r="AA99" s="294">
        <f>+AA98/AA97</f>
        <v>5.136919088101314E-2</v>
      </c>
      <c r="AB99" s="387">
        <v>0.05</v>
      </c>
      <c r="AC99" s="387">
        <v>0.05</v>
      </c>
      <c r="AD99" s="294">
        <f>+AD98/AD97</f>
        <v>5.0783676494504E-2</v>
      </c>
      <c r="AE99" s="295"/>
      <c r="AF99" s="294">
        <f>+AF98/AF97</f>
        <v>4.6415515743860429E-2</v>
      </c>
      <c r="AG99" s="294">
        <f>+AG98/AG97</f>
        <v>4.88814400533353E-2</v>
      </c>
      <c r="AH99" s="387">
        <v>0.05</v>
      </c>
      <c r="AI99" s="387">
        <v>0.05</v>
      </c>
      <c r="AJ99" s="294">
        <f>+AJ98/AJ97</f>
        <v>4.8849563675555409E-2</v>
      </c>
      <c r="AK99" s="295"/>
      <c r="AL99" s="387">
        <v>0.05</v>
      </c>
      <c r="AM99" s="387">
        <v>0.05</v>
      </c>
      <c r="AN99" s="387">
        <v>0.05</v>
      </c>
      <c r="AO99" s="387">
        <v>0.05</v>
      </c>
      <c r="AP99" s="294">
        <f>+AP98/AP97</f>
        <v>0.05</v>
      </c>
      <c r="AQ99" s="295"/>
      <c r="AR99" s="387">
        <v>0.05</v>
      </c>
      <c r="AS99" s="387">
        <v>0.05</v>
      </c>
      <c r="AT99" s="387">
        <v>0.05</v>
      </c>
      <c r="AU99" s="387">
        <v>0.05</v>
      </c>
      <c r="AV99" s="294">
        <f>+AV98/AV97</f>
        <v>0.05</v>
      </c>
      <c r="AW99" s="295"/>
      <c r="AX99" s="387">
        <v>0.05</v>
      </c>
      <c r="AY99" s="387">
        <v>0.05</v>
      </c>
      <c r="AZ99" s="387">
        <v>0.05</v>
      </c>
      <c r="BA99" s="387">
        <v>0.05</v>
      </c>
      <c r="BB99" s="294">
        <f>+BB98/BB97</f>
        <v>0.05</v>
      </c>
      <c r="BC99" s="295"/>
      <c r="BD99" s="387">
        <v>0.05</v>
      </c>
      <c r="BE99" s="387">
        <v>0.05</v>
      </c>
      <c r="BF99" s="387">
        <v>0.05</v>
      </c>
      <c r="BG99" s="387">
        <v>0.05</v>
      </c>
      <c r="BH99" s="294">
        <f>+BH98/BH97</f>
        <v>5.000000000000001E-2</v>
      </c>
      <c r="BI99" s="295"/>
      <c r="BJ99" s="387">
        <v>0.05</v>
      </c>
      <c r="BK99" s="387">
        <v>0.05</v>
      </c>
      <c r="BL99" s="387">
        <v>0.05</v>
      </c>
      <c r="BM99" s="387">
        <v>0.05</v>
      </c>
      <c r="BN99" s="294">
        <f>+BN98/BN97</f>
        <v>5.000000000000001E-2</v>
      </c>
      <c r="BO99" s="295"/>
      <c r="BP99" s="387">
        <v>0.05</v>
      </c>
      <c r="BQ99" s="387">
        <v>0.05</v>
      </c>
      <c r="BR99" s="387">
        <v>0.05</v>
      </c>
      <c r="BS99" s="387">
        <v>0.05</v>
      </c>
      <c r="BT99" s="294">
        <f>+BT98/BT97</f>
        <v>0.05</v>
      </c>
      <c r="BU99" s="295"/>
      <c r="BV99" s="387">
        <v>0.05</v>
      </c>
      <c r="BW99" s="387">
        <v>0.05</v>
      </c>
      <c r="BX99" s="387">
        <v>0.05</v>
      </c>
      <c r="BY99" s="387">
        <v>0.05</v>
      </c>
      <c r="BZ99" s="294">
        <f>+BZ98/BZ97</f>
        <v>0.05</v>
      </c>
      <c r="CA99" s="295"/>
      <c r="CB99" s="387">
        <v>0.05</v>
      </c>
      <c r="CC99" s="387">
        <v>0.05</v>
      </c>
      <c r="CD99" s="387">
        <v>0.05</v>
      </c>
      <c r="CE99" s="387">
        <v>0.05</v>
      </c>
      <c r="CF99" s="294">
        <f>+CF98/CF97</f>
        <v>0.05</v>
      </c>
      <c r="CG99" s="294"/>
    </row>
    <row r="100" spans="1:85" collapsed="1" x14ac:dyDescent="0.2">
      <c r="A100" s="42"/>
      <c r="B100" s="42"/>
      <c r="C100" s="42"/>
      <c r="D100" s="42"/>
      <c r="E100" s="42"/>
      <c r="F100" s="42"/>
      <c r="G100" s="115"/>
      <c r="H100" s="42"/>
      <c r="I100" s="42"/>
      <c r="J100" s="42"/>
      <c r="K100" s="42"/>
      <c r="L100" s="42"/>
      <c r="M100" s="115"/>
      <c r="N100" s="42"/>
      <c r="O100" s="42"/>
      <c r="P100" s="42"/>
      <c r="Q100" s="42"/>
      <c r="R100" s="42"/>
      <c r="S100" s="115"/>
      <c r="T100" s="42"/>
      <c r="U100" s="42"/>
      <c r="V100" s="42"/>
      <c r="W100" s="42"/>
      <c r="X100" s="42"/>
      <c r="Y100" s="117"/>
      <c r="Z100" s="42"/>
      <c r="AA100" s="42"/>
      <c r="AB100" s="42"/>
      <c r="AC100" s="42"/>
      <c r="AD100" s="42"/>
      <c r="AE100" s="117"/>
      <c r="AF100" s="42"/>
      <c r="AG100" s="42"/>
      <c r="AH100" s="42"/>
      <c r="AI100" s="42"/>
      <c r="AJ100" s="42"/>
      <c r="AK100" s="117"/>
      <c r="AL100" s="42"/>
      <c r="AM100" s="42"/>
      <c r="AN100" s="42"/>
      <c r="AO100" s="42"/>
      <c r="AP100" s="42"/>
      <c r="AQ100" s="117"/>
      <c r="AR100" s="42"/>
      <c r="AS100" s="42"/>
      <c r="AT100" s="42"/>
      <c r="AU100" s="42"/>
      <c r="AV100" s="42"/>
      <c r="AW100" s="117"/>
      <c r="AX100" s="42"/>
      <c r="AY100" s="42"/>
      <c r="AZ100" s="42"/>
      <c r="BA100" s="42"/>
      <c r="BB100" s="42"/>
      <c r="BC100" s="117"/>
      <c r="BD100" s="42"/>
      <c r="BE100" s="42"/>
      <c r="BF100" s="42"/>
      <c r="BG100" s="42"/>
      <c r="BH100" s="42"/>
      <c r="BI100" s="117"/>
      <c r="BJ100" s="42"/>
      <c r="BK100" s="42"/>
      <c r="BL100" s="42"/>
      <c r="BM100" s="42"/>
      <c r="BN100" s="42"/>
      <c r="BO100" s="117"/>
      <c r="BP100" s="42"/>
      <c r="BQ100" s="42"/>
      <c r="BR100" s="42"/>
      <c r="BS100" s="42"/>
      <c r="BT100" s="42"/>
      <c r="BU100" s="117"/>
      <c r="BV100" s="42"/>
      <c r="BW100" s="42"/>
      <c r="BX100" s="42"/>
      <c r="BY100" s="42"/>
      <c r="BZ100" s="42"/>
      <c r="CA100" s="117"/>
      <c r="CB100" s="42"/>
      <c r="CC100" s="42"/>
      <c r="CD100" s="42"/>
      <c r="CE100" s="42"/>
      <c r="CF100" s="42"/>
      <c r="CG100" s="42"/>
    </row>
    <row r="101" spans="1:85" x14ac:dyDescent="0.2">
      <c r="G101" s="26"/>
      <c r="M101" s="26"/>
      <c r="S101" s="26"/>
      <c r="Y101" s="108"/>
      <c r="Z101" s="42"/>
      <c r="AA101" s="42"/>
      <c r="AB101" s="42"/>
      <c r="AC101" s="42"/>
      <c r="AD101" s="42"/>
      <c r="AE101" s="108"/>
      <c r="AF101" s="42"/>
      <c r="AG101" s="42"/>
      <c r="AH101" s="42"/>
      <c r="AI101" s="42"/>
      <c r="AJ101" s="42"/>
      <c r="AK101" s="108"/>
      <c r="AL101" s="42"/>
      <c r="AQ101" s="108"/>
      <c r="AR101" s="42"/>
      <c r="AW101" s="108"/>
      <c r="AX101" s="42"/>
      <c r="BC101" s="108"/>
      <c r="BD101" s="42"/>
      <c r="BI101" s="108"/>
      <c r="BJ101" s="42"/>
      <c r="BO101" s="108"/>
      <c r="BP101" s="42"/>
      <c r="BU101" s="108"/>
      <c r="BV101" s="42"/>
      <c r="CA101" s="108"/>
      <c r="CB101" s="42"/>
    </row>
    <row r="102" spans="1:85" x14ac:dyDescent="0.2">
      <c r="A102" s="124" t="s">
        <v>508</v>
      </c>
      <c r="G102" s="26"/>
      <c r="M102" s="26"/>
      <c r="S102" s="26"/>
      <c r="Y102" s="115"/>
      <c r="Z102" s="42"/>
      <c r="AA102" s="42"/>
      <c r="AB102" s="42"/>
      <c r="AC102" s="42"/>
      <c r="AD102" s="42"/>
      <c r="AE102" s="115"/>
      <c r="AF102" s="42"/>
      <c r="AG102" s="42"/>
      <c r="AH102" s="42"/>
      <c r="AI102" s="42"/>
      <c r="AJ102" s="42"/>
      <c r="AK102" s="115"/>
      <c r="AL102" s="820">
        <v>41275</v>
      </c>
      <c r="AM102" s="820">
        <v>41365</v>
      </c>
      <c r="AN102" s="820">
        <v>41456</v>
      </c>
      <c r="AO102" s="820">
        <v>41548</v>
      </c>
      <c r="AP102" s="822">
        <f>AL102</f>
        <v>41275</v>
      </c>
      <c r="AQ102" s="823"/>
      <c r="AR102" s="820">
        <v>41640</v>
      </c>
      <c r="AS102" s="820">
        <v>41730</v>
      </c>
      <c r="AT102" s="820">
        <v>41821</v>
      </c>
      <c r="AU102" s="820">
        <v>41913</v>
      </c>
      <c r="AV102" s="822">
        <f>AR102</f>
        <v>41640</v>
      </c>
      <c r="AW102" s="823"/>
      <c r="AX102" s="820">
        <v>42005</v>
      </c>
      <c r="AY102" s="820">
        <v>42095</v>
      </c>
      <c r="AZ102" s="820">
        <v>42186</v>
      </c>
      <c r="BA102" s="820">
        <v>42278</v>
      </c>
      <c r="BB102" s="822">
        <f>AX102</f>
        <v>42005</v>
      </c>
      <c r="BC102" s="115"/>
      <c r="BD102" s="821">
        <v>42370</v>
      </c>
      <c r="BE102" s="821">
        <v>42461</v>
      </c>
      <c r="BF102" s="821">
        <v>42552</v>
      </c>
      <c r="BG102" s="821">
        <v>42644</v>
      </c>
      <c r="BH102" s="822">
        <f>BD102</f>
        <v>42370</v>
      </c>
      <c r="BI102" s="115"/>
      <c r="BJ102" s="821">
        <v>42736</v>
      </c>
      <c r="BK102" s="821">
        <v>42826</v>
      </c>
      <c r="BL102" s="821">
        <v>42917</v>
      </c>
      <c r="BM102" s="821">
        <v>43009</v>
      </c>
      <c r="BN102" s="822">
        <f>BJ102</f>
        <v>42736</v>
      </c>
      <c r="BO102" s="115"/>
      <c r="BP102" s="42"/>
      <c r="BU102" s="115"/>
      <c r="BV102" s="42"/>
      <c r="CA102" s="115"/>
      <c r="CB102" s="42"/>
    </row>
    <row r="103" spans="1:85" x14ac:dyDescent="0.2">
      <c r="A103" s="124" t="s">
        <v>509</v>
      </c>
      <c r="G103" s="26"/>
      <c r="M103" s="26"/>
      <c r="S103" s="26"/>
      <c r="Y103" s="115"/>
      <c r="Z103" s="42"/>
      <c r="AA103" s="42"/>
      <c r="AB103" s="42"/>
      <c r="AC103" s="42"/>
      <c r="AD103" s="42"/>
      <c r="AE103" s="115"/>
      <c r="AF103" s="42"/>
      <c r="AG103" s="42"/>
      <c r="AH103" s="42"/>
      <c r="AI103" s="42"/>
      <c r="AJ103" s="42"/>
      <c r="AK103" s="115"/>
      <c r="AL103" s="820">
        <v>41364</v>
      </c>
      <c r="AM103" s="820">
        <v>41455</v>
      </c>
      <c r="AN103" s="820">
        <v>41547</v>
      </c>
      <c r="AO103" s="820">
        <v>41639</v>
      </c>
      <c r="AP103" s="822">
        <f>AO103</f>
        <v>41639</v>
      </c>
      <c r="AQ103" s="824"/>
      <c r="AR103" s="820">
        <v>41729</v>
      </c>
      <c r="AS103" s="820">
        <v>41820</v>
      </c>
      <c r="AT103" s="820">
        <v>41912</v>
      </c>
      <c r="AU103" s="820">
        <v>42004</v>
      </c>
      <c r="AV103" s="822">
        <f>AU103</f>
        <v>42004</v>
      </c>
      <c r="AW103" s="824"/>
      <c r="AX103" s="820">
        <v>42094</v>
      </c>
      <c r="AY103" s="820">
        <v>42185</v>
      </c>
      <c r="AZ103" s="820">
        <v>42277</v>
      </c>
      <c r="BA103" s="820">
        <v>42369</v>
      </c>
      <c r="BB103" s="822">
        <f>BA103</f>
        <v>42369</v>
      </c>
      <c r="BC103" s="115"/>
      <c r="BD103" s="821">
        <v>42460</v>
      </c>
      <c r="BE103" s="821">
        <v>42551</v>
      </c>
      <c r="BF103" s="821">
        <v>42643</v>
      </c>
      <c r="BG103" s="821">
        <v>42735</v>
      </c>
      <c r="BH103" s="822">
        <f>BG103</f>
        <v>42735</v>
      </c>
      <c r="BI103" s="115"/>
      <c r="BJ103" s="821">
        <v>42825</v>
      </c>
      <c r="BK103" s="821">
        <v>42916</v>
      </c>
      <c r="BL103" s="821">
        <v>43008</v>
      </c>
      <c r="BM103" s="821">
        <v>43100</v>
      </c>
      <c r="BN103" s="822">
        <f>BM103</f>
        <v>43100</v>
      </c>
      <c r="BO103" s="115"/>
      <c r="BP103" s="42"/>
      <c r="BU103" s="115"/>
      <c r="BV103" s="42"/>
      <c r="CA103" s="115"/>
      <c r="CB103" s="42"/>
    </row>
    <row r="104" spans="1:85" x14ac:dyDescent="0.2">
      <c r="G104" s="26"/>
      <c r="M104" s="26"/>
      <c r="S104" s="26"/>
      <c r="Y104" s="115"/>
      <c r="Z104" s="42"/>
      <c r="AA104" s="42"/>
      <c r="AB104" s="42"/>
      <c r="AC104" s="42"/>
      <c r="AD104" s="42"/>
      <c r="AE104" s="115"/>
      <c r="AF104" s="42"/>
      <c r="AG104" s="42"/>
      <c r="AH104" s="42"/>
      <c r="AI104" s="42"/>
      <c r="AJ104" s="42"/>
      <c r="AK104" s="115"/>
      <c r="AL104" s="42"/>
      <c r="AQ104" s="115"/>
      <c r="AR104" s="42"/>
      <c r="AW104" s="115"/>
      <c r="AX104" s="42"/>
      <c r="BC104" s="115"/>
      <c r="BD104" s="42"/>
      <c r="BI104" s="115"/>
      <c r="BJ104" s="42"/>
      <c r="BO104" s="115"/>
      <c r="BP104" s="42"/>
      <c r="BU104" s="115"/>
      <c r="BV104" s="42"/>
      <c r="CA104" s="115"/>
      <c r="CB104" s="42"/>
    </row>
    <row r="105" spans="1:85" x14ac:dyDescent="0.2">
      <c r="G105" s="75"/>
      <c r="M105" s="75"/>
      <c r="S105" s="75"/>
      <c r="Y105" s="115"/>
      <c r="Z105" s="42"/>
      <c r="AA105" s="42"/>
      <c r="AB105" s="42"/>
      <c r="AC105" s="42"/>
      <c r="AD105" s="42"/>
      <c r="AE105" s="115"/>
      <c r="AF105" s="42"/>
      <c r="AG105" s="42"/>
      <c r="AH105" s="42"/>
      <c r="AI105" s="42"/>
      <c r="AJ105" s="42"/>
      <c r="AK105" s="115"/>
      <c r="AL105" s="42"/>
      <c r="AQ105" s="115"/>
      <c r="AR105" s="42"/>
      <c r="AW105" s="115"/>
      <c r="AX105" s="42"/>
      <c r="BC105" s="115"/>
      <c r="BD105" s="42"/>
      <c r="BI105" s="115"/>
      <c r="BJ105" s="42"/>
      <c r="BO105" s="115"/>
      <c r="BP105" s="42"/>
      <c r="BU105" s="115"/>
      <c r="BV105" s="42"/>
      <c r="CA105" s="115"/>
      <c r="CB105" s="42"/>
    </row>
    <row r="106" spans="1:85" x14ac:dyDescent="0.2">
      <c r="G106" s="26"/>
      <c r="M106" s="26"/>
      <c r="S106" s="26"/>
      <c r="Y106" s="115"/>
      <c r="Z106" s="42"/>
      <c r="AA106" s="42"/>
      <c r="AB106" s="42"/>
      <c r="AC106" s="42"/>
      <c r="AD106" s="42"/>
      <c r="AE106" s="115"/>
      <c r="AF106" s="42"/>
      <c r="AG106" s="42"/>
      <c r="AH106" s="42"/>
      <c r="AI106" s="42"/>
      <c r="AJ106" s="42"/>
      <c r="AK106" s="115"/>
      <c r="AL106" s="42"/>
      <c r="AQ106" s="115"/>
      <c r="AR106" s="42"/>
      <c r="AW106" s="115"/>
      <c r="AX106" s="42"/>
      <c r="BC106" s="115"/>
      <c r="BD106" s="42"/>
      <c r="BI106" s="115"/>
      <c r="BJ106" s="42"/>
      <c r="BO106" s="115"/>
      <c r="BP106" s="42"/>
      <c r="BU106" s="115"/>
      <c r="BV106" s="42"/>
      <c r="CA106" s="115"/>
      <c r="CB106" s="42"/>
    </row>
    <row r="107" spans="1:85" x14ac:dyDescent="0.2">
      <c r="G107" s="26"/>
      <c r="M107" s="26"/>
      <c r="S107" s="26"/>
      <c r="Y107" s="115"/>
      <c r="Z107" s="42"/>
      <c r="AA107" s="42"/>
      <c r="AB107" s="42"/>
      <c r="AC107" s="42"/>
      <c r="AD107" s="42"/>
      <c r="AE107" s="115"/>
      <c r="AF107" s="42"/>
      <c r="AG107" s="42"/>
      <c r="AH107" s="42"/>
      <c r="AI107" s="42"/>
      <c r="AJ107" s="42"/>
      <c r="AK107" s="115"/>
      <c r="AL107" s="42"/>
      <c r="AQ107" s="115"/>
      <c r="AR107" s="42"/>
      <c r="AW107" s="115"/>
      <c r="AX107" s="42"/>
      <c r="BC107" s="115"/>
      <c r="BD107" s="42"/>
      <c r="BI107" s="115"/>
      <c r="BJ107" s="42"/>
      <c r="BO107" s="115"/>
      <c r="BP107" s="42"/>
      <c r="BU107" s="115"/>
      <c r="BV107" s="42"/>
      <c r="CA107" s="115"/>
      <c r="CB107" s="42"/>
    </row>
    <row r="108" spans="1:85" x14ac:dyDescent="0.2">
      <c r="G108" s="26"/>
      <c r="M108" s="26"/>
      <c r="S108" s="26"/>
      <c r="Y108" s="115"/>
      <c r="Z108" s="42"/>
      <c r="AA108" s="42"/>
      <c r="AB108" s="42"/>
      <c r="AC108" s="42"/>
      <c r="AD108" s="42"/>
      <c r="AE108" s="115"/>
      <c r="AF108" s="42"/>
      <c r="AG108" s="42"/>
      <c r="AH108" s="42"/>
      <c r="AI108" s="42"/>
      <c r="AJ108" s="42"/>
      <c r="AK108" s="115"/>
      <c r="AL108" s="42"/>
      <c r="AQ108" s="115"/>
      <c r="AR108" s="42"/>
      <c r="AW108" s="115"/>
      <c r="AX108" s="42"/>
      <c r="BC108" s="115"/>
      <c r="BD108" s="42"/>
      <c r="BI108" s="115"/>
      <c r="BJ108" s="42"/>
      <c r="BO108" s="115"/>
      <c r="BP108" s="42"/>
      <c r="BU108" s="115"/>
      <c r="BV108" s="42"/>
      <c r="CA108" s="115"/>
      <c r="CB108" s="42"/>
    </row>
    <row r="109" spans="1:85" x14ac:dyDescent="0.2">
      <c r="G109" s="26"/>
      <c r="M109" s="26"/>
      <c r="S109" s="26"/>
      <c r="Y109" s="115"/>
      <c r="Z109" s="42"/>
      <c r="AA109" s="42"/>
      <c r="AB109" s="42"/>
      <c r="AC109" s="42"/>
      <c r="AD109" s="42"/>
      <c r="AE109" s="115"/>
      <c r="AF109" s="42"/>
      <c r="AG109" s="42"/>
      <c r="AH109" s="42"/>
      <c r="AI109" s="42"/>
      <c r="AJ109" s="42"/>
      <c r="AK109" s="115"/>
      <c r="AL109" s="42"/>
      <c r="AQ109" s="115"/>
      <c r="AR109" s="42"/>
      <c r="AW109" s="115"/>
      <c r="AX109" s="42"/>
      <c r="BC109" s="115"/>
      <c r="BD109" s="42"/>
      <c r="BI109" s="115"/>
      <c r="BJ109" s="42"/>
      <c r="BO109" s="115"/>
      <c r="BP109" s="42"/>
      <c r="BU109" s="115"/>
      <c r="BV109" s="42"/>
      <c r="CA109" s="115"/>
      <c r="CB109" s="42"/>
    </row>
    <row r="110" spans="1:85" x14ac:dyDescent="0.2">
      <c r="G110" s="26"/>
      <c r="M110" s="26"/>
      <c r="S110" s="26"/>
      <c r="Y110" s="115"/>
      <c r="Z110" s="42"/>
      <c r="AA110" s="42"/>
      <c r="AB110" s="42"/>
      <c r="AC110" s="42"/>
      <c r="AD110" s="42"/>
      <c r="AE110" s="115"/>
      <c r="AF110" s="42"/>
      <c r="AG110" s="42"/>
      <c r="AH110" s="42"/>
      <c r="AI110" s="42"/>
      <c r="AJ110" s="42"/>
      <c r="AK110" s="115"/>
      <c r="AL110" s="42"/>
      <c r="AQ110" s="115"/>
      <c r="AR110" s="42"/>
      <c r="AW110" s="115"/>
      <c r="AX110" s="42"/>
      <c r="BC110" s="115"/>
      <c r="BD110" s="42"/>
      <c r="BI110" s="115"/>
      <c r="BJ110" s="42"/>
      <c r="BO110" s="115"/>
      <c r="BP110" s="42"/>
      <c r="BU110" s="115"/>
      <c r="BV110" s="42"/>
      <c r="CA110" s="115"/>
      <c r="CB110" s="42"/>
    </row>
    <row r="111" spans="1:85" x14ac:dyDescent="0.2">
      <c r="G111" s="26"/>
      <c r="M111" s="26"/>
      <c r="S111" s="26"/>
      <c r="Y111" s="115"/>
      <c r="Z111" s="42"/>
      <c r="AA111" s="42"/>
      <c r="AB111" s="42"/>
      <c r="AC111" s="42"/>
      <c r="AD111" s="42"/>
      <c r="AE111" s="115"/>
      <c r="AF111" s="42"/>
      <c r="AG111" s="42"/>
      <c r="AH111" s="42"/>
      <c r="AI111" s="42"/>
      <c r="AJ111" s="42"/>
      <c r="AK111" s="115"/>
      <c r="AL111" s="42"/>
      <c r="AQ111" s="115"/>
      <c r="AR111" s="42"/>
      <c r="AW111" s="115"/>
      <c r="AX111" s="42"/>
      <c r="BC111" s="115"/>
      <c r="BD111" s="42"/>
      <c r="BI111" s="115"/>
      <c r="BJ111" s="42"/>
      <c r="BO111" s="115"/>
      <c r="BP111" s="42"/>
      <c r="BU111" s="115"/>
      <c r="BV111" s="42"/>
      <c r="CA111" s="115"/>
      <c r="CB111" s="42"/>
    </row>
    <row r="112" spans="1:85" x14ac:dyDescent="0.2">
      <c r="G112" s="26"/>
      <c r="M112" s="26"/>
      <c r="S112" s="26"/>
      <c r="Y112" s="115"/>
      <c r="Z112" s="42"/>
      <c r="AA112" s="42"/>
      <c r="AB112" s="42"/>
      <c r="AC112" s="42"/>
      <c r="AD112" s="42"/>
      <c r="AE112" s="115"/>
      <c r="AF112" s="42"/>
      <c r="AG112" s="42"/>
      <c r="AH112" s="42"/>
      <c r="AI112" s="42"/>
      <c r="AJ112" s="42"/>
      <c r="AK112" s="115"/>
      <c r="AL112" s="42"/>
      <c r="AQ112" s="115"/>
      <c r="AR112" s="42"/>
      <c r="AW112" s="115"/>
      <c r="AX112" s="42"/>
      <c r="BC112" s="115"/>
      <c r="BD112" s="42"/>
      <c r="BI112" s="115"/>
      <c r="BJ112" s="42"/>
      <c r="BO112" s="115"/>
      <c r="BP112" s="42"/>
      <c r="BU112" s="115"/>
      <c r="BV112" s="42"/>
      <c r="CA112" s="115"/>
      <c r="CB112" s="42"/>
    </row>
    <row r="113" spans="7:80" x14ac:dyDescent="0.2">
      <c r="G113" s="26"/>
      <c r="M113" s="26"/>
      <c r="S113" s="26"/>
      <c r="Y113" s="116"/>
      <c r="Z113" s="42"/>
      <c r="AA113" s="42"/>
      <c r="AB113" s="42"/>
      <c r="AC113" s="42"/>
      <c r="AD113" s="42"/>
      <c r="AE113" s="116"/>
      <c r="AF113" s="42"/>
      <c r="AG113" s="42"/>
      <c r="AH113" s="42"/>
      <c r="AI113" s="42"/>
      <c r="AJ113" s="42"/>
      <c r="AK113" s="116"/>
      <c r="AL113" s="42"/>
      <c r="AQ113" s="116"/>
      <c r="AR113" s="42"/>
      <c r="AW113" s="116"/>
      <c r="AX113" s="42"/>
      <c r="BC113" s="116"/>
      <c r="BD113" s="42"/>
      <c r="BI113" s="116"/>
      <c r="BJ113" s="42"/>
      <c r="BO113" s="116"/>
      <c r="BP113" s="42"/>
      <c r="BU113" s="116"/>
      <c r="BV113" s="42"/>
      <c r="CA113" s="116"/>
      <c r="CB113" s="42"/>
    </row>
    <row r="114" spans="7:80" x14ac:dyDescent="0.2">
      <c r="G114" s="26"/>
      <c r="M114" s="26"/>
      <c r="S114" s="26"/>
      <c r="Y114" s="115"/>
      <c r="Z114" s="42"/>
      <c r="AA114" s="42"/>
      <c r="AB114" s="42"/>
      <c r="AC114" s="42"/>
      <c r="AD114" s="42"/>
      <c r="AE114" s="115"/>
      <c r="AF114" s="42"/>
      <c r="AG114" s="42"/>
      <c r="AH114" s="42"/>
      <c r="AI114" s="42"/>
      <c r="AJ114" s="42"/>
      <c r="AK114" s="115"/>
      <c r="AL114" s="42"/>
      <c r="AQ114" s="115"/>
      <c r="AR114" s="42"/>
      <c r="AW114" s="115"/>
      <c r="AX114" s="42"/>
      <c r="BC114" s="115"/>
      <c r="BD114" s="42"/>
      <c r="BI114" s="115"/>
      <c r="BJ114" s="42"/>
      <c r="BO114" s="115"/>
      <c r="BP114" s="42"/>
      <c r="BU114" s="115"/>
      <c r="BV114" s="42"/>
      <c r="CA114" s="115"/>
      <c r="CB114" s="42"/>
    </row>
    <row r="115" spans="7:80" x14ac:dyDescent="0.2">
      <c r="G115" s="26"/>
      <c r="M115" s="26"/>
      <c r="S115" s="26"/>
      <c r="Y115" s="116"/>
      <c r="Z115" s="42"/>
      <c r="AA115" s="42"/>
      <c r="AB115" s="42"/>
      <c r="AC115" s="42"/>
      <c r="AD115" s="42"/>
      <c r="AE115" s="116"/>
      <c r="AF115" s="42"/>
      <c r="AG115" s="42"/>
      <c r="AH115" s="42"/>
      <c r="AI115" s="42"/>
      <c r="AJ115" s="42"/>
      <c r="AK115" s="116"/>
      <c r="AL115" s="42"/>
      <c r="AQ115" s="116"/>
      <c r="AR115" s="42"/>
      <c r="AW115" s="116"/>
      <c r="AX115" s="42"/>
      <c r="BC115" s="116"/>
      <c r="BD115" s="42"/>
      <c r="BI115" s="116"/>
      <c r="BJ115" s="42"/>
      <c r="BO115" s="116"/>
      <c r="BP115" s="42"/>
      <c r="BU115" s="116"/>
      <c r="BV115" s="42"/>
      <c r="CA115" s="116"/>
      <c r="CB115" s="42"/>
    </row>
    <row r="116" spans="7:80" x14ac:dyDescent="0.2">
      <c r="G116" s="26"/>
      <c r="M116" s="26"/>
      <c r="S116" s="26"/>
      <c r="Y116" s="26"/>
      <c r="AE116" s="26"/>
      <c r="AK116" s="26"/>
      <c r="AQ116" s="26"/>
      <c r="AW116" s="26"/>
      <c r="BC116" s="26"/>
      <c r="BI116" s="26"/>
      <c r="BO116" s="26"/>
      <c r="BU116" s="26"/>
      <c r="CA116" s="26"/>
    </row>
    <row r="117" spans="7:80" x14ac:dyDescent="0.2">
      <c r="G117" s="26"/>
      <c r="M117" s="26"/>
      <c r="S117" s="26"/>
      <c r="Y117" s="26"/>
      <c r="AE117" s="26"/>
      <c r="AK117" s="26"/>
      <c r="AQ117" s="26"/>
      <c r="AW117" s="26"/>
      <c r="BC117" s="26"/>
      <c r="BI117" s="26"/>
      <c r="BO117" s="26"/>
      <c r="BU117" s="26"/>
      <c r="CA117" s="26"/>
    </row>
    <row r="118" spans="7:80" x14ac:dyDescent="0.2">
      <c r="G118" s="26"/>
      <c r="M118" s="26"/>
      <c r="S118" s="26"/>
      <c r="Y118" s="2"/>
      <c r="AE118" s="2"/>
      <c r="AK118" s="2"/>
      <c r="AQ118" s="2"/>
      <c r="AW118" s="2"/>
      <c r="BC118" s="2"/>
      <c r="BI118" s="2"/>
      <c r="BO118" s="2"/>
      <c r="BU118" s="2"/>
      <c r="CA118" s="2"/>
    </row>
    <row r="119" spans="7:80" x14ac:dyDescent="0.2">
      <c r="G119" s="26"/>
      <c r="M119" s="26"/>
      <c r="S119" s="26"/>
      <c r="Y119" s="2"/>
      <c r="AE119" s="2"/>
      <c r="AK119" s="2"/>
      <c r="AQ119" s="2"/>
      <c r="AW119" s="2"/>
      <c r="BC119" s="2"/>
      <c r="BI119" s="2"/>
      <c r="BO119" s="2"/>
      <c r="BU119" s="2"/>
      <c r="CA119" s="2"/>
    </row>
    <row r="120" spans="7:80" x14ac:dyDescent="0.2">
      <c r="G120" s="26"/>
      <c r="M120" s="26"/>
      <c r="S120" s="26"/>
      <c r="Y120" s="2"/>
      <c r="AE120" s="2"/>
      <c r="AK120" s="2"/>
      <c r="AQ120" s="2"/>
      <c r="AW120" s="2"/>
      <c r="BC120" s="2"/>
      <c r="BI120" s="2"/>
      <c r="BO120" s="2"/>
      <c r="BU120" s="2"/>
      <c r="CA120" s="2"/>
    </row>
    <row r="121" spans="7:80" x14ac:dyDescent="0.2">
      <c r="G121" s="26"/>
      <c r="M121" s="26"/>
      <c r="S121" s="26"/>
      <c r="Y121" s="2"/>
      <c r="AE121" s="2"/>
      <c r="AK121" s="2"/>
      <c r="AQ121" s="2"/>
      <c r="AW121" s="2"/>
      <c r="BC121" s="2"/>
      <c r="BI121" s="2"/>
      <c r="BO121" s="2"/>
      <c r="BU121" s="2"/>
      <c r="CA121" s="2"/>
    </row>
    <row r="122" spans="7:80" x14ac:dyDescent="0.2">
      <c r="G122" s="75"/>
      <c r="M122" s="75"/>
      <c r="S122" s="75"/>
      <c r="Y122" s="2"/>
      <c r="AE122" s="2"/>
      <c r="AK122" s="2"/>
      <c r="AQ122" s="2"/>
      <c r="AW122" s="2"/>
      <c r="BC122" s="2"/>
      <c r="BI122" s="2"/>
      <c r="BO122" s="2"/>
      <c r="BU122" s="2"/>
      <c r="CA122" s="2"/>
    </row>
    <row r="123" spans="7:80" x14ac:dyDescent="0.2">
      <c r="G123" s="26"/>
      <c r="M123" s="26"/>
      <c r="S123" s="26"/>
      <c r="Y123" s="2"/>
      <c r="AE123" s="2"/>
      <c r="AK123" s="2"/>
      <c r="AQ123" s="2"/>
      <c r="AW123" s="2"/>
      <c r="BC123" s="2"/>
      <c r="BI123" s="2"/>
      <c r="BO123" s="2"/>
      <c r="BU123" s="2"/>
      <c r="CA123" s="2"/>
    </row>
    <row r="124" spans="7:80" x14ac:dyDescent="0.2">
      <c r="G124" s="75"/>
      <c r="M124" s="75"/>
      <c r="S124" s="75"/>
      <c r="Y124" s="2"/>
      <c r="AE124" s="2"/>
      <c r="AK124" s="2"/>
      <c r="AQ124" s="2"/>
      <c r="AW124" s="25"/>
      <c r="BC124" s="25"/>
      <c r="BI124" s="25"/>
      <c r="BO124" s="25"/>
      <c r="BU124" s="25"/>
      <c r="CA124" s="25"/>
    </row>
  </sheetData>
  <mergeCells count="14">
    <mergeCell ref="B5:F5"/>
    <mergeCell ref="H5:L5"/>
    <mergeCell ref="N5:R5"/>
    <mergeCell ref="T5:X5"/>
    <mergeCell ref="AR5:AV5"/>
    <mergeCell ref="Z5:AD5"/>
    <mergeCell ref="BV5:BZ5"/>
    <mergeCell ref="CB5:CF5"/>
    <mergeCell ref="AF5:AJ5"/>
    <mergeCell ref="AL5:AP5"/>
    <mergeCell ref="BD5:BH5"/>
    <mergeCell ref="BJ5:BN5"/>
    <mergeCell ref="BP5:BT5"/>
    <mergeCell ref="AX5:BB5"/>
  </mergeCells>
  <phoneticPr fontId="13" type="noConversion"/>
  <printOptions horizontalCentered="1" verticalCentered="1"/>
  <pageMargins left="0" right="0" top="0" bottom="0" header="0" footer="0"/>
  <pageSetup scale="28" orientation="landscape" r:id="rId1"/>
  <headerFooter alignWithMargins="0"/>
  <ignoredErrors>
    <ignoredError sqref="F18 F30 AN13 AY38 AR38:AX38 AZ38:BA38 BA73:BC73 BI73 BF38:BG38 BK36:BK40 BL36:BM40" formula="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tabColor rgb="FF66CCFF"/>
    <pageSetUpPr fitToPage="1"/>
  </sheetPr>
  <dimension ref="A1:IX121"/>
  <sheetViews>
    <sheetView showGridLines="0" topLeftCell="A21" zoomScaleNormal="100" workbookViewId="0">
      <selection activeCell="C114" sqref="C114"/>
    </sheetView>
  </sheetViews>
  <sheetFormatPr defaultRowHeight="12.75" customHeight="1" outlineLevelRow="2" x14ac:dyDescent="0.2"/>
  <cols>
    <col min="1" max="1" width="1.7109375" customWidth="1"/>
    <col min="2" max="2" width="24.7109375" customWidth="1"/>
    <col min="3" max="15" width="8.7109375" customWidth="1"/>
    <col min="16" max="19" width="8.28515625" customWidth="1"/>
    <col min="20" max="30" width="9.5703125" customWidth="1"/>
    <col min="31" max="32" width="7.28515625" customWidth="1"/>
  </cols>
  <sheetData>
    <row r="1" spans="1:258" s="54" customFormat="1" ht="12.75" customHeight="1" x14ac:dyDescent="0.2">
      <c r="A1" s="11"/>
      <c r="B1" s="135"/>
      <c r="C1" s="135"/>
      <c r="D1" s="135"/>
      <c r="E1" s="135"/>
      <c r="F1" s="135"/>
      <c r="G1" s="135"/>
      <c r="H1" s="135"/>
      <c r="I1" s="135"/>
      <c r="J1" s="135"/>
      <c r="K1" s="135"/>
      <c r="L1" s="135"/>
      <c r="M1" s="135"/>
      <c r="N1" s="135"/>
      <c r="O1" s="135"/>
      <c r="P1" s="135"/>
      <c r="Q1" s="135"/>
      <c r="R1" s="135"/>
      <c r="S1" s="135"/>
      <c r="T1" s="135"/>
      <c r="U1" s="11"/>
      <c r="V1" s="11"/>
      <c r="W1" s="11"/>
      <c r="X1" s="11"/>
      <c r="Y1" s="11"/>
      <c r="Z1" s="11"/>
      <c r="AA1" s="11"/>
      <c r="AB1" s="11"/>
      <c r="AC1" s="11"/>
      <c r="AD1" s="11"/>
      <c r="AE1" s="11"/>
      <c r="AF1" s="1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row>
    <row r="2" spans="1:258" s="54" customFormat="1" ht="12.75" customHeight="1" x14ac:dyDescent="0.2">
      <c r="A2" s="11"/>
      <c r="B2" s="237" t="s">
        <v>124</v>
      </c>
      <c r="C2" s="137"/>
      <c r="D2" s="137"/>
      <c r="E2" s="137"/>
      <c r="F2" s="137"/>
      <c r="G2" s="137"/>
      <c r="H2" s="138"/>
      <c r="I2" s="138"/>
      <c r="J2" s="138"/>
      <c r="K2" s="138"/>
      <c r="L2" s="138"/>
      <c r="M2" s="138"/>
      <c r="N2" s="138"/>
      <c r="O2" s="138"/>
      <c r="P2" s="138"/>
      <c r="Q2" s="138"/>
      <c r="R2" s="138"/>
      <c r="S2" s="138"/>
      <c r="T2" s="138"/>
      <c r="U2" s="11"/>
      <c r="V2" s="11"/>
      <c r="W2" s="11"/>
      <c r="X2" s="11"/>
      <c r="Y2" s="11"/>
      <c r="Z2" s="11"/>
      <c r="AA2" s="11"/>
      <c r="AB2" s="11"/>
      <c r="AC2" s="11"/>
      <c r="AD2" s="11"/>
      <c r="AE2" s="11"/>
      <c r="AF2" s="11"/>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row>
    <row r="3" spans="1:258" s="54" customFormat="1" ht="12.75" customHeight="1" x14ac:dyDescent="0.2">
      <c r="A3" s="11"/>
      <c r="B3" s="136" t="s">
        <v>19</v>
      </c>
      <c r="C3" s="137"/>
      <c r="D3" s="137"/>
      <c r="E3" s="137"/>
      <c r="F3" s="137"/>
      <c r="G3" s="137"/>
      <c r="H3" s="138"/>
      <c r="I3" s="138"/>
      <c r="J3" s="138"/>
      <c r="K3" s="138"/>
      <c r="L3" s="138"/>
      <c r="M3" s="138"/>
      <c r="N3" s="138"/>
      <c r="O3" s="138"/>
      <c r="P3" s="138"/>
      <c r="Q3" s="138"/>
      <c r="R3" s="138"/>
      <c r="S3" s="138"/>
      <c r="T3" s="138"/>
      <c r="U3" s="11"/>
      <c r="V3" s="11"/>
      <c r="W3" s="11"/>
      <c r="X3" s="11"/>
      <c r="Y3" s="11"/>
      <c r="Z3" s="11"/>
      <c r="AA3" s="11"/>
      <c r="AB3" s="11"/>
      <c r="AC3" s="11"/>
      <c r="AD3" s="11"/>
      <c r="AE3" s="11"/>
      <c r="AF3" s="11"/>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row>
    <row r="4" spans="1:258" s="54" customFormat="1" ht="12.75" customHeight="1" x14ac:dyDescent="0.2">
      <c r="A4" s="11"/>
      <c r="B4" s="136"/>
      <c r="C4" s="137"/>
      <c r="D4" s="137"/>
      <c r="E4" s="137"/>
      <c r="F4" s="137"/>
      <c r="G4" s="137"/>
      <c r="H4" s="138"/>
      <c r="I4" s="138"/>
      <c r="J4" s="138"/>
      <c r="K4" s="138"/>
      <c r="L4" s="138"/>
      <c r="M4" s="138"/>
      <c r="N4" s="138"/>
      <c r="O4" s="138"/>
      <c r="P4" s="138"/>
      <c r="Q4" s="138"/>
      <c r="R4" s="138"/>
      <c r="S4" s="138"/>
      <c r="T4" s="138"/>
      <c r="U4" s="11"/>
      <c r="V4" s="11"/>
      <c r="W4" s="11"/>
      <c r="X4" s="11"/>
      <c r="Y4" s="11"/>
      <c r="Z4" s="11"/>
      <c r="AA4" s="11"/>
      <c r="AB4" s="11"/>
      <c r="AC4" s="11"/>
      <c r="AD4" s="11"/>
      <c r="AE4" s="11"/>
      <c r="AF4" s="11"/>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row>
    <row r="5" spans="1:258" s="54" customFormat="1" ht="12.75" customHeight="1" x14ac:dyDescent="0.2">
      <c r="A5" s="11"/>
      <c r="B5" s="137"/>
      <c r="C5" s="137"/>
      <c r="D5" s="137"/>
      <c r="E5" s="137"/>
      <c r="F5" s="137"/>
      <c r="G5" s="137"/>
      <c r="H5" s="139"/>
      <c r="I5" s="139"/>
      <c r="J5" s="139"/>
      <c r="K5" s="139"/>
      <c r="L5" s="139"/>
      <c r="M5" s="139"/>
      <c r="N5" s="139"/>
      <c r="O5" s="139"/>
      <c r="P5" s="139"/>
      <c r="Q5" s="139"/>
      <c r="R5" s="139"/>
      <c r="S5" s="139"/>
      <c r="T5" s="139"/>
      <c r="AF5" s="1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row>
    <row r="6" spans="1:258" s="54" customFormat="1" ht="12.75" customHeight="1" x14ac:dyDescent="0.2">
      <c r="A6" s="140"/>
      <c r="B6" s="536"/>
      <c r="C6" s="141">
        <v>43100</v>
      </c>
      <c r="D6" s="141">
        <v>43465</v>
      </c>
      <c r="E6" s="141">
        <v>43830</v>
      </c>
      <c r="F6" s="141">
        <v>44196</v>
      </c>
      <c r="G6" s="141">
        <v>44561</v>
      </c>
      <c r="H6" s="141">
        <v>44926</v>
      </c>
      <c r="I6" s="141">
        <v>45291</v>
      </c>
      <c r="J6" s="141">
        <v>45657</v>
      </c>
      <c r="K6" s="141">
        <v>46022</v>
      </c>
      <c r="L6" s="141">
        <v>46387</v>
      </c>
      <c r="M6" s="141">
        <v>46752</v>
      </c>
      <c r="N6" s="141">
        <v>47118</v>
      </c>
      <c r="O6" s="671" t="s">
        <v>408</v>
      </c>
      <c r="T6" s="11"/>
      <c r="AF6" s="11"/>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row>
    <row r="7" spans="1:258" s="54" customFormat="1" ht="12.75" customHeight="1" x14ac:dyDescent="0.2">
      <c r="A7" s="140"/>
      <c r="B7" s="677" t="s">
        <v>418</v>
      </c>
      <c r="C7" s="997">
        <v>2017</v>
      </c>
      <c r="D7" s="678">
        <v>2018</v>
      </c>
      <c r="E7" s="678">
        <v>2019</v>
      </c>
      <c r="F7" s="678">
        <f t="shared" ref="F7:N7" si="0">+E7+1</f>
        <v>2020</v>
      </c>
      <c r="G7" s="678">
        <f t="shared" si="0"/>
        <v>2021</v>
      </c>
      <c r="H7" s="678">
        <f t="shared" si="0"/>
        <v>2022</v>
      </c>
      <c r="I7" s="678">
        <f t="shared" si="0"/>
        <v>2023</v>
      </c>
      <c r="J7" s="678">
        <f t="shared" si="0"/>
        <v>2024</v>
      </c>
      <c r="K7" s="678">
        <f t="shared" si="0"/>
        <v>2025</v>
      </c>
      <c r="L7" s="678">
        <f t="shared" si="0"/>
        <v>2026</v>
      </c>
      <c r="M7" s="678">
        <f t="shared" si="0"/>
        <v>2027</v>
      </c>
      <c r="N7" s="678">
        <f t="shared" si="0"/>
        <v>2028</v>
      </c>
      <c r="O7" s="676" t="s">
        <v>409</v>
      </c>
      <c r="T7" s="11"/>
      <c r="AF7" s="11"/>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row>
    <row r="8" spans="1:258" s="54" customFormat="1" ht="12.75" hidden="1" customHeight="1" outlineLevel="1" x14ac:dyDescent="0.2">
      <c r="A8" s="11"/>
      <c r="B8" s="712" t="s">
        <v>20</v>
      </c>
      <c r="C8" s="713">
        <v>0</v>
      </c>
      <c r="D8" s="713">
        <v>0</v>
      </c>
      <c r="E8" s="713">
        <v>0</v>
      </c>
      <c r="F8" s="713">
        <f t="shared" ref="F8:N8" si="1">E8+1</f>
        <v>1</v>
      </c>
      <c r="G8" s="713">
        <f t="shared" si="1"/>
        <v>2</v>
      </c>
      <c r="H8" s="713">
        <f t="shared" si="1"/>
        <v>3</v>
      </c>
      <c r="I8" s="713">
        <f t="shared" si="1"/>
        <v>4</v>
      </c>
      <c r="J8" s="713">
        <f t="shared" si="1"/>
        <v>5</v>
      </c>
      <c r="K8" s="713">
        <f t="shared" si="1"/>
        <v>6</v>
      </c>
      <c r="L8" s="713">
        <f t="shared" si="1"/>
        <v>7</v>
      </c>
      <c r="M8" s="713">
        <f t="shared" si="1"/>
        <v>8</v>
      </c>
      <c r="N8" s="713">
        <f t="shared" si="1"/>
        <v>9</v>
      </c>
      <c r="O8" s="713">
        <v>9</v>
      </c>
      <c r="T8" s="11"/>
      <c r="AF8" s="11"/>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row>
    <row r="9" spans="1:258" s="54" customFormat="1" ht="12.75" hidden="1" customHeight="1" outlineLevel="1" x14ac:dyDescent="0.2">
      <c r="A9" s="11"/>
      <c r="B9" s="712" t="s">
        <v>115</v>
      </c>
      <c r="C9" s="713">
        <v>0</v>
      </c>
      <c r="D9" s="713">
        <v>1</v>
      </c>
      <c r="E9" s="713">
        <v>1</v>
      </c>
      <c r="F9" s="713">
        <v>1</v>
      </c>
      <c r="G9" s="713">
        <v>1</v>
      </c>
      <c r="H9" s="713">
        <v>1</v>
      </c>
      <c r="I9" s="713">
        <v>1</v>
      </c>
      <c r="J9" s="713">
        <v>1</v>
      </c>
      <c r="K9" s="713">
        <v>1</v>
      </c>
      <c r="L9" s="713">
        <v>1</v>
      </c>
      <c r="M9" s="713">
        <v>1</v>
      </c>
      <c r="N9" s="713">
        <v>1</v>
      </c>
      <c r="O9" s="713">
        <f>+K9</f>
        <v>1</v>
      </c>
      <c r="T9" s="44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row>
    <row r="10" spans="1:258" s="54" customFormat="1" ht="5.0999999999999996" customHeight="1" collapsed="1" x14ac:dyDescent="0.2">
      <c r="A10" s="11"/>
      <c r="B10" s="142"/>
      <c r="C10" s="11"/>
      <c r="D10" s="11"/>
      <c r="E10" s="11"/>
      <c r="F10" s="11"/>
      <c r="G10" s="11"/>
      <c r="H10" s="11"/>
      <c r="I10" s="11"/>
      <c r="J10" s="11"/>
      <c r="K10" s="11"/>
      <c r="L10" s="11"/>
      <c r="M10" s="11"/>
      <c r="N10" s="11"/>
      <c r="O10" s="11"/>
      <c r="T10" s="11"/>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row>
    <row r="11" spans="1:258" s="54" customFormat="1" ht="12.75" customHeight="1" x14ac:dyDescent="0.2">
      <c r="A11" s="11"/>
      <c r="B11" s="143" t="s">
        <v>297</v>
      </c>
      <c r="C11" s="144">
        <f>+'P&amp;L'!BO8</f>
        <v>1473.413</v>
      </c>
      <c r="D11" s="144">
        <f>+'P&amp;L'!BU8</f>
        <v>1950.7153804232375</v>
      </c>
      <c r="E11" s="144">
        <f>+'P&amp;L'!CA8</f>
        <v>2406.9821684967774</v>
      </c>
      <c r="F11" s="144">
        <f>+'P&amp;L'!CG8</f>
        <v>2802.404739362184</v>
      </c>
      <c r="G11" s="144">
        <f t="shared" ref="G11:L11" si="2">+F11*(1+G12)</f>
        <v>3234.763864369068</v>
      </c>
      <c r="H11" s="144">
        <f t="shared" si="2"/>
        <v>3701.48035245848</v>
      </c>
      <c r="I11" s="144">
        <f t="shared" si="2"/>
        <v>4198.5205783783185</v>
      </c>
      <c r="J11" s="144">
        <f t="shared" si="2"/>
        <v>4720.318891104961</v>
      </c>
      <c r="K11" s="144">
        <f t="shared" si="2"/>
        <v>5259.7638766948494</v>
      </c>
      <c r="L11" s="144">
        <f t="shared" si="2"/>
        <v>5483.3038414543807</v>
      </c>
      <c r="M11" s="144">
        <f>+L11*(1+M12)</f>
        <v>5716.3442547161922</v>
      </c>
      <c r="N11" s="144">
        <f>+M11*(1+N12)</f>
        <v>5959.2888855416304</v>
      </c>
      <c r="O11" s="144">
        <f>+N11*(1+O12)</f>
        <v>5959.2888855416304</v>
      </c>
      <c r="T11" s="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row>
    <row r="12" spans="1:258" s="54" customFormat="1" ht="12.75" customHeight="1" x14ac:dyDescent="0.2">
      <c r="A12" s="11"/>
      <c r="B12" s="674" t="s">
        <v>31</v>
      </c>
      <c r="C12" s="675"/>
      <c r="D12" s="675">
        <f>+D11/C11-1</f>
        <v>0.32394337529480022</v>
      </c>
      <c r="E12" s="675">
        <f>+E11/D11-1</f>
        <v>0.23389716031999797</v>
      </c>
      <c r="F12" s="675">
        <f>+F11/E11-1</f>
        <v>0.16428147081470001</v>
      </c>
      <c r="G12" s="688">
        <f>+F12+$C$107</f>
        <v>0.15428147081470001</v>
      </c>
      <c r="H12" s="688">
        <f>+G12+$C$107</f>
        <v>0.1442814708147</v>
      </c>
      <c r="I12" s="688">
        <f>+H12+$C$107</f>
        <v>0.13428147081469999</v>
      </c>
      <c r="J12" s="688">
        <f>+I12+$C$107</f>
        <v>0.12428147081469999</v>
      </c>
      <c r="K12" s="688">
        <f>+J12+$C$107</f>
        <v>0.1142814708147</v>
      </c>
      <c r="L12" s="688">
        <f>+C112</f>
        <v>4.2500000000000003E-2</v>
      </c>
      <c r="M12" s="688">
        <f>+L12</f>
        <v>4.2500000000000003E-2</v>
      </c>
      <c r="N12" s="688">
        <f>+M12</f>
        <v>4.2500000000000003E-2</v>
      </c>
      <c r="O12" s="688">
        <v>0</v>
      </c>
      <c r="T12" s="11"/>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row>
    <row r="13" spans="1:258" s="54" customFormat="1" ht="12.75" customHeight="1" x14ac:dyDescent="0.2">
      <c r="A13" s="11"/>
      <c r="B13" s="143" t="s">
        <v>21</v>
      </c>
      <c r="C13" s="144">
        <f>+'P&amp;L'!BO25</f>
        <v>353.6110000000001</v>
      </c>
      <c r="D13" s="144">
        <f>+'P&amp;L'!BU25</f>
        <v>475.07794095479642</v>
      </c>
      <c r="E13" s="144">
        <f>+'P&amp;L'!CA25</f>
        <v>637.28124403388074</v>
      </c>
      <c r="F13" s="144">
        <f>+'P&amp;L'!CG25</f>
        <v>790.95480724261438</v>
      </c>
      <c r="G13" s="144">
        <f t="shared" ref="G13:L13" si="3">+G11*G14</f>
        <v>912.98447825196251</v>
      </c>
      <c r="H13" s="144">
        <f t="shared" si="3"/>
        <v>1044.7112216051473</v>
      </c>
      <c r="I13" s="144">
        <f t="shared" si="3"/>
        <v>1184.9965810189083</v>
      </c>
      <c r="J13" s="144">
        <f t="shared" si="3"/>
        <v>1332.2696990183292</v>
      </c>
      <c r="K13" s="144">
        <f t="shared" si="3"/>
        <v>1484.5234397440013</v>
      </c>
      <c r="L13" s="144">
        <f t="shared" si="3"/>
        <v>1547.6156859331215</v>
      </c>
      <c r="M13" s="144">
        <f t="shared" ref="M13" si="4">+M11*M14</f>
        <v>1613.3893525852793</v>
      </c>
      <c r="N13" s="144">
        <f>+N11*N14</f>
        <v>1681.9584000701536</v>
      </c>
      <c r="O13" s="776">
        <f>+O14*O11</f>
        <v>1681.9584000701536</v>
      </c>
      <c r="T13" s="11"/>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row>
    <row r="14" spans="1:258" s="54" customFormat="1" ht="12.75" customHeight="1" x14ac:dyDescent="0.2">
      <c r="A14" s="11"/>
      <c r="B14" s="674" t="s">
        <v>401</v>
      </c>
      <c r="C14" s="675">
        <f>+C13/C$11</f>
        <v>0.23999448898577663</v>
      </c>
      <c r="D14" s="675">
        <f>+D13/D$11</f>
        <v>0.24354036766333437</v>
      </c>
      <c r="E14" s="675">
        <f>+E13/E$11</f>
        <v>0.26476359167707475</v>
      </c>
      <c r="F14" s="675">
        <f>+F13/F$11</f>
        <v>0.28224146074725542</v>
      </c>
      <c r="G14" s="688">
        <f t="shared" ref="G14:N14" si="5">+F14+$C$108</f>
        <v>0.28224146074725542</v>
      </c>
      <c r="H14" s="688">
        <f t="shared" si="5"/>
        <v>0.28224146074725542</v>
      </c>
      <c r="I14" s="688">
        <f t="shared" si="5"/>
        <v>0.28224146074725542</v>
      </c>
      <c r="J14" s="688">
        <f t="shared" si="5"/>
        <v>0.28224146074725542</v>
      </c>
      <c r="K14" s="688">
        <f t="shared" si="5"/>
        <v>0.28224146074725542</v>
      </c>
      <c r="L14" s="688">
        <f t="shared" si="5"/>
        <v>0.28224146074725542</v>
      </c>
      <c r="M14" s="688">
        <f t="shared" si="5"/>
        <v>0.28224146074725542</v>
      </c>
      <c r="N14" s="688">
        <f t="shared" si="5"/>
        <v>0.28224146074725542</v>
      </c>
      <c r="O14" s="688">
        <f>+N14</f>
        <v>0.28224146074725542</v>
      </c>
      <c r="T14" s="11"/>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row>
    <row r="15" spans="1:258" s="54" customFormat="1" ht="4.5" customHeight="1" x14ac:dyDescent="0.2">
      <c r="A15" s="53"/>
      <c r="B15" s="145"/>
      <c r="C15" s="53"/>
      <c r="D15" s="53"/>
      <c r="E15" s="53"/>
      <c r="F15" s="53"/>
      <c r="G15" s="53"/>
      <c r="H15" s="53"/>
      <c r="I15" s="53"/>
      <c r="J15" s="53"/>
      <c r="K15" s="53"/>
      <c r="L15" s="53"/>
      <c r="M15" s="53"/>
      <c r="N15" s="53"/>
      <c r="O15" s="53"/>
      <c r="T15" s="53"/>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row>
    <row r="16" spans="1:258" s="54" customFormat="1" ht="12.75" hidden="1" customHeight="1" outlineLevel="1" x14ac:dyDescent="0.2">
      <c r="A16" s="53"/>
      <c r="B16" s="146" t="s">
        <v>22</v>
      </c>
      <c r="C16" s="324">
        <v>0</v>
      </c>
      <c r="D16" s="324">
        <v>0</v>
      </c>
      <c r="E16" s="324">
        <v>0</v>
      </c>
      <c r="F16" s="324">
        <v>0</v>
      </c>
      <c r="G16" s="324">
        <v>0</v>
      </c>
      <c r="H16" s="324">
        <v>0</v>
      </c>
      <c r="I16" s="324">
        <v>0</v>
      </c>
      <c r="J16" s="324">
        <v>0</v>
      </c>
      <c r="K16" s="324">
        <v>0</v>
      </c>
      <c r="L16" s="324">
        <v>0</v>
      </c>
      <c r="M16" s="324">
        <v>0</v>
      </c>
      <c r="N16" s="324">
        <v>0</v>
      </c>
      <c r="O16" s="324">
        <v>0</v>
      </c>
      <c r="T16" s="53"/>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row>
    <row r="17" spans="1:258" s="54" customFormat="1" ht="12.75" hidden="1" customHeight="1" outlineLevel="1" x14ac:dyDescent="0.2">
      <c r="A17" s="53"/>
      <c r="B17" s="146" t="s">
        <v>23</v>
      </c>
      <c r="C17" s="147">
        <f>(C13-C16)*C18</f>
        <v>42.601920410420938</v>
      </c>
      <c r="D17" s="147">
        <f>(D13-D16)*D18</f>
        <v>75.670994078423348</v>
      </c>
      <c r="E17" s="147">
        <f>(E13-E16)*E18</f>
        <v>114.71062392609849</v>
      </c>
      <c r="F17" s="147">
        <f>(F13-F16)*F18</f>
        <v>142.37186530367052</v>
      </c>
      <c r="G17" s="147">
        <f t="shared" ref="G17:L17" si="6">+G18*G13</f>
        <v>164.33720608535316</v>
      </c>
      <c r="H17" s="147">
        <f t="shared" si="6"/>
        <v>188.04801988892643</v>
      </c>
      <c r="I17" s="147">
        <f t="shared" si="6"/>
        <v>213.29938458340339</v>
      </c>
      <c r="J17" s="147">
        <f t="shared" si="6"/>
        <v>239.80854582329914</v>
      </c>
      <c r="K17" s="147">
        <f t="shared" si="6"/>
        <v>267.21421915392011</v>
      </c>
      <c r="L17" s="147">
        <f t="shared" si="6"/>
        <v>278.57082346796176</v>
      </c>
      <c r="M17" s="147">
        <f>+M18*M13</f>
        <v>290.41008346535011</v>
      </c>
      <c r="N17" s="147">
        <f>+N18*N13</f>
        <v>302.75251201262751</v>
      </c>
      <c r="O17" s="147">
        <f>(O13-O16)*O18</f>
        <v>302.75251201262751</v>
      </c>
      <c r="T17" s="53"/>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row>
    <row r="18" spans="1:258" s="54" customFormat="1" ht="12.75" customHeight="1" collapsed="1" x14ac:dyDescent="0.2">
      <c r="A18" s="11"/>
      <c r="B18" s="483" t="s">
        <v>24</v>
      </c>
      <c r="C18" s="669">
        <f>+'P&amp;L'!BO149</f>
        <v>0.12047679628298023</v>
      </c>
      <c r="D18" s="669">
        <f>+'P&amp;L'!BU149</f>
        <v>0.1592812201011527</v>
      </c>
      <c r="E18" s="669">
        <f>+'P&amp;L'!CA149</f>
        <v>0.17999999999999994</v>
      </c>
      <c r="F18" s="669">
        <f>+'P&amp;L'!CG149</f>
        <v>0.17999999999999991</v>
      </c>
      <c r="G18" s="669">
        <f t="shared" ref="G18:L18" si="7">+F18</f>
        <v>0.17999999999999991</v>
      </c>
      <c r="H18" s="669">
        <f t="shared" si="7"/>
        <v>0.17999999999999991</v>
      </c>
      <c r="I18" s="669">
        <f t="shared" si="7"/>
        <v>0.17999999999999991</v>
      </c>
      <c r="J18" s="669">
        <f t="shared" si="7"/>
        <v>0.17999999999999991</v>
      </c>
      <c r="K18" s="669">
        <f t="shared" si="7"/>
        <v>0.17999999999999991</v>
      </c>
      <c r="L18" s="669">
        <f t="shared" si="7"/>
        <v>0.17999999999999991</v>
      </c>
      <c r="M18" s="669">
        <f>+L18</f>
        <v>0.17999999999999991</v>
      </c>
      <c r="N18" s="669">
        <f>+M18</f>
        <v>0.17999999999999991</v>
      </c>
      <c r="O18" s="669">
        <f>+N18</f>
        <v>0.17999999999999991</v>
      </c>
      <c r="T18" s="11"/>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row>
    <row r="19" spans="1:258" s="54" customFormat="1" ht="12.75" customHeight="1" x14ac:dyDescent="0.2">
      <c r="A19" s="11"/>
      <c r="B19" s="148" t="s">
        <v>25</v>
      </c>
      <c r="C19" s="149">
        <f>C13-C16-C17</f>
        <v>311.00907958957919</v>
      </c>
      <c r="D19" s="149">
        <f>D13-D16-D17</f>
        <v>399.40694687637307</v>
      </c>
      <c r="E19" s="149">
        <f>E13-E16-E17</f>
        <v>522.57062010778225</v>
      </c>
      <c r="F19" s="149">
        <f t="shared" ref="F19:L19" si="8">F13-F16-F17</f>
        <v>648.5829419389438</v>
      </c>
      <c r="G19" s="149">
        <f t="shared" si="8"/>
        <v>748.64727216660935</v>
      </c>
      <c r="H19" s="149">
        <f t="shared" si="8"/>
        <v>856.6632017162209</v>
      </c>
      <c r="I19" s="149">
        <f t="shared" si="8"/>
        <v>971.69719643550491</v>
      </c>
      <c r="J19" s="149">
        <f t="shared" si="8"/>
        <v>1092.46115319503</v>
      </c>
      <c r="K19" s="149">
        <f t="shared" si="8"/>
        <v>1217.3092205900812</v>
      </c>
      <c r="L19" s="149">
        <f t="shared" si="8"/>
        <v>1269.0448624651599</v>
      </c>
      <c r="M19" s="149">
        <f>M13-M16-M17</f>
        <v>1322.9792691199291</v>
      </c>
      <c r="N19" s="149">
        <f>N13-N16-N17</f>
        <v>1379.2058880575262</v>
      </c>
      <c r="O19" s="149">
        <f>O13-O16-O17</f>
        <v>1379.2058880575262</v>
      </c>
      <c r="T19" s="11"/>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row>
    <row r="20" spans="1:258" s="54" customFormat="1" ht="4.5" customHeight="1" x14ac:dyDescent="0.2">
      <c r="A20" s="53"/>
      <c r="B20" s="150"/>
      <c r="C20" s="53"/>
      <c r="D20" s="53"/>
      <c r="E20" s="53"/>
      <c r="F20" s="53"/>
      <c r="G20" s="53"/>
      <c r="H20" s="53"/>
      <c r="I20" s="53"/>
      <c r="J20" s="53"/>
      <c r="K20" s="53"/>
      <c r="L20" s="53"/>
      <c r="M20" s="53"/>
      <c r="N20" s="53"/>
      <c r="O20" s="53"/>
      <c r="T20" s="53"/>
    </row>
    <row r="21" spans="1:258" s="54" customFormat="1" ht="12.75" customHeight="1" x14ac:dyDescent="0.2">
      <c r="A21" s="11"/>
      <c r="B21" s="151" t="s">
        <v>27</v>
      </c>
      <c r="C21" s="673">
        <f>+'Cash Flow'!BN12+'Cash Flow'!BN10</f>
        <v>37.738999999999997</v>
      </c>
      <c r="D21" s="673">
        <f>+'Cash Flow'!BT12+'Cash Flow'!BT10</f>
        <v>57.68627854682066</v>
      </c>
      <c r="E21" s="673">
        <f>+'Cash Flow'!BZ12+'Cash Flow'!BZ10</f>
        <v>83.468120196883575</v>
      </c>
      <c r="F21" s="673">
        <f>+'Cash Flow'!CF12+'Cash Flow'!CF10</f>
        <v>106.4334413547017</v>
      </c>
      <c r="G21" s="673">
        <f t="shared" ref="G21:N21" si="9">+$C$109*G11</f>
        <v>129.39055457476272</v>
      </c>
      <c r="H21" s="673">
        <f t="shared" si="9"/>
        <v>148.0592140983392</v>
      </c>
      <c r="I21" s="673">
        <f t="shared" si="9"/>
        <v>167.94082313513275</v>
      </c>
      <c r="J21" s="673">
        <f t="shared" si="9"/>
        <v>188.81275564419843</v>
      </c>
      <c r="K21" s="673">
        <f t="shared" si="9"/>
        <v>210.39055506779397</v>
      </c>
      <c r="L21" s="673">
        <f t="shared" si="9"/>
        <v>219.33215365817523</v>
      </c>
      <c r="M21" s="673">
        <f t="shared" si="9"/>
        <v>228.65377018864768</v>
      </c>
      <c r="N21" s="673">
        <f t="shared" si="9"/>
        <v>238.37155542166522</v>
      </c>
      <c r="O21" s="673">
        <f>-O25*0.95</f>
        <v>283.06622206322749</v>
      </c>
      <c r="T21" s="11"/>
    </row>
    <row r="22" spans="1:258" s="54" customFormat="1" ht="12.75" hidden="1" customHeight="1" outlineLevel="1" x14ac:dyDescent="0.2">
      <c r="A22" s="11"/>
      <c r="B22" s="674" t="s">
        <v>382</v>
      </c>
      <c r="C22" s="675">
        <f t="shared" ref="C22:O22" si="10">+C21/C$11</f>
        <v>2.5613320908665797E-2</v>
      </c>
      <c r="D22" s="675">
        <f t="shared" si="10"/>
        <v>2.9571858163288146E-2</v>
      </c>
      <c r="E22" s="675">
        <f t="shared" si="10"/>
        <v>3.4677498358457542E-2</v>
      </c>
      <c r="F22" s="675">
        <f t="shared" si="10"/>
        <v>3.7979325348602398E-2</v>
      </c>
      <c r="G22" s="675">
        <f t="shared" si="10"/>
        <v>0.04</v>
      </c>
      <c r="H22" s="675">
        <f t="shared" si="10"/>
        <v>0.04</v>
      </c>
      <c r="I22" s="675">
        <f t="shared" si="10"/>
        <v>0.04</v>
      </c>
      <c r="J22" s="675">
        <f t="shared" si="10"/>
        <v>0.04</v>
      </c>
      <c r="K22" s="675">
        <f t="shared" si="10"/>
        <v>0.04</v>
      </c>
      <c r="L22" s="675">
        <f t="shared" si="10"/>
        <v>0.04</v>
      </c>
      <c r="M22" s="675">
        <f t="shared" si="10"/>
        <v>0.04</v>
      </c>
      <c r="N22" s="675">
        <f t="shared" si="10"/>
        <v>0.04</v>
      </c>
      <c r="O22" s="675">
        <f t="shared" si="10"/>
        <v>4.7500000000000007E-2</v>
      </c>
      <c r="T22" s="11"/>
    </row>
    <row r="23" spans="1:258" s="54" customFormat="1" ht="12.75" customHeight="1" collapsed="1" x14ac:dyDescent="0.2">
      <c r="A23" s="11"/>
      <c r="B23" s="484" t="s">
        <v>28</v>
      </c>
      <c r="C23" s="485">
        <f>+'Cash Flow'!BN18</f>
        <v>75.890000000000029</v>
      </c>
      <c r="D23" s="485">
        <f>+'Cash Flow'!BT18</f>
        <v>-3.0493643512425876</v>
      </c>
      <c r="E23" s="485">
        <f>+'Cash Flow'!BZ18</f>
        <v>20.520411949051578</v>
      </c>
      <c r="F23" s="485">
        <f>+'Cash Flow'!CF18</f>
        <v>19.572732976613622</v>
      </c>
      <c r="G23" s="485">
        <f t="shared" ref="G23:N23" si="11">+$C$110*G11</f>
        <v>-16.17381932184534</v>
      </c>
      <c r="H23" s="485">
        <f t="shared" si="11"/>
        <v>-18.5074017622924</v>
      </c>
      <c r="I23" s="485">
        <f t="shared" si="11"/>
        <v>-20.992602891891593</v>
      </c>
      <c r="J23" s="485">
        <f t="shared" si="11"/>
        <v>-23.601594455524804</v>
      </c>
      <c r="K23" s="485">
        <f t="shared" si="11"/>
        <v>-26.298819383474246</v>
      </c>
      <c r="L23" s="485">
        <f t="shared" si="11"/>
        <v>-27.416519207271904</v>
      </c>
      <c r="M23" s="485">
        <f t="shared" si="11"/>
        <v>-28.58172127358096</v>
      </c>
      <c r="N23" s="485">
        <f t="shared" si="11"/>
        <v>-29.796444427708153</v>
      </c>
      <c r="O23" s="485">
        <f>+O24*O11</f>
        <v>-29.796444427708153</v>
      </c>
      <c r="T23" s="53"/>
    </row>
    <row r="24" spans="1:258" s="54" customFormat="1" ht="12.75" hidden="1" customHeight="1" outlineLevel="1" x14ac:dyDescent="0.2">
      <c r="A24" s="11"/>
      <c r="B24" s="674" t="s">
        <v>382</v>
      </c>
      <c r="C24" s="675">
        <f t="shared" ref="C24:N24" si="12">+C23/C$11</f>
        <v>5.1506264706501187E-2</v>
      </c>
      <c r="D24" s="675">
        <f t="shared" si="12"/>
        <v>-1.5632031109433205E-3</v>
      </c>
      <c r="E24" s="675">
        <f t="shared" si="12"/>
        <v>8.5253693266315739E-3</v>
      </c>
      <c r="F24" s="675">
        <f t="shared" si="12"/>
        <v>6.9842634440692164E-3</v>
      </c>
      <c r="G24" s="675">
        <f t="shared" si="12"/>
        <v>-5.0000000000000001E-3</v>
      </c>
      <c r="H24" s="675">
        <f t="shared" si="12"/>
        <v>-5.0000000000000001E-3</v>
      </c>
      <c r="I24" s="675">
        <f t="shared" si="12"/>
        <v>-5.0000000000000001E-3</v>
      </c>
      <c r="J24" s="675">
        <f t="shared" si="12"/>
        <v>-5.0000000000000001E-3</v>
      </c>
      <c r="K24" s="675">
        <f t="shared" si="12"/>
        <v>-5.0000000000000001E-3</v>
      </c>
      <c r="L24" s="675">
        <f t="shared" si="12"/>
        <v>-5.0000000000000001E-3</v>
      </c>
      <c r="M24" s="675">
        <f t="shared" si="12"/>
        <v>-5.0000000000000001E-3</v>
      </c>
      <c r="N24" s="675">
        <f t="shared" si="12"/>
        <v>-5.0000000000000001E-3</v>
      </c>
      <c r="O24" s="675">
        <f>+N24</f>
        <v>-5.0000000000000001E-3</v>
      </c>
      <c r="T24" s="53"/>
    </row>
    <row r="25" spans="1:258" s="54" customFormat="1" ht="12.75" customHeight="1" collapsed="1" x14ac:dyDescent="0.2">
      <c r="A25" s="11"/>
      <c r="B25" s="672" t="s">
        <v>29</v>
      </c>
      <c r="C25" s="485">
        <f>+'Cash Flow'!BN28</f>
        <v>-195.69499999999999</v>
      </c>
      <c r="D25" s="485">
        <f>+'Cash Flow'!BT28</f>
        <v>-312.11446086771804</v>
      </c>
      <c r="E25" s="485">
        <f>+'Cash Flow'!BZ28</f>
        <v>-240.69821684967775</v>
      </c>
      <c r="F25" s="485">
        <f>+'Cash Flow'!CF28</f>
        <v>-280.24047393621839</v>
      </c>
      <c r="G25" s="485">
        <f t="shared" ref="G25:N25" si="13">+$C$111*G11</f>
        <v>-161.7381932184534</v>
      </c>
      <c r="H25" s="485">
        <f t="shared" si="13"/>
        <v>-185.074017622924</v>
      </c>
      <c r="I25" s="485">
        <f t="shared" si="13"/>
        <v>-209.92602891891593</v>
      </c>
      <c r="J25" s="485">
        <f t="shared" si="13"/>
        <v>-236.01594455524807</v>
      </c>
      <c r="K25" s="485">
        <f t="shared" si="13"/>
        <v>-262.9881938347425</v>
      </c>
      <c r="L25" s="485">
        <f t="shared" si="13"/>
        <v>-274.16519207271904</v>
      </c>
      <c r="M25" s="485">
        <f t="shared" si="13"/>
        <v>-285.81721273580962</v>
      </c>
      <c r="N25" s="485">
        <f t="shared" si="13"/>
        <v>-297.96444427708155</v>
      </c>
      <c r="O25" s="485">
        <f>+O26*O11</f>
        <v>-297.96444427708155</v>
      </c>
      <c r="T25" s="53"/>
    </row>
    <row r="26" spans="1:258" s="54" customFormat="1" ht="12.75" hidden="1" customHeight="1" outlineLevel="1" x14ac:dyDescent="0.2">
      <c r="A26" s="11"/>
      <c r="B26" s="483" t="s">
        <v>382</v>
      </c>
      <c r="C26" s="669">
        <f t="shared" ref="C26:N26" si="14">+C25/C$11</f>
        <v>-0.1328174788738799</v>
      </c>
      <c r="D26" s="669">
        <f t="shared" si="14"/>
        <v>-0.16</v>
      </c>
      <c r="E26" s="669">
        <f t="shared" si="14"/>
        <v>-0.1</v>
      </c>
      <c r="F26" s="669">
        <f t="shared" si="14"/>
        <v>-9.9999999999999992E-2</v>
      </c>
      <c r="G26" s="669">
        <f t="shared" si="14"/>
        <v>-0.05</v>
      </c>
      <c r="H26" s="669">
        <f t="shared" si="14"/>
        <v>-0.05</v>
      </c>
      <c r="I26" s="669">
        <f t="shared" si="14"/>
        <v>-0.05</v>
      </c>
      <c r="J26" s="669">
        <f t="shared" si="14"/>
        <v>-0.05</v>
      </c>
      <c r="K26" s="669">
        <f t="shared" si="14"/>
        <v>-5.000000000000001E-2</v>
      </c>
      <c r="L26" s="669">
        <f t="shared" si="14"/>
        <v>-0.05</v>
      </c>
      <c r="M26" s="669">
        <f t="shared" si="14"/>
        <v>-0.05</v>
      </c>
      <c r="N26" s="669">
        <f t="shared" si="14"/>
        <v>-0.05</v>
      </c>
      <c r="O26" s="669">
        <f>+AVERAGE(M26:N26)</f>
        <v>-0.05</v>
      </c>
      <c r="T26" s="53"/>
    </row>
    <row r="27" spans="1:258" s="54" customFormat="1" ht="12.75" customHeight="1" collapsed="1" x14ac:dyDescent="0.2">
      <c r="A27" s="11"/>
      <c r="B27" s="898" t="s">
        <v>30</v>
      </c>
      <c r="C27" s="899">
        <f t="shared" ref="C27:O27" si="15">+C19+C21+C23+C25</f>
        <v>228.94307958957921</v>
      </c>
      <c r="D27" s="899">
        <f t="shared" si="15"/>
        <v>141.9294002042331</v>
      </c>
      <c r="E27" s="899">
        <f t="shared" si="15"/>
        <v>385.86093540403959</v>
      </c>
      <c r="F27" s="899">
        <f t="shared" si="15"/>
        <v>494.34864233404079</v>
      </c>
      <c r="G27" s="899">
        <f t="shared" si="15"/>
        <v>700.12581420107335</v>
      </c>
      <c r="H27" s="899">
        <f t="shared" si="15"/>
        <v>801.14099642934377</v>
      </c>
      <c r="I27" s="899">
        <f t="shared" si="15"/>
        <v>908.71938775983006</v>
      </c>
      <c r="J27" s="899">
        <f t="shared" si="15"/>
        <v>1021.6563698284556</v>
      </c>
      <c r="K27" s="899">
        <f t="shared" si="15"/>
        <v>1138.4127624396583</v>
      </c>
      <c r="L27" s="899">
        <f t="shared" si="15"/>
        <v>1186.7953048433442</v>
      </c>
      <c r="M27" s="899">
        <f t="shared" si="15"/>
        <v>1237.2341052991862</v>
      </c>
      <c r="N27" s="899">
        <f t="shared" si="15"/>
        <v>1289.8165547744018</v>
      </c>
      <c r="O27" s="899">
        <f t="shared" si="15"/>
        <v>1334.511221415964</v>
      </c>
      <c r="T27" s="53"/>
      <c r="U27" s="11"/>
      <c r="V27" s="11"/>
      <c r="W27" s="11"/>
      <c r="X27" s="11"/>
      <c r="Y27" s="11"/>
      <c r="Z27" s="11"/>
      <c r="AA27" s="11"/>
      <c r="AB27" s="11"/>
      <c r="AC27" s="11"/>
    </row>
    <row r="28" spans="1:258" s="54" customFormat="1" ht="12.75" hidden="1" customHeight="1" outlineLevel="1" x14ac:dyDescent="0.2">
      <c r="A28" s="11"/>
      <c r="B28" s="152" t="s">
        <v>31</v>
      </c>
      <c r="C28" s="670"/>
      <c r="D28" s="670">
        <f>D27/C27-1</f>
        <v>-0.3800668687663914</v>
      </c>
      <c r="E28" s="670">
        <f>E27/D27-1</f>
        <v>1.7186822099494163</v>
      </c>
      <c r="F28" s="670">
        <f>F27/E27-1</f>
        <v>0.28115752846657682</v>
      </c>
      <c r="G28" s="670">
        <f t="shared" ref="G28:L28" si="16">G27/F27-1</f>
        <v>0.4162592030099781</v>
      </c>
      <c r="H28" s="670">
        <f t="shared" si="16"/>
        <v>0.14428147081470022</v>
      </c>
      <c r="I28" s="670">
        <f t="shared" si="16"/>
        <v>0.13428147081469954</v>
      </c>
      <c r="J28" s="670">
        <f t="shared" si="16"/>
        <v>0.1242814708147002</v>
      </c>
      <c r="K28" s="670">
        <f t="shared" si="16"/>
        <v>0.11428147081469975</v>
      </c>
      <c r="L28" s="670">
        <f t="shared" si="16"/>
        <v>4.2500000000000426E-2</v>
      </c>
      <c r="M28" s="670">
        <f>M27/L27-1</f>
        <v>4.2499999999999982E-2</v>
      </c>
      <c r="N28" s="670">
        <f>N27/M27-1</f>
        <v>4.2499999999999982E-2</v>
      </c>
      <c r="O28" s="670">
        <f>O27/N27-1</f>
        <v>3.465195610656413E-2</v>
      </c>
      <c r="T28" s="11"/>
      <c r="U28" s="11"/>
      <c r="V28" s="11"/>
      <c r="W28" s="11"/>
      <c r="X28" s="11"/>
      <c r="Y28" s="11"/>
      <c r="Z28" s="11"/>
      <c r="AA28" s="11"/>
      <c r="AB28" s="11"/>
      <c r="AC28" s="11"/>
    </row>
    <row r="29" spans="1:258" s="54" customFormat="1" ht="12.75" hidden="1" customHeight="1" outlineLevel="1" x14ac:dyDescent="0.2">
      <c r="A29" s="11"/>
      <c r="B29" s="153"/>
      <c r="C29" s="351">
        <f t="shared" ref="C29:N29" si="17">+C24+C22+C26</f>
        <v>-5.5697893258712911E-2</v>
      </c>
      <c r="D29" s="351">
        <f t="shared" si="17"/>
        <v>-0.13199134494765519</v>
      </c>
      <c r="E29" s="351">
        <f t="shared" si="17"/>
        <v>-5.6797132314910889E-2</v>
      </c>
      <c r="F29" s="351">
        <f t="shared" si="17"/>
        <v>-5.5036411207328377E-2</v>
      </c>
      <c r="G29" s="351">
        <f t="shared" si="17"/>
        <v>-1.4999999999999999E-2</v>
      </c>
      <c r="H29" s="351">
        <f t="shared" si="17"/>
        <v>-1.4999999999999999E-2</v>
      </c>
      <c r="I29" s="351">
        <f t="shared" si="17"/>
        <v>-1.4999999999999999E-2</v>
      </c>
      <c r="J29" s="351">
        <f t="shared" si="17"/>
        <v>-1.4999999999999999E-2</v>
      </c>
      <c r="K29" s="351">
        <f t="shared" si="17"/>
        <v>-1.5000000000000006E-2</v>
      </c>
      <c r="L29" s="351">
        <f t="shared" si="17"/>
        <v>-1.4999999999999999E-2</v>
      </c>
      <c r="M29" s="351">
        <f t="shared" si="17"/>
        <v>-1.4999999999999999E-2</v>
      </c>
      <c r="N29" s="351">
        <f t="shared" si="17"/>
        <v>-1.4999999999999999E-2</v>
      </c>
      <c r="O29" s="11"/>
      <c r="T29" s="11"/>
      <c r="U29" s="11"/>
      <c r="V29" s="11"/>
      <c r="W29" s="11"/>
      <c r="X29" s="11"/>
      <c r="Y29" s="11"/>
      <c r="Z29" s="11"/>
      <c r="AA29" s="11"/>
      <c r="AB29" s="11"/>
      <c r="AC29" s="11"/>
    </row>
    <row r="30" spans="1:258" s="54" customFormat="1" ht="12.75" hidden="1" customHeight="1" outlineLevel="1" x14ac:dyDescent="0.2">
      <c r="A30" s="53"/>
      <c r="B30" s="708" t="s">
        <v>32</v>
      </c>
      <c r="C30" s="709">
        <f t="shared" ref="C30:O30" si="18">1/((1+$C$104)^C8)</f>
        <v>1</v>
      </c>
      <c r="D30" s="709">
        <f t="shared" si="18"/>
        <v>1</v>
      </c>
      <c r="E30" s="709">
        <f t="shared" si="18"/>
        <v>1</v>
      </c>
      <c r="F30" s="709">
        <f t="shared" si="18"/>
        <v>0.92746913150863053</v>
      </c>
      <c r="G30" s="709">
        <f t="shared" si="18"/>
        <v>0.86019898990137333</v>
      </c>
      <c r="H30" s="709">
        <f t="shared" si="18"/>
        <v>0.79780801008842794</v>
      </c>
      <c r="I30" s="709">
        <f t="shared" si="18"/>
        <v>0.73994230222734303</v>
      </c>
      <c r="J30" s="709">
        <f t="shared" si="18"/>
        <v>0.68627364441329042</v>
      </c>
      <c r="K30" s="709">
        <f t="shared" si="18"/>
        <v>0.63649762096125717</v>
      </c>
      <c r="L30" s="709">
        <f t="shared" si="18"/>
        <v>0.59033189572024669</v>
      </c>
      <c r="M30" s="709">
        <f t="shared" si="18"/>
        <v>0.54751461062550066</v>
      </c>
      <c r="N30" s="709">
        <f t="shared" si="18"/>
        <v>0.50780290040511911</v>
      </c>
      <c r="O30" s="709">
        <f t="shared" si="18"/>
        <v>0.50780290040511911</v>
      </c>
      <c r="T30" s="53"/>
      <c r="U30" s="53"/>
      <c r="V30" s="53"/>
      <c r="W30" s="53"/>
      <c r="X30" s="53"/>
      <c r="Y30" s="53"/>
      <c r="Z30" s="53"/>
      <c r="AA30" s="53"/>
      <c r="AB30" s="53"/>
      <c r="AC30" s="53"/>
    </row>
    <row r="31" spans="1:258" s="54" customFormat="1" ht="12.75" hidden="1" customHeight="1" outlineLevel="1" collapsed="1" x14ac:dyDescent="0.2">
      <c r="A31" s="11"/>
      <c r="B31" s="710" t="s">
        <v>33</v>
      </c>
      <c r="C31" s="711">
        <f t="shared" ref="C31:O31" si="19">C27*C30*C9</f>
        <v>0</v>
      </c>
      <c r="D31" s="711">
        <f t="shared" si="19"/>
        <v>141.9294002042331</v>
      </c>
      <c r="E31" s="711">
        <f t="shared" si="19"/>
        <v>385.86093540403959</v>
      </c>
      <c r="F31" s="711">
        <f t="shared" si="19"/>
        <v>458.49310596802343</v>
      </c>
      <c r="G31" s="711">
        <f t="shared" si="19"/>
        <v>602.24751817963988</v>
      </c>
      <c r="H31" s="711">
        <f t="shared" si="19"/>
        <v>639.15670416155513</v>
      </c>
      <c r="I31" s="711">
        <f t="shared" si="19"/>
        <v>672.39991585763028</v>
      </c>
      <c r="J31" s="711">
        <f t="shared" si="19"/>
        <v>701.1358402602267</v>
      </c>
      <c r="K31" s="711">
        <f t="shared" si="19"/>
        <v>724.59701496477533</v>
      </c>
      <c r="L31" s="711">
        <f t="shared" si="19"/>
        <v>700.60312214005944</v>
      </c>
      <c r="M31" s="711">
        <f t="shared" si="19"/>
        <v>677.40374941547361</v>
      </c>
      <c r="N31" s="711">
        <f t="shared" si="19"/>
        <v>654.9725875049794</v>
      </c>
      <c r="O31" s="711">
        <f t="shared" si="19"/>
        <v>677.66866885820457</v>
      </c>
      <c r="T31" s="11"/>
      <c r="U31" s="11"/>
      <c r="V31" s="11"/>
      <c r="W31" s="11"/>
      <c r="X31" s="11"/>
      <c r="Y31" s="11"/>
      <c r="Z31" s="11"/>
      <c r="AA31" s="11"/>
      <c r="AB31" s="11"/>
      <c r="AC31" s="11"/>
    </row>
    <row r="32" spans="1:258" s="54" customFormat="1" ht="12.75" customHeight="1" collapsed="1" x14ac:dyDescent="0.2">
      <c r="A32" s="11"/>
      <c r="B32" s="710"/>
      <c r="C32" s="711"/>
      <c r="D32" s="711"/>
      <c r="E32" s="711"/>
      <c r="F32" s="711"/>
      <c r="G32" s="711"/>
      <c r="H32" s="711"/>
      <c r="I32" s="711"/>
      <c r="J32" s="711"/>
      <c r="K32" s="711"/>
      <c r="L32" s="711"/>
      <c r="M32" s="711"/>
      <c r="N32" s="711"/>
      <c r="O32" s="711"/>
      <c r="T32" s="11"/>
      <c r="U32" s="11"/>
      <c r="V32" s="11"/>
      <c r="W32" s="11"/>
      <c r="X32" s="11"/>
      <c r="Y32" s="11"/>
      <c r="Z32" s="11"/>
      <c r="AA32" s="11"/>
      <c r="AB32" s="11"/>
      <c r="AC32" s="11"/>
    </row>
    <row r="33" spans="1:29" s="54" customFormat="1" ht="12.75" customHeight="1" x14ac:dyDescent="0.2">
      <c r="A33" s="11"/>
      <c r="B33" s="536" t="s">
        <v>534</v>
      </c>
      <c r="C33" s="141">
        <v>43100</v>
      </c>
      <c r="D33" s="141">
        <v>43465</v>
      </c>
      <c r="E33" s="141">
        <v>43830</v>
      </c>
      <c r="F33" s="141">
        <v>44196</v>
      </c>
      <c r="G33" s="141">
        <v>44561</v>
      </c>
      <c r="H33" s="141">
        <v>44926</v>
      </c>
      <c r="I33" s="141">
        <v>45291</v>
      </c>
      <c r="J33" s="141">
        <v>45657</v>
      </c>
      <c r="K33" s="141">
        <v>46022</v>
      </c>
      <c r="L33" s="141">
        <v>46387</v>
      </c>
      <c r="M33" s="141">
        <v>46752</v>
      </c>
      <c r="N33" s="141">
        <v>47118</v>
      </c>
      <c r="O33" s="671" t="s">
        <v>408</v>
      </c>
      <c r="T33" s="11"/>
      <c r="U33" s="11"/>
      <c r="V33" s="11"/>
      <c r="W33" s="11"/>
      <c r="X33" s="11"/>
      <c r="Y33" s="11"/>
      <c r="Z33" s="11"/>
      <c r="AA33" s="11"/>
      <c r="AB33" s="11"/>
      <c r="AC33" s="11"/>
    </row>
    <row r="34" spans="1:29" s="54" customFormat="1" ht="12.75" customHeight="1" x14ac:dyDescent="0.2">
      <c r="A34" s="11"/>
      <c r="B34" s="677" t="s">
        <v>418</v>
      </c>
      <c r="C34" s="997">
        <v>2017</v>
      </c>
      <c r="D34" s="678">
        <v>2018</v>
      </c>
      <c r="E34" s="678">
        <v>2019</v>
      </c>
      <c r="F34" s="678">
        <f t="shared" ref="F34:N34" si="20">+E34+1</f>
        <v>2020</v>
      </c>
      <c r="G34" s="678">
        <f t="shared" si="20"/>
        <v>2021</v>
      </c>
      <c r="H34" s="678">
        <f t="shared" si="20"/>
        <v>2022</v>
      </c>
      <c r="I34" s="678">
        <f t="shared" si="20"/>
        <v>2023</v>
      </c>
      <c r="J34" s="678">
        <f t="shared" si="20"/>
        <v>2024</v>
      </c>
      <c r="K34" s="678">
        <f t="shared" si="20"/>
        <v>2025</v>
      </c>
      <c r="L34" s="678">
        <f t="shared" si="20"/>
        <v>2026</v>
      </c>
      <c r="M34" s="678">
        <f t="shared" si="20"/>
        <v>2027</v>
      </c>
      <c r="N34" s="678">
        <f t="shared" si="20"/>
        <v>2028</v>
      </c>
      <c r="O34" s="676" t="s">
        <v>409</v>
      </c>
      <c r="T34" s="11"/>
      <c r="U34" s="11"/>
      <c r="V34" s="11"/>
      <c r="W34" s="11"/>
      <c r="X34" s="11"/>
      <c r="Y34" s="11"/>
      <c r="Z34" s="11"/>
      <c r="AA34" s="11"/>
      <c r="AB34" s="11"/>
      <c r="AC34" s="11"/>
    </row>
    <row r="35" spans="1:29" s="54" customFormat="1" ht="12.75" hidden="1" customHeight="1" outlineLevel="1" x14ac:dyDescent="0.2">
      <c r="A35" s="11"/>
      <c r="B35" s="712" t="s">
        <v>20</v>
      </c>
      <c r="C35" s="713">
        <v>0</v>
      </c>
      <c r="D35" s="713">
        <v>0</v>
      </c>
      <c r="E35" s="713">
        <v>0.5</v>
      </c>
      <c r="F35" s="713">
        <v>1.5</v>
      </c>
      <c r="G35" s="713">
        <v>2.5</v>
      </c>
      <c r="H35" s="713">
        <v>3.5</v>
      </c>
      <c r="I35" s="713">
        <v>4.5</v>
      </c>
      <c r="J35" s="713">
        <v>5.5</v>
      </c>
      <c r="K35" s="713">
        <v>6.5</v>
      </c>
      <c r="L35" s="713">
        <v>7.5</v>
      </c>
      <c r="M35" s="713">
        <v>8.5</v>
      </c>
      <c r="N35" s="713">
        <v>9.5</v>
      </c>
      <c r="O35" s="713">
        <v>10</v>
      </c>
      <c r="T35" s="11"/>
      <c r="U35" s="11"/>
      <c r="V35" s="11"/>
      <c r="W35" s="11"/>
      <c r="X35" s="11"/>
      <c r="Y35" s="11"/>
      <c r="Z35" s="11"/>
      <c r="AA35" s="11"/>
      <c r="AB35" s="11"/>
      <c r="AC35" s="11"/>
    </row>
    <row r="36" spans="1:29" s="54" customFormat="1" ht="12.75" hidden="1" customHeight="1" outlineLevel="1" x14ac:dyDescent="0.2">
      <c r="A36" s="11"/>
      <c r="B36" s="712" t="s">
        <v>115</v>
      </c>
      <c r="C36" s="713">
        <v>0</v>
      </c>
      <c r="D36" s="713">
        <v>1</v>
      </c>
      <c r="E36" s="713">
        <v>1</v>
      </c>
      <c r="F36" s="713">
        <v>1</v>
      </c>
      <c r="G36" s="713">
        <v>1</v>
      </c>
      <c r="H36" s="713">
        <v>1</v>
      </c>
      <c r="I36" s="713">
        <v>1</v>
      </c>
      <c r="J36" s="713">
        <v>1</v>
      </c>
      <c r="K36" s="713">
        <v>1</v>
      </c>
      <c r="L36" s="713">
        <v>1</v>
      </c>
      <c r="M36" s="713">
        <v>1</v>
      </c>
      <c r="N36" s="713">
        <v>1</v>
      </c>
      <c r="O36" s="713">
        <v>1</v>
      </c>
      <c r="T36" s="11"/>
      <c r="U36" s="11"/>
      <c r="V36" s="11"/>
      <c r="W36" s="11"/>
      <c r="X36" s="11"/>
      <c r="Y36" s="11"/>
      <c r="Z36" s="11"/>
      <c r="AA36" s="11"/>
      <c r="AB36" s="11"/>
      <c r="AC36" s="11"/>
    </row>
    <row r="37" spans="1:29" s="54" customFormat="1" ht="12.75" hidden="1" customHeight="1" outlineLevel="1" x14ac:dyDescent="0.2">
      <c r="A37" s="11"/>
      <c r="B37" s="142"/>
      <c r="C37" s="11">
        <v>0</v>
      </c>
      <c r="D37" s="11">
        <v>0</v>
      </c>
      <c r="E37" s="11">
        <v>0</v>
      </c>
      <c r="F37" s="11">
        <v>0</v>
      </c>
      <c r="G37" s="11">
        <v>0</v>
      </c>
      <c r="H37" s="11">
        <v>0</v>
      </c>
      <c r="I37" s="11">
        <v>0</v>
      </c>
      <c r="J37" s="11">
        <v>0</v>
      </c>
      <c r="K37" s="11">
        <v>0</v>
      </c>
      <c r="L37" s="11">
        <v>0</v>
      </c>
      <c r="M37" s="11">
        <v>0</v>
      </c>
      <c r="N37" s="11">
        <v>0</v>
      </c>
      <c r="O37" s="11">
        <v>0</v>
      </c>
      <c r="T37" s="11"/>
      <c r="U37" s="11"/>
      <c r="V37" s="11"/>
      <c r="W37" s="11"/>
      <c r="X37" s="11"/>
      <c r="Y37" s="11"/>
      <c r="Z37" s="11"/>
      <c r="AA37" s="11"/>
      <c r="AB37" s="11"/>
      <c r="AC37" s="11"/>
    </row>
    <row r="38" spans="1:29" s="54" customFormat="1" ht="12.75" hidden="1" customHeight="1" outlineLevel="1" collapsed="1" x14ac:dyDescent="0.2">
      <c r="A38" s="11"/>
      <c r="B38" s="877" t="s">
        <v>518</v>
      </c>
      <c r="C38" s="879">
        <v>0</v>
      </c>
      <c r="D38" s="879">
        <v>5.0000000000000044E-2</v>
      </c>
      <c r="E38" s="879">
        <v>0.25</v>
      </c>
      <c r="F38" s="879">
        <v>0.35</v>
      </c>
      <c r="G38" s="878">
        <v>0.39999999999999997</v>
      </c>
      <c r="H38" s="878">
        <v>0.44999999999999996</v>
      </c>
      <c r="I38" s="878">
        <v>0.49999999999999994</v>
      </c>
      <c r="J38" s="878">
        <v>0.54999999999999993</v>
      </c>
      <c r="K38" s="878">
        <v>0.54999999999999993</v>
      </c>
      <c r="L38" s="878">
        <v>0.54999999999999993</v>
      </c>
      <c r="M38" s="878">
        <v>0.54999999999999993</v>
      </c>
      <c r="N38" s="878">
        <v>0.54999999999999993</v>
      </c>
      <c r="O38" s="11"/>
      <c r="T38" s="11"/>
      <c r="U38" s="11"/>
      <c r="V38" s="11"/>
      <c r="W38" s="11"/>
      <c r="X38" s="11"/>
      <c r="Y38" s="11"/>
      <c r="Z38" s="11"/>
      <c r="AA38" s="11"/>
      <c r="AB38" s="11"/>
      <c r="AC38" s="11"/>
    </row>
    <row r="39" spans="1:29" s="54" customFormat="1" ht="12.75" hidden="1" customHeight="1" outlineLevel="1" x14ac:dyDescent="0.2">
      <c r="A39" s="11"/>
      <c r="B39" s="865" t="s">
        <v>524</v>
      </c>
      <c r="C39" s="866">
        <v>0</v>
      </c>
      <c r="D39" s="866">
        <v>9606.6219004500781</v>
      </c>
      <c r="E39" s="866">
        <v>83261.449382959952</v>
      </c>
      <c r="F39" s="866">
        <v>153041.89859360835</v>
      </c>
      <c r="G39" s="866">
        <v>221049.07418756787</v>
      </c>
      <c r="H39" s="866">
        <v>302931.32201906433</v>
      </c>
      <c r="I39" s="866">
        <v>399572.77254713915</v>
      </c>
      <c r="J39" s="866">
        <v>511903.73636674992</v>
      </c>
      <c r="K39" s="866">
        <v>587494.3090025289</v>
      </c>
      <c r="L39" s="866">
        <v>666430.35664304323</v>
      </c>
      <c r="M39" s="866">
        <v>748845.3755982708</v>
      </c>
      <c r="N39" s="866">
        <v>834877.94994038437</v>
      </c>
      <c r="O39" s="11"/>
      <c r="T39" s="11"/>
      <c r="U39" s="11"/>
      <c r="V39" s="11"/>
      <c r="W39" s="11"/>
      <c r="X39" s="11"/>
      <c r="Y39" s="11"/>
      <c r="Z39" s="11"/>
      <c r="AA39" s="11"/>
      <c r="AB39" s="11"/>
      <c r="AC39" s="11"/>
    </row>
    <row r="40" spans="1:29" s="54" customFormat="1" ht="12.75" hidden="1" customHeight="1" outlineLevel="1" x14ac:dyDescent="0.2">
      <c r="A40" s="11"/>
      <c r="B40" s="865" t="s">
        <v>512</v>
      </c>
      <c r="C40" s="867">
        <v>1800.0000000000002</v>
      </c>
      <c r="D40" s="867">
        <v>1664.9999999999998</v>
      </c>
      <c r="E40" s="867">
        <v>1540.1250000000002</v>
      </c>
      <c r="F40" s="867">
        <v>1424.6156250000001</v>
      </c>
      <c r="G40" s="827">
        <v>1424.6156250000001</v>
      </c>
      <c r="H40" s="827">
        <v>1424.6156250000001</v>
      </c>
      <c r="I40" s="827">
        <v>1424.6156250000001</v>
      </c>
      <c r="J40" s="827">
        <v>1424.6156250000001</v>
      </c>
      <c r="K40" s="827">
        <v>1424.6156250000001</v>
      </c>
      <c r="L40" s="827">
        <v>1424.6156250000001</v>
      </c>
      <c r="M40" s="827">
        <v>1424.6156250000001</v>
      </c>
      <c r="N40" s="827">
        <v>1424.6156250000001</v>
      </c>
      <c r="O40" s="11"/>
      <c r="T40" s="11"/>
      <c r="U40" s="11"/>
      <c r="V40" s="11"/>
      <c r="W40" s="11"/>
      <c r="X40" s="11"/>
      <c r="Y40" s="11"/>
      <c r="Z40" s="11"/>
      <c r="AA40" s="11"/>
      <c r="AB40" s="11"/>
      <c r="AC40" s="11"/>
    </row>
    <row r="41" spans="1:29" s="54" customFormat="1" ht="12.75" customHeight="1" collapsed="1" x14ac:dyDescent="0.2">
      <c r="A41" s="11"/>
      <c r="B41" s="143" t="s">
        <v>297</v>
      </c>
      <c r="C41" s="868">
        <v>0</v>
      </c>
      <c r="D41" s="868">
        <v>15.995025464249379</v>
      </c>
      <c r="E41" s="868">
        <v>128.23303973093121</v>
      </c>
      <c r="F41" s="868">
        <v>218.02588001612</v>
      </c>
      <c r="G41" s="868">
        <v>314.90996497939335</v>
      </c>
      <c r="H41" s="868">
        <v>431.56069465026565</v>
      </c>
      <c r="I41" s="868">
        <v>569.23761509522558</v>
      </c>
      <c r="J41" s="868">
        <v>729.26606132395273</v>
      </c>
      <c r="K41" s="868">
        <v>836.95357220358085</v>
      </c>
      <c r="L41" s="868">
        <v>949.40709904800201</v>
      </c>
      <c r="M41" s="868">
        <v>1066.8168227862905</v>
      </c>
      <c r="N41" s="868">
        <v>1189.3801724530394</v>
      </c>
      <c r="O41" s="149">
        <v>1189.3801724530394</v>
      </c>
      <c r="T41" s="11"/>
      <c r="U41" s="11"/>
      <c r="V41" s="11"/>
      <c r="W41" s="11"/>
      <c r="X41" s="11"/>
      <c r="Y41" s="11"/>
      <c r="Z41" s="11"/>
      <c r="AA41" s="11"/>
      <c r="AB41" s="11"/>
      <c r="AC41" s="11"/>
    </row>
    <row r="42" spans="1:29" s="54" customFormat="1" ht="12.75" customHeight="1" x14ac:dyDescent="0.2">
      <c r="A42" s="11"/>
      <c r="B42" s="674" t="s">
        <v>31</v>
      </c>
      <c r="C42" s="675">
        <v>0</v>
      </c>
      <c r="D42" s="675">
        <v>0</v>
      </c>
      <c r="E42" s="675">
        <v>7.0170575543968976</v>
      </c>
      <c r="F42" s="675">
        <v>0.70023170684871294</v>
      </c>
      <c r="G42" s="675">
        <v>0.44436965444703214</v>
      </c>
      <c r="H42" s="675">
        <v>0.37042565381665682</v>
      </c>
      <c r="I42" s="675">
        <v>0.31902099090959268</v>
      </c>
      <c r="J42" s="675">
        <v>0.28112767319840004</v>
      </c>
      <c r="K42" s="675">
        <v>0.14766560051365318</v>
      </c>
      <c r="L42" s="675">
        <v>0.1343605315505696</v>
      </c>
      <c r="M42" s="675">
        <v>0.12366636383488028</v>
      </c>
      <c r="N42" s="675">
        <v>0.11488696751766669</v>
      </c>
      <c r="O42" s="675">
        <v>0</v>
      </c>
      <c r="T42" s="11"/>
      <c r="U42" s="11"/>
      <c r="V42" s="11"/>
      <c r="W42" s="11"/>
      <c r="X42" s="11"/>
      <c r="Y42" s="11"/>
      <c r="Z42" s="11"/>
      <c r="AA42" s="11"/>
      <c r="AB42" s="11"/>
      <c r="AC42" s="11"/>
    </row>
    <row r="43" spans="1:29" s="54" customFormat="1" ht="12.75" customHeight="1" x14ac:dyDescent="0.2">
      <c r="A43" s="11"/>
      <c r="B43" s="143" t="s">
        <v>21</v>
      </c>
      <c r="C43" s="144">
        <v>0</v>
      </c>
      <c r="D43" s="144">
        <v>3.8954343823476889</v>
      </c>
      <c r="E43" s="144">
        <v>33.951440170830374</v>
      </c>
      <c r="F43" s="144">
        <v>61.535942856455556</v>
      </c>
      <c r="G43" s="144">
        <v>88.880648519651032</v>
      </c>
      <c r="H43" s="144">
        <v>121.80432085919124</v>
      </c>
      <c r="I43" s="144">
        <v>160.6624559967604</v>
      </c>
      <c r="J43" s="144">
        <v>205.82911842146996</v>
      </c>
      <c r="K43" s="144">
        <v>236.22299879637217</v>
      </c>
      <c r="L43" s="144">
        <v>267.96204647912231</v>
      </c>
      <c r="M43" s="144">
        <v>301.09993841294852</v>
      </c>
      <c r="N43" s="144">
        <v>335.69239725696843</v>
      </c>
      <c r="O43" s="144">
        <v>335.69239725696843</v>
      </c>
      <c r="T43" s="11"/>
      <c r="U43" s="11"/>
      <c r="V43" s="11"/>
      <c r="W43" s="11"/>
      <c r="X43" s="11"/>
      <c r="Y43" s="11"/>
      <c r="Z43" s="11"/>
      <c r="AA43" s="11"/>
      <c r="AB43" s="11"/>
      <c r="AC43" s="11"/>
    </row>
    <row r="44" spans="1:29" s="54" customFormat="1" ht="12.75" customHeight="1" x14ac:dyDescent="0.2">
      <c r="A44" s="11"/>
      <c r="B44" s="674" t="s">
        <v>401</v>
      </c>
      <c r="C44" s="872">
        <v>0.23999448898577663</v>
      </c>
      <c r="D44" s="872">
        <v>0.24354036766333437</v>
      </c>
      <c r="E44" s="872">
        <v>0.26476359167707475</v>
      </c>
      <c r="F44" s="872">
        <v>0.28224146074725542</v>
      </c>
      <c r="G44" s="872">
        <v>0.28224146074725542</v>
      </c>
      <c r="H44" s="872">
        <v>0.28224146074725542</v>
      </c>
      <c r="I44" s="872">
        <v>0.28224146074725542</v>
      </c>
      <c r="J44" s="872">
        <v>0.28224146074725542</v>
      </c>
      <c r="K44" s="872">
        <v>0.28224146074725542</v>
      </c>
      <c r="L44" s="872">
        <v>0.28224146074725542</v>
      </c>
      <c r="M44" s="872">
        <v>0.28224146074725542</v>
      </c>
      <c r="N44" s="872">
        <v>0.28224146074725542</v>
      </c>
      <c r="O44" s="872">
        <v>0.28224146074725542</v>
      </c>
      <c r="T44" s="11"/>
      <c r="U44" s="11"/>
      <c r="V44" s="11"/>
      <c r="W44" s="11"/>
      <c r="X44" s="11"/>
      <c r="Y44" s="11"/>
      <c r="Z44" s="11"/>
      <c r="AA44" s="11"/>
      <c r="AB44" s="11"/>
      <c r="AC44" s="11"/>
    </row>
    <row r="45" spans="1:29" s="54" customFormat="1" ht="5.0999999999999996" customHeight="1" x14ac:dyDescent="0.2">
      <c r="A45" s="11"/>
      <c r="B45" s="145"/>
      <c r="C45" s="53"/>
      <c r="D45" s="53"/>
      <c r="E45" s="53"/>
      <c r="F45" s="53"/>
      <c r="G45" s="53"/>
      <c r="H45" s="53"/>
      <c r="I45" s="53"/>
      <c r="J45" s="53"/>
      <c r="K45" s="53"/>
      <c r="L45" s="53"/>
      <c r="M45" s="53"/>
      <c r="N45" s="53"/>
      <c r="O45" s="53"/>
      <c r="T45" s="11"/>
      <c r="U45" s="11"/>
      <c r="V45" s="11"/>
      <c r="W45" s="11"/>
      <c r="X45" s="11"/>
      <c r="Y45" s="11"/>
      <c r="Z45" s="11"/>
      <c r="AA45" s="11"/>
      <c r="AB45" s="11"/>
      <c r="AC45" s="11"/>
    </row>
    <row r="46" spans="1:29" s="54" customFormat="1" ht="12.75" hidden="1" customHeight="1" outlineLevel="1" x14ac:dyDescent="0.2">
      <c r="A46" s="11"/>
      <c r="B46" s="146" t="s">
        <v>22</v>
      </c>
      <c r="C46" s="324">
        <v>0</v>
      </c>
      <c r="D46" s="324">
        <v>0</v>
      </c>
      <c r="E46" s="324">
        <v>0</v>
      </c>
      <c r="F46" s="324">
        <v>0</v>
      </c>
      <c r="G46" s="324">
        <v>0</v>
      </c>
      <c r="H46" s="324">
        <v>0</v>
      </c>
      <c r="I46" s="324">
        <v>0</v>
      </c>
      <c r="J46" s="324">
        <v>0</v>
      </c>
      <c r="K46" s="324">
        <v>0</v>
      </c>
      <c r="L46" s="324">
        <v>0</v>
      </c>
      <c r="M46" s="324">
        <v>0</v>
      </c>
      <c r="N46" s="324">
        <v>0</v>
      </c>
      <c r="O46" s="324">
        <v>0</v>
      </c>
      <c r="T46" s="11"/>
      <c r="U46" s="11"/>
      <c r="V46" s="11"/>
      <c r="W46" s="11"/>
      <c r="X46" s="11"/>
      <c r="Y46" s="11"/>
      <c r="Z46" s="11"/>
      <c r="AA46" s="11"/>
      <c r="AB46" s="11"/>
      <c r="AC46" s="11"/>
    </row>
    <row r="47" spans="1:29" s="54" customFormat="1" ht="12.75" hidden="1" customHeight="1" outlineLevel="1" x14ac:dyDescent="0.2">
      <c r="A47" s="11"/>
      <c r="B47" s="146" t="s">
        <v>23</v>
      </c>
      <c r="C47" s="147">
        <v>0</v>
      </c>
      <c r="D47" s="147">
        <v>0.62046954124432008</v>
      </c>
      <c r="E47" s="147">
        <v>6.1112592307494653</v>
      </c>
      <c r="F47" s="147">
        <v>11.076469714161995</v>
      </c>
      <c r="G47" s="147">
        <v>15.998516733537178</v>
      </c>
      <c r="H47" s="147">
        <v>21.924777754654411</v>
      </c>
      <c r="I47" s="147">
        <v>28.919242079416858</v>
      </c>
      <c r="J47" s="147">
        <v>37.04924131586457</v>
      </c>
      <c r="K47" s="147">
        <v>42.52013978334697</v>
      </c>
      <c r="L47" s="147">
        <v>48.233168366241991</v>
      </c>
      <c r="M47" s="147">
        <v>54.197988914330708</v>
      </c>
      <c r="N47" s="147">
        <v>60.424631506254286</v>
      </c>
      <c r="O47" s="147">
        <v>60.424631506254286</v>
      </c>
      <c r="T47" s="11"/>
      <c r="U47" s="11"/>
      <c r="V47" s="11"/>
      <c r="W47" s="11"/>
      <c r="X47" s="11"/>
      <c r="Y47" s="11"/>
      <c r="Z47" s="11"/>
      <c r="AA47" s="11"/>
      <c r="AB47" s="11"/>
      <c r="AC47" s="11"/>
    </row>
    <row r="48" spans="1:29" s="54" customFormat="1" ht="12.75" customHeight="1" collapsed="1" x14ac:dyDescent="0.2">
      <c r="A48" s="11"/>
      <c r="B48" s="483" t="s">
        <v>24</v>
      </c>
      <c r="C48" s="871">
        <v>0.12047679628298023</v>
      </c>
      <c r="D48" s="871">
        <v>0.1592812201011527</v>
      </c>
      <c r="E48" s="871">
        <v>0.17999999999999994</v>
      </c>
      <c r="F48" s="871">
        <v>0.17999999999999991</v>
      </c>
      <c r="G48" s="871">
        <v>0.17999999999999991</v>
      </c>
      <c r="H48" s="871">
        <v>0.17999999999999991</v>
      </c>
      <c r="I48" s="871">
        <v>0.17999999999999991</v>
      </c>
      <c r="J48" s="871">
        <v>0.17999999999999991</v>
      </c>
      <c r="K48" s="871">
        <v>0.17999999999999991</v>
      </c>
      <c r="L48" s="871">
        <v>0.17999999999999991</v>
      </c>
      <c r="M48" s="871">
        <v>0.17999999999999991</v>
      </c>
      <c r="N48" s="871">
        <v>0.17999999999999991</v>
      </c>
      <c r="O48" s="871">
        <v>0.17999999999999991</v>
      </c>
      <c r="T48" s="11"/>
      <c r="U48" s="11"/>
      <c r="V48" s="11"/>
      <c r="W48" s="11"/>
      <c r="X48" s="11"/>
      <c r="Y48" s="11"/>
      <c r="Z48" s="11"/>
      <c r="AA48" s="11"/>
      <c r="AB48" s="11"/>
      <c r="AC48" s="11"/>
    </row>
    <row r="49" spans="1:32" s="54" customFormat="1" ht="12.75" hidden="1" customHeight="1" outlineLevel="1" x14ac:dyDescent="0.2">
      <c r="A49" s="11"/>
      <c r="B49" s="148" t="s">
        <v>25</v>
      </c>
      <c r="C49" s="149">
        <v>0</v>
      </c>
      <c r="D49" s="149">
        <v>3.2749648411033689</v>
      </c>
      <c r="E49" s="149">
        <v>27.840180940080909</v>
      </c>
      <c r="F49" s="149">
        <v>50.459473142293561</v>
      </c>
      <c r="G49" s="149">
        <v>72.88213178611386</v>
      </c>
      <c r="H49" s="149">
        <v>99.879543104536822</v>
      </c>
      <c r="I49" s="149">
        <v>131.74321391734355</v>
      </c>
      <c r="J49" s="149">
        <v>168.77987710560538</v>
      </c>
      <c r="K49" s="149">
        <v>193.7028590130252</v>
      </c>
      <c r="L49" s="149">
        <v>219.72887811288032</v>
      </c>
      <c r="M49" s="149">
        <v>246.9019494986178</v>
      </c>
      <c r="N49" s="149">
        <v>275.26776575071415</v>
      </c>
      <c r="O49" s="149">
        <v>275.26776575071415</v>
      </c>
      <c r="T49" s="11"/>
      <c r="U49" s="11"/>
      <c r="V49" s="11"/>
      <c r="W49" s="11"/>
      <c r="X49" s="11"/>
      <c r="Y49" s="11"/>
      <c r="Z49" s="11"/>
      <c r="AA49" s="11"/>
      <c r="AB49" s="11"/>
      <c r="AC49" s="11"/>
    </row>
    <row r="50" spans="1:32" s="54" customFormat="1" ht="5.0999999999999996" hidden="1" customHeight="1" outlineLevel="1" x14ac:dyDescent="0.2">
      <c r="A50" s="11"/>
      <c r="B50" s="150"/>
      <c r="C50" s="53"/>
      <c r="D50" s="53"/>
      <c r="E50" s="53"/>
      <c r="F50" s="53"/>
      <c r="G50" s="53"/>
      <c r="H50" s="53"/>
      <c r="I50" s="53"/>
      <c r="J50" s="53"/>
      <c r="K50" s="53"/>
      <c r="L50" s="53"/>
      <c r="M50" s="53"/>
      <c r="N50" s="53"/>
      <c r="O50" s="53"/>
      <c r="T50" s="11"/>
      <c r="U50" s="11"/>
      <c r="V50" s="11"/>
      <c r="W50" s="11"/>
      <c r="X50" s="11"/>
      <c r="Y50" s="11"/>
      <c r="Z50" s="11"/>
      <c r="AA50" s="11"/>
      <c r="AB50" s="11"/>
      <c r="AC50" s="11"/>
    </row>
    <row r="51" spans="1:32" s="54" customFormat="1" ht="12.75" hidden="1" customHeight="1" outlineLevel="1" x14ac:dyDescent="0.2">
      <c r="A51" s="11"/>
      <c r="B51" s="151" t="s">
        <v>27</v>
      </c>
      <c r="C51" s="673">
        <v>0</v>
      </c>
      <c r="D51" s="673">
        <v>0.47985076392748133</v>
      </c>
      <c r="E51" s="673">
        <v>3.8469911919279363</v>
      </c>
      <c r="F51" s="673">
        <v>6.5407764004835993</v>
      </c>
      <c r="G51" s="673">
        <v>9.4472989493817998</v>
      </c>
      <c r="H51" s="673">
        <v>12.94682083950797</v>
      </c>
      <c r="I51" s="673">
        <v>17.077128452856766</v>
      </c>
      <c r="J51" s="673">
        <v>21.877981839718579</v>
      </c>
      <c r="K51" s="673">
        <v>25.108607166107426</v>
      </c>
      <c r="L51" s="673">
        <v>28.48221297144006</v>
      </c>
      <c r="M51" s="673">
        <v>32.004504683588713</v>
      </c>
      <c r="N51" s="673">
        <v>35.68140517359118</v>
      </c>
      <c r="O51" s="673">
        <v>33.897334914911617</v>
      </c>
      <c r="T51" s="11"/>
      <c r="U51" s="11"/>
      <c r="V51" s="11"/>
      <c r="W51" s="11"/>
      <c r="X51" s="11"/>
      <c r="Y51" s="11"/>
      <c r="Z51" s="11"/>
      <c r="AA51" s="11"/>
      <c r="AB51" s="11"/>
      <c r="AC51" s="11"/>
    </row>
    <row r="52" spans="1:32" s="54" customFormat="1" ht="12.75" hidden="1" customHeight="1" outlineLevel="2" x14ac:dyDescent="0.2">
      <c r="A52" s="11"/>
      <c r="B52" s="674" t="s">
        <v>382</v>
      </c>
      <c r="C52" s="869">
        <v>0.03</v>
      </c>
      <c r="D52" s="869">
        <v>0.03</v>
      </c>
      <c r="E52" s="869">
        <v>0.03</v>
      </c>
      <c r="F52" s="869">
        <v>0.03</v>
      </c>
      <c r="G52" s="869">
        <v>0.03</v>
      </c>
      <c r="H52" s="869">
        <v>0.03</v>
      </c>
      <c r="I52" s="869">
        <v>0.03</v>
      </c>
      <c r="J52" s="869">
        <v>0.03</v>
      </c>
      <c r="K52" s="869">
        <v>0.03</v>
      </c>
      <c r="L52" s="869">
        <v>0.03</v>
      </c>
      <c r="M52" s="869">
        <v>0.03</v>
      </c>
      <c r="N52" s="869">
        <v>0.03</v>
      </c>
      <c r="O52" s="869">
        <v>2.8499999999999994E-2</v>
      </c>
      <c r="T52" s="11"/>
      <c r="U52" s="11"/>
      <c r="V52" s="11"/>
      <c r="W52" s="11"/>
      <c r="X52" s="11"/>
      <c r="Y52" s="11"/>
      <c r="Z52" s="11"/>
      <c r="AA52" s="11"/>
      <c r="AB52" s="11"/>
      <c r="AC52" s="11"/>
    </row>
    <row r="53" spans="1:32" s="54" customFormat="1" ht="12.75" hidden="1" customHeight="1" outlineLevel="1" x14ac:dyDescent="0.2">
      <c r="A53" s="11"/>
      <c r="B53" s="484" t="s">
        <v>28</v>
      </c>
      <c r="C53" s="485">
        <v>0</v>
      </c>
      <c r="D53" s="485">
        <v>-1.5995025464249378E-2</v>
      </c>
      <c r="E53" s="485">
        <v>-0.12823303973093123</v>
      </c>
      <c r="F53" s="485">
        <v>-0.21802588001612</v>
      </c>
      <c r="G53" s="485">
        <v>-0.31490996497939333</v>
      </c>
      <c r="H53" s="485">
        <v>-0.43156069465026564</v>
      </c>
      <c r="I53" s="485">
        <v>-0.56923761509522564</v>
      </c>
      <c r="J53" s="485">
        <v>-0.72926606132395277</v>
      </c>
      <c r="K53" s="485">
        <v>-0.83695357220358091</v>
      </c>
      <c r="L53" s="485">
        <v>-0.94940709904800202</v>
      </c>
      <c r="M53" s="485">
        <v>-1.0668168227862904</v>
      </c>
      <c r="N53" s="485">
        <v>-1.1893801724530395</v>
      </c>
      <c r="O53" s="485">
        <v>-1.1893801724530395</v>
      </c>
      <c r="T53" s="11"/>
      <c r="U53" s="11"/>
      <c r="V53" s="11"/>
      <c r="W53" s="11"/>
      <c r="X53" s="11"/>
      <c r="Y53" s="11"/>
      <c r="Z53" s="11"/>
      <c r="AA53" s="11"/>
      <c r="AB53" s="11"/>
      <c r="AC53" s="11"/>
    </row>
    <row r="54" spans="1:32" s="54" customFormat="1" ht="12.75" hidden="1" customHeight="1" outlineLevel="2" x14ac:dyDescent="0.2">
      <c r="A54" s="11"/>
      <c r="B54" s="674" t="s">
        <v>382</v>
      </c>
      <c r="C54" s="869">
        <v>-1E-3</v>
      </c>
      <c r="D54" s="869">
        <v>-1E-3</v>
      </c>
      <c r="E54" s="869">
        <v>-1E-3</v>
      </c>
      <c r="F54" s="869">
        <v>-1E-3</v>
      </c>
      <c r="G54" s="869">
        <v>-1E-3</v>
      </c>
      <c r="H54" s="869">
        <v>-1E-3</v>
      </c>
      <c r="I54" s="869">
        <v>-1E-3</v>
      </c>
      <c r="J54" s="869">
        <v>-1E-3</v>
      </c>
      <c r="K54" s="869">
        <v>-1E-3</v>
      </c>
      <c r="L54" s="869">
        <v>-1E-3</v>
      </c>
      <c r="M54" s="869">
        <v>-1E-3</v>
      </c>
      <c r="N54" s="869">
        <v>-1E-3</v>
      </c>
      <c r="O54" s="675">
        <v>-1E-3</v>
      </c>
      <c r="T54" s="11"/>
      <c r="U54" s="11"/>
      <c r="V54" s="11"/>
      <c r="W54" s="11"/>
      <c r="X54" s="11"/>
      <c r="Y54" s="11"/>
      <c r="Z54" s="11"/>
      <c r="AA54" s="11"/>
      <c r="AB54" s="11"/>
      <c r="AC54" s="11"/>
    </row>
    <row r="55" spans="1:32" s="54" customFormat="1" ht="12.75" hidden="1" customHeight="1" outlineLevel="1" x14ac:dyDescent="0.2">
      <c r="A55" s="11"/>
      <c r="B55" s="672" t="s">
        <v>29</v>
      </c>
      <c r="C55" s="485">
        <v>0</v>
      </c>
      <c r="D55" s="485">
        <v>-0.47985076392748133</v>
      </c>
      <c r="E55" s="485">
        <v>-3.8469911919279363</v>
      </c>
      <c r="F55" s="485">
        <v>-6.5407764004835993</v>
      </c>
      <c r="G55" s="485">
        <v>-9.4472989493817998</v>
      </c>
      <c r="H55" s="485">
        <v>-12.94682083950797</v>
      </c>
      <c r="I55" s="485">
        <v>-17.077128452856766</v>
      </c>
      <c r="J55" s="485">
        <v>-21.877981839718579</v>
      </c>
      <c r="K55" s="485">
        <v>-25.108607166107426</v>
      </c>
      <c r="L55" s="485">
        <v>-28.48221297144006</v>
      </c>
      <c r="M55" s="485">
        <v>-32.004504683588713</v>
      </c>
      <c r="N55" s="485">
        <v>-35.68140517359118</v>
      </c>
      <c r="O55" s="485">
        <v>-35.68140517359118</v>
      </c>
      <c r="T55" s="11"/>
      <c r="U55" s="11"/>
      <c r="V55" s="11"/>
      <c r="W55" s="11"/>
      <c r="X55" s="11"/>
      <c r="Y55" s="11"/>
      <c r="Z55" s="11"/>
      <c r="AA55" s="11"/>
      <c r="AB55" s="11"/>
      <c r="AC55" s="11"/>
    </row>
    <row r="56" spans="1:32" s="54" customFormat="1" ht="12.75" hidden="1" customHeight="1" outlineLevel="1" x14ac:dyDescent="0.2">
      <c r="A56" s="11"/>
      <c r="B56" s="483" t="s">
        <v>382</v>
      </c>
      <c r="C56" s="870">
        <v>-0.03</v>
      </c>
      <c r="D56" s="870">
        <v>-0.03</v>
      </c>
      <c r="E56" s="870">
        <v>-0.03</v>
      </c>
      <c r="F56" s="870">
        <v>-0.03</v>
      </c>
      <c r="G56" s="870">
        <v>-0.03</v>
      </c>
      <c r="H56" s="870">
        <v>-0.03</v>
      </c>
      <c r="I56" s="870">
        <v>-0.03</v>
      </c>
      <c r="J56" s="870">
        <v>-0.03</v>
      </c>
      <c r="K56" s="870">
        <v>-0.03</v>
      </c>
      <c r="L56" s="870">
        <v>-0.03</v>
      </c>
      <c r="M56" s="870">
        <v>-0.03</v>
      </c>
      <c r="N56" s="870">
        <v>-0.03</v>
      </c>
      <c r="O56" s="870">
        <v>-0.03</v>
      </c>
      <c r="T56" s="11"/>
      <c r="U56" s="11"/>
      <c r="V56" s="11"/>
      <c r="W56" s="11"/>
      <c r="X56" s="11"/>
      <c r="Y56" s="11"/>
      <c r="Z56" s="11"/>
      <c r="AA56" s="11"/>
      <c r="AB56" s="11"/>
      <c r="AC56" s="11"/>
    </row>
    <row r="57" spans="1:32" s="54" customFormat="1" ht="12.75" customHeight="1" collapsed="1" x14ac:dyDescent="0.2">
      <c r="A57" s="11"/>
      <c r="B57" s="898" t="s">
        <v>30</v>
      </c>
      <c r="C57" s="899">
        <v>0</v>
      </c>
      <c r="D57" s="899">
        <v>3.2589698156391194</v>
      </c>
      <c r="E57" s="899">
        <v>27.71194790034998</v>
      </c>
      <c r="F57" s="899">
        <v>50.24144726227744</v>
      </c>
      <c r="G57" s="899">
        <v>72.567221821134467</v>
      </c>
      <c r="H57" s="899">
        <v>99.447982409886549</v>
      </c>
      <c r="I57" s="899">
        <v>131.17397630224832</v>
      </c>
      <c r="J57" s="899">
        <v>168.05061104428142</v>
      </c>
      <c r="K57" s="899">
        <v>192.86590544082162</v>
      </c>
      <c r="L57" s="899">
        <v>218.77947101383234</v>
      </c>
      <c r="M57" s="899">
        <v>245.83513267583152</v>
      </c>
      <c r="N57" s="899">
        <v>274.07838557826113</v>
      </c>
      <c r="O57" s="899">
        <v>272.29431531958153</v>
      </c>
      <c r="T57" s="11"/>
      <c r="U57" s="11"/>
      <c r="V57" s="11"/>
      <c r="W57" s="11"/>
      <c r="X57" s="11"/>
      <c r="Y57" s="11"/>
      <c r="Z57" s="11"/>
      <c r="AA57" s="11"/>
      <c r="AB57" s="11"/>
      <c r="AC57" s="11"/>
    </row>
    <row r="58" spans="1:32" s="54" customFormat="1" ht="12.75" hidden="1" customHeight="1" outlineLevel="1" x14ac:dyDescent="0.2">
      <c r="A58" s="11"/>
      <c r="B58" s="152" t="s">
        <v>31</v>
      </c>
      <c r="C58" s="670">
        <v>0</v>
      </c>
      <c r="D58" s="670">
        <v>0</v>
      </c>
      <c r="E58" s="670">
        <v>7.5032846169259066</v>
      </c>
      <c r="F58" s="670">
        <v>0.81298865900519868</v>
      </c>
      <c r="G58" s="670">
        <v>0.44436965444703236</v>
      </c>
      <c r="H58" s="670">
        <v>0.3704256538166566</v>
      </c>
      <c r="I58" s="670">
        <v>0.31902099090959291</v>
      </c>
      <c r="J58" s="670">
        <v>0.28112767319839982</v>
      </c>
      <c r="K58" s="670">
        <v>0.14766560051365341</v>
      </c>
      <c r="L58" s="670">
        <v>0.13436053155056982</v>
      </c>
      <c r="M58" s="670">
        <v>0.12366636383488006</v>
      </c>
      <c r="N58" s="670">
        <v>0.11488696751766692</v>
      </c>
      <c r="O58" s="670">
        <v>-6.5093431388816292E-3</v>
      </c>
      <c r="T58" s="11"/>
      <c r="U58" s="11"/>
      <c r="V58" s="11"/>
      <c r="W58" s="11"/>
      <c r="X58" s="11"/>
      <c r="Y58" s="11"/>
      <c r="Z58" s="11"/>
      <c r="AA58" s="11"/>
      <c r="AB58" s="11"/>
      <c r="AC58" s="11"/>
    </row>
    <row r="59" spans="1:32" s="54" customFormat="1" ht="12.75" hidden="1" customHeight="1" outlineLevel="1" x14ac:dyDescent="0.2">
      <c r="A59" s="11"/>
      <c r="B59" s="153"/>
      <c r="C59" s="351">
        <v>-1.0000000000000009E-3</v>
      </c>
      <c r="D59" s="351">
        <v>-1.0000000000000009E-3</v>
      </c>
      <c r="E59" s="351">
        <v>-1.0000000000000009E-3</v>
      </c>
      <c r="F59" s="351">
        <v>-1.0000000000000009E-3</v>
      </c>
      <c r="G59" s="351">
        <v>-1.0000000000000009E-3</v>
      </c>
      <c r="H59" s="351">
        <v>-1.0000000000000009E-3</v>
      </c>
      <c r="I59" s="351">
        <v>-1.0000000000000009E-3</v>
      </c>
      <c r="J59" s="351">
        <v>-1.0000000000000009E-3</v>
      </c>
      <c r="K59" s="351">
        <v>-1.0000000000000009E-3</v>
      </c>
      <c r="L59" s="351">
        <v>-1.0000000000000009E-3</v>
      </c>
      <c r="M59" s="351">
        <v>-1.0000000000000009E-3</v>
      </c>
      <c r="N59" s="351">
        <v>-1.0000000000000009E-3</v>
      </c>
      <c r="O59" s="11">
        <v>0</v>
      </c>
      <c r="T59" s="11"/>
      <c r="U59" s="11"/>
      <c r="V59" s="11"/>
      <c r="W59" s="11"/>
      <c r="X59" s="11"/>
      <c r="Y59" s="11"/>
      <c r="Z59" s="11"/>
      <c r="AA59" s="11"/>
      <c r="AB59" s="11"/>
      <c r="AC59" s="11"/>
    </row>
    <row r="60" spans="1:32" s="54" customFormat="1" ht="12.75" customHeight="1" collapsed="1" x14ac:dyDescent="0.2">
      <c r="A60" s="11"/>
      <c r="B60" s="710"/>
      <c r="C60" s="711"/>
      <c r="D60" s="711"/>
      <c r="E60" s="711"/>
      <c r="F60" s="711"/>
      <c r="G60" s="711"/>
      <c r="H60" s="711"/>
      <c r="I60" s="711"/>
      <c r="J60" s="711"/>
      <c r="K60" s="711"/>
      <c r="L60" s="711"/>
      <c r="M60" s="711"/>
      <c r="N60" s="711"/>
      <c r="O60" s="711"/>
      <c r="P60" s="711"/>
      <c r="Q60" s="711"/>
      <c r="R60" s="711"/>
      <c r="S60" s="711"/>
      <c r="T60" s="11"/>
      <c r="U60" s="11"/>
      <c r="V60" s="11"/>
      <c r="W60" s="11"/>
      <c r="X60" s="11"/>
      <c r="Y60" s="11"/>
      <c r="Z60" s="11"/>
      <c r="AA60" s="11"/>
      <c r="AB60" s="11"/>
      <c r="AC60" s="11"/>
    </row>
    <row r="61" spans="1:32" s="54" customFormat="1" ht="12.75" customHeight="1" x14ac:dyDescent="0.2">
      <c r="A61" s="11"/>
      <c r="B61" s="679" t="s">
        <v>522</v>
      </c>
      <c r="C61" s="681"/>
      <c r="E61" s="969"/>
      <c r="F61" s="969"/>
      <c r="G61" s="154"/>
      <c r="J61" s="154"/>
      <c r="K61" s="154"/>
      <c r="L61" s="154"/>
      <c r="M61" s="154"/>
      <c r="N61" s="154"/>
      <c r="O61" s="154"/>
      <c r="P61" s="154"/>
      <c r="Q61" s="154"/>
      <c r="R61" s="154"/>
      <c r="S61" s="687"/>
      <c r="T61" s="154"/>
      <c r="U61"/>
      <c r="V61" s="11"/>
      <c r="W61" s="11"/>
      <c r="X61" s="11"/>
      <c r="Y61" s="11"/>
      <c r="Z61" s="11"/>
      <c r="AA61" s="11"/>
      <c r="AB61" s="11"/>
      <c r="AC61" s="11"/>
      <c r="AD61" s="11"/>
      <c r="AE61" s="11"/>
      <c r="AF61" s="11"/>
    </row>
    <row r="62" spans="1:32" s="54" customFormat="1" ht="12.75" customHeight="1" x14ac:dyDescent="0.2">
      <c r="A62" s="53"/>
      <c r="B62" s="486" t="s">
        <v>34</v>
      </c>
      <c r="C62" s="682">
        <f>SUM(E31:N31)</f>
        <v>6216.8704938564042</v>
      </c>
      <c r="E62" s="970"/>
      <c r="F62" s="971"/>
      <c r="G62" s="156"/>
      <c r="J62" s="156"/>
      <c r="K62" s="156"/>
      <c r="L62" s="156"/>
      <c r="M62" s="156"/>
      <c r="N62" s="156"/>
      <c r="O62" s="156"/>
      <c r="P62" s="156"/>
      <c r="Q62" s="156"/>
      <c r="R62" s="156"/>
      <c r="S62" s="156"/>
      <c r="T62" s="156"/>
      <c r="U62"/>
      <c r="V62" s="53"/>
      <c r="W62" s="53"/>
      <c r="X62" s="53"/>
      <c r="Y62" s="53"/>
      <c r="Z62" s="53"/>
      <c r="AA62" s="53"/>
      <c r="AB62" s="53"/>
      <c r="AC62" s="53"/>
      <c r="AD62" s="53"/>
      <c r="AE62" s="53"/>
      <c r="AF62" s="53"/>
    </row>
    <row r="63" spans="1:32" s="54" customFormat="1" ht="12.75" customHeight="1" x14ac:dyDescent="0.2">
      <c r="A63" s="53"/>
      <c r="B63" s="683" t="s">
        <v>35</v>
      </c>
      <c r="C63" s="682">
        <f>((O27*(1+C113)/(C104-C113))/(1+C104)^(O8+1))*O9</f>
        <v>16227.654878573163</v>
      </c>
      <c r="G63" s="156"/>
      <c r="H63" s="156"/>
      <c r="I63" s="156"/>
      <c r="J63" s="355"/>
      <c r="K63" s="156"/>
      <c r="L63" s="156"/>
      <c r="M63" s="156"/>
      <c r="N63" s="156"/>
      <c r="O63" s="156"/>
      <c r="P63" s="156"/>
      <c r="Q63" s="156"/>
      <c r="R63" s="156"/>
      <c r="S63" s="156"/>
      <c r="T63" s="156"/>
      <c r="U63"/>
      <c r="V63" s="53"/>
      <c r="W63" s="53"/>
      <c r="X63" s="53"/>
      <c r="Y63" s="53"/>
      <c r="Z63" s="53"/>
      <c r="AA63" s="53"/>
      <c r="AB63" s="53"/>
      <c r="AC63" s="53"/>
      <c r="AD63" s="53"/>
      <c r="AE63" s="53"/>
      <c r="AF63" s="53"/>
    </row>
    <row r="64" spans="1:32" s="54" customFormat="1" ht="12.75" customHeight="1" x14ac:dyDescent="0.2">
      <c r="A64" s="53"/>
      <c r="B64" s="683" t="s">
        <v>36</v>
      </c>
      <c r="C64" s="988">
        <v>0</v>
      </c>
      <c r="G64" s="156"/>
      <c r="H64" s="156"/>
      <c r="I64" s="156"/>
      <c r="J64" s="156"/>
      <c r="K64" s="156"/>
      <c r="L64" s="156"/>
      <c r="M64" s="156"/>
      <c r="N64" s="156"/>
      <c r="O64" s="156"/>
      <c r="P64" s="156"/>
      <c r="Q64" s="156"/>
      <c r="R64" s="156"/>
      <c r="S64" s="156"/>
      <c r="T64" s="156"/>
      <c r="U64"/>
      <c r="V64" s="53"/>
      <c r="W64" s="53"/>
      <c r="X64" s="53"/>
      <c r="Y64" s="53"/>
      <c r="Z64" s="53"/>
      <c r="AA64" s="53"/>
      <c r="AB64" s="53"/>
      <c r="AC64" s="53"/>
      <c r="AD64" s="53"/>
      <c r="AE64" s="53"/>
      <c r="AF64" s="53"/>
    </row>
    <row r="65" spans="1:32" s="54" customFormat="1" ht="12.75" customHeight="1" x14ac:dyDescent="0.2">
      <c r="A65" s="53"/>
      <c r="B65" s="684" t="s">
        <v>497</v>
      </c>
      <c r="C65" s="770">
        <f>46.7+12.8</f>
        <v>59.5</v>
      </c>
      <c r="G65" s="156"/>
      <c r="H65" s="355"/>
      <c r="I65" s="156"/>
      <c r="J65" s="156"/>
      <c r="K65" s="156"/>
      <c r="L65" s="156"/>
      <c r="M65" s="156"/>
      <c r="N65" s="156"/>
      <c r="O65" s="156"/>
      <c r="P65" s="156"/>
      <c r="Q65" s="156"/>
      <c r="R65" s="156"/>
      <c r="S65" s="156"/>
      <c r="T65" s="156"/>
      <c r="U65"/>
      <c r="V65" s="53"/>
      <c r="W65" s="53"/>
      <c r="X65" s="53"/>
      <c r="Y65" s="53"/>
      <c r="Z65" s="53"/>
      <c r="AA65" s="53"/>
      <c r="AB65" s="53"/>
      <c r="AC65" s="53"/>
      <c r="AD65" s="53"/>
      <c r="AE65" s="53"/>
      <c r="AF65" s="53"/>
    </row>
    <row r="66" spans="1:32" s="54" customFormat="1" ht="12.75" customHeight="1" x14ac:dyDescent="0.2">
      <c r="A66" s="53"/>
      <c r="B66" s="685" t="s">
        <v>37</v>
      </c>
      <c r="C66" s="682">
        <f>SUM(C62:C65)</f>
        <v>22504.025372429569</v>
      </c>
      <c r="G66" s="156"/>
      <c r="H66" s="156"/>
      <c r="I66" s="156"/>
      <c r="J66" s="156"/>
      <c r="K66" s="156"/>
      <c r="L66" s="156"/>
      <c r="M66" s="156"/>
      <c r="N66" s="156"/>
      <c r="O66" s="156"/>
      <c r="P66" s="156"/>
      <c r="Q66" s="156"/>
      <c r="R66" s="156"/>
      <c r="S66" s="156"/>
      <c r="T66" s="156"/>
      <c r="U66" s="53"/>
      <c r="V66" s="53"/>
      <c r="W66" s="53"/>
      <c r="X66" s="53"/>
      <c r="Y66" s="53"/>
      <c r="Z66" s="53"/>
      <c r="AA66" s="53"/>
      <c r="AB66" s="53"/>
      <c r="AC66" s="53"/>
      <c r="AD66" s="53"/>
      <c r="AE66" s="53"/>
      <c r="AF66" s="53"/>
    </row>
    <row r="67" spans="1:32" s="54" customFormat="1" ht="4.5" customHeight="1" x14ac:dyDescent="0.2">
      <c r="A67" s="53"/>
      <c r="B67" s="486"/>
      <c r="C67" s="682"/>
      <c r="G67" s="156"/>
      <c r="H67" s="11"/>
      <c r="I67" s="11"/>
      <c r="J67" s="11"/>
      <c r="K67" s="11"/>
      <c r="L67" s="11"/>
      <c r="M67" s="11"/>
      <c r="N67" s="11"/>
      <c r="O67" s="11"/>
      <c r="P67" s="11"/>
      <c r="Q67" s="11"/>
      <c r="R67" s="11"/>
      <c r="S67" s="11"/>
      <c r="T67" s="11"/>
      <c r="U67" s="53"/>
      <c r="V67" s="53"/>
      <c r="W67" s="53"/>
      <c r="X67" s="53"/>
      <c r="Y67" s="53"/>
      <c r="Z67" s="53"/>
      <c r="AA67" s="53"/>
      <c r="AB67" s="53"/>
      <c r="AC67" s="53"/>
      <c r="AD67" s="53"/>
      <c r="AE67" s="53"/>
      <c r="AF67" s="53"/>
    </row>
    <row r="68" spans="1:32" s="54" customFormat="1" ht="12.75" customHeight="1" x14ac:dyDescent="0.2">
      <c r="A68" s="53"/>
      <c r="B68" s="684" t="s">
        <v>44</v>
      </c>
      <c r="C68" s="913">
        <f>'Bal Sht'!BU46</f>
        <v>-715.56998942337384</v>
      </c>
      <c r="G68" s="156"/>
      <c r="H68" s="11"/>
      <c r="I68" s="11"/>
      <c r="J68" s="11"/>
      <c r="K68" s="11"/>
      <c r="L68" s="11"/>
      <c r="M68" s="11"/>
      <c r="N68" s="11"/>
      <c r="O68" s="11"/>
      <c r="P68" s="11"/>
      <c r="Q68" s="11"/>
      <c r="R68" s="11"/>
      <c r="S68" s="11"/>
      <c r="T68" s="11"/>
      <c r="U68" s="53"/>
      <c r="V68" s="53"/>
      <c r="W68" s="53"/>
      <c r="X68" s="53"/>
      <c r="Y68" s="53"/>
      <c r="Z68" s="53"/>
      <c r="AA68" s="53"/>
      <c r="AB68" s="53"/>
      <c r="AC68" s="53"/>
      <c r="AD68" s="53"/>
      <c r="AE68" s="53"/>
      <c r="AF68" s="53"/>
    </row>
    <row r="69" spans="1:32" s="54" customFormat="1" ht="12.75" customHeight="1" x14ac:dyDescent="0.2">
      <c r="A69" s="53"/>
      <c r="B69" s="685" t="s">
        <v>45</v>
      </c>
      <c r="C69" s="682">
        <f>C66-C68</f>
        <v>23219.595361852942</v>
      </c>
      <c r="G69" s="156"/>
      <c r="H69" s="11"/>
      <c r="I69" s="53"/>
      <c r="J69" s="11"/>
      <c r="K69" s="11"/>
      <c r="L69" s="11"/>
      <c r="M69" s="11"/>
      <c r="N69" s="11"/>
      <c r="O69" s="11"/>
      <c r="P69" s="11"/>
      <c r="Q69" s="11"/>
      <c r="R69" s="11"/>
      <c r="S69" s="11"/>
      <c r="T69" s="11"/>
      <c r="U69" s="53"/>
      <c r="V69" s="53"/>
      <c r="W69" s="53"/>
      <c r="X69" s="53"/>
      <c r="Y69" s="53"/>
      <c r="Z69" s="53"/>
      <c r="AA69" s="53"/>
      <c r="AB69" s="53"/>
      <c r="AC69" s="53"/>
      <c r="AD69" s="53"/>
      <c r="AE69" s="53"/>
      <c r="AF69" s="53"/>
    </row>
    <row r="70" spans="1:32" s="54" customFormat="1" ht="12.75" customHeight="1" x14ac:dyDescent="0.2">
      <c r="A70" s="53"/>
      <c r="B70" s="685" t="s">
        <v>416</v>
      </c>
      <c r="C70" s="912">
        <f>+'P&amp;L'!BU39</f>
        <v>80.403575077459351</v>
      </c>
      <c r="G70" s="156"/>
      <c r="H70" s="11"/>
      <c r="I70" s="11"/>
      <c r="J70" s="11"/>
      <c r="K70" s="11"/>
      <c r="L70" s="11"/>
      <c r="M70" s="11"/>
      <c r="N70" s="11"/>
      <c r="O70" s="11"/>
      <c r="P70" s="11"/>
      <c r="Q70" s="11"/>
      <c r="R70" s="11"/>
      <c r="S70" s="11"/>
      <c r="T70" s="11"/>
      <c r="U70" s="53"/>
      <c r="V70" s="53"/>
      <c r="W70" s="53"/>
      <c r="X70" s="53"/>
      <c r="Y70" s="53"/>
      <c r="Z70" s="53"/>
      <c r="AA70" s="53"/>
      <c r="AB70" s="53"/>
      <c r="AC70" s="53"/>
      <c r="AD70" s="53"/>
      <c r="AE70" s="53"/>
      <c r="AF70" s="53"/>
    </row>
    <row r="71" spans="1:32" s="54" customFormat="1" ht="12.75" customHeight="1" x14ac:dyDescent="0.2">
      <c r="A71" s="53"/>
      <c r="B71" s="686" t="s">
        <v>417</v>
      </c>
      <c r="C71" s="348">
        <f>C69/C70</f>
        <v>288.78809604527663</v>
      </c>
      <c r="H71" s="11"/>
      <c r="I71" s="11"/>
      <c r="J71" s="11"/>
      <c r="K71" s="11"/>
      <c r="L71" s="11"/>
      <c r="M71" s="11"/>
      <c r="N71" s="11"/>
      <c r="O71" s="11"/>
      <c r="P71" s="11"/>
      <c r="Q71" s="11"/>
      <c r="R71" s="11"/>
      <c r="S71" s="11"/>
      <c r="T71" s="11"/>
      <c r="V71" s="875"/>
      <c r="W71" s="53"/>
      <c r="X71" s="53"/>
      <c r="Y71" s="53"/>
      <c r="Z71" s="53"/>
      <c r="AA71" s="53"/>
      <c r="AB71" s="53"/>
      <c r="AC71" s="53"/>
      <c r="AD71" s="53"/>
      <c r="AE71" s="53"/>
      <c r="AF71" s="53"/>
    </row>
    <row r="72" spans="1:32" s="54" customFormat="1" ht="12.75" customHeight="1" x14ac:dyDescent="0.2">
      <c r="A72" s="53"/>
      <c r="B72" s="153"/>
      <c r="C72" s="155"/>
      <c r="D72" s="156"/>
      <c r="E72" s="156"/>
      <c r="F72" s="156"/>
      <c r="G72" s="156"/>
      <c r="H72" s="11"/>
      <c r="I72" s="11"/>
      <c r="J72" s="11"/>
      <c r="K72" s="11"/>
      <c r="L72" s="11"/>
      <c r="M72" s="11"/>
      <c r="N72" s="11"/>
      <c r="O72" s="11"/>
      <c r="P72" s="11"/>
      <c r="Q72" s="11"/>
      <c r="R72" s="11"/>
      <c r="S72" s="11"/>
      <c r="T72" s="11"/>
      <c r="U72" s="53"/>
      <c r="V72" s="53"/>
      <c r="W72" s="53"/>
      <c r="X72" s="53"/>
      <c r="Y72" s="53"/>
      <c r="Z72" s="53"/>
      <c r="AA72" s="53"/>
      <c r="AB72" s="53"/>
      <c r="AC72" s="53"/>
      <c r="AD72" s="53"/>
      <c r="AE72" s="53"/>
      <c r="AF72" s="53"/>
    </row>
    <row r="73" spans="1:32" s="54" customFormat="1" ht="12.75" hidden="1" customHeight="1" outlineLevel="1" x14ac:dyDescent="0.2">
      <c r="A73" s="53"/>
      <c r="B73" s="679" t="s">
        <v>532</v>
      </c>
      <c r="C73" s="681"/>
      <c r="E73" s="679" t="s">
        <v>533</v>
      </c>
      <c r="F73" s="680"/>
      <c r="G73" s="156"/>
      <c r="H73" s="156"/>
      <c r="I73" s="156"/>
      <c r="J73" s="156"/>
      <c r="K73" s="156"/>
      <c r="L73" s="156"/>
      <c r="M73" s="156"/>
      <c r="N73" s="156"/>
      <c r="O73" s="156"/>
      <c r="P73" s="156"/>
      <c r="Q73" s="156"/>
      <c r="R73" s="156"/>
      <c r="S73" s="156"/>
      <c r="T73" s="156"/>
      <c r="U73" s="53"/>
      <c r="V73" s="53"/>
      <c r="W73" s="53"/>
      <c r="X73" s="53"/>
      <c r="Y73" s="53"/>
      <c r="Z73" s="53"/>
      <c r="AA73" s="53"/>
      <c r="AB73" s="53"/>
      <c r="AC73" s="53"/>
      <c r="AD73" s="53"/>
      <c r="AE73" s="53"/>
      <c r="AF73" s="53"/>
    </row>
    <row r="74" spans="1:32" s="54" customFormat="1" ht="12.75" hidden="1" customHeight="1" outlineLevel="1" x14ac:dyDescent="0.2">
      <c r="A74" s="53"/>
      <c r="B74" s="486" t="s">
        <v>34</v>
      </c>
      <c r="C74" s="914">
        <v>892.15619688658251</v>
      </c>
      <c r="E74" s="894" t="s">
        <v>56</v>
      </c>
      <c r="F74" s="895">
        <v>8.410150000000001E-2</v>
      </c>
      <c r="G74" s="156"/>
      <c r="H74" s="156"/>
      <c r="I74" s="156"/>
      <c r="J74" s="156"/>
      <c r="K74" s="156"/>
      <c r="L74" s="156"/>
      <c r="M74" s="156"/>
      <c r="N74" s="156"/>
      <c r="O74" s="156"/>
      <c r="P74" s="156"/>
      <c r="Q74" s="156"/>
      <c r="R74" s="156"/>
      <c r="S74" s="156"/>
      <c r="T74" s="156"/>
      <c r="U74" s="53"/>
      <c r="V74" s="53"/>
      <c r="W74" s="53"/>
      <c r="X74" s="53"/>
      <c r="Y74" s="53"/>
      <c r="Z74" s="53"/>
      <c r="AA74" s="53"/>
      <c r="AB74" s="53"/>
      <c r="AC74" s="53"/>
      <c r="AD74" s="53"/>
      <c r="AE74" s="53"/>
      <c r="AF74" s="53"/>
    </row>
    <row r="75" spans="1:32" s="54" customFormat="1" ht="12.75" hidden="1" customHeight="1" outlineLevel="1" x14ac:dyDescent="0.2">
      <c r="A75" s="53"/>
      <c r="B75" s="683" t="s">
        <v>35</v>
      </c>
      <c r="C75" s="914">
        <v>2641.4911152093819</v>
      </c>
      <c r="G75" s="156"/>
      <c r="H75" s="156"/>
      <c r="I75" s="156"/>
      <c r="J75" s="156"/>
      <c r="K75" s="156"/>
      <c r="L75" s="156"/>
      <c r="M75" s="156"/>
      <c r="N75" s="156"/>
      <c r="O75" s="156"/>
      <c r="P75" s="156"/>
      <c r="Q75" s="156"/>
      <c r="R75" s="156"/>
      <c r="S75" s="156"/>
      <c r="T75" s="156"/>
      <c r="U75" s="53"/>
      <c r="V75" s="53"/>
      <c r="W75" s="53"/>
      <c r="X75" s="53"/>
      <c r="Y75" s="53"/>
      <c r="Z75" s="53"/>
      <c r="AA75" s="53"/>
      <c r="AB75" s="53"/>
      <c r="AC75" s="53"/>
      <c r="AD75" s="53"/>
      <c r="AE75" s="53"/>
      <c r="AF75" s="53"/>
    </row>
    <row r="76" spans="1:32" s="54" customFormat="1" ht="12.75" hidden="1" customHeight="1" outlineLevel="1" x14ac:dyDescent="0.2">
      <c r="A76" s="53"/>
      <c r="B76" s="896" t="s">
        <v>37</v>
      </c>
      <c r="C76" s="897">
        <f>SUM(C74:C75)</f>
        <v>3533.6473120959645</v>
      </c>
      <c r="G76" s="156"/>
      <c r="H76" s="156"/>
      <c r="I76" s="156"/>
      <c r="J76" s="156"/>
      <c r="K76" s="156"/>
      <c r="L76" s="156"/>
      <c r="M76" s="156"/>
      <c r="N76" s="156"/>
      <c r="O76" s="156"/>
      <c r="P76" s="156"/>
      <c r="Q76" s="156"/>
      <c r="R76" s="156"/>
      <c r="S76" s="156"/>
      <c r="T76" s="156"/>
      <c r="U76" s="53"/>
      <c r="V76" s="53"/>
      <c r="W76" s="53"/>
      <c r="X76" s="53"/>
      <c r="Y76" s="53"/>
      <c r="Z76" s="53"/>
      <c r="AA76" s="53"/>
      <c r="AB76" s="53"/>
      <c r="AC76" s="53"/>
      <c r="AD76" s="53"/>
      <c r="AE76" s="53"/>
      <c r="AF76" s="53"/>
    </row>
    <row r="77" spans="1:32" s="54" customFormat="1" ht="5.0999999999999996" hidden="1" customHeight="1" outlineLevel="1" x14ac:dyDescent="0.2">
      <c r="A77" s="53"/>
      <c r="B77" s="486"/>
      <c r="C77" s="682"/>
      <c r="G77" s="156"/>
      <c r="H77" s="156"/>
      <c r="I77" s="156"/>
      <c r="J77" s="156"/>
      <c r="K77" s="156"/>
      <c r="L77" s="156"/>
      <c r="M77" s="156"/>
      <c r="N77" s="156"/>
      <c r="O77" s="156"/>
      <c r="P77" s="156"/>
      <c r="Q77" s="156"/>
      <c r="R77" s="156"/>
      <c r="S77" s="156"/>
      <c r="T77" s="156"/>
      <c r="U77" s="53"/>
      <c r="V77" s="53"/>
      <c r="W77" s="53"/>
      <c r="X77" s="53"/>
      <c r="Y77" s="53"/>
      <c r="Z77" s="53"/>
      <c r="AA77" s="53"/>
      <c r="AB77" s="53"/>
      <c r="AC77" s="53"/>
      <c r="AD77" s="53"/>
      <c r="AE77" s="53"/>
      <c r="AF77" s="53"/>
    </row>
    <row r="78" spans="1:32" s="54" customFormat="1" ht="12.75" hidden="1" customHeight="1" outlineLevel="1" x14ac:dyDescent="0.2">
      <c r="A78" s="53"/>
      <c r="B78" s="685" t="s">
        <v>45</v>
      </c>
      <c r="C78" s="682">
        <f>+C76</f>
        <v>3533.6473120959645</v>
      </c>
      <c r="G78" s="156"/>
      <c r="H78" s="156"/>
      <c r="I78" s="156"/>
      <c r="J78" s="156"/>
      <c r="K78" s="156"/>
      <c r="L78" s="156"/>
      <c r="M78" s="156"/>
      <c r="N78" s="156"/>
      <c r="O78" s="156"/>
      <c r="P78" s="156"/>
      <c r="Q78" s="156"/>
      <c r="R78" s="156"/>
      <c r="S78" s="156"/>
      <c r="T78" s="156"/>
      <c r="U78" s="53"/>
      <c r="V78" s="53"/>
      <c r="W78" s="53"/>
      <c r="X78" s="53"/>
      <c r="Y78" s="53"/>
      <c r="Z78" s="53"/>
      <c r="AA78" s="53"/>
      <c r="AB78" s="53"/>
      <c r="AC78" s="53"/>
      <c r="AD78" s="53"/>
      <c r="AE78" s="53"/>
      <c r="AF78" s="53"/>
    </row>
    <row r="79" spans="1:32" s="54" customFormat="1" ht="12.75" hidden="1" customHeight="1" outlineLevel="1" x14ac:dyDescent="0.2">
      <c r="A79" s="53"/>
      <c r="B79" s="685" t="s">
        <v>416</v>
      </c>
      <c r="C79" s="912">
        <v>80.403575077459351</v>
      </c>
      <c r="G79" s="156"/>
      <c r="H79" s="156"/>
      <c r="I79" s="156"/>
      <c r="J79" s="156"/>
      <c r="K79" s="156"/>
      <c r="L79" s="156"/>
      <c r="M79" s="156"/>
      <c r="N79" s="156"/>
      <c r="O79" s="156"/>
      <c r="P79" s="156"/>
      <c r="Q79" s="156"/>
      <c r="R79" s="156"/>
      <c r="S79" s="156"/>
      <c r="T79" s="156"/>
      <c r="U79" s="53"/>
      <c r="V79" s="53"/>
      <c r="W79" s="53"/>
      <c r="X79" s="53"/>
      <c r="Y79" s="53"/>
      <c r="Z79" s="53"/>
      <c r="AA79" s="53"/>
      <c r="AB79" s="53"/>
      <c r="AC79" s="53"/>
      <c r="AD79" s="53"/>
      <c r="AE79" s="53"/>
      <c r="AF79" s="53"/>
    </row>
    <row r="80" spans="1:32" s="54" customFormat="1" ht="12.75" hidden="1" customHeight="1" outlineLevel="1" x14ac:dyDescent="0.2">
      <c r="A80" s="53"/>
      <c r="B80" s="686" t="s">
        <v>417</v>
      </c>
      <c r="C80" s="348">
        <f>C78/C79</f>
        <v>43.948882978048083</v>
      </c>
      <c r="G80" s="156"/>
      <c r="H80" s="156"/>
      <c r="I80" s="156"/>
      <c r="J80" s="156"/>
      <c r="K80" s="156"/>
      <c r="L80" s="156"/>
      <c r="M80" s="156"/>
      <c r="N80" s="156"/>
      <c r="O80" s="156"/>
      <c r="P80" s="156"/>
      <c r="Q80" s="156"/>
      <c r="R80" s="156"/>
      <c r="S80" s="156"/>
      <c r="T80" s="156"/>
      <c r="U80" s="53"/>
      <c r="V80" s="53"/>
      <c r="W80" s="53"/>
      <c r="X80" s="53"/>
      <c r="Y80" s="53"/>
      <c r="Z80" s="53"/>
      <c r="AA80" s="53"/>
      <c r="AB80" s="53"/>
      <c r="AC80" s="53"/>
      <c r="AD80" s="53"/>
      <c r="AE80" s="53"/>
      <c r="AF80" s="53"/>
    </row>
    <row r="81" spans="1:32" s="54" customFormat="1" ht="12.75" hidden="1" customHeight="1" outlineLevel="1" x14ac:dyDescent="0.2">
      <c r="A81" s="53"/>
      <c r="G81" s="156"/>
      <c r="H81" s="156"/>
      <c r="I81" s="156"/>
      <c r="J81" s="156"/>
      <c r="K81" s="156"/>
      <c r="L81" s="156"/>
      <c r="M81" s="156"/>
      <c r="N81" s="156"/>
      <c r="O81" s="156"/>
      <c r="P81" s="156"/>
      <c r="Q81" s="156"/>
      <c r="R81" s="156"/>
      <c r="S81" s="156"/>
      <c r="T81" s="156"/>
      <c r="U81" s="53"/>
      <c r="V81" s="53"/>
      <c r="W81" s="53"/>
      <c r="X81" s="53"/>
      <c r="Y81" s="53"/>
      <c r="Z81" s="53"/>
      <c r="AA81" s="53"/>
      <c r="AB81" s="53"/>
      <c r="AC81" s="53"/>
      <c r="AD81" s="53"/>
      <c r="AE81" s="53"/>
      <c r="AF81" s="53"/>
    </row>
    <row r="82" spans="1:32" s="54" customFormat="1" ht="12.75" hidden="1" customHeight="1" outlineLevel="1" x14ac:dyDescent="0.2">
      <c r="B82" s="953" t="s">
        <v>523</v>
      </c>
      <c r="C82" s="954"/>
      <c r="G82" s="156"/>
      <c r="H82" s="156"/>
      <c r="I82" s="156"/>
      <c r="J82" s="156"/>
      <c r="K82" s="156"/>
      <c r="L82" s="156"/>
      <c r="M82" s="156"/>
      <c r="N82" s="156"/>
      <c r="O82" s="156"/>
      <c r="P82" s="156"/>
      <c r="Q82" s="156"/>
      <c r="R82" s="156"/>
      <c r="S82" s="156"/>
      <c r="T82" s="156"/>
      <c r="U82" s="53"/>
      <c r="V82" s="53"/>
      <c r="W82" s="53"/>
      <c r="X82" s="53"/>
      <c r="Y82" s="53"/>
      <c r="Z82" s="53"/>
      <c r="AA82" s="53"/>
      <c r="AB82" s="53"/>
      <c r="AC82" s="53"/>
      <c r="AD82" s="53"/>
      <c r="AE82" s="53"/>
      <c r="AF82" s="53"/>
    </row>
    <row r="83" spans="1:32" s="54" customFormat="1" ht="12.75" hidden="1" customHeight="1" outlineLevel="1" x14ac:dyDescent="0.2">
      <c r="B83" s="955"/>
      <c r="C83" s="956"/>
      <c r="G83" s="156"/>
      <c r="H83" s="156"/>
      <c r="I83" s="156"/>
      <c r="J83" s="156"/>
      <c r="K83" s="156"/>
      <c r="L83" s="156"/>
      <c r="M83" s="156"/>
      <c r="N83" s="156"/>
      <c r="O83" s="156"/>
      <c r="P83" s="156"/>
      <c r="Q83" s="156"/>
      <c r="R83" s="156"/>
      <c r="S83" s="156"/>
      <c r="T83" s="156"/>
      <c r="U83" s="53"/>
      <c r="V83" s="53"/>
      <c r="W83" s="53"/>
      <c r="X83" s="53"/>
      <c r="Y83" s="53"/>
      <c r="Z83" s="53"/>
      <c r="AA83" s="53"/>
      <c r="AB83" s="53"/>
      <c r="AC83" s="53"/>
      <c r="AD83" s="53"/>
      <c r="AE83" s="53"/>
      <c r="AF83" s="53"/>
    </row>
    <row r="84" spans="1:32" s="54" customFormat="1" ht="12.75" hidden="1" customHeight="1" outlineLevel="1" x14ac:dyDescent="0.2">
      <c r="B84" s="957"/>
      <c r="C84" s="956"/>
      <c r="G84" s="156"/>
      <c r="H84" s="156"/>
      <c r="I84" s="156"/>
      <c r="J84" s="156"/>
      <c r="K84" s="156"/>
      <c r="L84" s="156"/>
      <c r="M84" s="156"/>
      <c r="N84" s="156"/>
      <c r="O84" s="156"/>
      <c r="P84" s="156"/>
      <c r="Q84" s="156"/>
      <c r="R84" s="156"/>
      <c r="S84" s="156"/>
      <c r="T84" s="156"/>
      <c r="U84" s="53"/>
      <c r="V84" s="53"/>
      <c r="W84" s="53"/>
      <c r="X84" s="53"/>
      <c r="Y84" s="53"/>
      <c r="Z84" s="53"/>
      <c r="AA84" s="53"/>
      <c r="AB84" s="53"/>
      <c r="AC84" s="53"/>
      <c r="AD84" s="53"/>
      <c r="AE84" s="53"/>
      <c r="AF84" s="53"/>
    </row>
    <row r="85" spans="1:32" s="159" customFormat="1" ht="12.75" hidden="1" customHeight="1" outlineLevel="1" x14ac:dyDescent="0.2">
      <c r="B85" s="957"/>
      <c r="C85" s="956"/>
      <c r="D85" s="54"/>
      <c r="E85" s="54"/>
      <c r="F85" s="54"/>
      <c r="G85" s="156"/>
      <c r="H85" s="156"/>
      <c r="I85" s="156"/>
      <c r="J85" s="156"/>
      <c r="K85" s="156"/>
      <c r="L85" s="156"/>
      <c r="M85" s="156"/>
      <c r="N85" s="156"/>
      <c r="O85" s="156"/>
      <c r="P85" s="156"/>
      <c r="Q85" s="156"/>
      <c r="R85" s="156"/>
      <c r="S85" s="156"/>
      <c r="T85" s="156"/>
      <c r="U85" s="160"/>
      <c r="V85" s="160"/>
      <c r="W85" s="160"/>
      <c r="X85" s="160"/>
      <c r="Y85" s="160"/>
      <c r="Z85" s="160"/>
      <c r="AA85" s="160"/>
      <c r="AB85" s="160"/>
      <c r="AC85" s="160"/>
      <c r="AD85" s="160"/>
      <c r="AE85" s="160"/>
      <c r="AF85" s="160"/>
    </row>
    <row r="86" spans="1:32" s="159" customFormat="1" ht="12.75" hidden="1" customHeight="1" outlineLevel="1" x14ac:dyDescent="0.2">
      <c r="B86" s="958"/>
      <c r="C86" s="959"/>
      <c r="D86" s="54"/>
      <c r="E86" s="54"/>
      <c r="F86" s="54"/>
      <c r="G86" s="156"/>
      <c r="H86" s="156"/>
      <c r="I86" s="156"/>
      <c r="J86" s="156"/>
      <c r="K86" s="156"/>
      <c r="L86" s="156"/>
      <c r="M86" s="156"/>
      <c r="N86" s="156"/>
      <c r="O86" s="156"/>
      <c r="P86" s="156"/>
      <c r="Q86" s="156"/>
      <c r="R86" s="156"/>
      <c r="S86" s="156"/>
      <c r="T86" s="156"/>
      <c r="U86" s="160"/>
      <c r="V86" s="160"/>
      <c r="W86" s="160"/>
      <c r="X86" s="160"/>
      <c r="Y86" s="160"/>
      <c r="Z86" s="160"/>
      <c r="AA86" s="160"/>
      <c r="AB86" s="160"/>
      <c r="AC86" s="160"/>
      <c r="AD86" s="160"/>
      <c r="AE86" s="160"/>
      <c r="AF86" s="160"/>
    </row>
    <row r="87" spans="1:32" s="159" customFormat="1" ht="12.75" hidden="1" customHeight="1" outlineLevel="1" x14ac:dyDescent="0.2">
      <c r="B87" s="960"/>
      <c r="C87" s="956"/>
      <c r="D87" s="54"/>
      <c r="E87" s="54"/>
      <c r="F87" s="54"/>
      <c r="G87" s="156"/>
      <c r="H87" s="156"/>
      <c r="I87" s="156"/>
      <c r="J87" s="156"/>
      <c r="K87" s="156"/>
      <c r="L87" s="156"/>
      <c r="M87" s="156"/>
      <c r="N87" s="156"/>
      <c r="O87" s="156"/>
      <c r="P87" s="156"/>
      <c r="Q87" s="156"/>
      <c r="R87" s="156"/>
      <c r="S87" s="156"/>
      <c r="T87" s="156"/>
      <c r="U87" s="160"/>
      <c r="V87" s="160"/>
      <c r="W87" s="160"/>
      <c r="X87" s="160"/>
      <c r="Y87" s="160"/>
      <c r="Z87" s="160"/>
      <c r="AA87" s="160"/>
      <c r="AB87" s="160"/>
      <c r="AC87" s="160"/>
      <c r="AD87" s="160"/>
      <c r="AE87" s="160"/>
      <c r="AF87" s="160"/>
    </row>
    <row r="88" spans="1:32" s="54" customFormat="1" ht="5.0999999999999996" hidden="1" customHeight="1" outlineLevel="1" x14ac:dyDescent="0.2">
      <c r="B88" s="955"/>
      <c r="C88" s="956"/>
      <c r="G88" s="156"/>
      <c r="H88" s="156"/>
      <c r="I88" s="156"/>
      <c r="J88" s="156"/>
      <c r="K88" s="156"/>
      <c r="L88" s="156"/>
      <c r="M88" s="156"/>
      <c r="N88" s="156"/>
      <c r="O88" s="156"/>
      <c r="P88" s="156"/>
      <c r="Q88" s="156"/>
      <c r="R88" s="156"/>
      <c r="S88" s="156"/>
      <c r="T88" s="156"/>
      <c r="U88" s="53"/>
      <c r="V88" s="53"/>
      <c r="W88" s="53"/>
      <c r="X88" s="53"/>
      <c r="Y88" s="53"/>
      <c r="Z88" s="53"/>
      <c r="AA88" s="53"/>
      <c r="AB88" s="53"/>
      <c r="AC88" s="53"/>
      <c r="AD88" s="53"/>
      <c r="AE88" s="53"/>
      <c r="AF88" s="53"/>
    </row>
    <row r="89" spans="1:32" s="54" customFormat="1" ht="12.75" hidden="1" customHeight="1" outlineLevel="1" x14ac:dyDescent="0.2">
      <c r="B89" s="958"/>
      <c r="C89" s="961"/>
      <c r="G89" s="156"/>
      <c r="H89" s="156"/>
      <c r="I89" s="156"/>
      <c r="J89" s="156"/>
      <c r="K89" s="156"/>
      <c r="L89" s="156"/>
      <c r="M89" s="156"/>
      <c r="N89" s="156"/>
      <c r="O89" s="156"/>
      <c r="P89" s="156"/>
      <c r="Q89" s="156"/>
      <c r="R89" s="156"/>
      <c r="S89" s="156"/>
      <c r="T89" s="156"/>
      <c r="U89" s="53"/>
      <c r="V89" s="53"/>
      <c r="W89" s="53"/>
      <c r="X89" s="53"/>
      <c r="Y89" s="53"/>
      <c r="Z89" s="53"/>
      <c r="AA89" s="53"/>
      <c r="AB89" s="53"/>
      <c r="AC89" s="53"/>
      <c r="AD89" s="53"/>
      <c r="AE89" s="53"/>
      <c r="AF89" s="53"/>
    </row>
    <row r="90" spans="1:32" s="54" customFormat="1" ht="12.75" hidden="1" customHeight="1" outlineLevel="1" x14ac:dyDescent="0.2">
      <c r="B90" s="960"/>
      <c r="C90" s="956"/>
      <c r="G90" s="156"/>
      <c r="H90" s="156"/>
      <c r="I90" s="156"/>
      <c r="J90" s="156"/>
      <c r="K90" s="156"/>
      <c r="L90" s="156"/>
      <c r="M90" s="156"/>
      <c r="N90" s="156"/>
      <c r="O90" s="156"/>
      <c r="P90" s="156"/>
      <c r="Q90" s="156"/>
      <c r="R90" s="156"/>
      <c r="S90" s="156"/>
      <c r="T90" s="156"/>
      <c r="U90" s="53"/>
      <c r="V90" s="53"/>
      <c r="W90" s="53"/>
      <c r="X90" s="53"/>
      <c r="Y90" s="53"/>
      <c r="Z90" s="53"/>
      <c r="AA90" s="53"/>
      <c r="AB90" s="53"/>
      <c r="AC90" s="53"/>
      <c r="AD90" s="53"/>
      <c r="AE90" s="53"/>
      <c r="AF90" s="53"/>
    </row>
    <row r="91" spans="1:32" s="54" customFormat="1" ht="12.75" hidden="1" customHeight="1" outlineLevel="1" x14ac:dyDescent="0.2">
      <c r="B91" s="960"/>
      <c r="C91" s="962"/>
      <c r="G91" s="156"/>
      <c r="H91" s="156"/>
      <c r="I91" s="156"/>
      <c r="J91" s="156"/>
      <c r="K91" s="156"/>
      <c r="L91" s="156"/>
      <c r="M91" s="156"/>
      <c r="N91" s="156"/>
      <c r="O91" s="156"/>
      <c r="P91" s="156"/>
      <c r="Q91" s="156"/>
      <c r="R91" s="156"/>
      <c r="S91" s="156"/>
      <c r="T91" s="156"/>
      <c r="U91" s="53"/>
      <c r="V91" s="53"/>
      <c r="W91" s="53"/>
      <c r="X91" s="53"/>
      <c r="Y91" s="53"/>
      <c r="Z91" s="53"/>
      <c r="AA91" s="53"/>
      <c r="AB91" s="53"/>
      <c r="AC91" s="53"/>
      <c r="AD91" s="53"/>
      <c r="AE91" s="53"/>
      <c r="AF91" s="53"/>
    </row>
    <row r="92" spans="1:32" s="54" customFormat="1" ht="12.75" hidden="1" customHeight="1" outlineLevel="1" x14ac:dyDescent="0.2">
      <c r="A92" s="53"/>
      <c r="B92" s="963"/>
      <c r="C92" s="964"/>
      <c r="G92" s="156"/>
      <c r="H92" s="156"/>
      <c r="I92" s="156"/>
      <c r="J92" s="156"/>
      <c r="K92" s="156"/>
      <c r="L92" s="156"/>
      <c r="M92" s="156"/>
      <c r="N92" s="156"/>
      <c r="O92" s="156"/>
      <c r="P92" s="156"/>
      <c r="Q92" s="156"/>
      <c r="R92" s="156"/>
      <c r="S92" s="156"/>
      <c r="T92" s="156"/>
      <c r="U92" s="53"/>
      <c r="V92" s="53"/>
      <c r="W92" s="53"/>
      <c r="X92" s="53"/>
      <c r="Y92" s="53"/>
      <c r="Z92" s="53"/>
      <c r="AA92" s="53"/>
      <c r="AB92" s="53"/>
      <c r="AC92" s="53"/>
      <c r="AD92" s="53"/>
      <c r="AE92" s="53"/>
      <c r="AF92" s="53"/>
    </row>
    <row r="93" spans="1:32" s="54" customFormat="1" ht="12.75" hidden="1" customHeight="1" outlineLevel="1" x14ac:dyDescent="0.2">
      <c r="A93" s="53"/>
      <c r="G93" s="156"/>
      <c r="H93" s="156"/>
      <c r="I93" s="156"/>
      <c r="J93" s="156"/>
      <c r="K93" s="156"/>
      <c r="L93" s="156"/>
      <c r="M93" s="156"/>
      <c r="N93" s="156"/>
      <c r="O93" s="156"/>
      <c r="P93" s="156"/>
      <c r="Q93" s="156"/>
      <c r="R93" s="156"/>
      <c r="S93" s="156"/>
      <c r="T93" s="156"/>
      <c r="U93" s="53"/>
      <c r="V93" s="53"/>
      <c r="W93" s="53"/>
      <c r="X93" s="53"/>
      <c r="Y93" s="53"/>
      <c r="Z93" s="53"/>
      <c r="AA93" s="53"/>
      <c r="AB93" s="53"/>
      <c r="AC93" s="53"/>
      <c r="AD93" s="53"/>
      <c r="AE93" s="53"/>
      <c r="AF93" s="53"/>
    </row>
    <row r="94" spans="1:32" s="54" customFormat="1" ht="12.75" customHeight="1" collapsed="1" x14ac:dyDescent="0.2">
      <c r="A94" s="53"/>
      <c r="B94" s="679" t="s">
        <v>531</v>
      </c>
      <c r="C94" s="680"/>
      <c r="D94" s="156"/>
      <c r="E94" s="156"/>
      <c r="F94" s="156"/>
      <c r="G94" s="156"/>
      <c r="H94" s="156"/>
      <c r="I94" s="156"/>
      <c r="J94" s="156"/>
      <c r="K94" s="156"/>
      <c r="L94" s="156"/>
      <c r="M94" s="156"/>
      <c r="N94" s="156"/>
      <c r="O94" s="156"/>
      <c r="P94" s="156"/>
      <c r="Q94" s="156"/>
      <c r="R94" s="156"/>
      <c r="S94" s="156"/>
      <c r="T94" s="156"/>
      <c r="U94" s="53"/>
      <c r="V94" s="53"/>
      <c r="W94" s="53"/>
      <c r="X94" s="53"/>
      <c r="Y94" s="53"/>
      <c r="Z94" s="53"/>
      <c r="AA94" s="53"/>
      <c r="AB94" s="53"/>
      <c r="AC94" s="53"/>
      <c r="AD94" s="53"/>
      <c r="AE94" s="53"/>
      <c r="AF94" s="53"/>
    </row>
    <row r="95" spans="1:32" s="54" customFormat="1" ht="12.75" customHeight="1" x14ac:dyDescent="0.2">
      <c r="A95" s="11"/>
      <c r="B95" s="486" t="s">
        <v>46</v>
      </c>
      <c r="C95" s="487">
        <v>1.2</v>
      </c>
      <c r="D95" s="156"/>
      <c r="E95" s="156"/>
      <c r="F95" s="156"/>
      <c r="G95" s="157"/>
      <c r="H95" s="157"/>
      <c r="I95" s="137"/>
      <c r="J95" s="137"/>
      <c r="K95" s="137"/>
      <c r="L95" s="137"/>
      <c r="M95" s="137"/>
      <c r="N95" s="137"/>
      <c r="O95" s="137"/>
      <c r="P95" s="137"/>
      <c r="Q95" s="137"/>
      <c r="R95" s="137"/>
      <c r="S95" s="137"/>
      <c r="T95" s="137"/>
      <c r="U95" s="11"/>
      <c r="V95" s="11"/>
      <c r="W95" s="11"/>
      <c r="X95" s="11"/>
      <c r="Y95" s="11"/>
      <c r="Z95" s="11"/>
      <c r="AA95" s="11"/>
      <c r="AB95" s="11"/>
      <c r="AC95" s="11"/>
      <c r="AD95" s="11"/>
      <c r="AE95" s="11"/>
      <c r="AF95" s="11"/>
    </row>
    <row r="96" spans="1:32" s="54" customFormat="1" ht="12.75" customHeight="1" x14ac:dyDescent="0.2">
      <c r="A96" s="11"/>
      <c r="B96" s="486" t="s">
        <v>410</v>
      </c>
      <c r="C96" s="695">
        <v>0.03</v>
      </c>
      <c r="D96" s="156"/>
      <c r="E96" s="156"/>
      <c r="F96" s="156"/>
      <c r="G96" s="157"/>
      <c r="H96" s="157"/>
      <c r="I96" s="137"/>
      <c r="J96" s="137"/>
      <c r="K96" s="137"/>
      <c r="L96" s="137"/>
      <c r="M96" s="137"/>
      <c r="N96" s="137"/>
      <c r="O96" s="137"/>
      <c r="P96" s="137"/>
      <c r="Q96" s="137"/>
      <c r="R96" s="137"/>
      <c r="S96" s="137"/>
      <c r="T96" s="137"/>
      <c r="U96" s="11"/>
      <c r="V96" s="11"/>
      <c r="W96" s="11"/>
      <c r="X96" s="11"/>
      <c r="Y96" s="11"/>
      <c r="Z96" s="11"/>
      <c r="AA96" s="11"/>
      <c r="AB96" s="11"/>
      <c r="AC96" s="11"/>
      <c r="AD96" s="11"/>
      <c r="AE96" s="11"/>
      <c r="AF96" s="11"/>
    </row>
    <row r="97" spans="1:33" s="54" customFormat="1" ht="12.75" customHeight="1" x14ac:dyDescent="0.2">
      <c r="A97" s="11"/>
      <c r="B97" s="486" t="s">
        <v>47</v>
      </c>
      <c r="C97" s="695">
        <v>0.05</v>
      </c>
      <c r="D97" s="156"/>
      <c r="E97" s="156"/>
      <c r="F97" s="156"/>
      <c r="G97" s="11"/>
      <c r="H97" s="11"/>
      <c r="I97" s="11"/>
      <c r="J97" s="11"/>
      <c r="K97" s="11"/>
      <c r="L97" s="11"/>
      <c r="M97" s="11"/>
      <c r="N97" s="11"/>
      <c r="O97" s="11"/>
      <c r="P97" s="11"/>
      <c r="Q97" s="11"/>
      <c r="R97" s="11"/>
      <c r="S97" s="11"/>
      <c r="T97" s="11"/>
      <c r="U97" s="11"/>
      <c r="V97" s="11"/>
      <c r="W97" s="11"/>
      <c r="X97" s="11"/>
      <c r="Y97"/>
      <c r="Z97"/>
      <c r="AA97"/>
      <c r="AB97"/>
      <c r="AC97"/>
      <c r="AD97"/>
      <c r="AE97"/>
      <c r="AF97"/>
      <c r="AG97"/>
    </row>
    <row r="98" spans="1:33" s="54" customFormat="1" ht="12.75" customHeight="1" x14ac:dyDescent="0.2">
      <c r="A98" s="11"/>
      <c r="B98" s="488" t="s">
        <v>48</v>
      </c>
      <c r="C98" s="489">
        <f>C96+(C95*C97)</f>
        <v>0.09</v>
      </c>
      <c r="D98" s="156"/>
      <c r="E98" s="156"/>
      <c r="F98" s="156"/>
      <c r="G98" s="11"/>
      <c r="H98" s="11"/>
      <c r="I98" s="11"/>
      <c r="J98" s="11"/>
      <c r="K98" s="11"/>
      <c r="L98" s="11"/>
      <c r="M98" s="11"/>
      <c r="N98" s="11"/>
      <c r="O98" s="11"/>
      <c r="P98" s="11"/>
      <c r="Q98" s="11"/>
      <c r="R98" s="11"/>
      <c r="S98" s="11"/>
      <c r="T98" s="11"/>
      <c r="U98" s="11"/>
      <c r="V98" s="11"/>
      <c r="W98" s="11"/>
      <c r="X98" s="11"/>
      <c r="Y98"/>
      <c r="Z98"/>
      <c r="AA98"/>
      <c r="AB98"/>
      <c r="AC98"/>
      <c r="AD98"/>
      <c r="AE98"/>
      <c r="AF98"/>
      <c r="AG98"/>
    </row>
    <row r="99" spans="1:33" s="54" customFormat="1" ht="12.75" customHeight="1" x14ac:dyDescent="0.2">
      <c r="A99" s="11"/>
      <c r="B99" s="486" t="s">
        <v>49</v>
      </c>
      <c r="C99" s="695">
        <v>0.05</v>
      </c>
      <c r="D99" s="156"/>
      <c r="E99" s="156"/>
      <c r="F99" s="156"/>
      <c r="G99" s="11"/>
      <c r="H99" s="11"/>
      <c r="I99" s="11"/>
      <c r="J99" s="11"/>
      <c r="K99" s="11"/>
      <c r="L99" s="11"/>
      <c r="M99" s="11"/>
      <c r="N99" s="11"/>
      <c r="O99" s="11"/>
      <c r="P99" s="11"/>
      <c r="Q99" s="11"/>
      <c r="R99" s="11"/>
      <c r="S99" s="11"/>
      <c r="T99" s="11"/>
      <c r="U99" s="11"/>
      <c r="V99" s="11"/>
      <c r="W99" s="11"/>
      <c r="X99" s="11"/>
      <c r="Y99"/>
      <c r="Z99"/>
      <c r="AA99"/>
      <c r="AB99"/>
      <c r="AC99"/>
      <c r="AD99"/>
      <c r="AE99"/>
      <c r="AF99"/>
      <c r="AG99"/>
    </row>
    <row r="100" spans="1:33" s="54" customFormat="1" ht="12.75" customHeight="1" x14ac:dyDescent="0.2">
      <c r="A100" s="11"/>
      <c r="B100" s="486" t="s">
        <v>50</v>
      </c>
      <c r="C100" s="490">
        <f>+'P&amp;L'!AB149</f>
        <v>0.37969999999999998</v>
      </c>
      <c r="D100" s="156"/>
      <c r="E100" s="156"/>
      <c r="F100" s="156"/>
      <c r="G100" s="11"/>
      <c r="H100" s="11"/>
      <c r="I100" s="11"/>
      <c r="J100" s="11"/>
      <c r="K100" s="11"/>
      <c r="L100" s="11"/>
      <c r="M100" s="11"/>
      <c r="N100" s="11"/>
      <c r="O100" s="11"/>
      <c r="P100" s="11"/>
      <c r="Q100" s="11"/>
      <c r="R100" s="11"/>
      <c r="S100" s="11"/>
      <c r="T100" s="11"/>
      <c r="U100" s="11"/>
      <c r="V100" s="11"/>
      <c r="W100" s="11"/>
      <c r="X100" s="11"/>
      <c r="Y100"/>
      <c r="Z100"/>
      <c r="AA100"/>
      <c r="AB100"/>
      <c r="AC100"/>
      <c r="AD100"/>
      <c r="AE100"/>
      <c r="AF100"/>
      <c r="AG100"/>
    </row>
    <row r="101" spans="1:33" s="54" customFormat="1" ht="12.75" customHeight="1" x14ac:dyDescent="0.2">
      <c r="A101" s="11"/>
      <c r="B101" s="488" t="s">
        <v>51</v>
      </c>
      <c r="C101" s="489">
        <f>C99*(1-C100)</f>
        <v>3.1015000000000004E-2</v>
      </c>
      <c r="D101" s="156"/>
      <c r="E101" s="156"/>
      <c r="F101" s="156"/>
      <c r="G101" s="11"/>
      <c r="H101" s="11"/>
      <c r="I101" s="11"/>
      <c r="J101" s="11"/>
      <c r="K101" s="11"/>
      <c r="L101" s="11"/>
      <c r="M101" s="11"/>
      <c r="N101" s="11"/>
      <c r="O101" s="11"/>
      <c r="P101" s="11"/>
      <c r="Q101" s="11"/>
      <c r="R101" s="11"/>
      <c r="S101" s="11"/>
      <c r="T101" s="11"/>
      <c r="U101" s="11"/>
      <c r="V101" s="11"/>
      <c r="W101" s="11"/>
      <c r="X101" s="11"/>
      <c r="Y101"/>
      <c r="Z101"/>
      <c r="AA101"/>
      <c r="AB101"/>
      <c r="AC101"/>
      <c r="AD101"/>
      <c r="AE101"/>
      <c r="AF101"/>
      <c r="AG101"/>
    </row>
    <row r="102" spans="1:33" s="54" customFormat="1" ht="12.75" customHeight="1" x14ac:dyDescent="0.2">
      <c r="A102" s="11"/>
      <c r="B102" s="486" t="s">
        <v>52</v>
      </c>
      <c r="C102" s="491">
        <v>0.2</v>
      </c>
      <c r="D102" s="156"/>
      <c r="E102" s="156"/>
      <c r="F102" s="156"/>
      <c r="G102" s="11"/>
      <c r="H102" s="11"/>
      <c r="I102" s="11"/>
      <c r="J102" s="11"/>
      <c r="K102" s="11"/>
      <c r="L102" s="11"/>
      <c r="M102" s="11"/>
      <c r="N102" s="11"/>
      <c r="O102" s="11"/>
      <c r="P102" s="11"/>
      <c r="Q102" s="11"/>
      <c r="R102" s="11"/>
      <c r="S102" s="11"/>
      <c r="T102" s="11"/>
      <c r="U102" s="11"/>
      <c r="V102" s="11"/>
      <c r="W102" s="11"/>
      <c r="X102" s="11"/>
      <c r="Y102"/>
      <c r="Z102"/>
      <c r="AA102"/>
      <c r="AB102"/>
      <c r="AC102"/>
      <c r="AD102"/>
      <c r="AE102"/>
      <c r="AF102"/>
      <c r="AG102"/>
    </row>
    <row r="103" spans="1:33" s="54" customFormat="1" ht="12.75" customHeight="1" x14ac:dyDescent="0.2">
      <c r="A103" s="11"/>
      <c r="B103" s="486" t="s">
        <v>53</v>
      </c>
      <c r="C103" s="490">
        <f>1-C102</f>
        <v>0.8</v>
      </c>
      <c r="D103" s="156"/>
      <c r="E103" s="156"/>
      <c r="F103" s="156"/>
      <c r="G103" s="11"/>
      <c r="H103" s="11"/>
      <c r="I103" s="11"/>
      <c r="J103" s="11"/>
      <c r="K103" s="11"/>
      <c r="L103" s="11"/>
      <c r="M103" s="11"/>
      <c r="N103" s="11"/>
      <c r="O103" s="11"/>
      <c r="P103" s="11"/>
      <c r="Q103" s="11"/>
      <c r="R103" s="11"/>
      <c r="S103" s="11"/>
      <c r="T103" s="11"/>
      <c r="U103" s="11"/>
      <c r="V103" s="11"/>
      <c r="W103" s="11"/>
      <c r="X103" s="11"/>
      <c r="Y103"/>
      <c r="Z103"/>
      <c r="AA103"/>
      <c r="AB103"/>
      <c r="AC103"/>
      <c r="AD103"/>
      <c r="AE103"/>
      <c r="AF103"/>
      <c r="AG103"/>
    </row>
    <row r="104" spans="1:33" s="54" customFormat="1" ht="12.75" customHeight="1" x14ac:dyDescent="0.2">
      <c r="A104" s="11"/>
      <c r="B104" s="894" t="s">
        <v>56</v>
      </c>
      <c r="C104" s="895">
        <f>C102*C101+C103*C98</f>
        <v>7.8202999999999995E-2</v>
      </c>
      <c r="D104" s="156"/>
      <c r="E104" s="156"/>
      <c r="F104" s="156"/>
      <c r="G104" s="11"/>
      <c r="H104" s="11"/>
      <c r="I104" s="11"/>
      <c r="J104" s="11"/>
      <c r="K104" s="11"/>
      <c r="L104" s="11"/>
      <c r="M104" s="11"/>
      <c r="N104" s="11"/>
      <c r="O104" s="11"/>
      <c r="P104" s="11"/>
      <c r="Q104" s="11"/>
      <c r="R104" s="11"/>
      <c r="S104" s="11"/>
      <c r="T104" s="11"/>
      <c r="U104" s="11"/>
      <c r="V104" s="11"/>
      <c r="W104" s="11"/>
      <c r="X104" s="11"/>
      <c r="Y104"/>
      <c r="Z104"/>
      <c r="AA104"/>
      <c r="AB104"/>
      <c r="AC104"/>
      <c r="AD104"/>
      <c r="AE104"/>
      <c r="AF104"/>
      <c r="AG104"/>
    </row>
    <row r="105" spans="1:33" s="54" customFormat="1" ht="3" customHeight="1" x14ac:dyDescent="0.2">
      <c r="A105" s="11"/>
      <c r="B105" s="153"/>
      <c r="C105" s="155"/>
      <c r="D105" s="156"/>
      <c r="E105" s="156"/>
      <c r="F105" s="156"/>
      <c r="G105" s="11"/>
      <c r="H105" s="11"/>
      <c r="I105" s="11"/>
      <c r="J105" s="11"/>
      <c r="K105" s="11"/>
      <c r="L105" s="11"/>
      <c r="M105" s="11"/>
      <c r="N105" s="11"/>
      <c r="O105" s="11"/>
      <c r="P105" s="11"/>
      <c r="Q105" s="11"/>
      <c r="R105" s="11"/>
      <c r="S105" s="11"/>
      <c r="T105" s="11"/>
      <c r="U105" s="11"/>
      <c r="V105" s="11"/>
      <c r="W105" s="11"/>
      <c r="X105" s="11"/>
      <c r="Y105"/>
      <c r="Z105"/>
      <c r="AA105"/>
      <c r="AB105"/>
      <c r="AC105"/>
      <c r="AD105"/>
      <c r="AE105"/>
      <c r="AF105"/>
      <c r="AG105"/>
    </row>
    <row r="106" spans="1:33" s="54" customFormat="1" ht="12.75" customHeight="1" x14ac:dyDescent="0.2">
      <c r="A106" s="11"/>
      <c r="B106" s="679" t="s">
        <v>54</v>
      </c>
      <c r="C106" s="680"/>
      <c r="D106" s="156"/>
      <c r="E106" s="156"/>
      <c r="F106" s="156"/>
      <c r="G106" s="137"/>
      <c r="H106" s="137"/>
      <c r="I106" s="137"/>
      <c r="J106" s="137"/>
      <c r="K106" s="137"/>
      <c r="L106" s="137"/>
      <c r="M106" s="137"/>
      <c r="N106" s="137"/>
      <c r="O106" s="137"/>
      <c r="P106" s="137"/>
      <c r="Q106" s="137"/>
      <c r="R106" s="137"/>
      <c r="S106" s="137"/>
      <c r="T106" s="137"/>
      <c r="U106" s="11"/>
      <c r="V106" s="11"/>
      <c r="W106" s="11"/>
      <c r="X106" s="11"/>
      <c r="Y106"/>
      <c r="Z106"/>
      <c r="AA106"/>
      <c r="AB106"/>
      <c r="AC106"/>
      <c r="AD106"/>
      <c r="AE106"/>
      <c r="AF106"/>
      <c r="AG106"/>
    </row>
    <row r="107" spans="1:33" ht="12.75" customHeight="1" x14ac:dyDescent="0.2">
      <c r="B107" s="492" t="s">
        <v>482</v>
      </c>
      <c r="C107" s="750">
        <v>-0.01</v>
      </c>
      <c r="D107" s="156"/>
      <c r="E107" s="156"/>
      <c r="F107" s="156"/>
    </row>
    <row r="108" spans="1:33" ht="12.75" customHeight="1" x14ac:dyDescent="0.2">
      <c r="B108" s="486" t="s">
        <v>485</v>
      </c>
      <c r="C108" s="695">
        <v>0</v>
      </c>
      <c r="D108" s="156"/>
      <c r="E108" s="156"/>
      <c r="F108" s="156"/>
    </row>
    <row r="109" spans="1:33" ht="12.75" customHeight="1" x14ac:dyDescent="0.2">
      <c r="B109" s="486" t="s">
        <v>484</v>
      </c>
      <c r="C109" s="695">
        <v>0.04</v>
      </c>
      <c r="D109" s="156"/>
      <c r="E109" s="156"/>
      <c r="F109" s="156"/>
    </row>
    <row r="110" spans="1:33" ht="12.75" customHeight="1" x14ac:dyDescent="0.2">
      <c r="B110" s="486" t="s">
        <v>486</v>
      </c>
      <c r="C110" s="695">
        <v>-5.0000000000000001E-3</v>
      </c>
      <c r="D110" s="156"/>
      <c r="E110" s="156"/>
      <c r="F110" s="156"/>
    </row>
    <row r="111" spans="1:33" ht="12.75" customHeight="1" x14ac:dyDescent="0.2">
      <c r="B111" s="486" t="s">
        <v>487</v>
      </c>
      <c r="C111" s="695">
        <v>-0.05</v>
      </c>
      <c r="D111" s="156"/>
      <c r="E111" s="156"/>
      <c r="F111" s="156"/>
    </row>
    <row r="112" spans="1:33" ht="12.75" customHeight="1" x14ac:dyDescent="0.2">
      <c r="B112" s="486" t="s">
        <v>483</v>
      </c>
      <c r="C112" s="695">
        <v>4.2500000000000003E-2</v>
      </c>
      <c r="D112" s="156"/>
      <c r="E112" s="156"/>
      <c r="F112" s="156"/>
    </row>
    <row r="113" spans="2:6" ht="12.75" customHeight="1" x14ac:dyDescent="0.2">
      <c r="B113" s="493" t="s">
        <v>55</v>
      </c>
      <c r="C113" s="767">
        <v>3.7999999999999999E-2</v>
      </c>
      <c r="D113" s="156"/>
      <c r="E113" s="156"/>
      <c r="F113" s="156"/>
    </row>
    <row r="114" spans="2:6" ht="12.75" customHeight="1" x14ac:dyDescent="0.2">
      <c r="B114" s="153"/>
      <c r="C114" s="155"/>
      <c r="D114" s="156"/>
      <c r="E114" s="156"/>
      <c r="F114" s="156"/>
    </row>
    <row r="115" spans="2:6" ht="12.75" customHeight="1" x14ac:dyDescent="0.2">
      <c r="B115" s="153"/>
      <c r="C115" s="155"/>
      <c r="D115" s="156"/>
      <c r="E115" s="156"/>
      <c r="F115" s="156"/>
    </row>
    <row r="116" spans="2:6" ht="12.75" customHeight="1" x14ac:dyDescent="0.2">
      <c r="B116" s="153"/>
      <c r="C116" s="155"/>
      <c r="D116" s="156"/>
      <c r="E116" s="156"/>
      <c r="F116" s="156"/>
    </row>
    <row r="117" spans="2:6" ht="12.75" customHeight="1" x14ac:dyDescent="0.2">
      <c r="B117" s="153"/>
      <c r="C117" s="155"/>
      <c r="D117" s="156"/>
      <c r="E117" s="156"/>
      <c r="F117" s="156"/>
    </row>
    <row r="118" spans="2:6" ht="12.75" customHeight="1" x14ac:dyDescent="0.2">
      <c r="B118" s="679" t="s">
        <v>411</v>
      </c>
      <c r="C118" s="692" t="s">
        <v>412</v>
      </c>
      <c r="D118" s="692" t="s">
        <v>414</v>
      </c>
      <c r="E118" s="692" t="s">
        <v>415</v>
      </c>
      <c r="F118" s="692" t="s">
        <v>362</v>
      </c>
    </row>
    <row r="119" spans="2:6" ht="12.75" customHeight="1" x14ac:dyDescent="0.2">
      <c r="B119" s="486" t="s">
        <v>411</v>
      </c>
      <c r="C119" s="693">
        <f>+'Cash Flow'!BH71</f>
        <v>2.0110000000000001</v>
      </c>
      <c r="D119" s="689">
        <f>+'Cash Flow'!BG72</f>
        <v>64.919409478804965</v>
      </c>
      <c r="E119" s="693">
        <f>+(D119/D121)*C119</f>
        <v>0.98160099595396089</v>
      </c>
      <c r="F119" s="693">
        <f>+C119-E119</f>
        <v>1.0293990040460392</v>
      </c>
    </row>
    <row r="120" spans="2:6" ht="12.75" customHeight="1" x14ac:dyDescent="0.2">
      <c r="B120" s="157"/>
      <c r="C120" s="137"/>
      <c r="D120" s="137"/>
      <c r="E120" s="694"/>
      <c r="F120" s="157"/>
    </row>
    <row r="121" spans="2:6" ht="12.75" customHeight="1" x14ac:dyDescent="0.2">
      <c r="B121" s="690" t="s">
        <v>413</v>
      </c>
      <c r="C121" s="691"/>
      <c r="D121" s="751">
        <v>133</v>
      </c>
      <c r="E121" s="11"/>
      <c r="F121" s="11"/>
    </row>
  </sheetData>
  <phoneticPr fontId="13" type="noConversion"/>
  <printOptions horizontalCentered="1" verticalCentered="1"/>
  <pageMargins left="0" right="0" top="0" bottom="0" header="0" footer="0"/>
  <pageSetup paperSize="5" scale="29" orientation="landscape" r:id="rId1"/>
  <headerFooter alignWithMargins="0"/>
  <ignoredErrors>
    <ignoredError sqref="S2:S5 C2:P5 C14:P22 C26:P34 O23:P25 C63:P64 D12:O12 C69:P69 D68:K68 M68:P68 C97:P101 D95:P95 C93:P94 D92 F92:P92 C71:P73 D70:P70 C67:P67 C66:F66 H66:P66 D83:P91 C61:D61 G61:P62 C109:P109 D108:P108 D111:P111 D110:P110 D65:P65 C103:P107 D102:P102 C45:P45 P42 D62 C96:I96 K96:P96 P41 P35 P36 P37 O38:P38 O39:P39 O40:P40 P43 P44 C50:P50 P46 P47 P48 P49 C60:P60 P51 P52 P53 P54 P55 P56 P57 P58 P59 C76:P78 D74:E74 G74:P74 D75:P75 C80:P82 D79:P79" unlockedFormula="1"/>
    <ignoredError sqref="C23:N25" formula="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66</xdr:col>
                    <xdr:colOff>114300</xdr:colOff>
                    <xdr:row>123</xdr:row>
                    <xdr:rowOff>19050</xdr:rowOff>
                  </from>
                  <to>
                    <xdr:col>67</xdr:col>
                    <xdr:colOff>381000</xdr:colOff>
                    <xdr:row>124</xdr:row>
                    <xdr:rowOff>57150</xdr:rowOff>
                  </to>
                </anchor>
              </controlPr>
            </control>
          </mc:Choice>
        </mc:AlternateContent>
        <mc:AlternateContent xmlns:mc="http://schemas.openxmlformats.org/markup-compatibility/2006">
          <mc:Choice Requires="x14">
            <control shapeId="6150" r:id="rId5" name="Drop Down 6">
              <controlPr defaultSize="0" autoLine="0" autoPict="0">
                <anchor moveWithCells="1">
                  <from>
                    <xdr:col>1</xdr:col>
                    <xdr:colOff>190500</xdr:colOff>
                    <xdr:row>3</xdr:row>
                    <xdr:rowOff>66675</xdr:rowOff>
                  </from>
                  <to>
                    <xdr:col>1</xdr:col>
                    <xdr:colOff>1066800</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43"/>
  <sheetViews>
    <sheetView workbookViewId="0">
      <selection activeCell="B42" sqref="B42"/>
    </sheetView>
  </sheetViews>
  <sheetFormatPr defaultRowHeight="12.75" x14ac:dyDescent="0.2"/>
  <cols>
    <col min="1" max="1" width="29.5703125" style="1" bestFit="1" customWidth="1"/>
    <col min="2" max="2" width="19.85546875" style="1028"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x14ac:dyDescent="0.2">
      <c r="A1" s="1" t="s">
        <v>891</v>
      </c>
      <c r="B1" s="1027">
        <v>6.1</v>
      </c>
    </row>
    <row r="2" spans="1:2" x14ac:dyDescent="0.2">
      <c r="A2" s="1" t="s">
        <v>892</v>
      </c>
      <c r="B2" s="1031">
        <v>43216.741770833331</v>
      </c>
    </row>
    <row r="3" spans="1:2" x14ac:dyDescent="0.2">
      <c r="A3" s="1" t="s">
        <v>893</v>
      </c>
      <c r="B3" s="1028" t="s">
        <v>592</v>
      </c>
    </row>
    <row r="4" spans="1:2" x14ac:dyDescent="0.2">
      <c r="A4" s="1" t="s">
        <v>894</v>
      </c>
      <c r="B4" s="1028" t="s">
        <v>420</v>
      </c>
    </row>
    <row r="5" spans="1:2" x14ac:dyDescent="0.2">
      <c r="A5" s="1" t="s">
        <v>895</v>
      </c>
      <c r="B5" s="1028" t="s">
        <v>308</v>
      </c>
    </row>
    <row r="6" spans="1:2" x14ac:dyDescent="0.2">
      <c r="A6" s="1" t="s">
        <v>896</v>
      </c>
    </row>
    <row r="7" spans="1:2" x14ac:dyDescent="0.2">
      <c r="A7" s="1" t="s">
        <v>897</v>
      </c>
      <c r="B7" s="1028" t="s">
        <v>201</v>
      </c>
    </row>
    <row r="8" spans="1:2" x14ac:dyDescent="0.2">
      <c r="A8" s="1" t="s">
        <v>898</v>
      </c>
      <c r="B8" s="1028" t="s">
        <v>899</v>
      </c>
    </row>
    <row r="9" spans="1:2" x14ac:dyDescent="0.2">
      <c r="A9" s="1" t="s">
        <v>900</v>
      </c>
      <c r="B9" s="1028" t="s">
        <v>936</v>
      </c>
    </row>
    <row r="10" spans="1:2" x14ac:dyDescent="0.2">
      <c r="A10" s="1" t="s">
        <v>901</v>
      </c>
    </row>
    <row r="11" spans="1:2" x14ac:dyDescent="0.2">
      <c r="A11" s="1" t="s">
        <v>902</v>
      </c>
    </row>
    <row r="12" spans="1:2" x14ac:dyDescent="0.2">
      <c r="A12" s="1" t="s">
        <v>903</v>
      </c>
    </row>
    <row r="13" spans="1:2" x14ac:dyDescent="0.2">
      <c r="A13" s="1" t="s">
        <v>904</v>
      </c>
    </row>
    <row r="14" spans="1:2" x14ac:dyDescent="0.2">
      <c r="A14" s="1" t="s">
        <v>905</v>
      </c>
    </row>
    <row r="15" spans="1:2" x14ac:dyDescent="0.2">
      <c r="A15" s="1" t="s">
        <v>906</v>
      </c>
    </row>
    <row r="16" spans="1:2" x14ac:dyDescent="0.2">
      <c r="A16" s="1" t="s">
        <v>907</v>
      </c>
    </row>
    <row r="17" spans="1:4" x14ac:dyDescent="0.2">
      <c r="A17" s="1" t="s">
        <v>908</v>
      </c>
      <c r="B17" s="1028" t="s">
        <v>937</v>
      </c>
    </row>
    <row r="18" spans="1:4" x14ac:dyDescent="0.2">
      <c r="A18" s="1" t="s">
        <v>909</v>
      </c>
      <c r="B18" s="1028" t="s">
        <v>593</v>
      </c>
    </row>
    <row r="19" spans="1:4" x14ac:dyDescent="0.2">
      <c r="A19" s="1" t="s">
        <v>910</v>
      </c>
      <c r="B19" s="1028" t="s">
        <v>190</v>
      </c>
    </row>
    <row r="20" spans="1:4" x14ac:dyDescent="0.2">
      <c r="A20" s="1" t="s">
        <v>911</v>
      </c>
      <c r="B20" s="1029">
        <v>16255101</v>
      </c>
    </row>
    <row r="21" spans="1:4" x14ac:dyDescent="0.2">
      <c r="A21" s="1" t="s">
        <v>912</v>
      </c>
      <c r="B21" s="1028" t="s">
        <v>190</v>
      </c>
    </row>
    <row r="22" spans="1:4" x14ac:dyDescent="0.2">
      <c r="A22" s="1" t="s">
        <v>913</v>
      </c>
      <c r="B22" s="1029">
        <v>2679204</v>
      </c>
    </row>
    <row r="23" spans="1:4" x14ac:dyDescent="0.2">
      <c r="A23" s="1" t="s">
        <v>92</v>
      </c>
      <c r="B23" s="1027">
        <v>259.89</v>
      </c>
    </row>
    <row r="24" spans="1:4" x14ac:dyDescent="0.2">
      <c r="A24" s="1" t="s">
        <v>91</v>
      </c>
      <c r="B24" s="1028" t="s">
        <v>355</v>
      </c>
      <c r="D24" s="1" t="s">
        <v>544</v>
      </c>
    </row>
    <row r="25" spans="1:4" x14ac:dyDescent="0.2">
      <c r="A25" s="1" t="s">
        <v>914</v>
      </c>
      <c r="B25" s="1028" t="s">
        <v>940</v>
      </c>
    </row>
    <row r="26" spans="1:4" x14ac:dyDescent="0.2">
      <c r="A26" s="1" t="s">
        <v>915</v>
      </c>
      <c r="B26" s="1028">
        <v>0</v>
      </c>
    </row>
    <row r="27" spans="1:4" x14ac:dyDescent="0.2">
      <c r="A27" s="1" t="s">
        <v>916</v>
      </c>
      <c r="B27" s="1028" t="s">
        <v>917</v>
      </c>
    </row>
    <row r="28" spans="1:4" x14ac:dyDescent="0.2">
      <c r="A28" s="1" t="s">
        <v>918</v>
      </c>
      <c r="B28" s="1028" t="s">
        <v>919</v>
      </c>
    </row>
    <row r="29" spans="1:4" x14ac:dyDescent="0.2">
      <c r="A29" s="1" t="s">
        <v>920</v>
      </c>
    </row>
    <row r="30" spans="1:4" x14ac:dyDescent="0.2">
      <c r="A30" s="1" t="s">
        <v>921</v>
      </c>
    </row>
    <row r="31" spans="1:4" x14ac:dyDescent="0.2">
      <c r="A31" s="1" t="s">
        <v>922</v>
      </c>
    </row>
    <row r="32" spans="1:4" x14ac:dyDescent="0.2">
      <c r="A32" s="1" t="s">
        <v>923</v>
      </c>
      <c r="B32" s="1027"/>
    </row>
    <row r="33" spans="1:2" x14ac:dyDescent="0.2">
      <c r="A33" s="1" t="s">
        <v>924</v>
      </c>
      <c r="B33" s="1027"/>
    </row>
    <row r="34" spans="1:2" x14ac:dyDescent="0.2">
      <c r="A34" s="1" t="s">
        <v>925</v>
      </c>
      <c r="B34" s="1027"/>
    </row>
    <row r="35" spans="1:2" x14ac:dyDescent="0.2">
      <c r="A35" s="1" t="s">
        <v>496</v>
      </c>
      <c r="B35" s="1028">
        <v>1000000</v>
      </c>
    </row>
    <row r="36" spans="1:2" x14ac:dyDescent="0.2">
      <c r="A36" s="1" t="s">
        <v>926</v>
      </c>
      <c r="B36" s="1028" t="s">
        <v>938</v>
      </c>
    </row>
    <row r="37" spans="1:2" x14ac:dyDescent="0.2">
      <c r="A37" s="1" t="s">
        <v>927</v>
      </c>
      <c r="B37" s="1028" t="s">
        <v>928</v>
      </c>
    </row>
    <row r="38" spans="1:2" x14ac:dyDescent="0.2">
      <c r="A38" s="1" t="s">
        <v>929</v>
      </c>
      <c r="B38" s="1028" t="s">
        <v>930</v>
      </c>
    </row>
    <row r="39" spans="1:2" x14ac:dyDescent="0.2">
      <c r="A39" s="1" t="s">
        <v>931</v>
      </c>
      <c r="B39" s="1028" t="s">
        <v>939</v>
      </c>
    </row>
    <row r="40" spans="1:2" x14ac:dyDescent="0.2">
      <c r="A40" s="1" t="s">
        <v>932</v>
      </c>
      <c r="B40" s="1028">
        <v>1500005486</v>
      </c>
    </row>
    <row r="41" spans="1:2" x14ac:dyDescent="0.2">
      <c r="A41" s="1" t="s">
        <v>933</v>
      </c>
      <c r="B41" s="1028">
        <v>1</v>
      </c>
    </row>
    <row r="42" spans="1:2" x14ac:dyDescent="0.2">
      <c r="A42" s="1030" t="s">
        <v>934</v>
      </c>
    </row>
    <row r="43" spans="1:2" x14ac:dyDescent="0.2">
      <c r="A43" s="1" t="s">
        <v>935</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3"/>
  <sheetViews>
    <sheetView workbookViewId="0">
      <selection activeCell="E11" sqref="E11"/>
    </sheetView>
  </sheetViews>
  <sheetFormatPr defaultRowHeight="12.75" x14ac:dyDescent="0.2"/>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x14ac:dyDescent="0.2">
      <c r="A1" s="1032" t="s">
        <v>941</v>
      </c>
    </row>
    <row r="2" spans="1:1" x14ac:dyDescent="0.2">
      <c r="A2" s="1032" t="s">
        <v>946</v>
      </c>
    </row>
    <row r="3" spans="1:1" x14ac:dyDescent="0.2">
      <c r="A3" s="1032" t="s">
        <v>947</v>
      </c>
    </row>
    <row r="4" spans="1:1" x14ac:dyDescent="0.2">
      <c r="A4" s="1032" t="s">
        <v>948</v>
      </c>
    </row>
    <row r="5" spans="1:1" x14ac:dyDescent="0.2">
      <c r="A5" s="1032" t="s">
        <v>949</v>
      </c>
    </row>
    <row r="6" spans="1:1" x14ac:dyDescent="0.2">
      <c r="A6" s="1032" t="s">
        <v>942</v>
      </c>
    </row>
    <row r="7" spans="1:1" x14ac:dyDescent="0.2">
      <c r="A7" s="1032" t="s">
        <v>950</v>
      </c>
    </row>
    <row r="8" spans="1:1" x14ac:dyDescent="0.2">
      <c r="A8" s="1032" t="s">
        <v>951</v>
      </c>
    </row>
    <row r="9" spans="1:1" x14ac:dyDescent="0.2">
      <c r="A9" s="1032" t="s">
        <v>952</v>
      </c>
    </row>
    <row r="10" spans="1:1" x14ac:dyDescent="0.2">
      <c r="A10" s="1032" t="s">
        <v>943</v>
      </c>
    </row>
    <row r="11" spans="1:1" x14ac:dyDescent="0.2">
      <c r="A11" s="1032" t="s">
        <v>953</v>
      </c>
    </row>
    <row r="12" spans="1:1" x14ac:dyDescent="0.2">
      <c r="A12" s="1032" t="s">
        <v>944</v>
      </c>
    </row>
    <row r="13" spans="1:1" x14ac:dyDescent="0.2">
      <c r="A13" s="1032" t="s">
        <v>945</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993652a8-afcd-44b4-b3cf-54a04802e2b8</GUID>
    <SOURCETYPE>Chart</SOURCETYPE>
    <SOURCE_OBJECTNAME>Chart 5</SOURCE_OBJECTNAME>
    <SOURCE_SHEETCODE>Sheet3</SOURCE_SHEETCODE>
    <SOURCE_SHEETNAME>Bal Sht</SOURCE_SHEETNAME>
    <OBJECTTYPE>Native</OBJECTTYPE>
    <SOURCEAPPLICATION>EXCEL_SOURCE</SOURCEAPPLICATION>
    <UPDATEDAT>4/20/2015 5:00:16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/MSResearch/Content/ExternalAssets/2015-04/Images/oxc1ADrAbE2DT06bAgUNcA--.png</TARGET_BINARYFULLNAME>
    <TARGET_STORYFULLNAME>/MSResearch/Content/ExternalAssets/2015-04/Sections/20150420_050014_Chart5.xml</TARGET_STORYFULLNAME>
    <TARGET_UUID>3e027982-e7a0-11e4-b44c-544b7b2f2e67</TARGET_UUID>
  </Link>
  <Link>
    <GUID>98e3e6c3-0be1-465b-8fef-e85ccb023401</GUID>
    <SOURCETYPE>Chart</SOURCETYPE>
    <SOURCE_OBJECTNAME>Chart 4 (1) (1)</SOURCE_OBJECTNAME>
    <SOURCE_SHEETCODE>Sheet3</SOURCE_SHEETCODE>
    <SOURCE_SHEETNAME>Bal Sht</SOURCE_SHEETNAME>
    <OBJECTTYPE>Native</OBJECTTYPE>
    <SOURCEAPPLICATION>EXCEL_SOURCE</SOURCEAPPLICATION>
    <UPDATEDAT>4/20/2015 5:05:35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/MSResearch/Content/ExternalAssets/2015-04/Images/kGNkVOHuikq_sOTYsQC8sw--.png</TARGET_BINARYFULLNAME>
    <TARGET_STORYFULLNAME>/MSResearch/Content/ExternalAssets/2015-04/Sections/20150420_110342_Chart411.xml</TARGET_STORYFULLNAME>
    <TARGET_UUID>6effd336-e76e-11e4-b44c-544b7b2f2e67</TARGET_UUID>
    <HIDEGRIDLINES>False</HIDEGRIDLINES>
  </Link>
  <Link>
    <GUID>04fee017-43d6-4976-a5d4-ebaa80abeba9</GUID>
    <SOURCETYPE>Chart</SOURCETYPE>
    <SOURCE_OBJECTNAME>Chart 5</SOURCE_OBJECTNAME>
    <SOURCE_SHEETCODE>Sheet25</SOURCE_SHEETCODE>
    <SOURCE_SHEETNAME>Mkt_Model</SOURCE_SHEETNAME>
    <OBJECTTYPE>Native</OBJECTTYPE>
    <SOURCEAPPLICATION>EXCEL_SOURCE</SOURCEAPPLICATION>
    <UPDATEDAT>4/21/2015 7:45:31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/MSResearch/Content/ExternalAssets/2015-04/Images/M952NLxW1Eyk4fJ--mSGTA--.png</TARGET_BINARYFULLNAME>
    <TARGET_STORYFULLNAME>/MSResearch/Content/ExternalAssets/2015-04/Sections/20150421_074529_Chart5.xml</TARGET_STORYFULLNAME>
    <TARGET_UUID>7e39d00a-e880-11e4-b44c-544b7b2f2e67</TARGET_UUID>
  </Link>
  <Link>
    <GUID>3e025273-636a-4d4a-ba3e-4b762bb3e20b</GUID>
    <SOURCETYPE>Chart</SOURCETYPE>
    <SOURCE_OBJECTNAME>Chart 5</SOURCE_OBJECTNAME>
    <SOURCE_SHEETCODE>Sheet4</SOURCE_SHEETCODE>
    <SOURCE_SHEETNAME>Cash Flow</SOURCE_SHEETNAME>
    <OBJECTTYPE>Native</OBJECTTYPE>
    <SOURCEAPPLICATION>EXCEL_SOURCE</SOURCEAPPLICATION>
    <UPDATEDAT>4/21/2015 7:47:01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/MSResearch/Content/ExternalAssets/2015-04/Images/YBZvL6re4E_pJyg0mQFStw--.png</TARGET_BINARYFULLNAME>
    <TARGET_STORYFULLNAME>/MSResearch/Content/ExternalAssets/2015-04/Sections/20150421_074633_Chart5.xml</TARGET_STORYFULLNAME>
    <TARGET_UUID>a43e88d6-e880-11e4-b44c-544b7b2f2e67</TARGET_UUID>
    <HIDEGRIDLINES>False</HIDEGRIDLINES>
  </Link>
  <Link>
    <GUID>f2e59823-16ac-47a0-a9b5-fb9a0849c7bc</GUID>
    <SOURCETYPE>Chart</SOURCETYPE>
    <SOURCE_OBJECTNAME>Chart 5</SOURCE_OBJECTNAME>
    <SOURCE_SHEETCODE>Sheet10</SOURCE_SHEETCODE>
    <SOURCE_SHEETNAME>LINKS</SOURCE_SHEETNAME>
    <OBJECTTYPE>Native</OBJECTTYPE>
    <SOURCEAPPLICATION>EXCEL_SOURCE</SOURCEAPPLICATION>
    <UPDATEDAT>4/21/2015 7:54:00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/MSResearch/Content/ExternalAssets/2015-04/Images/_1kZ9j1oN0SSDskis9gW6A--.png</TARGET_BINARYFULLNAME>
    <TARGET_STORYFULLNAME>/MSResearch/Content/ExternalAssets/2015-04/Sections/20150421_075027_Chart5.xml</TARGET_STORYFULLNAME>
    <TARGET_UUID>2f85380e-e881-11e4-b44c-544b7b2f2e67</TARGET_UUID>
    <HIDEGRIDLINES>False</HIDEGRIDLINES>
  </Link>
  <Link>
    <GUID>3a93e313-ce0e-41a0-81bf-0f48ee632120</GUID>
    <SOURCETYPE>Chart</SOURCETYPE>
    <SOURCE_OBJECTNAME>Chart 4 (1) (1)</SOURCE_OBJECTNAME>
    <SOURCE_SHEETCODE>Sheet10</SOURCE_SHEETCODE>
    <SOURCE_SHEETNAME>LINKS</SOURCE_SHEETNAME>
    <OBJECTTYPE>Native</OBJECTTYPE>
    <SOURCEAPPLICATION>EXCEL_SOURCE</SOURCEAPPLICATION>
    <UPDATEDAT>4/21/2015 8:02:28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/MSResearch/Content/ExternalAssets/2015-04/Images/rtzG3hNeQUqBwLfQzD1WBQ--.png</TARGET_BINARYFULLNAME>
    <TARGET_STORYFULLNAME>/MSResearch/Content/ExternalAssets/2015-04/Sections/20150421_075551_Chart411.xml</TARGET_STORYFULLNAME>
    <TARGET_UUID>f07a8ee2-e881-11e4-b44c-544b7b2f2e67</TARGET_UUID>
    <HIDEGRIDLINES>False</HIDEGRIDLINES>
  </Link>
  <Link>
    <GUID>b751954d-f2c5-4f0e-a9e1-f0beae77e680</GUID>
    <SOURCE_ALTADDRESS>$B$7:$Q$60</SOURCE_ALTADDRESS>
    <SOURCETYPE>Table</SOURCETYPE>
    <SOURCE_OBJECTNAME>Linking_Range_67</SOURCE_OBJECTNAME>
    <OBJECTTYPE>Native</OBJECTTYPE>
    <SOURCE_SHEETCODE>Sheet22</SOURCE_SHEETCODE>
    <SOURCE_SHEETNAME>DCF</SOURCE_SHEETNAME>
    <SOURCEAPPLICATION>EXCEL_SOURCE</SOURCEAPPLICATION>
    <UPDATEDAT>4/21/2015 8:11:24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/MSResearch/Content/ExternalAssets/2015-04/Images/Cc2-NN_1Sk6EQkkI1yce8g--.png</TARGET_BINARYFULLNAME>
    <TARGET_STORYFULLNAME>/MSResearch/Content/ExternalAssets/2015-04/Sections/20150421_081121_Linking_Range_67.xml</TARGET_STORYFULLNAME>
    <TARGET_UUID>1ad11b6e-e884-11e4-b44c-544b7b2f2e67</TARGET_UUID>
  </Link>
  <Link>
    <GUID>37eb5a02-442a-4063-befb-f95cdb5fef5b</GUID>
    <SOURCE_ALTADDRESS>$B$3:$CG$83</SOURCE_ALTADDRESS>
    <SOURCETYPE>Table</SOURCETYPE>
    <SOURCE_OBJECTNAME>Linking_Range_61</SOURCE_OBJECTNAME>
    <OBJECTTYPE>Native</OBJECTTYPE>
    <SOURCE_SHEETCODE>Sheet1</SOURCE_SHEETCODE>
    <SOURCE_SHEETNAME>P&amp;L</SOURCE_SHEETNAME>
    <SOURCEAPPLICATION>EXCEL_SOURCE</SOURCEAPPLICATION>
    <UPDATEDAT>4/21/2015 8:12:43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/MSResearch/Content/ExternalAssets/2015-04/Images/j0HTbvK1f0q9KLmoMauUZA--.png</TARGET_BINARYFULLNAME>
    <TARGET_STORYFULLNAME>/MSResearch/Content/ExternalAssets/2015-04/Sections/20150421_081239_Linking_Range_61.xml</TARGET_STORYFULLNAME>
    <TARGET_UUID>4961b146-e884-11e4-b44c-544b7b2f2e67</TARGET_UUID>
  </Link>
  <Link>
    <GUID>e8a546af-1a23-464f-a1d1-0c71a7205549</GUID>
    <SOURCE_ALTADDRESS>$A$3:$CG$40</SOURCE_ALTADDRESS>
    <SOURCETYPE>Table</SOURCETYPE>
    <SOURCE_OBJECTNAME>Linking_Range_63</SOURCE_OBJECTNAME>
    <OBJECTTYPE>Native</OBJECTTYPE>
    <SOURCE_SHEETCODE>Sheet3</SOURCE_SHEETCODE>
    <SOURCE_SHEETNAME>Bal Sht</SOURCE_SHEETNAME>
    <SOURCEAPPLICATION>EXCEL_SOURCE</SOURCEAPPLICATION>
    <UPDATEDAT>4/21/2015 8:13:13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/MSResearch/Content/ExternalAssets/2015-04/Images/ck9jx-xqEkOVgBlLrSSXOA--.png</TARGET_BINARYFULLNAME>
    <TARGET_STORYFULLNAME>/MSResearch/Content/ExternalAssets/2015-04/Sections/20150421_081309_Linking_Range_63.xml</TARGET_STORYFULLNAME>
    <TARGET_UUID>5bae9c92-e884-11e4-b44c-544b7b2f2e67</TARGET_UUID>
  </Link>
  <Link>
    <GUID>e65a4bf9-a493-456e-980f-4a351fabe504</GUID>
    <SOURCE_ALTADDRESS>$A$3:$CF$49</SOURCE_ALTADDRESS>
    <SOURCETYPE>Table</SOURCETYPE>
    <SOURCE_OBJECTNAME>Linking_Range_64</SOURCE_OBJECTNAME>
    <OBJECTTYPE>Native</OBJECTTYPE>
    <SOURCE_SHEETCODE>Sheet4</SOURCE_SHEETCODE>
    <SOURCE_SHEETNAME>Cash Flow</SOURCE_SHEETNAME>
    <SOURCEAPPLICATION>EXCEL_SOURCE</SOURCEAPPLICATION>
    <UPDATEDAT>4/21/2015 8:13:34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/MSResearch/Content/ExternalAssets/2015-04/Images/GsqEbWwo10ugcN2Jp85_-w--.png</TARGET_BINARYFULLNAME>
    <TARGET_STORYFULLNAME>/MSResearch/Content/ExternalAssets/2015-04/Sections/20150421_081332_Linking_Range_64.xml</TARGET_STORYFULLNAME>
    <TARGET_UUID>68e092d0-e884-11e4-b44c-544b7b2f2e67</TARGET_UUID>
  </Link>
  <Link>
    <GUID>c044bdf7-7dd0-4a68-b496-5a0613a4c4c0</GUID>
    <SOURCE_ALTADDRESS>$B$4:$AD$36</SOURCE_ALTADDRESS>
    <SOURCETYPE>Table</SOURCETYPE>
    <SOURCE_OBJECTNAME>Linking_Range_41</SOURCE_OBJECTNAME>
    <OBJECTTYPE>Native</OBJECTTYPE>
    <SOURCE_SHEETCODE>Sheet13</SOURCE_SHEETCODE>
    <SOURCE_SHEETNAME>ccGro</SOURCE_SHEETNAME>
    <SOURCEAPPLICATION>EXCEL_SOURCE</SOURCEAPPLICATION>
    <UPDATEDAT>4/23/2015 9:22:50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/MSResearch/Content/ExternalAssets/2015-04/Images/RisiUDmgF06xnxzbbTvhLg--.png</TARGET_BINARYFULLNAME>
    <TARGET_STORYFULLNAME>/MSResearch/Content/ExternalAssets/2015-04/Sections/20150423_092247_Linking_Range_41.xml</TARGET_STORYFULLNAME>
    <TARGET_UUID>6a484346-ea20-11e4-b44c-544b7b2f2e67</TARGET_UUID>
  </Link>
  <Link>
    <GUID>e1a00453-f535-49d2-8392-4d05de95af19</GUID>
    <SOURCE_ALTADDRESS>$B$2:$W$13</SOURCE_ALTADDRESS>
    <SOURCETYPE>Table</SOURCETYPE>
    <SOURCE_OBJECTNAME>Linking_Range_36</SOURCE_OBJECTNAME>
    <OBJECTTYPE>Native</OBJECTTYPE>
    <SOURCE_SHEETCODE>Sheet12</SOURCE_SHEETCODE>
    <SOURCE_SHEETNAME>Guidance</SOURCE_SHEETNAME>
    <SOURCEAPPLICATION>EXCEL_SOURCE</SOURCEAPPLICATION>
    <UPDATEDAT>4/23/2015 9:23:35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/MSResearch/Content/ExternalAssets/2015-04/Images/zQ0HlR-_gkiV4A4Tj5g45Q--.png</TARGET_BINARYFULLNAME>
    <TARGET_STORYFULLNAME>/MSResearch/Content/ExternalAssets/2015-04/Sections/20150423_092332_Linking_Range_36.xml</TARGET_STORYFULLNAME>
    <TARGET_UUID>858aa6b2-ea20-11e4-b44c-544b7b2f2e67</TARGET_UUID>
  </Link>
  <Link>
    <GUID>ca6d8cd3-c808-455f-b0f0-60c7c1015eeb</GUID>
    <SOURCE_ALTADDRESS>$B$2:$I$40</SOURCE_ALTADDRESS>
    <SOURCETYPE>Table</SOURCETYPE>
    <SOURCE_OBJECTNAME>Linking_Range_68</SOURCE_OBJECTNAME>
    <OBJECTTYPE>Native</OBJECTTYPE>
    <SOURCE_SHEETCODE>Sheet17</SOURCE_SHEETCODE>
    <SOURCE_SHEETNAME>Chgs</SOURCE_SHEETNAME>
    <SOURCEAPPLICATION>EXCEL_SOURCE</SOURCEAPPLICATION>
    <UPDATEDAT>4/23/2015 9:24:13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/MSResearch/Content/ExternalAssets/2015-04/Images/_SAN7ReJ9UOZptlucL43hw--.png</TARGET_BINARYFULLNAME>
    <TARGET_STORYFULLNAME>/MSResearch/Content/ExternalAssets/2015-04/Sections/20150423_092409_Linking_Range_68.xml</TARGET_STORYFULLNAME>
    <TARGET_UUID>9b6a3a9c-ea20-11e4-b44c-544b7b2f2e67</TARGET_UUID>
  </Link>
  <Link>
    <GUID>4cc2f2cf-fb37-4659-acff-92341ea2b76f</GUID>
    <SOURCE_ALTADDRESS>$B$2:$J$33</SOURCE_ALTADDRESS>
    <SOURCETYPE>Table</SOURCETYPE>
    <SOURCE_OBJECTNAME>Linking_Range_29</SOURCE_OBJECTNAME>
    <OBJECTTYPE>Native</OBJECTTYPE>
    <SOURCE_SHEETCODE>Sheet9</SOURCE_SHEETCODE>
    <SOURCE_SHEETNAME>Variance</SOURCE_SHEETNAME>
    <SOURCEAPPLICATION>EXCEL_SOURCE</SOURCEAPPLICATION>
    <UPDATEDAT>4/23/2015 9:32:16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/MSResearch/Content/ExternalAssets/2015-04/Images/Ml4Q8657Y0u2FqD93Gy-kQ--.png</TARGET_BINARYFULLNAME>
    <TARGET_STORYFULLNAME>/MSResearch/Content/ExternalAssets/2015-04/Sections/20150423_093212_Linking_Range_29.xml</TARGET_STORYFULLNAME>
    <TARGET_UUID>bb6852ec-ea21-11e4-b44c-544b7b2f2e67</TARGET_UUID>
  </Link>
  <Link>
    <GUID>d66ec4cc-3e15-4277-b030-c025848bc425</GUID>
    <SOURCETYPE>Chart</SOURCETYPE>
    <SOURCE_OBJECTNAME>MYGN EBIT Tr</SOURCE_OBJECTNAME>
    <SOURCE_SHEETCODE>Sheet19</SOURCE_SHEETCODE>
    <SOURCE_SHEETNAME>Graphs</SOURCE_SHEETNAME>
    <OBJECTTYPE>Native</OBJECTTYPE>
    <SOURCEAPPLICATION>EXCEL_SOURCE</SOURCEAPPLICATION>
    <UPDATEDAT>4/23/2015 9:33:10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/MSResearch/Content/ExternalAssets/2015-04/Images/t5hDRvT2p0u6doVfH2RKVg--.png</TARGET_BINARYFULLNAME>
    <TARGET_STORYFULLNAME>/MSResearch/Content/ExternalAssets/2015-04/Sections/20150423_093308_MYGNEBITTr.xml</TARGET_STORYFULLNAME>
    <TARGET_UUID>dc790be8-ea21-11e4-b44c-544b7b2f2e67</TARGET_UUID>
  </Link>
  <Link>
    <GUID>8b79e0d0-5664-4c34-ae01-aa161a9778e5</GUID>
    <SOURCETYPE>Chart</SOURCETYPE>
    <SOURCE_OBJECTNAME>Chart 1</SOURCE_OBJECTNAME>
    <SOURCE_SHEETCODE>Sheet19</SOURCE_SHEETCODE>
    <SOURCE_SHEETNAME>Graphs</SOURCE_SHEETNAME>
    <OBJECTTYPE>Native</OBJECTTYPE>
    <SOURCEAPPLICATION>EXCEL_SOURCE</SOURCEAPPLICATION>
    <UPDATEDAT>4/23/2015 9:41:33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/MSResearch/Content/ExternalAssets/2015-04/Images/Ob1PQZfnf0WaoZNPmTttkA--.png</TARGET_BINARYFULLNAME>
    <TARGET_STORYFULLNAME>/MSResearch/Content/ExternalAssets/2015-04/Sections/20150423_094110_Chart1.xml</TARGET_STORYFULLNAME>
    <TARGET_UUID>fc27915c-ea22-11e4-b44c-544b7b2f2e67</TARGET_UUID>
  </Link>
  <Link>
    <GUID>84f5c695-dc10-45f2-9da1-19dcef3cefa4</GUID>
    <SOURCETYPE>Chart</SOURCETYPE>
    <SOURCE_OBJECTNAME>Chart 2</SOURCE_OBJECTNAME>
    <SOURCE_SHEETCODE>Sheet19</SOURCE_SHEETCODE>
    <SOURCE_SHEETNAME>Graphs</SOURCE_SHEETNAME>
    <OBJECTTYPE>Native</OBJECTTYPE>
    <SOURCEAPPLICATION>EXCEL_SOURCE</SOURCEAPPLICATION>
    <UPDATEDAT>4/23/2015 10:42:26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/MSResearch/Content/ExternalAssets/2015-04/Images/qtNYR3nUsEWkcfUsoz-q6w--.png</TARGET_BINARYFULLNAME>
    <TARGET_STORYFULLNAME>/MSResearch/Content/ExternalAssets/2015-04/Sections/20150423_104223_Chart2.xml</TARGET_STORYFULLNAME>
    <TARGET_UUID>8928e7c4-ea2b-11e4-b44c-544b7b2f2e67</TARGET_UUID>
  </Link>
  <Link>
    <GUID>40eb5023-d216-4dc2-be58-84be771a397f</GUID>
    <SOURCETYPE>Chart</SOURCETYPE>
    <SOURCE_OBJECTNAME>Chart 15</SOURCE_OBJECTNAME>
    <SOURCE_SHEETCODE>Sheet19</SOURCE_SHEETCODE>
    <SOURCE_SHEETNAME>Graphs</SOURCE_SHEETNAME>
    <OBJECTTYPE>Native</OBJECTTYPE>
    <SOURCEAPPLICATION>EXCEL_SOURCE</SOURCEAPPLICATION>
    <UPDATEDAT>4/23/2015 10:43:42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/MSResearch/Content/ExternalAssets/2015-04/Images/zqg2eMSc4UKS6JvFhMy8gg--.png</TARGET_BINARYFULLNAME>
    <TARGET_STORYFULLNAME>/MSResearch/Content/ExternalAssets/2015-04/Sections/20150423_104339_Chart15.xml</TARGET_STORYFULLNAME>
    <TARGET_UUID>b68559e6-ea2b-11e4-b44c-544b7b2f2e67</TARGET_UUID>
  </Link>
  <Link>
    <GUID>91346b1f-c761-4d4a-9710-bb3f36ce2a86</GUID>
    <SOURCETYPE>Chart</SOURCETYPE>
    <SOURCE_OBJECTNAME>Chart 4</SOURCE_OBJECTNAME>
    <SOURCE_SHEETCODE>Sheet19</SOURCE_SHEETCODE>
    <SOURCE_SHEETNAME>Graphs</SOURCE_SHEETNAME>
    <OBJECTTYPE>Native</OBJECTTYPE>
    <SOURCEAPPLICATION>EXCEL_SOURCE</SOURCEAPPLICATION>
    <UPDATEDAT>4/23/2015 10:45:50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/MSResearch/Content/ExternalAssets/2015-04/Images/Hwgk96IkCEKcvnDFGHC-TQ--.png</TARGET_BINARYFULLNAME>
    <TARGET_STORYFULLNAME>/MSResearch/Content/ExternalAssets/2015-04/Sections/20150423_104548_Chart4.xml</TARGET_STORYFULLNAME>
    <TARGET_UUID>03414664-ea2c-11e4-b44c-544b7b2f2e67</TARGET_UUID>
  </Link>
  <Link>
    <GUID>96582a89-620e-4530-aa04-597f8e1cbaf6</GUID>
    <SOURCETYPE>Chart</SOURCETYPE>
    <SOURCE_OBJECTNAME>Chart 3</SOURCE_OBJECTNAME>
    <SOURCE_SHEETCODE>Sheet19</SOURCE_SHEETCODE>
    <SOURCE_SHEETNAME>Graphs</SOURCE_SHEETNAME>
    <OBJECTTYPE>Native</OBJECTTYPE>
    <SOURCEAPPLICATION>EXCEL_SOURCE</SOURCEAPPLICATION>
    <UPDATEDAT>4/23/2015 10:58:17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/MSResearch/Content/ExternalAssets/2015-04/Images/p82UFmMq4EK7mzLA165xsg--.png</TARGET_BINARYFULLNAME>
    <TARGET_STORYFULLNAME>/MSResearch/Content/ExternalAssets/2015-04/Sections/20150423_105814_Chart3.xml</TARGET_STORYFULLNAME>
    <TARGET_UUID>bffeddc4-ea2d-11e4-b44c-544b7b2f2e67</TARGET_UUID>
  </Link>
  <Link>
    <GUID>b03c55ee-e748-486c-9010-33c1ebf1efd7</GUID>
    <SOURCETYPE>Chart</SOURCETYPE>
    <SOURCE_OBJECTNAME>Chart 5</SOURCE_OBJECTNAME>
    <SOURCE_SHEETCODE>Sheet19</SOURCE_SHEETCODE>
    <SOURCE_SHEETNAME>Graphs</SOURCE_SHEETNAME>
    <OBJECTTYPE>Native</OBJECTTYPE>
    <SOURCEAPPLICATION>EXCEL_SOURCE</SOURCEAPPLICATION>
    <UPDATEDAT>4/23/2015 10:59:27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/MSResearch/Content/ExternalAssets/2015-04/Images/gVTiOy5I10qtXA0dLPqDzw--.png</TARGET_BINARYFULLNAME>
    <TARGET_STORYFULLNAME>/MSResearch/Content/ExternalAssets/2015-04/Sections/20150423_105924_Chart5.xml</TARGET_STORYFULLNAME>
    <TARGET_UUID>e9d8bebc-ea2d-11e4-b44c-544b7b2f2e67</TARGET_UUID>
  </Link>
  <Link>
    <GUID>540fb08b-15c7-452b-b936-c2af36423eca</GUID>
    <SOURCETYPE>Chart</SOURCETYPE>
    <SOURCE_OBJECTNAME>MWA_Risk_Reward</SOURCE_OBJECTNAME>
    <SOURCE_SHEETCODE>MWRSSData</SOURCE_SHEETCODE>
    <SOURCE_SHEETNAME>MWA RR</SOURCE_SHEETNAME>
    <OBJECTTYPE>Native</OBJECTTYPE>
    <SOURCEAPPLICATION>EXCEL_SOURCE</SOURCEAPPLICATION>
    <UPDATEDAT>4/23/2015 11:01:42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/MSResearch/Content/ExternalAssets/2015-04/Images/O3r5unt0s0uKRdE2gi-Ziw--.png</TARGET_BINARYFULLNAME>
    <TARGET_STORYFULLNAME>/MSResearch/Content/ExternalAssets/2015-04/Sections/20150420_095804_MWA_Risk_Reward.xml</TARGET_STORYFULLNAME>
    <TARGET_UUID>d90aacb4-e7c9-11e4-b44c-544b7b2f2e67</TARGET_UUID>
    <HIDEGRIDLINES>False</HIDEGRIDLINES>
  </Link>
  <Link>
    <GUID>bea77b0d-4165-4dac-9b38-e943cdee200e</GUID>
    <SOURCE_ALTADDRESS>$B$3:$CH$83</SOURCE_ALTADDRESS>
    <SOURCETYPE>Table</SOURCETYPE>
    <SOURCE_OBJECTNAME>Linking_Range_69</SOURCE_OBJECTNAME>
    <OBJECTTYPE>Native</OBJECTTYPE>
    <SOURCE_SHEETCODE>Sheet1</SOURCE_SHEETCODE>
    <SOURCE_SHEETNAME>P&amp;L</SOURCE_SHEETNAME>
    <SOURCEAPPLICATION>EXCEL_SOURCE</SOURCEAPPLICATION>
    <UPDATEDAT>4/23/2015 11:08:58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/MSResearch/Content/ExternalAssets/2015-04/Images/e0jA7R7NXUmpPOAKA9I3qQ--.png</TARGET_BINARYFULLNAME>
    <TARGET_STORYFULLNAME>/MSResearch/Content/ExternalAssets/2015-04/Sections/20150423_110856_Linking_Range_69.xml</TARGET_STORYFULLNAME>
    <TARGET_UUID>3ecca0d6-ea2f-11e4-b44c-544b7b2f2e67</TARGET_UUID>
  </Link>
  <Link>
    <GUID>cd73fa67-0cd9-40ca-b9b2-e9cb8328188b</GUID>
    <SOURCE_ALTADDRESS>$B$3:$CG$63</SOURCE_ALTADDRESS>
    <SOURCETYPE>Table</SOURCETYPE>
    <SOURCE_OBJECTNAME>Linking_Range_62</SOURCE_OBJECTNAME>
    <OBJECTTYPE>Native</OBJECTTYPE>
    <SOURCE_SHEETCODE>Sheet5</SOURCE_SHEETCODE>
    <SOURCE_SHEETNAME>ALGN</SOURCE_SHEETNAME>
    <SOURCEAPPLICATION>EXCEL_SOURCE</SOURCEAPPLICATION>
    <UPDATEDAT>4/23/2015 11:11:50 PM</UPDATEDAT>
    <SOURCE_ISOUTOFDATE>False</SOURCE_ISOUTOFDATE>
    <SOURCE_WORKBOOKNAME>ALGN.xls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/MSResearch/Content/ExternalAssets/2015-04/Images/IhUbT9VXqkypzB8vLaZcKA--.png</TARGET_BINARYFULLNAME>
    <TARGET_STORYFULLNAME>/MSResearch/Content/ExternalAssets/2015-04/Sections/20150421_081203_Linking_Range_62.xml</TARGET_STORYFULLNAME>
    <TARGET_UUID>343f893c-e884-11e4-b44c-544b7b2f2e67</TARGET_UUID>
    <TRANSPARENTBACKGROUND>False</TRANSPARENTBACKGROUND>
    <TRANSPARENTPLOTAREA>False</TRANSPARENTPLOTAREA>
  </Link>
  <Link>
    <GUID>c9a9842f-37d9-440f-a5ec-dc70a20051ee</GUID>
    <SOURCETYPE>Chart</SOURCETYPE>
    <SOURCE_OBJECTNAME>US Super premium</SOURCE_OBJECTNAME>
    <SOURCE_SHEETCODE>Sheet19</SOURCE_SHEETCODE>
    <SOURCE_SHEETNAME>Graphs</SOURCE_SHEETNAME>
    <OBJECTTYPE>Native</OBJECTTYPE>
    <SOURCEAPPLICATION>EXCEL_SOURCE</SOURCEAPPLICATION>
    <UPDATEDAT>5/20/2015 1:58:56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/MSResearch/Content/ExternalAssets/2015-05/Images/3swuK4Z1r0qyOUYjEfvbjQ--.png</TARGET_BINARYFULLNAME>
    <TARGET_STORYFULLNAME>/MSResearch/Content/ExternalAssets/2015-05/Sections/20150520_015854_USSuperpremium.xml</TARGET_STORYFULLNAME>
    <TARGET_UUID>e1722fd2-ff19-11e4-816b-9b441484c75b</TARGET_UUID>
  </Link>
  <Link>
    <GUID>48d470af-af70-4d95-b2bf-a73afd74f7bd</GUID>
    <SOURCETYPE>Chart</SOURCETYPE>
    <SOURCE_OBJECTNAME>InvisAlign Implied Vlo T3Wk II</SOURCE_OBJECTNAME>
    <SOURCE_SHEETCODE>Sheet23</SOURCE_SHEETCODE>
    <SOURCE_SHEETNAME>GOOG</SOURCE_SHEETNAME>
    <OBJECTTYPE>Native</OBJECTTYPE>
    <SOURCEAPPLICATION>EXCEL_SOURCE</SOURCEAPPLICATION>
    <UPDATEDAT>5/20/2015 1:59:56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/MSResearch/Content/ExternalAssets/2015-05/Images/3mgDwZ8qYUiRba8V7D1LYg--.png</TARGET_BINARYFULLNAME>
    <TARGET_STORYFULLNAME>/MSResearch/Content/ExternalAssets/2015-05/Sections/20150520_015954_InvisAlignImpliedVloT3WkII.xml</TARGET_STORYFULLNAME>
    <TARGET_UUID>051a0676-ff1a-11e4-816b-9b441484c75b</TARGET_UUID>
  </Link>
  <Link>
    <GUID>267f87ac-90f0-4fa4-8727-827191051c56</GUID>
    <SOURCETYPE>Chart</SOURCETYPE>
    <SOURCE_OBJECTNAME>US High Income Consumer</SOURCE_OBJECTNAME>
    <SOURCE_SHEETCODE>Sheet19</SOURCE_SHEETCODE>
    <SOURCE_SHEETNAME>Graphs</SOURCE_SHEETNAME>
    <OBJECTTYPE>Native</OBJECTTYPE>
    <SOURCEAPPLICATION>EXCEL_SOURCE</SOURCEAPPLICATION>
    <UPDATEDAT>5/20/2015 2:05:23 PM</UPDATEDAT>
    <SOURCE_ISOUTOFDATE>False</SOURCE_ISOUTOFDATE>
    <SOURCE_WORKBOOKNAME>ALGN.xls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/MSResearch/Content/ExternalAssets/2015-05/Images/oVUf4xmrJUK1EkbFOG2o6Q--.png</TARGET_BINARYFULLNAME>
    <TARGET_STORYFULLNAME>/MSResearch/Content/ExternalAssets/2015-05/Sections/20150520_020521_USHighIncomeConsumer.xml</TARGET_STORYFULLNAME>
    <TARGET_UUID>c7a7d862-ff1a-11e4-816b-9b441484c75b</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7B7A29B1-DE79-4740-A835-86150AC0DF59}">
  <ds:schemaRefs>
    <ds:schemaRef ds:uri="thomsonreuters.linking.metadata"/>
  </ds:schemaRefs>
</ds:datastoreItem>
</file>

<file path=customXml/itemProps2.xml><?xml version="1.0" encoding="utf-8"?>
<ds:datastoreItem xmlns:ds="http://schemas.openxmlformats.org/officeDocument/2006/customXml" ds:itemID="{275B6A19-D4B7-4D44-9398-E9EFEE388575}">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121</vt:i4>
      </vt:variant>
    </vt:vector>
  </HeadingPairs>
  <TitlesOfParts>
    <vt:vector size="131" baseType="lpstr">
      <vt:lpstr>ImportantDisclosures</vt:lpstr>
      <vt:lpstr>TOC</vt:lpstr>
      <vt:lpstr>P&amp;L</vt:lpstr>
      <vt:lpstr>ALGN</vt:lpstr>
      <vt:lpstr>UnitBuild</vt:lpstr>
      <vt:lpstr>Bal Sht</vt:lpstr>
      <vt:lpstr>Cash Flow</vt:lpstr>
      <vt:lpstr>DCF</vt:lpstr>
      <vt:lpstr>IndexInformation</vt:lpstr>
      <vt:lpstr>ModPubIndex</vt:lpstr>
      <vt:lpstr>DCF!_DCFCalculation</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Linking_11</vt:lpstr>
      <vt:lpstr>Linking_12</vt:lpstr>
      <vt:lpstr>Linking_22</vt:lpstr>
      <vt:lpstr>Linking_24</vt:lpstr>
      <vt:lpstr>Linking_25</vt:lpstr>
      <vt:lpstr>Linking_26</vt:lpstr>
      <vt:lpstr>Linking_30</vt:lpstr>
      <vt:lpstr>Linking_38</vt:lpstr>
      <vt:lpstr>Linking_6</vt:lpstr>
      <vt:lpstr>Linking_7</vt:lpstr>
      <vt:lpstr>Linking_8</vt:lpstr>
      <vt:lpstr>Linking_Range_23</vt:lpstr>
      <vt:lpstr>Linking_Range_24</vt:lpstr>
      <vt:lpstr>Linking_Range_25</vt:lpstr>
      <vt:lpstr>Linking_Range_28</vt:lpstr>
      <vt:lpstr>Linking_Range_3</vt:lpstr>
      <vt:lpstr>Linking_Range_31</vt:lpstr>
      <vt:lpstr>Linking_Range_32</vt:lpstr>
      <vt:lpstr>Linking_Range_39</vt:lpstr>
      <vt:lpstr>Linking_Range_4</vt:lpstr>
      <vt:lpstr>Linking_Range_40</vt:lpstr>
      <vt:lpstr>Linking_Range_43</vt:lpstr>
      <vt:lpstr>Linking_Range_44</vt:lpstr>
      <vt:lpstr>Linking_Range_45</vt:lpstr>
      <vt:lpstr>Linking_Range_46</vt:lpstr>
      <vt:lpstr>Linking_Range_47</vt:lpstr>
      <vt:lpstr>Linking_Range_48</vt:lpstr>
      <vt:lpstr>Linking_Range_49</vt:lpstr>
      <vt:lpstr>Linking_Range_5</vt:lpstr>
      <vt:lpstr>Linking_Range_6</vt:lpstr>
      <vt:lpstr>Linking_Range_60</vt:lpstr>
      <vt:lpstr>Linking_Range_61</vt:lpstr>
      <vt:lpstr>Linking_Range_62</vt:lpstr>
      <vt:lpstr>Linking_Range_63</vt:lpstr>
      <vt:lpstr>Linking_Range_64</vt:lpstr>
      <vt:lpstr>Linking_Range_65</vt:lpstr>
      <vt:lpstr>Linking_Range_66</vt:lpstr>
      <vt:lpstr>Linking_Range_67</vt:lpstr>
      <vt:lpstr>Linking_Range_69</vt:lpstr>
      <vt:lpstr>Linking_Range_70</vt:lpstr>
      <vt:lpstr>Linking_Range_71</vt:lpstr>
      <vt:lpstr>Linking_Range_72</vt:lpstr>
      <vt:lpstr>Linking_Range_73</vt:lpstr>
      <vt:lpstr>Linking_Range_74</vt:lpstr>
      <vt:lpstr>Linking_Range_75</vt:lpstr>
      <vt:lpstr>Linking_Range_76</vt:lpstr>
      <vt:lpstr>Linking_Range_77</vt:lpstr>
      <vt:lpstr>Linking_Range_78</vt:lpstr>
      <vt:lpstr>Linking_Range_80</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'P&amp;L'!Print_Area</vt:lpstr>
      <vt:lpstr>UnitBuild!Print_Area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2011-02-01T06:20:47Z</dcterms:created>
  <dc:creator>meneclar</dc:creator>
  <cp:lastModifiedBy>Wachter, Zachary (Research)</cp:lastModifiedBy>
  <cp:lastPrinted>2018-04-26T01:27:33Z</cp:lastPrinted>
  <dcterms:modified xsi:type="dcterms:W3CDTF">2018-04-26T21:48:11Z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83</vt:lpwstr>
  </property>
  <property fmtid="{D5CDD505-2E9C-101B-9397-08002B2CF9AE}" name="{A44787D4-0540-4523-9961-78E4036D8C6D}" pid="3">
    <vt:lpwstr>{7E99AB93-D9AF-4239-97DD-0728059D91A9}</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764442</vt:lpwstr>
  </property>
  <property fmtid="{D5CDD505-2E9C-101B-9397-08002B2CF9AE}" name="ERModPubCompanyName" pid="7">
    <vt:lpwstr>Align Technology Inc</vt:lpwstr>
  </property>
  <property fmtid="{D5CDD505-2E9C-101B-9397-08002B2CF9AE}" name="MSDH34TAG" pid="8">
    <vt:lpwstr>.TEZUF76X5TAHATHESADREYAK-00-INB160+*94600-06=861a18c8/-499b/-11e8/-adef/-6a0a1ce82510,MD=20180426175247/-0400,ZZ=000Z-e5fc.</vt:lpwstr>
  </property>
</Properties>
</file>