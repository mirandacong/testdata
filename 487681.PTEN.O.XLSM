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270" windowWidth="28590" windowHeight="12465"/>
  </bookViews>
  <sheets>
    <sheet name="ImportantDisclosures" sheetId="17" r:id="rId1"/>
    <sheet name="Model" sheetId="1" r:id="rId2"/>
    <sheet name="IndexInformation" sheetId="18" r:id="rId3"/>
    <sheet name="ModPubIndex" sheetId="19" r:id="rId4"/>
    <sheet name="MW-Cache" sheetId="5" state="veryHidden" r:id="rId5"/>
  </sheets>
  <definedNames>
    <definedName name="__FDS_HYPERLINK_TOGGLE_STATE__" hidden="1">"ON"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MacroVersion" localSheetId="2">IndexInformation!$B$1</definedName>
    <definedName name="Model">Model!$B$8:$BI$440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 calcMode="manual"/>
</workbook>
</file>

<file path=xl/calcChain.xml><?xml version="1.0" encoding="utf-8"?>
<calcChain xmlns="http://schemas.openxmlformats.org/spreadsheetml/2006/main">
  <c r="AU138" i="1" l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AT422" i="1" l="1"/>
  <c r="AT423" i="1" s="1"/>
  <c r="AT430" i="1"/>
  <c r="AT80" i="1" l="1"/>
  <c r="AT293" i="1" l="1"/>
  <c r="AT290" i="1"/>
  <c r="AT292" i="1"/>
  <c r="AT291" i="1"/>
  <c r="AT289" i="1"/>
  <c r="AT288" i="1"/>
  <c r="AT287" i="1"/>
  <c r="AT286" i="1"/>
  <c r="AT282" i="1"/>
  <c r="AT281" i="1"/>
  <c r="AT280" i="1"/>
  <c r="AT279" i="1"/>
  <c r="AT278" i="1"/>
  <c r="AT277" i="1"/>
  <c r="AT276" i="1"/>
  <c r="AT272" i="1"/>
  <c r="AT324" i="1" l="1"/>
  <c r="AT311" i="1"/>
  <c r="AY158" i="1" l="1"/>
  <c r="AZ158" i="1" s="1"/>
  <c r="BA158" i="1" s="1"/>
  <c r="BB158" i="1" s="1"/>
  <c r="BC158" i="1" s="1"/>
  <c r="BD158" i="1" s="1"/>
  <c r="BE158" i="1" s="1"/>
  <c r="BF158" i="1" s="1"/>
  <c r="AU63" i="1"/>
  <c r="BF435" i="1" l="1"/>
  <c r="BE435" i="1"/>
  <c r="BD435" i="1"/>
  <c r="BC435" i="1"/>
  <c r="BB435" i="1"/>
  <c r="BA435" i="1"/>
  <c r="AZ435" i="1"/>
  <c r="AY435" i="1"/>
  <c r="AX435" i="1"/>
  <c r="AW435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P435" i="1"/>
  <c r="O435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P430" i="1"/>
  <c r="O430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P426" i="1"/>
  <c r="O426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P425" i="1"/>
  <c r="O425" i="1"/>
  <c r="AS422" i="1"/>
  <c r="AS423" i="1" s="1"/>
  <c r="AR422" i="1"/>
  <c r="AR423" i="1" s="1"/>
  <c r="AP422" i="1"/>
  <c r="AP423" i="1" s="1"/>
  <c r="AO422" i="1"/>
  <c r="AO423" i="1" s="1"/>
  <c r="AN422" i="1"/>
  <c r="AN423" i="1" s="1"/>
  <c r="AM422" i="1"/>
  <c r="AM423" i="1" s="1"/>
  <c r="AL422" i="1"/>
  <c r="AL423" i="1" s="1"/>
  <c r="AK422" i="1"/>
  <c r="AK423" i="1" s="1"/>
  <c r="AJ422" i="1"/>
  <c r="AJ423" i="1" s="1"/>
  <c r="AI422" i="1"/>
  <c r="AI423" i="1" s="1"/>
  <c r="AH422" i="1"/>
  <c r="AH423" i="1" s="1"/>
  <c r="AG422" i="1"/>
  <c r="AG423" i="1" s="1"/>
  <c r="AF422" i="1"/>
  <c r="AF423" i="1" s="1"/>
  <c r="AE422" i="1"/>
  <c r="AE423" i="1" s="1"/>
  <c r="AD422" i="1"/>
  <c r="AD423" i="1" s="1"/>
  <c r="AC422" i="1"/>
  <c r="AC423" i="1" s="1"/>
  <c r="AB422" i="1"/>
  <c r="AB423" i="1" s="1"/>
  <c r="AA422" i="1"/>
  <c r="AA423" i="1" s="1"/>
  <c r="AU421" i="1"/>
  <c r="AQ421" i="1"/>
  <c r="AQ422" i="1" s="1"/>
  <c r="AQ423" i="1" s="1"/>
  <c r="AU417" i="1"/>
  <c r="AV417" i="1" s="1"/>
  <c r="AW417" i="1" s="1"/>
  <c r="AX417" i="1" s="1"/>
  <c r="AY417" i="1" s="1"/>
  <c r="AZ417" i="1" s="1"/>
  <c r="BA417" i="1" s="1"/>
  <c r="BB417" i="1" s="1"/>
  <c r="BC417" i="1" s="1"/>
  <c r="BD417" i="1" s="1"/>
  <c r="BE417" i="1" s="1"/>
  <c r="BF417" i="1" s="1"/>
  <c r="AS414" i="1"/>
  <c r="AS406" i="1" s="1"/>
  <c r="AR414" i="1"/>
  <c r="AR416" i="1" s="1"/>
  <c r="AR418" i="1" s="1"/>
  <c r="AQ414" i="1"/>
  <c r="AQ416" i="1" s="1"/>
  <c r="AQ418" i="1" s="1"/>
  <c r="AP414" i="1"/>
  <c r="AO414" i="1"/>
  <c r="AO406" i="1" s="1"/>
  <c r="AN414" i="1"/>
  <c r="AN406" i="1" s="1"/>
  <c r="AM414" i="1"/>
  <c r="AM416" i="1" s="1"/>
  <c r="AM418" i="1" s="1"/>
  <c r="AL414" i="1"/>
  <c r="AL406" i="1" s="1"/>
  <c r="AK414" i="1"/>
  <c r="AK406" i="1" s="1"/>
  <c r="AJ414" i="1"/>
  <c r="AI414" i="1"/>
  <c r="AI416" i="1" s="1"/>
  <c r="AI418" i="1" s="1"/>
  <c r="AH414" i="1"/>
  <c r="AH406" i="1" s="1"/>
  <c r="AG414" i="1"/>
  <c r="AG416" i="1" s="1"/>
  <c r="AG418" i="1" s="1"/>
  <c r="AF414" i="1"/>
  <c r="AF406" i="1" s="1"/>
  <c r="AE414" i="1"/>
  <c r="AD414" i="1"/>
  <c r="AD406" i="1" s="1"/>
  <c r="AC414" i="1"/>
  <c r="AB414" i="1"/>
  <c r="AB406" i="1" s="1"/>
  <c r="AA414" i="1"/>
  <c r="AA416" i="1" s="1"/>
  <c r="AA418" i="1" s="1"/>
  <c r="Z414" i="1"/>
  <c r="Z406" i="1" s="1"/>
  <c r="Y414" i="1"/>
  <c r="Y406" i="1" s="1"/>
  <c r="X414" i="1"/>
  <c r="X406" i="1" s="1"/>
  <c r="W414" i="1"/>
  <c r="W416" i="1" s="1"/>
  <c r="W418" i="1" s="1"/>
  <c r="V414" i="1"/>
  <c r="U414" i="1"/>
  <c r="U416" i="1" s="1"/>
  <c r="U418" i="1" s="1"/>
  <c r="T414" i="1"/>
  <c r="T406" i="1" s="1"/>
  <c r="S414" i="1"/>
  <c r="S416" i="1" s="1"/>
  <c r="S418" i="1" s="1"/>
  <c r="R414" i="1"/>
  <c r="Q414" i="1"/>
  <c r="Q416" i="1" s="1"/>
  <c r="Q418" i="1" s="1"/>
  <c r="P414" i="1"/>
  <c r="P416" i="1" s="1"/>
  <c r="P418" i="1" s="1"/>
  <c r="O414" i="1"/>
  <c r="O429" i="1" s="1"/>
  <c r="BI9" i="1"/>
  <c r="BI10" i="1" s="1"/>
  <c r="AV412" i="1"/>
  <c r="AW412" i="1" s="1"/>
  <c r="AX412" i="1" s="1"/>
  <c r="AY412" i="1" s="1"/>
  <c r="AZ412" i="1" s="1"/>
  <c r="BA412" i="1" s="1"/>
  <c r="BB412" i="1" s="1"/>
  <c r="BC412" i="1" s="1"/>
  <c r="BD412" i="1" s="1"/>
  <c r="BE412" i="1" s="1"/>
  <c r="BF412" i="1" s="1"/>
  <c r="AU411" i="1"/>
  <c r="AV411" i="1" s="1"/>
  <c r="AW411" i="1" s="1"/>
  <c r="AX411" i="1" s="1"/>
  <c r="AY411" i="1" s="1"/>
  <c r="AZ411" i="1" s="1"/>
  <c r="BA411" i="1" s="1"/>
  <c r="BB411" i="1" s="1"/>
  <c r="BC411" i="1" s="1"/>
  <c r="BD411" i="1" s="1"/>
  <c r="BE411" i="1" s="1"/>
  <c r="BF410" i="1"/>
  <c r="AP406" i="1"/>
  <c r="AM406" i="1"/>
  <c r="AJ406" i="1"/>
  <c r="AI406" i="1"/>
  <c r="AE406" i="1"/>
  <c r="AC406" i="1"/>
  <c r="W406" i="1"/>
  <c r="V406" i="1"/>
  <c r="R406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P402" i="1"/>
  <c r="O402" i="1"/>
  <c r="AO379" i="1"/>
  <c r="AN379" i="1"/>
  <c r="R379" i="1"/>
  <c r="Q379" i="1"/>
  <c r="AU379" i="1"/>
  <c r="AU377" i="1" s="1"/>
  <c r="AT378" i="1"/>
  <c r="AT380" i="1" s="1"/>
  <c r="AS378" i="1"/>
  <c r="AS380" i="1" s="1"/>
  <c r="AR378" i="1"/>
  <c r="AR380" i="1" s="1"/>
  <c r="AQ378" i="1"/>
  <c r="AQ380" i="1" s="1"/>
  <c r="AP378" i="1"/>
  <c r="AP380" i="1" s="1"/>
  <c r="AO378" i="1"/>
  <c r="AO380" i="1" s="1"/>
  <c r="AN378" i="1"/>
  <c r="AN380" i="1" s="1"/>
  <c r="AM378" i="1"/>
  <c r="AM380" i="1" s="1"/>
  <c r="AL378" i="1"/>
  <c r="AL380" i="1" s="1"/>
  <c r="AK378" i="1"/>
  <c r="AK380" i="1" s="1"/>
  <c r="AJ378" i="1"/>
  <c r="AJ380" i="1" s="1"/>
  <c r="AI378" i="1"/>
  <c r="AI380" i="1" s="1"/>
  <c r="AH378" i="1"/>
  <c r="AH380" i="1" s="1"/>
  <c r="AG378" i="1"/>
  <c r="AG380" i="1" s="1"/>
  <c r="AF378" i="1"/>
  <c r="AF380" i="1" s="1"/>
  <c r="AE378" i="1"/>
  <c r="AE380" i="1" s="1"/>
  <c r="AD378" i="1"/>
  <c r="AC378" i="1"/>
  <c r="AC380" i="1" s="1"/>
  <c r="AB378" i="1"/>
  <c r="AA378" i="1"/>
  <c r="AA380" i="1" s="1"/>
  <c r="Z378" i="1"/>
  <c r="Z380" i="1" s="1"/>
  <c r="Y378" i="1"/>
  <c r="Y380" i="1" s="1"/>
  <c r="X378" i="1"/>
  <c r="X377" i="1" s="1"/>
  <c r="W378" i="1"/>
  <c r="W380" i="1" s="1"/>
  <c r="V378" i="1"/>
  <c r="V380" i="1" s="1"/>
  <c r="U378" i="1"/>
  <c r="U380" i="1" s="1"/>
  <c r="T378" i="1"/>
  <c r="T380" i="1" s="1"/>
  <c r="S378" i="1"/>
  <c r="S380" i="1" s="1"/>
  <c r="R378" i="1"/>
  <c r="R380" i="1" s="1"/>
  <c r="Q378" i="1"/>
  <c r="Q380" i="1" s="1"/>
  <c r="P378" i="1"/>
  <c r="P380" i="1" s="1"/>
  <c r="O378" i="1"/>
  <c r="O377" i="1" s="1"/>
  <c r="AD37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T367" i="1"/>
  <c r="S367" i="1"/>
  <c r="R367" i="1"/>
  <c r="Q367" i="1"/>
  <c r="P367" i="1"/>
  <c r="O367" i="1"/>
  <c r="AQ360" i="1"/>
  <c r="AP360" i="1"/>
  <c r="AO360" i="1"/>
  <c r="AN360" i="1"/>
  <c r="AL360" i="1"/>
  <c r="AK360" i="1"/>
  <c r="AJ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Q360" i="1"/>
  <c r="P360" i="1"/>
  <c r="O360" i="1"/>
  <c r="AS334" i="1"/>
  <c r="AR334" i="1"/>
  <c r="AQ334" i="1"/>
  <c r="AQ335" i="1" s="1"/>
  <c r="AP334" i="1"/>
  <c r="AO334" i="1"/>
  <c r="AN334" i="1"/>
  <c r="AM334" i="1"/>
  <c r="AL334" i="1"/>
  <c r="AL335" i="1" s="1"/>
  <c r="AK334" i="1"/>
  <c r="AJ334" i="1"/>
  <c r="AI334" i="1"/>
  <c r="AI335" i="1" s="1"/>
  <c r="AH334" i="1"/>
  <c r="AG334" i="1"/>
  <c r="AF334" i="1"/>
  <c r="AE334" i="1"/>
  <c r="AD334" i="1"/>
  <c r="AD335" i="1" s="1"/>
  <c r="AC334" i="1"/>
  <c r="AB334" i="1"/>
  <c r="AA334" i="1"/>
  <c r="AA335" i="1" s="1"/>
  <c r="Z334" i="1"/>
  <c r="Y334" i="1"/>
  <c r="X334" i="1"/>
  <c r="W334" i="1"/>
  <c r="V334" i="1"/>
  <c r="V335" i="1" s="1"/>
  <c r="U334" i="1"/>
  <c r="T334" i="1"/>
  <c r="S334" i="1"/>
  <c r="S335" i="1" s="1"/>
  <c r="R334" i="1"/>
  <c r="Q334" i="1"/>
  <c r="P334" i="1"/>
  <c r="O334" i="1"/>
  <c r="BF331" i="1"/>
  <c r="BE331" i="1"/>
  <c r="BD331" i="1"/>
  <c r="BC331" i="1"/>
  <c r="BB331" i="1"/>
  <c r="BA331" i="1"/>
  <c r="AZ331" i="1"/>
  <c r="AY331" i="1"/>
  <c r="AX331" i="1"/>
  <c r="AW331" i="1"/>
  <c r="AV331" i="1"/>
  <c r="AU331" i="1"/>
  <c r="AT331" i="1"/>
  <c r="AS331" i="1"/>
  <c r="AR331" i="1"/>
  <c r="AQ331" i="1"/>
  <c r="AP331" i="1"/>
  <c r="AO331" i="1"/>
  <c r="AN331" i="1"/>
  <c r="AM331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AS328" i="1"/>
  <c r="AR328" i="1"/>
  <c r="AQ328" i="1"/>
  <c r="AP328" i="1"/>
  <c r="AP333" i="1" s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AU327" i="1"/>
  <c r="AV327" i="1" s="1"/>
  <c r="AW327" i="1" s="1"/>
  <c r="AX327" i="1" s="1"/>
  <c r="AY327" i="1" s="1"/>
  <c r="AZ327" i="1" s="1"/>
  <c r="BA327" i="1" s="1"/>
  <c r="BB327" i="1" s="1"/>
  <c r="BC327" i="1" s="1"/>
  <c r="BD327" i="1" s="1"/>
  <c r="BE327" i="1" s="1"/>
  <c r="BF327" i="1" s="1"/>
  <c r="AU324" i="1"/>
  <c r="AV324" i="1" s="1"/>
  <c r="AW324" i="1" s="1"/>
  <c r="AT320" i="1"/>
  <c r="AT426" i="1" s="1"/>
  <c r="AT317" i="1"/>
  <c r="AS319" i="1"/>
  <c r="AS323" i="1" s="1"/>
  <c r="AS329" i="1" s="1"/>
  <c r="AR319" i="1"/>
  <c r="AR323" i="1" s="1"/>
  <c r="AQ319" i="1"/>
  <c r="AQ323" i="1" s="1"/>
  <c r="AP319" i="1"/>
  <c r="AP323" i="1" s="1"/>
  <c r="AO319" i="1"/>
  <c r="AO323" i="1" s="1"/>
  <c r="AO329" i="1" s="1"/>
  <c r="AN319" i="1"/>
  <c r="AN323" i="1" s="1"/>
  <c r="AM319" i="1"/>
  <c r="AM323" i="1" s="1"/>
  <c r="AL319" i="1"/>
  <c r="AL323" i="1" s="1"/>
  <c r="AK319" i="1"/>
  <c r="AK323" i="1" s="1"/>
  <c r="AK329" i="1" s="1"/>
  <c r="AJ319" i="1"/>
  <c r="AJ323" i="1" s="1"/>
  <c r="AI319" i="1"/>
  <c r="AI323" i="1" s="1"/>
  <c r="AH319" i="1"/>
  <c r="AH323" i="1" s="1"/>
  <c r="AG319" i="1"/>
  <c r="AG323" i="1" s="1"/>
  <c r="AG329" i="1" s="1"/>
  <c r="AF319" i="1"/>
  <c r="AF323" i="1" s="1"/>
  <c r="AE319" i="1"/>
  <c r="AE323" i="1" s="1"/>
  <c r="AD319" i="1"/>
  <c r="AD323" i="1" s="1"/>
  <c r="AC319" i="1"/>
  <c r="AC323" i="1" s="1"/>
  <c r="AC329" i="1" s="1"/>
  <c r="AB319" i="1"/>
  <c r="AB323" i="1" s="1"/>
  <c r="AA319" i="1"/>
  <c r="AA323" i="1" s="1"/>
  <c r="AA329" i="1" s="1"/>
  <c r="Z319" i="1"/>
  <c r="Z323" i="1" s="1"/>
  <c r="Y319" i="1"/>
  <c r="Y323" i="1" s="1"/>
  <c r="Y329" i="1" s="1"/>
  <c r="X319" i="1"/>
  <c r="X323" i="1" s="1"/>
  <c r="W319" i="1"/>
  <c r="W323" i="1" s="1"/>
  <c r="W329" i="1" s="1"/>
  <c r="V319" i="1"/>
  <c r="V323" i="1" s="1"/>
  <c r="U319" i="1"/>
  <c r="U323" i="1" s="1"/>
  <c r="U329" i="1" s="1"/>
  <c r="T319" i="1"/>
  <c r="T323" i="1" s="1"/>
  <c r="S319" i="1"/>
  <c r="S323" i="1" s="1"/>
  <c r="S329" i="1" s="1"/>
  <c r="R319" i="1"/>
  <c r="R323" i="1" s="1"/>
  <c r="Q319" i="1"/>
  <c r="Q323" i="1" s="1"/>
  <c r="Q329" i="1" s="1"/>
  <c r="P319" i="1"/>
  <c r="P323" i="1" s="1"/>
  <c r="O319" i="1"/>
  <c r="O323" i="1" s="1"/>
  <c r="O329" i="1" s="1"/>
  <c r="AU326" i="1"/>
  <c r="AV326" i="1" s="1"/>
  <c r="AW326" i="1" s="1"/>
  <c r="AX326" i="1" s="1"/>
  <c r="AY326" i="1" s="1"/>
  <c r="AZ326" i="1" s="1"/>
  <c r="BA326" i="1" s="1"/>
  <c r="BB326" i="1" s="1"/>
  <c r="BC326" i="1" s="1"/>
  <c r="BD326" i="1" s="1"/>
  <c r="BE326" i="1" s="1"/>
  <c r="BF326" i="1" s="1"/>
  <c r="AU322" i="1"/>
  <c r="AV322" i="1" s="1"/>
  <c r="AW322" i="1" s="1"/>
  <c r="AX322" i="1" s="1"/>
  <c r="AY322" i="1" s="1"/>
  <c r="AZ322" i="1" s="1"/>
  <c r="BA322" i="1" s="1"/>
  <c r="BB322" i="1" s="1"/>
  <c r="BC322" i="1" s="1"/>
  <c r="BD322" i="1" s="1"/>
  <c r="BE322" i="1" s="1"/>
  <c r="BF322" i="1" s="1"/>
  <c r="AU317" i="1"/>
  <c r="AV317" i="1" s="1"/>
  <c r="AW317" i="1" s="1"/>
  <c r="AX317" i="1" s="1"/>
  <c r="AY317" i="1" s="1"/>
  <c r="AZ317" i="1" s="1"/>
  <c r="BA317" i="1" s="1"/>
  <c r="BB317" i="1" s="1"/>
  <c r="BC317" i="1" s="1"/>
  <c r="BD317" i="1" s="1"/>
  <c r="BE317" i="1" s="1"/>
  <c r="BF317" i="1" s="1"/>
  <c r="BF315" i="1"/>
  <c r="BE315" i="1"/>
  <c r="M331" i="1"/>
  <c r="L331" i="1"/>
  <c r="K331" i="1"/>
  <c r="J331" i="1"/>
  <c r="I331" i="1"/>
  <c r="H331" i="1"/>
  <c r="G331" i="1"/>
  <c r="F331" i="1"/>
  <c r="E331" i="1"/>
  <c r="D331" i="1"/>
  <c r="C331" i="1"/>
  <c r="AS309" i="1"/>
  <c r="AR309" i="1"/>
  <c r="AS71" i="1" s="1"/>
  <c r="AQ309" i="1"/>
  <c r="AP309" i="1"/>
  <c r="AO309" i="1"/>
  <c r="AN309" i="1"/>
  <c r="AO71" i="1" s="1"/>
  <c r="AM309" i="1"/>
  <c r="AL309" i="1"/>
  <c r="AK309" i="1"/>
  <c r="AJ309" i="1"/>
  <c r="AK71" i="1" s="1"/>
  <c r="AI309" i="1"/>
  <c r="AH309" i="1"/>
  <c r="AG309" i="1"/>
  <c r="AF309" i="1"/>
  <c r="AG71" i="1" s="1"/>
  <c r="AE309" i="1"/>
  <c r="AD309" i="1"/>
  <c r="AC309" i="1"/>
  <c r="AB309" i="1"/>
  <c r="AC71" i="1" s="1"/>
  <c r="AA309" i="1"/>
  <c r="Z309" i="1"/>
  <c r="Y309" i="1"/>
  <c r="X309" i="1"/>
  <c r="Y71" i="1" s="1"/>
  <c r="W309" i="1"/>
  <c r="V309" i="1"/>
  <c r="U309" i="1"/>
  <c r="T309" i="1"/>
  <c r="U71" i="1" s="1"/>
  <c r="S309" i="1"/>
  <c r="R309" i="1"/>
  <c r="Q309" i="1"/>
  <c r="P309" i="1"/>
  <c r="Q71" i="1" s="1"/>
  <c r="O309" i="1"/>
  <c r="AS306" i="1"/>
  <c r="AR306" i="1"/>
  <c r="AQ306" i="1"/>
  <c r="AQ351" i="1" s="1"/>
  <c r="AP306" i="1"/>
  <c r="AO306" i="1"/>
  <c r="AN306" i="1"/>
  <c r="AM306" i="1"/>
  <c r="AM351" i="1" s="1"/>
  <c r="AL306" i="1"/>
  <c r="AK306" i="1"/>
  <c r="AJ306" i="1"/>
  <c r="AI306" i="1"/>
  <c r="AI351" i="1" s="1"/>
  <c r="AH306" i="1"/>
  <c r="AG306" i="1"/>
  <c r="AF306" i="1"/>
  <c r="AE306" i="1"/>
  <c r="AE351" i="1" s="1"/>
  <c r="AD306" i="1"/>
  <c r="AC306" i="1"/>
  <c r="AB306" i="1"/>
  <c r="AA306" i="1"/>
  <c r="AA351" i="1" s="1"/>
  <c r="Z306" i="1"/>
  <c r="Y306" i="1"/>
  <c r="X306" i="1"/>
  <c r="W306" i="1"/>
  <c r="W351" i="1" s="1"/>
  <c r="V306" i="1"/>
  <c r="U306" i="1"/>
  <c r="T306" i="1"/>
  <c r="S306" i="1"/>
  <c r="S351" i="1" s="1"/>
  <c r="R306" i="1"/>
  <c r="Q306" i="1"/>
  <c r="P306" i="1"/>
  <c r="O306" i="1"/>
  <c r="O351" i="1" s="1"/>
  <c r="AU311" i="1"/>
  <c r="AV311" i="1" s="1"/>
  <c r="AW311" i="1" s="1"/>
  <c r="AX311" i="1" s="1"/>
  <c r="AY311" i="1" s="1"/>
  <c r="AZ311" i="1" s="1"/>
  <c r="BA311" i="1" s="1"/>
  <c r="BB311" i="1" s="1"/>
  <c r="BC311" i="1" s="1"/>
  <c r="BD311" i="1" s="1"/>
  <c r="BE311" i="1" s="1"/>
  <c r="BF311" i="1" s="1"/>
  <c r="AT304" i="1"/>
  <c r="AU304" i="1" s="1"/>
  <c r="AV304" i="1" s="1"/>
  <c r="AW304" i="1" s="1"/>
  <c r="AU302" i="1"/>
  <c r="AV302" i="1" s="1"/>
  <c r="AW302" i="1" s="1"/>
  <c r="BF298" i="1"/>
  <c r="BE298" i="1"/>
  <c r="BD298" i="1"/>
  <c r="BC298" i="1"/>
  <c r="BB298" i="1"/>
  <c r="BA298" i="1"/>
  <c r="AZ298" i="1"/>
  <c r="AY298" i="1"/>
  <c r="AX298" i="1"/>
  <c r="AW298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M298" i="1"/>
  <c r="L298" i="1"/>
  <c r="K298" i="1"/>
  <c r="J298" i="1"/>
  <c r="I298" i="1"/>
  <c r="H298" i="1"/>
  <c r="G298" i="1"/>
  <c r="F298" i="1"/>
  <c r="E298" i="1"/>
  <c r="D298" i="1"/>
  <c r="C298" i="1"/>
  <c r="AS283" i="1"/>
  <c r="AS295" i="1" s="1"/>
  <c r="AS296" i="1" s="1"/>
  <c r="AR283" i="1"/>
  <c r="AR295" i="1" s="1"/>
  <c r="AR296" i="1" s="1"/>
  <c r="AQ283" i="1"/>
  <c r="AQ295" i="1" s="1"/>
  <c r="AQ296" i="1" s="1"/>
  <c r="AP283" i="1"/>
  <c r="AP295" i="1" s="1"/>
  <c r="AO283" i="1"/>
  <c r="AO295" i="1" s="1"/>
  <c r="AN283" i="1"/>
  <c r="AN295" i="1" s="1"/>
  <c r="AM283" i="1"/>
  <c r="AM295" i="1" s="1"/>
  <c r="AL283" i="1"/>
  <c r="AL295" i="1" s="1"/>
  <c r="AK283" i="1"/>
  <c r="AK295" i="1" s="1"/>
  <c r="AJ283" i="1"/>
  <c r="AJ295" i="1" s="1"/>
  <c r="AI283" i="1"/>
  <c r="AI295" i="1" s="1"/>
  <c r="AH283" i="1"/>
  <c r="AH295" i="1" s="1"/>
  <c r="AG283" i="1"/>
  <c r="AG295" i="1" s="1"/>
  <c r="AF283" i="1"/>
  <c r="AF295" i="1" s="1"/>
  <c r="AE283" i="1"/>
  <c r="AE295" i="1" s="1"/>
  <c r="AD283" i="1"/>
  <c r="AD295" i="1" s="1"/>
  <c r="AC283" i="1"/>
  <c r="AC295" i="1" s="1"/>
  <c r="AB283" i="1"/>
  <c r="AB295" i="1" s="1"/>
  <c r="AA283" i="1"/>
  <c r="AA295" i="1" s="1"/>
  <c r="Z283" i="1"/>
  <c r="Z295" i="1" s="1"/>
  <c r="Y283" i="1"/>
  <c r="Y295" i="1" s="1"/>
  <c r="X283" i="1"/>
  <c r="X295" i="1" s="1"/>
  <c r="W283" i="1"/>
  <c r="W295" i="1" s="1"/>
  <c r="V283" i="1"/>
  <c r="V295" i="1" s="1"/>
  <c r="U283" i="1"/>
  <c r="U295" i="1" s="1"/>
  <c r="T283" i="1"/>
  <c r="T295" i="1" s="1"/>
  <c r="S283" i="1"/>
  <c r="S295" i="1" s="1"/>
  <c r="R283" i="1"/>
  <c r="R295" i="1" s="1"/>
  <c r="Q283" i="1"/>
  <c r="Q295" i="1" s="1"/>
  <c r="P283" i="1"/>
  <c r="P295" i="1" s="1"/>
  <c r="O283" i="1"/>
  <c r="O295" i="1" s="1"/>
  <c r="AR273" i="1"/>
  <c r="AS273" i="1" s="1"/>
  <c r="AT273" i="1" s="1"/>
  <c r="AN273" i="1"/>
  <c r="AO273" i="1" s="1"/>
  <c r="AP273" i="1" s="1"/>
  <c r="AJ273" i="1"/>
  <c r="AK273" i="1" s="1"/>
  <c r="AL273" i="1" s="1"/>
  <c r="AF273" i="1"/>
  <c r="AG273" i="1" s="1"/>
  <c r="AH273" i="1" s="1"/>
  <c r="AB273" i="1"/>
  <c r="AC273" i="1" s="1"/>
  <c r="AD273" i="1" s="1"/>
  <c r="X273" i="1"/>
  <c r="Y273" i="1" s="1"/>
  <c r="Z273" i="1" s="1"/>
  <c r="T273" i="1"/>
  <c r="U273" i="1" s="1"/>
  <c r="V273" i="1" s="1"/>
  <c r="P273" i="1"/>
  <c r="Q273" i="1" s="1"/>
  <c r="R273" i="1" s="1"/>
  <c r="AU271" i="1"/>
  <c r="AU366" i="1" s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BF268" i="1"/>
  <c r="BE268" i="1"/>
  <c r="BD268" i="1"/>
  <c r="BC268" i="1"/>
  <c r="BB268" i="1"/>
  <c r="BA268" i="1"/>
  <c r="AZ268" i="1"/>
  <c r="AY268" i="1"/>
  <c r="AX268" i="1"/>
  <c r="AW268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M268" i="1"/>
  <c r="L268" i="1"/>
  <c r="K268" i="1"/>
  <c r="J268" i="1"/>
  <c r="I268" i="1"/>
  <c r="H268" i="1"/>
  <c r="G268" i="1"/>
  <c r="F268" i="1"/>
  <c r="E268" i="1"/>
  <c r="D268" i="1"/>
  <c r="C268" i="1"/>
  <c r="AT265" i="1"/>
  <c r="AT266" i="1" s="1"/>
  <c r="AS265" i="1"/>
  <c r="AS266" i="1" s="1"/>
  <c r="AR265" i="1"/>
  <c r="AR266" i="1" s="1"/>
  <c r="AQ265" i="1"/>
  <c r="AQ266" i="1" s="1"/>
  <c r="AP265" i="1"/>
  <c r="AP266" i="1" s="1"/>
  <c r="AO265" i="1"/>
  <c r="AO266" i="1" s="1"/>
  <c r="AN265" i="1"/>
  <c r="AN266" i="1" s="1"/>
  <c r="AM265" i="1"/>
  <c r="AM266" i="1" s="1"/>
  <c r="AL265" i="1"/>
  <c r="AL266" i="1" s="1"/>
  <c r="AK265" i="1"/>
  <c r="AK266" i="1" s="1"/>
  <c r="AJ265" i="1"/>
  <c r="AJ266" i="1" s="1"/>
  <c r="AI265" i="1"/>
  <c r="AI266" i="1" s="1"/>
  <c r="AH265" i="1"/>
  <c r="AH266" i="1" s="1"/>
  <c r="AG265" i="1"/>
  <c r="AG266" i="1" s="1"/>
  <c r="AF265" i="1"/>
  <c r="AF266" i="1" s="1"/>
  <c r="AE265" i="1"/>
  <c r="AE266" i="1" s="1"/>
  <c r="AD265" i="1"/>
  <c r="AD266" i="1" s="1"/>
  <c r="AC265" i="1"/>
  <c r="AC266" i="1" s="1"/>
  <c r="AB265" i="1"/>
  <c r="AB266" i="1" s="1"/>
  <c r="AA265" i="1"/>
  <c r="AA266" i="1" s="1"/>
  <c r="Z265" i="1"/>
  <c r="Z266" i="1" s="1"/>
  <c r="Y265" i="1"/>
  <c r="Y266" i="1" s="1"/>
  <c r="X265" i="1"/>
  <c r="X266" i="1" s="1"/>
  <c r="W265" i="1"/>
  <c r="W266" i="1" s="1"/>
  <c r="V265" i="1"/>
  <c r="V266" i="1" s="1"/>
  <c r="U265" i="1"/>
  <c r="U266" i="1" s="1"/>
  <c r="T265" i="1"/>
  <c r="T266" i="1" s="1"/>
  <c r="S265" i="1"/>
  <c r="S266" i="1" s="1"/>
  <c r="R265" i="1"/>
  <c r="R266" i="1" s="1"/>
  <c r="Q265" i="1"/>
  <c r="Q266" i="1" s="1"/>
  <c r="P265" i="1"/>
  <c r="P266" i="1" s="1"/>
  <c r="O265" i="1"/>
  <c r="O266" i="1" s="1"/>
  <c r="AU249" i="1"/>
  <c r="AU250" i="1" s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AT244" i="1"/>
  <c r="AS244" i="1"/>
  <c r="AS249" i="1" s="1"/>
  <c r="AS250" i="1" s="1"/>
  <c r="AR244" i="1"/>
  <c r="AR249" i="1" s="1"/>
  <c r="AR250" i="1" s="1"/>
  <c r="AQ244" i="1"/>
  <c r="AQ249" i="1" s="1"/>
  <c r="AQ250" i="1" s="1"/>
  <c r="AP244" i="1"/>
  <c r="AP249" i="1" s="1"/>
  <c r="AP250" i="1" s="1"/>
  <c r="AO244" i="1"/>
  <c r="AO249" i="1" s="1"/>
  <c r="AO250" i="1" s="1"/>
  <c r="AN244" i="1"/>
  <c r="AN249" i="1" s="1"/>
  <c r="AN250" i="1" s="1"/>
  <c r="AM244" i="1"/>
  <c r="AM249" i="1" s="1"/>
  <c r="AM250" i="1" s="1"/>
  <c r="AL244" i="1"/>
  <c r="AL249" i="1" s="1"/>
  <c r="AL250" i="1" s="1"/>
  <c r="AK244" i="1"/>
  <c r="AK249" i="1" s="1"/>
  <c r="AK250" i="1" s="1"/>
  <c r="AJ244" i="1"/>
  <c r="AJ249" i="1" s="1"/>
  <c r="AJ250" i="1" s="1"/>
  <c r="AI244" i="1"/>
  <c r="AI249" i="1" s="1"/>
  <c r="AI250" i="1" s="1"/>
  <c r="AH244" i="1"/>
  <c r="AH249" i="1" s="1"/>
  <c r="AH250" i="1" s="1"/>
  <c r="AG244" i="1"/>
  <c r="AG249" i="1" s="1"/>
  <c r="AG250" i="1" s="1"/>
  <c r="AF244" i="1"/>
  <c r="AF249" i="1" s="1"/>
  <c r="AF250" i="1" s="1"/>
  <c r="AE244" i="1"/>
  <c r="AE249" i="1" s="1"/>
  <c r="AE250" i="1" s="1"/>
  <c r="AD244" i="1"/>
  <c r="AD249" i="1" s="1"/>
  <c r="AD250" i="1" s="1"/>
  <c r="AC244" i="1"/>
  <c r="AC249" i="1" s="1"/>
  <c r="AC250" i="1" s="1"/>
  <c r="AB244" i="1"/>
  <c r="AB249" i="1" s="1"/>
  <c r="AB250" i="1" s="1"/>
  <c r="AA244" i="1"/>
  <c r="AA249" i="1" s="1"/>
  <c r="AA250" i="1" s="1"/>
  <c r="Z244" i="1"/>
  <c r="Z249" i="1" s="1"/>
  <c r="Z250" i="1" s="1"/>
  <c r="Y244" i="1"/>
  <c r="Y249" i="1" s="1"/>
  <c r="Y250" i="1" s="1"/>
  <c r="X244" i="1"/>
  <c r="X249" i="1" s="1"/>
  <c r="X250" i="1" s="1"/>
  <c r="W244" i="1"/>
  <c r="W249" i="1" s="1"/>
  <c r="W250" i="1" s="1"/>
  <c r="V244" i="1"/>
  <c r="V249" i="1" s="1"/>
  <c r="V250" i="1" s="1"/>
  <c r="U244" i="1"/>
  <c r="U249" i="1" s="1"/>
  <c r="U250" i="1" s="1"/>
  <c r="T244" i="1"/>
  <c r="T249" i="1" s="1"/>
  <c r="T250" i="1" s="1"/>
  <c r="S244" i="1"/>
  <c r="S249" i="1" s="1"/>
  <c r="S250" i="1" s="1"/>
  <c r="R244" i="1"/>
  <c r="R249" i="1" s="1"/>
  <c r="R250" i="1" s="1"/>
  <c r="Q244" i="1"/>
  <c r="Q249" i="1" s="1"/>
  <c r="Q250" i="1" s="1"/>
  <c r="P244" i="1"/>
  <c r="P249" i="1" s="1"/>
  <c r="P250" i="1" s="1"/>
  <c r="O244" i="1"/>
  <c r="O249" i="1" s="1"/>
  <c r="O250" i="1" s="1"/>
  <c r="AU233" i="1"/>
  <c r="AU234" i="1" s="1"/>
  <c r="AS232" i="1"/>
  <c r="AR232" i="1"/>
  <c r="AR240" i="1" s="1"/>
  <c r="AR256" i="1" s="1"/>
  <c r="AQ232" i="1"/>
  <c r="AQ240" i="1" s="1"/>
  <c r="AQ256" i="1" s="1"/>
  <c r="AP232" i="1"/>
  <c r="AP240" i="1" s="1"/>
  <c r="AP256" i="1" s="1"/>
  <c r="AO232" i="1"/>
  <c r="AN232" i="1"/>
  <c r="AN240" i="1" s="1"/>
  <c r="AN256" i="1" s="1"/>
  <c r="AM232" i="1"/>
  <c r="AM240" i="1" s="1"/>
  <c r="AM256" i="1" s="1"/>
  <c r="AL232" i="1"/>
  <c r="AL240" i="1" s="1"/>
  <c r="AL256" i="1" s="1"/>
  <c r="AK232" i="1"/>
  <c r="AJ232" i="1"/>
  <c r="AJ240" i="1" s="1"/>
  <c r="AJ256" i="1" s="1"/>
  <c r="AI232" i="1"/>
  <c r="AI240" i="1" s="1"/>
  <c r="AI256" i="1" s="1"/>
  <c r="AH232" i="1"/>
  <c r="AH240" i="1" s="1"/>
  <c r="AH256" i="1" s="1"/>
  <c r="AG232" i="1"/>
  <c r="AF232" i="1"/>
  <c r="AF240" i="1" s="1"/>
  <c r="AF256" i="1" s="1"/>
  <c r="AE232" i="1"/>
  <c r="AE240" i="1" s="1"/>
  <c r="AE256" i="1" s="1"/>
  <c r="AD232" i="1"/>
  <c r="AD240" i="1" s="1"/>
  <c r="AD256" i="1" s="1"/>
  <c r="AC232" i="1"/>
  <c r="AB232" i="1"/>
  <c r="AB240" i="1" s="1"/>
  <c r="AB256" i="1" s="1"/>
  <c r="AA232" i="1"/>
  <c r="AA240" i="1" s="1"/>
  <c r="AA256" i="1" s="1"/>
  <c r="Z232" i="1"/>
  <c r="Z240" i="1" s="1"/>
  <c r="Z256" i="1" s="1"/>
  <c r="Y232" i="1"/>
  <c r="X232" i="1"/>
  <c r="X240" i="1" s="1"/>
  <c r="X256" i="1" s="1"/>
  <c r="W232" i="1"/>
  <c r="W240" i="1" s="1"/>
  <c r="W256" i="1" s="1"/>
  <c r="V232" i="1"/>
  <c r="V240" i="1" s="1"/>
  <c r="V256" i="1" s="1"/>
  <c r="U232" i="1"/>
  <c r="T232" i="1"/>
  <c r="T240" i="1" s="1"/>
  <c r="T256" i="1" s="1"/>
  <c r="S232" i="1"/>
  <c r="S240" i="1" s="1"/>
  <c r="S256" i="1" s="1"/>
  <c r="R232" i="1"/>
  <c r="R240" i="1" s="1"/>
  <c r="R256" i="1" s="1"/>
  <c r="Q232" i="1"/>
  <c r="P232" i="1"/>
  <c r="P240" i="1" s="1"/>
  <c r="P256" i="1" s="1"/>
  <c r="O232" i="1"/>
  <c r="O240" i="1" s="1"/>
  <c r="O256" i="1" s="1"/>
  <c r="U231" i="1"/>
  <c r="T231" i="1"/>
  <c r="S231" i="1"/>
  <c r="R231" i="1"/>
  <c r="Q231" i="1"/>
  <c r="P231" i="1"/>
  <c r="O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AT230" i="1"/>
  <c r="AS230" i="1"/>
  <c r="AS238" i="1" s="1"/>
  <c r="AR230" i="1"/>
  <c r="AR238" i="1" s="1"/>
  <c r="AQ230" i="1"/>
  <c r="AQ238" i="1" s="1"/>
  <c r="AQ254" i="1" s="1"/>
  <c r="AP230" i="1"/>
  <c r="AP238" i="1" s="1"/>
  <c r="AO230" i="1"/>
  <c r="AO238" i="1" s="1"/>
  <c r="AN230" i="1"/>
  <c r="AN238" i="1" s="1"/>
  <c r="AM230" i="1"/>
  <c r="AM238" i="1" s="1"/>
  <c r="AM254" i="1" s="1"/>
  <c r="AL230" i="1"/>
  <c r="AL238" i="1" s="1"/>
  <c r="AK230" i="1"/>
  <c r="AK238" i="1" s="1"/>
  <c r="AJ230" i="1"/>
  <c r="AJ238" i="1" s="1"/>
  <c r="AI230" i="1"/>
  <c r="AI238" i="1" s="1"/>
  <c r="AI254" i="1" s="1"/>
  <c r="AH230" i="1"/>
  <c r="AH238" i="1" s="1"/>
  <c r="AG230" i="1"/>
  <c r="AG238" i="1" s="1"/>
  <c r="AF230" i="1"/>
  <c r="AF238" i="1" s="1"/>
  <c r="AE230" i="1"/>
  <c r="AE238" i="1" s="1"/>
  <c r="AE254" i="1" s="1"/>
  <c r="AD230" i="1"/>
  <c r="AD238" i="1" s="1"/>
  <c r="AC230" i="1"/>
  <c r="AC238" i="1" s="1"/>
  <c r="AB230" i="1"/>
  <c r="AB238" i="1" s="1"/>
  <c r="AA230" i="1"/>
  <c r="AA238" i="1" s="1"/>
  <c r="AA254" i="1" s="1"/>
  <c r="Z230" i="1"/>
  <c r="Z238" i="1" s="1"/>
  <c r="Y230" i="1"/>
  <c r="Y238" i="1" s="1"/>
  <c r="X230" i="1"/>
  <c r="X238" i="1" s="1"/>
  <c r="W230" i="1"/>
  <c r="W238" i="1" s="1"/>
  <c r="W254" i="1" s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30" i="1"/>
  <c r="V238" i="1" s="1"/>
  <c r="U230" i="1"/>
  <c r="U238" i="1" s="1"/>
  <c r="T230" i="1"/>
  <c r="T238" i="1" s="1"/>
  <c r="S230" i="1"/>
  <c r="S238" i="1" s="1"/>
  <c r="S254" i="1" s="1"/>
  <c r="R230" i="1"/>
  <c r="R238" i="1" s="1"/>
  <c r="Q230" i="1"/>
  <c r="Q238" i="1" s="1"/>
  <c r="P230" i="1"/>
  <c r="P238" i="1" s="1"/>
  <c r="O230" i="1"/>
  <c r="O238" i="1" s="1"/>
  <c r="O254" i="1" s="1"/>
  <c r="V229" i="1"/>
  <c r="U229" i="1"/>
  <c r="T229" i="1"/>
  <c r="S229" i="1"/>
  <c r="R229" i="1"/>
  <c r="Q229" i="1"/>
  <c r="P229" i="1"/>
  <c r="O229" i="1"/>
  <c r="V228" i="1"/>
  <c r="U228" i="1"/>
  <c r="T228" i="1"/>
  <c r="S228" i="1"/>
  <c r="R228" i="1"/>
  <c r="Q228" i="1"/>
  <c r="P228" i="1"/>
  <c r="O228" i="1"/>
  <c r="AT221" i="1"/>
  <c r="AT220" i="1"/>
  <c r="BF220" i="1"/>
  <c r="BE220" i="1"/>
  <c r="BD220" i="1"/>
  <c r="BC220" i="1"/>
  <c r="BB220" i="1"/>
  <c r="BA220" i="1"/>
  <c r="AZ220" i="1"/>
  <c r="AY220" i="1"/>
  <c r="AX220" i="1"/>
  <c r="AW220" i="1"/>
  <c r="AV220" i="1"/>
  <c r="AU220" i="1"/>
  <c r="AS220" i="1"/>
  <c r="AS222" i="1" s="1"/>
  <c r="AS224" i="1" s="1"/>
  <c r="AR220" i="1"/>
  <c r="AR222" i="1" s="1"/>
  <c r="AQ220" i="1"/>
  <c r="AQ222" i="1" s="1"/>
  <c r="AQ224" i="1" s="1"/>
  <c r="AP220" i="1"/>
  <c r="AP222" i="1" s="1"/>
  <c r="AO220" i="1"/>
  <c r="AO222" i="1" s="1"/>
  <c r="AO224" i="1" s="1"/>
  <c r="AN220" i="1"/>
  <c r="AN222" i="1" s="1"/>
  <c r="AM220" i="1"/>
  <c r="AM222" i="1" s="1"/>
  <c r="AM224" i="1" s="1"/>
  <c r="AL220" i="1"/>
  <c r="AL222" i="1" s="1"/>
  <c r="AK220" i="1"/>
  <c r="AK222" i="1" s="1"/>
  <c r="AK224" i="1" s="1"/>
  <c r="AJ220" i="1"/>
  <c r="AJ222" i="1" s="1"/>
  <c r="AI220" i="1"/>
  <c r="AI222" i="1" s="1"/>
  <c r="AI224" i="1" s="1"/>
  <c r="AH220" i="1"/>
  <c r="AH222" i="1" s="1"/>
  <c r="AG220" i="1"/>
  <c r="AG222" i="1" s="1"/>
  <c r="AG224" i="1" s="1"/>
  <c r="AF220" i="1"/>
  <c r="AF222" i="1" s="1"/>
  <c r="AE220" i="1"/>
  <c r="AE222" i="1" s="1"/>
  <c r="AE224" i="1" s="1"/>
  <c r="AD220" i="1"/>
  <c r="AD222" i="1" s="1"/>
  <c r="AC220" i="1"/>
  <c r="AC222" i="1" s="1"/>
  <c r="AC224" i="1" s="1"/>
  <c r="AB220" i="1"/>
  <c r="AB222" i="1" s="1"/>
  <c r="AA220" i="1"/>
  <c r="AA222" i="1" s="1"/>
  <c r="AA224" i="1" s="1"/>
  <c r="Z220" i="1"/>
  <c r="Z222" i="1" s="1"/>
  <c r="Y220" i="1"/>
  <c r="Y222" i="1" s="1"/>
  <c r="Y224" i="1" s="1"/>
  <c r="X220" i="1"/>
  <c r="X222" i="1" s="1"/>
  <c r="W220" i="1"/>
  <c r="W222" i="1" s="1"/>
  <c r="W224" i="1" s="1"/>
  <c r="V220" i="1"/>
  <c r="V222" i="1" s="1"/>
  <c r="U220" i="1"/>
  <c r="U222" i="1" s="1"/>
  <c r="U224" i="1" s="1"/>
  <c r="T220" i="1"/>
  <c r="T222" i="1" s="1"/>
  <c r="S220" i="1"/>
  <c r="S222" i="1" s="1"/>
  <c r="S224" i="1" s="1"/>
  <c r="R220" i="1"/>
  <c r="R222" i="1" s="1"/>
  <c r="Q220" i="1"/>
  <c r="Q222" i="1" s="1"/>
  <c r="Q224" i="1" s="1"/>
  <c r="P220" i="1"/>
  <c r="P222" i="1" s="1"/>
  <c r="O220" i="1"/>
  <c r="O222" i="1" s="1"/>
  <c r="O224" i="1" s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AT205" i="1"/>
  <c r="AT212" i="1" s="1"/>
  <c r="AS205" i="1"/>
  <c r="AR205" i="1"/>
  <c r="AQ205" i="1"/>
  <c r="AQ212" i="1" s="1"/>
  <c r="AP205" i="1"/>
  <c r="AP212" i="1" s="1"/>
  <c r="AO205" i="1"/>
  <c r="AN205" i="1"/>
  <c r="AM205" i="1"/>
  <c r="AM212" i="1" s="1"/>
  <c r="AL205" i="1"/>
  <c r="AL212" i="1" s="1"/>
  <c r="AK205" i="1"/>
  <c r="AJ205" i="1"/>
  <c r="AI205" i="1"/>
  <c r="AI212" i="1" s="1"/>
  <c r="AH205" i="1"/>
  <c r="AH212" i="1" s="1"/>
  <c r="AG205" i="1"/>
  <c r="AF205" i="1"/>
  <c r="AE205" i="1"/>
  <c r="AE212" i="1" s="1"/>
  <c r="AD205" i="1"/>
  <c r="AD212" i="1" s="1"/>
  <c r="AC205" i="1"/>
  <c r="AB205" i="1"/>
  <c r="AA205" i="1"/>
  <c r="AA212" i="1" s="1"/>
  <c r="Z205" i="1"/>
  <c r="Z212" i="1" s="1"/>
  <c r="Y205" i="1"/>
  <c r="X205" i="1"/>
  <c r="W205" i="1"/>
  <c r="W212" i="1" s="1"/>
  <c r="V205" i="1"/>
  <c r="V212" i="1" s="1"/>
  <c r="U205" i="1"/>
  <c r="T205" i="1"/>
  <c r="S205" i="1"/>
  <c r="S212" i="1" s="1"/>
  <c r="R205" i="1"/>
  <c r="R212" i="1" s="1"/>
  <c r="Q205" i="1"/>
  <c r="P205" i="1"/>
  <c r="O205" i="1"/>
  <c r="O212" i="1" s="1"/>
  <c r="AT190" i="1"/>
  <c r="AT197" i="1" s="1"/>
  <c r="O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AX176" i="1"/>
  <c r="AY176" i="1" s="1"/>
  <c r="AZ176" i="1" s="1"/>
  <c r="BA176" i="1" s="1"/>
  <c r="BB176" i="1" s="1"/>
  <c r="BC176" i="1" s="1"/>
  <c r="BD176" i="1" s="1"/>
  <c r="BE176" i="1" s="1"/>
  <c r="BF176" i="1" s="1"/>
  <c r="AU170" i="1"/>
  <c r="AT170" i="1"/>
  <c r="AT171" i="1" s="1"/>
  <c r="AS170" i="1"/>
  <c r="AS171" i="1" s="1"/>
  <c r="AR170" i="1"/>
  <c r="AR171" i="1" s="1"/>
  <c r="AQ170" i="1"/>
  <c r="AQ171" i="1" s="1"/>
  <c r="AP170" i="1"/>
  <c r="AP171" i="1" s="1"/>
  <c r="AO170" i="1"/>
  <c r="AO171" i="1" s="1"/>
  <c r="AN170" i="1"/>
  <c r="AN171" i="1" s="1"/>
  <c r="AM170" i="1"/>
  <c r="AM171" i="1" s="1"/>
  <c r="AL170" i="1"/>
  <c r="AL171" i="1" s="1"/>
  <c r="AK170" i="1"/>
  <c r="AK171" i="1" s="1"/>
  <c r="AJ170" i="1"/>
  <c r="AJ171" i="1" s="1"/>
  <c r="AI170" i="1"/>
  <c r="AI171" i="1" s="1"/>
  <c r="AH170" i="1"/>
  <c r="AH171" i="1" s="1"/>
  <c r="AG170" i="1"/>
  <c r="AG171" i="1" s="1"/>
  <c r="AF170" i="1"/>
  <c r="AF171" i="1" s="1"/>
  <c r="AE170" i="1"/>
  <c r="AE171" i="1" s="1"/>
  <c r="AD170" i="1"/>
  <c r="AD171" i="1" s="1"/>
  <c r="AC170" i="1"/>
  <c r="AC171" i="1" s="1"/>
  <c r="AB170" i="1"/>
  <c r="AB171" i="1" s="1"/>
  <c r="AA170" i="1"/>
  <c r="AA171" i="1" s="1"/>
  <c r="Z170" i="1"/>
  <c r="Z171" i="1" s="1"/>
  <c r="Y170" i="1"/>
  <c r="Y171" i="1" s="1"/>
  <c r="X170" i="1"/>
  <c r="X171" i="1" s="1"/>
  <c r="W170" i="1"/>
  <c r="W171" i="1" s="1"/>
  <c r="V170" i="1"/>
  <c r="V171" i="1" s="1"/>
  <c r="U170" i="1"/>
  <c r="U171" i="1" s="1"/>
  <c r="T170" i="1"/>
  <c r="T171" i="1" s="1"/>
  <c r="S170" i="1"/>
  <c r="S171" i="1" s="1"/>
  <c r="R170" i="1"/>
  <c r="R171" i="1" s="1"/>
  <c r="Q170" i="1"/>
  <c r="Q171" i="1" s="1"/>
  <c r="P170" i="1"/>
  <c r="P171" i="1" s="1"/>
  <c r="O170" i="1"/>
  <c r="O171" i="1" s="1"/>
  <c r="AQ165" i="1"/>
  <c r="AO165" i="1"/>
  <c r="AM165" i="1"/>
  <c r="AI165" i="1"/>
  <c r="AG165" i="1"/>
  <c r="AE165" i="1"/>
  <c r="AA165" i="1"/>
  <c r="Y165" i="1"/>
  <c r="S165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AT151" i="1"/>
  <c r="AT143" i="1" s="1"/>
  <c r="AS151" i="1"/>
  <c r="AS153" i="1" s="1"/>
  <c r="AR151" i="1"/>
  <c r="AR143" i="1" s="1"/>
  <c r="AQ151" i="1"/>
  <c r="AQ153" i="1" s="1"/>
  <c r="AP151" i="1"/>
  <c r="AP143" i="1" s="1"/>
  <c r="AO151" i="1"/>
  <c r="AO153" i="1" s="1"/>
  <c r="AN151" i="1"/>
  <c r="AN143" i="1" s="1"/>
  <c r="AM151" i="1"/>
  <c r="AM153" i="1" s="1"/>
  <c r="AL151" i="1"/>
  <c r="AL143" i="1" s="1"/>
  <c r="AK151" i="1"/>
  <c r="AK153" i="1" s="1"/>
  <c r="AJ151" i="1"/>
  <c r="AJ143" i="1" s="1"/>
  <c r="AI151" i="1"/>
  <c r="AH151" i="1"/>
  <c r="AH143" i="1" s="1"/>
  <c r="AG151" i="1"/>
  <c r="AG153" i="1" s="1"/>
  <c r="AF151" i="1"/>
  <c r="AF143" i="1" s="1"/>
  <c r="AE151" i="1"/>
  <c r="AD151" i="1"/>
  <c r="AD143" i="1" s="1"/>
  <c r="AC151" i="1"/>
  <c r="AC153" i="1" s="1"/>
  <c r="AB151" i="1"/>
  <c r="AB143" i="1" s="1"/>
  <c r="AA151" i="1"/>
  <c r="AA153" i="1" s="1"/>
  <c r="Z151" i="1"/>
  <c r="Z143" i="1" s="1"/>
  <c r="Y151" i="1"/>
  <c r="Y153" i="1" s="1"/>
  <c r="X151" i="1"/>
  <c r="X143" i="1" s="1"/>
  <c r="W151" i="1"/>
  <c r="W153" i="1" s="1"/>
  <c r="V151" i="1"/>
  <c r="V143" i="1" s="1"/>
  <c r="U151" i="1"/>
  <c r="U153" i="1" s="1"/>
  <c r="T151" i="1"/>
  <c r="T143" i="1" s="1"/>
  <c r="S151" i="1"/>
  <c r="R151" i="1"/>
  <c r="R143" i="1" s="1"/>
  <c r="Q151" i="1"/>
  <c r="Q153" i="1" s="1"/>
  <c r="P151" i="1"/>
  <c r="P143" i="1" s="1"/>
  <c r="O15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U138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X133" i="1"/>
  <c r="W133" i="1"/>
  <c r="V133" i="1"/>
  <c r="U133" i="1"/>
  <c r="T133" i="1"/>
  <c r="S133" i="1"/>
  <c r="R133" i="1"/>
  <c r="Q133" i="1"/>
  <c r="P133" i="1"/>
  <c r="O133" i="1"/>
  <c r="AV134" i="1"/>
  <c r="AU132" i="1"/>
  <c r="AU133" i="1" s="1"/>
  <c r="Y132" i="1"/>
  <c r="Y133" i="1" s="1"/>
  <c r="BA131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T118" i="1"/>
  <c r="AT120" i="1" s="1"/>
  <c r="AS118" i="1"/>
  <c r="AS120" i="1" s="1"/>
  <c r="AR118" i="1"/>
  <c r="AR125" i="1" s="1"/>
  <c r="AQ118" i="1"/>
  <c r="AQ125" i="1" s="1"/>
  <c r="AP118" i="1"/>
  <c r="AO118" i="1"/>
  <c r="AO107" i="1" s="1"/>
  <c r="AO60" i="1" s="1"/>
  <c r="AN118" i="1"/>
  <c r="AN120" i="1" s="1"/>
  <c r="AM118" i="1"/>
  <c r="AM125" i="1" s="1"/>
  <c r="AL118" i="1"/>
  <c r="AK118" i="1"/>
  <c r="AK125" i="1" s="1"/>
  <c r="AJ118" i="1"/>
  <c r="AI118" i="1"/>
  <c r="AI125" i="1" s="1"/>
  <c r="AH118" i="1"/>
  <c r="AG118" i="1"/>
  <c r="AG125" i="1" s="1"/>
  <c r="AF118" i="1"/>
  <c r="AE118" i="1"/>
  <c r="AE125" i="1" s="1"/>
  <c r="AD118" i="1"/>
  <c r="AD107" i="1" s="1"/>
  <c r="AD60" i="1" s="1"/>
  <c r="AC118" i="1"/>
  <c r="AC120" i="1" s="1"/>
  <c r="AB118" i="1"/>
  <c r="AA118" i="1"/>
  <c r="AA125" i="1" s="1"/>
  <c r="Z118" i="1"/>
  <c r="Y118" i="1"/>
  <c r="Y107" i="1" s="1"/>
  <c r="Y60" i="1" s="1"/>
  <c r="X118" i="1"/>
  <c r="W118" i="1"/>
  <c r="W125" i="1" s="1"/>
  <c r="V118" i="1"/>
  <c r="U118" i="1"/>
  <c r="U107" i="1" s="1"/>
  <c r="U60" i="1" s="1"/>
  <c r="T118" i="1"/>
  <c r="S118" i="1"/>
  <c r="S125" i="1" s="1"/>
  <c r="R118" i="1"/>
  <c r="Q118" i="1"/>
  <c r="Q107" i="1" s="1"/>
  <c r="Q60" i="1" s="1"/>
  <c r="P118" i="1"/>
  <c r="O118" i="1"/>
  <c r="O125" i="1" s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AT111" i="1"/>
  <c r="AT112" i="1" s="1"/>
  <c r="AS111" i="1"/>
  <c r="AS112" i="1" s="1"/>
  <c r="AR111" i="1"/>
  <c r="AQ111" i="1"/>
  <c r="AP111" i="1"/>
  <c r="AP112" i="1" s="1"/>
  <c r="AO111" i="1"/>
  <c r="AO112" i="1" s="1"/>
  <c r="AN111" i="1"/>
  <c r="AM111" i="1"/>
  <c r="AL111" i="1"/>
  <c r="AL112" i="1" s="1"/>
  <c r="AK111" i="1"/>
  <c r="AJ111" i="1"/>
  <c r="AI111" i="1"/>
  <c r="AH111" i="1"/>
  <c r="AH112" i="1" s="1"/>
  <c r="AG111" i="1"/>
  <c r="AG112" i="1" s="1"/>
  <c r="AF111" i="1"/>
  <c r="AE111" i="1"/>
  <c r="AD111" i="1"/>
  <c r="AD112" i="1" s="1"/>
  <c r="AC111" i="1"/>
  <c r="AC112" i="1" s="1"/>
  <c r="AB111" i="1"/>
  <c r="AA111" i="1"/>
  <c r="Z111" i="1"/>
  <c r="Z112" i="1" s="1"/>
  <c r="Y111" i="1"/>
  <c r="Y112" i="1" s="1"/>
  <c r="X111" i="1"/>
  <c r="W111" i="1"/>
  <c r="V111" i="1"/>
  <c r="V112" i="1" s="1"/>
  <c r="U111" i="1"/>
  <c r="T111" i="1"/>
  <c r="S111" i="1"/>
  <c r="R111" i="1"/>
  <c r="R112" i="1" s="1"/>
  <c r="Q111" i="1"/>
  <c r="Q112" i="1" s="1"/>
  <c r="P111" i="1"/>
  <c r="O111" i="1"/>
  <c r="AP107" i="1"/>
  <c r="AP60" i="1" s="1"/>
  <c r="AK107" i="1"/>
  <c r="AT106" i="1"/>
  <c r="AT59" i="1" s="1"/>
  <c r="AS106" i="1"/>
  <c r="AR106" i="1"/>
  <c r="AQ106" i="1"/>
  <c r="AP106" i="1"/>
  <c r="AP59" i="1" s="1"/>
  <c r="AO106" i="1"/>
  <c r="AN106" i="1"/>
  <c r="AN59" i="1" s="1"/>
  <c r="AM106" i="1"/>
  <c r="AL106" i="1"/>
  <c r="AL59" i="1" s="1"/>
  <c r="AK106" i="1"/>
  <c r="AJ106" i="1"/>
  <c r="AI106" i="1"/>
  <c r="AH106" i="1"/>
  <c r="AH59" i="1" s="1"/>
  <c r="AG106" i="1"/>
  <c r="AF106" i="1"/>
  <c r="AF59" i="1" s="1"/>
  <c r="AE106" i="1"/>
  <c r="AD106" i="1"/>
  <c r="AD59" i="1" s="1"/>
  <c r="AC106" i="1"/>
  <c r="AB106" i="1"/>
  <c r="AA106" i="1"/>
  <c r="Z106" i="1"/>
  <c r="Z59" i="1" s="1"/>
  <c r="Y106" i="1"/>
  <c r="X106" i="1"/>
  <c r="X59" i="1" s="1"/>
  <c r="W106" i="1"/>
  <c r="V106" i="1"/>
  <c r="V59" i="1" s="1"/>
  <c r="U106" i="1"/>
  <c r="T106" i="1"/>
  <c r="S106" i="1"/>
  <c r="R106" i="1"/>
  <c r="R59" i="1" s="1"/>
  <c r="Q106" i="1"/>
  <c r="P106" i="1"/>
  <c r="P59" i="1" s="1"/>
  <c r="O106" i="1"/>
  <c r="AT105" i="1"/>
  <c r="AT58" i="1" s="1"/>
  <c r="AS105" i="1"/>
  <c r="AR105" i="1"/>
  <c r="AQ105" i="1"/>
  <c r="AP105" i="1"/>
  <c r="AP58" i="1" s="1"/>
  <c r="AO105" i="1"/>
  <c r="AN105" i="1"/>
  <c r="AN58" i="1" s="1"/>
  <c r="AM105" i="1"/>
  <c r="AL105" i="1"/>
  <c r="AL58" i="1" s="1"/>
  <c r="AK105" i="1"/>
  <c r="AJ105" i="1"/>
  <c r="AI105" i="1"/>
  <c r="AH105" i="1"/>
  <c r="AH58" i="1" s="1"/>
  <c r="AG105" i="1"/>
  <c r="AF105" i="1"/>
  <c r="AF58" i="1" s="1"/>
  <c r="AE105" i="1"/>
  <c r="AD105" i="1"/>
  <c r="AD58" i="1" s="1"/>
  <c r="AC105" i="1"/>
  <c r="AB105" i="1"/>
  <c r="AA105" i="1"/>
  <c r="Z105" i="1"/>
  <c r="Z58" i="1" s="1"/>
  <c r="Y105" i="1"/>
  <c r="X105" i="1"/>
  <c r="X58" i="1" s="1"/>
  <c r="W105" i="1"/>
  <c r="V105" i="1"/>
  <c r="V58" i="1" s="1"/>
  <c r="U105" i="1"/>
  <c r="T105" i="1"/>
  <c r="S105" i="1"/>
  <c r="R105" i="1"/>
  <c r="R58" i="1" s="1"/>
  <c r="Q105" i="1"/>
  <c r="P105" i="1"/>
  <c r="P58" i="1" s="1"/>
  <c r="O105" i="1"/>
  <c r="AV104" i="1"/>
  <c r="AW104" i="1" s="1"/>
  <c r="AX104" i="1" s="1"/>
  <c r="AY104" i="1" s="1"/>
  <c r="AZ104" i="1" s="1"/>
  <c r="BA104" i="1" s="1"/>
  <c r="BB104" i="1" s="1"/>
  <c r="BC104" i="1" s="1"/>
  <c r="BD104" i="1" s="1"/>
  <c r="BE104" i="1" s="1"/>
  <c r="BF104" i="1" s="1"/>
  <c r="AY103" i="1"/>
  <c r="AZ103" i="1" s="1"/>
  <c r="BA103" i="1" s="1"/>
  <c r="BB103" i="1" s="1"/>
  <c r="BC103" i="1" s="1"/>
  <c r="BD103" i="1" s="1"/>
  <c r="BE103" i="1" s="1"/>
  <c r="BF103" i="1" s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AX85" i="1"/>
  <c r="AX99" i="1" s="1"/>
  <c r="AW85" i="1"/>
  <c r="AW57" i="1" s="1"/>
  <c r="AV85" i="1"/>
  <c r="AV91" i="1" s="1"/>
  <c r="AU85" i="1"/>
  <c r="AU91" i="1" s="1"/>
  <c r="BC84" i="1"/>
  <c r="O85" i="1"/>
  <c r="O84" i="1" s="1"/>
  <c r="AY83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AY79" i="1"/>
  <c r="AY74" i="1"/>
  <c r="AZ74" i="1" s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AT71" i="1"/>
  <c r="AR71" i="1"/>
  <c r="AQ71" i="1"/>
  <c r="AP71" i="1"/>
  <c r="AN71" i="1"/>
  <c r="AM71" i="1"/>
  <c r="AL71" i="1"/>
  <c r="AJ71" i="1"/>
  <c r="AI71" i="1"/>
  <c r="AH71" i="1"/>
  <c r="AF71" i="1"/>
  <c r="AE71" i="1"/>
  <c r="AD71" i="1"/>
  <c r="AB71" i="1"/>
  <c r="AA71" i="1"/>
  <c r="Z71" i="1"/>
  <c r="X71" i="1"/>
  <c r="W71" i="1"/>
  <c r="V71" i="1"/>
  <c r="T71" i="1"/>
  <c r="S71" i="1"/>
  <c r="R71" i="1"/>
  <c r="P71" i="1"/>
  <c r="BF63" i="1"/>
  <c r="BE63" i="1"/>
  <c r="BD63" i="1"/>
  <c r="BC63" i="1"/>
  <c r="BB63" i="1"/>
  <c r="BA63" i="1"/>
  <c r="AZ63" i="1"/>
  <c r="AY63" i="1"/>
  <c r="AX63" i="1"/>
  <c r="AW63" i="1"/>
  <c r="AV63" i="1"/>
  <c r="AK60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S59" i="1"/>
  <c r="AR59" i="1"/>
  <c r="AQ59" i="1"/>
  <c r="AO59" i="1"/>
  <c r="AM59" i="1"/>
  <c r="AK59" i="1"/>
  <c r="AJ59" i="1"/>
  <c r="AI59" i="1"/>
  <c r="AG59" i="1"/>
  <c r="AE59" i="1"/>
  <c r="AC59" i="1"/>
  <c r="AB59" i="1"/>
  <c r="AA59" i="1"/>
  <c r="Y59" i="1"/>
  <c r="W59" i="1"/>
  <c r="U59" i="1"/>
  <c r="T59" i="1"/>
  <c r="S59" i="1"/>
  <c r="Q59" i="1"/>
  <c r="O59" i="1"/>
  <c r="AS58" i="1"/>
  <c r="AR58" i="1"/>
  <c r="AQ58" i="1"/>
  <c r="AO58" i="1"/>
  <c r="AM58" i="1"/>
  <c r="AK58" i="1"/>
  <c r="AJ58" i="1"/>
  <c r="AI58" i="1"/>
  <c r="AG58" i="1"/>
  <c r="AE58" i="1"/>
  <c r="AC58" i="1"/>
  <c r="AB58" i="1"/>
  <c r="AA58" i="1"/>
  <c r="Y58" i="1"/>
  <c r="W58" i="1"/>
  <c r="U58" i="1"/>
  <c r="T58" i="1"/>
  <c r="S58" i="1"/>
  <c r="Q58" i="1"/>
  <c r="O58" i="1"/>
  <c r="AU57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M55" i="1"/>
  <c r="L55" i="1"/>
  <c r="K55" i="1"/>
  <c r="J55" i="1"/>
  <c r="I55" i="1"/>
  <c r="H55" i="1"/>
  <c r="G55" i="1"/>
  <c r="F55" i="1"/>
  <c r="E55" i="1"/>
  <c r="D55" i="1"/>
  <c r="C55" i="1"/>
  <c r="AX53" i="1"/>
  <c r="AY53" i="1" s="1"/>
  <c r="AT47" i="1"/>
  <c r="Y40" i="1"/>
  <c r="X40" i="1"/>
  <c r="W40" i="1"/>
  <c r="V40" i="1"/>
  <c r="U40" i="1"/>
  <c r="T40" i="1"/>
  <c r="S40" i="1"/>
  <c r="R40" i="1"/>
  <c r="Q40" i="1"/>
  <c r="P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U37" i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AT34" i="1"/>
  <c r="AT31" i="1"/>
  <c r="AS31" i="1"/>
  <c r="AS360" i="1" s="1"/>
  <c r="AR31" i="1"/>
  <c r="AR360" i="1" s="1"/>
  <c r="AM31" i="1"/>
  <c r="AM360" i="1" s="1"/>
  <c r="AI31" i="1"/>
  <c r="AI360" i="1" s="1"/>
  <c r="R31" i="1"/>
  <c r="R360" i="1" s="1"/>
  <c r="AV31" i="1"/>
  <c r="AV233" i="1" s="1"/>
  <c r="AV234" i="1" s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AT21" i="1"/>
  <c r="AT20" i="1"/>
  <c r="AT19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AT15" i="1"/>
  <c r="AU15" i="1" s="1"/>
  <c r="AU203" i="1" s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AT14" i="1"/>
  <c r="AT13" i="1"/>
  <c r="AT12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M10" i="1"/>
  <c r="L10" i="1"/>
  <c r="K10" i="1"/>
  <c r="J10" i="1"/>
  <c r="I10" i="1"/>
  <c r="H10" i="1"/>
  <c r="G10" i="1"/>
  <c r="F10" i="1"/>
  <c r="E10" i="1"/>
  <c r="D10" i="1"/>
  <c r="C10" i="1"/>
  <c r="O5" i="1"/>
  <c r="C5" i="1"/>
  <c r="P4" i="1"/>
  <c r="P5" i="1" s="1"/>
  <c r="D4" i="1"/>
  <c r="E4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AY89" i="1" l="1"/>
  <c r="U165" i="1"/>
  <c r="Q406" i="1"/>
  <c r="AV138" i="1"/>
  <c r="U143" i="1"/>
  <c r="Q165" i="1"/>
  <c r="Q254" i="1"/>
  <c r="U254" i="1"/>
  <c r="Y254" i="1"/>
  <c r="AC254" i="1"/>
  <c r="AG254" i="1"/>
  <c r="AK254" i="1"/>
  <c r="AO254" i="1"/>
  <c r="AS254" i="1"/>
  <c r="AC165" i="1"/>
  <c r="AK165" i="1"/>
  <c r="AS165" i="1"/>
  <c r="AG406" i="1"/>
  <c r="O26" i="1"/>
  <c r="S26" i="1"/>
  <c r="S236" i="1" s="1"/>
  <c r="W26" i="1"/>
  <c r="AA26" i="1"/>
  <c r="AE26" i="1"/>
  <c r="AE329" i="1"/>
  <c r="AI329" i="1"/>
  <c r="AM329" i="1"/>
  <c r="AQ329" i="1"/>
  <c r="P26" i="1"/>
  <c r="P236" i="1" s="1"/>
  <c r="T26" i="1"/>
  <c r="X26" i="1"/>
  <c r="AB26" i="1"/>
  <c r="AF26" i="1"/>
  <c r="AF236" i="1" s="1"/>
  <c r="AJ26" i="1"/>
  <c r="AN26" i="1"/>
  <c r="AN236" i="1" s="1"/>
  <c r="AR26" i="1"/>
  <c r="AR236" i="1" s="1"/>
  <c r="O29" i="1"/>
  <c r="O69" i="1" s="1"/>
  <c r="AX57" i="1"/>
  <c r="O107" i="1"/>
  <c r="O60" i="1" s="1"/>
  <c r="AT198" i="1"/>
  <c r="R233" i="1"/>
  <c r="R234" i="1" s="1"/>
  <c r="V233" i="1"/>
  <c r="V234" i="1" s="1"/>
  <c r="R254" i="1"/>
  <c r="V254" i="1"/>
  <c r="Z233" i="1"/>
  <c r="Z234" i="1" s="1"/>
  <c r="AD233" i="1"/>
  <c r="AD234" i="1" s="1"/>
  <c r="AH233" i="1"/>
  <c r="AH234" i="1" s="1"/>
  <c r="AL233" i="1"/>
  <c r="AL234" i="1" s="1"/>
  <c r="AP233" i="1"/>
  <c r="AP234" i="1" s="1"/>
  <c r="Z254" i="1"/>
  <c r="AD254" i="1"/>
  <c r="AH254" i="1"/>
  <c r="AL254" i="1"/>
  <c r="AP254" i="1"/>
  <c r="AU290" i="1"/>
  <c r="P312" i="1"/>
  <c r="T312" i="1"/>
  <c r="X312" i="1"/>
  <c r="AB312" i="1"/>
  <c r="AF312" i="1"/>
  <c r="AJ312" i="1"/>
  <c r="AN312" i="1"/>
  <c r="AR312" i="1"/>
  <c r="R329" i="1"/>
  <c r="V329" i="1"/>
  <c r="Z329" i="1"/>
  <c r="AD329" i="1"/>
  <c r="AH329" i="1"/>
  <c r="AL329" i="1"/>
  <c r="AP329" i="1"/>
  <c r="S406" i="1"/>
  <c r="AA406" i="1"/>
  <c r="AR406" i="1"/>
  <c r="AG107" i="1"/>
  <c r="AG60" i="1" s="1"/>
  <c r="AK135" i="1"/>
  <c r="AC143" i="1"/>
  <c r="P233" i="1"/>
  <c r="P234" i="1" s="1"/>
  <c r="T233" i="1"/>
  <c r="T234" i="1" s="1"/>
  <c r="P254" i="1"/>
  <c r="T254" i="1"/>
  <c r="X233" i="1"/>
  <c r="X234" i="1" s="1"/>
  <c r="AB233" i="1"/>
  <c r="AB234" i="1" s="1"/>
  <c r="AF233" i="1"/>
  <c r="AF234" i="1" s="1"/>
  <c r="AJ233" i="1"/>
  <c r="AJ234" i="1" s="1"/>
  <c r="AN233" i="1"/>
  <c r="AN234" i="1" s="1"/>
  <c r="AR233" i="1"/>
  <c r="X254" i="1"/>
  <c r="AB254" i="1"/>
  <c r="AF254" i="1"/>
  <c r="AJ254" i="1"/>
  <c r="AN254" i="1"/>
  <c r="AR254" i="1"/>
  <c r="V312" i="1"/>
  <c r="P329" i="1"/>
  <c r="T329" i="1"/>
  <c r="X329" i="1"/>
  <c r="AB329" i="1"/>
  <c r="AF329" i="1"/>
  <c r="AJ329" i="1"/>
  <c r="AN329" i="1"/>
  <c r="AR329" i="1"/>
  <c r="Q333" i="1"/>
  <c r="U333" i="1"/>
  <c r="Y333" i="1"/>
  <c r="AG333" i="1"/>
  <c r="AG336" i="1" s="1"/>
  <c r="AK333" i="1"/>
  <c r="AO333" i="1"/>
  <c r="AE107" i="1"/>
  <c r="AE60" i="1" s="1"/>
  <c r="AQ107" i="1"/>
  <c r="AQ60" i="1" s="1"/>
  <c r="W107" i="1"/>
  <c r="W60" i="1" s="1"/>
  <c r="S68" i="1"/>
  <c r="W68" i="1"/>
  <c r="AA68" i="1"/>
  <c r="AE68" i="1"/>
  <c r="AI68" i="1"/>
  <c r="AM68" i="1"/>
  <c r="AQ68" i="1"/>
  <c r="R23" i="1"/>
  <c r="V23" i="1"/>
  <c r="Z23" i="1"/>
  <c r="AD23" i="1"/>
  <c r="AD356" i="1" s="1"/>
  <c r="AH23" i="1"/>
  <c r="AL23" i="1"/>
  <c r="AP23" i="1"/>
  <c r="Q26" i="1"/>
  <c r="Q236" i="1" s="1"/>
  <c r="U26" i="1"/>
  <c r="Y26" i="1"/>
  <c r="AC26" i="1"/>
  <c r="AK26" i="1"/>
  <c r="AK236" i="1" s="1"/>
  <c r="AO26" i="1"/>
  <c r="AS26" i="1"/>
  <c r="T29" i="1"/>
  <c r="AB29" i="1"/>
  <c r="AB239" i="1" s="1"/>
  <c r="AB255" i="1" s="1"/>
  <c r="AF29" i="1"/>
  <c r="AN29" i="1"/>
  <c r="AI16" i="1"/>
  <c r="AM16" i="1"/>
  <c r="AM361" i="1" s="1"/>
  <c r="AQ16" i="1"/>
  <c r="P27" i="1"/>
  <c r="X27" i="1"/>
  <c r="AF27" i="1"/>
  <c r="AN27" i="1"/>
  <c r="AT28" i="1"/>
  <c r="R29" i="1"/>
  <c r="AT29" i="1"/>
  <c r="AT69" i="1" s="1"/>
  <c r="AA112" i="1"/>
  <c r="AK143" i="1"/>
  <c r="O406" i="1"/>
  <c r="U406" i="1"/>
  <c r="AQ406" i="1"/>
  <c r="AG16" i="1"/>
  <c r="P213" i="1"/>
  <c r="T213" i="1"/>
  <c r="X213" i="1"/>
  <c r="AB213" i="1"/>
  <c r="AF213" i="1"/>
  <c r="AJ213" i="1"/>
  <c r="AN213" i="1"/>
  <c r="AR213" i="1"/>
  <c r="R26" i="1"/>
  <c r="V26" i="1"/>
  <c r="V236" i="1" s="1"/>
  <c r="Z26" i="1"/>
  <c r="AD26" i="1"/>
  <c r="AP26" i="1"/>
  <c r="O27" i="1"/>
  <c r="O237" i="1" s="1"/>
  <c r="O253" i="1" s="1"/>
  <c r="AA27" i="1"/>
  <c r="AQ27" i="1"/>
  <c r="Q68" i="1"/>
  <c r="U29" i="1"/>
  <c r="U239" i="1" s="1"/>
  <c r="U255" i="1" s="1"/>
  <c r="Y68" i="1"/>
  <c r="AC68" i="1"/>
  <c r="AG68" i="1"/>
  <c r="AK29" i="1"/>
  <c r="AK239" i="1" s="1"/>
  <c r="AK255" i="1" s="1"/>
  <c r="AO29" i="1"/>
  <c r="AS29" i="1"/>
  <c r="P23" i="1"/>
  <c r="T23" i="1"/>
  <c r="T356" i="1" s="1"/>
  <c r="X23" i="1"/>
  <c r="AB23" i="1"/>
  <c r="AF23" i="1"/>
  <c r="AJ23" i="1"/>
  <c r="AJ356" i="1" s="1"/>
  <c r="AN23" i="1"/>
  <c r="AR23" i="1"/>
  <c r="AC107" i="1"/>
  <c r="AC60" i="1" s="1"/>
  <c r="AM107" i="1"/>
  <c r="AM60" i="1" s="1"/>
  <c r="AS107" i="1"/>
  <c r="AS60" i="1" s="1"/>
  <c r="AS143" i="1"/>
  <c r="O165" i="1"/>
  <c r="W165" i="1"/>
  <c r="AT192" i="1"/>
  <c r="AT199" i="1" s="1"/>
  <c r="AD312" i="1"/>
  <c r="AL312" i="1"/>
  <c r="AE429" i="1"/>
  <c r="AT23" i="1"/>
  <c r="S107" i="1"/>
  <c r="S60" i="1" s="1"/>
  <c r="AA107" i="1"/>
  <c r="AA60" i="1" s="1"/>
  <c r="AI107" i="1"/>
  <c r="AI60" i="1" s="1"/>
  <c r="P112" i="1"/>
  <c r="T112" i="1"/>
  <c r="X112" i="1"/>
  <c r="AB112" i="1"/>
  <c r="AF112" i="1"/>
  <c r="AJ112" i="1"/>
  <c r="AN112" i="1"/>
  <c r="AR112" i="1"/>
  <c r="U178" i="1"/>
  <c r="AT178" i="1"/>
  <c r="Q213" i="1"/>
  <c r="U213" i="1"/>
  <c r="Y213" i="1"/>
  <c r="AC213" i="1"/>
  <c r="AG213" i="1"/>
  <c r="AK213" i="1"/>
  <c r="AO213" i="1"/>
  <c r="AS213" i="1"/>
  <c r="O380" i="1"/>
  <c r="R62" i="1"/>
  <c r="V62" i="1"/>
  <c r="Z62" i="1"/>
  <c r="AD62" i="1"/>
  <c r="AH62" i="1"/>
  <c r="AL62" i="1"/>
  <c r="AP62" i="1"/>
  <c r="AT16" i="1"/>
  <c r="AT352" i="1" s="1"/>
  <c r="AC178" i="1"/>
  <c r="AT62" i="1"/>
  <c r="P126" i="1"/>
  <c r="T126" i="1"/>
  <c r="X126" i="1"/>
  <c r="AB126" i="1"/>
  <c r="AF126" i="1"/>
  <c r="AJ126" i="1"/>
  <c r="AK178" i="1"/>
  <c r="P406" i="1"/>
  <c r="T62" i="1"/>
  <c r="AB62" i="1"/>
  <c r="AJ62" i="1"/>
  <c r="AR62" i="1"/>
  <c r="AQ112" i="1"/>
  <c r="Q126" i="1"/>
  <c r="U126" i="1"/>
  <c r="AO126" i="1"/>
  <c r="AQ135" i="1"/>
  <c r="P142" i="1"/>
  <c r="AJ142" i="1"/>
  <c r="AS178" i="1"/>
  <c r="R224" i="1"/>
  <c r="R165" i="1"/>
  <c r="V224" i="1"/>
  <c r="V165" i="1"/>
  <c r="Z224" i="1"/>
  <c r="Z165" i="1"/>
  <c r="AD224" i="1"/>
  <c r="AD165" i="1"/>
  <c r="AH224" i="1"/>
  <c r="AH165" i="1"/>
  <c r="AL224" i="1"/>
  <c r="AL165" i="1"/>
  <c r="AP224" i="1"/>
  <c r="AP165" i="1"/>
  <c r="Y135" i="1"/>
  <c r="P224" i="1"/>
  <c r="P165" i="1"/>
  <c r="T224" i="1"/>
  <c r="T165" i="1"/>
  <c r="X224" i="1"/>
  <c r="X165" i="1"/>
  <c r="AB224" i="1"/>
  <c r="AB165" i="1"/>
  <c r="AF224" i="1"/>
  <c r="AF165" i="1"/>
  <c r="AJ224" i="1"/>
  <c r="AJ165" i="1"/>
  <c r="AN224" i="1"/>
  <c r="AN165" i="1"/>
  <c r="AR224" i="1"/>
  <c r="AR165" i="1"/>
  <c r="Q120" i="1"/>
  <c r="AF120" i="1"/>
  <c r="AF127" i="1" s="1"/>
  <c r="AO120" i="1"/>
  <c r="AO127" i="1" s="1"/>
  <c r="P125" i="1"/>
  <c r="AC125" i="1"/>
  <c r="AG126" i="1"/>
  <c r="R135" i="1"/>
  <c r="V135" i="1"/>
  <c r="O135" i="1"/>
  <c r="AA135" i="1"/>
  <c r="AM135" i="1"/>
  <c r="U158" i="1"/>
  <c r="AK158" i="1"/>
  <c r="V159" i="1"/>
  <c r="AL159" i="1"/>
  <c r="U180" i="1"/>
  <c r="AK180" i="1"/>
  <c r="AK207" i="1"/>
  <c r="AK214" i="1" s="1"/>
  <c r="U212" i="1"/>
  <c r="AT222" i="1"/>
  <c r="X380" i="1"/>
  <c r="W429" i="1"/>
  <c r="D5" i="1"/>
  <c r="Q4" i="1"/>
  <c r="AU14" i="1"/>
  <c r="AU188" i="1" s="1"/>
  <c r="O94" i="1"/>
  <c r="U112" i="1"/>
  <c r="AK112" i="1"/>
  <c r="Y126" i="1"/>
  <c r="T120" i="1"/>
  <c r="T127" i="1" s="1"/>
  <c r="AG120" i="1"/>
  <c r="Q125" i="1"/>
  <c r="AF125" i="1"/>
  <c r="AS125" i="1"/>
  <c r="AK126" i="1"/>
  <c r="AB135" i="1"/>
  <c r="AF135" i="1"/>
  <c r="AJ135" i="1"/>
  <c r="AN135" i="1"/>
  <c r="AR135" i="1"/>
  <c r="S135" i="1"/>
  <c r="AE135" i="1"/>
  <c r="Q142" i="1"/>
  <c r="U142" i="1"/>
  <c r="Y142" i="1"/>
  <c r="AC142" i="1"/>
  <c r="AG142" i="1"/>
  <c r="AK142" i="1"/>
  <c r="AO142" i="1"/>
  <c r="AS142" i="1"/>
  <c r="T142" i="1"/>
  <c r="AR142" i="1"/>
  <c r="Y158" i="1"/>
  <c r="AO158" i="1"/>
  <c r="Z159" i="1"/>
  <c r="AP159" i="1"/>
  <c r="S178" i="1"/>
  <c r="W178" i="1"/>
  <c r="AA178" i="1"/>
  <c r="AE178" i="1"/>
  <c r="AI178" i="1"/>
  <c r="AM178" i="1"/>
  <c r="AQ178" i="1"/>
  <c r="V178" i="1"/>
  <c r="AD178" i="1"/>
  <c r="AL178" i="1"/>
  <c r="Y180" i="1"/>
  <c r="AO180" i="1"/>
  <c r="AK212" i="1"/>
  <c r="Q233" i="1"/>
  <c r="Q234" i="1" s="1"/>
  <c r="U233" i="1"/>
  <c r="U234" i="1" s="1"/>
  <c r="Y233" i="1"/>
  <c r="Y234" i="1" s="1"/>
  <c r="AC233" i="1"/>
  <c r="AC234" i="1" s="1"/>
  <c r="AG233" i="1"/>
  <c r="AG234" i="1" s="1"/>
  <c r="AK233" i="1"/>
  <c r="AK234" i="1" s="1"/>
  <c r="AO233" i="1"/>
  <c r="AO234" i="1" s="1"/>
  <c r="AS233" i="1"/>
  <c r="AP336" i="1"/>
  <c r="AG429" i="1"/>
  <c r="AT356" i="1"/>
  <c r="AT354" i="1"/>
  <c r="Q23" i="1"/>
  <c r="Q354" i="1" s="1"/>
  <c r="U23" i="1"/>
  <c r="U354" i="1" s="1"/>
  <c r="Y23" i="1"/>
  <c r="Y356" i="1" s="1"/>
  <c r="AC23" i="1"/>
  <c r="AC354" i="1" s="1"/>
  <c r="AG23" i="1"/>
  <c r="AG354" i="1" s="1"/>
  <c r="AK23" i="1"/>
  <c r="AO23" i="1"/>
  <c r="AO356" i="1" s="1"/>
  <c r="AS23" i="1"/>
  <c r="AS354" i="1" s="1"/>
  <c r="R126" i="1"/>
  <c r="W126" i="1"/>
  <c r="AA126" i="1"/>
  <c r="AH126" i="1"/>
  <c r="AM126" i="1"/>
  <c r="AQ126" i="1"/>
  <c r="U120" i="1"/>
  <c r="U122" i="1" s="1"/>
  <c r="U128" i="1" s="1"/>
  <c r="AJ120" i="1"/>
  <c r="AJ127" i="1" s="1"/>
  <c r="U125" i="1"/>
  <c r="Z132" i="1"/>
  <c r="Z133" i="1" s="1"/>
  <c r="P135" i="1"/>
  <c r="T135" i="1"/>
  <c r="X135" i="1"/>
  <c r="AC135" i="1"/>
  <c r="AG135" i="1"/>
  <c r="AO135" i="1"/>
  <c r="AS135" i="1"/>
  <c r="U135" i="1"/>
  <c r="AI135" i="1"/>
  <c r="AB142" i="1"/>
  <c r="AC158" i="1"/>
  <c r="AS158" i="1"/>
  <c r="AD159" i="1"/>
  <c r="AT159" i="1"/>
  <c r="P178" i="1"/>
  <c r="T178" i="1"/>
  <c r="X178" i="1"/>
  <c r="AB178" i="1"/>
  <c r="AF178" i="1"/>
  <c r="AJ178" i="1"/>
  <c r="AN178" i="1"/>
  <c r="AR178" i="1"/>
  <c r="Q178" i="1"/>
  <c r="Y178" i="1"/>
  <c r="AG178" i="1"/>
  <c r="AO178" i="1"/>
  <c r="O178" i="1"/>
  <c r="AC180" i="1"/>
  <c r="AS180" i="1"/>
  <c r="Z213" i="1"/>
  <c r="AD330" i="1"/>
  <c r="BI11" i="1"/>
  <c r="AH16" i="1"/>
  <c r="AH365" i="1" s="1"/>
  <c r="AH369" i="1" s="1"/>
  <c r="AL16" i="1"/>
  <c r="AL365" i="1" s="1"/>
  <c r="AL369" i="1" s="1"/>
  <c r="S62" i="1"/>
  <c r="W62" i="1"/>
  <c r="AE62" i="1"/>
  <c r="AI62" i="1"/>
  <c r="AM62" i="1"/>
  <c r="O23" i="1"/>
  <c r="S23" i="1"/>
  <c r="W23" i="1"/>
  <c r="W354" i="1" s="1"/>
  <c r="AA23" i="1"/>
  <c r="AA354" i="1" s="1"/>
  <c r="AE23" i="1"/>
  <c r="AI23" i="1"/>
  <c r="AM23" i="1"/>
  <c r="AM354" i="1" s="1"/>
  <c r="AQ23" i="1"/>
  <c r="AQ354" i="1" s="1"/>
  <c r="O112" i="1"/>
  <c r="S112" i="1"/>
  <c r="W112" i="1"/>
  <c r="AE112" i="1"/>
  <c r="AI112" i="1"/>
  <c r="AM112" i="1"/>
  <c r="P120" i="1"/>
  <c r="P127" i="1" s="1"/>
  <c r="Y120" i="1"/>
  <c r="Y127" i="1" s="1"/>
  <c r="AK120" i="1"/>
  <c r="AK122" i="1" s="1"/>
  <c r="AK128" i="1" s="1"/>
  <c r="AB125" i="1"/>
  <c r="AU261" i="1"/>
  <c r="AU171" i="1" s="1"/>
  <c r="Q135" i="1"/>
  <c r="AD135" i="1"/>
  <c r="AH135" i="1"/>
  <c r="AL135" i="1"/>
  <c r="AP135" i="1"/>
  <c r="AT135" i="1"/>
  <c r="W135" i="1"/>
  <c r="R142" i="1"/>
  <c r="V142" i="1"/>
  <c r="Z142" i="1"/>
  <c r="AD142" i="1"/>
  <c r="AH142" i="1"/>
  <c r="AL142" i="1"/>
  <c r="AP142" i="1"/>
  <c r="AT142" i="1"/>
  <c r="AF142" i="1"/>
  <c r="Q143" i="1"/>
  <c r="Y143" i="1"/>
  <c r="AG143" i="1"/>
  <c r="AO143" i="1"/>
  <c r="Q158" i="1"/>
  <c r="AG158" i="1"/>
  <c r="R159" i="1"/>
  <c r="AH159" i="1"/>
  <c r="R178" i="1"/>
  <c r="Z178" i="1"/>
  <c r="AH178" i="1"/>
  <c r="AP178" i="1"/>
  <c r="Q180" i="1"/>
  <c r="AG180" i="1"/>
  <c r="U207" i="1"/>
  <c r="U214" i="1" s="1"/>
  <c r="AP213" i="1"/>
  <c r="Z333" i="1"/>
  <c r="Z336" i="1" s="1"/>
  <c r="AE416" i="1"/>
  <c r="AE418" i="1" s="1"/>
  <c r="AE419" i="1" s="1"/>
  <c r="AV278" i="1"/>
  <c r="AV57" i="1"/>
  <c r="U236" i="1"/>
  <c r="AG361" i="1"/>
  <c r="AG365" i="1"/>
  <c r="AG352" i="1"/>
  <c r="AG164" i="1"/>
  <c r="AG166" i="1" s="1"/>
  <c r="AG167" i="1" s="1"/>
  <c r="AO236" i="1"/>
  <c r="V354" i="1"/>
  <c r="V356" i="1"/>
  <c r="AH354" i="1"/>
  <c r="AH356" i="1"/>
  <c r="U356" i="1"/>
  <c r="O236" i="1"/>
  <c r="O30" i="1"/>
  <c r="O32" i="1" s="1"/>
  <c r="W236" i="1"/>
  <c r="AA236" i="1"/>
  <c r="AI361" i="1"/>
  <c r="AI365" i="1"/>
  <c r="AI369" i="1" s="1"/>
  <c r="AI352" i="1"/>
  <c r="AI164" i="1"/>
  <c r="AI166" i="1" s="1"/>
  <c r="AI167" i="1" s="1"/>
  <c r="P237" i="1"/>
  <c r="P253" i="1" s="1"/>
  <c r="P63" i="1"/>
  <c r="AN237" i="1"/>
  <c r="AN253" i="1" s="1"/>
  <c r="AN63" i="1"/>
  <c r="AT238" i="1"/>
  <c r="AT254" i="1" s="1"/>
  <c r="AT66" i="1"/>
  <c r="P356" i="1"/>
  <c r="P354" i="1"/>
  <c r="X356" i="1"/>
  <c r="X354" i="1"/>
  <c r="AB356" i="1"/>
  <c r="AB354" i="1"/>
  <c r="AF356" i="1"/>
  <c r="AF354" i="1"/>
  <c r="AN356" i="1"/>
  <c r="AN354" i="1"/>
  <c r="AR356" i="1"/>
  <c r="AR354" i="1"/>
  <c r="R4" i="1"/>
  <c r="Q6" i="1"/>
  <c r="Q85" i="1" s="1"/>
  <c r="Q5" i="1"/>
  <c r="T236" i="1"/>
  <c r="X236" i="1"/>
  <c r="AB236" i="1"/>
  <c r="R239" i="1"/>
  <c r="R255" i="1" s="1"/>
  <c r="R69" i="1"/>
  <c r="Q356" i="1"/>
  <c r="Y354" i="1"/>
  <c r="AK356" i="1"/>
  <c r="AK354" i="1"/>
  <c r="AO354" i="1"/>
  <c r="AS356" i="1"/>
  <c r="Y236" i="1"/>
  <c r="AS236" i="1"/>
  <c r="O239" i="1"/>
  <c r="O255" i="1" s="1"/>
  <c r="R354" i="1"/>
  <c r="R356" i="1"/>
  <c r="Z356" i="1"/>
  <c r="Z354" i="1"/>
  <c r="AL354" i="1"/>
  <c r="AL356" i="1"/>
  <c r="AC356" i="1"/>
  <c r="R236" i="1"/>
  <c r="Z236" i="1"/>
  <c r="AD236" i="1"/>
  <c r="AH361" i="1"/>
  <c r="AH352" i="1"/>
  <c r="AH164" i="1"/>
  <c r="AH166" i="1" s="1"/>
  <c r="AH167" i="1" s="1"/>
  <c r="AL164" i="1"/>
  <c r="AL166" i="1" s="1"/>
  <c r="AL167" i="1" s="1"/>
  <c r="AP236" i="1"/>
  <c r="AA237" i="1"/>
  <c r="AA253" i="1" s="1"/>
  <c r="AA63" i="1"/>
  <c r="AQ237" i="1"/>
  <c r="AQ253" i="1" s="1"/>
  <c r="AQ63" i="1"/>
  <c r="O355" i="1"/>
  <c r="O354" i="1"/>
  <c r="O357" i="1"/>
  <c r="O356" i="1"/>
  <c r="S354" i="1"/>
  <c r="S356" i="1"/>
  <c r="AE354" i="1"/>
  <c r="AE356" i="1"/>
  <c r="AI354" i="1"/>
  <c r="AI356" i="1"/>
  <c r="AC236" i="1"/>
  <c r="AT365" i="1"/>
  <c r="AT164" i="1"/>
  <c r="AP356" i="1"/>
  <c r="AP354" i="1"/>
  <c r="AE236" i="1"/>
  <c r="AQ361" i="1"/>
  <c r="AQ365" i="1"/>
  <c r="AQ369" i="1" s="1"/>
  <c r="AQ352" i="1"/>
  <c r="AQ164" i="1"/>
  <c r="AQ166" i="1" s="1"/>
  <c r="AQ167" i="1" s="1"/>
  <c r="X237" i="1"/>
  <c r="X253" i="1" s="1"/>
  <c r="X63" i="1"/>
  <c r="AV14" i="1"/>
  <c r="P68" i="1"/>
  <c r="P29" i="1"/>
  <c r="T68" i="1"/>
  <c r="X68" i="1"/>
  <c r="AB68" i="1"/>
  <c r="AF68" i="1"/>
  <c r="AJ68" i="1"/>
  <c r="AN68" i="1"/>
  <c r="AR68" i="1"/>
  <c r="AV15" i="1"/>
  <c r="P16" i="1"/>
  <c r="T16" i="1"/>
  <c r="X16" i="1"/>
  <c r="AB16" i="1"/>
  <c r="AF16" i="1"/>
  <c r="AJ16" i="1"/>
  <c r="AN16" i="1"/>
  <c r="AR16" i="1"/>
  <c r="AG26" i="1"/>
  <c r="AL26" i="1"/>
  <c r="AQ26" i="1"/>
  <c r="R27" i="1"/>
  <c r="W27" i="1"/>
  <c r="AB27" i="1"/>
  <c r="AH27" i="1"/>
  <c r="AM27" i="1"/>
  <c r="AR27" i="1"/>
  <c r="AW31" i="1"/>
  <c r="S29" i="1"/>
  <c r="X29" i="1"/>
  <c r="AC29" i="1"/>
  <c r="AJ29" i="1"/>
  <c r="AR29" i="1"/>
  <c r="P62" i="1"/>
  <c r="X62" i="1"/>
  <c r="AF62" i="1"/>
  <c r="AN62" i="1"/>
  <c r="U68" i="1"/>
  <c r="AK68" i="1"/>
  <c r="AZ79" i="1"/>
  <c r="AT127" i="1"/>
  <c r="AT122" i="1"/>
  <c r="AT128" i="1" s="1"/>
  <c r="F4" i="1"/>
  <c r="AO239" i="1"/>
  <c r="AO255" i="1" s="1"/>
  <c r="AO69" i="1"/>
  <c r="AS239" i="1"/>
  <c r="AS255" i="1" s="1"/>
  <c r="AS69" i="1"/>
  <c r="Q16" i="1"/>
  <c r="U16" i="1"/>
  <c r="Y16" i="1"/>
  <c r="AC16" i="1"/>
  <c r="AK16" i="1"/>
  <c r="AO16" i="1"/>
  <c r="AS16" i="1"/>
  <c r="AH26" i="1"/>
  <c r="AM26" i="1"/>
  <c r="S27" i="1"/>
  <c r="AD27" i="1"/>
  <c r="AI27" i="1"/>
  <c r="AT26" i="1"/>
  <c r="AU28" i="1"/>
  <c r="Q29" i="1"/>
  <c r="T239" i="1"/>
  <c r="T255" i="1" s="1"/>
  <c r="T69" i="1"/>
  <c r="Y29" i="1"/>
  <c r="AE29" i="1"/>
  <c r="AN239" i="1"/>
  <c r="AN255" i="1" s="1"/>
  <c r="AN69" i="1"/>
  <c r="AA62" i="1"/>
  <c r="AQ62" i="1"/>
  <c r="AO68" i="1"/>
  <c r="O91" i="1"/>
  <c r="O99" i="1"/>
  <c r="O100" i="1" s="1"/>
  <c r="O95" i="1"/>
  <c r="O57" i="1"/>
  <c r="AW99" i="1"/>
  <c r="AW100" i="1" s="1"/>
  <c r="AW105" i="1" s="1"/>
  <c r="AW91" i="1"/>
  <c r="AX100" i="1"/>
  <c r="AX105" i="1" s="1"/>
  <c r="W181" i="1"/>
  <c r="W160" i="1"/>
  <c r="W144" i="1"/>
  <c r="W155" i="1"/>
  <c r="AM181" i="1"/>
  <c r="AM160" i="1"/>
  <c r="AM144" i="1"/>
  <c r="AM155" i="1"/>
  <c r="E6" i="1"/>
  <c r="E5" i="1"/>
  <c r="R68" i="1"/>
  <c r="V68" i="1"/>
  <c r="V29" i="1"/>
  <c r="Z68" i="1"/>
  <c r="Z29" i="1"/>
  <c r="AD68" i="1"/>
  <c r="AD29" i="1"/>
  <c r="AH68" i="1"/>
  <c r="AH29" i="1"/>
  <c r="AL68" i="1"/>
  <c r="AP68" i="1"/>
  <c r="AT68" i="1"/>
  <c r="R16" i="1"/>
  <c r="V16" i="1"/>
  <c r="Z16" i="1"/>
  <c r="AD16" i="1"/>
  <c r="AP16" i="1"/>
  <c r="AI26" i="1"/>
  <c r="T27" i="1"/>
  <c r="T30" i="1" s="1"/>
  <c r="T32" i="1" s="1"/>
  <c r="Z27" i="1"/>
  <c r="AE27" i="1"/>
  <c r="AJ27" i="1"/>
  <c r="AP27" i="1"/>
  <c r="AA29" i="1"/>
  <c r="AF239" i="1"/>
  <c r="AF255" i="1" s="1"/>
  <c r="AF69" i="1"/>
  <c r="AL29" i="1"/>
  <c r="AP29" i="1"/>
  <c r="AU29" i="1"/>
  <c r="AM29" i="1"/>
  <c r="AZ53" i="1"/>
  <c r="AS68" i="1"/>
  <c r="AN127" i="1"/>
  <c r="AN122" i="1"/>
  <c r="AN128" i="1" s="1"/>
  <c r="C311" i="1"/>
  <c r="D6" i="1"/>
  <c r="P6" i="1"/>
  <c r="P85" i="1" s="1"/>
  <c r="AF252" i="1"/>
  <c r="AJ236" i="1"/>
  <c r="AN241" i="1"/>
  <c r="AN252" i="1"/>
  <c r="AR252" i="1"/>
  <c r="Q62" i="1"/>
  <c r="Q27" i="1"/>
  <c r="U62" i="1"/>
  <c r="U27" i="1"/>
  <c r="Y62" i="1"/>
  <c r="Y27" i="1"/>
  <c r="AC62" i="1"/>
  <c r="AC27" i="1"/>
  <c r="AG62" i="1"/>
  <c r="AG27" i="1"/>
  <c r="AK62" i="1"/>
  <c r="AK27" i="1"/>
  <c r="AO62" i="1"/>
  <c r="AO27" i="1"/>
  <c r="AO30" i="1" s="1"/>
  <c r="AO32" i="1" s="1"/>
  <c r="AS62" i="1"/>
  <c r="AS27" i="1"/>
  <c r="AU196" i="1"/>
  <c r="AU211" i="1"/>
  <c r="O16" i="1"/>
  <c r="S16" i="1"/>
  <c r="W16" i="1"/>
  <c r="AA16" i="1"/>
  <c r="AE16" i="1"/>
  <c r="V27" i="1"/>
  <c r="AL27" i="1"/>
  <c r="AT27" i="1"/>
  <c r="W29" i="1"/>
  <c r="AG29" i="1"/>
  <c r="AQ29" i="1"/>
  <c r="AN30" i="1"/>
  <c r="AN32" i="1" s="1"/>
  <c r="AI29" i="1"/>
  <c r="BA74" i="1"/>
  <c r="AC127" i="1"/>
  <c r="AC122" i="1"/>
  <c r="AC128" i="1" s="1"/>
  <c r="AS127" i="1"/>
  <c r="AS122" i="1"/>
  <c r="AS128" i="1" s="1"/>
  <c r="AY93" i="1"/>
  <c r="AY98" i="1"/>
  <c r="AU99" i="1"/>
  <c r="AU100" i="1" s="1"/>
  <c r="AU105" i="1" s="1"/>
  <c r="P107" i="1"/>
  <c r="P60" i="1" s="1"/>
  <c r="T107" i="1"/>
  <c r="T60" i="1" s="1"/>
  <c r="X107" i="1"/>
  <c r="X60" i="1" s="1"/>
  <c r="AB107" i="1"/>
  <c r="AB60" i="1" s="1"/>
  <c r="AF107" i="1"/>
  <c r="AF60" i="1" s="1"/>
  <c r="AJ107" i="1"/>
  <c r="AJ60" i="1" s="1"/>
  <c r="AT107" i="1"/>
  <c r="AT60" i="1" s="1"/>
  <c r="R120" i="1"/>
  <c r="X120" i="1"/>
  <c r="AH120" i="1"/>
  <c r="T125" i="1"/>
  <c r="Y125" i="1"/>
  <c r="AD125" i="1"/>
  <c r="AJ125" i="1"/>
  <c r="AO125" i="1"/>
  <c r="AT125" i="1"/>
  <c r="S126" i="1"/>
  <c r="AD126" i="1"/>
  <c r="AI126" i="1"/>
  <c r="AT126" i="1"/>
  <c r="U127" i="1"/>
  <c r="AK127" i="1"/>
  <c r="BB131" i="1"/>
  <c r="AW134" i="1"/>
  <c r="AU135" i="1"/>
  <c r="S142" i="1"/>
  <c r="W142" i="1"/>
  <c r="AA142" i="1"/>
  <c r="AE142" i="1"/>
  <c r="AI142" i="1"/>
  <c r="AM142" i="1"/>
  <c r="AQ142" i="1"/>
  <c r="AU141" i="1"/>
  <c r="X142" i="1"/>
  <c r="AN142" i="1"/>
  <c r="Q155" i="1"/>
  <c r="Q160" i="1"/>
  <c r="Q144" i="1"/>
  <c r="Q181" i="1"/>
  <c r="U155" i="1"/>
  <c r="U160" i="1"/>
  <c r="U144" i="1"/>
  <c r="U181" i="1"/>
  <c r="Y155" i="1"/>
  <c r="Y160" i="1"/>
  <c r="Y144" i="1"/>
  <c r="Y181" i="1"/>
  <c r="AC155" i="1"/>
  <c r="AC160" i="1"/>
  <c r="AC144" i="1"/>
  <c r="AC181" i="1"/>
  <c r="AG155" i="1"/>
  <c r="AG160" i="1"/>
  <c r="AG144" i="1"/>
  <c r="AG181" i="1"/>
  <c r="AK155" i="1"/>
  <c r="AK160" i="1"/>
  <c r="AK144" i="1"/>
  <c r="AK181" i="1"/>
  <c r="AO155" i="1"/>
  <c r="AO160" i="1"/>
  <c r="AO144" i="1"/>
  <c r="AO181" i="1"/>
  <c r="AS155" i="1"/>
  <c r="AS160" i="1"/>
  <c r="AS144" i="1"/>
  <c r="AS181" i="1"/>
  <c r="AV99" i="1"/>
  <c r="AV100" i="1" s="1"/>
  <c r="AV105" i="1" s="1"/>
  <c r="AD120" i="1"/>
  <c r="T122" i="1"/>
  <c r="T128" i="1" s="1"/>
  <c r="AJ122" i="1"/>
  <c r="AJ128" i="1" s="1"/>
  <c r="Z125" i="1"/>
  <c r="AP125" i="1"/>
  <c r="Z126" i="1"/>
  <c r="AE126" i="1"/>
  <c r="AP126" i="1"/>
  <c r="AA181" i="1"/>
  <c r="AA160" i="1"/>
  <c r="AA144" i="1"/>
  <c r="AQ181" i="1"/>
  <c r="AQ160" i="1"/>
  <c r="AQ144" i="1"/>
  <c r="AA155" i="1"/>
  <c r="AQ155" i="1"/>
  <c r="AX91" i="1"/>
  <c r="R107" i="1"/>
  <c r="R60" i="1" s="1"/>
  <c r="V107" i="1"/>
  <c r="V60" i="1" s="1"/>
  <c r="Z107" i="1"/>
  <c r="Z60" i="1" s="1"/>
  <c r="AH107" i="1"/>
  <c r="AH60" i="1" s="1"/>
  <c r="AL107" i="1"/>
  <c r="AL60" i="1" s="1"/>
  <c r="Z120" i="1"/>
  <c r="AP120" i="1"/>
  <c r="AF122" i="1"/>
  <c r="AF128" i="1" s="1"/>
  <c r="V125" i="1"/>
  <c r="AL125" i="1"/>
  <c r="V126" i="1"/>
  <c r="AL126" i="1"/>
  <c r="O180" i="1"/>
  <c r="O158" i="1"/>
  <c r="O143" i="1"/>
  <c r="S180" i="1"/>
  <c r="S158" i="1"/>
  <c r="S159" i="1"/>
  <c r="S143" i="1"/>
  <c r="W180" i="1"/>
  <c r="W158" i="1"/>
  <c r="W159" i="1"/>
  <c r="W143" i="1"/>
  <c r="AA180" i="1"/>
  <c r="AA158" i="1"/>
  <c r="AA159" i="1"/>
  <c r="AA143" i="1"/>
  <c r="AE180" i="1"/>
  <c r="AE158" i="1"/>
  <c r="AE159" i="1"/>
  <c r="AE143" i="1"/>
  <c r="AI180" i="1"/>
  <c r="AI158" i="1"/>
  <c r="AI159" i="1"/>
  <c r="AI143" i="1"/>
  <c r="AM180" i="1"/>
  <c r="AM158" i="1"/>
  <c r="AM159" i="1"/>
  <c r="AM143" i="1"/>
  <c r="AQ180" i="1"/>
  <c r="AQ158" i="1"/>
  <c r="AQ159" i="1"/>
  <c r="AQ143" i="1"/>
  <c r="O153" i="1"/>
  <c r="AE153" i="1"/>
  <c r="AZ83" i="1"/>
  <c r="AY85" i="1"/>
  <c r="AN126" i="1"/>
  <c r="AN107" i="1"/>
  <c r="AN60" i="1" s="1"/>
  <c r="AR126" i="1"/>
  <c r="AR107" i="1"/>
  <c r="AR60" i="1" s="1"/>
  <c r="V120" i="1"/>
  <c r="AB120" i="1"/>
  <c r="AL120" i="1"/>
  <c r="AR120" i="1"/>
  <c r="R125" i="1"/>
  <c r="X125" i="1"/>
  <c r="AH125" i="1"/>
  <c r="AN125" i="1"/>
  <c r="AC126" i="1"/>
  <c r="AS126" i="1"/>
  <c r="AV132" i="1"/>
  <c r="AV170" i="1"/>
  <c r="AV177" i="1"/>
  <c r="P159" i="1"/>
  <c r="T159" i="1"/>
  <c r="X159" i="1"/>
  <c r="AB159" i="1"/>
  <c r="AF159" i="1"/>
  <c r="AJ159" i="1"/>
  <c r="AN159" i="1"/>
  <c r="AR159" i="1"/>
  <c r="S153" i="1"/>
  <c r="AI153" i="1"/>
  <c r="R153" i="1"/>
  <c r="V153" i="1"/>
  <c r="Z153" i="1"/>
  <c r="AD153" i="1"/>
  <c r="AH153" i="1"/>
  <c r="AL153" i="1"/>
  <c r="AP153" i="1"/>
  <c r="AT153" i="1"/>
  <c r="P158" i="1"/>
  <c r="T158" i="1"/>
  <c r="X158" i="1"/>
  <c r="AB158" i="1"/>
  <c r="AF158" i="1"/>
  <c r="AJ158" i="1"/>
  <c r="AN158" i="1"/>
  <c r="AR158" i="1"/>
  <c r="Q159" i="1"/>
  <c r="U159" i="1"/>
  <c r="Y159" i="1"/>
  <c r="AC159" i="1"/>
  <c r="AG159" i="1"/>
  <c r="AK159" i="1"/>
  <c r="AO159" i="1"/>
  <c r="AS159" i="1"/>
  <c r="Q179" i="1"/>
  <c r="U179" i="1"/>
  <c r="AG179" i="1"/>
  <c r="AK179" i="1"/>
  <c r="AS179" i="1"/>
  <c r="P180" i="1"/>
  <c r="T180" i="1"/>
  <c r="X180" i="1"/>
  <c r="AB180" i="1"/>
  <c r="AF180" i="1"/>
  <c r="AJ180" i="1"/>
  <c r="AN180" i="1"/>
  <c r="AR180" i="1"/>
  <c r="Q207" i="1"/>
  <c r="AG207" i="1"/>
  <c r="Q212" i="1"/>
  <c r="AG212" i="1"/>
  <c r="V213" i="1"/>
  <c r="AL213" i="1"/>
  <c r="S233" i="1"/>
  <c r="S234" i="1" s="1"/>
  <c r="AI233" i="1"/>
  <c r="AI234" i="1" s="1"/>
  <c r="U209" i="1"/>
  <c r="U215" i="1" s="1"/>
  <c r="AK209" i="1"/>
  <c r="AK215" i="1" s="1"/>
  <c r="W233" i="1"/>
  <c r="W234" i="1" s="1"/>
  <c r="AM233" i="1"/>
  <c r="AM234" i="1" s="1"/>
  <c r="AT249" i="1"/>
  <c r="AT250" i="1" s="1"/>
  <c r="P153" i="1"/>
  <c r="T153" i="1"/>
  <c r="X153" i="1"/>
  <c r="AB153" i="1"/>
  <c r="AF153" i="1"/>
  <c r="AJ153" i="1"/>
  <c r="AN153" i="1"/>
  <c r="AR153" i="1"/>
  <c r="R158" i="1"/>
  <c r="V158" i="1"/>
  <c r="Z158" i="1"/>
  <c r="AD158" i="1"/>
  <c r="AH158" i="1"/>
  <c r="AL158" i="1"/>
  <c r="AP158" i="1"/>
  <c r="AT158" i="1"/>
  <c r="R180" i="1"/>
  <c r="V180" i="1"/>
  <c r="Z180" i="1"/>
  <c r="AD180" i="1"/>
  <c r="AH180" i="1"/>
  <c r="AL180" i="1"/>
  <c r="AP180" i="1"/>
  <c r="AT180" i="1"/>
  <c r="Y207" i="1"/>
  <c r="AO207" i="1"/>
  <c r="Y212" i="1"/>
  <c r="AO212" i="1"/>
  <c r="AD213" i="1"/>
  <c r="AT213" i="1"/>
  <c r="AA233" i="1"/>
  <c r="AA234" i="1" s="1"/>
  <c r="AQ233" i="1"/>
  <c r="AQ234" i="1" s="1"/>
  <c r="O120" i="1"/>
  <c r="S120" i="1"/>
  <c r="W120" i="1"/>
  <c r="AA120" i="1"/>
  <c r="AE120" i="1"/>
  <c r="AI120" i="1"/>
  <c r="AM120" i="1"/>
  <c r="AQ120" i="1"/>
  <c r="AC207" i="1"/>
  <c r="AS207" i="1"/>
  <c r="AC212" i="1"/>
  <c r="AS212" i="1"/>
  <c r="R213" i="1"/>
  <c r="AH213" i="1"/>
  <c r="AR234" i="1"/>
  <c r="AS234" i="1"/>
  <c r="O233" i="1"/>
  <c r="O234" i="1" s="1"/>
  <c r="AE233" i="1"/>
  <c r="AE234" i="1" s="1"/>
  <c r="P207" i="1"/>
  <c r="T207" i="1"/>
  <c r="X207" i="1"/>
  <c r="AB207" i="1"/>
  <c r="AF207" i="1"/>
  <c r="AJ207" i="1"/>
  <c r="AN207" i="1"/>
  <c r="AR207" i="1"/>
  <c r="P212" i="1"/>
  <c r="T212" i="1"/>
  <c r="X212" i="1"/>
  <c r="AB212" i="1"/>
  <c r="AF212" i="1"/>
  <c r="AJ212" i="1"/>
  <c r="AN212" i="1"/>
  <c r="AR212" i="1"/>
  <c r="AT232" i="1"/>
  <c r="AT233" i="1" s="1"/>
  <c r="Q240" i="1"/>
  <c r="Q256" i="1" s="1"/>
  <c r="U240" i="1"/>
  <c r="U256" i="1" s="1"/>
  <c r="Y240" i="1"/>
  <c r="Y256" i="1" s="1"/>
  <c r="AC240" i="1"/>
  <c r="AC256" i="1" s="1"/>
  <c r="AG240" i="1"/>
  <c r="AG256" i="1" s="1"/>
  <c r="AK240" i="1"/>
  <c r="AK256" i="1" s="1"/>
  <c r="AO240" i="1"/>
  <c r="AO256" i="1" s="1"/>
  <c r="AS240" i="1"/>
  <c r="AS256" i="1" s="1"/>
  <c r="P366" i="1"/>
  <c r="P374" i="1" s="1"/>
  <c r="P346" i="1"/>
  <c r="T366" i="1"/>
  <c r="T346" i="1"/>
  <c r="X366" i="1"/>
  <c r="X374" i="1" s="1"/>
  <c r="X346" i="1"/>
  <c r="AB366" i="1"/>
  <c r="AB370" i="1" s="1"/>
  <c r="AB346" i="1"/>
  <c r="AF366" i="1"/>
  <c r="AF370" i="1" s="1"/>
  <c r="AF346" i="1"/>
  <c r="AJ366" i="1"/>
  <c r="AJ346" i="1"/>
  <c r="AN366" i="1"/>
  <c r="AN374" i="1" s="1"/>
  <c r="AN346" i="1"/>
  <c r="AR366" i="1"/>
  <c r="AR370" i="1" s="1"/>
  <c r="AR346" i="1"/>
  <c r="AX304" i="1"/>
  <c r="AW278" i="1"/>
  <c r="R207" i="1"/>
  <c r="V207" i="1"/>
  <c r="Z207" i="1"/>
  <c r="AD207" i="1"/>
  <c r="AH207" i="1"/>
  <c r="AL207" i="1"/>
  <c r="AP207" i="1"/>
  <c r="AT207" i="1"/>
  <c r="S213" i="1"/>
  <c r="W213" i="1"/>
  <c r="AA213" i="1"/>
  <c r="AE213" i="1"/>
  <c r="AI213" i="1"/>
  <c r="AM213" i="1"/>
  <c r="AQ213" i="1"/>
  <c r="AX302" i="1"/>
  <c r="O207" i="1"/>
  <c r="S207" i="1"/>
  <c r="W207" i="1"/>
  <c r="AA207" i="1"/>
  <c r="AE207" i="1"/>
  <c r="AI207" i="1"/>
  <c r="AM207" i="1"/>
  <c r="AQ207" i="1"/>
  <c r="R366" i="1"/>
  <c r="R346" i="1"/>
  <c r="V366" i="1"/>
  <c r="V374" i="1" s="1"/>
  <c r="V346" i="1"/>
  <c r="Z366" i="1"/>
  <c r="Z374" i="1" s="1"/>
  <c r="Z346" i="1"/>
  <c r="AD366" i="1"/>
  <c r="AD370" i="1" s="1"/>
  <c r="AD346" i="1"/>
  <c r="AH366" i="1"/>
  <c r="AH346" i="1"/>
  <c r="AL366" i="1"/>
  <c r="AL374" i="1" s="1"/>
  <c r="AL346" i="1"/>
  <c r="AP366" i="1"/>
  <c r="AP374" i="1" s="1"/>
  <c r="AP346" i="1"/>
  <c r="AT366" i="1"/>
  <c r="AT368" i="1" s="1"/>
  <c r="AT346" i="1"/>
  <c r="Q366" i="1"/>
  <c r="Q374" i="1" s="1"/>
  <c r="Q346" i="1"/>
  <c r="U366" i="1"/>
  <c r="U374" i="1" s="1"/>
  <c r="U346" i="1"/>
  <c r="Y366" i="1"/>
  <c r="Y374" i="1" s="1"/>
  <c r="Y346" i="1"/>
  <c r="AC366" i="1"/>
  <c r="AC370" i="1" s="1"/>
  <c r="AC346" i="1"/>
  <c r="AG366" i="1"/>
  <c r="AG346" i="1"/>
  <c r="AK366" i="1"/>
  <c r="AK374" i="1" s="1"/>
  <c r="AK346" i="1"/>
  <c r="AO366" i="1"/>
  <c r="AO374" i="1" s="1"/>
  <c r="AO346" i="1"/>
  <c r="AS366" i="1"/>
  <c r="AS374" i="1" s="1"/>
  <c r="AS346" i="1"/>
  <c r="AU278" i="1"/>
  <c r="R351" i="1"/>
  <c r="R350" i="1"/>
  <c r="R349" i="1"/>
  <c r="V351" i="1"/>
  <c r="V350" i="1"/>
  <c r="V349" i="1"/>
  <c r="Z351" i="1"/>
  <c r="Z350" i="1"/>
  <c r="Z349" i="1"/>
  <c r="AD351" i="1"/>
  <c r="AD350" i="1"/>
  <c r="AD349" i="1"/>
  <c r="AH351" i="1"/>
  <c r="AH350" i="1"/>
  <c r="AH349" i="1"/>
  <c r="AL351" i="1"/>
  <c r="AL350" i="1"/>
  <c r="AL349" i="1"/>
  <c r="AP351" i="1"/>
  <c r="AP350" i="1"/>
  <c r="AP349" i="1"/>
  <c r="O389" i="1"/>
  <c r="O401" i="1" s="1"/>
  <c r="O403" i="1" s="1"/>
  <c r="O362" i="1"/>
  <c r="S389" i="1"/>
  <c r="S401" i="1" s="1"/>
  <c r="S403" i="1" s="1"/>
  <c r="S362" i="1"/>
  <c r="W389" i="1"/>
  <c r="W401" i="1" s="1"/>
  <c r="W403" i="1" s="1"/>
  <c r="W362" i="1"/>
  <c r="AA389" i="1"/>
  <c r="AA401" i="1" s="1"/>
  <c r="AA403" i="1" s="1"/>
  <c r="AA362" i="1"/>
  <c r="AE389" i="1"/>
  <c r="AE401" i="1" s="1"/>
  <c r="AE403" i="1" s="1"/>
  <c r="AE362" i="1"/>
  <c r="AI389" i="1"/>
  <c r="AI401" i="1" s="1"/>
  <c r="AI403" i="1" s="1"/>
  <c r="AI362" i="1"/>
  <c r="AM389" i="1"/>
  <c r="AM401" i="1" s="1"/>
  <c r="AM403" i="1" s="1"/>
  <c r="AM362" i="1"/>
  <c r="AQ389" i="1"/>
  <c r="AQ401" i="1" s="1"/>
  <c r="AQ403" i="1" s="1"/>
  <c r="AQ362" i="1"/>
  <c r="R312" i="1"/>
  <c r="R330" i="1" s="1"/>
  <c r="Z312" i="1"/>
  <c r="Z330" i="1" s="1"/>
  <c r="AH312" i="1"/>
  <c r="AH330" i="1" s="1"/>
  <c r="AP312" i="1"/>
  <c r="AP330" i="1" s="1"/>
  <c r="P330" i="1"/>
  <c r="X330" i="1"/>
  <c r="AF330" i="1"/>
  <c r="AN330" i="1"/>
  <c r="V338" i="1"/>
  <c r="AD338" i="1"/>
  <c r="AL338" i="1"/>
  <c r="O366" i="1"/>
  <c r="O374" i="1" s="1"/>
  <c r="O346" i="1"/>
  <c r="S366" i="1"/>
  <c r="S374" i="1" s="1"/>
  <c r="S346" i="1"/>
  <c r="W366" i="1"/>
  <c r="W346" i="1"/>
  <c r="AA366" i="1"/>
  <c r="AA346" i="1"/>
  <c r="AE366" i="1"/>
  <c r="AE374" i="1" s="1"/>
  <c r="AE346" i="1"/>
  <c r="AI366" i="1"/>
  <c r="AI374" i="1" s="1"/>
  <c r="AI346" i="1"/>
  <c r="AM366" i="1"/>
  <c r="AM346" i="1"/>
  <c r="AQ366" i="1"/>
  <c r="AQ346" i="1"/>
  <c r="P351" i="1"/>
  <c r="P350" i="1"/>
  <c r="P349" i="1"/>
  <c r="T351" i="1"/>
  <c r="T350" i="1"/>
  <c r="T349" i="1"/>
  <c r="X351" i="1"/>
  <c r="X350" i="1"/>
  <c r="X349" i="1"/>
  <c r="AB351" i="1"/>
  <c r="AB350" i="1"/>
  <c r="AB349" i="1"/>
  <c r="AF351" i="1"/>
  <c r="AF350" i="1"/>
  <c r="AF349" i="1"/>
  <c r="AJ351" i="1"/>
  <c r="AJ350" i="1"/>
  <c r="AJ349" i="1"/>
  <c r="AN351" i="1"/>
  <c r="AN350" i="1"/>
  <c r="AN349" i="1"/>
  <c r="AR351" i="1"/>
  <c r="AR350" i="1"/>
  <c r="AR349" i="1"/>
  <c r="Q389" i="1"/>
  <c r="Q401" i="1" s="1"/>
  <c r="Q403" i="1" s="1"/>
  <c r="Q362" i="1"/>
  <c r="U389" i="1"/>
  <c r="U401" i="1" s="1"/>
  <c r="U403" i="1" s="1"/>
  <c r="U362" i="1"/>
  <c r="Y389" i="1"/>
  <c r="Y401" i="1" s="1"/>
  <c r="Y403" i="1" s="1"/>
  <c r="Y362" i="1"/>
  <c r="AC389" i="1"/>
  <c r="AC401" i="1" s="1"/>
  <c r="AC403" i="1" s="1"/>
  <c r="AC362" i="1"/>
  <c r="AG389" i="1"/>
  <c r="AG401" i="1" s="1"/>
  <c r="AG403" i="1" s="1"/>
  <c r="AG374" i="1"/>
  <c r="AG362" i="1"/>
  <c r="AK389" i="1"/>
  <c r="AK401" i="1" s="1"/>
  <c r="AK403" i="1" s="1"/>
  <c r="AK362" i="1"/>
  <c r="AO389" i="1"/>
  <c r="AO401" i="1" s="1"/>
  <c r="AO403" i="1" s="1"/>
  <c r="AO362" i="1"/>
  <c r="AS389" i="1"/>
  <c r="AS401" i="1" s="1"/>
  <c r="AS403" i="1" s="1"/>
  <c r="AS362" i="1"/>
  <c r="AB330" i="1"/>
  <c r="S338" i="1"/>
  <c r="AA338" i="1"/>
  <c r="AI338" i="1"/>
  <c r="AQ338" i="1"/>
  <c r="AT306" i="1"/>
  <c r="AT361" i="1"/>
  <c r="AU305" i="1"/>
  <c r="AX324" i="1"/>
  <c r="O405" i="1"/>
  <c r="O390" i="1"/>
  <c r="O386" i="1"/>
  <c r="O385" i="1"/>
  <c r="O333" i="1"/>
  <c r="O336" i="1" s="1"/>
  <c r="S405" i="1"/>
  <c r="S390" i="1"/>
  <c r="S385" i="1"/>
  <c r="S386" i="1"/>
  <c r="S333" i="1"/>
  <c r="S337" i="1" s="1"/>
  <c r="W405" i="1"/>
  <c r="W390" i="1"/>
  <c r="W386" i="1"/>
  <c r="W385" i="1"/>
  <c r="W333" i="1"/>
  <c r="W336" i="1" s="1"/>
  <c r="AA405" i="1"/>
  <c r="AA390" i="1"/>
  <c r="AA385" i="1"/>
  <c r="AA386" i="1"/>
  <c r="AA333" i="1"/>
  <c r="AA337" i="1" s="1"/>
  <c r="AE405" i="1"/>
  <c r="AE390" i="1"/>
  <c r="AE386" i="1"/>
  <c r="AE385" i="1"/>
  <c r="AE333" i="1"/>
  <c r="AE336" i="1" s="1"/>
  <c r="AI390" i="1"/>
  <c r="AI405" i="1"/>
  <c r="AI385" i="1"/>
  <c r="AI386" i="1"/>
  <c r="AI333" i="1"/>
  <c r="AI337" i="1" s="1"/>
  <c r="AM405" i="1"/>
  <c r="AM390" i="1"/>
  <c r="AM386" i="1"/>
  <c r="AM385" i="1"/>
  <c r="AM333" i="1"/>
  <c r="AM336" i="1" s="1"/>
  <c r="AQ405" i="1"/>
  <c r="AQ390" i="1"/>
  <c r="AQ385" i="1"/>
  <c r="AQ386" i="1"/>
  <c r="AQ333" i="1"/>
  <c r="AQ336" i="1" s="1"/>
  <c r="Q351" i="1"/>
  <c r="Q350" i="1"/>
  <c r="Q349" i="1"/>
  <c r="U351" i="1"/>
  <c r="U350" i="1"/>
  <c r="U349" i="1"/>
  <c r="Y351" i="1"/>
  <c r="Y350" i="1"/>
  <c r="Y349" i="1"/>
  <c r="AC351" i="1"/>
  <c r="AC350" i="1"/>
  <c r="AC349" i="1"/>
  <c r="AG351" i="1"/>
  <c r="AG350" i="1"/>
  <c r="AG349" i="1"/>
  <c r="AK351" i="1"/>
  <c r="AK350" i="1"/>
  <c r="AK349" i="1"/>
  <c r="AO351" i="1"/>
  <c r="AO350" i="1"/>
  <c r="AO349" i="1"/>
  <c r="AS351" i="1"/>
  <c r="AS350" i="1"/>
  <c r="AS349" i="1"/>
  <c r="R362" i="1"/>
  <c r="R389" i="1"/>
  <c r="R401" i="1" s="1"/>
  <c r="R403" i="1" s="1"/>
  <c r="C403" i="1" s="1"/>
  <c r="V389" i="1"/>
  <c r="V401" i="1" s="1"/>
  <c r="V403" i="1" s="1"/>
  <c r="V362" i="1"/>
  <c r="Z362" i="1"/>
  <c r="Z389" i="1"/>
  <c r="Z401" i="1" s="1"/>
  <c r="Z403" i="1" s="1"/>
  <c r="AD389" i="1"/>
  <c r="AD401" i="1" s="1"/>
  <c r="AD403" i="1" s="1"/>
  <c r="AD362" i="1"/>
  <c r="AH362" i="1"/>
  <c r="AH389" i="1"/>
  <c r="AH401" i="1" s="1"/>
  <c r="AH403" i="1" s="1"/>
  <c r="AL389" i="1"/>
  <c r="AL401" i="1" s="1"/>
  <c r="AL403" i="1" s="1"/>
  <c r="AL362" i="1"/>
  <c r="AP362" i="1"/>
  <c r="AP389" i="1"/>
  <c r="AP401" i="1" s="1"/>
  <c r="AP403" i="1" s="1"/>
  <c r="O312" i="1"/>
  <c r="O330" i="1" s="1"/>
  <c r="S312" i="1"/>
  <c r="S330" i="1" s="1"/>
  <c r="W312" i="1"/>
  <c r="W330" i="1" s="1"/>
  <c r="AA312" i="1"/>
  <c r="AA330" i="1" s="1"/>
  <c r="AE312" i="1"/>
  <c r="AI312" i="1"/>
  <c r="AI330" i="1" s="1"/>
  <c r="AM312" i="1"/>
  <c r="AM330" i="1" s="1"/>
  <c r="AQ312" i="1"/>
  <c r="AQ330" i="1" s="1"/>
  <c r="R405" i="1"/>
  <c r="R386" i="1"/>
  <c r="R385" i="1"/>
  <c r="C385" i="1" s="1"/>
  <c r="R390" i="1"/>
  <c r="V405" i="1"/>
  <c r="V386" i="1"/>
  <c r="V385" i="1"/>
  <c r="V390" i="1"/>
  <c r="Z405" i="1"/>
  <c r="Z386" i="1"/>
  <c r="Z385" i="1"/>
  <c r="Z390" i="1"/>
  <c r="AD386" i="1"/>
  <c r="AD385" i="1"/>
  <c r="AD405" i="1"/>
  <c r="AD390" i="1"/>
  <c r="AH405" i="1"/>
  <c r="AH386" i="1"/>
  <c r="AH385" i="1"/>
  <c r="AH390" i="1"/>
  <c r="AL405" i="1"/>
  <c r="AL386" i="1"/>
  <c r="AL385" i="1"/>
  <c r="AL390" i="1"/>
  <c r="AP405" i="1"/>
  <c r="AP386" i="1"/>
  <c r="AP385" i="1"/>
  <c r="AP390" i="1"/>
  <c r="AD333" i="1"/>
  <c r="AD337" i="1" s="1"/>
  <c r="Q336" i="1"/>
  <c r="U336" i="1"/>
  <c r="Y336" i="1"/>
  <c r="AK336" i="1"/>
  <c r="AO336" i="1"/>
  <c r="O335" i="1"/>
  <c r="W335" i="1"/>
  <c r="AE335" i="1"/>
  <c r="AM335" i="1"/>
  <c r="O349" i="1"/>
  <c r="W349" i="1"/>
  <c r="AE349" i="1"/>
  <c r="AM349" i="1"/>
  <c r="O350" i="1"/>
  <c r="W350" i="1"/>
  <c r="AE350" i="1"/>
  <c r="AM350" i="1"/>
  <c r="R335" i="1"/>
  <c r="Z335" i="1"/>
  <c r="AH335" i="1"/>
  <c r="AP335" i="1"/>
  <c r="P389" i="1"/>
  <c r="P401" i="1" s="1"/>
  <c r="P403" i="1" s="1"/>
  <c r="P362" i="1"/>
  <c r="T374" i="1"/>
  <c r="T389" i="1"/>
  <c r="T401" i="1" s="1"/>
  <c r="T403" i="1" s="1"/>
  <c r="T362" i="1"/>
  <c r="X389" i="1"/>
  <c r="X401" i="1" s="1"/>
  <c r="X403" i="1" s="1"/>
  <c r="X362" i="1"/>
  <c r="AB389" i="1"/>
  <c r="AB401" i="1" s="1"/>
  <c r="AB403" i="1" s="1"/>
  <c r="AB362" i="1"/>
  <c r="AF389" i="1"/>
  <c r="AF401" i="1" s="1"/>
  <c r="AF403" i="1" s="1"/>
  <c r="AF362" i="1"/>
  <c r="AJ374" i="1"/>
  <c r="AJ389" i="1"/>
  <c r="AJ401" i="1" s="1"/>
  <c r="AJ403" i="1" s="1"/>
  <c r="AJ362" i="1"/>
  <c r="AN389" i="1"/>
  <c r="AN401" i="1" s="1"/>
  <c r="AN403" i="1" s="1"/>
  <c r="AN362" i="1"/>
  <c r="AR374" i="1"/>
  <c r="AR389" i="1"/>
  <c r="AR401" i="1" s="1"/>
  <c r="AR403" i="1" s="1"/>
  <c r="AR362" i="1"/>
  <c r="Q312" i="1"/>
  <c r="Q330" i="1" s="1"/>
  <c r="U312" i="1"/>
  <c r="U330" i="1" s="1"/>
  <c r="Y312" i="1"/>
  <c r="Y330" i="1" s="1"/>
  <c r="AC312" i="1"/>
  <c r="AC330" i="1" s="1"/>
  <c r="AG312" i="1"/>
  <c r="AG330" i="1" s="1"/>
  <c r="AK312" i="1"/>
  <c r="AK330" i="1" s="1"/>
  <c r="AO312" i="1"/>
  <c r="AO330" i="1" s="1"/>
  <c r="AS312" i="1"/>
  <c r="AS330" i="1" s="1"/>
  <c r="P405" i="1"/>
  <c r="P386" i="1"/>
  <c r="P385" i="1"/>
  <c r="P390" i="1"/>
  <c r="P333" i="1"/>
  <c r="P336" i="1" s="1"/>
  <c r="T405" i="1"/>
  <c r="T386" i="1"/>
  <c r="T385" i="1"/>
  <c r="T390" i="1"/>
  <c r="T333" i="1"/>
  <c r="T336" i="1" s="1"/>
  <c r="X405" i="1"/>
  <c r="X386" i="1"/>
  <c r="X385" i="1"/>
  <c r="X390" i="1"/>
  <c r="X333" i="1"/>
  <c r="X336" i="1" s="1"/>
  <c r="AB405" i="1"/>
  <c r="AB386" i="1"/>
  <c r="AB385" i="1"/>
  <c r="AB390" i="1"/>
  <c r="AB333" i="1"/>
  <c r="AB336" i="1" s="1"/>
  <c r="AF405" i="1"/>
  <c r="AF386" i="1"/>
  <c r="AF385" i="1"/>
  <c r="AF390" i="1"/>
  <c r="AF333" i="1"/>
  <c r="AF336" i="1" s="1"/>
  <c r="AJ405" i="1"/>
  <c r="AJ386" i="1"/>
  <c r="AJ385" i="1"/>
  <c r="AJ390" i="1"/>
  <c r="AJ333" i="1"/>
  <c r="AJ336" i="1" s="1"/>
  <c r="AN405" i="1"/>
  <c r="AN386" i="1"/>
  <c r="AN385" i="1"/>
  <c r="AN390" i="1"/>
  <c r="AN333" i="1"/>
  <c r="AN336" i="1" s="1"/>
  <c r="AR405" i="1"/>
  <c r="AR386" i="1"/>
  <c r="AR385" i="1"/>
  <c r="AR390" i="1"/>
  <c r="AR333" i="1"/>
  <c r="AR336" i="1" s="1"/>
  <c r="V333" i="1"/>
  <c r="V337" i="1" s="1"/>
  <c r="AL333" i="1"/>
  <c r="AL337" i="1" s="1"/>
  <c r="S349" i="1"/>
  <c r="AA349" i="1"/>
  <c r="AI349" i="1"/>
  <c r="AQ349" i="1"/>
  <c r="S350" i="1"/>
  <c r="AA350" i="1"/>
  <c r="AI350" i="1"/>
  <c r="AQ350" i="1"/>
  <c r="Q405" i="1"/>
  <c r="Q390" i="1"/>
  <c r="Q386" i="1"/>
  <c r="Q385" i="1"/>
  <c r="U405" i="1"/>
  <c r="U390" i="1"/>
  <c r="U385" i="1"/>
  <c r="U386" i="1"/>
  <c r="Y405" i="1"/>
  <c r="Y390" i="1"/>
  <c r="Y386" i="1"/>
  <c r="Y385" i="1"/>
  <c r="AC405" i="1"/>
  <c r="AC390" i="1"/>
  <c r="AC385" i="1"/>
  <c r="AC386" i="1"/>
  <c r="AG405" i="1"/>
  <c r="AG390" i="1"/>
  <c r="AG386" i="1"/>
  <c r="AG385" i="1"/>
  <c r="AK405" i="1"/>
  <c r="AK390" i="1"/>
  <c r="AK385" i="1"/>
  <c r="AK386" i="1"/>
  <c r="AO405" i="1"/>
  <c r="AO390" i="1"/>
  <c r="AO386" i="1"/>
  <c r="AO385" i="1"/>
  <c r="AS405" i="1"/>
  <c r="AS390" i="1"/>
  <c r="AS385" i="1"/>
  <c r="AS386" i="1"/>
  <c r="AS333" i="1"/>
  <c r="AS336" i="1" s="1"/>
  <c r="R333" i="1"/>
  <c r="R336" i="1" s="1"/>
  <c r="AC333" i="1"/>
  <c r="AC336" i="1" s="1"/>
  <c r="AH333" i="1"/>
  <c r="AH336" i="1" s="1"/>
  <c r="Q335" i="1"/>
  <c r="U335" i="1"/>
  <c r="Y335" i="1"/>
  <c r="AC335" i="1"/>
  <c r="AG335" i="1"/>
  <c r="AK335" i="1"/>
  <c r="AO335" i="1"/>
  <c r="AS335" i="1"/>
  <c r="T370" i="1"/>
  <c r="AJ370" i="1"/>
  <c r="Q370" i="1"/>
  <c r="Y370" i="1"/>
  <c r="AG370" i="1"/>
  <c r="AG369" i="1"/>
  <c r="AO370" i="1"/>
  <c r="P335" i="1"/>
  <c r="T335" i="1"/>
  <c r="X335" i="1"/>
  <c r="AB335" i="1"/>
  <c r="AF335" i="1"/>
  <c r="AJ335" i="1"/>
  <c r="AN335" i="1"/>
  <c r="AR335" i="1"/>
  <c r="R370" i="1"/>
  <c r="Z370" i="1"/>
  <c r="AH370" i="1"/>
  <c r="AP370" i="1"/>
  <c r="AT370" i="1"/>
  <c r="AT369" i="1"/>
  <c r="AB377" i="1"/>
  <c r="AB380" i="1" s="1"/>
  <c r="AV379" i="1"/>
  <c r="AV377" i="1" s="1"/>
  <c r="AD380" i="1"/>
  <c r="BE414" i="1"/>
  <c r="BF411" i="1"/>
  <c r="AT414" i="1"/>
  <c r="AT429" i="1" s="1"/>
  <c r="AU410" i="1"/>
  <c r="P419" i="1"/>
  <c r="AA419" i="1"/>
  <c r="W419" i="1"/>
  <c r="AR429" i="1"/>
  <c r="P429" i="1"/>
  <c r="Q429" i="1"/>
  <c r="T429" i="1"/>
  <c r="T416" i="1"/>
  <c r="T418" i="1" s="1"/>
  <c r="T419" i="1" s="1"/>
  <c r="X429" i="1"/>
  <c r="X416" i="1"/>
  <c r="X418" i="1" s="1"/>
  <c r="X419" i="1" s="1"/>
  <c r="AB416" i="1"/>
  <c r="AB418" i="1" s="1"/>
  <c r="AB419" i="1" s="1"/>
  <c r="AB429" i="1"/>
  <c r="AF429" i="1"/>
  <c r="AF416" i="1"/>
  <c r="AF418" i="1" s="1"/>
  <c r="AF419" i="1" s="1"/>
  <c r="AJ416" i="1"/>
  <c r="AJ418" i="1" s="1"/>
  <c r="AJ419" i="1" s="1"/>
  <c r="AJ429" i="1"/>
  <c r="AN429" i="1"/>
  <c r="AN416" i="1"/>
  <c r="AN418" i="1" s="1"/>
  <c r="AN419" i="1" s="1"/>
  <c r="AR419" i="1"/>
  <c r="S419" i="1"/>
  <c r="AI419" i="1"/>
  <c r="BF414" i="1"/>
  <c r="Q419" i="1"/>
  <c r="Y429" i="1"/>
  <c r="AG419" i="1"/>
  <c r="AO429" i="1"/>
  <c r="U419" i="1"/>
  <c r="AQ419" i="1"/>
  <c r="S429" i="1"/>
  <c r="AA429" i="1"/>
  <c r="AI429" i="1"/>
  <c r="AQ429" i="1"/>
  <c r="O416" i="1"/>
  <c r="O418" i="1" s="1"/>
  <c r="O419" i="1" s="1"/>
  <c r="Y416" i="1"/>
  <c r="Y418" i="1" s="1"/>
  <c r="Y419" i="1" s="1"/>
  <c r="AO416" i="1"/>
  <c r="AO418" i="1" s="1"/>
  <c r="AO419" i="1" s="1"/>
  <c r="U429" i="1"/>
  <c r="AC429" i="1"/>
  <c r="AK429" i="1"/>
  <c r="AS429" i="1"/>
  <c r="AC416" i="1"/>
  <c r="AC418" i="1" s="1"/>
  <c r="AC419" i="1" s="1"/>
  <c r="AK416" i="1"/>
  <c r="AK418" i="1" s="1"/>
  <c r="AK419" i="1" s="1"/>
  <c r="AS416" i="1"/>
  <c r="AS418" i="1" s="1"/>
  <c r="AS419" i="1" s="1"/>
  <c r="R429" i="1"/>
  <c r="R416" i="1"/>
  <c r="R418" i="1" s="1"/>
  <c r="R419" i="1" s="1"/>
  <c r="V429" i="1"/>
  <c r="V416" i="1"/>
  <c r="V418" i="1" s="1"/>
  <c r="V419" i="1" s="1"/>
  <c r="Z429" i="1"/>
  <c r="Z416" i="1"/>
  <c r="Z418" i="1" s="1"/>
  <c r="Z419" i="1" s="1"/>
  <c r="AD429" i="1"/>
  <c r="AD416" i="1"/>
  <c r="AD418" i="1" s="1"/>
  <c r="AD419" i="1" s="1"/>
  <c r="AH429" i="1"/>
  <c r="AH416" i="1"/>
  <c r="AH418" i="1" s="1"/>
  <c r="AH419" i="1" s="1"/>
  <c r="AL429" i="1"/>
  <c r="AL416" i="1"/>
  <c r="AL418" i="1" s="1"/>
  <c r="AL419" i="1" s="1"/>
  <c r="AP429" i="1"/>
  <c r="AP416" i="1"/>
  <c r="AP418" i="1" s="1"/>
  <c r="AP419" i="1" s="1"/>
  <c r="AM419" i="1"/>
  <c r="AV421" i="1"/>
  <c r="AM429" i="1"/>
  <c r="AI370" i="1" l="1"/>
  <c r="AR30" i="1"/>
  <c r="AR32" i="1" s="1"/>
  <c r="AR35" i="1" s="1"/>
  <c r="AO179" i="1"/>
  <c r="AR330" i="1"/>
  <c r="V330" i="1"/>
  <c r="AJ330" i="1"/>
  <c r="T330" i="1"/>
  <c r="X370" i="1"/>
  <c r="AF374" i="1"/>
  <c r="C386" i="1"/>
  <c r="AD374" i="1"/>
  <c r="AO122" i="1"/>
  <c r="AO128" i="1" s="1"/>
  <c r="AW138" i="1"/>
  <c r="C315" i="1"/>
  <c r="S30" i="1"/>
  <c r="S32" i="1" s="1"/>
  <c r="S35" i="1" s="1"/>
  <c r="AL361" i="1"/>
  <c r="AM365" i="1"/>
  <c r="AM369" i="1" s="1"/>
  <c r="C405" i="1"/>
  <c r="C379" i="1"/>
  <c r="AK69" i="1"/>
  <c r="AS370" i="1"/>
  <c r="AE330" i="1"/>
  <c r="AA336" i="1"/>
  <c r="P122" i="1"/>
  <c r="P128" i="1" s="1"/>
  <c r="C81" i="1"/>
  <c r="C413" i="1"/>
  <c r="U69" i="1"/>
  <c r="AT239" i="1"/>
  <c r="AT255" i="1" s="1"/>
  <c r="T354" i="1"/>
  <c r="C307" i="1"/>
  <c r="C322" i="1"/>
  <c r="C317" i="1"/>
  <c r="C411" i="1"/>
  <c r="C434" i="1"/>
  <c r="AJ30" i="1"/>
  <c r="AJ32" i="1" s="1"/>
  <c r="AA356" i="1"/>
  <c r="AL330" i="1"/>
  <c r="C320" i="1"/>
  <c r="C326" i="1"/>
  <c r="C321" i="1"/>
  <c r="C421" i="1"/>
  <c r="C422" i="1"/>
  <c r="Y179" i="1"/>
  <c r="S370" i="1"/>
  <c r="C80" i="1"/>
  <c r="C316" i="1"/>
  <c r="C327" i="1"/>
  <c r="C406" i="1"/>
  <c r="C417" i="1"/>
  <c r="AQ356" i="1"/>
  <c r="AF30" i="1"/>
  <c r="AF32" i="1" s="1"/>
  <c r="AN370" i="1"/>
  <c r="S336" i="1"/>
  <c r="AL370" i="1"/>
  <c r="V370" i="1"/>
  <c r="AK370" i="1"/>
  <c r="P370" i="1"/>
  <c r="AC179" i="1"/>
  <c r="AQ173" i="1"/>
  <c r="Y122" i="1"/>
  <c r="Y128" i="1" s="1"/>
  <c r="AB69" i="1"/>
  <c r="C305" i="1"/>
  <c r="C318" i="1"/>
  <c r="C301" i="1"/>
  <c r="C304" i="1"/>
  <c r="C302" i="1"/>
  <c r="C325" i="1"/>
  <c r="C410" i="1"/>
  <c r="C414" i="1"/>
  <c r="C426" i="1"/>
  <c r="C425" i="1"/>
  <c r="AJ354" i="1"/>
  <c r="AG356" i="1"/>
  <c r="AD354" i="1"/>
  <c r="AM356" i="1"/>
  <c r="W356" i="1"/>
  <c r="O63" i="1"/>
  <c r="AL352" i="1"/>
  <c r="AF63" i="1"/>
  <c r="AM164" i="1"/>
  <c r="AM166" i="1" s="1"/>
  <c r="U370" i="1"/>
  <c r="AC374" i="1"/>
  <c r="C79" i="1"/>
  <c r="C303" i="1"/>
  <c r="C300" i="1"/>
  <c r="C2" i="1" s="1"/>
  <c r="C309" i="1"/>
  <c r="C308" i="1"/>
  <c r="C310" i="1"/>
  <c r="C324" i="1"/>
  <c r="C402" i="1"/>
  <c r="C415" i="1"/>
  <c r="C423" i="1"/>
  <c r="AF237" i="1"/>
  <c r="AF253" i="1" s="1"/>
  <c r="AM352" i="1"/>
  <c r="AG173" i="1"/>
  <c r="Y30" i="1"/>
  <c r="Y32" i="1" s="1"/>
  <c r="Y35" i="1" s="1"/>
  <c r="Q30" i="1"/>
  <c r="Q32" i="1" s="1"/>
  <c r="Q344" i="1" s="1"/>
  <c r="AB30" i="1"/>
  <c r="AB32" i="1" s="1"/>
  <c r="AB35" i="1" s="1"/>
  <c r="AT179" i="1"/>
  <c r="AT194" i="1"/>
  <c r="AT200" i="1" s="1"/>
  <c r="P407" i="1"/>
  <c r="AU246" i="1"/>
  <c r="AU193" i="1" s="1"/>
  <c r="Q355" i="1"/>
  <c r="AU247" i="1"/>
  <c r="AU208" i="1" s="1"/>
  <c r="AT234" i="1"/>
  <c r="AU231" i="1"/>
  <c r="AV231" i="1" s="1"/>
  <c r="AU229" i="1"/>
  <c r="AU152" i="1" s="1"/>
  <c r="V336" i="1"/>
  <c r="O407" i="1"/>
  <c r="AH179" i="1"/>
  <c r="AR179" i="1"/>
  <c r="AJ179" i="1"/>
  <c r="AB179" i="1"/>
  <c r="T179" i="1"/>
  <c r="Z135" i="1"/>
  <c r="AM179" i="1"/>
  <c r="AE179" i="1"/>
  <c r="W179" i="1"/>
  <c r="AF407" i="1"/>
  <c r="Z407" i="1"/>
  <c r="V407" i="1"/>
  <c r="Z179" i="1"/>
  <c r="AG122" i="1"/>
  <c r="AG128" i="1" s="1"/>
  <c r="AG127" i="1"/>
  <c r="AT224" i="1"/>
  <c r="AT165" i="1"/>
  <c r="AT166" i="1" s="1"/>
  <c r="AL179" i="1"/>
  <c r="V179" i="1"/>
  <c r="X407" i="1"/>
  <c r="AP30" i="1"/>
  <c r="AP32" i="1" s="1"/>
  <c r="AP344" i="1" s="1"/>
  <c r="BI12" i="1"/>
  <c r="R179" i="1"/>
  <c r="AN179" i="1"/>
  <c r="AF179" i="1"/>
  <c r="X179" i="1"/>
  <c r="P179" i="1"/>
  <c r="AQ179" i="1"/>
  <c r="AI179" i="1"/>
  <c r="AA179" i="1"/>
  <c r="S179" i="1"/>
  <c r="Q122" i="1"/>
  <c r="Q128" i="1" s="1"/>
  <c r="Q127" i="1"/>
  <c r="AN407" i="1"/>
  <c r="AP407" i="1"/>
  <c r="AL407" i="1"/>
  <c r="AE407" i="1"/>
  <c r="AP179" i="1"/>
  <c r="AD179" i="1"/>
  <c r="C362" i="1"/>
  <c r="S344" i="1"/>
  <c r="S343" i="1"/>
  <c r="AV107" i="1"/>
  <c r="AV60" i="1" s="1"/>
  <c r="AV58" i="1"/>
  <c r="AU107" i="1"/>
  <c r="AU60" i="1" s="1"/>
  <c r="AU58" i="1"/>
  <c r="AO343" i="1"/>
  <c r="AO344" i="1"/>
  <c r="AO70" i="1"/>
  <c r="AO35" i="1"/>
  <c r="Y70" i="1"/>
  <c r="T343" i="1"/>
  <c r="T344" i="1"/>
  <c r="T70" i="1"/>
  <c r="T35" i="1"/>
  <c r="AW107" i="1"/>
  <c r="AW60" i="1" s="1"/>
  <c r="AW58" i="1"/>
  <c r="AU310" i="1"/>
  <c r="AV310" i="1" s="1"/>
  <c r="AW310" i="1" s="1"/>
  <c r="AX310" i="1" s="1"/>
  <c r="AY310" i="1" s="1"/>
  <c r="AZ310" i="1" s="1"/>
  <c r="BA310" i="1" s="1"/>
  <c r="BB310" i="1" s="1"/>
  <c r="BC310" i="1" s="1"/>
  <c r="BD310" i="1" s="1"/>
  <c r="BE310" i="1" s="1"/>
  <c r="BF310" i="1" s="1"/>
  <c r="BE406" i="1"/>
  <c r="AW379" i="1"/>
  <c r="AW377" i="1" s="1"/>
  <c r="AV290" i="1"/>
  <c r="AJ338" i="1"/>
  <c r="AJ337" i="1"/>
  <c r="T338" i="1"/>
  <c r="T337" i="1"/>
  <c r="AK338" i="1"/>
  <c r="AK337" i="1"/>
  <c r="U338" i="1"/>
  <c r="U337" i="1"/>
  <c r="AE370" i="1"/>
  <c r="AJ407" i="1"/>
  <c r="T407" i="1"/>
  <c r="AD336" i="1"/>
  <c r="Z338" i="1"/>
  <c r="Z337" i="1"/>
  <c r="AI336" i="1"/>
  <c r="AE338" i="1"/>
  <c r="AE337" i="1"/>
  <c r="AY324" i="1"/>
  <c r="AK407" i="1"/>
  <c r="U407" i="1"/>
  <c r="AQ407" i="1"/>
  <c r="AA407" i="1"/>
  <c r="AO373" i="1"/>
  <c r="AO372" i="1"/>
  <c r="AG368" i="1"/>
  <c r="AG373" i="1"/>
  <c r="AG372" i="1"/>
  <c r="Y373" i="1"/>
  <c r="Y372" i="1"/>
  <c r="Q373" i="1"/>
  <c r="Q372" i="1"/>
  <c r="AI209" i="1"/>
  <c r="AI215" i="1" s="1"/>
  <c r="AI214" i="1"/>
  <c r="S209" i="1"/>
  <c r="S215" i="1" s="1"/>
  <c r="S214" i="1"/>
  <c r="AY302" i="1"/>
  <c r="AT209" i="1"/>
  <c r="AT215" i="1" s="1"/>
  <c r="AT214" i="1"/>
  <c r="AD209" i="1"/>
  <c r="AD215" i="1" s="1"/>
  <c r="AD214" i="1"/>
  <c r="AT240" i="1"/>
  <c r="AT256" i="1" s="1"/>
  <c r="AU232" i="1"/>
  <c r="AF214" i="1"/>
  <c r="AF209" i="1"/>
  <c r="AF215" i="1" s="1"/>
  <c r="P214" i="1"/>
  <c r="P209" i="1"/>
  <c r="P215" i="1" s="1"/>
  <c r="AU230" i="1"/>
  <c r="AU238" i="1" s="1"/>
  <c r="AQ122" i="1"/>
  <c r="AQ128" i="1" s="1"/>
  <c r="AQ127" i="1"/>
  <c r="AA122" i="1"/>
  <c r="AA128" i="1" s="1"/>
  <c r="AA127" i="1"/>
  <c r="AR155" i="1"/>
  <c r="AR181" i="1"/>
  <c r="AR144" i="1"/>
  <c r="AR160" i="1"/>
  <c r="AB155" i="1"/>
  <c r="AB181" i="1"/>
  <c r="AB144" i="1"/>
  <c r="AB160" i="1"/>
  <c r="AU248" i="1"/>
  <c r="AU244" i="1"/>
  <c r="AU228" i="1"/>
  <c r="AT160" i="1"/>
  <c r="AT144" i="1"/>
  <c r="AT181" i="1"/>
  <c r="AT155" i="1"/>
  <c r="AD160" i="1"/>
  <c r="AD144" i="1"/>
  <c r="AD181" i="1"/>
  <c r="AD155" i="1"/>
  <c r="AI181" i="1"/>
  <c r="AI173" i="1"/>
  <c r="AI160" i="1"/>
  <c r="AI144" i="1"/>
  <c r="AI155" i="1"/>
  <c r="AR127" i="1"/>
  <c r="AR122" i="1"/>
  <c r="AR128" i="1" s="1"/>
  <c r="AE181" i="1"/>
  <c r="AE160" i="1"/>
  <c r="AE144" i="1"/>
  <c r="AE155" i="1"/>
  <c r="Z122" i="1"/>
  <c r="Z128" i="1" s="1"/>
  <c r="Z127" i="1"/>
  <c r="AD127" i="1"/>
  <c r="AD122" i="1"/>
  <c r="AD128" i="1" s="1"/>
  <c r="AK161" i="1"/>
  <c r="AK146" i="1"/>
  <c r="AK183" i="1"/>
  <c r="AG145" i="1"/>
  <c r="AG182" i="1"/>
  <c r="U161" i="1"/>
  <c r="U146" i="1"/>
  <c r="U183" i="1"/>
  <c r="AV141" i="1"/>
  <c r="AU149" i="1"/>
  <c r="X127" i="1"/>
  <c r="X122" i="1"/>
  <c r="X128" i="1" s="1"/>
  <c r="AN344" i="1"/>
  <c r="AN343" i="1"/>
  <c r="AN70" i="1"/>
  <c r="AN35" i="1"/>
  <c r="V237" i="1"/>
  <c r="V253" i="1" s="1"/>
  <c r="V63" i="1"/>
  <c r="AE395" i="1"/>
  <c r="AE361" i="1"/>
  <c r="AE365" i="1"/>
  <c r="AE369" i="1" s="1"/>
  <c r="AE352" i="1"/>
  <c r="AE164" i="1"/>
  <c r="AE166" i="1" s="1"/>
  <c r="AE167" i="1" s="1"/>
  <c r="O395" i="1"/>
  <c r="O361" i="1"/>
  <c r="O365" i="1"/>
  <c r="O369" i="1" s="1"/>
  <c r="O353" i="1"/>
  <c r="O358" i="1" s="1"/>
  <c r="O352" i="1"/>
  <c r="O164" i="1"/>
  <c r="O166" i="1" s="1"/>
  <c r="O167" i="1" s="1"/>
  <c r="AN242" i="1"/>
  <c r="AN257" i="1"/>
  <c r="AU22" i="1"/>
  <c r="AU204" i="1" s="1"/>
  <c r="AU205" i="1" s="1"/>
  <c r="AJ237" i="1"/>
  <c r="AJ253" i="1" s="1"/>
  <c r="AJ63" i="1"/>
  <c r="AI236" i="1"/>
  <c r="AI30" i="1"/>
  <c r="AI32" i="1" s="1"/>
  <c r="AP361" i="1"/>
  <c r="AP395" i="1"/>
  <c r="AP365" i="1"/>
  <c r="AP369" i="1" s="1"/>
  <c r="AP352" i="1"/>
  <c r="AP164" i="1"/>
  <c r="AP166" i="1" s="1"/>
  <c r="AP167" i="1" s="1"/>
  <c r="R361" i="1"/>
  <c r="R395" i="1"/>
  <c r="R365" i="1"/>
  <c r="R369" i="1" s="1"/>
  <c r="R352" i="1"/>
  <c r="R164" i="1"/>
  <c r="R166" i="1" s="1"/>
  <c r="R167" i="1" s="1"/>
  <c r="AH239" i="1"/>
  <c r="AH255" i="1" s="1"/>
  <c r="AH69" i="1"/>
  <c r="Z239" i="1"/>
  <c r="Z255" i="1" s="1"/>
  <c r="Z69" i="1"/>
  <c r="W183" i="1"/>
  <c r="W161" i="1"/>
  <c r="W146" i="1"/>
  <c r="AE239" i="1"/>
  <c r="AE255" i="1" s="1"/>
  <c r="AE69" i="1"/>
  <c r="Q239" i="1"/>
  <c r="Q255" i="1" s="1"/>
  <c r="Q69" i="1"/>
  <c r="AD237" i="1"/>
  <c r="AD253" i="1" s="1"/>
  <c r="AD63" i="1"/>
  <c r="AS395" i="1"/>
  <c r="AS365" i="1"/>
  <c r="AS369" i="1" s="1"/>
  <c r="AS361" i="1"/>
  <c r="AS352" i="1"/>
  <c r="AS164" i="1"/>
  <c r="AS166" i="1" s="1"/>
  <c r="Y395" i="1"/>
  <c r="Y361" i="1"/>
  <c r="Y365" i="1"/>
  <c r="Y369" i="1" s="1"/>
  <c r="Y352" i="1"/>
  <c r="Y164" i="1"/>
  <c r="Y166" i="1" s="1"/>
  <c r="F5" i="1"/>
  <c r="G4" i="1"/>
  <c r="F6" i="1"/>
  <c r="AC239" i="1"/>
  <c r="AC255" i="1" s="1"/>
  <c r="AC69" i="1"/>
  <c r="AR237" i="1"/>
  <c r="AR63" i="1"/>
  <c r="W237" i="1"/>
  <c r="W253" i="1" s="1"/>
  <c r="W63" i="1"/>
  <c r="AG236" i="1"/>
  <c r="AG30" i="1"/>
  <c r="AG32" i="1" s="1"/>
  <c r="AF395" i="1"/>
  <c r="AF365" i="1"/>
  <c r="AF369" i="1" s="1"/>
  <c r="AF361" i="1"/>
  <c r="AF352" i="1"/>
  <c r="AF164" i="1"/>
  <c r="AF166" i="1" s="1"/>
  <c r="AF167" i="1" s="1"/>
  <c r="P395" i="1"/>
  <c r="P365" i="1"/>
  <c r="P369" i="1" s="1"/>
  <c r="P361" i="1"/>
  <c r="P352" i="1"/>
  <c r="P353" i="1"/>
  <c r="P164" i="1"/>
  <c r="P166" i="1" s="1"/>
  <c r="P167" i="1" s="1"/>
  <c r="AK252" i="1"/>
  <c r="AD30" i="1"/>
  <c r="AD32" i="1" s="1"/>
  <c r="V30" i="1"/>
  <c r="V32" i="1" s="1"/>
  <c r="Q357" i="1"/>
  <c r="X252" i="1"/>
  <c r="P252" i="1"/>
  <c r="W30" i="1"/>
  <c r="W32" i="1" s="1"/>
  <c r="AT372" i="1"/>
  <c r="AT309" i="1"/>
  <c r="AT312" i="1" s="1"/>
  <c r="AU414" i="1"/>
  <c r="AV410" i="1"/>
  <c r="AF338" i="1"/>
  <c r="AF337" i="1"/>
  <c r="P338" i="1"/>
  <c r="P337" i="1"/>
  <c r="AG338" i="1"/>
  <c r="AG337" i="1"/>
  <c r="Q338" i="1"/>
  <c r="Q337" i="1"/>
  <c r="R338" i="1"/>
  <c r="R337" i="1"/>
  <c r="W338" i="1"/>
  <c r="W337" i="1"/>
  <c r="AO407" i="1"/>
  <c r="Y407" i="1"/>
  <c r="AM373" i="1"/>
  <c r="AM372" i="1"/>
  <c r="AM370" i="1"/>
  <c r="AE373" i="1"/>
  <c r="AE372" i="1"/>
  <c r="AE368" i="1"/>
  <c r="W373" i="1"/>
  <c r="W372" i="1"/>
  <c r="W370" i="1"/>
  <c r="O373" i="1"/>
  <c r="O372" i="1"/>
  <c r="AT373" i="1"/>
  <c r="AU308" i="1"/>
  <c r="AP368" i="1"/>
  <c r="AP372" i="1"/>
  <c r="AP373" i="1"/>
  <c r="AH368" i="1"/>
  <c r="AH372" i="1"/>
  <c r="AH373" i="1"/>
  <c r="Z372" i="1"/>
  <c r="Z373" i="1"/>
  <c r="R372" i="1"/>
  <c r="R373" i="1"/>
  <c r="AE209" i="1"/>
  <c r="AE215" i="1" s="1"/>
  <c r="AE214" i="1"/>
  <c r="O209" i="1"/>
  <c r="O214" i="1"/>
  <c r="AP209" i="1"/>
  <c r="AP215" i="1" s="1"/>
  <c r="AP214" i="1"/>
  <c r="Z209" i="1"/>
  <c r="Z215" i="1" s="1"/>
  <c r="Z214" i="1"/>
  <c r="AR373" i="1"/>
  <c r="AR372" i="1"/>
  <c r="AJ373" i="1"/>
  <c r="AJ372" i="1"/>
  <c r="AB373" i="1"/>
  <c r="AB372" i="1"/>
  <c r="T373" i="1"/>
  <c r="T372" i="1"/>
  <c r="AR214" i="1"/>
  <c r="AR209" i="1"/>
  <c r="AR215" i="1" s="1"/>
  <c r="AB214" i="1"/>
  <c r="AB209" i="1"/>
  <c r="AB215" i="1" s="1"/>
  <c r="AM122" i="1"/>
  <c r="AM128" i="1" s="1"/>
  <c r="AM127" i="1"/>
  <c r="W122" i="1"/>
  <c r="W128" i="1" s="1"/>
  <c r="W127" i="1"/>
  <c r="AN155" i="1"/>
  <c r="AN181" i="1"/>
  <c r="AN144" i="1"/>
  <c r="AN160" i="1"/>
  <c r="X155" i="1"/>
  <c r="X181" i="1"/>
  <c r="X144" i="1"/>
  <c r="X160" i="1"/>
  <c r="AP160" i="1"/>
  <c r="AP144" i="1"/>
  <c r="AP181" i="1"/>
  <c r="AP155" i="1"/>
  <c r="Z160" i="1"/>
  <c r="Z144" i="1"/>
  <c r="Z181" i="1"/>
  <c r="Z155" i="1"/>
  <c r="S181" i="1"/>
  <c r="S160" i="1"/>
  <c r="S144" i="1"/>
  <c r="S155" i="1"/>
  <c r="AW132" i="1"/>
  <c r="AV133" i="1"/>
  <c r="AL122" i="1"/>
  <c r="AL128" i="1" s="1"/>
  <c r="AL127" i="1"/>
  <c r="O181" i="1"/>
  <c r="O173" i="1"/>
  <c r="O160" i="1"/>
  <c r="O144" i="1"/>
  <c r="O155" i="1"/>
  <c r="AQ183" i="1"/>
  <c r="AQ161" i="1"/>
  <c r="AQ146" i="1"/>
  <c r="AQ182" i="1"/>
  <c r="AQ145" i="1"/>
  <c r="AG161" i="1"/>
  <c r="AG146" i="1"/>
  <c r="AG183" i="1"/>
  <c r="Q161" i="1"/>
  <c r="Q146" i="1"/>
  <c r="Q183" i="1"/>
  <c r="AW170" i="1"/>
  <c r="AW177" i="1"/>
  <c r="AX134" i="1"/>
  <c r="R127" i="1"/>
  <c r="R122" i="1"/>
  <c r="R128" i="1" s="1"/>
  <c r="AQ239" i="1"/>
  <c r="AQ255" i="1" s="1"/>
  <c r="AQ69" i="1"/>
  <c r="W239" i="1"/>
  <c r="W255" i="1" s="1"/>
  <c r="W69" i="1"/>
  <c r="AA395" i="1"/>
  <c r="AA361" i="1"/>
  <c r="AA365" i="1"/>
  <c r="AA369" i="1" s="1"/>
  <c r="AA352" i="1"/>
  <c r="AA164" i="1"/>
  <c r="AA166" i="1" s="1"/>
  <c r="AS237" i="1"/>
  <c r="AS253" i="1" s="1"/>
  <c r="AS63" i="1"/>
  <c r="AK237" i="1"/>
  <c r="AK253" i="1" s="1"/>
  <c r="AK63" i="1"/>
  <c r="AC237" i="1"/>
  <c r="AC253" i="1" s="1"/>
  <c r="AC63" i="1"/>
  <c r="U237" i="1"/>
  <c r="U253" i="1" s="1"/>
  <c r="U63" i="1"/>
  <c r="AJ343" i="1"/>
  <c r="AJ344" i="1"/>
  <c r="AJ70" i="1"/>
  <c r="AJ35" i="1"/>
  <c r="C401" i="1"/>
  <c r="C416" i="1"/>
  <c r="AP239" i="1"/>
  <c r="AP255" i="1" s="1"/>
  <c r="AP69" i="1"/>
  <c r="AE237" i="1"/>
  <c r="AE253" i="1" s="1"/>
  <c r="AE63" i="1"/>
  <c r="AD395" i="1"/>
  <c r="AD361" i="1"/>
  <c r="AD365" i="1"/>
  <c r="AD369" i="1" s="1"/>
  <c r="AD352" i="1"/>
  <c r="AD164" i="1"/>
  <c r="AD166" i="1" s="1"/>
  <c r="AD167" i="1" s="1"/>
  <c r="AX107" i="1"/>
  <c r="AX60" i="1" s="1"/>
  <c r="AX58" i="1"/>
  <c r="Y239" i="1"/>
  <c r="Y255" i="1" s="1"/>
  <c r="Y69" i="1"/>
  <c r="AU21" i="1"/>
  <c r="AU189" i="1" s="1"/>
  <c r="AU190" i="1" s="1"/>
  <c r="S237" i="1"/>
  <c r="S253" i="1" s="1"/>
  <c r="S63" i="1"/>
  <c r="AO395" i="1"/>
  <c r="AO361" i="1"/>
  <c r="AO365" i="1"/>
  <c r="AO369" i="1" s="1"/>
  <c r="AO352" i="1"/>
  <c r="AO164" i="1"/>
  <c r="AO166" i="1" s="1"/>
  <c r="U395" i="1"/>
  <c r="U365" i="1"/>
  <c r="U369" i="1" s="1"/>
  <c r="U361" i="1"/>
  <c r="U352" i="1"/>
  <c r="U164" i="1"/>
  <c r="U166" i="1" s="1"/>
  <c r="X239" i="1"/>
  <c r="X255" i="1" s="1"/>
  <c r="X69" i="1"/>
  <c r="AM237" i="1"/>
  <c r="AM253" i="1" s="1"/>
  <c r="AM63" i="1"/>
  <c r="R237" i="1"/>
  <c r="R253" i="1" s="1"/>
  <c r="R63" i="1"/>
  <c r="AR395" i="1"/>
  <c r="AR365" i="1"/>
  <c r="AR369" i="1" s="1"/>
  <c r="AR361" i="1"/>
  <c r="AR352" i="1"/>
  <c r="AR164" i="1"/>
  <c r="AR166" i="1" s="1"/>
  <c r="AR167" i="1" s="1"/>
  <c r="AB395" i="1"/>
  <c r="AB365" i="1"/>
  <c r="AB369" i="1" s="1"/>
  <c r="AB361" i="1"/>
  <c r="AB352" i="1"/>
  <c r="AB164" i="1"/>
  <c r="AB166" i="1" s="1"/>
  <c r="AB167" i="1" s="1"/>
  <c r="AV203" i="1"/>
  <c r="AV29" i="1"/>
  <c r="AW15" i="1"/>
  <c r="P239" i="1"/>
  <c r="P255" i="1" s="1"/>
  <c r="P69" i="1"/>
  <c r="AQ395" i="1"/>
  <c r="S252" i="1"/>
  <c r="AC30" i="1"/>
  <c r="AC32" i="1" s="1"/>
  <c r="AL395" i="1"/>
  <c r="AD252" i="1"/>
  <c r="V252" i="1"/>
  <c r="Y252" i="1"/>
  <c r="P355" i="1"/>
  <c r="AI395" i="1"/>
  <c r="W252" i="1"/>
  <c r="AG395" i="1"/>
  <c r="AW421" i="1"/>
  <c r="AT416" i="1"/>
  <c r="AT418" i="1" s="1"/>
  <c r="AT406" i="1"/>
  <c r="AR338" i="1"/>
  <c r="AR337" i="1"/>
  <c r="AB338" i="1"/>
  <c r="AB337" i="1"/>
  <c r="AS338" i="1"/>
  <c r="AS337" i="1"/>
  <c r="AC338" i="1"/>
  <c r="AC337" i="1"/>
  <c r="O370" i="1"/>
  <c r="AR407" i="1"/>
  <c r="AB407" i="1"/>
  <c r="AP338" i="1"/>
  <c r="AP337" i="1"/>
  <c r="O338" i="1"/>
  <c r="O337" i="1"/>
  <c r="AH374" i="1"/>
  <c r="R374" i="1"/>
  <c r="AQ337" i="1"/>
  <c r="AS407" i="1"/>
  <c r="AC407" i="1"/>
  <c r="AM374" i="1"/>
  <c r="AI407" i="1"/>
  <c r="W374" i="1"/>
  <c r="S407" i="1"/>
  <c r="AS373" i="1"/>
  <c r="AS372" i="1"/>
  <c r="AK373" i="1"/>
  <c r="AK372" i="1"/>
  <c r="AC373" i="1"/>
  <c r="AC372" i="1"/>
  <c r="U373" i="1"/>
  <c r="U372" i="1"/>
  <c r="AQ209" i="1"/>
  <c r="AQ215" i="1" s="1"/>
  <c r="AQ214" i="1"/>
  <c r="AA209" i="1"/>
  <c r="AA215" i="1" s="1"/>
  <c r="AA214" i="1"/>
  <c r="AL209" i="1"/>
  <c r="AL215" i="1" s="1"/>
  <c r="AL214" i="1"/>
  <c r="V209" i="1"/>
  <c r="V215" i="1" s="1"/>
  <c r="V214" i="1"/>
  <c r="AN214" i="1"/>
  <c r="AN209" i="1"/>
  <c r="AN215" i="1" s="1"/>
  <c r="X214" i="1"/>
  <c r="X209" i="1"/>
  <c r="X215" i="1" s="1"/>
  <c r="AS214" i="1"/>
  <c r="AS209" i="1"/>
  <c r="AS215" i="1" s="1"/>
  <c r="AI122" i="1"/>
  <c r="AI128" i="1" s="1"/>
  <c r="AI127" i="1"/>
  <c r="S122" i="1"/>
  <c r="S128" i="1" s="1"/>
  <c r="S127" i="1"/>
  <c r="AO214" i="1"/>
  <c r="AO209" i="1"/>
  <c r="AO215" i="1" s="1"/>
  <c r="AJ155" i="1"/>
  <c r="AJ181" i="1"/>
  <c r="AJ144" i="1"/>
  <c r="AJ160" i="1"/>
  <c r="T155" i="1"/>
  <c r="T181" i="1"/>
  <c r="T144" i="1"/>
  <c r="T160" i="1"/>
  <c r="AV229" i="1"/>
  <c r="AG214" i="1"/>
  <c r="AG209" i="1"/>
  <c r="AG215" i="1" s="1"/>
  <c r="AL173" i="1"/>
  <c r="AL160" i="1"/>
  <c r="AL144" i="1"/>
  <c r="AL181" i="1"/>
  <c r="AL155" i="1"/>
  <c r="V160" i="1"/>
  <c r="V144" i="1"/>
  <c r="V181" i="1"/>
  <c r="V155" i="1"/>
  <c r="AB127" i="1"/>
  <c r="AB122" i="1"/>
  <c r="AB128" i="1" s="1"/>
  <c r="AY91" i="1"/>
  <c r="AY99" i="1"/>
  <c r="AY57" i="1"/>
  <c r="AA183" i="1"/>
  <c r="AA161" i="1"/>
  <c r="AA146" i="1"/>
  <c r="AS161" i="1"/>
  <c r="AS146" i="1"/>
  <c r="AS183" i="1"/>
  <c r="AC161" i="1"/>
  <c r="AC146" i="1"/>
  <c r="AC183" i="1"/>
  <c r="BC131" i="1"/>
  <c r="AY100" i="1"/>
  <c r="AY105" i="1" s="1"/>
  <c r="BB74" i="1"/>
  <c r="AG239" i="1"/>
  <c r="AG255" i="1" s="1"/>
  <c r="AG69" i="1"/>
  <c r="AT237" i="1"/>
  <c r="AT253" i="1" s="1"/>
  <c r="AT63" i="1"/>
  <c r="W395" i="1"/>
  <c r="W361" i="1"/>
  <c r="W365" i="1"/>
  <c r="W369" i="1" s="1"/>
  <c r="W352" i="1"/>
  <c r="W164" i="1"/>
  <c r="W166" i="1" s="1"/>
  <c r="AJ252" i="1"/>
  <c r="P84" i="1"/>
  <c r="P99" i="1"/>
  <c r="P95" i="1"/>
  <c r="P91" i="1"/>
  <c r="P57" i="1"/>
  <c r="BA53" i="1"/>
  <c r="AM239" i="1"/>
  <c r="AM255" i="1" s="1"/>
  <c r="AM69" i="1"/>
  <c r="AL239" i="1"/>
  <c r="AL255" i="1" s="1"/>
  <c r="AL69" i="1"/>
  <c r="AA239" i="1"/>
  <c r="AA255" i="1" s="1"/>
  <c r="AA69" i="1"/>
  <c r="Z237" i="1"/>
  <c r="Z253" i="1" s="1"/>
  <c r="Z63" i="1"/>
  <c r="Z395" i="1"/>
  <c r="Z361" i="1"/>
  <c r="Z365" i="1"/>
  <c r="Z369" i="1" s="1"/>
  <c r="Z352" i="1"/>
  <c r="Z164" i="1"/>
  <c r="Z166" i="1" s="1"/>
  <c r="Z167" i="1" s="1"/>
  <c r="AD239" i="1"/>
  <c r="AD255" i="1" s="1"/>
  <c r="AD69" i="1"/>
  <c r="V239" i="1"/>
  <c r="V255" i="1" s="1"/>
  <c r="V69" i="1"/>
  <c r="AT236" i="1"/>
  <c r="AT30" i="1"/>
  <c r="AT32" i="1" s="1"/>
  <c r="AM236" i="1"/>
  <c r="AM30" i="1"/>
  <c r="AM32" i="1" s="1"/>
  <c r="AK395" i="1"/>
  <c r="AK365" i="1"/>
  <c r="AK369" i="1" s="1"/>
  <c r="AK361" i="1"/>
  <c r="AK352" i="1"/>
  <c r="AK164" i="1"/>
  <c r="AK166" i="1" s="1"/>
  <c r="Q395" i="1"/>
  <c r="Q353" i="1"/>
  <c r="Q361" i="1"/>
  <c r="Q365" i="1"/>
  <c r="Q369" i="1" s="1"/>
  <c r="Q352" i="1"/>
  <c r="Q164" i="1"/>
  <c r="Q166" i="1" s="1"/>
  <c r="BA79" i="1"/>
  <c r="AR239" i="1"/>
  <c r="AR255" i="1" s="1"/>
  <c r="AR69" i="1"/>
  <c r="S239" i="1"/>
  <c r="S255" i="1" s="1"/>
  <c r="S69" i="1"/>
  <c r="AH237" i="1"/>
  <c r="AH253" i="1" s="1"/>
  <c r="AH63" i="1"/>
  <c r="AQ236" i="1"/>
  <c r="AQ30" i="1"/>
  <c r="AQ32" i="1" s="1"/>
  <c r="AN395" i="1"/>
  <c r="AN365" i="1"/>
  <c r="AN369" i="1" s="1"/>
  <c r="AN361" i="1"/>
  <c r="AN352" i="1"/>
  <c r="AN164" i="1"/>
  <c r="AN166" i="1" s="1"/>
  <c r="AN167" i="1" s="1"/>
  <c r="X395" i="1"/>
  <c r="X365" i="1"/>
  <c r="X369" i="1" s="1"/>
  <c r="X361" i="1"/>
  <c r="X352" i="1"/>
  <c r="X164" i="1"/>
  <c r="X166" i="1" s="1"/>
  <c r="X167" i="1" s="1"/>
  <c r="AE30" i="1"/>
  <c r="AE32" i="1" s="1"/>
  <c r="AC252" i="1"/>
  <c r="Z30" i="1"/>
  <c r="Z32" i="1" s="1"/>
  <c r="R30" i="1"/>
  <c r="R32" i="1" s="1"/>
  <c r="AS30" i="1"/>
  <c r="AS32" i="1" s="1"/>
  <c r="AB252" i="1"/>
  <c r="T252" i="1"/>
  <c r="Q84" i="1"/>
  <c r="Q94" i="1" s="1"/>
  <c r="Q99" i="1"/>
  <c r="Q100" i="1" s="1"/>
  <c r="Q95" i="1"/>
  <c r="Q91" i="1"/>
  <c r="Q57" i="1"/>
  <c r="AA30" i="1"/>
  <c r="AA32" i="1" s="1"/>
  <c r="O344" i="1"/>
  <c r="O343" i="1"/>
  <c r="O70" i="1"/>
  <c r="O35" i="1"/>
  <c r="U30" i="1"/>
  <c r="U32" i="1" s="1"/>
  <c r="BF429" i="1"/>
  <c r="BF406" i="1"/>
  <c r="AN338" i="1"/>
  <c r="AN337" i="1"/>
  <c r="X338" i="1"/>
  <c r="X337" i="1"/>
  <c r="AO338" i="1"/>
  <c r="AO337" i="1"/>
  <c r="Y338" i="1"/>
  <c r="Y337" i="1"/>
  <c r="AB374" i="1"/>
  <c r="AL336" i="1"/>
  <c r="AH338" i="1"/>
  <c r="AH337" i="1"/>
  <c r="AM338" i="1"/>
  <c r="AM337" i="1"/>
  <c r="AH407" i="1"/>
  <c r="AD407" i="1"/>
  <c r="R407" i="1"/>
  <c r="C407" i="1" s="1"/>
  <c r="AV305" i="1"/>
  <c r="AG407" i="1"/>
  <c r="Q407" i="1"/>
  <c r="AQ373" i="1"/>
  <c r="AQ372" i="1"/>
  <c r="AQ370" i="1"/>
  <c r="AQ368" i="1"/>
  <c r="AI373" i="1"/>
  <c r="AI372" i="1"/>
  <c r="AI368" i="1"/>
  <c r="AA373" i="1"/>
  <c r="AA372" i="1"/>
  <c r="AA370" i="1"/>
  <c r="S373" i="1"/>
  <c r="S372" i="1"/>
  <c r="AQ374" i="1"/>
  <c r="AM407" i="1"/>
  <c r="AA374" i="1"/>
  <c r="W407" i="1"/>
  <c r="AL368" i="1"/>
  <c r="AL373" i="1"/>
  <c r="AL372" i="1"/>
  <c r="AD372" i="1"/>
  <c r="AD373" i="1"/>
  <c r="V373" i="1"/>
  <c r="V372" i="1"/>
  <c r="AM209" i="1"/>
  <c r="AM215" i="1" s="1"/>
  <c r="AM214" i="1"/>
  <c r="W209" i="1"/>
  <c r="W215" i="1" s="1"/>
  <c r="W214" i="1"/>
  <c r="AH209" i="1"/>
  <c r="AH215" i="1" s="1"/>
  <c r="AH214" i="1"/>
  <c r="R209" i="1"/>
  <c r="R215" i="1" s="1"/>
  <c r="R214" i="1"/>
  <c r="AY304" i="1"/>
  <c r="AX278" i="1"/>
  <c r="AN373" i="1"/>
  <c r="AN372" i="1"/>
  <c r="AF373" i="1"/>
  <c r="AF372" i="1"/>
  <c r="AF368" i="1"/>
  <c r="X373" i="1"/>
  <c r="X372" i="1"/>
  <c r="P373" i="1"/>
  <c r="P372" i="1"/>
  <c r="AJ214" i="1"/>
  <c r="AJ209" i="1"/>
  <c r="AJ215" i="1" s="1"/>
  <c r="T214" i="1"/>
  <c r="T209" i="1"/>
  <c r="T215" i="1" s="1"/>
  <c r="AC214" i="1"/>
  <c r="AC209" i="1"/>
  <c r="AC215" i="1" s="1"/>
  <c r="AE122" i="1"/>
  <c r="AE128" i="1" s="1"/>
  <c r="AE127" i="1"/>
  <c r="O122" i="1"/>
  <c r="O127" i="1"/>
  <c r="Y214" i="1"/>
  <c r="Y209" i="1"/>
  <c r="Y215" i="1" s="1"/>
  <c r="AF155" i="1"/>
  <c r="AF181" i="1"/>
  <c r="AF160" i="1"/>
  <c r="AF144" i="1"/>
  <c r="P155" i="1"/>
  <c r="P181" i="1"/>
  <c r="P160" i="1"/>
  <c r="P144" i="1"/>
  <c r="AU245" i="1"/>
  <c r="Q214" i="1"/>
  <c r="Q209" i="1"/>
  <c r="Q215" i="1" s="1"/>
  <c r="AH173" i="1"/>
  <c r="AH160" i="1"/>
  <c r="AH144" i="1"/>
  <c r="AH181" i="1"/>
  <c r="AH155" i="1"/>
  <c r="R160" i="1"/>
  <c r="R144" i="1"/>
  <c r="R181" i="1"/>
  <c r="R155" i="1"/>
  <c r="V122" i="1"/>
  <c r="V128" i="1" s="1"/>
  <c r="V127" i="1"/>
  <c r="AZ98" i="1"/>
  <c r="AZ93" i="1"/>
  <c r="AZ89" i="1"/>
  <c r="AZ85" i="1"/>
  <c r="BA83" i="1"/>
  <c r="AP122" i="1"/>
  <c r="AP128" i="1" s="1"/>
  <c r="AP127" i="1"/>
  <c r="AO161" i="1"/>
  <c r="AO146" i="1"/>
  <c r="AO183" i="1"/>
  <c r="Y161" i="1"/>
  <c r="Y146" i="1"/>
  <c r="Y183" i="1"/>
  <c r="AH127" i="1"/>
  <c r="AH122" i="1"/>
  <c r="AH128" i="1" s="1"/>
  <c r="AI239" i="1"/>
  <c r="AI255" i="1" s="1"/>
  <c r="AI69" i="1"/>
  <c r="AL237" i="1"/>
  <c r="AL253" i="1" s="1"/>
  <c r="AL63" i="1"/>
  <c r="S395" i="1"/>
  <c r="S361" i="1"/>
  <c r="S365" i="1"/>
  <c r="S369" i="1" s="1"/>
  <c r="S352" i="1"/>
  <c r="S164" i="1"/>
  <c r="S166" i="1" s="1"/>
  <c r="S167" i="1" s="1"/>
  <c r="AO237" i="1"/>
  <c r="AO253" i="1" s="1"/>
  <c r="AO63" i="1"/>
  <c r="AG237" i="1"/>
  <c r="AG253" i="1" s="1"/>
  <c r="AG63" i="1"/>
  <c r="Y237" i="1"/>
  <c r="Y253" i="1" s="1"/>
  <c r="Y63" i="1"/>
  <c r="Q237" i="1"/>
  <c r="Q253" i="1" s="1"/>
  <c r="Q63" i="1"/>
  <c r="C418" i="1"/>
  <c r="AR343" i="1"/>
  <c r="AF344" i="1"/>
  <c r="AF343" i="1"/>
  <c r="AF70" i="1"/>
  <c r="AF35" i="1"/>
  <c r="AP237" i="1"/>
  <c r="AP253" i="1" s="1"/>
  <c r="AP63" i="1"/>
  <c r="T237" i="1"/>
  <c r="T253" i="1" s="1"/>
  <c r="T63" i="1"/>
  <c r="V361" i="1"/>
  <c r="V395" i="1"/>
  <c r="V365" i="1"/>
  <c r="V369" i="1" s="1"/>
  <c r="V352" i="1"/>
  <c r="V164" i="1"/>
  <c r="V166" i="1" s="1"/>
  <c r="V167" i="1" s="1"/>
  <c r="AM183" i="1"/>
  <c r="AM161" i="1"/>
  <c r="AM146" i="1"/>
  <c r="AI237" i="1"/>
  <c r="AI253" i="1" s="1"/>
  <c r="AI63" i="1"/>
  <c r="AH236" i="1"/>
  <c r="AH30" i="1"/>
  <c r="AH32" i="1" s="1"/>
  <c r="AC395" i="1"/>
  <c r="AC365" i="1"/>
  <c r="AC369" i="1" s="1"/>
  <c r="AC361" i="1"/>
  <c r="AC352" i="1"/>
  <c r="AC164" i="1"/>
  <c r="AC166" i="1" s="1"/>
  <c r="AJ239" i="1"/>
  <c r="AJ255" i="1" s="1"/>
  <c r="AJ69" i="1"/>
  <c r="AW233" i="1"/>
  <c r="AW234" i="1" s="1"/>
  <c r="AX31" i="1"/>
  <c r="AB237" i="1"/>
  <c r="AB253" i="1" s="1"/>
  <c r="AB63" i="1"/>
  <c r="AL236" i="1"/>
  <c r="AL30" i="1"/>
  <c r="AL32" i="1" s="1"/>
  <c r="AJ395" i="1"/>
  <c r="AJ365" i="1"/>
  <c r="AJ369" i="1" s="1"/>
  <c r="AJ361" i="1"/>
  <c r="AJ352" i="1"/>
  <c r="AJ164" i="1"/>
  <c r="AJ166" i="1" s="1"/>
  <c r="AJ167" i="1" s="1"/>
  <c r="T395" i="1"/>
  <c r="T365" i="1"/>
  <c r="T369" i="1" s="1"/>
  <c r="T361" i="1"/>
  <c r="T352" i="1"/>
  <c r="T164" i="1"/>
  <c r="T166" i="1" s="1"/>
  <c r="T167" i="1" s="1"/>
  <c r="AV188" i="1"/>
  <c r="AV28" i="1"/>
  <c r="AW14" i="1"/>
  <c r="AE252" i="1"/>
  <c r="AK30" i="1"/>
  <c r="AK32" i="1" s="1"/>
  <c r="AP252" i="1"/>
  <c r="AH395" i="1"/>
  <c r="Z252" i="1"/>
  <c r="R252" i="1"/>
  <c r="AS252" i="1"/>
  <c r="Q252" i="1"/>
  <c r="X30" i="1"/>
  <c r="X32" i="1" s="1"/>
  <c r="P30" i="1"/>
  <c r="P32" i="1" s="1"/>
  <c r="S4" i="1"/>
  <c r="R5" i="1"/>
  <c r="R6" i="1"/>
  <c r="R353" i="1" s="1"/>
  <c r="P357" i="1"/>
  <c r="AM395" i="1"/>
  <c r="AA252" i="1"/>
  <c r="AA241" i="1"/>
  <c r="O241" i="1"/>
  <c r="O252" i="1"/>
  <c r="AO252" i="1"/>
  <c r="U252" i="1"/>
  <c r="U241" i="1"/>
  <c r="AR70" i="1" l="1"/>
  <c r="AR344" i="1"/>
  <c r="Q70" i="1"/>
  <c r="AR340" i="1"/>
  <c r="AM368" i="1"/>
  <c r="R368" i="1"/>
  <c r="S70" i="1"/>
  <c r="C389" i="1"/>
  <c r="C334" i="1"/>
  <c r="C328" i="1"/>
  <c r="C319" i="1"/>
  <c r="C323" i="1" s="1"/>
  <c r="C329" i="1" s="1"/>
  <c r="AX138" i="1"/>
  <c r="AU254" i="1"/>
  <c r="AF173" i="1"/>
  <c r="AF182" i="1" s="1"/>
  <c r="AU206" i="1"/>
  <c r="AS368" i="1"/>
  <c r="AU239" i="1"/>
  <c r="AU255" i="1" s="1"/>
  <c r="AB70" i="1"/>
  <c r="AB343" i="1"/>
  <c r="AP173" i="1"/>
  <c r="AB344" i="1"/>
  <c r="C390" i="1"/>
  <c r="C306" i="1"/>
  <c r="Y344" i="1"/>
  <c r="P368" i="1"/>
  <c r="AD368" i="1"/>
  <c r="AP70" i="1"/>
  <c r="Q343" i="1"/>
  <c r="Y343" i="1"/>
  <c r="Q358" i="1"/>
  <c r="Z241" i="1"/>
  <c r="P173" i="1"/>
  <c r="AF241" i="1"/>
  <c r="AF242" i="1" s="1"/>
  <c r="Q35" i="1"/>
  <c r="Q391" i="1" s="1"/>
  <c r="Q392" i="1" s="1"/>
  <c r="AO340" i="1"/>
  <c r="W241" i="1"/>
  <c r="AM167" i="1"/>
  <c r="AM173" i="1"/>
  <c r="R340" i="1"/>
  <c r="AC241" i="1"/>
  <c r="AP35" i="1"/>
  <c r="AP391" i="1" s="1"/>
  <c r="AP392" i="1" s="1"/>
  <c r="AS241" i="1"/>
  <c r="AS257" i="1" s="1"/>
  <c r="AS258" i="1" s="1"/>
  <c r="AN258" i="1"/>
  <c r="AP343" i="1"/>
  <c r="U368" i="1"/>
  <c r="AT167" i="1"/>
  <c r="AT173" i="1"/>
  <c r="AM340" i="1"/>
  <c r="AH340" i="1"/>
  <c r="Y340" i="1"/>
  <c r="R173" i="1"/>
  <c r="AO241" i="1"/>
  <c r="AO257" i="1" s="1"/>
  <c r="AO258" i="1" s="1"/>
  <c r="R241" i="1"/>
  <c r="R257" i="1" s="1"/>
  <c r="AE241" i="1"/>
  <c r="AE242" i="1" s="1"/>
  <c r="AK340" i="1"/>
  <c r="X368" i="1"/>
  <c r="AA368" i="1"/>
  <c r="AB340" i="1"/>
  <c r="O368" i="1"/>
  <c r="W368" i="1"/>
  <c r="AG340" i="1"/>
  <c r="AP241" i="1"/>
  <c r="AP257" i="1" s="1"/>
  <c r="W340" i="1"/>
  <c r="AD241" i="1"/>
  <c r="AD257" i="1" s="1"/>
  <c r="AJ340" i="1"/>
  <c r="BI13" i="1"/>
  <c r="Q241" i="1"/>
  <c r="AE257" i="1"/>
  <c r="AV196" i="1"/>
  <c r="AH252" i="1"/>
  <c r="AH241" i="1"/>
  <c r="AF391" i="1"/>
  <c r="AF392" i="1" s="1"/>
  <c r="AF345" i="1"/>
  <c r="AF72" i="1"/>
  <c r="AF39" i="1"/>
  <c r="AR391" i="1"/>
  <c r="AR392" i="1" s="1"/>
  <c r="AR345" i="1"/>
  <c r="AR39" i="1"/>
  <c r="AR72" i="1"/>
  <c r="BA98" i="1"/>
  <c r="BA93" i="1"/>
  <c r="BA85" i="1"/>
  <c r="BA89" i="1"/>
  <c r="BB83" i="1"/>
  <c r="AH161" i="1"/>
  <c r="AH146" i="1"/>
  <c r="AH183" i="1"/>
  <c r="AH145" i="1"/>
  <c r="AH182" i="1"/>
  <c r="P183" i="1"/>
  <c r="P161" i="1"/>
  <c r="P146" i="1"/>
  <c r="AZ304" i="1"/>
  <c r="AY278" i="1"/>
  <c r="AS344" i="1"/>
  <c r="AS343" i="1"/>
  <c r="AS70" i="1"/>
  <c r="AS35" i="1"/>
  <c r="AQ252" i="1"/>
  <c r="AQ241" i="1"/>
  <c r="AT252" i="1"/>
  <c r="AT241" i="1"/>
  <c r="BB53" i="1"/>
  <c r="AJ241" i="1"/>
  <c r="BC74" i="1"/>
  <c r="V161" i="1"/>
  <c r="V146" i="1"/>
  <c r="V183" i="1"/>
  <c r="V173" i="1"/>
  <c r="T183" i="1"/>
  <c r="T161" i="1"/>
  <c r="T146" i="1"/>
  <c r="AJ173" i="1"/>
  <c r="AK368" i="1"/>
  <c r="V241" i="1"/>
  <c r="AV239" i="1"/>
  <c r="AV22" i="1"/>
  <c r="AV204" i="1" s="1"/>
  <c r="AV205" i="1" s="1"/>
  <c r="U167" i="1"/>
  <c r="U173" i="1"/>
  <c r="Z161" i="1"/>
  <c r="Z146" i="1"/>
  <c r="Z183" i="1"/>
  <c r="Z173" i="1"/>
  <c r="X183" i="1"/>
  <c r="X161" i="1"/>
  <c r="X146" i="1"/>
  <c r="AN173" i="1"/>
  <c r="AJ368" i="1"/>
  <c r="AG252" i="1"/>
  <c r="AG241" i="1"/>
  <c r="AR253" i="1"/>
  <c r="AR241" i="1"/>
  <c r="AS167" i="1"/>
  <c r="AS173" i="1"/>
  <c r="AN391" i="1"/>
  <c r="AN392" i="1" s="1"/>
  <c r="AN345" i="1"/>
  <c r="AN72" i="1"/>
  <c r="AN39" i="1"/>
  <c r="AE183" i="1"/>
  <c r="AE161" i="1"/>
  <c r="AE146" i="1"/>
  <c r="AD161" i="1"/>
  <c r="AD146" i="1"/>
  <c r="AD183" i="1"/>
  <c r="AD173" i="1"/>
  <c r="AU223" i="1"/>
  <c r="AB173" i="1"/>
  <c r="AU240" i="1"/>
  <c r="AU256" i="1" s="1"/>
  <c r="AV232" i="1"/>
  <c r="AU221" i="1"/>
  <c r="AU222" i="1" s="1"/>
  <c r="Q368" i="1"/>
  <c r="AB391" i="1"/>
  <c r="AB392" i="1" s="1"/>
  <c r="AB345" i="1"/>
  <c r="AB39" i="1"/>
  <c r="AB72" i="1"/>
  <c r="AO391" i="1"/>
  <c r="AO392" i="1" s="1"/>
  <c r="AO345" i="1"/>
  <c r="AO72" i="1"/>
  <c r="AO39" i="1"/>
  <c r="P344" i="1"/>
  <c r="P343" i="1"/>
  <c r="P70" i="1"/>
  <c r="P35" i="1"/>
  <c r="S340" i="1"/>
  <c r="U257" i="1"/>
  <c r="U242" i="1"/>
  <c r="S5" i="1"/>
  <c r="S6" i="1"/>
  <c r="T4" i="1"/>
  <c r="AL344" i="1"/>
  <c r="AL343" i="1"/>
  <c r="AL70" i="1"/>
  <c r="AL35" i="1"/>
  <c r="AX233" i="1"/>
  <c r="AX234" i="1" s="1"/>
  <c r="AY31" i="1"/>
  <c r="AC167" i="1"/>
  <c r="AC173" i="1"/>
  <c r="C312" i="1"/>
  <c r="AZ99" i="1"/>
  <c r="AZ100" i="1" s="1"/>
  <c r="AZ105" i="1" s="1"/>
  <c r="AZ91" i="1"/>
  <c r="AZ57" i="1"/>
  <c r="AF183" i="1"/>
  <c r="AF161" i="1"/>
  <c r="AF146" i="1"/>
  <c r="O128" i="1"/>
  <c r="U344" i="1"/>
  <c r="U343" i="1"/>
  <c r="U70" i="1"/>
  <c r="U35" i="1"/>
  <c r="T241" i="1"/>
  <c r="R344" i="1"/>
  <c r="R343" i="1"/>
  <c r="R70" i="1"/>
  <c r="R35" i="1"/>
  <c r="Q167" i="1"/>
  <c r="Q173" i="1"/>
  <c r="AM344" i="1"/>
  <c r="AM343" i="1"/>
  <c r="AM70" i="1"/>
  <c r="AM35" i="1"/>
  <c r="P100" i="1"/>
  <c r="W167" i="1"/>
  <c r="W173" i="1"/>
  <c r="AY107" i="1"/>
  <c r="AY60" i="1" s="1"/>
  <c r="AY58" i="1"/>
  <c r="AL161" i="1"/>
  <c r="AL146" i="1"/>
  <c r="AL183" i="1"/>
  <c r="AL145" i="1"/>
  <c r="AL182" i="1"/>
  <c r="AW229" i="1"/>
  <c r="AV152" i="1"/>
  <c r="AJ183" i="1"/>
  <c r="AJ161" i="1"/>
  <c r="AJ146" i="1"/>
  <c r="AW231" i="1"/>
  <c r="AV206" i="1"/>
  <c r="AC368" i="1"/>
  <c r="AC340" i="1"/>
  <c r="AS340" i="1"/>
  <c r="AC344" i="1"/>
  <c r="AC343" i="1"/>
  <c r="AC70" i="1"/>
  <c r="AC35" i="1"/>
  <c r="AV211" i="1"/>
  <c r="AJ391" i="1"/>
  <c r="AJ392" i="1" s="1"/>
  <c r="AJ345" i="1"/>
  <c r="AJ39" i="1"/>
  <c r="AJ72" i="1"/>
  <c r="AA167" i="1"/>
  <c r="AA173" i="1"/>
  <c r="AX177" i="1"/>
  <c r="AY134" i="1"/>
  <c r="AX170" i="1"/>
  <c r="O182" i="1"/>
  <c r="O145" i="1"/>
  <c r="AV135" i="1"/>
  <c r="AV261" i="1"/>
  <c r="AV171" i="1" s="1"/>
  <c r="AP161" i="1"/>
  <c r="AP146" i="1"/>
  <c r="AP183" i="1"/>
  <c r="AP145" i="1"/>
  <c r="AP182" i="1"/>
  <c r="AN183" i="1"/>
  <c r="AN161" i="1"/>
  <c r="AN146" i="1"/>
  <c r="AB368" i="1"/>
  <c r="Q340" i="1"/>
  <c r="AV414" i="1"/>
  <c r="AW410" i="1"/>
  <c r="P241" i="1"/>
  <c r="V344" i="1"/>
  <c r="V343" i="1"/>
  <c r="V70" i="1"/>
  <c r="V35" i="1"/>
  <c r="C333" i="1"/>
  <c r="C336" i="1" s="1"/>
  <c r="C335" i="1"/>
  <c r="AT161" i="1"/>
  <c r="AT146" i="1"/>
  <c r="AT183" i="1"/>
  <c r="AT145" i="1"/>
  <c r="AT182" i="1"/>
  <c r="AB183" i="1"/>
  <c r="AB161" i="1"/>
  <c r="AB146" i="1"/>
  <c r="AR173" i="1"/>
  <c r="T340" i="1"/>
  <c r="S391" i="1"/>
  <c r="S392" i="1" s="1"/>
  <c r="S345" i="1"/>
  <c r="S72" i="1"/>
  <c r="S39" i="1"/>
  <c r="O257" i="1"/>
  <c r="O258" i="1" s="1"/>
  <c r="O242" i="1"/>
  <c r="Z257" i="1"/>
  <c r="Z242" i="1"/>
  <c r="AW188" i="1"/>
  <c r="AW28" i="1"/>
  <c r="AX14" i="1"/>
  <c r="AL252" i="1"/>
  <c r="AL241" i="1"/>
  <c r="O391" i="1"/>
  <c r="O392" i="1" s="1"/>
  <c r="O345" i="1"/>
  <c r="O72" i="1"/>
  <c r="O39" i="1"/>
  <c r="AA344" i="1"/>
  <c r="AA343" i="1"/>
  <c r="AA35" i="1"/>
  <c r="AA70" i="1"/>
  <c r="AD340" i="1"/>
  <c r="Z344" i="1"/>
  <c r="Z343" i="1"/>
  <c r="Z70" i="1"/>
  <c r="Z35" i="1"/>
  <c r="AE344" i="1"/>
  <c r="AE343" i="1"/>
  <c r="AE70" i="1"/>
  <c r="AE35" i="1"/>
  <c r="AM252" i="1"/>
  <c r="AM241" i="1"/>
  <c r="P94" i="1"/>
  <c r="BD131" i="1"/>
  <c r="AX421" i="1"/>
  <c r="W257" i="1"/>
  <c r="W242" i="1"/>
  <c r="Y241" i="1"/>
  <c r="AO167" i="1"/>
  <c r="AO173" i="1"/>
  <c r="AU198" i="1"/>
  <c r="AU197" i="1"/>
  <c r="O183" i="1"/>
  <c r="O161" i="1"/>
  <c r="O146" i="1"/>
  <c r="AW133" i="1"/>
  <c r="AX132" i="1"/>
  <c r="S173" i="1"/>
  <c r="T368" i="1"/>
  <c r="AU373" i="1"/>
  <c r="AF340" i="1"/>
  <c r="AU429" i="1"/>
  <c r="AU406" i="1"/>
  <c r="AD344" i="1"/>
  <c r="AD343" i="1"/>
  <c r="AD70" i="1"/>
  <c r="AD35" i="1"/>
  <c r="P358" i="1"/>
  <c r="Y167" i="1"/>
  <c r="Y173" i="1"/>
  <c r="AI344" i="1"/>
  <c r="AI343" i="1"/>
  <c r="AI35" i="1"/>
  <c r="AI70" i="1"/>
  <c r="AL340" i="1"/>
  <c r="AU212" i="1"/>
  <c r="AU207" i="1"/>
  <c r="AU213" i="1"/>
  <c r="AU178" i="1"/>
  <c r="AU157" i="1"/>
  <c r="AU151" i="1"/>
  <c r="AI182" i="1"/>
  <c r="AI145" i="1"/>
  <c r="AV228" i="1"/>
  <c r="AU119" i="1"/>
  <c r="AR183" i="1"/>
  <c r="AR161" i="1"/>
  <c r="AR146" i="1"/>
  <c r="AZ302" i="1"/>
  <c r="AE340" i="1"/>
  <c r="U340" i="1"/>
  <c r="AX379" i="1"/>
  <c r="AW290" i="1"/>
  <c r="T391" i="1"/>
  <c r="T392" i="1" s="1"/>
  <c r="T345" i="1"/>
  <c r="T39" i="1"/>
  <c r="T72" i="1"/>
  <c r="AP39" i="1"/>
  <c r="AA257" i="1"/>
  <c r="AA242" i="1"/>
  <c r="R85" i="1"/>
  <c r="R355" i="1"/>
  <c r="R357" i="1"/>
  <c r="X344" i="1"/>
  <c r="X343" i="1"/>
  <c r="X70" i="1"/>
  <c r="X35" i="1"/>
  <c r="AA340" i="1"/>
  <c r="AK344" i="1"/>
  <c r="AK343" i="1"/>
  <c r="AK70" i="1"/>
  <c r="AK35" i="1"/>
  <c r="AV21" i="1"/>
  <c r="AV189" i="1" s="1"/>
  <c r="AV190" i="1" s="1"/>
  <c r="AH344" i="1"/>
  <c r="AH343" i="1"/>
  <c r="AH70" i="1"/>
  <c r="AH35" i="1"/>
  <c r="R161" i="1"/>
  <c r="R146" i="1"/>
  <c r="R183" i="1"/>
  <c r="R145" i="1"/>
  <c r="R182" i="1"/>
  <c r="AU154" i="1"/>
  <c r="P182" i="1"/>
  <c r="P145" i="1"/>
  <c r="AN368" i="1"/>
  <c r="V368" i="1"/>
  <c r="S368" i="1"/>
  <c r="AW305" i="1"/>
  <c r="X340" i="1"/>
  <c r="AN340" i="1"/>
  <c r="AB241" i="1"/>
  <c r="AC257" i="1"/>
  <c r="AC258" i="1" s="1"/>
  <c r="AC242" i="1"/>
  <c r="AQ344" i="1"/>
  <c r="AQ343" i="1"/>
  <c r="AQ35" i="1"/>
  <c r="AQ70" i="1"/>
  <c r="BB79" i="1"/>
  <c r="AK167" i="1"/>
  <c r="AK173" i="1"/>
  <c r="AT344" i="1"/>
  <c r="AT343" i="1"/>
  <c r="AT70" i="1"/>
  <c r="AT35" i="1"/>
  <c r="T173" i="1"/>
  <c r="AP340" i="1"/>
  <c r="S241" i="1"/>
  <c r="AW203" i="1"/>
  <c r="AW29" i="1"/>
  <c r="AX15" i="1"/>
  <c r="S183" i="1"/>
  <c r="S161" i="1"/>
  <c r="S146" i="1"/>
  <c r="X173" i="1"/>
  <c r="AR368" i="1"/>
  <c r="O215" i="1"/>
  <c r="Z368" i="1"/>
  <c r="AT374" i="1"/>
  <c r="AU71" i="1"/>
  <c r="AV71" i="1" s="1"/>
  <c r="AT362" i="1"/>
  <c r="W344" i="1"/>
  <c r="W343" i="1"/>
  <c r="W70" i="1"/>
  <c r="W35" i="1"/>
  <c r="X241" i="1"/>
  <c r="AK241" i="1"/>
  <c r="AG343" i="1"/>
  <c r="AG344" i="1"/>
  <c r="AG70" i="1"/>
  <c r="AG35" i="1"/>
  <c r="AI340" i="1"/>
  <c r="H4" i="1"/>
  <c r="G6" i="1"/>
  <c r="G5" i="1"/>
  <c r="AI252" i="1"/>
  <c r="AI241" i="1"/>
  <c r="AW141" i="1"/>
  <c r="AV149" i="1"/>
  <c r="AE173" i="1"/>
  <c r="AI183" i="1"/>
  <c r="AI161" i="1"/>
  <c r="AI146" i="1"/>
  <c r="AU121" i="1"/>
  <c r="AV230" i="1"/>
  <c r="AV238" i="1" s="1"/>
  <c r="AU191" i="1"/>
  <c r="AU192" i="1" s="1"/>
  <c r="Y368" i="1"/>
  <c r="AO368" i="1"/>
  <c r="AZ324" i="1"/>
  <c r="Z340" i="1"/>
  <c r="Y391" i="1"/>
  <c r="Y392" i="1" s="1"/>
  <c r="Y345" i="1"/>
  <c r="Y72" i="1"/>
  <c r="Y39" i="1"/>
  <c r="AQ340" i="1"/>
  <c r="V340" i="1"/>
  <c r="Q39" i="1" l="1"/>
  <c r="C351" i="1"/>
  <c r="Q72" i="1"/>
  <c r="Q345" i="1"/>
  <c r="AS242" i="1"/>
  <c r="C350" i="1"/>
  <c r="Q341" i="1"/>
  <c r="AF145" i="1"/>
  <c r="AP242" i="1"/>
  <c r="C349" i="1"/>
  <c r="AF257" i="1"/>
  <c r="AF258" i="1" s="1"/>
  <c r="AP72" i="1"/>
  <c r="AO242" i="1"/>
  <c r="AP345" i="1"/>
  <c r="AD242" i="1"/>
  <c r="AY138" i="1"/>
  <c r="V341" i="1"/>
  <c r="AM182" i="1"/>
  <c r="AM145" i="1"/>
  <c r="AD258" i="1"/>
  <c r="AP258" i="1"/>
  <c r="AI341" i="1"/>
  <c r="BI14" i="1"/>
  <c r="R358" i="1"/>
  <c r="R242" i="1"/>
  <c r="AU62" i="1"/>
  <c r="AU179" i="1"/>
  <c r="AU199" i="1"/>
  <c r="AU194" i="1"/>
  <c r="AU200" i="1" s="1"/>
  <c r="AZ107" i="1"/>
  <c r="AZ60" i="1" s="1"/>
  <c r="AZ58" i="1"/>
  <c r="AV197" i="1"/>
  <c r="AV198" i="1"/>
  <c r="Y393" i="1"/>
  <c r="Y396" i="1"/>
  <c r="Q396" i="1"/>
  <c r="Q393" i="1"/>
  <c r="BA324" i="1"/>
  <c r="AW230" i="1"/>
  <c r="AV191" i="1"/>
  <c r="AV192" i="1" s="1"/>
  <c r="AW149" i="1"/>
  <c r="AX141" i="1"/>
  <c r="X242" i="1"/>
  <c r="X257" i="1"/>
  <c r="X258" i="1" s="1"/>
  <c r="AW211" i="1"/>
  <c r="BC79" i="1"/>
  <c r="AB242" i="1"/>
  <c r="AB257" i="1"/>
  <c r="AB258" i="1" s="1"/>
  <c r="AH391" i="1"/>
  <c r="AH392" i="1" s="1"/>
  <c r="AH345" i="1"/>
  <c r="AH72" i="1"/>
  <c r="AH39" i="1"/>
  <c r="AK341" i="1"/>
  <c r="AP41" i="1"/>
  <c r="AP74" i="1"/>
  <c r="AD391" i="1"/>
  <c r="AD392" i="1" s="1"/>
  <c r="AD345" i="1"/>
  <c r="AD72" i="1"/>
  <c r="AD39" i="1"/>
  <c r="AG341" i="1"/>
  <c r="AO145" i="1"/>
  <c r="AO182" i="1"/>
  <c r="Y257" i="1"/>
  <c r="Y258" i="1" s="1"/>
  <c r="Y242" i="1"/>
  <c r="AY421" i="1"/>
  <c r="O74" i="1"/>
  <c r="O41" i="1"/>
  <c r="AL257" i="1"/>
  <c r="AL258" i="1" s="1"/>
  <c r="AL242" i="1"/>
  <c r="AW196" i="1"/>
  <c r="S41" i="1"/>
  <c r="S74" i="1"/>
  <c r="V391" i="1"/>
  <c r="V392" i="1" s="1"/>
  <c r="V345" i="1"/>
  <c r="V72" i="1"/>
  <c r="V39" i="1"/>
  <c r="Y341" i="1"/>
  <c r="P242" i="1"/>
  <c r="P257" i="1"/>
  <c r="P258" i="1" s="1"/>
  <c r="AW152" i="1"/>
  <c r="AX229" i="1"/>
  <c r="AM391" i="1"/>
  <c r="AM392" i="1" s="1"/>
  <c r="AM345" i="1"/>
  <c r="AM72" i="1"/>
  <c r="AM39" i="1"/>
  <c r="AP341" i="1"/>
  <c r="Q145" i="1"/>
  <c r="Q182" i="1"/>
  <c r="AY233" i="1"/>
  <c r="AY234" i="1" s="1"/>
  <c r="AZ31" i="1"/>
  <c r="T6" i="1"/>
  <c r="U4" i="1"/>
  <c r="T5" i="1"/>
  <c r="U258" i="1"/>
  <c r="AO41" i="1"/>
  <c r="AO74" i="1"/>
  <c r="AB396" i="1"/>
  <c r="AB393" i="1"/>
  <c r="AD145" i="1"/>
  <c r="AD182" i="1"/>
  <c r="AN41" i="1"/>
  <c r="AN74" i="1"/>
  <c r="C330" i="1"/>
  <c r="AG257" i="1"/>
  <c r="AG258" i="1" s="1"/>
  <c r="AG242" i="1"/>
  <c r="BD74" i="1"/>
  <c r="AQ257" i="1"/>
  <c r="AQ258" i="1" s="1"/>
  <c r="AQ242" i="1"/>
  <c r="BA304" i="1"/>
  <c r="AZ278" i="1"/>
  <c r="BB98" i="1"/>
  <c r="BB93" i="1"/>
  <c r="BB89" i="1"/>
  <c r="BB85" i="1"/>
  <c r="BC83" i="1"/>
  <c r="AR396" i="1"/>
  <c r="AR393" i="1"/>
  <c r="R258" i="1"/>
  <c r="Y74" i="1"/>
  <c r="Y41" i="1"/>
  <c r="Q74" i="1"/>
  <c r="Q41" i="1"/>
  <c r="H6" i="1"/>
  <c r="I4" i="1"/>
  <c r="H5" i="1"/>
  <c r="W391" i="1"/>
  <c r="W392" i="1" s="1"/>
  <c r="W345" i="1"/>
  <c r="W72" i="1"/>
  <c r="W39" i="1"/>
  <c r="Z341" i="1"/>
  <c r="X182" i="1"/>
  <c r="X145" i="1"/>
  <c r="S257" i="1"/>
  <c r="S258" i="1" s="1"/>
  <c r="S242" i="1"/>
  <c r="AX305" i="1"/>
  <c r="R99" i="1"/>
  <c r="R95" i="1"/>
  <c r="R57" i="1"/>
  <c r="R91" i="1"/>
  <c r="R84" i="1"/>
  <c r="T41" i="1"/>
  <c r="T74" i="1"/>
  <c r="AY379" i="1"/>
  <c r="AX290" i="1"/>
  <c r="BA302" i="1"/>
  <c r="AU180" i="1"/>
  <c r="AU159" i="1"/>
  <c r="AU143" i="1"/>
  <c r="AU150" i="1"/>
  <c r="AU153" i="1"/>
  <c r="S182" i="1"/>
  <c r="S145" i="1"/>
  <c r="AM257" i="1"/>
  <c r="AM258" i="1" s="1"/>
  <c r="AM242" i="1"/>
  <c r="AA391" i="1"/>
  <c r="AA392" i="1" s="1"/>
  <c r="AA345" i="1"/>
  <c r="AA72" i="1"/>
  <c r="AA39" i="1"/>
  <c r="AD341" i="1"/>
  <c r="AW414" i="1"/>
  <c r="AX410" i="1"/>
  <c r="AY170" i="1"/>
  <c r="AY177" i="1"/>
  <c r="AZ134" i="1"/>
  <c r="AJ74" i="1"/>
  <c r="AJ41" i="1"/>
  <c r="AV213" i="1"/>
  <c r="AV212" i="1"/>
  <c r="AV207" i="1"/>
  <c r="S85" i="1"/>
  <c r="S355" i="1"/>
  <c r="S357" i="1"/>
  <c r="S353" i="1"/>
  <c r="AB182" i="1"/>
  <c r="AB145" i="1"/>
  <c r="AS145" i="1"/>
  <c r="AS182" i="1"/>
  <c r="AX377" i="1"/>
  <c r="AJ242" i="1"/>
  <c r="AJ257" i="1"/>
  <c r="AJ258" i="1" s="1"/>
  <c r="AF396" i="1"/>
  <c r="AF393" i="1"/>
  <c r="AH257" i="1"/>
  <c r="AH258" i="1" s="1"/>
  <c r="AH242" i="1"/>
  <c r="Q257" i="1"/>
  <c r="Q258" i="1" s="1"/>
  <c r="Q242" i="1"/>
  <c r="AE182" i="1"/>
  <c r="AE145" i="1"/>
  <c r="AX203" i="1"/>
  <c r="AY15" i="1"/>
  <c r="AX29" i="1"/>
  <c r="AT391" i="1"/>
  <c r="AT392" i="1" s="1"/>
  <c r="AT345" i="1"/>
  <c r="AT72" i="1"/>
  <c r="AT39" i="1"/>
  <c r="AK145" i="1"/>
  <c r="AK182" i="1"/>
  <c r="AK391" i="1"/>
  <c r="AK392" i="1" s="1"/>
  <c r="AK345" i="1"/>
  <c r="AK72" i="1"/>
  <c r="AK39" i="1"/>
  <c r="AM341" i="1"/>
  <c r="AN341" i="1"/>
  <c r="AW228" i="1"/>
  <c r="AV119" i="1"/>
  <c r="AU209" i="1"/>
  <c r="AU215" i="1" s="1"/>
  <c r="AU214" i="1"/>
  <c r="AI391" i="1"/>
  <c r="AI392" i="1" s="1"/>
  <c r="AI345" i="1"/>
  <c r="AI72" i="1"/>
  <c r="AI39" i="1"/>
  <c r="AL341" i="1"/>
  <c r="Y145" i="1"/>
  <c r="Y182" i="1"/>
  <c r="AX133" i="1"/>
  <c r="AY132" i="1"/>
  <c r="W258" i="1"/>
  <c r="BE131" i="1"/>
  <c r="AX188" i="1"/>
  <c r="AY14" i="1"/>
  <c r="AX28" i="1"/>
  <c r="Z258" i="1"/>
  <c r="AR182" i="1"/>
  <c r="AR145" i="1"/>
  <c r="AV429" i="1"/>
  <c r="AV406" i="1"/>
  <c r="AA182" i="1"/>
  <c r="AA145" i="1"/>
  <c r="AC391" i="1"/>
  <c r="AC392" i="1" s="1"/>
  <c r="AC345" i="1"/>
  <c r="AC72" i="1"/>
  <c r="AC39" i="1"/>
  <c r="AE341" i="1"/>
  <c r="AF341" i="1"/>
  <c r="W182" i="1"/>
  <c r="W145" i="1"/>
  <c r="R391" i="1"/>
  <c r="R392" i="1" s="1"/>
  <c r="R345" i="1"/>
  <c r="R72" i="1"/>
  <c r="R39" i="1"/>
  <c r="T341" i="1"/>
  <c r="U341" i="1"/>
  <c r="T242" i="1"/>
  <c r="T257" i="1"/>
  <c r="T258" i="1" s="1"/>
  <c r="AC145" i="1"/>
  <c r="AC182" i="1"/>
  <c r="AL391" i="1"/>
  <c r="AL392" i="1" s="1"/>
  <c r="AL345" i="1"/>
  <c r="AL72" i="1"/>
  <c r="AL39" i="1"/>
  <c r="AO341" i="1"/>
  <c r="P391" i="1"/>
  <c r="P392" i="1" s="1"/>
  <c r="P345" i="1"/>
  <c r="P72" i="1"/>
  <c r="P39" i="1"/>
  <c r="S341" i="1"/>
  <c r="AB74" i="1"/>
  <c r="AB41" i="1"/>
  <c r="AU224" i="1"/>
  <c r="AU165" i="1"/>
  <c r="AR242" i="1"/>
  <c r="AR257" i="1"/>
  <c r="AR258" i="1" s="1"/>
  <c r="AN182" i="1"/>
  <c r="AN145" i="1"/>
  <c r="Z145" i="1"/>
  <c r="Z182" i="1"/>
  <c r="U145" i="1"/>
  <c r="U182" i="1"/>
  <c r="V257" i="1"/>
  <c r="V258" i="1" s="1"/>
  <c r="V242" i="1"/>
  <c r="BC53" i="1"/>
  <c r="AT257" i="1"/>
  <c r="AT258" i="1" s="1"/>
  <c r="AT242" i="1"/>
  <c r="AS391" i="1"/>
  <c r="AS392" i="1" s="1"/>
  <c r="AS345" i="1"/>
  <c r="AS72" i="1"/>
  <c r="AS39" i="1"/>
  <c r="BA99" i="1"/>
  <c r="BA100" i="1" s="1"/>
  <c r="BA105" i="1" s="1"/>
  <c r="BA91" i="1"/>
  <c r="BA57" i="1"/>
  <c r="AR74" i="1"/>
  <c r="AR41" i="1"/>
  <c r="AF74" i="1"/>
  <c r="AF41" i="1"/>
  <c r="AE258" i="1"/>
  <c r="R341" i="1"/>
  <c r="AV157" i="1"/>
  <c r="AV151" i="1"/>
  <c r="AV178" i="1"/>
  <c r="AI257" i="1"/>
  <c r="AI258" i="1" s="1"/>
  <c r="AI242" i="1"/>
  <c r="AG391" i="1"/>
  <c r="AG392" i="1" s="1"/>
  <c r="AG345" i="1"/>
  <c r="AG72" i="1"/>
  <c r="AG39" i="1"/>
  <c r="AJ341" i="1"/>
  <c r="AK257" i="1"/>
  <c r="AK258" i="1" s="1"/>
  <c r="AK242" i="1"/>
  <c r="AW71" i="1"/>
  <c r="AW239" i="1"/>
  <c r="AW22" i="1"/>
  <c r="AW204" i="1" s="1"/>
  <c r="AW205" i="1" s="1"/>
  <c r="T182" i="1"/>
  <c r="T145" i="1"/>
  <c r="AQ391" i="1"/>
  <c r="AQ392" i="1" s="1"/>
  <c r="AQ345" i="1"/>
  <c r="AQ72" i="1"/>
  <c r="AQ39" i="1"/>
  <c r="AR341" i="1"/>
  <c r="AS341" i="1"/>
  <c r="X391" i="1"/>
  <c r="X392" i="1" s="1"/>
  <c r="X345" i="1"/>
  <c r="X72" i="1"/>
  <c r="X39" i="1"/>
  <c r="AA341" i="1"/>
  <c r="AA258" i="1"/>
  <c r="AP396" i="1"/>
  <c r="AP393" i="1"/>
  <c r="T393" i="1"/>
  <c r="T396" i="1"/>
  <c r="AW261" i="1"/>
  <c r="AW171" i="1" s="1"/>
  <c r="AW135" i="1"/>
  <c r="AE391" i="1"/>
  <c r="AE392" i="1" s="1"/>
  <c r="AE345" i="1"/>
  <c r="AE72" i="1"/>
  <c r="AE39" i="1"/>
  <c r="AH341" i="1"/>
  <c r="Z391" i="1"/>
  <c r="Z392" i="1" s="1"/>
  <c r="Z345" i="1"/>
  <c r="Z72" i="1"/>
  <c r="Z39" i="1"/>
  <c r="AB341" i="1"/>
  <c r="AC341" i="1"/>
  <c r="O396" i="1"/>
  <c r="O393" i="1"/>
  <c r="AW238" i="1"/>
  <c r="AW21" i="1"/>
  <c r="AW189" i="1" s="1"/>
  <c r="AW190" i="1" s="1"/>
  <c r="S396" i="1"/>
  <c r="S393" i="1"/>
  <c r="C338" i="1"/>
  <c r="C337" i="1"/>
  <c r="AJ393" i="1"/>
  <c r="AJ396" i="1"/>
  <c r="AX231" i="1"/>
  <c r="AW206" i="1"/>
  <c r="U391" i="1"/>
  <c r="U392" i="1" s="1"/>
  <c r="U345" i="1"/>
  <c r="U72" i="1"/>
  <c r="U39" i="1"/>
  <c r="W341" i="1"/>
  <c r="X341" i="1"/>
  <c r="AO393" i="1"/>
  <c r="AO396" i="1"/>
  <c r="AV240" i="1"/>
  <c r="AW232" i="1"/>
  <c r="AV221" i="1"/>
  <c r="AV222" i="1" s="1"/>
  <c r="AQ341" i="1"/>
  <c r="AN396" i="1"/>
  <c r="AN393" i="1"/>
  <c r="AJ182" i="1"/>
  <c r="AJ145" i="1"/>
  <c r="V145" i="1"/>
  <c r="V182" i="1"/>
  <c r="AZ138" i="1" l="1"/>
  <c r="BI15" i="1"/>
  <c r="AV179" i="1"/>
  <c r="AV62" i="1"/>
  <c r="AU13" i="1"/>
  <c r="AW213" i="1"/>
  <c r="AW207" i="1"/>
  <c r="AW212" i="1"/>
  <c r="AW198" i="1"/>
  <c r="AW197" i="1"/>
  <c r="BA107" i="1"/>
  <c r="BA60" i="1" s="1"/>
  <c r="BA58" i="1"/>
  <c r="AV199" i="1"/>
  <c r="U396" i="1"/>
  <c r="U393" i="1"/>
  <c r="Z396" i="1"/>
  <c r="Z393" i="1"/>
  <c r="X41" i="1"/>
  <c r="X74" i="1"/>
  <c r="AX71" i="1"/>
  <c r="AG41" i="1"/>
  <c r="AG74" i="1"/>
  <c r="AR383" i="1"/>
  <c r="AR397" i="1"/>
  <c r="AR75" i="1"/>
  <c r="AR50" i="1"/>
  <c r="AR1" i="1" s="1"/>
  <c r="AR48" i="1"/>
  <c r="BD53" i="1"/>
  <c r="AL396" i="1"/>
  <c r="AL393" i="1"/>
  <c r="AY188" i="1"/>
  <c r="AY28" i="1"/>
  <c r="AZ14" i="1"/>
  <c r="AK41" i="1"/>
  <c r="AK74" i="1"/>
  <c r="AX211" i="1"/>
  <c r="AY377" i="1"/>
  <c r="AX414" i="1"/>
  <c r="AY410" i="1"/>
  <c r="AA396" i="1"/>
  <c r="AA393" i="1"/>
  <c r="R94" i="1"/>
  <c r="R100" i="1"/>
  <c r="I6" i="1"/>
  <c r="I5" i="1"/>
  <c r="J4" i="1"/>
  <c r="Y397" i="1"/>
  <c r="Y383" i="1"/>
  <c r="Y75" i="1"/>
  <c r="Y50" i="1"/>
  <c r="Y1" i="1" s="1"/>
  <c r="Y48" i="1"/>
  <c r="BC89" i="1"/>
  <c r="BC85" i="1"/>
  <c r="BD83" i="1"/>
  <c r="BC98" i="1"/>
  <c r="BC93" i="1"/>
  <c r="AZ233" i="1"/>
  <c r="AZ234" i="1" s="1"/>
  <c r="BA31" i="1"/>
  <c r="S397" i="1"/>
  <c r="S383" i="1"/>
  <c r="S75" i="1"/>
  <c r="S50" i="1"/>
  <c r="S1" i="1" s="1"/>
  <c r="S48" i="1"/>
  <c r="AZ421" i="1"/>
  <c r="AH396" i="1"/>
  <c r="AH393" i="1"/>
  <c r="AW191" i="1"/>
  <c r="AW192" i="1" s="1"/>
  <c r="AX230" i="1"/>
  <c r="U74" i="1"/>
  <c r="U41" i="1"/>
  <c r="Z74" i="1"/>
  <c r="Z41" i="1"/>
  <c r="AE396" i="1"/>
  <c r="AE393" i="1"/>
  <c r="AV159" i="1"/>
  <c r="AV153" i="1"/>
  <c r="AV150" i="1"/>
  <c r="AV180" i="1"/>
  <c r="AV143" i="1"/>
  <c r="P396" i="1"/>
  <c r="P393" i="1"/>
  <c r="AL41" i="1"/>
  <c r="AL74" i="1"/>
  <c r="AX196" i="1"/>
  <c r="AZ132" i="1"/>
  <c r="AY133" i="1"/>
  <c r="AI396" i="1"/>
  <c r="AI393" i="1"/>
  <c r="AX228" i="1"/>
  <c r="AW119" i="1"/>
  <c r="AT393" i="1"/>
  <c r="S91" i="1"/>
  <c r="S99" i="1"/>
  <c r="S95" i="1"/>
  <c r="S57" i="1"/>
  <c r="S84" i="1"/>
  <c r="AZ170" i="1"/>
  <c r="AZ177" i="1"/>
  <c r="AW429" i="1"/>
  <c r="AW406" i="1"/>
  <c r="AA74" i="1"/>
  <c r="AA41" i="1"/>
  <c r="AU181" i="1"/>
  <c r="AU160" i="1"/>
  <c r="AU144" i="1"/>
  <c r="AU155" i="1"/>
  <c r="AZ379" i="1"/>
  <c r="AY290" i="1"/>
  <c r="W396" i="1"/>
  <c r="W393" i="1"/>
  <c r="BB99" i="1"/>
  <c r="BB100" i="1" s="1"/>
  <c r="BB105" i="1" s="1"/>
  <c r="BB57" i="1"/>
  <c r="BB91" i="1"/>
  <c r="AN383" i="1"/>
  <c r="AN397" i="1"/>
  <c r="AN75" i="1"/>
  <c r="AN50" i="1"/>
  <c r="AN1" i="1" s="1"/>
  <c r="AN48" i="1"/>
  <c r="O397" i="1"/>
  <c r="O383" i="1"/>
  <c r="O75" i="1"/>
  <c r="O50" i="1"/>
  <c r="O1" i="1" s="1"/>
  <c r="O48" i="1"/>
  <c r="AD396" i="1"/>
  <c r="AD393" i="1"/>
  <c r="AH41" i="1"/>
  <c r="AH74" i="1"/>
  <c r="AX149" i="1"/>
  <c r="AY141" i="1"/>
  <c r="BB324" i="1"/>
  <c r="AV165" i="1"/>
  <c r="AY231" i="1"/>
  <c r="AX206" i="1"/>
  <c r="AE41" i="1"/>
  <c r="AE74" i="1"/>
  <c r="AQ396" i="1"/>
  <c r="AQ393" i="1"/>
  <c r="AF397" i="1"/>
  <c r="AF383" i="1"/>
  <c r="AF50" i="1"/>
  <c r="AF1" i="1" s="1"/>
  <c r="AF48" i="1"/>
  <c r="AF75" i="1"/>
  <c r="AS396" i="1"/>
  <c r="AS393" i="1"/>
  <c r="P41" i="1"/>
  <c r="P74" i="1"/>
  <c r="R396" i="1"/>
  <c r="R393" i="1"/>
  <c r="AC396" i="1"/>
  <c r="AC393" i="1"/>
  <c r="AX135" i="1"/>
  <c r="AX261" i="1"/>
  <c r="AX171" i="1" s="1"/>
  <c r="AI41" i="1"/>
  <c r="AI74" i="1"/>
  <c r="AT41" i="1"/>
  <c r="AT74" i="1"/>
  <c r="AX239" i="1"/>
  <c r="AX22" i="1"/>
  <c r="AX204" i="1" s="1"/>
  <c r="AX205" i="1" s="1"/>
  <c r="S358" i="1"/>
  <c r="AJ397" i="1"/>
  <c r="AJ383" i="1"/>
  <c r="AJ75" i="1"/>
  <c r="AJ50" i="1"/>
  <c r="AJ1" i="1" s="1"/>
  <c r="AJ48" i="1"/>
  <c r="W41" i="1"/>
  <c r="W74" i="1"/>
  <c r="Q397" i="1"/>
  <c r="Q383" i="1"/>
  <c r="Q75" i="1"/>
  <c r="Q50" i="1"/>
  <c r="Q1" i="1" s="1"/>
  <c r="Q48" i="1"/>
  <c r="BE74" i="1"/>
  <c r="V4" i="1"/>
  <c r="U5" i="1"/>
  <c r="U6" i="1"/>
  <c r="AM396" i="1"/>
  <c r="AM393" i="1"/>
  <c r="AY229" i="1"/>
  <c r="AX152" i="1"/>
  <c r="V396" i="1"/>
  <c r="V393" i="1"/>
  <c r="AD41" i="1"/>
  <c r="AD74" i="1"/>
  <c r="AW151" i="1"/>
  <c r="AW178" i="1"/>
  <c r="AW157" i="1"/>
  <c r="AW240" i="1"/>
  <c r="AX232" i="1"/>
  <c r="AW221" i="1"/>
  <c r="AW222" i="1" s="1"/>
  <c r="X396" i="1"/>
  <c r="X393" i="1"/>
  <c r="AQ41" i="1"/>
  <c r="AQ74" i="1"/>
  <c r="AG396" i="1"/>
  <c r="AG393" i="1"/>
  <c r="AS41" i="1"/>
  <c r="AS74" i="1"/>
  <c r="AB383" i="1"/>
  <c r="AB397" i="1"/>
  <c r="AB75" i="1"/>
  <c r="AB50" i="1"/>
  <c r="AB1" i="1" s="1"/>
  <c r="AB48" i="1"/>
  <c r="R41" i="1"/>
  <c r="R74" i="1"/>
  <c r="AC41" i="1"/>
  <c r="AC74" i="1"/>
  <c r="AX238" i="1"/>
  <c r="AX21" i="1"/>
  <c r="AX189" i="1" s="1"/>
  <c r="AX190" i="1" s="1"/>
  <c r="BF131" i="1"/>
  <c r="AK396" i="1"/>
  <c r="AK393" i="1"/>
  <c r="AY203" i="1"/>
  <c r="AY29" i="1"/>
  <c r="AZ15" i="1"/>
  <c r="AV214" i="1"/>
  <c r="BB302" i="1"/>
  <c r="T383" i="1"/>
  <c r="T397" i="1"/>
  <c r="T75" i="1"/>
  <c r="T48" i="1"/>
  <c r="T50" i="1"/>
  <c r="T1" i="1" s="1"/>
  <c r="AY305" i="1"/>
  <c r="BB304" i="1"/>
  <c r="BA278" i="1"/>
  <c r="AO397" i="1"/>
  <c r="AO383" i="1"/>
  <c r="AO75" i="1"/>
  <c r="AO50" i="1"/>
  <c r="AO1" i="1" s="1"/>
  <c r="AO48" i="1"/>
  <c r="T85" i="1"/>
  <c r="T357" i="1"/>
  <c r="T355" i="1"/>
  <c r="T353" i="1"/>
  <c r="AM41" i="1"/>
  <c r="AM74" i="1"/>
  <c r="V41" i="1"/>
  <c r="V74" i="1"/>
  <c r="AP397" i="1"/>
  <c r="AP383" i="1"/>
  <c r="AP75" i="1"/>
  <c r="AP50" i="1"/>
  <c r="AP1" i="1" s="1"/>
  <c r="AP48" i="1"/>
  <c r="BD79" i="1"/>
  <c r="T358" i="1" l="1"/>
  <c r="D307" i="1"/>
  <c r="D417" i="1"/>
  <c r="D322" i="1"/>
  <c r="D321" i="1"/>
  <c r="D79" i="1"/>
  <c r="D403" i="1"/>
  <c r="D318" i="1"/>
  <c r="D327" i="1"/>
  <c r="D406" i="1"/>
  <c r="D423" i="1"/>
  <c r="D320" i="1"/>
  <c r="D303" i="1"/>
  <c r="D311" i="1"/>
  <c r="D434" i="1"/>
  <c r="D401" i="1"/>
  <c r="D414" i="1"/>
  <c r="D426" i="1"/>
  <c r="BI16" i="1"/>
  <c r="D422" i="1"/>
  <c r="D411" i="1"/>
  <c r="D324" i="1"/>
  <c r="D310" i="1"/>
  <c r="D304" i="1"/>
  <c r="D410" i="1"/>
  <c r="D416" i="1"/>
  <c r="D386" i="1"/>
  <c r="D385" i="1"/>
  <c r="D402" i="1"/>
  <c r="D80" i="1"/>
  <c r="D415" i="1"/>
  <c r="D325" i="1"/>
  <c r="D300" i="1"/>
  <c r="D309" i="1"/>
  <c r="D326" i="1"/>
  <c r="D308" i="1"/>
  <c r="AW62" i="1"/>
  <c r="AW179" i="1"/>
  <c r="AV13" i="1"/>
  <c r="AV27" i="1" s="1"/>
  <c r="AV237" i="1" s="1"/>
  <c r="AU27" i="1"/>
  <c r="AX197" i="1"/>
  <c r="AX198" i="1"/>
  <c r="BB58" i="1"/>
  <c r="BB107" i="1"/>
  <c r="BB60" i="1" s="1"/>
  <c r="AX212" i="1"/>
  <c r="AX207" i="1"/>
  <c r="AX213" i="1"/>
  <c r="AW199" i="1"/>
  <c r="AP398" i="1"/>
  <c r="AP382" i="1"/>
  <c r="AP270" i="1"/>
  <c r="AP274" i="1" s="1"/>
  <c r="AP51" i="1"/>
  <c r="BB278" i="1"/>
  <c r="BC304" i="1"/>
  <c r="AB382" i="1"/>
  <c r="AB398" i="1"/>
  <c r="AB270" i="1"/>
  <c r="AB274" i="1" s="1"/>
  <c r="AB51" i="1"/>
  <c r="AD397" i="1"/>
  <c r="AD383" i="1"/>
  <c r="AD75" i="1"/>
  <c r="AD50" i="1"/>
  <c r="AD1" i="1" s="1"/>
  <c r="AD48" i="1"/>
  <c r="AC397" i="1"/>
  <c r="AC383" i="1"/>
  <c r="AC75" i="1"/>
  <c r="AC50" i="1"/>
  <c r="AC1" i="1" s="1"/>
  <c r="AC48" i="1"/>
  <c r="AQ397" i="1"/>
  <c r="AQ383" i="1"/>
  <c r="AQ75" i="1"/>
  <c r="AQ50" i="1"/>
  <c r="AQ1" i="1" s="1"/>
  <c r="AQ48" i="1"/>
  <c r="AX240" i="1"/>
  <c r="AY232" i="1"/>
  <c r="AX221" i="1"/>
  <c r="AX222" i="1" s="1"/>
  <c r="D305" i="1"/>
  <c r="D405" i="1"/>
  <c r="D301" i="1"/>
  <c r="D407" i="1"/>
  <c r="D81" i="1"/>
  <c r="D413" i="1"/>
  <c r="D302" i="1"/>
  <c r="D317" i="1"/>
  <c r="D425" i="1"/>
  <c r="D315" i="1"/>
  <c r="D379" i="1"/>
  <c r="D418" i="1"/>
  <c r="D316" i="1"/>
  <c r="D421" i="1"/>
  <c r="U85" i="1"/>
  <c r="U355" i="1"/>
  <c r="U357" i="1"/>
  <c r="U353" i="1"/>
  <c r="W397" i="1"/>
  <c r="W383" i="1"/>
  <c r="W75" i="1"/>
  <c r="W50" i="1"/>
  <c r="W1" i="1" s="1"/>
  <c r="W48" i="1"/>
  <c r="AI397" i="1"/>
  <c r="AI383" i="1"/>
  <c r="AI75" i="1"/>
  <c r="AI50" i="1"/>
  <c r="AI1" i="1" s="1"/>
  <c r="AI48" i="1"/>
  <c r="P397" i="1"/>
  <c r="P383" i="1"/>
  <c r="P48" i="1"/>
  <c r="P50" i="1"/>
  <c r="P1" i="1" s="1"/>
  <c r="P75" i="1"/>
  <c r="AF382" i="1"/>
  <c r="AF398" i="1"/>
  <c r="AF270" i="1"/>
  <c r="AF274" i="1" s="1"/>
  <c r="AF51" i="1"/>
  <c r="AE397" i="1"/>
  <c r="AE383" i="1"/>
  <c r="AE75" i="1"/>
  <c r="AE50" i="1"/>
  <c r="AE1" i="1" s="1"/>
  <c r="AE48" i="1"/>
  <c r="AX178" i="1"/>
  <c r="AX151" i="1"/>
  <c r="AX157" i="1"/>
  <c r="AN398" i="1"/>
  <c r="AN382" i="1"/>
  <c r="AN270" i="1"/>
  <c r="AN274" i="1" s="1"/>
  <c r="AN51" i="1"/>
  <c r="S100" i="1"/>
  <c r="AY135" i="1"/>
  <c r="AY261" i="1"/>
  <c r="AY171" i="1" s="1"/>
  <c r="BE83" i="1"/>
  <c r="BD98" i="1"/>
  <c r="BD93" i="1"/>
  <c r="BD89" i="1"/>
  <c r="BD85" i="1"/>
  <c r="AZ377" i="1"/>
  <c r="AK397" i="1"/>
  <c r="AK383" i="1"/>
  <c r="AK75" i="1"/>
  <c r="AK50" i="1"/>
  <c r="AK1" i="1" s="1"/>
  <c r="AK48" i="1"/>
  <c r="AR382" i="1"/>
  <c r="AR398" i="1"/>
  <c r="AR270" i="1"/>
  <c r="AR274" i="1" s="1"/>
  <c r="AR51" i="1"/>
  <c r="AM397" i="1"/>
  <c r="AM383" i="1"/>
  <c r="AM75" i="1"/>
  <c r="AM50" i="1"/>
  <c r="AM1" i="1" s="1"/>
  <c r="AM48" i="1"/>
  <c r="AS397" i="1"/>
  <c r="AS383" i="1"/>
  <c r="AS75" i="1"/>
  <c r="AS50" i="1"/>
  <c r="AS1" i="1" s="1"/>
  <c r="AS48" i="1"/>
  <c r="AW153" i="1"/>
  <c r="AW150" i="1"/>
  <c r="AW143" i="1"/>
  <c r="AW180" i="1"/>
  <c r="AW159" i="1"/>
  <c r="BF74" i="1"/>
  <c r="Q398" i="1"/>
  <c r="Q382" i="1"/>
  <c r="Q270" i="1"/>
  <c r="Q274" i="1" s="1"/>
  <c r="Q51" i="1"/>
  <c r="AJ398" i="1"/>
  <c r="AJ382" i="1"/>
  <c r="AJ270" i="1"/>
  <c r="AJ274" i="1" s="1"/>
  <c r="AJ51" i="1"/>
  <c r="BC324" i="1"/>
  <c r="O398" i="1"/>
  <c r="O382" i="1"/>
  <c r="O270" i="1"/>
  <c r="O51" i="1"/>
  <c r="BA379" i="1"/>
  <c r="AZ290" i="1"/>
  <c r="S94" i="1"/>
  <c r="AY228" i="1"/>
  <c r="AX119" i="1"/>
  <c r="BA132" i="1"/>
  <c r="AZ133" i="1"/>
  <c r="AL397" i="1"/>
  <c r="AL383" i="1"/>
  <c r="AL75" i="1"/>
  <c r="AL50" i="1"/>
  <c r="AL1" i="1" s="1"/>
  <c r="AL48" i="1"/>
  <c r="Z397" i="1"/>
  <c r="Z383" i="1"/>
  <c r="Z75" i="1"/>
  <c r="Z50" i="1"/>
  <c r="Z1" i="1" s="1"/>
  <c r="Z48" i="1"/>
  <c r="AY230" i="1"/>
  <c r="AX191" i="1"/>
  <c r="AX192" i="1" s="1"/>
  <c r="BA421" i="1"/>
  <c r="BA233" i="1"/>
  <c r="BA234" i="1" s="1"/>
  <c r="BB31" i="1"/>
  <c r="BC91" i="1"/>
  <c r="BC99" i="1"/>
  <c r="BC100" i="1" s="1"/>
  <c r="BC105" i="1" s="1"/>
  <c r="BC57" i="1"/>
  <c r="J5" i="1"/>
  <c r="K4" i="1"/>
  <c r="J6" i="1"/>
  <c r="AZ188" i="1"/>
  <c r="AZ28" i="1"/>
  <c r="BA14" i="1"/>
  <c r="AG397" i="1"/>
  <c r="AG383" i="1"/>
  <c r="AG75" i="1"/>
  <c r="AG50" i="1"/>
  <c r="AG1" i="1" s="1"/>
  <c r="AG48" i="1"/>
  <c r="X397" i="1"/>
  <c r="X383" i="1"/>
  <c r="X75" i="1"/>
  <c r="X50" i="1"/>
  <c r="X1" i="1" s="1"/>
  <c r="X48" i="1"/>
  <c r="BE79" i="1"/>
  <c r="V397" i="1"/>
  <c r="V383" i="1"/>
  <c r="V75" i="1"/>
  <c r="V50" i="1"/>
  <c r="V1" i="1" s="1"/>
  <c r="V48" i="1"/>
  <c r="T84" i="1"/>
  <c r="T94" i="1" s="1"/>
  <c r="T99" i="1"/>
  <c r="T95" i="1"/>
  <c r="T91" i="1"/>
  <c r="T57" i="1"/>
  <c r="T398" i="1"/>
  <c r="T382" i="1"/>
  <c r="T270" i="1"/>
  <c r="T274" i="1" s="1"/>
  <c r="T51" i="1"/>
  <c r="AZ203" i="1"/>
  <c r="AZ29" i="1"/>
  <c r="BA15" i="1"/>
  <c r="AO398" i="1"/>
  <c r="AO382" i="1"/>
  <c r="AO270" i="1"/>
  <c r="AO274" i="1" s="1"/>
  <c r="AO51" i="1"/>
  <c r="AZ305" i="1"/>
  <c r="BC302" i="1"/>
  <c r="AY239" i="1"/>
  <c r="AY22" i="1"/>
  <c r="AY204" i="1" s="1"/>
  <c r="R397" i="1"/>
  <c r="R383" i="1"/>
  <c r="R75" i="1"/>
  <c r="R50" i="1"/>
  <c r="R1" i="1" s="1"/>
  <c r="R48" i="1"/>
  <c r="D328" i="1"/>
  <c r="D2" i="1"/>
  <c r="V5" i="1"/>
  <c r="V6" i="1"/>
  <c r="W4" i="1"/>
  <c r="AT383" i="1"/>
  <c r="AT75" i="1"/>
  <c r="AT50" i="1"/>
  <c r="AT1" i="1" s="1"/>
  <c r="AT48" i="1"/>
  <c r="AZ231" i="1"/>
  <c r="AY206" i="1"/>
  <c r="AH397" i="1"/>
  <c r="AH383" i="1"/>
  <c r="AH75" i="1"/>
  <c r="AH50" i="1"/>
  <c r="AH1" i="1" s="1"/>
  <c r="AH48" i="1"/>
  <c r="AU183" i="1"/>
  <c r="AU161" i="1"/>
  <c r="AU146" i="1"/>
  <c r="AY414" i="1"/>
  <c r="AZ410" i="1"/>
  <c r="AY238" i="1"/>
  <c r="AY21" i="1"/>
  <c r="AY189" i="1" s="1"/>
  <c r="AY190" i="1" s="1"/>
  <c r="BE53" i="1"/>
  <c r="AW214" i="1"/>
  <c r="AY205" i="1"/>
  <c r="AY211" i="1"/>
  <c r="AW165" i="1"/>
  <c r="AZ229" i="1"/>
  <c r="AY152" i="1"/>
  <c r="AZ141" i="1"/>
  <c r="AY149" i="1"/>
  <c r="AA397" i="1"/>
  <c r="AA383" i="1"/>
  <c r="AA75" i="1"/>
  <c r="AA50" i="1"/>
  <c r="AA1" i="1" s="1"/>
  <c r="AA48" i="1"/>
  <c r="AV181" i="1"/>
  <c r="AV160" i="1"/>
  <c r="AV144" i="1"/>
  <c r="U397" i="1"/>
  <c r="U383" i="1"/>
  <c r="U75" i="1"/>
  <c r="U48" i="1"/>
  <c r="U50" i="1"/>
  <c r="U1" i="1" s="1"/>
  <c r="S398" i="1"/>
  <c r="S382" i="1"/>
  <c r="S270" i="1"/>
  <c r="S51" i="1"/>
  <c r="Y398" i="1"/>
  <c r="Y382" i="1"/>
  <c r="Y270" i="1"/>
  <c r="Y274" i="1" s="1"/>
  <c r="Y51" i="1"/>
  <c r="AX429" i="1"/>
  <c r="AX406" i="1"/>
  <c r="AY196" i="1"/>
  <c r="AY71" i="1"/>
  <c r="D390" i="1" l="1"/>
  <c r="D362" i="1"/>
  <c r="BI17" i="1"/>
  <c r="D306" i="1"/>
  <c r="D312" i="1" s="1"/>
  <c r="AV20" i="1"/>
  <c r="AW13" i="1"/>
  <c r="AW27" i="1" s="1"/>
  <c r="AW20" i="1" s="1"/>
  <c r="AX179" i="1"/>
  <c r="AU237" i="1"/>
  <c r="AU253" i="1" s="1"/>
  <c r="AU20" i="1"/>
  <c r="AX62" i="1"/>
  <c r="AX199" i="1"/>
  <c r="AY198" i="1"/>
  <c r="AY197" i="1"/>
  <c r="BA229" i="1"/>
  <c r="AZ152" i="1"/>
  <c r="S274" i="1"/>
  <c r="U398" i="1"/>
  <c r="U382" i="1"/>
  <c r="U270" i="1"/>
  <c r="U274" i="1" s="1"/>
  <c r="U51" i="1"/>
  <c r="AY178" i="1"/>
  <c r="AY157" i="1"/>
  <c r="AY151" i="1"/>
  <c r="BA231" i="1"/>
  <c r="AZ206" i="1"/>
  <c r="W5" i="1"/>
  <c r="X4" i="1"/>
  <c r="W6" i="1"/>
  <c r="X398" i="1"/>
  <c r="X382" i="1"/>
  <c r="X270" i="1"/>
  <c r="X274" i="1" s="1"/>
  <c r="X51" i="1"/>
  <c r="AZ21" i="1"/>
  <c r="AZ189" i="1" s="1"/>
  <c r="AZ190" i="1" s="1"/>
  <c r="BB233" i="1"/>
  <c r="BB234" i="1" s="1"/>
  <c r="BC31" i="1"/>
  <c r="AZ261" i="1"/>
  <c r="AZ171" i="1" s="1"/>
  <c r="AZ135" i="1"/>
  <c r="AK398" i="1"/>
  <c r="AK382" i="1"/>
  <c r="AK270" i="1"/>
  <c r="AK274" i="1" s="1"/>
  <c r="AK51" i="1"/>
  <c r="AX143" i="1"/>
  <c r="AX180" i="1"/>
  <c r="AX153" i="1"/>
  <c r="AX150" i="1"/>
  <c r="AX159" i="1"/>
  <c r="W398" i="1"/>
  <c r="W382" i="1"/>
  <c r="W270" i="1"/>
  <c r="W274" i="1" s="1"/>
  <c r="W51" i="1"/>
  <c r="D334" i="1"/>
  <c r="D319" i="1"/>
  <c r="D323" i="1" s="1"/>
  <c r="D329" i="1" s="1"/>
  <c r="D389" i="1"/>
  <c r="BD304" i="1"/>
  <c r="BC278" i="1"/>
  <c r="AX214" i="1"/>
  <c r="BC107" i="1"/>
  <c r="BC60" i="1" s="1"/>
  <c r="BC58" i="1"/>
  <c r="BA141" i="1"/>
  <c r="AZ149" i="1"/>
  <c r="BA410" i="1"/>
  <c r="AZ414" i="1"/>
  <c r="V85" i="1"/>
  <c r="V357" i="1"/>
  <c r="V355" i="1"/>
  <c r="V353" i="1"/>
  <c r="R398" i="1"/>
  <c r="R382" i="1"/>
  <c r="R270" i="1"/>
  <c r="R274" i="1" s="1"/>
  <c r="R51" i="1"/>
  <c r="BD302" i="1"/>
  <c r="BA203" i="1"/>
  <c r="BA29" i="1"/>
  <c r="BB15" i="1"/>
  <c r="V398" i="1"/>
  <c r="V382" i="1"/>
  <c r="V270" i="1"/>
  <c r="V274" i="1" s="1"/>
  <c r="V51" i="1"/>
  <c r="AG398" i="1"/>
  <c r="AG382" i="1"/>
  <c r="AG270" i="1"/>
  <c r="AG274" i="1" s="1"/>
  <c r="AG51" i="1"/>
  <c r="AZ196" i="1"/>
  <c r="L4" i="1"/>
  <c r="K6" i="1"/>
  <c r="K5" i="1"/>
  <c r="AZ230" i="1"/>
  <c r="AZ238" i="1" s="1"/>
  <c r="AY191" i="1"/>
  <c r="AY192" i="1" s="1"/>
  <c r="BB132" i="1"/>
  <c r="BA133" i="1"/>
  <c r="AW160" i="1"/>
  <c r="AW144" i="1"/>
  <c r="AW181" i="1"/>
  <c r="BD99" i="1"/>
  <c r="BD100" i="1" s="1"/>
  <c r="BD105" i="1" s="1"/>
  <c r="BD91" i="1"/>
  <c r="BD57" i="1"/>
  <c r="BE98" i="1"/>
  <c r="BE93" i="1"/>
  <c r="BF83" i="1"/>
  <c r="BE89" i="1"/>
  <c r="BE85" i="1"/>
  <c r="AQ398" i="1"/>
  <c r="AQ382" i="1"/>
  <c r="AQ270" i="1"/>
  <c r="AQ274" i="1" s="1"/>
  <c r="AQ51" i="1"/>
  <c r="AD398" i="1"/>
  <c r="AD382" i="1"/>
  <c r="AD270" i="1"/>
  <c r="AD274" i="1" s="1"/>
  <c r="AD51" i="1"/>
  <c r="AZ71" i="1"/>
  <c r="AA398" i="1"/>
  <c r="AA382" i="1"/>
  <c r="AA270" i="1"/>
  <c r="AA274" i="1" s="1"/>
  <c r="AA51" i="1"/>
  <c r="BF53" i="1"/>
  <c r="AY429" i="1"/>
  <c r="AY406" i="1"/>
  <c r="AH398" i="1"/>
  <c r="AH382" i="1"/>
  <c r="AH270" i="1"/>
  <c r="AH274" i="1" s="1"/>
  <c r="AH51" i="1"/>
  <c r="AZ239" i="1"/>
  <c r="AZ22" i="1"/>
  <c r="AZ204" i="1" s="1"/>
  <c r="AZ205" i="1" s="1"/>
  <c r="BF79" i="1"/>
  <c r="Z398" i="1"/>
  <c r="Z382" i="1"/>
  <c r="Z270" i="1"/>
  <c r="Z274" i="1" s="1"/>
  <c r="Z51" i="1"/>
  <c r="P382" i="1"/>
  <c r="P398" i="1"/>
  <c r="P270" i="1"/>
  <c r="P274" i="1" s="1"/>
  <c r="P51" i="1"/>
  <c r="U84" i="1"/>
  <c r="U94" i="1" s="1"/>
  <c r="U99" i="1"/>
  <c r="U95" i="1"/>
  <c r="U91" i="1"/>
  <c r="U57" i="1"/>
  <c r="AX165" i="1"/>
  <c r="AC398" i="1"/>
  <c r="AC382" i="1"/>
  <c r="AC270" i="1"/>
  <c r="AC274" i="1" s="1"/>
  <c r="AC51" i="1"/>
  <c r="AY212" i="1"/>
  <c r="AY207" i="1"/>
  <c r="AY213" i="1"/>
  <c r="AT382" i="1"/>
  <c r="AT270" i="1"/>
  <c r="AT51" i="1"/>
  <c r="BA305" i="1"/>
  <c r="AZ211" i="1"/>
  <c r="T100" i="1"/>
  <c r="BA188" i="1"/>
  <c r="BA28" i="1"/>
  <c r="BB14" i="1"/>
  <c r="BB421" i="1"/>
  <c r="AL398" i="1"/>
  <c r="AL382" i="1"/>
  <c r="AL270" i="1"/>
  <c r="AL274" i="1" s="1"/>
  <c r="AL51" i="1"/>
  <c r="AZ228" i="1"/>
  <c r="AY119" i="1"/>
  <c r="BB379" i="1"/>
  <c r="BA290" i="1"/>
  <c r="O274" i="1"/>
  <c r="BD324" i="1"/>
  <c r="AS398" i="1"/>
  <c r="AS382" i="1"/>
  <c r="AS270" i="1"/>
  <c r="AS274" i="1" s="1"/>
  <c r="AS51" i="1"/>
  <c r="AM398" i="1"/>
  <c r="AM382" i="1"/>
  <c r="AM270" i="1"/>
  <c r="AM274" i="1" s="1"/>
  <c r="AM51" i="1"/>
  <c r="BA377" i="1"/>
  <c r="BB377" i="1" s="1"/>
  <c r="AE398" i="1"/>
  <c r="AE382" i="1"/>
  <c r="AE270" i="1"/>
  <c r="AE274" i="1" s="1"/>
  <c r="AE51" i="1"/>
  <c r="AI398" i="1"/>
  <c r="AI382" i="1"/>
  <c r="AI270" i="1"/>
  <c r="AI274" i="1" s="1"/>
  <c r="AI51" i="1"/>
  <c r="U358" i="1"/>
  <c r="AY240" i="1"/>
  <c r="AZ232" i="1"/>
  <c r="AY221" i="1"/>
  <c r="AY222" i="1" s="1"/>
  <c r="BI18" i="1" l="1"/>
  <c r="BI19" i="1" s="1"/>
  <c r="BI20" i="1" s="1"/>
  <c r="BI21" i="1" s="1"/>
  <c r="BI22" i="1" s="1"/>
  <c r="BI23" i="1" s="1"/>
  <c r="BI24" i="1" s="1"/>
  <c r="BI25" i="1" s="1"/>
  <c r="AW237" i="1"/>
  <c r="BA134" i="1"/>
  <c r="D330" i="1"/>
  <c r="AX13" i="1"/>
  <c r="AX27" i="1" s="1"/>
  <c r="AX20" i="1" s="1"/>
  <c r="AY62" i="1"/>
  <c r="AY179" i="1"/>
  <c r="AY199" i="1"/>
  <c r="BD107" i="1"/>
  <c r="BD60" i="1" s="1"/>
  <c r="BD58" i="1"/>
  <c r="BA261" i="1"/>
  <c r="AY165" i="1"/>
  <c r="BA196" i="1"/>
  <c r="AZ240" i="1"/>
  <c r="BA232" i="1"/>
  <c r="AZ221" i="1"/>
  <c r="AZ222" i="1" s="1"/>
  <c r="BE324" i="1"/>
  <c r="BA228" i="1"/>
  <c r="AZ119" i="1"/>
  <c r="U100" i="1"/>
  <c r="BF98" i="1"/>
  <c r="BF93" i="1"/>
  <c r="BF89" i="1"/>
  <c r="BF85" i="1"/>
  <c r="BC132" i="1"/>
  <c r="BB133" i="1"/>
  <c r="AZ157" i="1"/>
  <c r="AZ151" i="1"/>
  <c r="AZ178" i="1"/>
  <c r="D351" i="1"/>
  <c r="BC421" i="1"/>
  <c r="BB188" i="1"/>
  <c r="BB28" i="1"/>
  <c r="BC14" i="1"/>
  <c r="BB305" i="1"/>
  <c r="AY214" i="1"/>
  <c r="L6" i="1"/>
  <c r="M4" i="1"/>
  <c r="L5" i="1"/>
  <c r="BB203" i="1"/>
  <c r="BB29" i="1"/>
  <c r="BC15" i="1"/>
  <c r="BE302" i="1"/>
  <c r="V99" i="1"/>
  <c r="V95" i="1"/>
  <c r="V57" i="1"/>
  <c r="V91" i="1"/>
  <c r="V84" i="1"/>
  <c r="V94" i="1" s="1"/>
  <c r="AZ429" i="1"/>
  <c r="AV425" i="1" s="1"/>
  <c r="AV315" i="1" s="1"/>
  <c r="AZ406" i="1"/>
  <c r="BB141" i="1"/>
  <c r="AU425" i="1"/>
  <c r="AU315" i="1" s="1"/>
  <c r="BE304" i="1"/>
  <c r="BD278" i="1"/>
  <c r="AX160" i="1"/>
  <c r="AX144" i="1"/>
  <c r="AX181" i="1"/>
  <c r="W85" i="1"/>
  <c r="W355" i="1"/>
  <c r="W357" i="1"/>
  <c r="W353" i="1"/>
  <c r="BB231" i="1"/>
  <c r="BA206" i="1"/>
  <c r="BC379" i="1"/>
  <c r="BC377" i="1" s="1"/>
  <c r="BB290" i="1"/>
  <c r="BA21" i="1"/>
  <c r="BA189" i="1" s="1"/>
  <c r="BA190" i="1" s="1"/>
  <c r="BE99" i="1"/>
  <c r="BE100" i="1" s="1"/>
  <c r="BE105" i="1" s="1"/>
  <c r="BE91" i="1"/>
  <c r="BE57" i="1"/>
  <c r="BA230" i="1"/>
  <c r="AZ191" i="1"/>
  <c r="BA239" i="1"/>
  <c r="BA22" i="1"/>
  <c r="BA204" i="1" s="1"/>
  <c r="V358" i="1"/>
  <c r="BA414" i="1"/>
  <c r="BB410" i="1"/>
  <c r="D335" i="1"/>
  <c r="D333" i="1"/>
  <c r="D336" i="1" s="1"/>
  <c r="D349" i="1"/>
  <c r="X6" i="1"/>
  <c r="X5" i="1"/>
  <c r="Y4" i="1"/>
  <c r="BA152" i="1"/>
  <c r="BB229" i="1"/>
  <c r="AZ213" i="1"/>
  <c r="AZ212" i="1"/>
  <c r="AZ207" i="1"/>
  <c r="BA71" i="1"/>
  <c r="AZ197" i="1"/>
  <c r="AZ198" i="1"/>
  <c r="AZ192" i="1"/>
  <c r="BA211" i="1"/>
  <c r="BA205" i="1"/>
  <c r="BC233" i="1"/>
  <c r="BC234" i="1" s="1"/>
  <c r="BD31" i="1"/>
  <c r="D350" i="1"/>
  <c r="AY180" i="1"/>
  <c r="AY159" i="1"/>
  <c r="AY143" i="1"/>
  <c r="AY153" i="1"/>
  <c r="AY150" i="1"/>
  <c r="BA138" i="1" l="1"/>
  <c r="BB134" i="1"/>
  <c r="BA135" i="1"/>
  <c r="BA170" i="1"/>
  <c r="BA171" i="1" s="1"/>
  <c r="BI26" i="1"/>
  <c r="BA149" i="1"/>
  <c r="BA177" i="1"/>
  <c r="AX237" i="1"/>
  <c r="AY13" i="1"/>
  <c r="AY27" i="1" s="1"/>
  <c r="AY20" i="1" s="1"/>
  <c r="AZ179" i="1"/>
  <c r="AZ62" i="1"/>
  <c r="BA198" i="1"/>
  <c r="BA197" i="1"/>
  <c r="AZ199" i="1"/>
  <c r="AY181" i="1"/>
  <c r="AY160" i="1"/>
  <c r="AY144" i="1"/>
  <c r="X85" i="1"/>
  <c r="X357" i="1"/>
  <c r="X355" i="1"/>
  <c r="X353" i="1"/>
  <c r="D338" i="1"/>
  <c r="D337" i="1"/>
  <c r="BB230" i="1"/>
  <c r="BB238" i="1" s="1"/>
  <c r="BA191" i="1"/>
  <c r="BA192" i="1" s="1"/>
  <c r="BA238" i="1"/>
  <c r="BC231" i="1"/>
  <c r="BB206" i="1"/>
  <c r="W91" i="1"/>
  <c r="W99" i="1"/>
  <c r="W95" i="1"/>
  <c r="W57" i="1"/>
  <c r="W84" i="1"/>
  <c r="W94" i="1" s="1"/>
  <c r="BC141" i="1"/>
  <c r="BC203" i="1"/>
  <c r="BC29" i="1"/>
  <c r="BD15" i="1"/>
  <c r="AT328" i="1"/>
  <c r="BC188" i="1"/>
  <c r="BC28" i="1"/>
  <c r="BD14" i="1"/>
  <c r="BD421" i="1"/>
  <c r="BD132" i="1"/>
  <c r="BC133" i="1"/>
  <c r="BA213" i="1"/>
  <c r="BA207" i="1"/>
  <c r="BA212" i="1"/>
  <c r="AZ214" i="1"/>
  <c r="BE107" i="1"/>
  <c r="BE60" i="1" s="1"/>
  <c r="BE58" i="1"/>
  <c r="W358" i="1"/>
  <c r="BA157" i="1"/>
  <c r="V100" i="1"/>
  <c r="BB239" i="1"/>
  <c r="BB22" i="1"/>
  <c r="BB204" i="1" s="1"/>
  <c r="BB205" i="1" s="1"/>
  <c r="M5" i="1"/>
  <c r="M6" i="1"/>
  <c r="BB21" i="1"/>
  <c r="BB189" i="1" s="1"/>
  <c r="BB190" i="1" s="1"/>
  <c r="AZ159" i="1"/>
  <c r="AZ153" i="1"/>
  <c r="AZ150" i="1"/>
  <c r="AZ180" i="1"/>
  <c r="AZ143" i="1"/>
  <c r="BF99" i="1"/>
  <c r="BF57" i="1"/>
  <c r="BF91" i="1"/>
  <c r="AZ165" i="1"/>
  <c r="BD233" i="1"/>
  <c r="BD234" i="1" s="1"/>
  <c r="BE31" i="1"/>
  <c r="BB135" i="1"/>
  <c r="BB71" i="1"/>
  <c r="BC229" i="1"/>
  <c r="BB152" i="1"/>
  <c r="Z4" i="1"/>
  <c r="Y5" i="1"/>
  <c r="Y6" i="1"/>
  <c r="BB414" i="1"/>
  <c r="BC410" i="1"/>
  <c r="BD379" i="1"/>
  <c r="BC290" i="1"/>
  <c r="BF304" i="1"/>
  <c r="BE278" i="1"/>
  <c r="BB211" i="1"/>
  <c r="BC305" i="1"/>
  <c r="BB196" i="1"/>
  <c r="BB228" i="1"/>
  <c r="BA119" i="1"/>
  <c r="BA240" i="1"/>
  <c r="BB232" i="1"/>
  <c r="BA221" i="1"/>
  <c r="BA222" i="1" s="1"/>
  <c r="BA429" i="1"/>
  <c r="AW425" i="1" s="1"/>
  <c r="AW315" i="1" s="1"/>
  <c r="BA406" i="1"/>
  <c r="BF302" i="1"/>
  <c r="BF324" i="1"/>
  <c r="BB138" i="1" l="1"/>
  <c r="BB261" i="1"/>
  <c r="BB171" i="1" s="1"/>
  <c r="BB170" i="1"/>
  <c r="BB149" i="1"/>
  <c r="BB177" i="1"/>
  <c r="E421" i="1"/>
  <c r="E379" i="1"/>
  <c r="E425" i="1"/>
  <c r="E407" i="1"/>
  <c r="E322" i="1"/>
  <c r="E318" i="1"/>
  <c r="E411" i="1"/>
  <c r="E80" i="1"/>
  <c r="E311" i="1"/>
  <c r="E414" i="1"/>
  <c r="E422" i="1"/>
  <c r="E307" i="1"/>
  <c r="E310" i="1"/>
  <c r="E402" i="1"/>
  <c r="E418" i="1"/>
  <c r="BA178" i="1"/>
  <c r="E413" i="1"/>
  <c r="E416" i="1"/>
  <c r="E309" i="1"/>
  <c r="E410" i="1"/>
  <c r="E308" i="1"/>
  <c r="E324" i="1"/>
  <c r="BA151" i="1"/>
  <c r="BA143" i="1" s="1"/>
  <c r="BI27" i="1"/>
  <c r="BC134" i="1"/>
  <c r="E320" i="1"/>
  <c r="AY237" i="1"/>
  <c r="AZ13" i="1"/>
  <c r="AZ27" i="1" s="1"/>
  <c r="AZ237" i="1" s="1"/>
  <c r="BA62" i="1"/>
  <c r="BA179" i="1"/>
  <c r="BA199" i="1"/>
  <c r="BB212" i="1"/>
  <c r="BB207" i="1"/>
  <c r="BB213" i="1"/>
  <c r="BD305" i="1"/>
  <c r="Z5" i="1"/>
  <c r="Z6" i="1"/>
  <c r="AA4" i="1"/>
  <c r="BD229" i="1"/>
  <c r="BC152" i="1"/>
  <c r="BE233" i="1"/>
  <c r="BE234" i="1" s="1"/>
  <c r="BF31" i="1"/>
  <c r="BF233" i="1" s="1"/>
  <c r="BF234" i="1" s="1"/>
  <c r="BE132" i="1"/>
  <c r="BD133" i="1"/>
  <c r="AT405" i="1"/>
  <c r="AT386" i="1"/>
  <c r="AT385" i="1"/>
  <c r="AT397" i="1"/>
  <c r="AT398" i="1"/>
  <c r="BC239" i="1"/>
  <c r="BC22" i="1"/>
  <c r="BC204" i="1" s="1"/>
  <c r="BC205" i="1" s="1"/>
  <c r="X358" i="1"/>
  <c r="BA165" i="1"/>
  <c r="BC228" i="1"/>
  <c r="BB119" i="1"/>
  <c r="BF278" i="1"/>
  <c r="BE379" i="1"/>
  <c r="BD290" i="1"/>
  <c r="BC414" i="1"/>
  <c r="BD410" i="1"/>
  <c r="BD414" i="1" s="1"/>
  <c r="Y85" i="1"/>
  <c r="Y357" i="1"/>
  <c r="Y355" i="1"/>
  <c r="Y353" i="1"/>
  <c r="BC71" i="1"/>
  <c r="AZ181" i="1"/>
  <c r="AZ144" i="1"/>
  <c r="AZ160" i="1"/>
  <c r="BF100" i="1"/>
  <c r="BC21" i="1"/>
  <c r="BC189" i="1" s="1"/>
  <c r="BC190" i="1" s="1"/>
  <c r="BD141" i="1"/>
  <c r="BC149" i="1"/>
  <c r="BD231" i="1"/>
  <c r="BC206" i="1"/>
  <c r="BC170" i="1"/>
  <c r="BC177" i="1"/>
  <c r="BB198" i="1"/>
  <c r="BB197" i="1"/>
  <c r="BD188" i="1"/>
  <c r="BE14" i="1"/>
  <c r="BD28" i="1"/>
  <c r="BC211" i="1"/>
  <c r="BB240" i="1"/>
  <c r="BC232" i="1"/>
  <c r="BB221" i="1"/>
  <c r="BB222" i="1" s="1"/>
  <c r="BB429" i="1"/>
  <c r="BB406" i="1"/>
  <c r="BA214" i="1"/>
  <c r="BE421" i="1"/>
  <c r="BC196" i="1"/>
  <c r="BD203" i="1"/>
  <c r="BD29" i="1"/>
  <c r="BE15" i="1"/>
  <c r="BB151" i="1"/>
  <c r="W100" i="1"/>
  <c r="BC230" i="1"/>
  <c r="BB191" i="1"/>
  <c r="BB192" i="1" s="1"/>
  <c r="X84" i="1"/>
  <c r="X94" i="1" s="1"/>
  <c r="X99" i="1"/>
  <c r="X95" i="1"/>
  <c r="X91" i="1"/>
  <c r="X57" i="1"/>
  <c r="BD377" i="1"/>
  <c r="BB157" i="1" l="1"/>
  <c r="BC138" i="1"/>
  <c r="BB178" i="1"/>
  <c r="BB179" i="1" s="1"/>
  <c r="Y358" i="1"/>
  <c r="BC261" i="1"/>
  <c r="BC135" i="1"/>
  <c r="BD134" i="1"/>
  <c r="BE377" i="1"/>
  <c r="BA150" i="1"/>
  <c r="BA159" i="1"/>
  <c r="BA153" i="1"/>
  <c r="BA160" i="1" s="1"/>
  <c r="BA180" i="1"/>
  <c r="BI28" i="1"/>
  <c r="AZ20" i="1"/>
  <c r="BA13" i="1"/>
  <c r="BA27" i="1" s="1"/>
  <c r="BA20" i="1" s="1"/>
  <c r="BB62" i="1"/>
  <c r="BB199" i="1"/>
  <c r="BD211" i="1"/>
  <c r="BC198" i="1"/>
  <c r="BC197" i="1"/>
  <c r="BD230" i="1"/>
  <c r="BD238" i="1" s="1"/>
  <c r="BC191" i="1"/>
  <c r="BC192" i="1" s="1"/>
  <c r="BF421" i="1"/>
  <c r="X100" i="1"/>
  <c r="BB143" i="1"/>
  <c r="BB180" i="1"/>
  <c r="BB153" i="1"/>
  <c r="BB150" i="1"/>
  <c r="BB159" i="1"/>
  <c r="BD239" i="1"/>
  <c r="BD22" i="1"/>
  <c r="BD204" i="1" s="1"/>
  <c r="BD205" i="1" s="1"/>
  <c r="BD21" i="1"/>
  <c r="BD189" i="1" s="1"/>
  <c r="BD190" i="1" s="1"/>
  <c r="BC171" i="1"/>
  <c r="BE141" i="1"/>
  <c r="BF105" i="1"/>
  <c r="BD71" i="1"/>
  <c r="Y84" i="1"/>
  <c r="Y94" i="1" s="1"/>
  <c r="Y99" i="1"/>
  <c r="Y95" i="1"/>
  <c r="Y91" i="1"/>
  <c r="Y57" i="1"/>
  <c r="BF379" i="1"/>
  <c r="BF290" i="1" s="1"/>
  <c r="BE290" i="1"/>
  <c r="BD228" i="1"/>
  <c r="BC119" i="1"/>
  <c r="BE229" i="1"/>
  <c r="BD152" i="1"/>
  <c r="BE305" i="1"/>
  <c r="BB165" i="1"/>
  <c r="BE188" i="1"/>
  <c r="BF14" i="1"/>
  <c r="BE28" i="1"/>
  <c r="BD429" i="1"/>
  <c r="BD406" i="1"/>
  <c r="BE429" i="1"/>
  <c r="AA5" i="1"/>
  <c r="AA6" i="1"/>
  <c r="AB4" i="1"/>
  <c r="BB214" i="1"/>
  <c r="BC240" i="1"/>
  <c r="BD232" i="1"/>
  <c r="BC221" i="1"/>
  <c r="BC222" i="1" s="1"/>
  <c r="BD196" i="1"/>
  <c r="BE231" i="1"/>
  <c r="BD206" i="1"/>
  <c r="BC238" i="1"/>
  <c r="BC429" i="1"/>
  <c r="BC406" i="1"/>
  <c r="BF132" i="1"/>
  <c r="BF133" i="1" s="1"/>
  <c r="BE133" i="1"/>
  <c r="Z85" i="1"/>
  <c r="Z357" i="1"/>
  <c r="Z355" i="1"/>
  <c r="Z353" i="1"/>
  <c r="BE203" i="1"/>
  <c r="BF15" i="1"/>
  <c r="BE29" i="1"/>
  <c r="BC212" i="1"/>
  <c r="BC207" i="1"/>
  <c r="BC213" i="1"/>
  <c r="BC178" i="1"/>
  <c r="BC157" i="1"/>
  <c r="BC151" i="1"/>
  <c r="AX425" i="1"/>
  <c r="AX315" i="1" s="1"/>
  <c r="BD138" i="1" l="1"/>
  <c r="BD170" i="1"/>
  <c r="BD149" i="1"/>
  <c r="BD135" i="1"/>
  <c r="BA237" i="1"/>
  <c r="BA181" i="1"/>
  <c r="BA144" i="1"/>
  <c r="BD177" i="1"/>
  <c r="BF377" i="1"/>
  <c r="BD261" i="1"/>
  <c r="Z358" i="1"/>
  <c r="BI29" i="1"/>
  <c r="BF134" i="1"/>
  <c r="BB425" i="1"/>
  <c r="BC425" i="1" s="1"/>
  <c r="BB13" i="1"/>
  <c r="BB27" i="1" s="1"/>
  <c r="BB237" i="1" s="1"/>
  <c r="BC179" i="1"/>
  <c r="BC62" i="1"/>
  <c r="BD213" i="1"/>
  <c r="BD212" i="1"/>
  <c r="BD207" i="1"/>
  <c r="BE211" i="1"/>
  <c r="Z99" i="1"/>
  <c r="Z95" i="1"/>
  <c r="Z57" i="1"/>
  <c r="Z91" i="1"/>
  <c r="Z84" i="1"/>
  <c r="Z94" i="1" s="1"/>
  <c r="BC165" i="1"/>
  <c r="BE21" i="1"/>
  <c r="BE189" i="1" s="1"/>
  <c r="BE190" i="1" s="1"/>
  <c r="BF141" i="1"/>
  <c r="BB160" i="1"/>
  <c r="BB144" i="1"/>
  <c r="BB181" i="1"/>
  <c r="BF231" i="1"/>
  <c r="BF206" i="1" s="1"/>
  <c r="BE206" i="1"/>
  <c r="BD240" i="1"/>
  <c r="BE232" i="1"/>
  <c r="BD221" i="1"/>
  <c r="BD222" i="1" s="1"/>
  <c r="AB6" i="1"/>
  <c r="AC4" i="1"/>
  <c r="AB5" i="1"/>
  <c r="BE134" i="1"/>
  <c r="BE138" i="1" s="1"/>
  <c r="BF188" i="1"/>
  <c r="BF28" i="1"/>
  <c r="BA425" i="1"/>
  <c r="BA315" i="1" s="1"/>
  <c r="BE228" i="1"/>
  <c r="BD119" i="1"/>
  <c r="BC199" i="1"/>
  <c r="AZ425" i="1"/>
  <c r="AZ315" i="1" s="1"/>
  <c r="BC180" i="1"/>
  <c r="BC159" i="1"/>
  <c r="BC143" i="1"/>
  <c r="BC153" i="1"/>
  <c r="BC150" i="1"/>
  <c r="BE239" i="1"/>
  <c r="BE22" i="1"/>
  <c r="BE204" i="1" s="1"/>
  <c r="BE205" i="1" s="1"/>
  <c r="BD197" i="1"/>
  <c r="BD198" i="1"/>
  <c r="AA85" i="1"/>
  <c r="AA355" i="1"/>
  <c r="AA357" i="1"/>
  <c r="AA353" i="1"/>
  <c r="BE196" i="1"/>
  <c r="BF305" i="1"/>
  <c r="BF229" i="1"/>
  <c r="BF152" i="1" s="1"/>
  <c r="BE152" i="1"/>
  <c r="BE71" i="1"/>
  <c r="BF58" i="1"/>
  <c r="BF107" i="1"/>
  <c r="BF60" i="1" s="1"/>
  <c r="BC214" i="1"/>
  <c r="BF203" i="1"/>
  <c r="BF29" i="1"/>
  <c r="AY425" i="1"/>
  <c r="AY315" i="1" s="1"/>
  <c r="Y100" i="1"/>
  <c r="BD157" i="1"/>
  <c r="BD151" i="1"/>
  <c r="BE230" i="1"/>
  <c r="BE238" i="1" s="1"/>
  <c r="BD191" i="1"/>
  <c r="BD192" i="1" s="1"/>
  <c r="BF138" i="1" l="1"/>
  <c r="BD171" i="1"/>
  <c r="BD178" i="1"/>
  <c r="BF177" i="1"/>
  <c r="BF170" i="1"/>
  <c r="BF261" i="1"/>
  <c r="BF135" i="1"/>
  <c r="BE149" i="1"/>
  <c r="BI30" i="1"/>
  <c r="BB315" i="1"/>
  <c r="BC13" i="1"/>
  <c r="BC27" i="1" s="1"/>
  <c r="BC237" i="1" s="1"/>
  <c r="BB20" i="1"/>
  <c r="BD62" i="1"/>
  <c r="BD179" i="1"/>
  <c r="BF149" i="1"/>
  <c r="BE213" i="1"/>
  <c r="BE212" i="1"/>
  <c r="BE207" i="1"/>
  <c r="BD199" i="1"/>
  <c r="BD159" i="1"/>
  <c r="BD153" i="1"/>
  <c r="BD150" i="1"/>
  <c r="BD180" i="1"/>
  <c r="BD143" i="1"/>
  <c r="AA91" i="1"/>
  <c r="AA99" i="1"/>
  <c r="AA95" i="1"/>
  <c r="AA57" i="1"/>
  <c r="AA84" i="1"/>
  <c r="AA94" i="1" s="1"/>
  <c r="BC181" i="1"/>
  <c r="BC160" i="1"/>
  <c r="BC144" i="1"/>
  <c r="BF228" i="1"/>
  <c r="BF119" i="1" s="1"/>
  <c r="BE119" i="1"/>
  <c r="AB85" i="1"/>
  <c r="AB357" i="1"/>
  <c r="AB355" i="1"/>
  <c r="AB353" i="1"/>
  <c r="AA358" i="1"/>
  <c r="BF21" i="1"/>
  <c r="BF189" i="1" s="1"/>
  <c r="BF190" i="1" s="1"/>
  <c r="BD165" i="1"/>
  <c r="BD214" i="1"/>
  <c r="BF239" i="1"/>
  <c r="BF22" i="1"/>
  <c r="BF204" i="1" s="1"/>
  <c r="BF205" i="1" s="1"/>
  <c r="BF71" i="1"/>
  <c r="BF196" i="1"/>
  <c r="BE240" i="1"/>
  <c r="BF232" i="1"/>
  <c r="BE221" i="1"/>
  <c r="BE222" i="1" s="1"/>
  <c r="Z100" i="1"/>
  <c r="BF230" i="1"/>
  <c r="BF191" i="1" s="1"/>
  <c r="BE191" i="1"/>
  <c r="BF211" i="1"/>
  <c r="BE197" i="1"/>
  <c r="BE198" i="1"/>
  <c r="BE192" i="1"/>
  <c r="BE261" i="1"/>
  <c r="BE170" i="1"/>
  <c r="BE177" i="1"/>
  <c r="BE135" i="1"/>
  <c r="AD4" i="1"/>
  <c r="AC5" i="1"/>
  <c r="AC6" i="1"/>
  <c r="BD425" i="1"/>
  <c r="BD315" i="1" s="1"/>
  <c r="BC315" i="1"/>
  <c r="BF151" i="1" l="1"/>
  <c r="BF143" i="1" s="1"/>
  <c r="BE151" i="1"/>
  <c r="BE180" i="1" s="1"/>
  <c r="BF171" i="1"/>
  <c r="BE178" i="1"/>
  <c r="BE179" i="1" s="1"/>
  <c r="BF178" i="1"/>
  <c r="BE157" i="1"/>
  <c r="BE62" i="1" s="1"/>
  <c r="BI31" i="1"/>
  <c r="BC20" i="1"/>
  <c r="BD13" i="1"/>
  <c r="BD27" i="1" s="1"/>
  <c r="BD237" i="1" s="1"/>
  <c r="BF157" i="1"/>
  <c r="AE4" i="1"/>
  <c r="AD5" i="1"/>
  <c r="AD6" i="1"/>
  <c r="BE199" i="1"/>
  <c r="BE171" i="1"/>
  <c r="BF212" i="1"/>
  <c r="BF207" i="1"/>
  <c r="BF213" i="1"/>
  <c r="BE165" i="1"/>
  <c r="BD181" i="1"/>
  <c r="BD144" i="1"/>
  <c r="BD160" i="1"/>
  <c r="AC85" i="1"/>
  <c r="AC355" i="1"/>
  <c r="AC357" i="1"/>
  <c r="AC353" i="1"/>
  <c r="BF240" i="1"/>
  <c r="BF221" i="1"/>
  <c r="BF222" i="1" s="1"/>
  <c r="BF198" i="1"/>
  <c r="BF192" i="1"/>
  <c r="BF197" i="1"/>
  <c r="BE214" i="1"/>
  <c r="BF238" i="1"/>
  <c r="AB84" i="1"/>
  <c r="AB94" i="1" s="1"/>
  <c r="AB99" i="1"/>
  <c r="AB100" i="1" s="1"/>
  <c r="AB95" i="1"/>
  <c r="AB91" i="1"/>
  <c r="AB57" i="1"/>
  <c r="AB358" i="1"/>
  <c r="AA100" i="1"/>
  <c r="BE153" i="1"/>
  <c r="BE150" i="1"/>
  <c r="BE143" i="1"/>
  <c r="BE159" i="1"/>
  <c r="BF150" i="1" l="1"/>
  <c r="BF153" i="1"/>
  <c r="BF144" i="1" s="1"/>
  <c r="BF180" i="1"/>
  <c r="BF159" i="1"/>
  <c r="BF179" i="1"/>
  <c r="BI32" i="1"/>
  <c r="BE13" i="1"/>
  <c r="BE27" i="1" s="1"/>
  <c r="BE237" i="1" s="1"/>
  <c r="BD20" i="1"/>
  <c r="BF62" i="1"/>
  <c r="AC84" i="1"/>
  <c r="AC94" i="1" s="1"/>
  <c r="AC99" i="1"/>
  <c r="AC95" i="1"/>
  <c r="AC91" i="1"/>
  <c r="AC57" i="1"/>
  <c r="BF214" i="1"/>
  <c r="BE160" i="1"/>
  <c r="BE144" i="1"/>
  <c r="BE181" i="1"/>
  <c r="AC358" i="1"/>
  <c r="AE5" i="1"/>
  <c r="AE6" i="1"/>
  <c r="AF4" i="1"/>
  <c r="BF165" i="1"/>
  <c r="BF199" i="1"/>
  <c r="BF160" i="1"/>
  <c r="BF181" i="1"/>
  <c r="AD85" i="1"/>
  <c r="AD357" i="1"/>
  <c r="AD355" i="1"/>
  <c r="AD353" i="1"/>
  <c r="BI33" i="1" l="1"/>
  <c r="BE20" i="1"/>
  <c r="BF13" i="1"/>
  <c r="BF27" i="1" s="1"/>
  <c r="BF20" i="1" s="1"/>
  <c r="AD99" i="1"/>
  <c r="AD100" i="1" s="1"/>
  <c r="AD95" i="1"/>
  <c r="AD57" i="1"/>
  <c r="AD91" i="1"/>
  <c r="AD84" i="1"/>
  <c r="AD94" i="1" s="1"/>
  <c r="AF6" i="1"/>
  <c r="AF5" i="1"/>
  <c r="AG4" i="1"/>
  <c r="AE85" i="1"/>
  <c r="AE355" i="1"/>
  <c r="AE357" i="1"/>
  <c r="AE353" i="1"/>
  <c r="AC100" i="1"/>
  <c r="AD358" i="1"/>
  <c r="BI34" i="1" l="1"/>
  <c r="BF237" i="1"/>
  <c r="AE358" i="1"/>
  <c r="AF85" i="1"/>
  <c r="AF357" i="1"/>
  <c r="AF355" i="1"/>
  <c r="AF353" i="1"/>
  <c r="AE91" i="1"/>
  <c r="AE99" i="1"/>
  <c r="AE100" i="1" s="1"/>
  <c r="AE104" i="1" s="1"/>
  <c r="AE95" i="1"/>
  <c r="AE57" i="1"/>
  <c r="AE84" i="1"/>
  <c r="AE94" i="1" s="1"/>
  <c r="AH4" i="1"/>
  <c r="AG6" i="1"/>
  <c r="AG5" i="1"/>
  <c r="BI35" i="1" l="1"/>
  <c r="AH5" i="1"/>
  <c r="AI4" i="1"/>
  <c r="AH6" i="1"/>
  <c r="AF358" i="1"/>
  <c r="AG85" i="1"/>
  <c r="AG357" i="1"/>
  <c r="AG355" i="1"/>
  <c r="AG353" i="1"/>
  <c r="AF84" i="1"/>
  <c r="AF94" i="1" s="1"/>
  <c r="AF99" i="1"/>
  <c r="AF100" i="1" s="1"/>
  <c r="AF104" i="1" s="1"/>
  <c r="AF95" i="1"/>
  <c r="AF91" i="1"/>
  <c r="AF57" i="1"/>
  <c r="AG358" i="1" l="1"/>
  <c r="BI36" i="1"/>
  <c r="AG84" i="1"/>
  <c r="AG94" i="1" s="1"/>
  <c r="AG99" i="1"/>
  <c r="AG100" i="1" s="1"/>
  <c r="AG104" i="1" s="1"/>
  <c r="AG95" i="1"/>
  <c r="AG91" i="1"/>
  <c r="AG57" i="1"/>
  <c r="AH85" i="1"/>
  <c r="AH357" i="1"/>
  <c r="AH355" i="1"/>
  <c r="AH353" i="1"/>
  <c r="AI5" i="1"/>
  <c r="AJ4" i="1"/>
  <c r="AI6" i="1"/>
  <c r="BI37" i="1" l="1"/>
  <c r="AI85" i="1"/>
  <c r="AI355" i="1"/>
  <c r="AI353" i="1"/>
  <c r="AI357" i="1"/>
  <c r="AJ6" i="1"/>
  <c r="AK4" i="1"/>
  <c r="AJ5" i="1"/>
  <c r="AH99" i="1"/>
  <c r="AH100" i="1" s="1"/>
  <c r="AH104" i="1" s="1"/>
  <c r="AH95" i="1"/>
  <c r="AH57" i="1"/>
  <c r="AH91" i="1"/>
  <c r="AH84" i="1"/>
  <c r="AH94" i="1" s="1"/>
  <c r="AH358" i="1"/>
  <c r="AI358" i="1" l="1"/>
  <c r="BI38" i="1"/>
  <c r="AL4" i="1"/>
  <c r="AK5" i="1"/>
  <c r="AK6" i="1"/>
  <c r="AJ85" i="1"/>
  <c r="AJ357" i="1"/>
  <c r="AJ355" i="1"/>
  <c r="AJ353" i="1"/>
  <c r="AI91" i="1"/>
  <c r="AI99" i="1"/>
  <c r="AI100" i="1" s="1"/>
  <c r="AI104" i="1" s="1"/>
  <c r="AI95" i="1"/>
  <c r="AI57" i="1"/>
  <c r="AI84" i="1"/>
  <c r="AI94" i="1" s="1"/>
  <c r="AJ358" i="1" l="1"/>
  <c r="BI39" i="1"/>
  <c r="AK85" i="1"/>
  <c r="AK357" i="1"/>
  <c r="AK355" i="1"/>
  <c r="AK353" i="1"/>
  <c r="AL5" i="1"/>
  <c r="AL6" i="1"/>
  <c r="AM4" i="1"/>
  <c r="AJ84" i="1"/>
  <c r="AJ94" i="1" s="1"/>
  <c r="AJ99" i="1"/>
  <c r="AJ100" i="1" s="1"/>
  <c r="AJ104" i="1" s="1"/>
  <c r="AJ95" i="1"/>
  <c r="AJ91" i="1"/>
  <c r="AJ57" i="1"/>
  <c r="BI40" i="1" l="1"/>
  <c r="AM5" i="1"/>
  <c r="AM6" i="1"/>
  <c r="AN4" i="1"/>
  <c r="AL85" i="1"/>
  <c r="AL355" i="1"/>
  <c r="AL353" i="1"/>
  <c r="AL357" i="1"/>
  <c r="AK84" i="1"/>
  <c r="AK94" i="1" s="1"/>
  <c r="AK99" i="1"/>
  <c r="AK100" i="1" s="1"/>
  <c r="AK104" i="1" s="1"/>
  <c r="AK95" i="1"/>
  <c r="AK91" i="1"/>
  <c r="AK57" i="1"/>
  <c r="AK358" i="1"/>
  <c r="BI41" i="1" l="1"/>
  <c r="AL358" i="1"/>
  <c r="AM85" i="1"/>
  <c r="AM355" i="1"/>
  <c r="AM353" i="1"/>
  <c r="AM357" i="1"/>
  <c r="AL99" i="1"/>
  <c r="AL100" i="1" s="1"/>
  <c r="AL104" i="1" s="1"/>
  <c r="AL95" i="1"/>
  <c r="AL57" i="1"/>
  <c r="AL91" i="1"/>
  <c r="AL84" i="1"/>
  <c r="AL94" i="1" s="1"/>
  <c r="AN6" i="1"/>
  <c r="AO4" i="1"/>
  <c r="AN5" i="1"/>
  <c r="BI42" i="1" l="1"/>
  <c r="BI43" i="1" s="1"/>
  <c r="BI44" i="1" s="1"/>
  <c r="BI45" i="1" s="1"/>
  <c r="BI46" i="1" s="1"/>
  <c r="BI47" i="1" s="1"/>
  <c r="BI48" i="1" s="1"/>
  <c r="AN85" i="1"/>
  <c r="AN357" i="1"/>
  <c r="AN355" i="1"/>
  <c r="AN353" i="1"/>
  <c r="AP4" i="1"/>
  <c r="AO5" i="1"/>
  <c r="AO6" i="1"/>
  <c r="AM358" i="1"/>
  <c r="AM91" i="1"/>
  <c r="AM99" i="1"/>
  <c r="AM100" i="1" s="1"/>
  <c r="AM104" i="1" s="1"/>
  <c r="AM95" i="1"/>
  <c r="AM57" i="1"/>
  <c r="AM84" i="1"/>
  <c r="AM94" i="1" s="1"/>
  <c r="BI49" i="1" l="1"/>
  <c r="AN358" i="1"/>
  <c r="AO85" i="1"/>
  <c r="AO357" i="1"/>
  <c r="AO355" i="1"/>
  <c r="AO353" i="1"/>
  <c r="AQ4" i="1"/>
  <c r="AP5" i="1"/>
  <c r="AP6" i="1"/>
  <c r="AN84" i="1"/>
  <c r="AN94" i="1" s="1"/>
  <c r="AN99" i="1"/>
  <c r="AN100" i="1" s="1"/>
  <c r="AN104" i="1" s="1"/>
  <c r="AN95" i="1"/>
  <c r="AN91" i="1"/>
  <c r="AN57" i="1"/>
  <c r="BI50" i="1" l="1"/>
  <c r="AP85" i="1"/>
  <c r="AP357" i="1"/>
  <c r="AP355" i="1"/>
  <c r="AP353" i="1"/>
  <c r="AQ5" i="1"/>
  <c r="AQ6" i="1"/>
  <c r="AR4" i="1"/>
  <c r="AO84" i="1"/>
  <c r="AO94" i="1" s="1"/>
  <c r="AO99" i="1"/>
  <c r="AO100" i="1" s="1"/>
  <c r="AO104" i="1" s="1"/>
  <c r="AO95" i="1"/>
  <c r="AO91" i="1"/>
  <c r="AO57" i="1"/>
  <c r="AO358" i="1"/>
  <c r="BI51" i="1" l="1"/>
  <c r="AP358" i="1"/>
  <c r="AQ85" i="1"/>
  <c r="AQ355" i="1"/>
  <c r="AQ353" i="1"/>
  <c r="AQ357" i="1"/>
  <c r="AR6" i="1"/>
  <c r="AR5" i="1"/>
  <c r="AS4" i="1"/>
  <c r="AP99" i="1"/>
  <c r="AP100" i="1" s="1"/>
  <c r="AP104" i="1" s="1"/>
  <c r="AP95" i="1"/>
  <c r="AP57" i="1"/>
  <c r="AP91" i="1"/>
  <c r="AP84" i="1"/>
  <c r="AP94" i="1" s="1"/>
  <c r="AQ358" i="1" l="1"/>
  <c r="BI52" i="1"/>
  <c r="AR85" i="1"/>
  <c r="AR357" i="1"/>
  <c r="AR355" i="1"/>
  <c r="AR353" i="1"/>
  <c r="AQ91" i="1"/>
  <c r="AQ99" i="1"/>
  <c r="AQ100" i="1" s="1"/>
  <c r="AQ104" i="1" s="1"/>
  <c r="AQ95" i="1"/>
  <c r="AQ57" i="1"/>
  <c r="AQ84" i="1"/>
  <c r="AQ94" i="1" s="1"/>
  <c r="AT4" i="1"/>
  <c r="AS6" i="1"/>
  <c r="AS5" i="1"/>
  <c r="BI53" i="1" l="1"/>
  <c r="AR358" i="1"/>
  <c r="AS85" i="1"/>
  <c r="AS355" i="1"/>
  <c r="AS357" i="1"/>
  <c r="AS353" i="1"/>
  <c r="AT5" i="1"/>
  <c r="AT6" i="1"/>
  <c r="AU4" i="1"/>
  <c r="AR84" i="1"/>
  <c r="AR94" i="1" s="1"/>
  <c r="AR99" i="1"/>
  <c r="AR100" i="1" s="1"/>
  <c r="AR104" i="1" s="1"/>
  <c r="AR95" i="1"/>
  <c r="AR91" i="1"/>
  <c r="AR57" i="1"/>
  <c r="AT353" i="1" l="1"/>
  <c r="AT357" i="1"/>
  <c r="AU357" i="1" s="1"/>
  <c r="AV357" i="1" s="1"/>
  <c r="AW357" i="1" s="1"/>
  <c r="AX357" i="1" s="1"/>
  <c r="AY357" i="1" s="1"/>
  <c r="AZ357" i="1" s="1"/>
  <c r="BA357" i="1" s="1"/>
  <c r="BB357" i="1" s="1"/>
  <c r="BC357" i="1" s="1"/>
  <c r="BD357" i="1" s="1"/>
  <c r="BE357" i="1" s="1"/>
  <c r="BF357" i="1" s="1"/>
  <c r="AT355" i="1"/>
  <c r="AU355" i="1" s="1"/>
  <c r="AV355" i="1" s="1"/>
  <c r="AW355" i="1" s="1"/>
  <c r="AX355" i="1" s="1"/>
  <c r="AY355" i="1" s="1"/>
  <c r="AZ355" i="1" s="1"/>
  <c r="BA355" i="1" s="1"/>
  <c r="BB355" i="1" s="1"/>
  <c r="BC355" i="1" s="1"/>
  <c r="BD355" i="1" s="1"/>
  <c r="BE355" i="1" s="1"/>
  <c r="BF355" i="1" s="1"/>
  <c r="BI54" i="1"/>
  <c r="AU5" i="1"/>
  <c r="AV4" i="1"/>
  <c r="AU6" i="1"/>
  <c r="AT85" i="1"/>
  <c r="AS84" i="1"/>
  <c r="AS94" i="1" s="1"/>
  <c r="AS99" i="1"/>
  <c r="AS100" i="1" s="1"/>
  <c r="AS104" i="1" s="1"/>
  <c r="AS95" i="1"/>
  <c r="AS91" i="1"/>
  <c r="AS57" i="1"/>
  <c r="AS358" i="1"/>
  <c r="BI55" i="1" l="1"/>
  <c r="AT358" i="1"/>
  <c r="AU353" i="1"/>
  <c r="AT99" i="1"/>
  <c r="AT57" i="1"/>
  <c r="AT91" i="1"/>
  <c r="AT84" i="1"/>
  <c r="AU86" i="1"/>
  <c r="AU12" i="1"/>
  <c r="AU26" i="1"/>
  <c r="AV6" i="1"/>
  <c r="AW4" i="1"/>
  <c r="AV5" i="1"/>
  <c r="AT389" i="1"/>
  <c r="AU358" i="1" l="1"/>
  <c r="AV353" i="1"/>
  <c r="BI56" i="1"/>
  <c r="AT401" i="1"/>
  <c r="AT403" i="1" s="1"/>
  <c r="AT407" i="1" s="1"/>
  <c r="AT395" i="1"/>
  <c r="AT396" i="1"/>
  <c r="AT360" i="1"/>
  <c r="AU360" i="1" s="1"/>
  <c r="AU236" i="1"/>
  <c r="AU19" i="1"/>
  <c r="AU30" i="1"/>
  <c r="AU116" i="1"/>
  <c r="AU16" i="1"/>
  <c r="AX4" i="1"/>
  <c r="AW5" i="1"/>
  <c r="AW6" i="1"/>
  <c r="AU111" i="1"/>
  <c r="AV86" i="1"/>
  <c r="AV26" i="1"/>
  <c r="AV12" i="1"/>
  <c r="AT100" i="1"/>
  <c r="AT104" i="1" s="1"/>
  <c r="BI57" i="1" l="1"/>
  <c r="AW353" i="1"/>
  <c r="AV358" i="1"/>
  <c r="AU32" i="1"/>
  <c r="AU70" i="1" s="1"/>
  <c r="AV116" i="1"/>
  <c r="AV16" i="1"/>
  <c r="AX5" i="1"/>
  <c r="AX6" i="1"/>
  <c r="AY4" i="1"/>
  <c r="AV360" i="1"/>
  <c r="AU318" i="1"/>
  <c r="AU280" i="1" s="1"/>
  <c r="AV236" i="1"/>
  <c r="AV30" i="1"/>
  <c r="AV32" i="1" s="1"/>
  <c r="AV19" i="1"/>
  <c r="AU117" i="1"/>
  <c r="AU113" i="1" s="1"/>
  <c r="AU112" i="1" s="1"/>
  <c r="AU23" i="1"/>
  <c r="AV111" i="1"/>
  <c r="AW86" i="1"/>
  <c r="AW26" i="1"/>
  <c r="AW12" i="1"/>
  <c r="AU365" i="1"/>
  <c r="AU368" i="1" s="1"/>
  <c r="AU301" i="1"/>
  <c r="AU361" i="1"/>
  <c r="AU164" i="1"/>
  <c r="AU166" i="1" s="1"/>
  <c r="AU252" i="1"/>
  <c r="AU241" i="1"/>
  <c r="AU124" i="1"/>
  <c r="AW358" i="1" l="1"/>
  <c r="AX353" i="1"/>
  <c r="BI58" i="1"/>
  <c r="AU35" i="1"/>
  <c r="AU257" i="1"/>
  <c r="AU242" i="1"/>
  <c r="AU276" i="1"/>
  <c r="AW116" i="1"/>
  <c r="AW16" i="1"/>
  <c r="AV117" i="1"/>
  <c r="AV113" i="1" s="1"/>
  <c r="AV112" i="1" s="1"/>
  <c r="AV23" i="1"/>
  <c r="AW360" i="1"/>
  <c r="AV318" i="1"/>
  <c r="AV280" i="1" s="1"/>
  <c r="AV365" i="1"/>
  <c r="AV301" i="1"/>
  <c r="AV352" i="1" s="1"/>
  <c r="AV361" i="1"/>
  <c r="AV164" i="1"/>
  <c r="AV166" i="1" s="1"/>
  <c r="AU118" i="1"/>
  <c r="AU167" i="1"/>
  <c r="AU173" i="1"/>
  <c r="AU352" i="1"/>
  <c r="AW111" i="1"/>
  <c r="AU316" i="1"/>
  <c r="AU356" i="1" s="1"/>
  <c r="AU303" i="1"/>
  <c r="AU277" i="1" s="1"/>
  <c r="AV241" i="1"/>
  <c r="AX86" i="1"/>
  <c r="AX26" i="1"/>
  <c r="AX12" i="1"/>
  <c r="AW236" i="1"/>
  <c r="AW30" i="1"/>
  <c r="AW32" i="1" s="1"/>
  <c r="AW19" i="1"/>
  <c r="AV70" i="1"/>
  <c r="AY5" i="1"/>
  <c r="AY6" i="1"/>
  <c r="AZ4" i="1"/>
  <c r="AV124" i="1"/>
  <c r="AU72" i="1" l="1"/>
  <c r="BI59" i="1"/>
  <c r="AX358" i="1"/>
  <c r="AY353" i="1"/>
  <c r="AU258" i="1"/>
  <c r="AU391" i="1"/>
  <c r="AU392" i="1" s="1"/>
  <c r="AU393" i="1" s="1"/>
  <c r="AV118" i="1"/>
  <c r="AV120" i="1" s="1"/>
  <c r="AX111" i="1"/>
  <c r="AY86" i="1"/>
  <c r="AY12" i="1"/>
  <c r="AY26" i="1"/>
  <c r="AW70" i="1"/>
  <c r="AU279" i="1"/>
  <c r="AU319" i="1"/>
  <c r="AV167" i="1"/>
  <c r="AV173" i="1"/>
  <c r="AV316" i="1"/>
  <c r="AV356" i="1" s="1"/>
  <c r="AV303" i="1"/>
  <c r="AV277" i="1" s="1"/>
  <c r="AW365" i="1"/>
  <c r="AW301" i="1"/>
  <c r="AW352" i="1" s="1"/>
  <c r="AW361" i="1"/>
  <c r="AW164" i="1"/>
  <c r="AW166" i="1" s="1"/>
  <c r="AZ6" i="1"/>
  <c r="BA4" i="1"/>
  <c r="AZ5" i="1"/>
  <c r="AW117" i="1"/>
  <c r="AW113" i="1" s="1"/>
  <c r="AW112" i="1" s="1"/>
  <c r="AW23" i="1"/>
  <c r="AU125" i="1"/>
  <c r="AU120" i="1"/>
  <c r="AU126" i="1"/>
  <c r="AX360" i="1"/>
  <c r="AW318" i="1"/>
  <c r="AW280" i="1" s="1"/>
  <c r="AW241" i="1"/>
  <c r="AX116" i="1"/>
  <c r="AX16" i="1"/>
  <c r="AV242" i="1"/>
  <c r="AU182" i="1"/>
  <c r="AU145" i="1"/>
  <c r="AW124" i="1"/>
  <c r="AX236" i="1"/>
  <c r="AX30" i="1"/>
  <c r="AX32" i="1" s="1"/>
  <c r="AX19" i="1"/>
  <c r="AU354" i="1"/>
  <c r="AV276" i="1"/>
  <c r="AV125" i="1" l="1"/>
  <c r="BI60" i="1"/>
  <c r="AY358" i="1"/>
  <c r="AZ353" i="1"/>
  <c r="AV126" i="1"/>
  <c r="AW118" i="1"/>
  <c r="AW126" i="1" s="1"/>
  <c r="AX241" i="1"/>
  <c r="AX365" i="1"/>
  <c r="AX301" i="1"/>
  <c r="AX352" i="1" s="1"/>
  <c r="AX361" i="1"/>
  <c r="AX164" i="1"/>
  <c r="AX166" i="1" s="1"/>
  <c r="BB4" i="1"/>
  <c r="BA5" i="1"/>
  <c r="BA6" i="1"/>
  <c r="AV182" i="1"/>
  <c r="AV145" i="1"/>
  <c r="AY236" i="1"/>
  <c r="AY30" i="1"/>
  <c r="AY32" i="1" s="1"/>
  <c r="AY19" i="1"/>
  <c r="AX124" i="1"/>
  <c r="AW303" i="1"/>
  <c r="AW277" i="1" s="1"/>
  <c r="AW316" i="1"/>
  <c r="AZ86" i="1"/>
  <c r="AZ12" i="1"/>
  <c r="AZ26" i="1"/>
  <c r="AV279" i="1"/>
  <c r="AV319" i="1"/>
  <c r="AY116" i="1"/>
  <c r="AY16" i="1"/>
  <c r="AU122" i="1"/>
  <c r="AU128" i="1" s="1"/>
  <c r="AU127" i="1"/>
  <c r="AW276" i="1"/>
  <c r="AX117" i="1"/>
  <c r="AX113" i="1" s="1"/>
  <c r="AX112" i="1" s="1"/>
  <c r="AX23" i="1"/>
  <c r="AY360" i="1"/>
  <c r="AX318" i="1"/>
  <c r="AX280" i="1" s="1"/>
  <c r="AW167" i="1"/>
  <c r="AW173" i="1"/>
  <c r="AV354" i="1"/>
  <c r="AY111" i="1"/>
  <c r="AX70" i="1"/>
  <c r="AV127" i="1"/>
  <c r="AW242" i="1"/>
  <c r="AW120" i="1" l="1"/>
  <c r="AW127" i="1" s="1"/>
  <c r="AW125" i="1"/>
  <c r="AZ358" i="1"/>
  <c r="BA353" i="1"/>
  <c r="BI61" i="1"/>
  <c r="AW279" i="1"/>
  <c r="AW319" i="1"/>
  <c r="AX242" i="1"/>
  <c r="AZ360" i="1"/>
  <c r="AY318" i="1"/>
  <c r="AY280" i="1" s="1"/>
  <c r="AZ111" i="1"/>
  <c r="AW354" i="1"/>
  <c r="AY70" i="1"/>
  <c r="BA86" i="1"/>
  <c r="BA12" i="1"/>
  <c r="BA26" i="1"/>
  <c r="AX303" i="1"/>
  <c r="AX277" i="1" s="1"/>
  <c r="AX316" i="1"/>
  <c r="AX356" i="1" s="1"/>
  <c r="AY365" i="1"/>
  <c r="AY301" i="1"/>
  <c r="AY352" i="1" s="1"/>
  <c r="AY361" i="1"/>
  <c r="AY164" i="1"/>
  <c r="AY166" i="1" s="1"/>
  <c r="AZ236" i="1"/>
  <c r="AZ30" i="1"/>
  <c r="AZ32" i="1" s="1"/>
  <c r="AZ19" i="1"/>
  <c r="AX118" i="1"/>
  <c r="BB5" i="1"/>
  <c r="BC4" i="1"/>
  <c r="BB6" i="1"/>
  <c r="AW145" i="1"/>
  <c r="AW182" i="1"/>
  <c r="AY241" i="1"/>
  <c r="AX276" i="1"/>
  <c r="AY124" i="1"/>
  <c r="AZ116" i="1"/>
  <c r="AZ16" i="1"/>
  <c r="AW356" i="1"/>
  <c r="AY117" i="1"/>
  <c r="AY113" i="1" s="1"/>
  <c r="AY112" i="1" s="1"/>
  <c r="AY23" i="1"/>
  <c r="AX167" i="1"/>
  <c r="AX173" i="1"/>
  <c r="BI62" i="1" l="1"/>
  <c r="BA358" i="1"/>
  <c r="BB353" i="1"/>
  <c r="AY242" i="1"/>
  <c r="AZ241" i="1"/>
  <c r="BA360" i="1"/>
  <c r="AZ318" i="1"/>
  <c r="AZ280" i="1" s="1"/>
  <c r="AX145" i="1"/>
  <c r="AX182" i="1"/>
  <c r="AY118" i="1"/>
  <c r="AX126" i="1"/>
  <c r="AX125" i="1"/>
  <c r="AX120" i="1"/>
  <c r="AY167" i="1"/>
  <c r="AY173" i="1"/>
  <c r="AX354" i="1"/>
  <c r="BA236" i="1"/>
  <c r="BA30" i="1"/>
  <c r="BA32" i="1" s="1"/>
  <c r="BA19" i="1"/>
  <c r="AZ365" i="1"/>
  <c r="AZ301" i="1"/>
  <c r="AZ361" i="1"/>
  <c r="AZ164" i="1"/>
  <c r="AZ166" i="1" s="1"/>
  <c r="BB86" i="1"/>
  <c r="BB26" i="1"/>
  <c r="BB12" i="1"/>
  <c r="AZ117" i="1"/>
  <c r="AZ113" i="1" s="1"/>
  <c r="AZ112" i="1" s="1"/>
  <c r="AZ23" i="1"/>
  <c r="BA116" i="1"/>
  <c r="BA16" i="1"/>
  <c r="AY303" i="1"/>
  <c r="AY277" i="1" s="1"/>
  <c r="AY316" i="1"/>
  <c r="AY356" i="1" s="1"/>
  <c r="AZ124" i="1"/>
  <c r="BC5" i="1"/>
  <c r="BC6" i="1"/>
  <c r="BD4" i="1"/>
  <c r="AZ70" i="1"/>
  <c r="AY276" i="1"/>
  <c r="AX279" i="1"/>
  <c r="AX319" i="1"/>
  <c r="BA111" i="1"/>
  <c r="BB358" i="1" l="1"/>
  <c r="BC353" i="1"/>
  <c r="AZ118" i="1"/>
  <c r="AZ126" i="1" s="1"/>
  <c r="BI63" i="1"/>
  <c r="BC86" i="1"/>
  <c r="BC12" i="1"/>
  <c r="BC26" i="1"/>
  <c r="AZ276" i="1"/>
  <c r="BA70" i="1"/>
  <c r="BD6" i="1"/>
  <c r="BD5" i="1"/>
  <c r="BE4" i="1"/>
  <c r="AY279" i="1"/>
  <c r="AY319" i="1"/>
  <c r="BA365" i="1"/>
  <c r="BA301" i="1"/>
  <c r="BA361" i="1"/>
  <c r="BA164" i="1"/>
  <c r="BA166" i="1" s="1"/>
  <c r="BB116" i="1"/>
  <c r="BB16" i="1"/>
  <c r="BA117" i="1"/>
  <c r="BA113" i="1" s="1"/>
  <c r="BA112" i="1" s="1"/>
  <c r="BA23" i="1"/>
  <c r="AY182" i="1"/>
  <c r="AY145" i="1"/>
  <c r="BB236" i="1"/>
  <c r="BB30" i="1"/>
  <c r="BB32" i="1" s="1"/>
  <c r="BB19" i="1"/>
  <c r="AZ242" i="1"/>
  <c r="AZ303" i="1"/>
  <c r="AZ277" i="1" s="1"/>
  <c r="AZ316" i="1"/>
  <c r="AZ356" i="1" s="1"/>
  <c r="BB111" i="1"/>
  <c r="AZ352" i="1"/>
  <c r="BA241" i="1"/>
  <c r="AX127" i="1"/>
  <c r="AY125" i="1"/>
  <c r="AY120" i="1"/>
  <c r="AY126" i="1"/>
  <c r="BB360" i="1"/>
  <c r="BA318" i="1"/>
  <c r="BA280" i="1" s="1"/>
  <c r="BA124" i="1"/>
  <c r="AY354" i="1"/>
  <c r="AZ167" i="1"/>
  <c r="AZ173" i="1"/>
  <c r="AZ120" i="1" l="1"/>
  <c r="AZ127" i="1" s="1"/>
  <c r="AZ125" i="1"/>
  <c r="BI64" i="1"/>
  <c r="BD353" i="1"/>
  <c r="BC358" i="1"/>
  <c r="BA118" i="1"/>
  <c r="BA120" i="1" s="1"/>
  <c r="AY127" i="1"/>
  <c r="BA242" i="1"/>
  <c r="BB117" i="1"/>
  <c r="BB113" i="1" s="1"/>
  <c r="BB112" i="1" s="1"/>
  <c r="BB23" i="1"/>
  <c r="BA167" i="1"/>
  <c r="BA173" i="1"/>
  <c r="BF4" i="1"/>
  <c r="BE6" i="1"/>
  <c r="BE5" i="1"/>
  <c r="BB70" i="1"/>
  <c r="BC236" i="1"/>
  <c r="BC19" i="1"/>
  <c r="BC30" i="1"/>
  <c r="BC32" i="1" s="1"/>
  <c r="AZ182" i="1"/>
  <c r="AZ145" i="1"/>
  <c r="BB241" i="1"/>
  <c r="BA303" i="1"/>
  <c r="BA277" i="1" s="1"/>
  <c r="BA316" i="1"/>
  <c r="BA356" i="1" s="1"/>
  <c r="BB365" i="1"/>
  <c r="BB301" i="1"/>
  <c r="BB361" i="1"/>
  <c r="BB164" i="1"/>
  <c r="BB166" i="1" s="1"/>
  <c r="BA276" i="1"/>
  <c r="BD86" i="1"/>
  <c r="BD26" i="1"/>
  <c r="BD12" i="1"/>
  <c r="BC116" i="1"/>
  <c r="BC16" i="1"/>
  <c r="AZ279" i="1"/>
  <c r="AZ319" i="1"/>
  <c r="BC360" i="1"/>
  <c r="BB318" i="1"/>
  <c r="BB280" i="1" s="1"/>
  <c r="AZ354" i="1"/>
  <c r="BB124" i="1"/>
  <c r="BA352" i="1"/>
  <c r="BC111" i="1"/>
  <c r="BA125" i="1" l="1"/>
  <c r="BD358" i="1"/>
  <c r="BE353" i="1"/>
  <c r="BI65" i="1"/>
  <c r="BA126" i="1"/>
  <c r="BB118" i="1"/>
  <c r="BB125" i="1" s="1"/>
  <c r="BA354" i="1"/>
  <c r="BD360" i="1"/>
  <c r="BC318" i="1"/>
  <c r="BC280" i="1" s="1"/>
  <c r="BD111" i="1"/>
  <c r="BB167" i="1"/>
  <c r="BB173" i="1"/>
  <c r="BC70" i="1"/>
  <c r="BF5" i="1"/>
  <c r="BF6" i="1"/>
  <c r="E434" i="1"/>
  <c r="E423" i="1"/>
  <c r="E305" i="1"/>
  <c r="E406" i="1"/>
  <c r="F421" i="1"/>
  <c r="E325" i="1"/>
  <c r="E405" i="1"/>
  <c r="E327" i="1"/>
  <c r="F379" i="1"/>
  <c r="F81" i="1"/>
  <c r="E304" i="1"/>
  <c r="E301" i="1"/>
  <c r="E417" i="1"/>
  <c r="F317" i="1"/>
  <c r="E326" i="1"/>
  <c r="F426" i="1"/>
  <c r="E315" i="1"/>
  <c r="E316" i="1"/>
  <c r="E403" i="1"/>
  <c r="F79" i="1"/>
  <c r="E386" i="1"/>
  <c r="E300" i="1"/>
  <c r="F407" i="1"/>
  <c r="F416" i="1"/>
  <c r="F300" i="1"/>
  <c r="E385" i="1"/>
  <c r="E317" i="1"/>
  <c r="F327" i="1"/>
  <c r="E81" i="1"/>
  <c r="F385" i="1"/>
  <c r="F414" i="1"/>
  <c r="F324" i="1"/>
  <c r="E79" i="1"/>
  <c r="E415" i="1"/>
  <c r="E321" i="1"/>
  <c r="E362" i="1" s="1"/>
  <c r="F412" i="1"/>
  <c r="E303" i="1"/>
  <c r="F415" i="1"/>
  <c r="F305" i="1"/>
  <c r="F316" i="1"/>
  <c r="F302" i="1"/>
  <c r="E426" i="1"/>
  <c r="G303" i="1"/>
  <c r="F318" i="1"/>
  <c r="E302" i="1"/>
  <c r="F403" i="1"/>
  <c r="F401" i="1"/>
  <c r="E401" i="1"/>
  <c r="G326" i="1"/>
  <c r="F402" i="1"/>
  <c r="F80" i="1"/>
  <c r="F422" i="1"/>
  <c r="G81" i="1"/>
  <c r="G401" i="1"/>
  <c r="F413" i="1"/>
  <c r="F325" i="1"/>
  <c r="F322" i="1"/>
  <c r="F326" i="1"/>
  <c r="F386" i="1"/>
  <c r="F418" i="1"/>
  <c r="F311" i="1"/>
  <c r="F425" i="1"/>
  <c r="G385" i="1"/>
  <c r="I422" i="1"/>
  <c r="F434" i="1"/>
  <c r="F417" i="1"/>
  <c r="G416" i="1"/>
  <c r="G418" i="1"/>
  <c r="F423" i="1"/>
  <c r="G315" i="1"/>
  <c r="G417" i="1"/>
  <c r="F405" i="1"/>
  <c r="F410" i="1"/>
  <c r="F320" i="1"/>
  <c r="F406" i="1"/>
  <c r="G410" i="1"/>
  <c r="G413" i="1"/>
  <c r="G302" i="1"/>
  <c r="F321" i="1"/>
  <c r="F310" i="1"/>
  <c r="G305" i="1"/>
  <c r="G423" i="1"/>
  <c r="F301" i="1"/>
  <c r="F303" i="1"/>
  <c r="F304" i="1"/>
  <c r="F308" i="1"/>
  <c r="F411" i="1"/>
  <c r="F315" i="1"/>
  <c r="G434" i="1"/>
  <c r="G311" i="1"/>
  <c r="G412" i="1"/>
  <c r="G308" i="1"/>
  <c r="G426" i="1"/>
  <c r="I416" i="1"/>
  <c r="F309" i="1"/>
  <c r="G307" i="1"/>
  <c r="F307" i="1"/>
  <c r="G422" i="1"/>
  <c r="I415" i="1"/>
  <c r="H406" i="1"/>
  <c r="H301" i="1"/>
  <c r="H385" i="1"/>
  <c r="I310" i="1"/>
  <c r="H308" i="1"/>
  <c r="I317" i="1"/>
  <c r="H413" i="1"/>
  <c r="I379" i="1"/>
  <c r="I79" i="1"/>
  <c r="H300" i="1"/>
  <c r="I305" i="1"/>
  <c r="H423" i="1"/>
  <c r="H326" i="1"/>
  <c r="H418" i="1"/>
  <c r="I425" i="1"/>
  <c r="G379" i="1"/>
  <c r="G318" i="1"/>
  <c r="H379" i="1"/>
  <c r="I81" i="1"/>
  <c r="G403" i="1"/>
  <c r="G405" i="1"/>
  <c r="I324" i="1"/>
  <c r="I320" i="1"/>
  <c r="I308" i="1"/>
  <c r="G414" i="1"/>
  <c r="I411" i="1"/>
  <c r="G406" i="1"/>
  <c r="G301" i="1"/>
  <c r="G80" i="1"/>
  <c r="H410" i="1"/>
  <c r="H434" i="1"/>
  <c r="I402" i="1"/>
  <c r="I386" i="1"/>
  <c r="H318" i="1"/>
  <c r="H81" i="1"/>
  <c r="I434" i="1"/>
  <c r="I426" i="1"/>
  <c r="H309" i="1"/>
  <c r="G386" i="1"/>
  <c r="I403" i="1"/>
  <c r="J401" i="1"/>
  <c r="I418" i="1"/>
  <c r="H320" i="1"/>
  <c r="G325" i="1"/>
  <c r="G321" i="1"/>
  <c r="G407" i="1"/>
  <c r="G304" i="1"/>
  <c r="G320" i="1"/>
  <c r="G322" i="1"/>
  <c r="H414" i="1"/>
  <c r="H416" i="1"/>
  <c r="H316" i="1"/>
  <c r="H321" i="1"/>
  <c r="I309" i="1"/>
  <c r="H302" i="1"/>
  <c r="H307" i="1"/>
  <c r="I423" i="1"/>
  <c r="H79" i="1"/>
  <c r="H322" i="1"/>
  <c r="I321" i="1"/>
  <c r="G327" i="1"/>
  <c r="G317" i="1"/>
  <c r="I326" i="1"/>
  <c r="G402" i="1"/>
  <c r="I80" i="1"/>
  <c r="H324" i="1"/>
  <c r="G309" i="1"/>
  <c r="I385" i="1"/>
  <c r="H407" i="1"/>
  <c r="G310" i="1"/>
  <c r="I421" i="1"/>
  <c r="J326" i="1"/>
  <c r="I401" i="1"/>
  <c r="I316" i="1"/>
  <c r="I410" i="1"/>
  <c r="H327" i="1"/>
  <c r="H415" i="1"/>
  <c r="I414" i="1"/>
  <c r="I405" i="1"/>
  <c r="H426" i="1"/>
  <c r="H80" i="1"/>
  <c r="J414" i="1"/>
  <c r="H325" i="1"/>
  <c r="I304" i="1"/>
  <c r="H412" i="1"/>
  <c r="H303" i="1"/>
  <c r="G324" i="1"/>
  <c r="G425" i="1"/>
  <c r="H417" i="1"/>
  <c r="G415" i="1"/>
  <c r="H421" i="1"/>
  <c r="H311" i="1"/>
  <c r="G316" i="1"/>
  <c r="G300" i="1"/>
  <c r="I413" i="1"/>
  <c r="G79" i="1"/>
  <c r="I303" i="1"/>
  <c r="G421" i="1"/>
  <c r="H310" i="1"/>
  <c r="G411" i="1"/>
  <c r="H386" i="1"/>
  <c r="H422" i="1"/>
  <c r="I318" i="1"/>
  <c r="H315" i="1"/>
  <c r="H425" i="1"/>
  <c r="H317" i="1"/>
  <c r="H405" i="1"/>
  <c r="H305" i="1"/>
  <c r="M434" i="1"/>
  <c r="J307" i="1"/>
  <c r="I315" i="1"/>
  <c r="I406" i="1"/>
  <c r="I327" i="1"/>
  <c r="J416" i="1"/>
  <c r="J423" i="1"/>
  <c r="J322" i="1"/>
  <c r="J324" i="1"/>
  <c r="J417" i="1"/>
  <c r="I407" i="1"/>
  <c r="H411" i="1"/>
  <c r="H304" i="1"/>
  <c r="J386" i="1"/>
  <c r="J311" i="1"/>
  <c r="J309" i="1"/>
  <c r="J302" i="1"/>
  <c r="J421" i="1"/>
  <c r="I325" i="1"/>
  <c r="I417" i="1"/>
  <c r="I300" i="1"/>
  <c r="I322" i="1"/>
  <c r="H403" i="1"/>
  <c r="J325" i="1"/>
  <c r="J301" i="1"/>
  <c r="I311" i="1"/>
  <c r="I301" i="1"/>
  <c r="I302" i="1"/>
  <c r="I412" i="1"/>
  <c r="H401" i="1"/>
  <c r="H402" i="1"/>
  <c r="I307" i="1"/>
  <c r="J406" i="1"/>
  <c r="L315" i="1"/>
  <c r="K304" i="1"/>
  <c r="J300" i="1"/>
  <c r="L305" i="1"/>
  <c r="J413" i="1"/>
  <c r="L311" i="1"/>
  <c r="K434" i="1"/>
  <c r="J412" i="1"/>
  <c r="J320" i="1"/>
  <c r="J422" i="1"/>
  <c r="J407" i="1"/>
  <c r="J418" i="1"/>
  <c r="J321" i="1"/>
  <c r="J310" i="1"/>
  <c r="J411" i="1"/>
  <c r="K322" i="1"/>
  <c r="J316" i="1"/>
  <c r="J317" i="1"/>
  <c r="J410" i="1"/>
  <c r="J402" i="1"/>
  <c r="J426" i="1"/>
  <c r="J327" i="1"/>
  <c r="J385" i="1"/>
  <c r="J415" i="1"/>
  <c r="J318" i="1"/>
  <c r="J308" i="1"/>
  <c r="K421" i="1"/>
  <c r="J434" i="1"/>
  <c r="J379" i="1"/>
  <c r="K425" i="1"/>
  <c r="J304" i="1"/>
  <c r="J405" i="1"/>
  <c r="M317" i="1"/>
  <c r="L410" i="1"/>
  <c r="J305" i="1"/>
  <c r="K379" i="1"/>
  <c r="L412" i="1"/>
  <c r="M411" i="1"/>
  <c r="M304" i="1"/>
  <c r="J403" i="1"/>
  <c r="K412" i="1"/>
  <c r="K414" i="1"/>
  <c r="L302" i="1"/>
  <c r="K79" i="1"/>
  <c r="L379" i="1"/>
  <c r="K402" i="1"/>
  <c r="L413" i="1"/>
  <c r="L326" i="1"/>
  <c r="J303" i="1"/>
  <c r="K326" i="1"/>
  <c r="L425" i="1"/>
  <c r="K311" i="1"/>
  <c r="L310" i="1"/>
  <c r="L327" i="1"/>
  <c r="L322" i="1"/>
  <c r="J79" i="1"/>
  <c r="K316" i="1"/>
  <c r="M310" i="1"/>
  <c r="L434" i="1"/>
  <c r="K324" i="1"/>
  <c r="K417" i="1"/>
  <c r="K411" i="1"/>
  <c r="M79" i="1"/>
  <c r="L324" i="1"/>
  <c r="K301" i="1"/>
  <c r="K406" i="1"/>
  <c r="K305" i="1"/>
  <c r="K315" i="1"/>
  <c r="L79" i="1"/>
  <c r="L317" i="1"/>
  <c r="L318" i="1"/>
  <c r="K327" i="1"/>
  <c r="L406" i="1"/>
  <c r="M326" i="1"/>
  <c r="L417" i="1"/>
  <c r="L411" i="1"/>
  <c r="K318" i="1"/>
  <c r="K413" i="1"/>
  <c r="K410" i="1"/>
  <c r="M412" i="1"/>
  <c r="K302" i="1"/>
  <c r="L304" i="1"/>
  <c r="L402" i="1"/>
  <c r="L301" i="1"/>
  <c r="L414" i="1"/>
  <c r="L421" i="1"/>
  <c r="K303" i="1"/>
  <c r="M305" i="1"/>
  <c r="M315" i="1"/>
  <c r="K310" i="1"/>
  <c r="K317" i="1"/>
  <c r="M410" i="1"/>
  <c r="M402" i="1"/>
  <c r="M327" i="1"/>
  <c r="M425" i="1"/>
  <c r="M417" i="1"/>
  <c r="M322" i="1"/>
  <c r="M324" i="1"/>
  <c r="M302" i="1"/>
  <c r="M414" i="1"/>
  <c r="M421" i="1"/>
  <c r="M413" i="1"/>
  <c r="M311" i="1"/>
  <c r="M379" i="1"/>
  <c r="M406" i="1"/>
  <c r="BC117" i="1"/>
  <c r="BC113" i="1" s="1"/>
  <c r="BC112" i="1" s="1"/>
  <c r="BC23" i="1"/>
  <c r="BA145" i="1"/>
  <c r="BA182" i="1"/>
  <c r="BC365" i="1"/>
  <c r="BC301" i="1"/>
  <c r="BC361" i="1"/>
  <c r="BC164" i="1"/>
  <c r="BC166" i="1" s="1"/>
  <c r="BD116" i="1"/>
  <c r="BD16" i="1"/>
  <c r="BB276" i="1"/>
  <c r="BA279" i="1"/>
  <c r="BA319" i="1"/>
  <c r="BB242" i="1"/>
  <c r="BC241" i="1"/>
  <c r="BB120" i="1"/>
  <c r="BC124" i="1"/>
  <c r="BD236" i="1"/>
  <c r="BD19" i="1"/>
  <c r="BD30" i="1"/>
  <c r="BD32" i="1" s="1"/>
  <c r="BB352" i="1"/>
  <c r="BA127" i="1"/>
  <c r="BE86" i="1"/>
  <c r="BE26" i="1"/>
  <c r="BE12" i="1"/>
  <c r="BB303" i="1"/>
  <c r="BB277" i="1" s="1"/>
  <c r="BB316" i="1"/>
  <c r="BB356" i="1" s="1"/>
  <c r="BB126" i="1" l="1"/>
  <c r="BE358" i="1"/>
  <c r="BF353" i="1"/>
  <c r="BF358" i="1" s="1"/>
  <c r="BI66" i="1"/>
  <c r="J362" i="1"/>
  <c r="H362" i="1"/>
  <c r="G362" i="1"/>
  <c r="BC118" i="1"/>
  <c r="BC125" i="1" s="1"/>
  <c r="BB354" i="1"/>
  <c r="BD70" i="1"/>
  <c r="BC242" i="1"/>
  <c r="BD117" i="1"/>
  <c r="BD113" i="1" s="1"/>
  <c r="BD112" i="1" s="1"/>
  <c r="BD23" i="1"/>
  <c r="BB127" i="1"/>
  <c r="BD124" i="1"/>
  <c r="BD118" i="1"/>
  <c r="BB279" i="1"/>
  <c r="BB319" i="1"/>
  <c r="BE116" i="1"/>
  <c r="BE16" i="1"/>
  <c r="BD241" i="1"/>
  <c r="BC167" i="1"/>
  <c r="BC173" i="1"/>
  <c r="L303" i="1"/>
  <c r="J306" i="1"/>
  <c r="J2" i="1"/>
  <c r="J389" i="1"/>
  <c r="I306" i="1"/>
  <c r="I2" i="1"/>
  <c r="G306" i="1"/>
  <c r="G2" i="1"/>
  <c r="H328" i="1"/>
  <c r="H390" i="1" s="1"/>
  <c r="I328" i="1"/>
  <c r="I390" i="1" s="1"/>
  <c r="H306" i="1"/>
  <c r="H2" i="1"/>
  <c r="H389" i="1"/>
  <c r="E306" i="1"/>
  <c r="E2" i="1"/>
  <c r="E328" i="1"/>
  <c r="E390" i="1" s="1"/>
  <c r="BE236" i="1"/>
  <c r="BE30" i="1"/>
  <c r="BE32" i="1" s="1"/>
  <c r="BE19" i="1"/>
  <c r="K319" i="1"/>
  <c r="L316" i="1"/>
  <c r="J328" i="1"/>
  <c r="F334" i="1"/>
  <c r="F319" i="1"/>
  <c r="F323" i="1" s="1"/>
  <c r="F306" i="1"/>
  <c r="F2" i="1"/>
  <c r="E319" i="1"/>
  <c r="E323" i="1" s="1"/>
  <c r="E334" i="1"/>
  <c r="BC276" i="1"/>
  <c r="I389" i="1"/>
  <c r="H334" i="1"/>
  <c r="H319" i="1"/>
  <c r="H323" i="1" s="1"/>
  <c r="I362" i="1"/>
  <c r="G389" i="1"/>
  <c r="F389" i="1"/>
  <c r="F362" i="1"/>
  <c r="F328" i="1"/>
  <c r="F390" i="1" s="1"/>
  <c r="E389" i="1"/>
  <c r="BF86" i="1"/>
  <c r="BF12" i="1"/>
  <c r="BF26" i="1"/>
  <c r="M26" i="1" s="1"/>
  <c r="BE111" i="1"/>
  <c r="BC126" i="1"/>
  <c r="BD365" i="1"/>
  <c r="BD301" i="1"/>
  <c r="BD352" i="1" s="1"/>
  <c r="BD361" i="1"/>
  <c r="BD164" i="1"/>
  <c r="BD166" i="1" s="1"/>
  <c r="BC352" i="1"/>
  <c r="BC303" i="1"/>
  <c r="BC277" i="1" s="1"/>
  <c r="BC316" i="1"/>
  <c r="I319" i="1"/>
  <c r="I323" i="1" s="1"/>
  <c r="I334" i="1"/>
  <c r="G328" i="1"/>
  <c r="G390" i="1" s="1"/>
  <c r="G334" i="1"/>
  <c r="G319" i="1"/>
  <c r="G323" i="1" s="1"/>
  <c r="C15" i="1"/>
  <c r="E293" i="1"/>
  <c r="C90" i="1"/>
  <c r="C12" i="1"/>
  <c r="C120" i="1"/>
  <c r="C429" i="1"/>
  <c r="D15" i="1"/>
  <c r="D378" i="1"/>
  <c r="D28" i="1"/>
  <c r="C22" i="1"/>
  <c r="C378" i="1"/>
  <c r="D244" i="1"/>
  <c r="E113" i="1"/>
  <c r="D14" i="1"/>
  <c r="D208" i="1"/>
  <c r="C118" i="1"/>
  <c r="C291" i="1"/>
  <c r="D44" i="1"/>
  <c r="D289" i="1"/>
  <c r="D287" i="1"/>
  <c r="C228" i="1"/>
  <c r="D203" i="1"/>
  <c r="D52" i="1"/>
  <c r="E116" i="1"/>
  <c r="C33" i="1"/>
  <c r="D435" i="1"/>
  <c r="C292" i="1"/>
  <c r="D232" i="1"/>
  <c r="D240" i="1" s="1"/>
  <c r="C131" i="1"/>
  <c r="D12" i="1"/>
  <c r="D429" i="1"/>
  <c r="D224" i="1"/>
  <c r="C153" i="1"/>
  <c r="E98" i="1"/>
  <c r="C232" i="1"/>
  <c r="C240" i="1" s="1"/>
  <c r="D112" i="1"/>
  <c r="C430" i="1"/>
  <c r="C150" i="1"/>
  <c r="C19" i="1"/>
  <c r="C293" i="1"/>
  <c r="C278" i="1"/>
  <c r="D292" i="1"/>
  <c r="D271" i="1"/>
  <c r="D366" i="1" s="1"/>
  <c r="C245" i="1"/>
  <c r="C88" i="1"/>
  <c r="D221" i="1"/>
  <c r="E290" i="1"/>
  <c r="D31" i="1"/>
  <c r="D360" i="1" s="1"/>
  <c r="C223" i="1"/>
  <c r="D204" i="1"/>
  <c r="D261" i="1"/>
  <c r="E117" i="1"/>
  <c r="D209" i="1"/>
  <c r="C86" i="1"/>
  <c r="C85" i="1" s="1"/>
  <c r="D29" i="1"/>
  <c r="D245" i="1"/>
  <c r="D222" i="1"/>
  <c r="D165" i="1" s="1"/>
  <c r="D53" i="1"/>
  <c r="D263" i="1"/>
  <c r="C290" i="1"/>
  <c r="C289" i="1"/>
  <c r="E207" i="1"/>
  <c r="D173" i="1"/>
  <c r="C207" i="1"/>
  <c r="E287" i="1"/>
  <c r="D279" i="1"/>
  <c r="D19" i="1"/>
  <c r="D294" i="1"/>
  <c r="E12" i="1"/>
  <c r="D229" i="1"/>
  <c r="D88" i="1"/>
  <c r="E28" i="1"/>
  <c r="C46" i="1"/>
  <c r="D118" i="1"/>
  <c r="C28" i="1"/>
  <c r="C97" i="1"/>
  <c r="D282" i="1"/>
  <c r="C40" i="1"/>
  <c r="D133" i="1"/>
  <c r="C261" i="1"/>
  <c r="C27" i="1"/>
  <c r="D231" i="1"/>
  <c r="D134" i="1"/>
  <c r="D169" i="1"/>
  <c r="C36" i="1"/>
  <c r="C73" i="1" s="1"/>
  <c r="D131" i="1"/>
  <c r="C246" i="1"/>
  <c r="D170" i="1"/>
  <c r="C109" i="1"/>
  <c r="D280" i="1"/>
  <c r="D293" i="1"/>
  <c r="E47" i="1"/>
  <c r="C155" i="1"/>
  <c r="E36" i="1"/>
  <c r="E73" i="1" s="1"/>
  <c r="E248" i="1"/>
  <c r="E122" i="1"/>
  <c r="E128" i="1" s="1"/>
  <c r="E37" i="1"/>
  <c r="D230" i="1"/>
  <c r="C152" i="1"/>
  <c r="E46" i="1"/>
  <c r="C45" i="1"/>
  <c r="D137" i="1"/>
  <c r="D33" i="1"/>
  <c r="D71" i="1" s="1"/>
  <c r="D36" i="1"/>
  <c r="D73" i="1" s="1"/>
  <c r="D111" i="1"/>
  <c r="C26" i="1"/>
  <c r="E294" i="1"/>
  <c r="C287" i="1"/>
  <c r="D109" i="1"/>
  <c r="C286" i="1"/>
  <c r="D153" i="1"/>
  <c r="C37" i="1"/>
  <c r="D377" i="1"/>
  <c r="D21" i="1"/>
  <c r="E109" i="1"/>
  <c r="C47" i="1"/>
  <c r="E280" i="1"/>
  <c r="E203" i="1"/>
  <c r="E211" i="1" s="1"/>
  <c r="C171" i="1"/>
  <c r="C229" i="1"/>
  <c r="C169" i="1"/>
  <c r="D132" i="1"/>
  <c r="C244" i="1"/>
  <c r="D288" i="1"/>
  <c r="C221" i="1"/>
  <c r="D122" i="1"/>
  <c r="E149" i="1"/>
  <c r="C14" i="1"/>
  <c r="C44" i="1"/>
  <c r="D34" i="1"/>
  <c r="D97" i="1"/>
  <c r="C219" i="1"/>
  <c r="E378" i="1"/>
  <c r="E173" i="1"/>
  <c r="E286" i="1"/>
  <c r="E45" i="1"/>
  <c r="D155" i="1"/>
  <c r="D43" i="1"/>
  <c r="D260" i="1"/>
  <c r="D262" i="1"/>
  <c r="C231" i="1"/>
  <c r="C133" i="1"/>
  <c r="C206" i="1"/>
  <c r="D22" i="1"/>
  <c r="D120" i="1"/>
  <c r="E245" i="1"/>
  <c r="E209" i="1"/>
  <c r="E436" i="1"/>
  <c r="C132" i="1"/>
  <c r="C83" i="1"/>
  <c r="C205" i="1"/>
  <c r="C224" i="1"/>
  <c r="D26" i="1"/>
  <c r="D264" i="1"/>
  <c r="C248" i="1"/>
  <c r="D248" i="1"/>
  <c r="C220" i="1"/>
  <c r="D276" i="1"/>
  <c r="C262" i="1"/>
  <c r="E170" i="1"/>
  <c r="E118" i="1"/>
  <c r="C38" i="1"/>
  <c r="D83" i="1"/>
  <c r="E22" i="1"/>
  <c r="E270" i="1"/>
  <c r="C29" i="1"/>
  <c r="C247" i="1"/>
  <c r="C111" i="1"/>
  <c r="C117" i="1"/>
  <c r="D277" i="1"/>
  <c r="D220" i="1"/>
  <c r="D150" i="1"/>
  <c r="E274" i="1"/>
  <c r="C230" i="1"/>
  <c r="C20" i="1"/>
  <c r="E260" i="1"/>
  <c r="C53" i="1"/>
  <c r="C154" i="1"/>
  <c r="D430" i="1"/>
  <c r="D286" i="1"/>
  <c r="D90" i="1"/>
  <c r="C272" i="1"/>
  <c r="C263" i="1"/>
  <c r="D278" i="1"/>
  <c r="D38" i="1"/>
  <c r="D171" i="1"/>
  <c r="E377" i="1"/>
  <c r="C377" i="1"/>
  <c r="C288" i="1"/>
  <c r="D154" i="1"/>
  <c r="D119" i="1"/>
  <c r="C176" i="1"/>
  <c r="C34" i="1"/>
  <c r="D228" i="1"/>
  <c r="D233" i="1" s="1"/>
  <c r="D117" i="1"/>
  <c r="D246" i="1"/>
  <c r="C280" i="1"/>
  <c r="C99" i="1"/>
  <c r="E230" i="1"/>
  <c r="E43" i="1"/>
  <c r="E263" i="1"/>
  <c r="E244" i="1"/>
  <c r="C43" i="1"/>
  <c r="D40" i="1"/>
  <c r="E29" i="1"/>
  <c r="D218" i="1"/>
  <c r="C203" i="1"/>
  <c r="E112" i="1"/>
  <c r="D116" i="1"/>
  <c r="C277" i="1"/>
  <c r="E133" i="1"/>
  <c r="E247" i="1"/>
  <c r="E228" i="1"/>
  <c r="E204" i="1"/>
  <c r="E271" i="1"/>
  <c r="E366" i="1" s="1"/>
  <c r="D45" i="1"/>
  <c r="E111" i="1"/>
  <c r="D37" i="1"/>
  <c r="D176" i="1"/>
  <c r="D247" i="1"/>
  <c r="C436" i="1"/>
  <c r="D46" i="1"/>
  <c r="C52" i="1"/>
  <c r="C116" i="1"/>
  <c r="D291" i="1"/>
  <c r="E119" i="1"/>
  <c r="D219" i="1"/>
  <c r="D13" i="1"/>
  <c r="D151" i="1"/>
  <c r="C218" i="1"/>
  <c r="C276" i="1"/>
  <c r="C98" i="1"/>
  <c r="E53" i="1"/>
  <c r="D272" i="1"/>
  <c r="D223" i="1"/>
  <c r="C435" i="1"/>
  <c r="D113" i="1"/>
  <c r="E100" i="1"/>
  <c r="C209" i="1"/>
  <c r="C215" i="1" s="1"/>
  <c r="E223" i="1"/>
  <c r="E206" i="1"/>
  <c r="E38" i="1"/>
  <c r="C273" i="1"/>
  <c r="D27" i="1"/>
  <c r="D20" i="1"/>
  <c r="D121" i="1"/>
  <c r="E276" i="1"/>
  <c r="C119" i="1"/>
  <c r="C282" i="1"/>
  <c r="C204" i="1"/>
  <c r="C113" i="1"/>
  <c r="E88" i="1"/>
  <c r="E120" i="1"/>
  <c r="D98" i="1"/>
  <c r="D290" i="1"/>
  <c r="E219" i="1"/>
  <c r="D207" i="1"/>
  <c r="C134" i="1"/>
  <c r="D205" i="1"/>
  <c r="C170" i="1"/>
  <c r="C294" i="1"/>
  <c r="C13" i="1"/>
  <c r="C279" i="1"/>
  <c r="D436" i="1"/>
  <c r="E33" i="1"/>
  <c r="E71" i="1" s="1"/>
  <c r="D206" i="1"/>
  <c r="C271" i="1"/>
  <c r="C366" i="1" s="1"/>
  <c r="E289" i="1"/>
  <c r="D86" i="1"/>
  <c r="D85" i="1" s="1"/>
  <c r="E229" i="1"/>
  <c r="D273" i="1"/>
  <c r="D149" i="1"/>
  <c r="E279" i="1"/>
  <c r="D152" i="1"/>
  <c r="E278" i="1"/>
  <c r="E151" i="1"/>
  <c r="E277" i="1"/>
  <c r="C151" i="1"/>
  <c r="C112" i="1"/>
  <c r="C149" i="1"/>
  <c r="E430" i="1"/>
  <c r="C260" i="1"/>
  <c r="C208" i="1"/>
  <c r="C222" i="1"/>
  <c r="C165" i="1" s="1"/>
  <c r="E264" i="1"/>
  <c r="E52" i="1"/>
  <c r="C264" i="1"/>
  <c r="D47" i="1"/>
  <c r="C31" i="1"/>
  <c r="C360" i="1" s="1"/>
  <c r="C121" i="1"/>
  <c r="C21" i="1"/>
  <c r="E34" i="1"/>
  <c r="H86" i="1"/>
  <c r="H85" i="1" s="1"/>
  <c r="E221" i="1"/>
  <c r="E261" i="1"/>
  <c r="F119" i="1"/>
  <c r="F207" i="1"/>
  <c r="F40" i="1"/>
  <c r="F121" i="1"/>
  <c r="F46" i="1"/>
  <c r="E218" i="1"/>
  <c r="E132" i="1"/>
  <c r="E131" i="1"/>
  <c r="E155" i="1"/>
  <c r="E20" i="1"/>
  <c r="E292" i="1"/>
  <c r="E291" i="1"/>
  <c r="E152" i="1"/>
  <c r="F224" i="1"/>
  <c r="F262" i="1"/>
  <c r="E26" i="1"/>
  <c r="F290" i="1"/>
  <c r="F155" i="1"/>
  <c r="F37" i="1"/>
  <c r="F274" i="1"/>
  <c r="F205" i="1"/>
  <c r="F292" i="1"/>
  <c r="E31" i="1"/>
  <c r="E360" i="1" s="1"/>
  <c r="E121" i="1"/>
  <c r="E224" i="1"/>
  <c r="C173" i="1"/>
  <c r="E19" i="1"/>
  <c r="F271" i="1"/>
  <c r="F366" i="1" s="1"/>
  <c r="F374" i="1" s="1"/>
  <c r="F44" i="1"/>
  <c r="F31" i="1"/>
  <c r="F360" i="1" s="1"/>
  <c r="F231" i="1"/>
  <c r="F282" i="1"/>
  <c r="D270" i="1"/>
  <c r="E150" i="1"/>
  <c r="E13" i="1"/>
  <c r="E62" i="1" s="1"/>
  <c r="E273" i="1"/>
  <c r="C84" i="1"/>
  <c r="C94" i="1" s="1"/>
  <c r="E154" i="1"/>
  <c r="E137" i="1"/>
  <c r="E27" i="1"/>
  <c r="E232" i="1"/>
  <c r="E240" i="1" s="1"/>
  <c r="E21" i="1"/>
  <c r="C122" i="1"/>
  <c r="E435" i="1"/>
  <c r="E205" i="1"/>
  <c r="E44" i="1"/>
  <c r="E153" i="1"/>
  <c r="D274" i="1"/>
  <c r="G436" i="1"/>
  <c r="H46" i="1"/>
  <c r="E83" i="1"/>
  <c r="F12" i="1"/>
  <c r="E262" i="1"/>
  <c r="F153" i="1"/>
  <c r="F221" i="1"/>
  <c r="E231" i="1"/>
  <c r="F218" i="1"/>
  <c r="F222" i="1"/>
  <c r="F165" i="1" s="1"/>
  <c r="F28" i="1"/>
  <c r="F209" i="1"/>
  <c r="F112" i="1"/>
  <c r="F116" i="1"/>
  <c r="F378" i="1"/>
  <c r="F247" i="1"/>
  <c r="F229" i="1"/>
  <c r="E97" i="1"/>
  <c r="E176" i="1"/>
  <c r="E86" i="1"/>
  <c r="E85" i="1" s="1"/>
  <c r="F173" i="1"/>
  <c r="H37" i="1"/>
  <c r="H221" i="1"/>
  <c r="G291" i="1"/>
  <c r="F29" i="1"/>
  <c r="F22" i="1"/>
  <c r="F206" i="1"/>
  <c r="F264" i="1"/>
  <c r="F131" i="1"/>
  <c r="F84" i="1"/>
  <c r="F94" i="1" s="1"/>
  <c r="G204" i="1"/>
  <c r="H131" i="1"/>
  <c r="G99" i="1"/>
  <c r="E14" i="1"/>
  <c r="F280" i="1"/>
  <c r="E288" i="1"/>
  <c r="F435" i="1"/>
  <c r="F263" i="1"/>
  <c r="F113" i="1"/>
  <c r="F286" i="1"/>
  <c r="E220" i="1"/>
  <c r="F149" i="1"/>
  <c r="F88" i="1"/>
  <c r="F272" i="1"/>
  <c r="F270" i="1"/>
  <c r="F15" i="1"/>
  <c r="F97" i="1"/>
  <c r="F204" i="1"/>
  <c r="E282" i="1"/>
  <c r="F169" i="1"/>
  <c r="F38" i="1"/>
  <c r="F98" i="1"/>
  <c r="E246" i="1"/>
  <c r="F19" i="1"/>
  <c r="F377" i="1"/>
  <c r="F152" i="1"/>
  <c r="H263" i="1"/>
  <c r="H43" i="1"/>
  <c r="E222" i="1"/>
  <c r="E165" i="1" s="1"/>
  <c r="F137" i="1"/>
  <c r="F21" i="1"/>
  <c r="F244" i="1"/>
  <c r="F109" i="1"/>
  <c r="F261" i="1"/>
  <c r="H246" i="1"/>
  <c r="H84" i="1"/>
  <c r="H94" i="1" s="1"/>
  <c r="G133" i="1"/>
  <c r="F90" i="1"/>
  <c r="F111" i="1"/>
  <c r="E169" i="1"/>
  <c r="E171" i="1"/>
  <c r="E208" i="1"/>
  <c r="F277" i="1"/>
  <c r="E134" i="1"/>
  <c r="E429" i="1"/>
  <c r="F278" i="1"/>
  <c r="F83" i="1"/>
  <c r="E90" i="1"/>
  <c r="F36" i="1"/>
  <c r="F260" i="1"/>
  <c r="F429" i="1"/>
  <c r="E15" i="1"/>
  <c r="E272" i="1"/>
  <c r="G262" i="1"/>
  <c r="H206" i="1"/>
  <c r="H277" i="1"/>
  <c r="F133" i="1"/>
  <c r="F279" i="1"/>
  <c r="F151" i="1"/>
  <c r="F34" i="1"/>
  <c r="F117" i="1"/>
  <c r="E40" i="1"/>
  <c r="F289" i="1"/>
  <c r="F122" i="1"/>
  <c r="F128" i="1" s="1"/>
  <c r="G173" i="1"/>
  <c r="H207" i="1"/>
  <c r="I29" i="1"/>
  <c r="I20" i="1"/>
  <c r="I12" i="1"/>
  <c r="H278" i="1"/>
  <c r="F248" i="1"/>
  <c r="H150" i="1"/>
  <c r="F276" i="1"/>
  <c r="F33" i="1"/>
  <c r="F71" i="1" s="1"/>
  <c r="F223" i="1"/>
  <c r="F100" i="1"/>
  <c r="F273" i="1"/>
  <c r="F132" i="1"/>
  <c r="F203" i="1"/>
  <c r="F43" i="1"/>
  <c r="F287" i="1"/>
  <c r="F45" i="1"/>
  <c r="H109" i="1"/>
  <c r="F245" i="1"/>
  <c r="F150" i="1"/>
  <c r="F118" i="1"/>
  <c r="I97" i="1"/>
  <c r="I98" i="1"/>
  <c r="I220" i="1"/>
  <c r="H111" i="1"/>
  <c r="F176" i="1"/>
  <c r="F99" i="1"/>
  <c r="F171" i="1"/>
  <c r="F52" i="1"/>
  <c r="F20" i="1"/>
  <c r="F288" i="1"/>
  <c r="F436" i="1"/>
  <c r="F230" i="1"/>
  <c r="F170" i="1"/>
  <c r="F430" i="1"/>
  <c r="F220" i="1"/>
  <c r="F14" i="1"/>
  <c r="F53" i="1"/>
  <c r="F86" i="1"/>
  <c r="F85" i="1" s="1"/>
  <c r="F232" i="1"/>
  <c r="F240" i="1" s="1"/>
  <c r="F293" i="1"/>
  <c r="F219" i="1"/>
  <c r="F134" i="1"/>
  <c r="I14" i="1"/>
  <c r="F246" i="1"/>
  <c r="F154" i="1"/>
  <c r="F294" i="1"/>
  <c r="F13" i="1"/>
  <c r="F62" i="1" s="1"/>
  <c r="F26" i="1"/>
  <c r="F228" i="1"/>
  <c r="F291" i="1"/>
  <c r="F120" i="1"/>
  <c r="I274" i="1"/>
  <c r="I117" i="1"/>
  <c r="F27" i="1"/>
  <c r="F208" i="1"/>
  <c r="H377" i="1"/>
  <c r="F47" i="1"/>
  <c r="I153" i="1"/>
  <c r="G435" i="1"/>
  <c r="G120" i="1"/>
  <c r="H12" i="1"/>
  <c r="H288" i="1"/>
  <c r="G279" i="1"/>
  <c r="G292" i="1"/>
  <c r="G218" i="1"/>
  <c r="G260" i="1"/>
  <c r="G208" i="1"/>
  <c r="G228" i="1"/>
  <c r="G170" i="1"/>
  <c r="G222" i="1"/>
  <c r="G165" i="1" s="1"/>
  <c r="G246" i="1"/>
  <c r="G36" i="1"/>
  <c r="G286" i="1"/>
  <c r="G112" i="1"/>
  <c r="G429" i="1"/>
  <c r="G40" i="1"/>
  <c r="H122" i="1"/>
  <c r="G207" i="1"/>
  <c r="G134" i="1"/>
  <c r="G20" i="1"/>
  <c r="G83" i="1"/>
  <c r="H170" i="1"/>
  <c r="G278" i="1"/>
  <c r="G219" i="1"/>
  <c r="H38" i="1"/>
  <c r="H28" i="1"/>
  <c r="G37" i="1"/>
  <c r="H137" i="1"/>
  <c r="H15" i="1"/>
  <c r="G290" i="1"/>
  <c r="G109" i="1"/>
  <c r="H276" i="1"/>
  <c r="H219" i="1"/>
  <c r="H133" i="1"/>
  <c r="H223" i="1"/>
  <c r="G116" i="1"/>
  <c r="G90" i="1"/>
  <c r="G43" i="1"/>
  <c r="G122" i="1"/>
  <c r="G270" i="1"/>
  <c r="H272" i="1"/>
  <c r="G119" i="1"/>
  <c r="G273" i="1"/>
  <c r="G209" i="1"/>
  <c r="H34" i="1"/>
  <c r="G34" i="1"/>
  <c r="H40" i="1"/>
  <c r="H21" i="1"/>
  <c r="H204" i="1"/>
  <c r="H100" i="1"/>
  <c r="G282" i="1"/>
  <c r="I260" i="1"/>
  <c r="H36" i="1"/>
  <c r="H31" i="1"/>
  <c r="H360" i="1" s="1"/>
  <c r="G154" i="1"/>
  <c r="H19" i="1"/>
  <c r="G289" i="1"/>
  <c r="G288" i="1"/>
  <c r="G203" i="1"/>
  <c r="G211" i="1" s="1"/>
  <c r="G224" i="1"/>
  <c r="H102" i="1"/>
  <c r="G100" i="1"/>
  <c r="H270" i="1"/>
  <c r="H97" i="1"/>
  <c r="H29" i="1"/>
  <c r="G27" i="1"/>
  <c r="H44" i="1"/>
  <c r="G46" i="1"/>
  <c r="H220" i="1"/>
  <c r="G29" i="1"/>
  <c r="G84" i="1"/>
  <c r="G94" i="1" s="1"/>
  <c r="H155" i="1"/>
  <c r="G12" i="1"/>
  <c r="G152" i="1"/>
  <c r="G430" i="1"/>
  <c r="H273" i="1"/>
  <c r="G98" i="1"/>
  <c r="G169" i="1"/>
  <c r="G103" i="1"/>
  <c r="G293" i="1"/>
  <c r="G261" i="1"/>
  <c r="G153" i="1"/>
  <c r="H169" i="1"/>
  <c r="G245" i="1"/>
  <c r="H292" i="1"/>
  <c r="G52" i="1"/>
  <c r="H244" i="1"/>
  <c r="H289" i="1"/>
  <c r="G264" i="1"/>
  <c r="I282" i="1"/>
  <c r="H117" i="1"/>
  <c r="H378" i="1"/>
  <c r="H380" i="1" s="1"/>
  <c r="G38" i="1"/>
  <c r="H53" i="1"/>
  <c r="H119" i="1"/>
  <c r="H52" i="1"/>
  <c r="H99" i="1"/>
  <c r="H435" i="1"/>
  <c r="G287" i="1"/>
  <c r="H113" i="1"/>
  <c r="H271" i="1"/>
  <c r="H366" i="1" s="1"/>
  <c r="H374" i="1" s="1"/>
  <c r="C274" i="1"/>
  <c r="I378" i="1"/>
  <c r="G231" i="1"/>
  <c r="G151" i="1"/>
  <c r="G272" i="1"/>
  <c r="G171" i="1"/>
  <c r="G22" i="1"/>
  <c r="I119" i="1"/>
  <c r="I231" i="1"/>
  <c r="G97" i="1"/>
  <c r="G294" i="1"/>
  <c r="H132" i="1"/>
  <c r="H274" i="1"/>
  <c r="G132" i="1"/>
  <c r="G155" i="1"/>
  <c r="H282" i="1"/>
  <c r="H429" i="1"/>
  <c r="G86" i="1"/>
  <c r="G85" i="1" s="1"/>
  <c r="G220" i="1"/>
  <c r="H173" i="1"/>
  <c r="H153" i="1"/>
  <c r="H264" i="1"/>
  <c r="G206" i="1"/>
  <c r="G14" i="1"/>
  <c r="H262" i="1"/>
  <c r="G21" i="1"/>
  <c r="H149" i="1"/>
  <c r="H293" i="1"/>
  <c r="H20" i="1"/>
  <c r="H88" i="1"/>
  <c r="H13" i="1"/>
  <c r="H248" i="1"/>
  <c r="G15" i="1"/>
  <c r="G68" i="1" s="1"/>
  <c r="G33" i="1"/>
  <c r="G71" i="1" s="1"/>
  <c r="H152" i="1"/>
  <c r="I173" i="1"/>
  <c r="H280" i="1"/>
  <c r="G28" i="1"/>
  <c r="G232" i="1"/>
  <c r="G240" i="1" s="1"/>
  <c r="G53" i="1"/>
  <c r="G176" i="1"/>
  <c r="G248" i="1"/>
  <c r="H83" i="1"/>
  <c r="H98" i="1"/>
  <c r="H22" i="1"/>
  <c r="G88" i="1"/>
  <c r="H14" i="1"/>
  <c r="H120" i="1"/>
  <c r="G47" i="1"/>
  <c r="G137" i="1"/>
  <c r="H260" i="1"/>
  <c r="G271" i="1"/>
  <c r="G366" i="1" s="1"/>
  <c r="G372" i="1" s="1"/>
  <c r="G205" i="1"/>
  <c r="G276" i="1"/>
  <c r="G26" i="1"/>
  <c r="G121" i="1"/>
  <c r="G31" i="1"/>
  <c r="G360" i="1" s="1"/>
  <c r="H112" i="1"/>
  <c r="G13" i="1"/>
  <c r="G118" i="1"/>
  <c r="G229" i="1"/>
  <c r="H90" i="1"/>
  <c r="G45" i="1"/>
  <c r="G263" i="1"/>
  <c r="G274" i="1"/>
  <c r="G223" i="1"/>
  <c r="G277" i="1"/>
  <c r="G150" i="1"/>
  <c r="H228" i="1"/>
  <c r="G111" i="1"/>
  <c r="G19" i="1"/>
  <c r="H218" i="1"/>
  <c r="H171" i="1"/>
  <c r="G221" i="1"/>
  <c r="G131" i="1"/>
  <c r="G230" i="1"/>
  <c r="G377" i="1"/>
  <c r="I292" i="1"/>
  <c r="G244" i="1"/>
  <c r="H116" i="1"/>
  <c r="H121" i="1"/>
  <c r="G149" i="1"/>
  <c r="G247" i="1"/>
  <c r="G378" i="1"/>
  <c r="I151" i="1"/>
  <c r="G117" i="1"/>
  <c r="G106" i="1" s="1"/>
  <c r="G59" i="1" s="1"/>
  <c r="H279" i="1"/>
  <c r="G102" i="1"/>
  <c r="G113" i="1"/>
  <c r="H176" i="1"/>
  <c r="G280" i="1"/>
  <c r="G44" i="1"/>
  <c r="I244" i="1"/>
  <c r="H154" i="1"/>
  <c r="I99" i="1"/>
  <c r="I86" i="1"/>
  <c r="I85" i="1" s="1"/>
  <c r="H205" i="1"/>
  <c r="H33" i="1"/>
  <c r="H71" i="1" s="1"/>
  <c r="H203" i="1"/>
  <c r="I176" i="1"/>
  <c r="H208" i="1"/>
  <c r="H261" i="1"/>
  <c r="H436" i="1"/>
  <c r="H247" i="1"/>
  <c r="I430" i="1"/>
  <c r="H290" i="1"/>
  <c r="H27" i="1"/>
  <c r="H430" i="1"/>
  <c r="H245" i="1"/>
  <c r="H224" i="1"/>
  <c r="H230" i="1"/>
  <c r="H291" i="1"/>
  <c r="H134" i="1"/>
  <c r="H26" i="1"/>
  <c r="I40" i="1"/>
  <c r="H151" i="1"/>
  <c r="I280" i="1"/>
  <c r="H231" i="1"/>
  <c r="I131" i="1"/>
  <c r="H47" i="1"/>
  <c r="H232" i="1"/>
  <c r="H240" i="1" s="1"/>
  <c r="I288" i="1"/>
  <c r="H103" i="1"/>
  <c r="H118" i="1"/>
  <c r="H209" i="1"/>
  <c r="I100" i="1"/>
  <c r="H286" i="1"/>
  <c r="I246" i="1"/>
  <c r="H294" i="1"/>
  <c r="I207" i="1"/>
  <c r="H229" i="1"/>
  <c r="I38" i="1"/>
  <c r="H45" i="1"/>
  <c r="H287" i="1"/>
  <c r="H222" i="1"/>
  <c r="H165" i="1" s="1"/>
  <c r="I13" i="1"/>
  <c r="I53" i="1"/>
  <c r="M84" i="1"/>
  <c r="I221" i="1"/>
  <c r="I222" i="1"/>
  <c r="I165" i="1" s="1"/>
  <c r="K291" i="1"/>
  <c r="I47" i="1"/>
  <c r="I219" i="1"/>
  <c r="I206" i="1"/>
  <c r="C270" i="1"/>
  <c r="K19" i="1"/>
  <c r="I170" i="1"/>
  <c r="I228" i="1"/>
  <c r="M435" i="1"/>
  <c r="J224" i="1"/>
  <c r="I271" i="1"/>
  <c r="I366" i="1" s="1"/>
  <c r="I374" i="1" s="1"/>
  <c r="I270" i="1"/>
  <c r="K26" i="1"/>
  <c r="K153" i="1"/>
  <c r="M205" i="1"/>
  <c r="J47" i="1"/>
  <c r="J263" i="1"/>
  <c r="J33" i="1"/>
  <c r="J71" i="1" s="1"/>
  <c r="J40" i="1"/>
  <c r="J231" i="1"/>
  <c r="J194" i="1"/>
  <c r="J84" i="1"/>
  <c r="J261" i="1"/>
  <c r="J193" i="1"/>
  <c r="J154" i="1"/>
  <c r="J280" i="1"/>
  <c r="J100" i="1"/>
  <c r="J291" i="1"/>
  <c r="J29" i="1"/>
  <c r="J118" i="1"/>
  <c r="K273" i="1"/>
  <c r="K15" i="1"/>
  <c r="I28" i="1"/>
  <c r="I435" i="1"/>
  <c r="I218" i="1"/>
  <c r="I103" i="1"/>
  <c r="K294" i="1"/>
  <c r="I261" i="1"/>
  <c r="I429" i="1"/>
  <c r="K188" i="1"/>
  <c r="I248" i="1"/>
  <c r="I272" i="1"/>
  <c r="I88" i="1"/>
  <c r="I116" i="1"/>
  <c r="K192" i="1"/>
  <c r="I223" i="1"/>
  <c r="K45" i="1"/>
  <c r="I263" i="1"/>
  <c r="I46" i="1"/>
  <c r="K117" i="1"/>
  <c r="I287" i="1"/>
  <c r="I262" i="1"/>
  <c r="I171" i="1"/>
  <c r="J99" i="1"/>
  <c r="J102" i="1"/>
  <c r="K103" i="1"/>
  <c r="J219" i="1"/>
  <c r="J150" i="1"/>
  <c r="J20" i="1"/>
  <c r="J134" i="1"/>
  <c r="K261" i="1"/>
  <c r="J188" i="1"/>
  <c r="J22" i="1"/>
  <c r="J113" i="1"/>
  <c r="J208" i="1"/>
  <c r="J132" i="1"/>
  <c r="J218" i="1"/>
  <c r="J270" i="1"/>
  <c r="J103" i="1"/>
  <c r="J26" i="1"/>
  <c r="J205" i="1"/>
  <c r="J206" i="1"/>
  <c r="J131" i="1"/>
  <c r="J276" i="1"/>
  <c r="J13" i="1"/>
  <c r="J436" i="1"/>
  <c r="J244" i="1"/>
  <c r="J272" i="1"/>
  <c r="J260" i="1"/>
  <c r="J119" i="1"/>
  <c r="J28" i="1"/>
  <c r="J230" i="1"/>
  <c r="J289" i="1"/>
  <c r="J152" i="1"/>
  <c r="J31" i="1"/>
  <c r="J435" i="1"/>
  <c r="J120" i="1"/>
  <c r="M222" i="1"/>
  <c r="M165" i="1" s="1"/>
  <c r="M293" i="1"/>
  <c r="M189" i="1"/>
  <c r="K53" i="1"/>
  <c r="I52" i="1"/>
  <c r="I132" i="1"/>
  <c r="I112" i="1"/>
  <c r="I137" i="1"/>
  <c r="I83" i="1"/>
  <c r="I230" i="1"/>
  <c r="I113" i="1"/>
  <c r="I90" i="1"/>
  <c r="I21" i="1"/>
  <c r="K14" i="1"/>
  <c r="I102" i="1"/>
  <c r="I109" i="1"/>
  <c r="I208" i="1"/>
  <c r="I134" i="1"/>
  <c r="I278" i="1"/>
  <c r="I264" i="1"/>
  <c r="I149" i="1"/>
  <c r="I279" i="1"/>
  <c r="J36" i="1"/>
  <c r="J190" i="1"/>
  <c r="J262" i="1"/>
  <c r="K222" i="1"/>
  <c r="K165" i="1" s="1"/>
  <c r="J204" i="1"/>
  <c r="K436" i="1"/>
  <c r="J278" i="1"/>
  <c r="J37" i="1"/>
  <c r="J137" i="1"/>
  <c r="J88" i="1"/>
  <c r="J377" i="1"/>
  <c r="J112" i="1"/>
  <c r="J223" i="1"/>
  <c r="J116" i="1"/>
  <c r="J220" i="1"/>
  <c r="J222" i="1"/>
  <c r="J165" i="1" s="1"/>
  <c r="K219" i="1"/>
  <c r="J248" i="1"/>
  <c r="J117" i="1"/>
  <c r="J27" i="1"/>
  <c r="J176" i="1"/>
  <c r="J155" i="1"/>
  <c r="K31" i="1"/>
  <c r="J43" i="1"/>
  <c r="J273" i="1"/>
  <c r="J189" i="1"/>
  <c r="J203" i="1"/>
  <c r="I152" i="1"/>
  <c r="K171" i="1"/>
  <c r="I26" i="1"/>
  <c r="K152" i="1"/>
  <c r="I84" i="1"/>
  <c r="I94" i="1" s="1"/>
  <c r="I289" i="1"/>
  <c r="I293" i="1"/>
  <c r="I154" i="1"/>
  <c r="I224" i="1"/>
  <c r="I277" i="1"/>
  <c r="I247" i="1"/>
  <c r="I121" i="1"/>
  <c r="I34" i="1"/>
  <c r="I436" i="1"/>
  <c r="I45" i="1"/>
  <c r="I203" i="1"/>
  <c r="I209" i="1"/>
  <c r="I276" i="1"/>
  <c r="I43" i="1"/>
  <c r="K21" i="1"/>
  <c r="K276" i="1"/>
  <c r="K230" i="1"/>
  <c r="I36" i="1"/>
  <c r="I73" i="1" s="1"/>
  <c r="I205" i="1"/>
  <c r="I118" i="1"/>
  <c r="I273" i="1"/>
  <c r="J294" i="1"/>
  <c r="J34" i="1"/>
  <c r="J247" i="1"/>
  <c r="J153" i="1"/>
  <c r="J111" i="1"/>
  <c r="J171" i="1"/>
  <c r="J98" i="1"/>
  <c r="J169" i="1"/>
  <c r="J430" i="1"/>
  <c r="J14" i="1"/>
  <c r="J149" i="1"/>
  <c r="K435" i="1"/>
  <c r="J277" i="1"/>
  <c r="J173" i="1"/>
  <c r="K86" i="1"/>
  <c r="K85" i="1" s="1"/>
  <c r="J287" i="1"/>
  <c r="J288" i="1"/>
  <c r="K231" i="1"/>
  <c r="J19" i="1"/>
  <c r="J15" i="1"/>
  <c r="J282" i="1"/>
  <c r="K29" i="1"/>
  <c r="J86" i="1"/>
  <c r="J85" i="1" s="1"/>
  <c r="J221" i="1"/>
  <c r="J229" i="1"/>
  <c r="J207" i="1"/>
  <c r="J214" i="1" s="1"/>
  <c r="J46" i="1"/>
  <c r="J232" i="1"/>
  <c r="J240" i="1" s="1"/>
  <c r="K46" i="1"/>
  <c r="K228" i="1"/>
  <c r="J246" i="1"/>
  <c r="J38" i="1"/>
  <c r="J279" i="1"/>
  <c r="J133" i="1"/>
  <c r="K133" i="1"/>
  <c r="K90" i="1"/>
  <c r="I44" i="1"/>
  <c r="I294" i="1"/>
  <c r="I111" i="1"/>
  <c r="I31" i="1"/>
  <c r="I122" i="1"/>
  <c r="I204" i="1"/>
  <c r="I133" i="1"/>
  <c r="K119" i="1"/>
  <c r="I37" i="1"/>
  <c r="I33" i="1"/>
  <c r="I71" i="1" s="1"/>
  <c r="I232" i="1"/>
  <c r="I240" i="1" s="1"/>
  <c r="I256" i="1" s="1"/>
  <c r="I15" i="1"/>
  <c r="I19" i="1"/>
  <c r="I27" i="1"/>
  <c r="K263" i="1"/>
  <c r="I377" i="1"/>
  <c r="I229" i="1"/>
  <c r="I245" i="1"/>
  <c r="K286" i="1"/>
  <c r="I120" i="1"/>
  <c r="I286" i="1"/>
  <c r="I150" i="1"/>
  <c r="I169" i="1"/>
  <c r="I291" i="1"/>
  <c r="I290" i="1"/>
  <c r="I22" i="1"/>
  <c r="I155" i="1"/>
  <c r="J97" i="1"/>
  <c r="K173" i="1"/>
  <c r="J192" i="1"/>
  <c r="J293" i="1"/>
  <c r="J44" i="1"/>
  <c r="J429" i="1"/>
  <c r="J245" i="1"/>
  <c r="K203" i="1"/>
  <c r="J151" i="1"/>
  <c r="J228" i="1"/>
  <c r="J90" i="1"/>
  <c r="J286" i="1"/>
  <c r="J83" i="1"/>
  <c r="J170" i="1"/>
  <c r="J109" i="1"/>
  <c r="J264" i="1"/>
  <c r="J53" i="1"/>
  <c r="M221" i="1"/>
  <c r="K109" i="1"/>
  <c r="J290" i="1"/>
  <c r="J378" i="1"/>
  <c r="J292" i="1"/>
  <c r="J122" i="1"/>
  <c r="J21" i="1"/>
  <c r="J191" i="1"/>
  <c r="J271" i="1"/>
  <c r="J366" i="1" s="1"/>
  <c r="J372" i="1" s="1"/>
  <c r="M231" i="1"/>
  <c r="J209" i="1"/>
  <c r="J12" i="1"/>
  <c r="J45" i="1"/>
  <c r="J52" i="1"/>
  <c r="J121" i="1"/>
  <c r="M264" i="1"/>
  <c r="L294" i="1"/>
  <c r="L204" i="1"/>
  <c r="L102" i="1"/>
  <c r="L120" i="1"/>
  <c r="K205" i="1"/>
  <c r="K191" i="1"/>
  <c r="K288" i="1"/>
  <c r="K218" i="1"/>
  <c r="K429" i="1"/>
  <c r="K13" i="1"/>
  <c r="L113" i="1"/>
  <c r="L43" i="1"/>
  <c r="L206" i="1"/>
  <c r="M188" i="1"/>
  <c r="L132" i="1"/>
  <c r="K120" i="1"/>
  <c r="M151" i="1"/>
  <c r="K149" i="1"/>
  <c r="K100" i="1"/>
  <c r="K112" i="1"/>
  <c r="K176" i="1"/>
  <c r="K44" i="1"/>
  <c r="K274" i="1"/>
  <c r="L288" i="1"/>
  <c r="L149" i="1"/>
  <c r="M83" i="1"/>
  <c r="M288" i="1"/>
  <c r="L170" i="1"/>
  <c r="K99" i="1"/>
  <c r="K377" i="1"/>
  <c r="K20" i="1"/>
  <c r="K279" i="1"/>
  <c r="K290" i="1"/>
  <c r="L22" i="1"/>
  <c r="M88" i="1"/>
  <c r="L220" i="1"/>
  <c r="L12" i="1"/>
  <c r="M219" i="1"/>
  <c r="L98" i="1"/>
  <c r="D100" i="1"/>
  <c r="L290" i="1"/>
  <c r="L45" i="1"/>
  <c r="K28" i="1"/>
  <c r="M149" i="1"/>
  <c r="L205" i="1"/>
  <c r="L119" i="1"/>
  <c r="L173" i="1"/>
  <c r="K137" i="1"/>
  <c r="K47" i="1"/>
  <c r="L287" i="1"/>
  <c r="L153" i="1"/>
  <c r="L151" i="1"/>
  <c r="L218" i="1"/>
  <c r="L15" i="1"/>
  <c r="L228" i="1"/>
  <c r="M152" i="1"/>
  <c r="K116" i="1"/>
  <c r="K292" i="1"/>
  <c r="K131" i="1"/>
  <c r="K262" i="1"/>
  <c r="K84" i="1"/>
  <c r="L99" i="1"/>
  <c r="L103" i="1"/>
  <c r="L377" i="1"/>
  <c r="L88" i="1"/>
  <c r="M86" i="1"/>
  <c r="M85" i="1" s="1"/>
  <c r="K27" i="1"/>
  <c r="K118" i="1"/>
  <c r="L38" i="1"/>
  <c r="L171" i="1"/>
  <c r="L203" i="1"/>
  <c r="L211" i="1" s="1"/>
  <c r="M191" i="1"/>
  <c r="K22" i="1"/>
  <c r="K204" i="1"/>
  <c r="K34" i="1"/>
  <c r="K190" i="1"/>
  <c r="L118" i="1"/>
  <c r="M261" i="1"/>
  <c r="L221" i="1"/>
  <c r="L231" i="1"/>
  <c r="L189" i="1"/>
  <c r="L274" i="1"/>
  <c r="L293" i="1"/>
  <c r="L435" i="1"/>
  <c r="M131" i="1"/>
  <c r="K277" i="1"/>
  <c r="K150" i="1"/>
  <c r="L53" i="1"/>
  <c r="L86" i="1"/>
  <c r="L85" i="1" s="1"/>
  <c r="L262" i="1"/>
  <c r="L19" i="1"/>
  <c r="L112" i="1"/>
  <c r="L152" i="1"/>
  <c r="K189" i="1"/>
  <c r="K280" i="1"/>
  <c r="K293" i="1"/>
  <c r="L21" i="1"/>
  <c r="M192" i="1"/>
  <c r="M199" i="1" s="1"/>
  <c r="L47" i="1"/>
  <c r="M47" i="1"/>
  <c r="L90" i="1"/>
  <c r="K151" i="1"/>
  <c r="K111" i="1"/>
  <c r="K132" i="1"/>
  <c r="K169" i="1"/>
  <c r="M133" i="1"/>
  <c r="E99" i="1"/>
  <c r="M218" i="1"/>
  <c r="L37" i="1"/>
  <c r="L219" i="1"/>
  <c r="L137" i="1"/>
  <c r="L286" i="1"/>
  <c r="K134" i="1"/>
  <c r="K43" i="1"/>
  <c r="K221" i="1"/>
  <c r="K12" i="1"/>
  <c r="K97" i="1"/>
  <c r="L83" i="1"/>
  <c r="M100" i="1"/>
  <c r="L46" i="1"/>
  <c r="L117" i="1"/>
  <c r="L106" i="1" s="1"/>
  <c r="L59" i="1" s="1"/>
  <c r="L133" i="1"/>
  <c r="L277" i="1"/>
  <c r="L263" i="1"/>
  <c r="L192" i="1"/>
  <c r="M53" i="1"/>
  <c r="K264" i="1"/>
  <c r="M228" i="1"/>
  <c r="K83" i="1"/>
  <c r="K113" i="1"/>
  <c r="K38" i="1"/>
  <c r="L27" i="1"/>
  <c r="L190" i="1"/>
  <c r="L291" i="1"/>
  <c r="L429" i="1"/>
  <c r="L34" i="1"/>
  <c r="L100" i="1"/>
  <c r="L13" i="1"/>
  <c r="L109" i="1"/>
  <c r="L150" i="1"/>
  <c r="M287" i="1"/>
  <c r="L188" i="1"/>
  <c r="L196" i="1" s="1"/>
  <c r="L261" i="1"/>
  <c r="L280" i="1"/>
  <c r="L116" i="1"/>
  <c r="K206" i="1"/>
  <c r="K88" i="1"/>
  <c r="L131" i="1"/>
  <c r="L111" i="1"/>
  <c r="L176" i="1"/>
  <c r="L169" i="1"/>
  <c r="L26" i="1"/>
  <c r="L292" i="1"/>
  <c r="K37" i="1"/>
  <c r="K229" i="1"/>
  <c r="M262" i="1"/>
  <c r="K220" i="1"/>
  <c r="K98" i="1"/>
  <c r="K232" i="1"/>
  <c r="K240" i="1" s="1"/>
  <c r="L44" i="1"/>
  <c r="L134" i="1"/>
  <c r="L230" i="1"/>
  <c r="L191" i="1"/>
  <c r="L232" i="1"/>
  <c r="L240" i="1" s="1"/>
  <c r="K207" i="1"/>
  <c r="K214" i="1" s="1"/>
  <c r="K287" i="1"/>
  <c r="L29" i="1"/>
  <c r="L31" i="1"/>
  <c r="M43" i="1"/>
  <c r="L436" i="1"/>
  <c r="L229" i="1"/>
  <c r="L84" i="1"/>
  <c r="L276" i="1"/>
  <c r="M31" i="1"/>
  <c r="K170" i="1"/>
  <c r="K278" i="1"/>
  <c r="L279" i="1"/>
  <c r="L20" i="1"/>
  <c r="M98" i="1"/>
  <c r="L207" i="1"/>
  <c r="L14" i="1"/>
  <c r="L278" i="1"/>
  <c r="M204" i="1"/>
  <c r="L28" i="1"/>
  <c r="L264" i="1"/>
  <c r="L97" i="1"/>
  <c r="M29" i="1"/>
  <c r="L273" i="1"/>
  <c r="K102" i="1"/>
  <c r="L222" i="1"/>
  <c r="L165" i="1" s="1"/>
  <c r="M176" i="1"/>
  <c r="M169" i="1"/>
  <c r="M229" i="1"/>
  <c r="M291" i="1"/>
  <c r="M203" i="1"/>
  <c r="M211" i="1" s="1"/>
  <c r="M274" i="1"/>
  <c r="M132" i="1"/>
  <c r="M171" i="1"/>
  <c r="M13" i="1"/>
  <c r="M190" i="1"/>
  <c r="M21" i="1"/>
  <c r="M97" i="1"/>
  <c r="D99" i="1"/>
  <c r="M207" i="1"/>
  <c r="M90" i="1"/>
  <c r="M99" i="1"/>
  <c r="M12" i="1"/>
  <c r="M429" i="1"/>
  <c r="M230" i="1"/>
  <c r="M278" i="1"/>
  <c r="M294" i="1"/>
  <c r="M119" i="1"/>
  <c r="M170" i="1"/>
  <c r="M137" i="1"/>
  <c r="M102" i="1"/>
  <c r="M44" i="1"/>
  <c r="M150" i="1"/>
  <c r="M292" i="1"/>
  <c r="M27" i="1"/>
  <c r="M220" i="1"/>
  <c r="M46" i="1"/>
  <c r="C100" i="1"/>
  <c r="M206" i="1"/>
  <c r="M15" i="1"/>
  <c r="M134" i="1"/>
  <c r="M22" i="1"/>
  <c r="M232" i="1"/>
  <c r="M240" i="1" s="1"/>
  <c r="M14" i="1"/>
  <c r="M290" i="1"/>
  <c r="M38" i="1"/>
  <c r="M377" i="1"/>
  <c r="M109" i="1"/>
  <c r="M436" i="1"/>
  <c r="M28" i="1"/>
  <c r="M37" i="1"/>
  <c r="M20" i="1"/>
  <c r="M34" i="1"/>
  <c r="M263" i="1"/>
  <c r="M45" i="1"/>
  <c r="M153" i="1"/>
  <c r="M286" i="1"/>
  <c r="M103" i="1"/>
  <c r="M273" i="1"/>
  <c r="E84" i="1"/>
  <c r="E94" i="1" s="1"/>
  <c r="H104" i="1"/>
  <c r="I104" i="1"/>
  <c r="K104" i="1"/>
  <c r="J104" i="1"/>
  <c r="D84" i="1"/>
  <c r="D94" i="1" s="1"/>
  <c r="L104" i="1"/>
  <c r="M104" i="1"/>
  <c r="G104" i="1"/>
  <c r="BB145" i="1"/>
  <c r="BB182" i="1"/>
  <c r="BE360" i="1"/>
  <c r="BD318" i="1"/>
  <c r="BD280" i="1" s="1"/>
  <c r="L214" i="1" l="1"/>
  <c r="H106" i="1"/>
  <c r="H59" i="1" s="1"/>
  <c r="D214" i="1"/>
  <c r="C106" i="1"/>
  <c r="C59" i="1" s="1"/>
  <c r="D215" i="1"/>
  <c r="F211" i="1"/>
  <c r="C105" i="1"/>
  <c r="C58" i="1" s="1"/>
  <c r="J199" i="1"/>
  <c r="H211" i="1"/>
  <c r="G62" i="1"/>
  <c r="J233" i="1"/>
  <c r="G23" i="1"/>
  <c r="G357" i="1" s="1"/>
  <c r="E215" i="1"/>
  <c r="J380" i="1"/>
  <c r="J215" i="1"/>
  <c r="K211" i="1"/>
  <c r="L68" i="1"/>
  <c r="J128" i="1"/>
  <c r="I211" i="1"/>
  <c r="K360" i="1"/>
  <c r="F233" i="1"/>
  <c r="L65" i="1"/>
  <c r="M65" i="1"/>
  <c r="M68" i="1"/>
  <c r="M214" i="1"/>
  <c r="L360" i="1"/>
  <c r="I68" i="1"/>
  <c r="I360" i="1"/>
  <c r="J68" i="1"/>
  <c r="C265" i="1"/>
  <c r="I215" i="1"/>
  <c r="K65" i="1"/>
  <c r="J360" i="1"/>
  <c r="K199" i="1"/>
  <c r="H215" i="1"/>
  <c r="G214" i="1"/>
  <c r="E68" i="1"/>
  <c r="BI67" i="1"/>
  <c r="J73" i="1"/>
  <c r="BC120" i="1"/>
  <c r="I127" i="1"/>
  <c r="E380" i="1"/>
  <c r="E256" i="1"/>
  <c r="J256" i="1"/>
  <c r="G73" i="1"/>
  <c r="F127" i="1"/>
  <c r="F256" i="1"/>
  <c r="H256" i="1"/>
  <c r="G128" i="1"/>
  <c r="C128" i="1"/>
  <c r="I128" i="1"/>
  <c r="E127" i="1"/>
  <c r="F23" i="1"/>
  <c r="F356" i="1" s="1"/>
  <c r="G329" i="1"/>
  <c r="I329" i="1"/>
  <c r="J62" i="1"/>
  <c r="I62" i="1"/>
  <c r="H73" i="1"/>
  <c r="M62" i="1"/>
  <c r="L62" i="1"/>
  <c r="K62" i="1"/>
  <c r="F73" i="1"/>
  <c r="E329" i="1"/>
  <c r="C281" i="1"/>
  <c r="C283" i="1" s="1"/>
  <c r="C295" i="1" s="1"/>
  <c r="H329" i="1"/>
  <c r="M160" i="1"/>
  <c r="M144" i="1"/>
  <c r="M177" i="1"/>
  <c r="M180" i="1" s="1"/>
  <c r="M138" i="1"/>
  <c r="M135" i="1"/>
  <c r="M239" i="1"/>
  <c r="M69" i="1"/>
  <c r="L238" i="1"/>
  <c r="L66" i="1"/>
  <c r="M233" i="1"/>
  <c r="L89" i="1"/>
  <c r="L93" i="1"/>
  <c r="L23" i="1"/>
  <c r="L355" i="1" s="1"/>
  <c r="L91" i="1"/>
  <c r="L57" i="1"/>
  <c r="M91" i="1"/>
  <c r="M57" i="1"/>
  <c r="K238" i="1"/>
  <c r="K66" i="1"/>
  <c r="L16" i="1"/>
  <c r="L164" i="1" s="1"/>
  <c r="L166" i="1" s="1"/>
  <c r="L167" i="1" s="1"/>
  <c r="K127" i="1"/>
  <c r="K213" i="1"/>
  <c r="K212" i="1"/>
  <c r="I161" i="1"/>
  <c r="I146" i="1"/>
  <c r="J367" i="1"/>
  <c r="J346" i="1"/>
  <c r="I236" i="1"/>
  <c r="I30" i="1"/>
  <c r="J161" i="1"/>
  <c r="J146" i="1"/>
  <c r="J212" i="1"/>
  <c r="J213" i="1"/>
  <c r="K106" i="1"/>
  <c r="K59" i="1" s="1"/>
  <c r="I238" i="1"/>
  <c r="I254" i="1" s="1"/>
  <c r="M212" i="1"/>
  <c r="M213" i="1"/>
  <c r="I214" i="1"/>
  <c r="H236" i="1"/>
  <c r="H30" i="1"/>
  <c r="H32" i="1" s="1"/>
  <c r="G157" i="1"/>
  <c r="G141" i="1"/>
  <c r="G238" i="1"/>
  <c r="G254" i="1" s="1"/>
  <c r="G95" i="1"/>
  <c r="G91" i="1"/>
  <c r="G57" i="1"/>
  <c r="I380" i="1"/>
  <c r="H249" i="1"/>
  <c r="H281" i="1"/>
  <c r="H283" i="1" s="1"/>
  <c r="H295" i="1" s="1"/>
  <c r="H296" i="1" s="1"/>
  <c r="G367" i="1"/>
  <c r="G346" i="1"/>
  <c r="G177" i="1"/>
  <c r="G180" i="1" s="1"/>
  <c r="G138" i="1"/>
  <c r="G135" i="1"/>
  <c r="I16" i="1"/>
  <c r="G145" i="1"/>
  <c r="F106" i="1"/>
  <c r="F59" i="1" s="1"/>
  <c r="F380" i="1"/>
  <c r="F238" i="1"/>
  <c r="F254" i="1" s="1"/>
  <c r="E93" i="1"/>
  <c r="E89" i="1"/>
  <c r="E160" i="1"/>
  <c r="E144" i="1"/>
  <c r="E23" i="1"/>
  <c r="C158" i="1"/>
  <c r="C143" i="1"/>
  <c r="C177" i="1"/>
  <c r="C135" i="1"/>
  <c r="E249" i="1"/>
  <c r="C239" i="1"/>
  <c r="C255" i="1" s="1"/>
  <c r="C69" i="1"/>
  <c r="C93" i="1"/>
  <c r="C89" i="1"/>
  <c r="E145" i="1"/>
  <c r="D128" i="1"/>
  <c r="C236" i="1"/>
  <c r="C30" i="1"/>
  <c r="C32" i="1" s="1"/>
  <c r="D126" i="1"/>
  <c r="D125" i="1"/>
  <c r="D107" i="1"/>
  <c r="D60" i="1" s="1"/>
  <c r="E214" i="1"/>
  <c r="C95" i="1"/>
  <c r="C91" i="1"/>
  <c r="C57" i="1"/>
  <c r="D16" i="1"/>
  <c r="D164" i="1" s="1"/>
  <c r="D166" i="1" s="1"/>
  <c r="D167" i="1" s="1"/>
  <c r="D211" i="1"/>
  <c r="I333" i="1"/>
  <c r="I336" i="1" s="1"/>
  <c r="I335" i="1"/>
  <c r="BC279" i="1"/>
  <c r="BC319" i="1"/>
  <c r="BF116" i="1"/>
  <c r="BF16" i="1"/>
  <c r="J374" i="1"/>
  <c r="G373" i="1"/>
  <c r="BE117" i="1"/>
  <c r="BE118" i="1" s="1"/>
  <c r="BE23" i="1"/>
  <c r="F372" i="1"/>
  <c r="H351" i="1"/>
  <c r="H350" i="1"/>
  <c r="H349" i="1"/>
  <c r="H312" i="1"/>
  <c r="BC182" i="1"/>
  <c r="BC145" i="1"/>
  <c r="BE365" i="1"/>
  <c r="BE301" i="1"/>
  <c r="BE361" i="1"/>
  <c r="BE164" i="1"/>
  <c r="BE166" i="1" s="1"/>
  <c r="K177" i="1"/>
  <c r="K180" i="1" s="1"/>
  <c r="K135" i="1"/>
  <c r="K138" i="1"/>
  <c r="K126" i="1"/>
  <c r="K125" i="1"/>
  <c r="K107" i="1"/>
  <c r="K60" i="1" s="1"/>
  <c r="L158" i="1"/>
  <c r="L159" i="1"/>
  <c r="L143" i="1"/>
  <c r="L213" i="1"/>
  <c r="L212" i="1"/>
  <c r="L127" i="1"/>
  <c r="I237" i="1"/>
  <c r="I253" i="1" s="1"/>
  <c r="I63" i="1"/>
  <c r="J144" i="1"/>
  <c r="J160" i="1"/>
  <c r="I177" i="1"/>
  <c r="I178" i="1" s="1"/>
  <c r="I138" i="1"/>
  <c r="I135" i="1"/>
  <c r="J238" i="1"/>
  <c r="J254" i="1" s="1"/>
  <c r="J66" i="1"/>
  <c r="J249" i="1"/>
  <c r="J236" i="1"/>
  <c r="J30" i="1"/>
  <c r="J177" i="1"/>
  <c r="J178" i="1" s="1"/>
  <c r="J138" i="1"/>
  <c r="J135" i="1"/>
  <c r="K68" i="1"/>
  <c r="J125" i="1"/>
  <c r="J107" i="1"/>
  <c r="J60" i="1" s="1"/>
  <c r="J126" i="1"/>
  <c r="K144" i="1"/>
  <c r="K160" i="1"/>
  <c r="I233" i="1"/>
  <c r="H135" i="1"/>
  <c r="H177" i="1"/>
  <c r="H138" i="1"/>
  <c r="H213" i="1"/>
  <c r="H212" i="1"/>
  <c r="I249" i="1"/>
  <c r="I159" i="1"/>
  <c r="I143" i="1"/>
  <c r="I158" i="1"/>
  <c r="H233" i="1"/>
  <c r="G213" i="1"/>
  <c r="G212" i="1"/>
  <c r="H160" i="1"/>
  <c r="H144" i="1"/>
  <c r="I346" i="1"/>
  <c r="I367" i="1"/>
  <c r="G144" i="1"/>
  <c r="G181" i="1"/>
  <c r="G160" i="1"/>
  <c r="G239" i="1"/>
  <c r="G255" i="1" s="1"/>
  <c r="G69" i="1"/>
  <c r="G237" i="1"/>
  <c r="G253" i="1" s="1"/>
  <c r="G63" i="1"/>
  <c r="H238" i="1"/>
  <c r="H254" i="1" s="1"/>
  <c r="G265" i="1"/>
  <c r="I160" i="1"/>
  <c r="I144" i="1"/>
  <c r="F237" i="1"/>
  <c r="F253" i="1" s="1"/>
  <c r="F63" i="1"/>
  <c r="F177" i="1"/>
  <c r="F138" i="1"/>
  <c r="F135" i="1"/>
  <c r="F91" i="1"/>
  <c r="F57" i="1"/>
  <c r="F95" i="1"/>
  <c r="E177" i="1"/>
  <c r="E183" i="1" s="1"/>
  <c r="E138" i="1"/>
  <c r="E135" i="1"/>
  <c r="F249" i="1"/>
  <c r="F68" i="1"/>
  <c r="F157" i="1"/>
  <c r="F141" i="1"/>
  <c r="F105" i="1"/>
  <c r="F58" i="1" s="1"/>
  <c r="F124" i="1"/>
  <c r="F144" i="1"/>
  <c r="F160" i="1"/>
  <c r="C145" i="1"/>
  <c r="F161" i="1"/>
  <c r="F146" i="1"/>
  <c r="F214" i="1"/>
  <c r="H95" i="1"/>
  <c r="H57" i="1"/>
  <c r="H91" i="1"/>
  <c r="D95" i="1"/>
  <c r="D91" i="1"/>
  <c r="D57" i="1"/>
  <c r="C367" i="1"/>
  <c r="C346" i="1"/>
  <c r="D158" i="1"/>
  <c r="D159" i="1"/>
  <c r="D143" i="1"/>
  <c r="E233" i="1"/>
  <c r="D124" i="1"/>
  <c r="D105" i="1"/>
  <c r="D58" i="1" s="1"/>
  <c r="E239" i="1"/>
  <c r="E255" i="1" s="1"/>
  <c r="E69" i="1"/>
  <c r="E281" i="1"/>
  <c r="E283" i="1" s="1"/>
  <c r="E295" i="1" s="1"/>
  <c r="E125" i="1"/>
  <c r="E126" i="1"/>
  <c r="E107" i="1"/>
  <c r="E60" i="1" s="1"/>
  <c r="D236" i="1"/>
  <c r="D30" i="1"/>
  <c r="D32" i="1" s="1"/>
  <c r="D127" i="1"/>
  <c r="D161" i="1"/>
  <c r="D146" i="1"/>
  <c r="C183" i="1"/>
  <c r="C146" i="1"/>
  <c r="C161" i="1"/>
  <c r="C237" i="1"/>
  <c r="C253" i="1" s="1"/>
  <c r="C63" i="1"/>
  <c r="D367" i="1"/>
  <c r="D346" i="1"/>
  <c r="E16" i="1"/>
  <c r="E164" i="1" s="1"/>
  <c r="E166" i="1" s="1"/>
  <c r="E167" i="1" s="1"/>
  <c r="C144" i="1"/>
  <c r="C181" i="1"/>
  <c r="C160" i="1"/>
  <c r="C233" i="1"/>
  <c r="D238" i="1"/>
  <c r="D254" i="1" s="1"/>
  <c r="C127" i="1"/>
  <c r="G374" i="1"/>
  <c r="BD167" i="1"/>
  <c r="BD173" i="1"/>
  <c r="BC127" i="1"/>
  <c r="BF111" i="1"/>
  <c r="M111" i="1" s="1"/>
  <c r="BE70" i="1"/>
  <c r="E351" i="1"/>
  <c r="E350" i="1"/>
  <c r="E349" i="1"/>
  <c r="E312" i="1"/>
  <c r="BE124" i="1"/>
  <c r="BD126" i="1"/>
  <c r="BD125" i="1"/>
  <c r="BD120" i="1"/>
  <c r="BD303" i="1"/>
  <c r="BD277" i="1" s="1"/>
  <c r="BD316" i="1"/>
  <c r="BD356" i="1" s="1"/>
  <c r="L239" i="1"/>
  <c r="L69" i="1"/>
  <c r="M238" i="1"/>
  <c r="M66" i="1"/>
  <c r="M237" i="1"/>
  <c r="M63" i="1"/>
  <c r="M236" i="1"/>
  <c r="M30" i="1"/>
  <c r="M16" i="1"/>
  <c r="M164" i="1" s="1"/>
  <c r="M166" i="1" s="1"/>
  <c r="M167" i="1" s="1"/>
  <c r="M197" i="1"/>
  <c r="M198" i="1"/>
  <c r="L236" i="1"/>
  <c r="L30" i="1"/>
  <c r="L198" i="1"/>
  <c r="L197" i="1"/>
  <c r="K93" i="1"/>
  <c r="K89" i="1"/>
  <c r="K16" i="1"/>
  <c r="K158" i="1"/>
  <c r="K159" i="1"/>
  <c r="K143" i="1"/>
  <c r="L126" i="1"/>
  <c r="L107" i="1"/>
  <c r="L60" i="1" s="1"/>
  <c r="L125" i="1"/>
  <c r="K237" i="1"/>
  <c r="K63" i="1"/>
  <c r="L233" i="1"/>
  <c r="L160" i="1"/>
  <c r="L144" i="1"/>
  <c r="M93" i="1"/>
  <c r="M89" i="1"/>
  <c r="K178" i="1"/>
  <c r="K164" i="1"/>
  <c r="K166" i="1" s="1"/>
  <c r="K167" i="1" s="1"/>
  <c r="K157" i="1"/>
  <c r="K141" i="1"/>
  <c r="J16" i="1"/>
  <c r="J164" i="1" s="1"/>
  <c r="J166" i="1" s="1"/>
  <c r="J167" i="1" s="1"/>
  <c r="J93" i="1"/>
  <c r="J89" i="1"/>
  <c r="J159" i="1"/>
  <c r="J143" i="1"/>
  <c r="J158" i="1"/>
  <c r="K145" i="1"/>
  <c r="K182" i="1"/>
  <c r="I23" i="1"/>
  <c r="K233" i="1"/>
  <c r="J91" i="1"/>
  <c r="J57" i="1"/>
  <c r="J23" i="1"/>
  <c r="K91" i="1"/>
  <c r="K57" i="1"/>
  <c r="J157" i="1"/>
  <c r="J141" i="1"/>
  <c r="I125" i="1"/>
  <c r="I107" i="1"/>
  <c r="I60" i="1" s="1"/>
  <c r="I126" i="1"/>
  <c r="J237" i="1"/>
  <c r="J253" i="1" s="1"/>
  <c r="J63" i="1"/>
  <c r="I157" i="1"/>
  <c r="I141" i="1"/>
  <c r="I93" i="1"/>
  <c r="I89" i="1"/>
  <c r="I124" i="1"/>
  <c r="I105" i="1"/>
  <c r="I58" i="1" s="1"/>
  <c r="K196" i="1"/>
  <c r="J239" i="1"/>
  <c r="J255" i="1" s="1"/>
  <c r="J69" i="1"/>
  <c r="J200" i="1"/>
  <c r="K236" i="1"/>
  <c r="K30" i="1"/>
  <c r="H126" i="1"/>
  <c r="H125" i="1"/>
  <c r="H107" i="1"/>
  <c r="H60" i="1" s="1"/>
  <c r="H158" i="1"/>
  <c r="H159" i="1"/>
  <c r="H143" i="1"/>
  <c r="I95" i="1"/>
  <c r="I91" i="1"/>
  <c r="I57" i="1"/>
  <c r="G380" i="1"/>
  <c r="H124" i="1"/>
  <c r="H105" i="1"/>
  <c r="H58" i="1" s="1"/>
  <c r="G126" i="1"/>
  <c r="G125" i="1"/>
  <c r="G107" i="1"/>
  <c r="G60" i="1" s="1"/>
  <c r="H127" i="1"/>
  <c r="I145" i="1"/>
  <c r="H145" i="1"/>
  <c r="H367" i="1"/>
  <c r="H346" i="1"/>
  <c r="G158" i="1"/>
  <c r="G159" i="1"/>
  <c r="G143" i="1"/>
  <c r="G16" i="1"/>
  <c r="H239" i="1"/>
  <c r="H255" i="1" s="1"/>
  <c r="H69" i="1"/>
  <c r="H68" i="1"/>
  <c r="G93" i="1"/>
  <c r="G89" i="1"/>
  <c r="H128" i="1"/>
  <c r="H16" i="1"/>
  <c r="H164" i="1" s="1"/>
  <c r="H166" i="1" s="1"/>
  <c r="H167" i="1" s="1"/>
  <c r="I106" i="1"/>
  <c r="I59" i="1" s="1"/>
  <c r="I239" i="1"/>
  <c r="I255" i="1" s="1"/>
  <c r="I69" i="1"/>
  <c r="F159" i="1"/>
  <c r="F143" i="1"/>
  <c r="F158" i="1"/>
  <c r="F93" i="1"/>
  <c r="F89" i="1"/>
  <c r="E367" i="1"/>
  <c r="E346" i="1"/>
  <c r="F281" i="1"/>
  <c r="F283" i="1" s="1"/>
  <c r="F295" i="1" s="1"/>
  <c r="F296" i="1" s="1"/>
  <c r="F239" i="1"/>
  <c r="F255" i="1" s="1"/>
  <c r="F69" i="1"/>
  <c r="F145" i="1"/>
  <c r="E212" i="1"/>
  <c r="E213" i="1"/>
  <c r="D281" i="1"/>
  <c r="D283" i="1" s="1"/>
  <c r="D295" i="1" s="1"/>
  <c r="F212" i="1"/>
  <c r="F213" i="1"/>
  <c r="E161" i="1"/>
  <c r="E146" i="1"/>
  <c r="C141" i="1"/>
  <c r="E159" i="1"/>
  <c r="E143" i="1"/>
  <c r="E158" i="1"/>
  <c r="D141" i="1"/>
  <c r="D157" i="1"/>
  <c r="D237" i="1"/>
  <c r="D253" i="1" s="1"/>
  <c r="D63" i="1"/>
  <c r="D62" i="1"/>
  <c r="E265" i="1"/>
  <c r="E238" i="1"/>
  <c r="E254" i="1" s="1"/>
  <c r="C214" i="1"/>
  <c r="E106" i="1"/>
  <c r="E59" i="1" s="1"/>
  <c r="D256" i="1"/>
  <c r="E124" i="1"/>
  <c r="E105" i="1"/>
  <c r="E58" i="1" s="1"/>
  <c r="C125" i="1"/>
  <c r="C107" i="1"/>
  <c r="C60" i="1" s="1"/>
  <c r="D249" i="1"/>
  <c r="D380" i="1"/>
  <c r="C16" i="1"/>
  <c r="C164" i="1" s="1"/>
  <c r="C166" i="1" s="1"/>
  <c r="C167" i="1" s="1"/>
  <c r="G335" i="1"/>
  <c r="G333" i="1"/>
  <c r="G336" i="1" s="1"/>
  <c r="BC356" i="1"/>
  <c r="H335" i="1"/>
  <c r="H333" i="1"/>
  <c r="H336" i="1" s="1"/>
  <c r="J373" i="1"/>
  <c r="F349" i="1"/>
  <c r="F351" i="1"/>
  <c r="F350" i="1"/>
  <c r="F312" i="1"/>
  <c r="F329" i="1"/>
  <c r="H373" i="1"/>
  <c r="BE241" i="1"/>
  <c r="G350" i="1"/>
  <c r="G349" i="1"/>
  <c r="G351" i="1"/>
  <c r="G312" i="1"/>
  <c r="I351" i="1"/>
  <c r="I312" i="1"/>
  <c r="I350" i="1"/>
  <c r="I349" i="1"/>
  <c r="BF360" i="1"/>
  <c r="BF318" i="1" s="1"/>
  <c r="BE318" i="1"/>
  <c r="BE280" i="1" s="1"/>
  <c r="L135" i="1"/>
  <c r="L177" i="1"/>
  <c r="L178" i="1" s="1"/>
  <c r="L138" i="1"/>
  <c r="L124" i="1"/>
  <c r="L105" i="1"/>
  <c r="L58" i="1" s="1"/>
  <c r="L237" i="1"/>
  <c r="L63" i="1"/>
  <c r="L199" i="1"/>
  <c r="K198" i="1"/>
  <c r="K197" i="1"/>
  <c r="K105" i="1"/>
  <c r="K58" i="1" s="1"/>
  <c r="K124" i="1"/>
  <c r="L145" i="1"/>
  <c r="M157" i="1"/>
  <c r="M141" i="1"/>
  <c r="M178" i="1"/>
  <c r="L157" i="1"/>
  <c r="L141" i="1"/>
  <c r="M159" i="1"/>
  <c r="M143" i="1"/>
  <c r="M158" i="1"/>
  <c r="M196" i="1"/>
  <c r="K239" i="1"/>
  <c r="K69" i="1"/>
  <c r="J145" i="1"/>
  <c r="I212" i="1"/>
  <c r="I213" i="1"/>
  <c r="J211" i="1"/>
  <c r="J106" i="1"/>
  <c r="J59" i="1" s="1"/>
  <c r="J124" i="1"/>
  <c r="J105" i="1"/>
  <c r="J58" i="1" s="1"/>
  <c r="J197" i="1"/>
  <c r="J198" i="1"/>
  <c r="J127" i="1"/>
  <c r="J265" i="1"/>
  <c r="I281" i="1"/>
  <c r="I283" i="1" s="1"/>
  <c r="K23" i="1"/>
  <c r="H237" i="1"/>
  <c r="H253" i="1" s="1"/>
  <c r="H63" i="1"/>
  <c r="G249" i="1"/>
  <c r="G354" i="1"/>
  <c r="G356" i="1"/>
  <c r="G236" i="1"/>
  <c r="G30" i="1"/>
  <c r="G32" i="1" s="1"/>
  <c r="H265" i="1"/>
  <c r="H89" i="1"/>
  <c r="H93" i="1"/>
  <c r="G256" i="1"/>
  <c r="H62" i="1"/>
  <c r="H157" i="1"/>
  <c r="H141" i="1"/>
  <c r="G146" i="1"/>
  <c r="G161" i="1"/>
  <c r="H161" i="1"/>
  <c r="H146" i="1"/>
  <c r="H23" i="1"/>
  <c r="I265" i="1"/>
  <c r="G215" i="1"/>
  <c r="G281" i="1"/>
  <c r="G283" i="1" s="1"/>
  <c r="G295" i="1" s="1"/>
  <c r="G296" i="1" s="1"/>
  <c r="G105" i="1"/>
  <c r="G58" i="1" s="1"/>
  <c r="G124" i="1"/>
  <c r="G233" i="1"/>
  <c r="G127" i="1"/>
  <c r="F236" i="1"/>
  <c r="F30" i="1"/>
  <c r="F32" i="1" s="1"/>
  <c r="F125" i="1"/>
  <c r="F126" i="1"/>
  <c r="F107" i="1"/>
  <c r="F60" i="1" s="1"/>
  <c r="H214" i="1"/>
  <c r="F265" i="1"/>
  <c r="E95" i="1"/>
  <c r="E91" i="1"/>
  <c r="E57" i="1"/>
  <c r="F215" i="1"/>
  <c r="F16" i="1"/>
  <c r="E237" i="1"/>
  <c r="E253" i="1" s="1"/>
  <c r="E63" i="1"/>
  <c r="F367" i="1"/>
  <c r="F346" i="1"/>
  <c r="E236" i="1"/>
  <c r="E30" i="1"/>
  <c r="E32" i="1" s="1"/>
  <c r="C374" i="1"/>
  <c r="C372" i="1"/>
  <c r="C373" i="1"/>
  <c r="D213" i="1"/>
  <c r="D212" i="1"/>
  <c r="E372" i="1"/>
  <c r="E373" i="1"/>
  <c r="E374" i="1"/>
  <c r="D106" i="1"/>
  <c r="D59" i="1" s="1"/>
  <c r="D89" i="1"/>
  <c r="D93" i="1"/>
  <c r="C212" i="1"/>
  <c r="D265" i="1"/>
  <c r="E157" i="1"/>
  <c r="E141" i="1"/>
  <c r="E178" i="1"/>
  <c r="C249" i="1"/>
  <c r="D160" i="1"/>
  <c r="D144" i="1"/>
  <c r="D135" i="1"/>
  <c r="D177" i="1"/>
  <c r="D182" i="1" s="1"/>
  <c r="D138" i="1"/>
  <c r="C238" i="1"/>
  <c r="C254" i="1" s="1"/>
  <c r="D23" i="1"/>
  <c r="D145" i="1"/>
  <c r="D239" i="1"/>
  <c r="D255" i="1" s="1"/>
  <c r="D69" i="1"/>
  <c r="D373" i="1"/>
  <c r="D374" i="1"/>
  <c r="D372" i="1"/>
  <c r="C23" i="1"/>
  <c r="C256" i="1"/>
  <c r="C380" i="1"/>
  <c r="D68" i="1"/>
  <c r="F373" i="1"/>
  <c r="BC354" i="1"/>
  <c r="BD276" i="1"/>
  <c r="BF236" i="1"/>
  <c r="BF30" i="1"/>
  <c r="BF32" i="1" s="1"/>
  <c r="BF19" i="1"/>
  <c r="I373" i="1"/>
  <c r="H372" i="1"/>
  <c r="L319" i="1"/>
  <c r="E333" i="1"/>
  <c r="E336" i="1" s="1"/>
  <c r="E335" i="1"/>
  <c r="F335" i="1"/>
  <c r="F333" i="1"/>
  <c r="F336" i="1" s="1"/>
  <c r="I372" i="1"/>
  <c r="J312" i="1"/>
  <c r="BD242" i="1"/>
  <c r="F182" i="1" l="1"/>
  <c r="I181" i="1"/>
  <c r="G183" i="1"/>
  <c r="J182" i="1"/>
  <c r="I182" i="1"/>
  <c r="J180" i="1"/>
  <c r="F180" i="1"/>
  <c r="G355" i="1"/>
  <c r="H182" i="1"/>
  <c r="H180" i="1"/>
  <c r="E180" i="1"/>
  <c r="C178" i="1"/>
  <c r="F183" i="1"/>
  <c r="F181" i="1"/>
  <c r="F178" i="1"/>
  <c r="H183" i="1"/>
  <c r="H178" i="1"/>
  <c r="C182" i="1"/>
  <c r="H181" i="1"/>
  <c r="D178" i="1"/>
  <c r="E179" i="1" s="1"/>
  <c r="J183" i="1"/>
  <c r="I180" i="1"/>
  <c r="C180" i="1"/>
  <c r="I183" i="1"/>
  <c r="L180" i="1"/>
  <c r="E181" i="1"/>
  <c r="K181" i="1"/>
  <c r="G182" i="1"/>
  <c r="J181" i="1"/>
  <c r="BI68" i="1"/>
  <c r="D180" i="1"/>
  <c r="M181" i="1"/>
  <c r="G330" i="1"/>
  <c r="E330" i="1"/>
  <c r="F354" i="1"/>
  <c r="L357" i="1"/>
  <c r="H330" i="1"/>
  <c r="I330" i="1"/>
  <c r="F357" i="1"/>
  <c r="I164" i="1"/>
  <c r="I166" i="1" s="1"/>
  <c r="I167" i="1" s="1"/>
  <c r="F355" i="1"/>
  <c r="E142" i="1"/>
  <c r="H142" i="1"/>
  <c r="F330" i="1"/>
  <c r="M32" i="1"/>
  <c r="M70" i="1" s="1"/>
  <c r="I32" i="1"/>
  <c r="I295" i="1"/>
  <c r="I296" i="1" s="1"/>
  <c r="L179" i="1"/>
  <c r="BD354" i="1"/>
  <c r="J32" i="1"/>
  <c r="J35" i="1" s="1"/>
  <c r="L142" i="1"/>
  <c r="K32" i="1"/>
  <c r="K70" i="1" s="1"/>
  <c r="J179" i="1"/>
  <c r="D142" i="1"/>
  <c r="L32" i="1"/>
  <c r="L70" i="1" s="1"/>
  <c r="F337" i="1"/>
  <c r="F338" i="1"/>
  <c r="F340" i="1"/>
  <c r="BF241" i="1"/>
  <c r="C354" i="1"/>
  <c r="C356" i="1"/>
  <c r="C355" i="1"/>
  <c r="C357" i="1"/>
  <c r="D181" i="1"/>
  <c r="F395" i="1"/>
  <c r="F365" i="1"/>
  <c r="F368" i="1" s="1"/>
  <c r="F352" i="1"/>
  <c r="F361" i="1"/>
  <c r="F353" i="1"/>
  <c r="F252" i="1"/>
  <c r="F241" i="1"/>
  <c r="M142" i="1"/>
  <c r="H340" i="1"/>
  <c r="H338" i="1"/>
  <c r="H337" i="1"/>
  <c r="E370" i="1"/>
  <c r="H370" i="1"/>
  <c r="K142" i="1"/>
  <c r="L181" i="1"/>
  <c r="M365" i="1"/>
  <c r="M361" i="1"/>
  <c r="D370" i="1"/>
  <c r="BE303" i="1"/>
  <c r="BE277" i="1" s="1"/>
  <c r="BE316" i="1"/>
  <c r="BE356" i="1" s="1"/>
  <c r="BF124" i="1"/>
  <c r="M116" i="1"/>
  <c r="C344" i="1"/>
  <c r="C343" i="1"/>
  <c r="C70" i="1"/>
  <c r="C35" i="1"/>
  <c r="C340" i="1"/>
  <c r="E182" i="1"/>
  <c r="E356" i="1"/>
  <c r="E354" i="1"/>
  <c r="E357" i="1"/>
  <c r="E355" i="1"/>
  <c r="G178" i="1"/>
  <c r="H179" i="1" s="1"/>
  <c r="L365" i="1"/>
  <c r="L352" i="1"/>
  <c r="L353" i="1"/>
  <c r="L358" i="1" s="1"/>
  <c r="L361" i="1"/>
  <c r="D354" i="1"/>
  <c r="D356" i="1"/>
  <c r="D355" i="1"/>
  <c r="D357" i="1"/>
  <c r="E344" i="1"/>
  <c r="E343" i="1"/>
  <c r="E70" i="1"/>
  <c r="E35" i="1"/>
  <c r="E341" i="1" s="1"/>
  <c r="F370" i="1"/>
  <c r="H354" i="1"/>
  <c r="H356" i="1"/>
  <c r="H357" i="1"/>
  <c r="H355" i="1"/>
  <c r="G344" i="1"/>
  <c r="G343" i="1"/>
  <c r="G70" i="1"/>
  <c r="G35" i="1"/>
  <c r="G341" i="1" s="1"/>
  <c r="K354" i="1"/>
  <c r="K356" i="1"/>
  <c r="K355" i="1"/>
  <c r="K357" i="1"/>
  <c r="BF280" i="1"/>
  <c r="M280" i="1" s="1"/>
  <c r="M318" i="1"/>
  <c r="M360" i="1" s="1"/>
  <c r="G338" i="1"/>
  <c r="G337" i="1"/>
  <c r="G340" i="1"/>
  <c r="G395" i="1"/>
  <c r="G365" i="1"/>
  <c r="G368" i="1" s="1"/>
  <c r="G352" i="1"/>
  <c r="G361" i="1"/>
  <c r="G353" i="1"/>
  <c r="K241" i="1"/>
  <c r="I142" i="1"/>
  <c r="J356" i="1"/>
  <c r="J354" i="1"/>
  <c r="J357" i="1"/>
  <c r="J355" i="1"/>
  <c r="L241" i="1"/>
  <c r="F142" i="1"/>
  <c r="J252" i="1"/>
  <c r="J241" i="1"/>
  <c r="BE276" i="1"/>
  <c r="BE113" i="1"/>
  <c r="C252" i="1"/>
  <c r="C241" i="1"/>
  <c r="G370" i="1"/>
  <c r="G142" i="1"/>
  <c r="H344" i="1"/>
  <c r="H343" i="1"/>
  <c r="H70" i="1"/>
  <c r="H35" i="1"/>
  <c r="J370" i="1"/>
  <c r="L354" i="1"/>
  <c r="L356" i="1"/>
  <c r="G252" i="1"/>
  <c r="G241" i="1"/>
  <c r="H395" i="1"/>
  <c r="H365" i="1"/>
  <c r="H368" i="1" s="1"/>
  <c r="H352" i="1"/>
  <c r="H361" i="1"/>
  <c r="H353" i="1"/>
  <c r="I356" i="1"/>
  <c r="I354" i="1"/>
  <c r="I357" i="1"/>
  <c r="I355" i="1"/>
  <c r="M241" i="1"/>
  <c r="BD279" i="1"/>
  <c r="BD319" i="1"/>
  <c r="BD127" i="1"/>
  <c r="BE120" i="1"/>
  <c r="BE126" i="1"/>
  <c r="BE125" i="1"/>
  <c r="E395" i="1"/>
  <c r="E352" i="1"/>
  <c r="E365" i="1"/>
  <c r="E368" i="1" s="1"/>
  <c r="E353" i="1"/>
  <c r="E361" i="1"/>
  <c r="D183" i="1"/>
  <c r="D344" i="1"/>
  <c r="D343" i="1"/>
  <c r="D70" i="1"/>
  <c r="D35" i="1"/>
  <c r="D340" i="1"/>
  <c r="C370" i="1"/>
  <c r="I338" i="1"/>
  <c r="I337" i="1"/>
  <c r="H252" i="1"/>
  <c r="H241" i="1"/>
  <c r="BF117" i="1"/>
  <c r="BF113" i="1" s="1"/>
  <c r="BF112" i="1" s="1"/>
  <c r="BF23" i="1"/>
  <c r="M19" i="1"/>
  <c r="M23" i="1" s="1"/>
  <c r="E252" i="1"/>
  <c r="E241" i="1"/>
  <c r="E340" i="1"/>
  <c r="E338" i="1"/>
  <c r="E337" i="1"/>
  <c r="BF70" i="1"/>
  <c r="F343" i="1"/>
  <c r="F344" i="1"/>
  <c r="F70" i="1"/>
  <c r="F35" i="1"/>
  <c r="M179" i="1"/>
  <c r="L182" i="1"/>
  <c r="BE242" i="1"/>
  <c r="C395" i="1"/>
  <c r="C365" i="1"/>
  <c r="C368" i="1" s="1"/>
  <c r="C352" i="1"/>
  <c r="C353" i="1"/>
  <c r="C361" i="1"/>
  <c r="J142" i="1"/>
  <c r="J365" i="1"/>
  <c r="J368" i="1" s="1"/>
  <c r="J395" i="1"/>
  <c r="J352" i="1"/>
  <c r="J361" i="1"/>
  <c r="J353" i="1"/>
  <c r="K179" i="1"/>
  <c r="K365" i="1"/>
  <c r="K352" i="1"/>
  <c r="K353" i="1"/>
  <c r="K361" i="1"/>
  <c r="BD182" i="1"/>
  <c r="BD145" i="1"/>
  <c r="D252" i="1"/>
  <c r="D241" i="1"/>
  <c r="F164" i="1"/>
  <c r="F166" i="1" s="1"/>
  <c r="F167" i="1" s="1"/>
  <c r="I370" i="1"/>
  <c r="BE167" i="1"/>
  <c r="BE173" i="1"/>
  <c r="BE352" i="1"/>
  <c r="BF365" i="1"/>
  <c r="BF301" i="1"/>
  <c r="BF352" i="1" s="1"/>
  <c r="BF164" i="1"/>
  <c r="BF166" i="1" s="1"/>
  <c r="BF361" i="1"/>
  <c r="D395" i="1"/>
  <c r="D365" i="1"/>
  <c r="D368" i="1" s="1"/>
  <c r="D352" i="1"/>
  <c r="D361" i="1"/>
  <c r="D353" i="1"/>
  <c r="I395" i="1"/>
  <c r="I352" i="1"/>
  <c r="I365" i="1"/>
  <c r="I368" i="1" s="1"/>
  <c r="I353" i="1"/>
  <c r="I361" i="1"/>
  <c r="G164" i="1"/>
  <c r="G166" i="1" s="1"/>
  <c r="G167" i="1" s="1"/>
  <c r="I252" i="1"/>
  <c r="I241" i="1"/>
  <c r="D179" i="1" l="1"/>
  <c r="G358" i="1"/>
  <c r="I179" i="1"/>
  <c r="I343" i="1"/>
  <c r="F179" i="1"/>
  <c r="BI69" i="1"/>
  <c r="P340" i="1"/>
  <c r="J344" i="1"/>
  <c r="J343" i="1"/>
  <c r="F358" i="1"/>
  <c r="J70" i="1"/>
  <c r="I70" i="1"/>
  <c r="I344" i="1"/>
  <c r="I35" i="1"/>
  <c r="I341" i="1" s="1"/>
  <c r="I340" i="1"/>
  <c r="M117" i="1"/>
  <c r="M106" i="1" s="1"/>
  <c r="M59" i="1" s="1"/>
  <c r="BF118" i="1"/>
  <c r="M118" i="1" s="1"/>
  <c r="M125" i="1" s="1"/>
  <c r="O340" i="1"/>
  <c r="J358" i="1"/>
  <c r="K358" i="1"/>
  <c r="G369" i="1"/>
  <c r="H358" i="1"/>
  <c r="E369" i="1"/>
  <c r="G179" i="1"/>
  <c r="C369" i="1"/>
  <c r="BE127" i="1"/>
  <c r="I257" i="1"/>
  <c r="I242" i="1"/>
  <c r="I358" i="1"/>
  <c r="D358" i="1"/>
  <c r="BF167" i="1"/>
  <c r="BF173" i="1"/>
  <c r="M173" i="1" s="1"/>
  <c r="I369" i="1"/>
  <c r="E257" i="1"/>
  <c r="E258" i="1" s="1"/>
  <c r="E242" i="1"/>
  <c r="E358" i="1"/>
  <c r="G257" i="1"/>
  <c r="G258" i="1" s="1"/>
  <c r="G242" i="1"/>
  <c r="BE112" i="1"/>
  <c r="M112" i="1" s="1"/>
  <c r="M113" i="1"/>
  <c r="G391" i="1"/>
  <c r="G392" i="1" s="1"/>
  <c r="G345" i="1"/>
  <c r="G72" i="1"/>
  <c r="G39" i="1"/>
  <c r="C391" i="1"/>
  <c r="C392" i="1" s="1"/>
  <c r="C345" i="1"/>
  <c r="C72" i="1"/>
  <c r="C39" i="1"/>
  <c r="C341" i="1"/>
  <c r="F391" i="1"/>
  <c r="F392" i="1" s="1"/>
  <c r="F345" i="1"/>
  <c r="F72" i="1"/>
  <c r="F39" i="1"/>
  <c r="BF303" i="1"/>
  <c r="BF316" i="1"/>
  <c r="BF356" i="1" s="1"/>
  <c r="BF276" i="1"/>
  <c r="M276" i="1" s="1"/>
  <c r="M301" i="1"/>
  <c r="C358" i="1"/>
  <c r="I391" i="1"/>
  <c r="I392" i="1" s="1"/>
  <c r="H257" i="1"/>
  <c r="H258" i="1" s="1"/>
  <c r="H242" i="1"/>
  <c r="M242" i="1"/>
  <c r="J369" i="1"/>
  <c r="C257" i="1"/>
  <c r="C258" i="1" s="1"/>
  <c r="C242" i="1"/>
  <c r="F369" i="1"/>
  <c r="M124" i="1"/>
  <c r="M105" i="1"/>
  <c r="M58" i="1" s="1"/>
  <c r="BE279" i="1"/>
  <c r="BE319" i="1"/>
  <c r="J391" i="1"/>
  <c r="J392" i="1" s="1"/>
  <c r="J345" i="1"/>
  <c r="J72" i="1"/>
  <c r="J39" i="1"/>
  <c r="H369" i="1"/>
  <c r="F257" i="1"/>
  <c r="F258" i="1" s="1"/>
  <c r="F242" i="1"/>
  <c r="BF242" i="1"/>
  <c r="F341" i="1"/>
  <c r="BE145" i="1"/>
  <c r="BE182" i="1"/>
  <c r="D391" i="1"/>
  <c r="D392" i="1" s="1"/>
  <c r="D345" i="1"/>
  <c r="D39" i="1"/>
  <c r="D72" i="1"/>
  <c r="D341" i="1"/>
  <c r="H391" i="1"/>
  <c r="H392" i="1" s="1"/>
  <c r="H345" i="1"/>
  <c r="H39" i="1"/>
  <c r="H72" i="1"/>
  <c r="K242" i="1"/>
  <c r="E391" i="1"/>
  <c r="E392" i="1" s="1"/>
  <c r="E345" i="1"/>
  <c r="E72" i="1"/>
  <c r="E39" i="1"/>
  <c r="BF126" i="1"/>
  <c r="H341" i="1"/>
  <c r="D257" i="1"/>
  <c r="D258" i="1" s="1"/>
  <c r="D242" i="1"/>
  <c r="J257" i="1"/>
  <c r="J258" i="1" s="1"/>
  <c r="J242" i="1"/>
  <c r="L242" i="1"/>
  <c r="BE354" i="1"/>
  <c r="D369" i="1"/>
  <c r="BF120" i="1" l="1"/>
  <c r="M120" i="1" s="1"/>
  <c r="M127" i="1" s="1"/>
  <c r="BF125" i="1"/>
  <c r="M107" i="1"/>
  <c r="M60" i="1" s="1"/>
  <c r="BI70" i="1"/>
  <c r="I345" i="1"/>
  <c r="I39" i="1"/>
  <c r="I41" i="1" s="1"/>
  <c r="I72" i="1"/>
  <c r="I258" i="1"/>
  <c r="M126" i="1"/>
  <c r="D396" i="1"/>
  <c r="D393" i="1"/>
  <c r="BF277" i="1"/>
  <c r="M277" i="1" s="1"/>
  <c r="M303" i="1"/>
  <c r="C396" i="1"/>
  <c r="C393" i="1"/>
  <c r="E393" i="1"/>
  <c r="E396" i="1"/>
  <c r="H41" i="1"/>
  <c r="H74" i="1"/>
  <c r="J393" i="1"/>
  <c r="J396" i="1"/>
  <c r="I396" i="1"/>
  <c r="I393" i="1"/>
  <c r="BF354" i="1"/>
  <c r="C41" i="1"/>
  <c r="C74" i="1"/>
  <c r="G41" i="1"/>
  <c r="G74" i="1"/>
  <c r="M182" i="1"/>
  <c r="M145" i="1"/>
  <c r="G396" i="1"/>
  <c r="G393" i="1"/>
  <c r="E41" i="1"/>
  <c r="E74" i="1"/>
  <c r="D41" i="1"/>
  <c r="D74" i="1"/>
  <c r="J41" i="1"/>
  <c r="J74" i="1"/>
  <c r="F393" i="1"/>
  <c r="F396" i="1"/>
  <c r="BF145" i="1"/>
  <c r="BF182" i="1"/>
  <c r="H396" i="1"/>
  <c r="H393" i="1"/>
  <c r="M353" i="1"/>
  <c r="M352" i="1"/>
  <c r="BF279" i="1"/>
  <c r="M279" i="1" s="1"/>
  <c r="BF319" i="1"/>
  <c r="M316" i="1"/>
  <c r="F41" i="1"/>
  <c r="F74" i="1"/>
  <c r="BF127" i="1" l="1"/>
  <c r="BI71" i="1"/>
  <c r="BI72" i="1" s="1"/>
  <c r="I74" i="1"/>
  <c r="C383" i="1"/>
  <c r="C397" i="1"/>
  <c r="C50" i="1"/>
  <c r="C1" i="1" s="1"/>
  <c r="C48" i="1"/>
  <c r="C75" i="1"/>
  <c r="F397" i="1"/>
  <c r="F383" i="1"/>
  <c r="F50" i="1"/>
  <c r="F1" i="1" s="1"/>
  <c r="F75" i="1"/>
  <c r="F48" i="1"/>
  <c r="E397" i="1"/>
  <c r="E383" i="1"/>
  <c r="E75" i="1"/>
  <c r="E48" i="1"/>
  <c r="E50" i="1"/>
  <c r="E1" i="1" s="1"/>
  <c r="M355" i="1"/>
  <c r="M354" i="1"/>
  <c r="M357" i="1"/>
  <c r="M319" i="1"/>
  <c r="M356" i="1"/>
  <c r="J383" i="1"/>
  <c r="J397" i="1"/>
  <c r="J50" i="1"/>
  <c r="J75" i="1"/>
  <c r="J48" i="1"/>
  <c r="G383" i="1"/>
  <c r="G397" i="1"/>
  <c r="G50" i="1"/>
  <c r="G1" i="1" s="1"/>
  <c r="G48" i="1"/>
  <c r="G75" i="1"/>
  <c r="H397" i="1"/>
  <c r="H383" i="1"/>
  <c r="H75" i="1"/>
  <c r="H50" i="1"/>
  <c r="H1" i="1" s="1"/>
  <c r="H48" i="1"/>
  <c r="I397" i="1"/>
  <c r="I383" i="1"/>
  <c r="I75" i="1"/>
  <c r="I50" i="1"/>
  <c r="I48" i="1"/>
  <c r="D397" i="1"/>
  <c r="D383" i="1"/>
  <c r="D75" i="1"/>
  <c r="D48" i="1"/>
  <c r="D50" i="1"/>
  <c r="D1" i="1" s="1"/>
  <c r="BI73" i="1" l="1"/>
  <c r="J1" i="1"/>
  <c r="M358" i="1"/>
  <c r="I1" i="1"/>
  <c r="D398" i="1"/>
  <c r="D382" i="1"/>
  <c r="D51" i="1"/>
  <c r="I398" i="1"/>
  <c r="I382" i="1"/>
  <c r="I51" i="1"/>
  <c r="H398" i="1"/>
  <c r="H382" i="1"/>
  <c r="H51" i="1"/>
  <c r="J398" i="1"/>
  <c r="J382" i="1"/>
  <c r="J51" i="1"/>
  <c r="E398" i="1"/>
  <c r="E382" i="1"/>
  <c r="E51" i="1"/>
  <c r="F398" i="1"/>
  <c r="F382" i="1"/>
  <c r="F51" i="1"/>
  <c r="C382" i="1"/>
  <c r="C398" i="1"/>
  <c r="C51" i="1"/>
  <c r="G382" i="1"/>
  <c r="G398" i="1"/>
  <c r="G51" i="1"/>
  <c r="BI74" i="1" l="1"/>
  <c r="BI75" i="1" l="1"/>
  <c r="BI76" i="1" s="1"/>
  <c r="BI77" i="1" s="1"/>
  <c r="BI78" i="1" s="1"/>
  <c r="BI79" i="1" s="1"/>
  <c r="BI80" i="1" s="1"/>
  <c r="BI81" i="1" s="1"/>
  <c r="BI82" i="1" s="1"/>
  <c r="BI83" i="1" s="1"/>
  <c r="BI84" i="1" s="1"/>
  <c r="BI85" i="1" s="1"/>
  <c r="BI86" i="1" s="1"/>
  <c r="BI87" i="1" s="1"/>
  <c r="BI88" i="1" s="1"/>
  <c r="BI89" i="1" s="1"/>
  <c r="BI90" i="1" s="1"/>
  <c r="BI91" i="1" s="1"/>
  <c r="BI92" i="1" s="1"/>
  <c r="BI93" i="1" s="1"/>
  <c r="BI94" i="1" s="1"/>
  <c r="BI95" i="1" s="1"/>
  <c r="BI96" i="1" s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BI107" i="1" s="1"/>
  <c r="BI108" i="1" s="1"/>
  <c r="BI109" i="1" s="1"/>
  <c r="BI110" i="1" s="1"/>
  <c r="BI111" i="1" s="1"/>
  <c r="BI112" i="1" s="1"/>
  <c r="BI113" i="1" s="1"/>
  <c r="BI114" i="1" s="1"/>
  <c r="BI115" i="1" s="1"/>
  <c r="BI116" i="1" s="1"/>
  <c r="BI117" i="1" s="1"/>
  <c r="BI118" i="1" s="1"/>
  <c r="BI119" i="1" s="1"/>
  <c r="BI120" i="1" s="1"/>
  <c r="BI121" i="1" s="1"/>
  <c r="BI122" i="1" s="1"/>
  <c r="BI123" i="1" s="1"/>
  <c r="BI124" i="1" s="1"/>
  <c r="BI125" i="1" s="1"/>
  <c r="BI126" i="1" s="1"/>
  <c r="BI127" i="1" s="1"/>
  <c r="BI128" i="1" s="1"/>
  <c r="BI129" i="1" s="1"/>
  <c r="BI130" i="1" s="1"/>
  <c r="BI131" i="1" s="1"/>
  <c r="BI132" i="1" s="1"/>
  <c r="BI133" i="1" s="1"/>
  <c r="BI134" i="1" s="1"/>
  <c r="BI135" i="1" s="1"/>
  <c r="BI136" i="1" s="1"/>
  <c r="BI137" i="1" s="1"/>
  <c r="BI138" i="1" s="1"/>
  <c r="BI139" i="1" s="1"/>
  <c r="BI140" i="1" s="1"/>
  <c r="BI141" i="1" s="1"/>
  <c r="BI142" i="1" s="1"/>
  <c r="BI143" i="1" s="1"/>
  <c r="BI144" i="1" s="1"/>
  <c r="BI145" i="1" s="1"/>
  <c r="BI146" i="1" s="1"/>
  <c r="BI147" i="1" s="1"/>
  <c r="BI148" i="1" s="1"/>
  <c r="BI149" i="1" s="1"/>
  <c r="BI150" i="1" s="1"/>
  <c r="BI151" i="1" s="1"/>
  <c r="BI152" i="1" s="1"/>
  <c r="BI153" i="1" s="1"/>
  <c r="BI154" i="1" s="1"/>
  <c r="BI155" i="1" s="1"/>
  <c r="BI156" i="1" s="1"/>
  <c r="BI157" i="1" s="1"/>
  <c r="BI158" i="1" s="1"/>
  <c r="BI159" i="1" s="1"/>
  <c r="BI160" i="1" s="1"/>
  <c r="BI161" i="1" s="1"/>
  <c r="BI162" i="1" s="1"/>
  <c r="BI163" i="1" s="1"/>
  <c r="BI164" i="1" s="1"/>
  <c r="BI165" i="1" s="1"/>
  <c r="BI166" i="1" s="1"/>
  <c r="BI167" i="1" s="1"/>
  <c r="BI168" i="1" s="1"/>
  <c r="BI169" i="1" s="1"/>
  <c r="BI170" i="1" s="1"/>
  <c r="BI171" i="1" s="1"/>
  <c r="BI172" i="1" s="1"/>
  <c r="BI173" i="1" s="1"/>
  <c r="BI174" i="1" s="1"/>
  <c r="BI175" i="1" s="1"/>
  <c r="BI176" i="1" s="1"/>
  <c r="BI177" i="1" s="1"/>
  <c r="BI178" i="1" s="1"/>
  <c r="BI179" i="1" s="1"/>
  <c r="BI180" i="1" s="1"/>
  <c r="BI181" i="1" s="1"/>
  <c r="BI182" i="1" s="1"/>
  <c r="BI183" i="1" s="1"/>
  <c r="BI184" i="1" s="1"/>
  <c r="BI185" i="1" s="1"/>
  <c r="BI186" i="1" s="1"/>
  <c r="BI187" i="1" s="1"/>
  <c r="BI188" i="1" s="1"/>
  <c r="BI189" i="1" s="1"/>
  <c r="BI190" i="1" s="1"/>
  <c r="BI191" i="1" s="1"/>
  <c r="BI192" i="1" s="1"/>
  <c r="BI193" i="1" s="1"/>
  <c r="BI194" i="1" s="1"/>
  <c r="BI195" i="1" s="1"/>
  <c r="BI196" i="1" s="1"/>
  <c r="BI197" i="1" s="1"/>
  <c r="BI198" i="1" s="1"/>
  <c r="BI199" i="1" s="1"/>
  <c r="BI200" i="1" s="1"/>
  <c r="BI201" i="1" s="1"/>
  <c r="BI202" i="1" s="1"/>
  <c r="BI203" i="1" s="1"/>
  <c r="BI204" i="1" s="1"/>
  <c r="BI205" i="1" s="1"/>
  <c r="BI206" i="1" s="1"/>
  <c r="BI207" i="1" s="1"/>
  <c r="BI208" i="1" s="1"/>
  <c r="BI209" i="1" s="1"/>
  <c r="BI210" i="1" s="1"/>
  <c r="BI211" i="1" s="1"/>
  <c r="BI212" i="1" s="1"/>
  <c r="BI213" i="1" s="1"/>
  <c r="BI214" i="1" s="1"/>
  <c r="BI215" i="1" s="1"/>
  <c r="BI216" i="1" s="1"/>
  <c r="BI217" i="1" s="1"/>
  <c r="BI218" i="1" s="1"/>
  <c r="BI219" i="1" s="1"/>
  <c r="BI220" i="1" s="1"/>
  <c r="BI221" i="1" s="1"/>
  <c r="BI222" i="1" s="1"/>
  <c r="BI223" i="1" s="1"/>
  <c r="BI224" i="1" s="1"/>
  <c r="BI225" i="1" s="1"/>
  <c r="BI226" i="1" s="1"/>
  <c r="BI227" i="1" s="1"/>
  <c r="BI228" i="1" s="1"/>
  <c r="BI229" i="1" s="1"/>
  <c r="BI230" i="1" s="1"/>
  <c r="BI231" i="1" s="1"/>
  <c r="BI232" i="1" s="1"/>
  <c r="BI233" i="1" s="1"/>
  <c r="BI234" i="1" s="1"/>
  <c r="BI235" i="1" s="1"/>
  <c r="BI236" i="1" s="1"/>
  <c r="BI237" i="1" s="1"/>
  <c r="BI238" i="1" s="1"/>
  <c r="BI239" i="1" s="1"/>
  <c r="BI240" i="1" s="1"/>
  <c r="BI241" i="1" s="1"/>
  <c r="BI242" i="1" s="1"/>
  <c r="BI243" i="1" s="1"/>
  <c r="BI244" i="1" s="1"/>
  <c r="BI245" i="1" s="1"/>
  <c r="BI246" i="1" s="1"/>
  <c r="BI247" i="1" s="1"/>
  <c r="BI248" i="1" s="1"/>
  <c r="BI249" i="1" s="1"/>
  <c r="BI250" i="1" s="1"/>
  <c r="BI251" i="1" s="1"/>
  <c r="BI252" i="1" s="1"/>
  <c r="BI253" i="1" s="1"/>
  <c r="BI254" i="1" s="1"/>
  <c r="BI255" i="1" s="1"/>
  <c r="BI256" i="1" s="1"/>
  <c r="BI257" i="1" s="1"/>
  <c r="BI258" i="1" s="1"/>
  <c r="BI259" i="1" s="1"/>
  <c r="BI260" i="1" s="1"/>
  <c r="BI261" i="1" s="1"/>
  <c r="BI262" i="1" s="1"/>
  <c r="BI263" i="1" s="1"/>
  <c r="BI264" i="1" s="1"/>
  <c r="BI265" i="1" s="1"/>
  <c r="BI266" i="1" s="1"/>
  <c r="BI267" i="1" s="1"/>
  <c r="BI268" i="1" s="1"/>
  <c r="BI269" i="1" s="1"/>
  <c r="BI270" i="1" s="1"/>
  <c r="BI271" i="1" s="1"/>
  <c r="BI272" i="1" s="1"/>
  <c r="BI273" i="1" s="1"/>
  <c r="BI274" i="1" s="1"/>
  <c r="BI275" i="1" s="1"/>
  <c r="BI276" i="1" s="1"/>
  <c r="BI277" i="1" s="1"/>
  <c r="BI278" i="1" s="1"/>
  <c r="BI279" i="1" s="1"/>
  <c r="BI280" i="1" s="1"/>
  <c r="BI281" i="1" s="1"/>
  <c r="BI282" i="1" s="1"/>
  <c r="BI283" i="1" l="1"/>
  <c r="BI284" i="1" l="1"/>
  <c r="BI285" i="1" s="1"/>
  <c r="BI286" i="1" s="1"/>
  <c r="BI287" i="1" s="1"/>
  <c r="BI288" i="1" s="1"/>
  <c r="BI289" i="1" s="1"/>
  <c r="BI290" i="1" s="1"/>
  <c r="BI291" i="1" s="1"/>
  <c r="BI292" i="1" s="1"/>
  <c r="BI293" i="1" s="1"/>
  <c r="BI294" i="1" s="1"/>
  <c r="BI295" i="1" s="1"/>
  <c r="BI296" i="1" s="1"/>
  <c r="BI297" i="1" s="1"/>
  <c r="BI298" i="1" s="1"/>
  <c r="BI299" i="1" s="1"/>
  <c r="BI300" i="1" s="1"/>
  <c r="BI301" i="1" s="1"/>
  <c r="BI302" i="1" s="1"/>
  <c r="BI303" i="1" s="1"/>
  <c r="BI304" i="1" s="1"/>
  <c r="BI305" i="1" s="1"/>
  <c r="BI306" i="1" s="1"/>
  <c r="BI307" i="1" s="1"/>
  <c r="BI308" i="1" s="1"/>
  <c r="BI309" i="1" s="1"/>
  <c r="BI310" i="1" s="1"/>
  <c r="BI311" i="1" s="1"/>
  <c r="BI312" i="1" s="1"/>
  <c r="BI313" i="1" s="1"/>
  <c r="BI314" i="1" s="1"/>
  <c r="BI315" i="1" s="1"/>
  <c r="BI316" i="1" s="1"/>
  <c r="BI317" i="1" s="1"/>
  <c r="BI318" i="1" s="1"/>
  <c r="BI319" i="1" s="1"/>
  <c r="BI320" i="1" s="1"/>
  <c r="BI321" i="1" s="1"/>
  <c r="BI322" i="1" s="1"/>
  <c r="BI323" i="1" s="1"/>
  <c r="BI324" i="1" s="1"/>
  <c r="BI325" i="1" s="1"/>
  <c r="BI326" i="1" s="1"/>
  <c r="BI327" i="1" s="1"/>
  <c r="BI328" i="1" s="1"/>
  <c r="BI329" i="1" s="1"/>
  <c r="BI330" i="1" s="1"/>
  <c r="BI331" i="1" s="1"/>
  <c r="BI332" i="1" s="1"/>
  <c r="BI333" i="1" s="1"/>
  <c r="BI334" i="1" s="1"/>
  <c r="BI335" i="1" s="1"/>
  <c r="BI336" i="1" l="1"/>
  <c r="BI337" i="1" s="1"/>
  <c r="BI338" i="1" l="1"/>
  <c r="BI339" i="1" s="1"/>
  <c r="BI340" i="1" s="1"/>
  <c r="BI341" i="1" l="1"/>
  <c r="BI342" i="1" s="1"/>
  <c r="BI343" i="1" s="1"/>
  <c r="BI344" i="1" s="1"/>
  <c r="BI345" i="1" s="1"/>
  <c r="BI346" i="1" s="1"/>
  <c r="BI347" i="1" s="1"/>
  <c r="BI348" i="1" s="1"/>
  <c r="BI349" i="1" s="1"/>
  <c r="BI350" i="1" s="1"/>
  <c r="BI351" i="1" s="1"/>
  <c r="BI352" i="1" s="1"/>
  <c r="BI353" i="1" s="1"/>
  <c r="BI354" i="1" s="1"/>
  <c r="BI355" i="1" s="1"/>
  <c r="BI356" i="1" s="1"/>
  <c r="BI357" i="1" s="1"/>
  <c r="BI358" i="1" s="1"/>
  <c r="BI359" i="1" s="1"/>
  <c r="BI360" i="1" s="1"/>
  <c r="BI361" i="1" s="1"/>
  <c r="BI362" i="1" s="1"/>
  <c r="BI363" i="1" s="1"/>
  <c r="BI364" i="1" s="1"/>
  <c r="BI365" i="1" s="1"/>
  <c r="BI366" i="1" s="1"/>
  <c r="BI367" i="1" s="1"/>
  <c r="BI368" i="1" s="1"/>
  <c r="BI369" i="1" s="1"/>
  <c r="BI370" i="1" s="1"/>
  <c r="BI371" i="1" s="1"/>
  <c r="BI372" i="1" s="1"/>
  <c r="BI373" i="1" s="1"/>
  <c r="BI374" i="1" s="1"/>
  <c r="BI375" i="1" s="1"/>
  <c r="BI376" i="1" s="1"/>
  <c r="BI377" i="1" s="1"/>
  <c r="BI378" i="1" s="1"/>
  <c r="BI379" i="1" s="1"/>
  <c r="BI380" i="1" s="1"/>
  <c r="BI381" i="1" s="1"/>
  <c r="BI382" i="1" s="1"/>
  <c r="BI383" i="1" s="1"/>
  <c r="BI384" i="1" s="1"/>
  <c r="BI385" i="1" s="1"/>
  <c r="BI386" i="1" s="1"/>
  <c r="BI387" i="1" s="1"/>
  <c r="BI388" i="1" s="1"/>
  <c r="BI389" i="1" s="1"/>
  <c r="BI390" i="1" s="1"/>
  <c r="BI391" i="1" s="1"/>
  <c r="BI392" i="1" s="1"/>
  <c r="BI393" i="1" s="1"/>
  <c r="BI394" i="1" s="1"/>
  <c r="BI395" i="1" s="1"/>
  <c r="BI396" i="1" s="1"/>
  <c r="BI397" i="1" s="1"/>
  <c r="BI398" i="1" s="1"/>
  <c r="BI399" i="1" s="1"/>
  <c r="BI400" i="1" s="1"/>
  <c r="BI401" i="1" s="1"/>
  <c r="BI402" i="1" s="1"/>
  <c r="BI403" i="1" s="1"/>
  <c r="BI404" i="1" s="1"/>
  <c r="BI405" i="1" s="1"/>
  <c r="BI406" i="1" s="1"/>
  <c r="BI407" i="1" s="1"/>
  <c r="BI408" i="1" s="1"/>
  <c r="BI409" i="1" s="1"/>
  <c r="BI410" i="1" s="1"/>
  <c r="BI411" i="1" s="1"/>
  <c r="BI413" i="1" s="1"/>
  <c r="BI414" i="1" s="1"/>
  <c r="BI415" i="1" s="1"/>
  <c r="BI416" i="1" s="1"/>
  <c r="BI417" i="1" s="1"/>
  <c r="BI418" i="1" s="1"/>
  <c r="BI419" i="1" s="1"/>
  <c r="BI420" i="1" s="1"/>
  <c r="BI421" i="1" s="1"/>
  <c r="BI422" i="1" s="1"/>
  <c r="BI423" i="1" s="1"/>
  <c r="BI424" i="1" s="1"/>
  <c r="BI425" i="1" s="1"/>
  <c r="BI426" i="1" s="1"/>
  <c r="BI427" i="1" s="1"/>
  <c r="BI428" i="1" s="1"/>
  <c r="BI429" i="1" s="1"/>
  <c r="BI430" i="1" s="1"/>
  <c r="BI431" i="1" s="1"/>
  <c r="BI432" i="1" s="1"/>
  <c r="BI433" i="1" s="1"/>
  <c r="BI434" i="1" s="1"/>
  <c r="BI435" i="1" s="1"/>
  <c r="BI436" i="1" s="1"/>
  <c r="BI437" i="1" s="1"/>
  <c r="BI438" i="1" s="1"/>
  <c r="BI439" i="1" s="1"/>
  <c r="BI440" i="1" s="1"/>
  <c r="AT94" i="1" l="1"/>
  <c r="J80" i="1"/>
  <c r="J94" i="1" s="1"/>
  <c r="AU80" i="1"/>
  <c r="AU94" i="1" l="1"/>
  <c r="AV80" i="1"/>
  <c r="AU81" i="1"/>
  <c r="AU95" i="1" s="1"/>
  <c r="J81" i="1"/>
  <c r="AT95" i="1"/>
  <c r="J95" i="1" l="1"/>
  <c r="AV81" i="1"/>
  <c r="AW80" i="1"/>
  <c r="AW94" i="1" s="1"/>
  <c r="AV94" i="1"/>
  <c r="AV95" i="1"/>
  <c r="AU260" i="1"/>
  <c r="AV260" i="1" l="1"/>
  <c r="AV265" i="1" s="1"/>
  <c r="AV282" i="1" s="1"/>
  <c r="AU265" i="1"/>
  <c r="AU282" i="1" s="1"/>
  <c r="AW81" i="1"/>
  <c r="AX80" i="1"/>
  <c r="AX94" i="1" s="1"/>
  <c r="AW260" i="1" l="1"/>
  <c r="AW95" i="1"/>
  <c r="AX81" i="1"/>
  <c r="K80" i="1"/>
  <c r="AY80" i="1"/>
  <c r="AU266" i="1"/>
  <c r="AU367" i="1"/>
  <c r="AU346" i="1"/>
  <c r="AU307" i="1"/>
  <c r="AV266" i="1"/>
  <c r="AV367" i="1"/>
  <c r="K94" i="1" l="1"/>
  <c r="AU372" i="1"/>
  <c r="AV307" i="1"/>
  <c r="AU309" i="1"/>
  <c r="AW265" i="1"/>
  <c r="AW282" i="1" s="1"/>
  <c r="K260" i="1"/>
  <c r="K265" i="1" s="1"/>
  <c r="K81" i="1"/>
  <c r="AX260" i="1"/>
  <c r="AX265" i="1" s="1"/>
  <c r="AX282" i="1" s="1"/>
  <c r="AU369" i="1"/>
  <c r="AU370" i="1"/>
  <c r="AV369" i="1"/>
  <c r="AZ80" i="1"/>
  <c r="AY81" i="1"/>
  <c r="AY95" i="1" s="1"/>
  <c r="AY94" i="1"/>
  <c r="AX95" i="1"/>
  <c r="AZ81" i="1" l="1"/>
  <c r="BA80" i="1"/>
  <c r="AW266" i="1"/>
  <c r="AW367" i="1"/>
  <c r="K282" i="1"/>
  <c r="AX266" i="1"/>
  <c r="AX367" i="1"/>
  <c r="AU374" i="1"/>
  <c r="AU321" i="1"/>
  <c r="AU272" i="1" s="1"/>
  <c r="AV33" i="1"/>
  <c r="AZ95" i="1"/>
  <c r="AY260" i="1"/>
  <c r="AZ94" i="1"/>
  <c r="K95" i="1"/>
  <c r="AW307" i="1"/>
  <c r="AU389" i="1" l="1"/>
  <c r="AU395" i="1" s="1"/>
  <c r="AX307" i="1"/>
  <c r="AX369" i="1"/>
  <c r="AW369" i="1"/>
  <c r="BB80" i="1"/>
  <c r="BA81" i="1"/>
  <c r="AV271" i="1"/>
  <c r="AV35" i="1"/>
  <c r="AV249" i="1"/>
  <c r="BA94" i="1"/>
  <c r="AY265" i="1"/>
  <c r="AY282" i="1" s="1"/>
  <c r="K367" i="1"/>
  <c r="BA95" i="1"/>
  <c r="AZ260" i="1"/>
  <c r="AZ265" i="1" s="1"/>
  <c r="AZ282" i="1" s="1"/>
  <c r="AU396" i="1" l="1"/>
  <c r="AU401" i="1"/>
  <c r="AU403" i="1" s="1"/>
  <c r="AY367" i="1"/>
  <c r="AY266" i="1"/>
  <c r="K369" i="1"/>
  <c r="BA260" i="1"/>
  <c r="K307" i="1"/>
  <c r="AY307" i="1"/>
  <c r="AV72" i="1"/>
  <c r="AV391" i="1"/>
  <c r="AV392" i="1" s="1"/>
  <c r="AV366" i="1"/>
  <c r="AV308" i="1"/>
  <c r="AV346" i="1"/>
  <c r="L80" i="1"/>
  <c r="BB81" i="1"/>
  <c r="BC80" i="1"/>
  <c r="BC94" i="1" s="1"/>
  <c r="AZ266" i="1"/>
  <c r="AZ367" i="1"/>
  <c r="AV250" i="1"/>
  <c r="AV257" i="1"/>
  <c r="AV258" i="1" s="1"/>
  <c r="AV246" i="1"/>
  <c r="AV248" i="1"/>
  <c r="AV244" i="1"/>
  <c r="AV247" i="1"/>
  <c r="AV245" i="1"/>
  <c r="BB94" i="1"/>
  <c r="AV252" i="1" l="1"/>
  <c r="AV121" i="1"/>
  <c r="AZ369" i="1"/>
  <c r="AV253" i="1"/>
  <c r="AV154" i="1"/>
  <c r="AV254" i="1"/>
  <c r="AV193" i="1"/>
  <c r="BC81" i="1"/>
  <c r="BC95" i="1" s="1"/>
  <c r="BD80" i="1"/>
  <c r="BD94" i="1" s="1"/>
  <c r="AV368" i="1"/>
  <c r="AV370" i="1"/>
  <c r="AV372" i="1"/>
  <c r="AV255" i="1"/>
  <c r="AV208" i="1"/>
  <c r="L81" i="1"/>
  <c r="BB260" i="1"/>
  <c r="BB265" i="1" s="1"/>
  <c r="BB282" i="1" s="1"/>
  <c r="AZ307" i="1"/>
  <c r="BA265" i="1"/>
  <c r="BA282" i="1" s="1"/>
  <c r="AY369" i="1"/>
  <c r="L94" i="1"/>
  <c r="AV373" i="1"/>
  <c r="AV309" i="1"/>
  <c r="BB95" i="1"/>
  <c r="AV256" i="1"/>
  <c r="AV223" i="1"/>
  <c r="AV393" i="1"/>
  <c r="L260" i="1" l="1"/>
  <c r="L265" i="1" s="1"/>
  <c r="BA307" i="1"/>
  <c r="AV224" i="1"/>
  <c r="L95" i="1"/>
  <c r="AV321" i="1"/>
  <c r="AV272" i="1" s="1"/>
  <c r="AV374" i="1"/>
  <c r="AW33" i="1"/>
  <c r="BA266" i="1"/>
  <c r="BA367" i="1"/>
  <c r="L282" i="1"/>
  <c r="BE80" i="1"/>
  <c r="BD81" i="1"/>
  <c r="BD95" i="1" s="1"/>
  <c r="AV122" i="1"/>
  <c r="BB266" i="1"/>
  <c r="BB367" i="1"/>
  <c r="AV209" i="1"/>
  <c r="BC260" i="1"/>
  <c r="AV194" i="1"/>
  <c r="AV155" i="1"/>
  <c r="BC265" i="1" l="1"/>
  <c r="BC282" i="1" s="1"/>
  <c r="AV215" i="1"/>
  <c r="BF80" i="1"/>
  <c r="BF94" i="1" s="1"/>
  <c r="BE81" i="1"/>
  <c r="BE95" i="1" s="1"/>
  <c r="BB369" i="1"/>
  <c r="BE94" i="1"/>
  <c r="AW249" i="1"/>
  <c r="AW271" i="1"/>
  <c r="AW35" i="1"/>
  <c r="AV200" i="1"/>
  <c r="AV128" i="1"/>
  <c r="AV389" i="1"/>
  <c r="BD260" i="1"/>
  <c r="BD265" i="1" s="1"/>
  <c r="BD282" i="1" s="1"/>
  <c r="L367" i="1"/>
  <c r="BA369" i="1"/>
  <c r="BB307" i="1"/>
  <c r="AV146" i="1"/>
  <c r="AV183" i="1"/>
  <c r="AV161" i="1"/>
  <c r="AW257" i="1" l="1"/>
  <c r="AW258" i="1" s="1"/>
  <c r="AW250" i="1"/>
  <c r="AW248" i="1"/>
  <c r="AW245" i="1"/>
  <c r="AW246" i="1"/>
  <c r="AW247" i="1"/>
  <c r="AW244" i="1"/>
  <c r="BE260" i="1"/>
  <c r="BE265" i="1" s="1"/>
  <c r="BE282" i="1" s="1"/>
  <c r="M80" i="1"/>
  <c r="BF81" i="1"/>
  <c r="L369" i="1"/>
  <c r="AV401" i="1"/>
  <c r="AV403" i="1" s="1"/>
  <c r="AV395" i="1"/>
  <c r="AV396" i="1"/>
  <c r="AW72" i="1"/>
  <c r="AW391" i="1"/>
  <c r="AW392" i="1" s="1"/>
  <c r="L307" i="1"/>
  <c r="BC307" i="1"/>
  <c r="BD367" i="1"/>
  <c r="BD266" i="1"/>
  <c r="AW366" i="1"/>
  <c r="AW346" i="1"/>
  <c r="AW308" i="1"/>
  <c r="BC266" i="1"/>
  <c r="BC367" i="1"/>
  <c r="AW368" i="1" l="1"/>
  <c r="AW372" i="1"/>
  <c r="AW370" i="1"/>
  <c r="BC369" i="1"/>
  <c r="AW373" i="1"/>
  <c r="AW309" i="1"/>
  <c r="BD369" i="1"/>
  <c r="AW393" i="1"/>
  <c r="AW253" i="1"/>
  <c r="AW154" i="1"/>
  <c r="M94" i="1"/>
  <c r="AW252" i="1"/>
  <c r="AW121" i="1"/>
  <c r="AW256" i="1"/>
  <c r="AW223" i="1"/>
  <c r="BE266" i="1"/>
  <c r="BE367" i="1"/>
  <c r="AW255" i="1"/>
  <c r="AW208" i="1"/>
  <c r="BD307" i="1"/>
  <c r="M81" i="1"/>
  <c r="BF260" i="1"/>
  <c r="BF95" i="1"/>
  <c r="AW254" i="1"/>
  <c r="AW193" i="1"/>
  <c r="AW374" i="1" l="1"/>
  <c r="AW321" i="1"/>
  <c r="AW272" i="1" s="1"/>
  <c r="AX33" i="1"/>
  <c r="BE369" i="1"/>
  <c r="AW155" i="1"/>
  <c r="BF265" i="1"/>
  <c r="BF282" i="1" s="1"/>
  <c r="M260" i="1"/>
  <c r="M265" i="1" s="1"/>
  <c r="BE307" i="1"/>
  <c r="AW194" i="1"/>
  <c r="M95" i="1"/>
  <c r="AW209" i="1"/>
  <c r="AW224" i="1"/>
  <c r="AW122" i="1"/>
  <c r="AW389" i="1" l="1"/>
  <c r="AW395" i="1" s="1"/>
  <c r="AW183" i="1"/>
  <c r="AW146" i="1"/>
  <c r="AW161" i="1"/>
  <c r="BF307" i="1"/>
  <c r="BF266" i="1"/>
  <c r="BF367" i="1"/>
  <c r="M282" i="1"/>
  <c r="AW128" i="1"/>
  <c r="AW215" i="1"/>
  <c r="AW200" i="1"/>
  <c r="AX249" i="1"/>
  <c r="AX271" i="1"/>
  <c r="AX35" i="1"/>
  <c r="K33" i="1"/>
  <c r="AW401" i="1" l="1"/>
  <c r="AW403" i="1" s="1"/>
  <c r="AW396" i="1"/>
  <c r="BF369" i="1"/>
  <c r="M307" i="1"/>
  <c r="AX72" i="1"/>
  <c r="AX391" i="1"/>
  <c r="AX392" i="1" s="1"/>
  <c r="K71" i="1"/>
  <c r="K35" i="1"/>
  <c r="AX366" i="1"/>
  <c r="AX346" i="1"/>
  <c r="K271" i="1"/>
  <c r="AX308" i="1"/>
  <c r="M367" i="1"/>
  <c r="AX250" i="1"/>
  <c r="AX257" i="1"/>
  <c r="AX258" i="1" s="1"/>
  <c r="AX244" i="1"/>
  <c r="AX248" i="1"/>
  <c r="AX247" i="1"/>
  <c r="AX246" i="1"/>
  <c r="AX245" i="1"/>
  <c r="K366" i="1" l="1"/>
  <c r="K346" i="1"/>
  <c r="AX393" i="1"/>
  <c r="AX253" i="1"/>
  <c r="AX154" i="1"/>
  <c r="K245" i="1"/>
  <c r="K253" i="1" s="1"/>
  <c r="AX252" i="1"/>
  <c r="AX121" i="1"/>
  <c r="K244" i="1"/>
  <c r="AX254" i="1"/>
  <c r="AX193" i="1"/>
  <c r="K246" i="1"/>
  <c r="K254" i="1" s="1"/>
  <c r="AX208" i="1"/>
  <c r="AX255" i="1"/>
  <c r="K247" i="1"/>
  <c r="K255" i="1" s="1"/>
  <c r="AX368" i="1"/>
  <c r="AX370" i="1"/>
  <c r="AX372" i="1"/>
  <c r="AX256" i="1"/>
  <c r="AX223" i="1"/>
  <c r="K248" i="1"/>
  <c r="K256" i="1" s="1"/>
  <c r="M369" i="1"/>
  <c r="K308" i="1"/>
  <c r="AX373" i="1"/>
  <c r="AX309" i="1"/>
  <c r="K391" i="1"/>
  <c r="K392" i="1" s="1"/>
  <c r="K72" i="1"/>
  <c r="K373" i="1" l="1"/>
  <c r="AX374" i="1"/>
  <c r="AX321" i="1"/>
  <c r="AX389" i="1" s="1"/>
  <c r="K309" i="1"/>
  <c r="AY33" i="1"/>
  <c r="AX224" i="1"/>
  <c r="K224" i="1" s="1"/>
  <c r="K223" i="1"/>
  <c r="K393" i="1"/>
  <c r="AX209" i="1"/>
  <c r="K208" i="1"/>
  <c r="AX194" i="1"/>
  <c r="K193" i="1"/>
  <c r="AX122" i="1"/>
  <c r="K121" i="1"/>
  <c r="AX155" i="1"/>
  <c r="K154" i="1"/>
  <c r="K252" i="1"/>
  <c r="K249" i="1"/>
  <c r="K257" i="1" s="1"/>
  <c r="K258" i="1" s="1"/>
  <c r="K368" i="1"/>
  <c r="K370" i="1"/>
  <c r="K372" i="1"/>
  <c r="AX128" i="1" l="1"/>
  <c r="K122" i="1"/>
  <c r="K128" i="1" s="1"/>
  <c r="AX215" i="1"/>
  <c r="K209" i="1"/>
  <c r="K215" i="1" s="1"/>
  <c r="AX401" i="1"/>
  <c r="AX395" i="1"/>
  <c r="AX396" i="1"/>
  <c r="K374" i="1"/>
  <c r="AX183" i="1"/>
  <c r="AX161" i="1"/>
  <c r="AX146" i="1"/>
  <c r="K155" i="1"/>
  <c r="AX200" i="1"/>
  <c r="K194" i="1"/>
  <c r="K200" i="1" s="1"/>
  <c r="K321" i="1"/>
  <c r="K362" i="1" s="1"/>
  <c r="AX272" i="1"/>
  <c r="AY249" i="1"/>
  <c r="AY271" i="1"/>
  <c r="AY35" i="1"/>
  <c r="K389" i="1" l="1"/>
  <c r="K396" i="1" s="1"/>
  <c r="AY72" i="1"/>
  <c r="AY391" i="1"/>
  <c r="AY392" i="1" s="1"/>
  <c r="K146" i="1"/>
  <c r="K183" i="1"/>
  <c r="K161" i="1"/>
  <c r="K401" i="1"/>
  <c r="AX403" i="1"/>
  <c r="AY366" i="1"/>
  <c r="AY346" i="1"/>
  <c r="AY308" i="1"/>
  <c r="AY250" i="1"/>
  <c r="AY257" i="1"/>
  <c r="AY258" i="1" s="1"/>
  <c r="AY245" i="1"/>
  <c r="AY244" i="1"/>
  <c r="AY246" i="1"/>
  <c r="AY247" i="1"/>
  <c r="AY248" i="1"/>
  <c r="K395" i="1" l="1"/>
  <c r="AY255" i="1"/>
  <c r="AY208" i="1"/>
  <c r="AY368" i="1"/>
  <c r="AY372" i="1"/>
  <c r="AY370" i="1"/>
  <c r="AY373" i="1"/>
  <c r="AY309" i="1"/>
  <c r="AY393" i="1"/>
  <c r="AY254" i="1"/>
  <c r="AY193" i="1"/>
  <c r="AY252" i="1"/>
  <c r="AY121" i="1"/>
  <c r="AY256" i="1"/>
  <c r="AY223" i="1"/>
  <c r="AY253" i="1"/>
  <c r="AY154" i="1"/>
  <c r="K403" i="1"/>
  <c r="AY155" i="1" l="1"/>
  <c r="AY224" i="1"/>
  <c r="AY209" i="1"/>
  <c r="AY122" i="1"/>
  <c r="AY374" i="1"/>
  <c r="AY321" i="1"/>
  <c r="AY272" i="1" s="1"/>
  <c r="AZ33" i="1"/>
  <c r="AY194" i="1"/>
  <c r="AY389" i="1" l="1"/>
  <c r="AY401" i="1" s="1"/>
  <c r="AY403" i="1" s="1"/>
  <c r="AY128" i="1"/>
  <c r="AZ249" i="1"/>
  <c r="AZ271" i="1"/>
  <c r="AZ35" i="1"/>
  <c r="AY200" i="1"/>
  <c r="AY215" i="1"/>
  <c r="AY183" i="1"/>
  <c r="AY161" i="1"/>
  <c r="AY146" i="1"/>
  <c r="AY396" i="1" l="1"/>
  <c r="AY395" i="1"/>
  <c r="AZ250" i="1"/>
  <c r="AZ257" i="1"/>
  <c r="AZ258" i="1" s="1"/>
  <c r="AZ246" i="1"/>
  <c r="AZ244" i="1"/>
  <c r="AZ248" i="1"/>
  <c r="AZ245" i="1"/>
  <c r="AZ247" i="1"/>
  <c r="AZ391" i="1"/>
  <c r="AZ392" i="1" s="1"/>
  <c r="AZ72" i="1"/>
  <c r="AZ366" i="1"/>
  <c r="AZ346" i="1"/>
  <c r="AZ308" i="1"/>
  <c r="AZ373" i="1" l="1"/>
  <c r="AZ309" i="1"/>
  <c r="AZ121" i="1"/>
  <c r="AZ252" i="1"/>
  <c r="AZ255" i="1"/>
  <c r="AZ208" i="1"/>
  <c r="AZ254" i="1"/>
  <c r="AZ193" i="1"/>
  <c r="AZ253" i="1"/>
  <c r="AZ154" i="1"/>
  <c r="AZ368" i="1"/>
  <c r="AZ370" i="1"/>
  <c r="AZ372" i="1"/>
  <c r="AZ393" i="1"/>
  <c r="AZ256" i="1"/>
  <c r="AZ223" i="1"/>
  <c r="AZ155" i="1" l="1"/>
  <c r="AZ194" i="1"/>
  <c r="AZ209" i="1"/>
  <c r="AZ321" i="1"/>
  <c r="AZ272" i="1" s="1"/>
  <c r="AZ374" i="1"/>
  <c r="BA33" i="1"/>
  <c r="AZ224" i="1"/>
  <c r="AZ122" i="1"/>
  <c r="AZ389" i="1" l="1"/>
  <c r="AZ401" i="1" s="1"/>
  <c r="AZ403" i="1" s="1"/>
  <c r="AZ215" i="1"/>
  <c r="AZ200" i="1"/>
  <c r="AZ183" i="1"/>
  <c r="AZ161" i="1"/>
  <c r="AZ146" i="1"/>
  <c r="AZ128" i="1"/>
  <c r="BA271" i="1"/>
  <c r="BA249" i="1"/>
  <c r="BA35" i="1"/>
  <c r="AZ396" i="1" l="1"/>
  <c r="AZ395" i="1"/>
  <c r="BA250" i="1"/>
  <c r="BA257" i="1"/>
  <c r="BA258" i="1" s="1"/>
  <c r="BA245" i="1"/>
  <c r="BA248" i="1"/>
  <c r="BA244" i="1"/>
  <c r="BA247" i="1"/>
  <c r="BA246" i="1"/>
  <c r="BA366" i="1"/>
  <c r="BA346" i="1"/>
  <c r="BA308" i="1"/>
  <c r="BA72" i="1"/>
  <c r="BA391" i="1"/>
  <c r="BA392" i="1" s="1"/>
  <c r="BA393" i="1" l="1"/>
  <c r="BA368" i="1"/>
  <c r="BA372" i="1"/>
  <c r="BA370" i="1"/>
  <c r="BA223" i="1"/>
  <c r="BA256" i="1"/>
  <c r="BA373" i="1"/>
  <c r="BA309" i="1"/>
  <c r="BA193" i="1"/>
  <c r="BA254" i="1"/>
  <c r="BA253" i="1"/>
  <c r="BA154" i="1"/>
  <c r="BA255" i="1"/>
  <c r="BA208" i="1"/>
  <c r="BA252" i="1"/>
  <c r="BA121" i="1"/>
  <c r="BA122" i="1" l="1"/>
  <c r="BA224" i="1"/>
  <c r="BA209" i="1"/>
  <c r="BA155" i="1"/>
  <c r="BA194" i="1"/>
  <c r="BA374" i="1"/>
  <c r="BA321" i="1"/>
  <c r="BA272" i="1" s="1"/>
  <c r="BB33" i="1"/>
  <c r="BA215" i="1" l="1"/>
  <c r="BB271" i="1"/>
  <c r="BB249" i="1"/>
  <c r="BB35" i="1"/>
  <c r="L33" i="1"/>
  <c r="BA389" i="1"/>
  <c r="BA200" i="1"/>
  <c r="BA183" i="1"/>
  <c r="BA161" i="1"/>
  <c r="BA146" i="1"/>
  <c r="BA128" i="1"/>
  <c r="BB72" i="1" l="1"/>
  <c r="BB391" i="1"/>
  <c r="BB392" i="1" s="1"/>
  <c r="BA401" i="1"/>
  <c r="BA403" i="1" s="1"/>
  <c r="BA395" i="1"/>
  <c r="BA396" i="1"/>
  <c r="BB257" i="1"/>
  <c r="BB258" i="1" s="1"/>
  <c r="BB250" i="1"/>
  <c r="BB244" i="1"/>
  <c r="BB248" i="1"/>
  <c r="BB246" i="1"/>
  <c r="BB245" i="1"/>
  <c r="BB247" i="1"/>
  <c r="BB366" i="1"/>
  <c r="BB346" i="1"/>
  <c r="L271" i="1"/>
  <c r="BB308" i="1"/>
  <c r="L71" i="1"/>
  <c r="L35" i="1"/>
  <c r="BB254" i="1" l="1"/>
  <c r="BB193" i="1"/>
  <c r="L246" i="1"/>
  <c r="L254" i="1" s="1"/>
  <c r="BB368" i="1"/>
  <c r="BB370" i="1"/>
  <c r="BB372" i="1"/>
  <c r="BB256" i="1"/>
  <c r="BB223" i="1"/>
  <c r="L248" i="1"/>
  <c r="L256" i="1" s="1"/>
  <c r="L366" i="1"/>
  <c r="L346" i="1"/>
  <c r="BB154" i="1"/>
  <c r="BB253" i="1"/>
  <c r="L245" i="1"/>
  <c r="L253" i="1" s="1"/>
  <c r="BB373" i="1"/>
  <c r="L308" i="1"/>
  <c r="BB309" i="1"/>
  <c r="BB255" i="1"/>
  <c r="BB208" i="1"/>
  <c r="L247" i="1"/>
  <c r="L255" i="1" s="1"/>
  <c r="BB121" i="1"/>
  <c r="BB252" i="1"/>
  <c r="L244" i="1"/>
  <c r="L72" i="1"/>
  <c r="L391" i="1"/>
  <c r="L392" i="1" s="1"/>
  <c r="BB393" i="1"/>
  <c r="L373" i="1" l="1"/>
  <c r="L393" i="1"/>
  <c r="BB321" i="1"/>
  <c r="BB374" i="1"/>
  <c r="L309" i="1"/>
  <c r="BC33" i="1"/>
  <c r="BB224" i="1"/>
  <c r="L223" i="1"/>
  <c r="BB209" i="1"/>
  <c r="L208" i="1"/>
  <c r="BB122" i="1"/>
  <c r="L121" i="1"/>
  <c r="BB155" i="1"/>
  <c r="L154" i="1"/>
  <c r="BB194" i="1"/>
  <c r="L193" i="1"/>
  <c r="L252" i="1"/>
  <c r="L249" i="1"/>
  <c r="L257" i="1" s="1"/>
  <c r="L258" i="1" s="1"/>
  <c r="L368" i="1"/>
  <c r="L370" i="1"/>
  <c r="L372" i="1"/>
  <c r="BB200" i="1" l="1"/>
  <c r="L194" i="1"/>
  <c r="L200" i="1" s="1"/>
  <c r="BB128" i="1"/>
  <c r="L122" i="1"/>
  <c r="L128" i="1" s="1"/>
  <c r="BC249" i="1"/>
  <c r="BC271" i="1"/>
  <c r="BC35" i="1"/>
  <c r="BB272" i="1"/>
  <c r="L321" i="1"/>
  <c r="L362" i="1" s="1"/>
  <c r="BB389" i="1"/>
  <c r="BB161" i="1"/>
  <c r="BB183" i="1"/>
  <c r="BB146" i="1"/>
  <c r="L155" i="1"/>
  <c r="BB215" i="1"/>
  <c r="L209" i="1"/>
  <c r="L215" i="1" s="1"/>
  <c r="L374" i="1"/>
  <c r="L389" i="1" l="1"/>
  <c r="L395" i="1" s="1"/>
  <c r="BC366" i="1"/>
  <c r="BC346" i="1"/>
  <c r="BC308" i="1"/>
  <c r="L183" i="1"/>
  <c r="L161" i="1"/>
  <c r="L146" i="1"/>
  <c r="BB401" i="1"/>
  <c r="BB395" i="1"/>
  <c r="BB396" i="1"/>
  <c r="BC250" i="1"/>
  <c r="BC257" i="1"/>
  <c r="BC258" i="1" s="1"/>
  <c r="BC245" i="1"/>
  <c r="BC247" i="1"/>
  <c r="BC244" i="1"/>
  <c r="BC248" i="1"/>
  <c r="BC246" i="1"/>
  <c r="BC72" i="1"/>
  <c r="BC391" i="1"/>
  <c r="BC392" i="1" s="1"/>
  <c r="L396" i="1" l="1"/>
  <c r="BC254" i="1"/>
  <c r="BC193" i="1"/>
  <c r="BC253" i="1"/>
  <c r="BC154" i="1"/>
  <c r="BC368" i="1"/>
  <c r="BC370" i="1"/>
  <c r="BC372" i="1"/>
  <c r="BC393" i="1"/>
  <c r="BC256" i="1"/>
  <c r="BC223" i="1"/>
  <c r="L401" i="1"/>
  <c r="BB403" i="1"/>
  <c r="BC373" i="1"/>
  <c r="BC309" i="1"/>
  <c r="BC252" i="1"/>
  <c r="BC121" i="1"/>
  <c r="BC255" i="1"/>
  <c r="BC208" i="1"/>
  <c r="BC209" i="1" l="1"/>
  <c r="BC155" i="1"/>
  <c r="L403" i="1"/>
  <c r="BC374" i="1"/>
  <c r="BC321" i="1"/>
  <c r="BC272" i="1" s="1"/>
  <c r="BD33" i="1"/>
  <c r="BC194" i="1"/>
  <c r="BC224" i="1"/>
  <c r="BC122" i="1"/>
  <c r="BC389" i="1" l="1"/>
  <c r="BC401" i="1" s="1"/>
  <c r="BC403" i="1" s="1"/>
  <c r="BC128" i="1"/>
  <c r="BC200" i="1"/>
  <c r="BD271" i="1"/>
  <c r="BD249" i="1"/>
  <c r="BD35" i="1"/>
  <c r="BC146" i="1"/>
  <c r="BC183" i="1"/>
  <c r="BC161" i="1"/>
  <c r="BC215" i="1"/>
  <c r="BC396" i="1" l="1"/>
  <c r="BC395" i="1"/>
  <c r="BD72" i="1"/>
  <c r="BD391" i="1"/>
  <c r="BD392" i="1" s="1"/>
  <c r="BD250" i="1"/>
  <c r="BD257" i="1"/>
  <c r="BD258" i="1" s="1"/>
  <c r="BD248" i="1"/>
  <c r="BD245" i="1"/>
  <c r="BD244" i="1"/>
  <c r="BD247" i="1"/>
  <c r="BD246" i="1"/>
  <c r="BD366" i="1"/>
  <c r="BD346" i="1"/>
  <c r="BD308" i="1"/>
  <c r="BD253" i="1" l="1"/>
  <c r="BD154" i="1"/>
  <c r="BD368" i="1"/>
  <c r="BD370" i="1"/>
  <c r="BD372" i="1"/>
  <c r="BD254" i="1"/>
  <c r="BD193" i="1"/>
  <c r="BD256" i="1"/>
  <c r="BD223" i="1"/>
  <c r="BD393" i="1"/>
  <c r="BD373" i="1"/>
  <c r="BD309" i="1"/>
  <c r="BD255" i="1"/>
  <c r="BD208" i="1"/>
  <c r="BD252" i="1"/>
  <c r="BD121" i="1"/>
  <c r="BD194" i="1" l="1"/>
  <c r="BD122" i="1"/>
  <c r="BD209" i="1"/>
  <c r="BD155" i="1"/>
  <c r="BD321" i="1"/>
  <c r="BD272" i="1" s="1"/>
  <c r="BD374" i="1"/>
  <c r="BE33" i="1"/>
  <c r="BD224" i="1"/>
  <c r="BD128" i="1" l="1"/>
  <c r="BE271" i="1"/>
  <c r="BE249" i="1"/>
  <c r="BE35" i="1"/>
  <c r="BD389" i="1"/>
  <c r="BD161" i="1"/>
  <c r="BD183" i="1"/>
  <c r="BD146" i="1"/>
  <c r="BD215" i="1"/>
  <c r="BD200" i="1"/>
  <c r="BE72" i="1" l="1"/>
  <c r="BE391" i="1"/>
  <c r="BE392" i="1" s="1"/>
  <c r="BE257" i="1"/>
  <c r="BE258" i="1" s="1"/>
  <c r="BE250" i="1"/>
  <c r="BE246" i="1"/>
  <c r="BE245" i="1"/>
  <c r="BE244" i="1"/>
  <c r="BE248" i="1"/>
  <c r="BE247" i="1"/>
  <c r="BD401" i="1"/>
  <c r="BD403" i="1" s="1"/>
  <c r="BD395" i="1"/>
  <c r="BD396" i="1"/>
  <c r="BE366" i="1"/>
  <c r="BE346" i="1"/>
  <c r="BE308" i="1"/>
  <c r="BE154" i="1" l="1"/>
  <c r="BE253" i="1"/>
  <c r="BE393" i="1"/>
  <c r="BE208" i="1"/>
  <c r="BE255" i="1"/>
  <c r="BE254" i="1"/>
  <c r="BE193" i="1"/>
  <c r="BE368" i="1"/>
  <c r="BE370" i="1"/>
  <c r="BE372" i="1"/>
  <c r="BE223" i="1"/>
  <c r="BE256" i="1"/>
  <c r="BE373" i="1"/>
  <c r="BE309" i="1"/>
  <c r="BE252" i="1"/>
  <c r="BE121" i="1"/>
  <c r="BE209" i="1" l="1"/>
  <c r="BE224" i="1"/>
  <c r="BE122" i="1"/>
  <c r="BE374" i="1"/>
  <c r="BE321" i="1"/>
  <c r="BE272" i="1" s="1"/>
  <c r="BF33" i="1"/>
  <c r="BE194" i="1"/>
  <c r="BE155" i="1"/>
  <c r="BE389" i="1" l="1"/>
  <c r="BE200" i="1"/>
  <c r="BE146" i="1"/>
  <c r="BE183" i="1"/>
  <c r="BE161" i="1"/>
  <c r="BF249" i="1"/>
  <c r="BF271" i="1"/>
  <c r="BF35" i="1"/>
  <c r="M33" i="1"/>
  <c r="BE128" i="1"/>
  <c r="BE215" i="1"/>
  <c r="BF366" i="1" l="1"/>
  <c r="BF346" i="1"/>
  <c r="M271" i="1"/>
  <c r="BF308" i="1"/>
  <c r="M71" i="1"/>
  <c r="M35" i="1"/>
  <c r="BF72" i="1"/>
  <c r="BF391" i="1"/>
  <c r="BF392" i="1" s="1"/>
  <c r="BF257" i="1"/>
  <c r="BF258" i="1" s="1"/>
  <c r="BF250" i="1"/>
  <c r="BF248" i="1"/>
  <c r="BF244" i="1"/>
  <c r="BF247" i="1"/>
  <c r="BF246" i="1"/>
  <c r="BF245" i="1"/>
  <c r="BE401" i="1"/>
  <c r="BE403" i="1" s="1"/>
  <c r="BE395" i="1"/>
  <c r="BE396" i="1"/>
  <c r="BF254" i="1" l="1"/>
  <c r="BF193" i="1"/>
  <c r="M246" i="1"/>
  <c r="M254" i="1" s="1"/>
  <c r="BF373" i="1"/>
  <c r="M308" i="1"/>
  <c r="BF309" i="1"/>
  <c r="M366" i="1"/>
  <c r="M346" i="1"/>
  <c r="BF255" i="1"/>
  <c r="BF208" i="1"/>
  <c r="M247" i="1"/>
  <c r="M255" i="1" s="1"/>
  <c r="P341" i="1"/>
  <c r="M72" i="1"/>
  <c r="M391" i="1"/>
  <c r="M392" i="1" s="1"/>
  <c r="O341" i="1"/>
  <c r="BF252" i="1"/>
  <c r="BF121" i="1"/>
  <c r="M244" i="1"/>
  <c r="BF154" i="1"/>
  <c r="BF253" i="1"/>
  <c r="M245" i="1"/>
  <c r="M253" i="1" s="1"/>
  <c r="BF256" i="1"/>
  <c r="BF223" i="1"/>
  <c r="M248" i="1"/>
  <c r="M256" i="1" s="1"/>
  <c r="BF393" i="1"/>
  <c r="BF368" i="1"/>
  <c r="BF370" i="1"/>
  <c r="BF372" i="1"/>
  <c r="M373" i="1" l="1"/>
  <c r="M249" i="1"/>
  <c r="M257" i="1" s="1"/>
  <c r="M258" i="1" s="1"/>
  <c r="M252" i="1"/>
  <c r="BF209" i="1"/>
  <c r="M208" i="1"/>
  <c r="BF321" i="1"/>
  <c r="BF389" i="1" s="1"/>
  <c r="BF374" i="1"/>
  <c r="M309" i="1"/>
  <c r="BF194" i="1"/>
  <c r="M193" i="1"/>
  <c r="BF122" i="1"/>
  <c r="M121" i="1"/>
  <c r="M393" i="1"/>
  <c r="BF224" i="1"/>
  <c r="M223" i="1"/>
  <c r="BF155" i="1"/>
  <c r="M154" i="1"/>
  <c r="M368" i="1"/>
  <c r="M372" i="1"/>
  <c r="M370" i="1"/>
  <c r="L224" i="1" l="1"/>
  <c r="M224" i="1"/>
  <c r="BF128" i="1"/>
  <c r="M122" i="1"/>
  <c r="M128" i="1" s="1"/>
  <c r="M374" i="1"/>
  <c r="BF215" i="1"/>
  <c r="M209" i="1"/>
  <c r="M215" i="1" s="1"/>
  <c r="BF401" i="1"/>
  <c r="BF395" i="1"/>
  <c r="BF396" i="1"/>
  <c r="BF161" i="1"/>
  <c r="BF183" i="1"/>
  <c r="BF146" i="1"/>
  <c r="M155" i="1"/>
  <c r="BF200" i="1"/>
  <c r="M194" i="1"/>
  <c r="M200" i="1" s="1"/>
  <c r="BF272" i="1"/>
  <c r="M321" i="1"/>
  <c r="M362" i="1" s="1"/>
  <c r="M183" i="1" l="1"/>
  <c r="M146" i="1"/>
  <c r="M161" i="1"/>
  <c r="K272" i="1"/>
  <c r="L272" i="1"/>
  <c r="M272" i="1"/>
  <c r="M401" i="1"/>
  <c r="BF403" i="1"/>
  <c r="M389" i="1"/>
  <c r="M395" i="1" l="1"/>
  <c r="M396" i="1"/>
  <c r="M403" i="1"/>
  <c r="AT283" i="1" l="1"/>
  <c r="AT295" i="1"/>
  <c r="AT296" i="1" s="1"/>
  <c r="AT274" i="1"/>
  <c r="J274" i="1" s="1"/>
  <c r="J281" i="1" s="1"/>
  <c r="J283" i="1" s="1"/>
  <c r="J295" i="1" l="1"/>
  <c r="J296" i="1" s="1"/>
  <c r="AT390" i="1" l="1"/>
  <c r="AT319" i="1"/>
  <c r="AT349" i="1" s="1"/>
  <c r="J315" i="1"/>
  <c r="J390" i="1" s="1"/>
  <c r="AT425" i="1"/>
  <c r="J425" i="1" s="1"/>
  <c r="AT334" i="1"/>
  <c r="AU36" i="1" s="1"/>
  <c r="AT323" i="1" l="1"/>
  <c r="AT329" i="1" s="1"/>
  <c r="AT330" i="1" s="1"/>
  <c r="J334" i="1"/>
  <c r="AU345" i="1"/>
  <c r="AU343" i="1"/>
  <c r="AU344" i="1"/>
  <c r="AU39" i="1"/>
  <c r="AT333" i="1"/>
  <c r="AT336" i="1" s="1"/>
  <c r="AT419" i="1"/>
  <c r="AT335" i="1"/>
  <c r="J333" i="1"/>
  <c r="J336" i="1" s="1"/>
  <c r="J319" i="1"/>
  <c r="J335" i="1"/>
  <c r="AT350" i="1"/>
  <c r="AT351" i="1"/>
  <c r="J341" i="1" l="1"/>
  <c r="J338" i="1"/>
  <c r="J340" i="1"/>
  <c r="J337" i="1"/>
  <c r="AT341" i="1"/>
  <c r="AT337" i="1"/>
  <c r="AT340" i="1"/>
  <c r="AT338" i="1"/>
  <c r="J351" i="1"/>
  <c r="J350" i="1"/>
  <c r="J349" i="1"/>
  <c r="J323" i="1"/>
  <c r="J329" i="1" s="1"/>
  <c r="J330" i="1" s="1"/>
  <c r="AU40" i="1"/>
  <c r="AU41" i="1" s="1"/>
  <c r="AU75" i="1" l="1"/>
  <c r="AU383" i="1"/>
  <c r="AU380" i="1"/>
  <c r="AU378" i="1" s="1"/>
  <c r="AU48" i="1"/>
  <c r="AU382" i="1" l="1"/>
  <c r="AU270" i="1"/>
  <c r="AU52" i="1"/>
  <c r="AU51" i="1" s="1"/>
  <c r="AU50" i="1" l="1"/>
  <c r="AU325" i="1"/>
  <c r="AU281" i="1"/>
  <c r="AU283" i="1" s="1"/>
  <c r="AU328" i="1" l="1"/>
  <c r="AU1" i="1"/>
  <c r="AU386" i="1" l="1"/>
  <c r="AU385" i="1"/>
  <c r="AU405" i="1"/>
  <c r="AU407" i="1" s="1"/>
  <c r="AU415" i="1" s="1"/>
  <c r="AU397" i="1"/>
  <c r="AU398" i="1"/>
  <c r="AU422" i="1" l="1"/>
  <c r="AU416" i="1"/>
  <c r="AU418" i="1" s="1"/>
  <c r="AU430" i="1"/>
  <c r="AU426" i="1" l="1"/>
  <c r="AU320" i="1" s="1"/>
  <c r="AU323" i="1" l="1"/>
  <c r="AU329" i="1" s="1"/>
  <c r="AU334" i="1"/>
  <c r="AU289" i="1" l="1"/>
  <c r="AU333" i="1"/>
  <c r="AU336" i="1" s="1"/>
  <c r="AV36" i="1"/>
  <c r="AU419" i="1"/>
  <c r="AU295" i="1" l="1"/>
  <c r="AV345" i="1"/>
  <c r="AV344" i="1"/>
  <c r="AV343" i="1"/>
  <c r="AV39" i="1"/>
  <c r="AV40" i="1" l="1"/>
  <c r="AV41" i="1" s="1"/>
  <c r="AU300" i="1"/>
  <c r="AU306" i="1" l="1"/>
  <c r="AU2" i="1"/>
  <c r="AU423" i="1"/>
  <c r="AU390" i="1"/>
  <c r="AU335" i="1"/>
  <c r="AU296" i="1"/>
  <c r="AV383" i="1"/>
  <c r="AV48" i="1"/>
  <c r="AV75" i="1"/>
  <c r="AV380" i="1"/>
  <c r="AV378" i="1" s="1"/>
  <c r="AU338" i="1" l="1"/>
  <c r="AU340" i="1"/>
  <c r="AU341" i="1"/>
  <c r="AU337" i="1"/>
  <c r="AV52" i="1"/>
  <c r="AV51" i="1" s="1"/>
  <c r="AV270" i="1"/>
  <c r="AV382" i="1"/>
  <c r="AU350" i="1"/>
  <c r="AU312" i="1"/>
  <c r="AU330" i="1" s="1"/>
  <c r="AU351" i="1"/>
  <c r="AU349" i="1"/>
  <c r="AV281" i="1" l="1"/>
  <c r="AV283" i="1" s="1"/>
  <c r="AV325" i="1"/>
  <c r="AV50" i="1"/>
  <c r="AV328" i="1" l="1"/>
  <c r="AV1" i="1"/>
  <c r="AV386" i="1" l="1"/>
  <c r="AV385" i="1"/>
  <c r="AV405" i="1"/>
  <c r="AV407" i="1" s="1"/>
  <c r="AV415" i="1" s="1"/>
  <c r="AV397" i="1"/>
  <c r="AV398" i="1"/>
  <c r="AV422" i="1" l="1"/>
  <c r="AV430" i="1"/>
  <c r="AV416" i="1"/>
  <c r="AV418" i="1" s="1"/>
  <c r="AV426" i="1" l="1"/>
  <c r="AV320" i="1" s="1"/>
  <c r="AV323" i="1" l="1"/>
  <c r="AV329" i="1" s="1"/>
  <c r="AV334" i="1"/>
  <c r="AV333" i="1" l="1"/>
  <c r="AV336" i="1" s="1"/>
  <c r="AV289" i="1"/>
  <c r="AW36" i="1"/>
  <c r="AV419" i="1"/>
  <c r="AV295" i="1" l="1"/>
  <c r="AW343" i="1"/>
  <c r="AW345" i="1"/>
  <c r="AW344" i="1"/>
  <c r="AW39" i="1"/>
  <c r="AW40" i="1" l="1"/>
  <c r="AW41" i="1" s="1"/>
  <c r="AV300" i="1"/>
  <c r="AV2" i="1" l="1"/>
  <c r="AV306" i="1"/>
  <c r="AV423" i="1"/>
  <c r="AV390" i="1"/>
  <c r="AV335" i="1"/>
  <c r="AV296" i="1"/>
  <c r="AW75" i="1"/>
  <c r="AW383" i="1"/>
  <c r="AW380" i="1"/>
  <c r="AW378" i="1" s="1"/>
  <c r="AW48" i="1"/>
  <c r="AV340" i="1" l="1"/>
  <c r="AV337" i="1"/>
  <c r="AV338" i="1"/>
  <c r="AV341" i="1"/>
  <c r="AV351" i="1"/>
  <c r="AV312" i="1"/>
  <c r="AV330" i="1" s="1"/>
  <c r="AV350" i="1"/>
  <c r="AV349" i="1"/>
  <c r="AW52" i="1"/>
  <c r="AW51" i="1" s="1"/>
  <c r="AW382" i="1"/>
  <c r="AW270" i="1"/>
  <c r="AW281" i="1" l="1"/>
  <c r="AW283" i="1" s="1"/>
  <c r="AW325" i="1"/>
  <c r="AW50" i="1"/>
  <c r="AW328" i="1" l="1"/>
  <c r="AW1" i="1"/>
  <c r="AW386" i="1" l="1"/>
  <c r="AW385" i="1"/>
  <c r="AW405" i="1"/>
  <c r="AW407" i="1" s="1"/>
  <c r="AW415" i="1" s="1"/>
  <c r="AW397" i="1"/>
  <c r="AW398" i="1"/>
  <c r="AW430" i="1" l="1"/>
  <c r="AW422" i="1"/>
  <c r="AW416" i="1"/>
  <c r="AW418" i="1" s="1"/>
  <c r="AW426" i="1" l="1"/>
  <c r="AW320" i="1" s="1"/>
  <c r="AW334" i="1" l="1"/>
  <c r="AW323" i="1"/>
  <c r="AW329" i="1" s="1"/>
  <c r="AW289" i="1" l="1"/>
  <c r="AW333" i="1"/>
  <c r="AW336" i="1" s="1"/>
  <c r="AX36" i="1"/>
  <c r="AW419" i="1"/>
  <c r="AW295" i="1" l="1"/>
  <c r="AX344" i="1"/>
  <c r="AX343" i="1"/>
  <c r="AX345" i="1"/>
  <c r="AX39" i="1"/>
  <c r="K36" i="1"/>
  <c r="K73" i="1" l="1"/>
  <c r="K343" i="1"/>
  <c r="K344" i="1"/>
  <c r="K345" i="1"/>
  <c r="K39" i="1"/>
  <c r="AX40" i="1"/>
  <c r="AX41" i="1"/>
  <c r="AW300" i="1"/>
  <c r="AW296" i="1" s="1"/>
  <c r="AX383" i="1" l="1"/>
  <c r="AX75" i="1"/>
  <c r="AX380" i="1"/>
  <c r="AX378" i="1" s="1"/>
  <c r="AX48" i="1"/>
  <c r="AW2" i="1"/>
  <c r="AW306" i="1"/>
  <c r="AW423" i="1"/>
  <c r="AW390" i="1"/>
  <c r="AW335" i="1"/>
  <c r="AW312" i="1" l="1"/>
  <c r="AW330" i="1" s="1"/>
  <c r="AW349" i="1"/>
  <c r="AW351" i="1"/>
  <c r="AW350" i="1"/>
  <c r="AX52" i="1"/>
  <c r="AX51" i="1" s="1"/>
  <c r="K378" i="1"/>
  <c r="K380" i="1" s="1"/>
  <c r="AX382" i="1"/>
  <c r="AX270" i="1"/>
  <c r="AW337" i="1"/>
  <c r="AW338" i="1"/>
  <c r="AW341" i="1"/>
  <c r="AW340" i="1"/>
  <c r="AX281" i="1" l="1"/>
  <c r="AX283" i="1" s="1"/>
  <c r="K270" i="1"/>
  <c r="K281" i="1" s="1"/>
  <c r="K283" i="1" s="1"/>
  <c r="AX325" i="1"/>
  <c r="K52" i="1"/>
  <c r="AX50" i="1"/>
  <c r="K325" i="1" l="1"/>
  <c r="K328" i="1" s="1"/>
  <c r="AX328" i="1"/>
  <c r="AX1" i="1"/>
  <c r="AX386" i="1" l="1"/>
  <c r="K386" i="1" s="1"/>
  <c r="AX385" i="1"/>
  <c r="K385" i="1" s="1"/>
  <c r="AX405" i="1"/>
  <c r="AX397" i="1"/>
  <c r="AX398" i="1"/>
  <c r="K405" i="1" l="1"/>
  <c r="AX407" i="1"/>
  <c r="K407" i="1" l="1"/>
  <c r="AX415" i="1"/>
  <c r="K415" i="1" l="1"/>
  <c r="AX430" i="1"/>
  <c r="AX422" i="1"/>
  <c r="AX416" i="1"/>
  <c r="AX418" i="1" l="1"/>
  <c r="K416" i="1"/>
  <c r="K422" i="1"/>
  <c r="K418" i="1" l="1"/>
  <c r="AX426" i="1"/>
  <c r="K426" i="1" l="1"/>
  <c r="AX320" i="1"/>
  <c r="K320" i="1" l="1"/>
  <c r="AX323" i="1"/>
  <c r="AX329" i="1" s="1"/>
  <c r="AX334" i="1"/>
  <c r="AX289" i="1" l="1"/>
  <c r="AX333" i="1"/>
  <c r="AX336" i="1" s="1"/>
  <c r="AY36" i="1"/>
  <c r="AX419" i="1"/>
  <c r="K334" i="1"/>
  <c r="K323" i="1"/>
  <c r="K329" i="1" s="1"/>
  <c r="AY344" i="1" l="1"/>
  <c r="AY343" i="1"/>
  <c r="AY345" i="1"/>
  <c r="AY39" i="1"/>
  <c r="K289" i="1"/>
  <c r="K295" i="1" s="1"/>
  <c r="AX295" i="1"/>
  <c r="K333" i="1"/>
  <c r="K336" i="1" s="1"/>
  <c r="AY40" i="1" l="1"/>
  <c r="AX300" i="1"/>
  <c r="AX306" i="1" l="1"/>
  <c r="K300" i="1"/>
  <c r="AX2" i="1"/>
  <c r="AX423" i="1"/>
  <c r="K423" i="1" s="1"/>
  <c r="AX390" i="1"/>
  <c r="AX335" i="1"/>
  <c r="AX296" i="1"/>
  <c r="AY41" i="1"/>
  <c r="AX341" i="1" l="1"/>
  <c r="AX338" i="1"/>
  <c r="AX337" i="1"/>
  <c r="AX340" i="1"/>
  <c r="AY75" i="1"/>
  <c r="AY383" i="1"/>
  <c r="AY48" i="1"/>
  <c r="AY380" i="1"/>
  <c r="AY378" i="1" s="1"/>
  <c r="K2" i="1"/>
  <c r="K306" i="1"/>
  <c r="K390" i="1"/>
  <c r="K335" i="1"/>
  <c r="K296" i="1"/>
  <c r="AX350" i="1"/>
  <c r="AX349" i="1"/>
  <c r="AX351" i="1"/>
  <c r="AX312" i="1"/>
  <c r="AX330" i="1" s="1"/>
  <c r="K351" i="1" l="1"/>
  <c r="K349" i="1"/>
  <c r="K312" i="1"/>
  <c r="K330" i="1" s="1"/>
  <c r="K350" i="1"/>
  <c r="K341" i="1"/>
  <c r="K338" i="1"/>
  <c r="K340" i="1"/>
  <c r="K337" i="1"/>
  <c r="AY52" i="1"/>
  <c r="AY382" i="1"/>
  <c r="AY270" i="1"/>
  <c r="AY50" i="1" l="1"/>
  <c r="AY281" i="1"/>
  <c r="AY283" i="1" s="1"/>
  <c r="AY325" i="1"/>
  <c r="AY51" i="1"/>
  <c r="AY328" i="1" l="1"/>
  <c r="AY1" i="1"/>
  <c r="AY386" i="1" l="1"/>
  <c r="AY385" i="1"/>
  <c r="AY405" i="1"/>
  <c r="AY407" i="1" s="1"/>
  <c r="AY415" i="1" s="1"/>
  <c r="AY397" i="1"/>
  <c r="AY398" i="1"/>
  <c r="AY422" i="1" l="1"/>
  <c r="AY416" i="1"/>
  <c r="AY418" i="1" s="1"/>
  <c r="AY430" i="1"/>
  <c r="AY426" i="1" l="1"/>
  <c r="AY320" i="1" s="1"/>
  <c r="AY323" i="1" l="1"/>
  <c r="AY329" i="1" s="1"/>
  <c r="AY334" i="1"/>
  <c r="AY333" i="1" l="1"/>
  <c r="AY336" i="1" s="1"/>
  <c r="AZ36" i="1"/>
  <c r="AY289" i="1"/>
  <c r="AY419" i="1"/>
  <c r="AZ344" i="1" l="1"/>
  <c r="AZ345" i="1"/>
  <c r="AZ343" i="1"/>
  <c r="AZ39" i="1"/>
  <c r="AY295" i="1"/>
  <c r="AZ40" i="1" l="1"/>
  <c r="AY300" i="1"/>
  <c r="AY2" i="1" l="1"/>
  <c r="AY306" i="1"/>
  <c r="AY423" i="1"/>
  <c r="AY390" i="1"/>
  <c r="AY335" i="1"/>
  <c r="AY296" i="1"/>
  <c r="AZ41" i="1"/>
  <c r="AY341" i="1" l="1"/>
  <c r="AY340" i="1"/>
  <c r="AY337" i="1"/>
  <c r="AY338" i="1"/>
  <c r="AY350" i="1"/>
  <c r="AY351" i="1"/>
  <c r="AY312" i="1"/>
  <c r="AY330" i="1" s="1"/>
  <c r="AY349" i="1"/>
  <c r="AZ383" i="1"/>
  <c r="AZ75" i="1"/>
  <c r="AZ380" i="1"/>
  <c r="AZ378" i="1" s="1"/>
  <c r="AZ48" i="1"/>
  <c r="AZ52" i="1" l="1"/>
  <c r="AZ382" i="1"/>
  <c r="AZ51" i="1"/>
  <c r="AZ270" i="1"/>
  <c r="AZ281" i="1" l="1"/>
  <c r="AZ283" i="1" s="1"/>
  <c r="AZ325" i="1"/>
  <c r="AZ50" i="1"/>
  <c r="AZ328" i="1" l="1"/>
  <c r="AZ1" i="1"/>
  <c r="AZ386" i="1" l="1"/>
  <c r="AZ405" i="1"/>
  <c r="AZ407" i="1" s="1"/>
  <c r="AZ415" i="1" s="1"/>
  <c r="AZ385" i="1"/>
  <c r="AZ397" i="1"/>
  <c r="AZ398" i="1"/>
  <c r="AZ430" i="1" l="1"/>
  <c r="AZ422" i="1"/>
  <c r="AZ416" i="1"/>
  <c r="AZ418" i="1" s="1"/>
  <c r="AZ426" i="1" l="1"/>
  <c r="AZ320" i="1" s="1"/>
  <c r="AZ323" i="1" l="1"/>
  <c r="AZ329" i="1" s="1"/>
  <c r="AZ334" i="1"/>
  <c r="AZ289" i="1" l="1"/>
  <c r="BA36" i="1"/>
  <c r="AZ333" i="1"/>
  <c r="AZ336" i="1" s="1"/>
  <c r="AZ419" i="1"/>
  <c r="BA344" i="1" l="1"/>
  <c r="BA343" i="1"/>
  <c r="BA345" i="1"/>
  <c r="BA39" i="1"/>
  <c r="AZ295" i="1"/>
  <c r="BA40" i="1" l="1"/>
  <c r="BA41" i="1" s="1"/>
  <c r="AZ300" i="1"/>
  <c r="AZ306" i="1" l="1"/>
  <c r="AZ2" i="1"/>
  <c r="AZ423" i="1"/>
  <c r="AZ390" i="1"/>
  <c r="AZ335" i="1"/>
  <c r="AZ296" i="1"/>
  <c r="BA75" i="1"/>
  <c r="BA383" i="1"/>
  <c r="BA380" i="1"/>
  <c r="BA378" i="1" s="1"/>
  <c r="BA48" i="1"/>
  <c r="BA52" i="1" l="1"/>
  <c r="AZ341" i="1"/>
  <c r="AZ340" i="1"/>
  <c r="AZ337" i="1"/>
  <c r="AZ338" i="1"/>
  <c r="BA51" i="1"/>
  <c r="BA382" i="1"/>
  <c r="BA270" i="1"/>
  <c r="AZ351" i="1"/>
  <c r="AZ349" i="1"/>
  <c r="AZ312" i="1"/>
  <c r="AZ330" i="1" s="1"/>
  <c r="AZ350" i="1"/>
  <c r="BA281" i="1" l="1"/>
  <c r="BA283" i="1" s="1"/>
  <c r="BA325" i="1"/>
  <c r="BA50" i="1"/>
  <c r="BA328" i="1" l="1"/>
  <c r="BA1" i="1"/>
  <c r="BA386" i="1" l="1"/>
  <c r="BA385" i="1"/>
  <c r="BA405" i="1"/>
  <c r="BA407" i="1" s="1"/>
  <c r="BA415" i="1" s="1"/>
  <c r="BA397" i="1"/>
  <c r="BA398" i="1"/>
  <c r="BA430" i="1" l="1"/>
  <c r="BA422" i="1"/>
  <c r="BA416" i="1"/>
  <c r="BA418" i="1" s="1"/>
  <c r="BA426" i="1" l="1"/>
  <c r="BA320" i="1" s="1"/>
  <c r="BA323" i="1" l="1"/>
  <c r="BA329" i="1" s="1"/>
  <c r="BA334" i="1"/>
  <c r="BA333" i="1" l="1"/>
  <c r="BA336" i="1" s="1"/>
  <c r="BA289" i="1"/>
  <c r="BB36" i="1"/>
  <c r="BA419" i="1"/>
  <c r="BA295" i="1" l="1"/>
  <c r="BB343" i="1"/>
  <c r="BB344" i="1"/>
  <c r="BB345" i="1"/>
  <c r="BB39" i="1"/>
  <c r="L36" i="1"/>
  <c r="L73" i="1" l="1"/>
  <c r="L345" i="1"/>
  <c r="L344" i="1"/>
  <c r="L343" i="1"/>
  <c r="L39" i="1"/>
  <c r="BB40" i="1"/>
  <c r="BB41" i="1"/>
  <c r="BA300" i="1"/>
  <c r="BA296" i="1" s="1"/>
  <c r="BB75" i="1" l="1"/>
  <c r="BB383" i="1"/>
  <c r="BB380" i="1"/>
  <c r="BB378" i="1" s="1"/>
  <c r="BB48" i="1"/>
  <c r="BA2" i="1"/>
  <c r="BA306" i="1"/>
  <c r="BA423" i="1"/>
  <c r="BA390" i="1"/>
  <c r="BA335" i="1"/>
  <c r="BA351" i="1" l="1"/>
  <c r="BA350" i="1"/>
  <c r="BA349" i="1"/>
  <c r="BA312" i="1"/>
  <c r="BA330" i="1" s="1"/>
  <c r="BA337" i="1"/>
  <c r="BA341" i="1"/>
  <c r="BA340" i="1"/>
  <c r="BA338" i="1"/>
  <c r="BB382" i="1"/>
  <c r="BB270" i="1"/>
  <c r="BB52" i="1"/>
  <c r="L378" i="1"/>
  <c r="L380" i="1" s="1"/>
  <c r="L52" i="1" l="1"/>
  <c r="BB50" i="1"/>
  <c r="BB51" i="1"/>
  <c r="BB281" i="1"/>
  <c r="BB283" i="1" s="1"/>
  <c r="L270" i="1"/>
  <c r="L281" i="1" s="1"/>
  <c r="L283" i="1" s="1"/>
  <c r="BB325" i="1"/>
  <c r="BB328" i="1" l="1"/>
  <c r="L325" i="1"/>
  <c r="L328" i="1" s="1"/>
  <c r="BB1" i="1"/>
  <c r="BB385" i="1" l="1"/>
  <c r="L385" i="1" s="1"/>
  <c r="BB386" i="1"/>
  <c r="L386" i="1" s="1"/>
  <c r="BB405" i="1"/>
  <c r="BB397" i="1"/>
  <c r="BB398" i="1"/>
  <c r="L405" i="1" l="1"/>
  <c r="BB407" i="1"/>
  <c r="L407" i="1" l="1"/>
  <c r="BB415" i="1"/>
  <c r="L415" i="1" l="1"/>
  <c r="BB430" i="1"/>
  <c r="BB422" i="1"/>
  <c r="BB416" i="1"/>
  <c r="L416" i="1" l="1"/>
  <c r="BB418" i="1"/>
  <c r="L422" i="1"/>
  <c r="L418" i="1" l="1"/>
  <c r="BB426" i="1"/>
  <c r="L426" i="1" l="1"/>
  <c r="BB320" i="1"/>
  <c r="BB334" i="1" l="1"/>
  <c r="BB323" i="1"/>
  <c r="BB329" i="1" s="1"/>
  <c r="L320" i="1"/>
  <c r="L323" i="1" l="1"/>
  <c r="L329" i="1" s="1"/>
  <c r="L334" i="1"/>
  <c r="BB289" i="1"/>
  <c r="BB333" i="1"/>
  <c r="BB336" i="1" s="1"/>
  <c r="BC36" i="1"/>
  <c r="BB419" i="1"/>
  <c r="L333" i="1" l="1"/>
  <c r="L336" i="1" s="1"/>
  <c r="BC343" i="1"/>
  <c r="BC344" i="1"/>
  <c r="BC345" i="1"/>
  <c r="BC39" i="1"/>
  <c r="L289" i="1"/>
  <c r="L295" i="1" s="1"/>
  <c r="BB295" i="1"/>
  <c r="BC40" i="1" l="1"/>
  <c r="BC41" i="1" s="1"/>
  <c r="BB300" i="1"/>
  <c r="BB296" i="1" s="1"/>
  <c r="BB306" i="1" l="1"/>
  <c r="BB2" i="1"/>
  <c r="L300" i="1"/>
  <c r="BB423" i="1"/>
  <c r="L423" i="1" s="1"/>
  <c r="BB390" i="1"/>
  <c r="BB335" i="1"/>
  <c r="BC75" i="1"/>
  <c r="BC383" i="1"/>
  <c r="BC380" i="1"/>
  <c r="BC378" i="1" s="1"/>
  <c r="BC48" i="1"/>
  <c r="BC52" i="1" l="1"/>
  <c r="BC51" i="1" s="1"/>
  <c r="BB338" i="1"/>
  <c r="BB337" i="1"/>
  <c r="BB341" i="1"/>
  <c r="BB340" i="1"/>
  <c r="L306" i="1"/>
  <c r="L2" i="1"/>
  <c r="L390" i="1"/>
  <c r="L335" i="1"/>
  <c r="L296" i="1"/>
  <c r="BC382" i="1"/>
  <c r="BC270" i="1"/>
  <c r="BB351" i="1"/>
  <c r="BB350" i="1"/>
  <c r="BB349" i="1"/>
  <c r="BB312" i="1"/>
  <c r="BB330" i="1" s="1"/>
  <c r="BC281" i="1" l="1"/>
  <c r="BC283" i="1" s="1"/>
  <c r="BC325" i="1"/>
  <c r="L312" i="1"/>
  <c r="L330" i="1" s="1"/>
  <c r="L351" i="1"/>
  <c r="L349" i="1"/>
  <c r="L350" i="1"/>
  <c r="L338" i="1"/>
  <c r="L337" i="1"/>
  <c r="L340" i="1"/>
  <c r="L341" i="1"/>
  <c r="BC50" i="1"/>
  <c r="BC1" i="1" s="1"/>
  <c r="BC328" i="1" l="1"/>
  <c r="BC385" i="1" l="1"/>
  <c r="BC386" i="1"/>
  <c r="BC405" i="1"/>
  <c r="BC407" i="1" s="1"/>
  <c r="BC415" i="1" s="1"/>
  <c r="BC397" i="1"/>
  <c r="BC398" i="1"/>
  <c r="BC430" i="1" l="1"/>
  <c r="BC422" i="1"/>
  <c r="BC416" i="1"/>
  <c r="BC418" i="1" s="1"/>
  <c r="BC426" i="1" l="1"/>
  <c r="BC320" i="1" s="1"/>
  <c r="BC334" i="1" l="1"/>
  <c r="BC323" i="1"/>
  <c r="BC329" i="1" s="1"/>
  <c r="BC333" i="1" l="1"/>
  <c r="BC336" i="1" s="1"/>
  <c r="BD36" i="1"/>
  <c r="BC289" i="1"/>
  <c r="BC419" i="1"/>
  <c r="BC295" i="1" l="1"/>
  <c r="BD343" i="1"/>
  <c r="BD344" i="1"/>
  <c r="BD345" i="1"/>
  <c r="BD39" i="1"/>
  <c r="BD40" i="1" l="1"/>
  <c r="BD41" i="1" s="1"/>
  <c r="BC300" i="1"/>
  <c r="BC296" i="1" s="1"/>
  <c r="BC2" i="1" l="1"/>
  <c r="BC306" i="1"/>
  <c r="BC423" i="1"/>
  <c r="BC390" i="1"/>
  <c r="BC335" i="1"/>
  <c r="BD383" i="1"/>
  <c r="BD75" i="1"/>
  <c r="BD380" i="1"/>
  <c r="BD378" i="1" s="1"/>
  <c r="BD48" i="1"/>
  <c r="BD382" i="1" l="1"/>
  <c r="BD270" i="1"/>
  <c r="BC349" i="1"/>
  <c r="BC351" i="1"/>
  <c r="BC350" i="1"/>
  <c r="BC312" i="1"/>
  <c r="BC330" i="1" s="1"/>
  <c r="BD52" i="1"/>
  <c r="BC337" i="1"/>
  <c r="BC341" i="1"/>
  <c r="BC340" i="1"/>
  <c r="BC338" i="1"/>
  <c r="BD281" i="1" l="1"/>
  <c r="BD283" i="1" s="1"/>
  <c r="BD325" i="1"/>
  <c r="BD50" i="1"/>
  <c r="BD1" i="1" s="1"/>
  <c r="BD51" i="1"/>
  <c r="BD328" i="1" l="1"/>
  <c r="BD385" i="1" l="1"/>
  <c r="BD386" i="1"/>
  <c r="BD405" i="1"/>
  <c r="BD407" i="1" s="1"/>
  <c r="BD415" i="1" s="1"/>
  <c r="BD397" i="1"/>
  <c r="BD398" i="1"/>
  <c r="BD430" i="1" l="1"/>
  <c r="BD416" i="1"/>
  <c r="BD418" i="1" s="1"/>
  <c r="BD422" i="1"/>
  <c r="BD426" i="1" l="1"/>
  <c r="BD320" i="1" s="1"/>
  <c r="BD323" i="1" l="1"/>
  <c r="BD329" i="1" s="1"/>
  <c r="BD334" i="1"/>
  <c r="BD333" i="1" l="1"/>
  <c r="BD336" i="1" s="1"/>
  <c r="BD289" i="1"/>
  <c r="BE36" i="1"/>
  <c r="BD419" i="1"/>
  <c r="BD295" i="1" l="1"/>
  <c r="BE343" i="1"/>
  <c r="BE344" i="1"/>
  <c r="BE345" i="1"/>
  <c r="BE39" i="1"/>
  <c r="BE40" i="1" l="1"/>
  <c r="BE41" i="1" s="1"/>
  <c r="BD300" i="1"/>
  <c r="BD2" i="1" l="1"/>
  <c r="BD306" i="1"/>
  <c r="BD423" i="1"/>
  <c r="BD390" i="1"/>
  <c r="BD335" i="1"/>
  <c r="BD296" i="1"/>
  <c r="BE75" i="1"/>
  <c r="BE383" i="1"/>
  <c r="BE48" i="1"/>
  <c r="BE380" i="1"/>
  <c r="BE378" i="1" s="1"/>
  <c r="BE52" i="1" l="1"/>
  <c r="BE51" i="1" s="1"/>
  <c r="BD340" i="1"/>
  <c r="BD341" i="1"/>
  <c r="BD338" i="1"/>
  <c r="BD337" i="1"/>
  <c r="BE382" i="1"/>
  <c r="BE270" i="1"/>
  <c r="BD349" i="1"/>
  <c r="BD351" i="1"/>
  <c r="BD312" i="1"/>
  <c r="BD330" i="1" s="1"/>
  <c r="BD350" i="1"/>
  <c r="BE281" i="1" l="1"/>
  <c r="BE283" i="1" s="1"/>
  <c r="BE325" i="1"/>
  <c r="BE50" i="1"/>
  <c r="BE1" i="1" s="1"/>
  <c r="BE328" i="1" l="1"/>
  <c r="BE385" i="1" l="1"/>
  <c r="BE386" i="1"/>
  <c r="BE405" i="1"/>
  <c r="BE407" i="1" s="1"/>
  <c r="BE415" i="1" s="1"/>
  <c r="BE397" i="1"/>
  <c r="BE398" i="1"/>
  <c r="BE430" i="1" l="1"/>
  <c r="BE416" i="1"/>
  <c r="BE418" i="1" s="1"/>
  <c r="BE422" i="1"/>
  <c r="BE426" i="1" l="1"/>
  <c r="BE320" i="1" s="1"/>
  <c r="BE323" i="1" l="1"/>
  <c r="BE329" i="1" s="1"/>
  <c r="BE334" i="1"/>
  <c r="BE289" i="1" l="1"/>
  <c r="BE333" i="1"/>
  <c r="BE336" i="1" s="1"/>
  <c r="BF36" i="1"/>
  <c r="BE419" i="1"/>
  <c r="BF345" i="1" l="1"/>
  <c r="BF343" i="1"/>
  <c r="BF39" i="1"/>
  <c r="BF344" i="1"/>
  <c r="M36" i="1"/>
  <c r="BE295" i="1"/>
  <c r="BE300" i="1" l="1"/>
  <c r="BF40" i="1"/>
  <c r="BF41" i="1"/>
  <c r="M73" i="1"/>
  <c r="M344" i="1"/>
  <c r="M343" i="1"/>
  <c r="M345" i="1"/>
  <c r="M39" i="1"/>
  <c r="BF75" i="1" l="1"/>
  <c r="BF380" i="1"/>
  <c r="BF378" i="1" s="1"/>
  <c r="BF383" i="1"/>
  <c r="BF48" i="1"/>
  <c r="K40" i="1"/>
  <c r="L40" i="1"/>
  <c r="M40" i="1"/>
  <c r="M74" i="1" s="1"/>
  <c r="BE2" i="1"/>
  <c r="BE306" i="1"/>
  <c r="BE423" i="1"/>
  <c r="BE390" i="1"/>
  <c r="BE335" i="1"/>
  <c r="BE296" i="1"/>
  <c r="M41" i="1" l="1"/>
  <c r="L74" i="1"/>
  <c r="L41" i="1"/>
  <c r="K74" i="1"/>
  <c r="K41" i="1"/>
  <c r="BF52" i="1"/>
  <c r="BF51" i="1" s="1"/>
  <c r="M378" i="1"/>
  <c r="M380" i="1" s="1"/>
  <c r="BF382" i="1"/>
  <c r="BF270" i="1"/>
  <c r="M383" i="1"/>
  <c r="M75" i="1"/>
  <c r="M48" i="1"/>
  <c r="BE337" i="1"/>
  <c r="BE341" i="1"/>
  <c r="BE340" i="1"/>
  <c r="BE338" i="1"/>
  <c r="BE351" i="1"/>
  <c r="BE349" i="1"/>
  <c r="BE350" i="1"/>
  <c r="BE312" i="1"/>
  <c r="BE330" i="1" s="1"/>
  <c r="K75" i="1" l="1"/>
  <c r="K397" i="1"/>
  <c r="K383" i="1"/>
  <c r="K48" i="1"/>
  <c r="K50" i="1"/>
  <c r="M382" i="1"/>
  <c r="L383" i="1"/>
  <c r="L75" i="1"/>
  <c r="L397" i="1"/>
  <c r="L48" i="1"/>
  <c r="L50" i="1"/>
  <c r="BF281" i="1"/>
  <c r="BF283" i="1" s="1"/>
  <c r="M270" i="1"/>
  <c r="M281" i="1" s="1"/>
  <c r="M283" i="1" s="1"/>
  <c r="BF325" i="1"/>
  <c r="M52" i="1"/>
  <c r="M51" i="1" s="1"/>
  <c r="BF50" i="1"/>
  <c r="BF1" i="1" s="1"/>
  <c r="M325" i="1" l="1"/>
  <c r="M328" i="1" s="1"/>
  <c r="BF328" i="1"/>
  <c r="L382" i="1"/>
  <c r="L51" i="1"/>
  <c r="L398" i="1"/>
  <c r="K382" i="1"/>
  <c r="K398" i="1"/>
  <c r="K51" i="1"/>
  <c r="M50" i="1"/>
  <c r="L1" i="1"/>
  <c r="K1" i="1"/>
  <c r="M1" i="1" l="1"/>
  <c r="BF385" i="1"/>
  <c r="M385" i="1" s="1"/>
  <c r="BF386" i="1"/>
  <c r="M386" i="1" s="1"/>
  <c r="BF405" i="1"/>
  <c r="BF397" i="1"/>
  <c r="BF398" i="1"/>
  <c r="M397" i="1"/>
  <c r="M398" i="1"/>
  <c r="M405" i="1" l="1"/>
  <c r="BF407" i="1"/>
  <c r="M407" i="1" l="1"/>
  <c r="BF415" i="1"/>
  <c r="M415" i="1" l="1"/>
  <c r="BF430" i="1"/>
  <c r="BF422" i="1"/>
  <c r="BF416" i="1"/>
  <c r="M416" i="1" l="1"/>
  <c r="BF418" i="1"/>
  <c r="K430" i="1"/>
  <c r="L430" i="1"/>
  <c r="M430" i="1"/>
  <c r="M422" i="1"/>
  <c r="M418" i="1" l="1"/>
  <c r="BF426" i="1"/>
  <c r="M426" i="1" l="1"/>
  <c r="BF320" i="1"/>
  <c r="BF323" i="1" l="1"/>
  <c r="BF329" i="1" s="1"/>
  <c r="BF334" i="1"/>
  <c r="M320" i="1"/>
  <c r="BF333" i="1" l="1"/>
  <c r="BF336" i="1" s="1"/>
  <c r="BF289" i="1"/>
  <c r="BF419" i="1"/>
  <c r="M323" i="1"/>
  <c r="M329" i="1" s="1"/>
  <c r="M334" i="1"/>
  <c r="M289" i="1" l="1"/>
  <c r="M295" i="1" s="1"/>
  <c r="BF295" i="1"/>
  <c r="M333" i="1"/>
  <c r="M336" i="1" s="1"/>
  <c r="BF300" i="1" l="1"/>
  <c r="BF2" i="1" l="1"/>
  <c r="M300" i="1"/>
  <c r="BF306" i="1"/>
  <c r="BF423" i="1"/>
  <c r="M423" i="1" s="1"/>
  <c r="BF390" i="1"/>
  <c r="BF335" i="1"/>
  <c r="BF296" i="1"/>
  <c r="M2" i="1" l="1"/>
  <c r="M306" i="1"/>
  <c r="M390" i="1"/>
  <c r="M335" i="1"/>
  <c r="M296" i="1"/>
  <c r="BF351" i="1"/>
  <c r="BF349" i="1"/>
  <c r="BF350" i="1"/>
  <c r="BF312" i="1"/>
  <c r="BF330" i="1" s="1"/>
  <c r="BF337" i="1"/>
  <c r="BF338" i="1"/>
  <c r="BF341" i="1"/>
  <c r="BF340" i="1"/>
  <c r="M337" i="1" l="1"/>
  <c r="M338" i="1"/>
  <c r="M340" i="1"/>
  <c r="M341" i="1"/>
  <c r="M351" i="1"/>
  <c r="M312" i="1"/>
  <c r="M330" i="1" s="1"/>
  <c r="M350" i="1"/>
  <c r="M349" i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AT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 = 45</t>
        </r>
      </text>
    </comment>
    <comment ref="X31" authorId="0">
      <text>
        <r>
          <rPr>
            <sz val="9"/>
            <color indexed="81"/>
            <rFont val="Tahoma"/>
            <family val="2"/>
          </rPr>
          <t xml:space="preserve"> $17m</t>
        </r>
      </text>
    </comment>
    <comment ref="Z31" authorId="0">
      <text>
        <r>
          <rPr>
            <sz val="9"/>
            <color indexed="81"/>
            <rFont val="Tahoma"/>
            <family val="2"/>
          </rPr>
          <t xml:space="preserve"> 4q to by $17m</t>
        </r>
      </text>
    </comment>
    <comment ref="AA31" authorId="0">
      <text>
        <r>
          <rPr>
            <sz val="9"/>
            <color indexed="81"/>
            <rFont val="Tahoma"/>
            <family val="2"/>
          </rPr>
          <t xml:space="preserve"> $17m</t>
        </r>
      </text>
    </comment>
    <comment ref="AB31" authorId="0">
      <text>
        <r>
          <rPr>
            <sz val="9"/>
            <color indexed="81"/>
            <rFont val="Tahoma"/>
            <family val="2"/>
          </rPr>
          <t xml:space="preserve"> 17.5m</t>
        </r>
      </text>
    </comment>
    <comment ref="AC31" authorId="0">
      <text>
        <r>
          <rPr>
            <sz val="9"/>
            <color indexed="81"/>
            <rFont val="Tahoma"/>
            <family val="2"/>
          </rPr>
          <t xml:space="preserve"> $18mm</t>
        </r>
      </text>
    </comment>
    <comment ref="AD31" authorId="0">
      <text>
        <r>
          <rPr>
            <sz val="9"/>
            <color indexed="81"/>
            <rFont val="Tahoma"/>
            <family val="2"/>
          </rPr>
          <t xml:space="preserve"> 18.5</t>
        </r>
      </text>
    </comment>
    <comment ref="AE31" authorId="0">
      <text>
        <r>
          <rPr>
            <sz val="9"/>
            <color indexed="81"/>
            <rFont val="Tahoma"/>
            <family val="2"/>
          </rPr>
          <t xml:space="preserve"> 18.5</t>
        </r>
      </text>
    </comment>
    <comment ref="AF31" authorId="0">
      <text>
        <r>
          <rPr>
            <sz val="9"/>
            <color indexed="81"/>
            <rFont val="Tahoma"/>
            <family val="2"/>
          </rPr>
          <t xml:space="preserve"> 19m</t>
        </r>
      </text>
    </comment>
    <comment ref="AI31" authorId="0">
      <text>
        <r>
          <rPr>
            <sz val="9"/>
            <color indexed="81"/>
            <rFont val="Tahoma"/>
            <family val="2"/>
          </rPr>
          <t>excludes charge related to EEOC claim from several years ago</t>
        </r>
      </text>
    </comment>
    <comment ref="AJ31" authorId="0">
      <text>
        <r>
          <rPr>
            <sz val="9"/>
            <color indexed="81"/>
            <rFont val="Tahoma"/>
            <family val="2"/>
          </rPr>
          <t>guide to ~$20</t>
        </r>
      </text>
    </comment>
    <comment ref="AK31" authorId="0">
      <text>
        <r>
          <rPr>
            <sz val="9"/>
            <color indexed="81"/>
            <rFont val="Tahoma"/>
            <family val="2"/>
          </rPr>
          <t>guidance for $20mm</t>
        </r>
      </text>
    </comment>
    <comment ref="AL31" authorId="0">
      <text>
        <r>
          <rPr>
            <sz val="9"/>
            <color indexed="81"/>
            <rFont val="Tahoma"/>
            <family val="2"/>
          </rPr>
          <t>guidance $19mm</t>
        </r>
      </text>
    </comment>
    <comment ref="AU3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$32mm</t>
        </r>
      </text>
    </comment>
    <comment ref="AB33" authorId="0">
      <text>
        <r>
          <rPr>
            <sz val="9"/>
            <color indexed="81"/>
            <rFont val="Tahoma"/>
            <family val="2"/>
          </rPr>
          <t xml:space="preserve"> $127mm</t>
        </r>
      </text>
    </comment>
    <comment ref="AC33" authorId="0">
      <text>
        <r>
          <rPr>
            <sz val="9"/>
            <color indexed="81"/>
            <rFont val="Tahoma"/>
            <family val="2"/>
          </rPr>
          <t>adjusting for 12.5m pretax impairment charge</t>
        </r>
      </text>
    </comment>
    <comment ref="AD33" authorId="0">
      <text>
        <r>
          <rPr>
            <sz val="9"/>
            <color indexed="81"/>
            <rFont val="Tahoma"/>
            <family val="2"/>
          </rPr>
          <t xml:space="preserve"> 4q to by $133m</t>
        </r>
      </text>
    </comment>
    <comment ref="AE33" authorId="0">
      <text>
        <r>
          <rPr>
            <sz val="9"/>
            <color indexed="81"/>
            <rFont val="Tahoma"/>
            <family val="2"/>
          </rPr>
          <t xml:space="preserve"> $134m</t>
        </r>
      </text>
    </comment>
    <comment ref="AF33" authorId="0">
      <text>
        <r>
          <rPr>
            <sz val="9"/>
            <color indexed="81"/>
            <rFont val="Tahoma"/>
            <family val="2"/>
          </rPr>
          <t xml:space="preserve"> 137m</t>
        </r>
      </text>
    </comment>
    <comment ref="AG33" authorId="0">
      <text>
        <r>
          <rPr>
            <sz val="9"/>
            <color indexed="81"/>
            <rFont val="Tahoma"/>
            <family val="2"/>
          </rPr>
          <t xml:space="preserve"> $139mm</t>
        </r>
      </text>
    </comment>
    <comment ref="AH33" authorId="0">
      <text>
        <r>
          <rPr>
            <sz val="9"/>
            <color indexed="81"/>
            <rFont val="Tahoma"/>
            <family val="2"/>
          </rPr>
          <t xml:space="preserve"> 144</t>
        </r>
      </text>
    </comment>
    <comment ref="AI33" authorId="0">
      <text>
        <r>
          <rPr>
            <sz val="9"/>
            <color indexed="81"/>
            <rFont val="Tahoma"/>
            <family val="2"/>
          </rPr>
          <t xml:space="preserve"> 148</t>
        </r>
      </text>
    </comment>
    <comment ref="AJ33" authorId="0">
      <text>
        <r>
          <rPr>
            <sz val="9"/>
            <color indexed="81"/>
            <rFont val="Tahoma"/>
            <family val="2"/>
          </rPr>
          <t xml:space="preserve"> 152m</t>
        </r>
      </text>
    </comment>
    <comment ref="AK33" authorId="0">
      <text>
        <r>
          <rPr>
            <sz val="9"/>
            <color indexed="81"/>
            <rFont val="Tahoma"/>
            <family val="2"/>
          </rPr>
          <t>(DD&amp;A + impairment) - impairment</t>
        </r>
      </text>
    </comment>
    <comment ref="AL33" authorId="0">
      <text>
        <r>
          <rPr>
            <sz val="9"/>
            <color indexed="81"/>
            <rFont val="Tahoma"/>
            <family val="2"/>
          </rPr>
          <t>impairment charge removed</t>
        </r>
      </text>
    </comment>
    <comment ref="AM33" authorId="0">
      <text>
        <r>
          <rPr>
            <sz val="9"/>
            <color indexed="81"/>
            <rFont val="Tahoma"/>
            <family val="2"/>
          </rPr>
          <t>excludes impairment of O&amp;G property</t>
        </r>
      </text>
    </comment>
    <comment ref="AN33" authorId="0">
      <text>
        <r>
          <rPr>
            <sz val="9"/>
            <color indexed="81"/>
            <rFont val="Tahoma"/>
            <family val="2"/>
          </rPr>
          <t>impairment of 4.1</t>
        </r>
      </text>
    </comment>
    <comment ref="AO33" authorId="0">
      <text>
        <r>
          <rPr>
            <sz val="9"/>
            <color indexed="81"/>
            <rFont val="Tahoma"/>
            <family val="2"/>
          </rPr>
          <t>total pre-tax charges $280mm less the $124.561 of goodwill impairment</t>
        </r>
      </text>
    </comment>
    <comment ref="AP33" authorId="0">
      <text>
        <r>
          <rPr>
            <sz val="9"/>
            <color indexed="81"/>
            <rFont val="Tahoma"/>
            <family val="2"/>
          </rPr>
          <t>excludes O&amp;G impairment</t>
        </r>
      </text>
    </comment>
    <comment ref="AQ33" authorId="0">
      <text>
        <r>
          <rPr>
            <sz val="9"/>
            <color indexed="81"/>
            <rFont val="Tahoma"/>
            <family val="2"/>
          </rPr>
          <t>assume $2.2 impairment accounted for here</t>
        </r>
      </text>
    </comment>
    <comment ref="AU3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$205</t>
        </r>
      </text>
    </comment>
    <comment ref="AT3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gain on sale of O&amp;G properties</t>
        </r>
      </text>
    </comment>
    <comment ref="Y36" authorId="0">
      <text>
        <r>
          <rPr>
            <sz val="9"/>
            <color indexed="81"/>
            <rFont val="Tahoma"/>
            <family val="2"/>
          </rPr>
          <t>978k refi exp pretax</t>
        </r>
      </text>
    </comment>
    <comment ref="AO36" authorId="0">
      <text>
        <r>
          <rPr>
            <sz val="9"/>
            <color indexed="81"/>
            <rFont val="Tahoma"/>
            <family val="2"/>
          </rPr>
          <t>excludes deferred financing charge</t>
        </r>
      </text>
    </comment>
    <comment ref="S40" authorId="0">
      <text>
        <r>
          <rPr>
            <sz val="9"/>
            <color indexed="81"/>
            <rFont val="Tahoma"/>
            <family val="2"/>
          </rPr>
          <t>Also includes taxes adjustment on one-time related to gain on asset disposal of $1.604mn. Used statutory tax rate</t>
        </r>
      </text>
    </comment>
    <comment ref="T40" authorId="0">
      <text>
        <r>
          <rPr>
            <sz val="9"/>
            <color indexed="81"/>
            <rFont val="Tahoma"/>
            <family val="2"/>
          </rPr>
          <t>Also includes taxes adjustment on one-time related to gain on asset disposal. Used statutory tax rate</t>
        </r>
      </text>
    </comment>
    <comment ref="Y40" authorId="0">
      <text>
        <r>
          <rPr>
            <sz val="9"/>
            <color indexed="81"/>
            <rFont val="Tahoma"/>
            <family val="2"/>
          </rPr>
          <t xml:space="preserve">adjusting for 12.5m pretax impairment chrg, 7.8m after tax and.978m refi exp .605 posttax
</t>
        </r>
      </text>
    </comment>
    <comment ref="AH40" authorId="0">
      <text>
        <r>
          <rPr>
            <sz val="9"/>
            <color indexed="81"/>
            <rFont val="Tahoma"/>
            <family val="2"/>
          </rPr>
          <t>tax effect of gain on disposal</t>
        </r>
      </text>
    </comment>
    <comment ref="AI40" authorId="0">
      <text>
        <r>
          <rPr>
            <sz val="9"/>
            <color indexed="81"/>
            <rFont val="Tahoma"/>
            <family val="2"/>
          </rPr>
          <t>tax effect of EEOC charge &amp; gain on sale</t>
        </r>
      </text>
    </comment>
    <comment ref="AM40" authorId="0">
      <text>
        <r>
          <rPr>
            <sz val="9"/>
            <color indexed="81"/>
            <rFont val="Tahoma"/>
            <family val="2"/>
          </rPr>
          <t>tax impact of early term. and impairment</t>
        </r>
      </text>
    </comment>
    <comment ref="AN40" authorId="0">
      <text>
        <r>
          <rPr>
            <sz val="9"/>
            <color indexed="81"/>
            <rFont val="Tahoma"/>
            <family val="2"/>
          </rPr>
          <t>adj. for early term.</t>
        </r>
      </text>
    </comment>
    <comment ref="AO40" authorId="0">
      <text>
        <r>
          <rPr>
            <sz val="9"/>
            <color indexed="81"/>
            <rFont val="Tahoma"/>
            <family val="2"/>
          </rPr>
          <t>excludes write-off of deferred financing costs and early termination</t>
        </r>
      </text>
    </comment>
    <comment ref="AR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tax impact of merger &amp; integration expenses and asset impairments</t>
        </r>
      </text>
    </comment>
    <comment ref="AS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tax impact of merger &amp; integration expenses</t>
        </r>
      </text>
    </comment>
    <comment ref="AT4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deferred tax revaluation, tax impact of merger &amp; integration expenses and gain on sale of O&amp;G properties</t>
        </r>
      </text>
    </comment>
    <comment ref="AK44" authorId="0">
      <text>
        <r>
          <rPr>
            <sz val="9"/>
            <color indexed="81"/>
            <rFont val="Tahoma"/>
            <family val="2"/>
          </rPr>
          <t>includes asset impairments and goodwill impairments, but after-tax breakout not given</t>
        </r>
      </text>
    </comment>
    <comment ref="AR4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implied; not exact impairment figure due to use of exact effective tax rate</t>
        </r>
      </text>
    </comment>
    <comment ref="S47" authorId="0">
      <text>
        <r>
          <rPr>
            <sz val="9"/>
            <color indexed="81"/>
            <rFont val="Tahoma"/>
            <family val="2"/>
          </rPr>
          <t>Gain on disposal of assets (after tax calculated at statutory rate) and 
Loss on discontinued operations of $0.367mn</t>
        </r>
      </text>
    </comment>
    <comment ref="T47" authorId="0">
      <text>
        <r>
          <rPr>
            <sz val="9"/>
            <color indexed="81"/>
            <rFont val="Tahoma"/>
            <family val="2"/>
          </rPr>
          <t>Gain on disposal of assets (after tax calculated at statutory rate)</t>
        </r>
      </text>
    </comment>
    <comment ref="U47" authorId="0">
      <text>
        <r>
          <rPr>
            <sz val="9"/>
            <color indexed="81"/>
            <rFont val="Tahoma"/>
            <family val="2"/>
          </rPr>
          <t>asset sales, and impairment on retirement of rigs</t>
        </r>
      </text>
    </comment>
    <comment ref="Y47" authorId="0">
      <text>
        <r>
          <rPr>
            <sz val="9"/>
            <color indexed="81"/>
            <rFont val="Tahoma"/>
            <family val="2"/>
          </rPr>
          <t>asset sales, and impairment on retirement of rigs
7.8m post tax impairment</t>
        </r>
      </text>
    </comment>
    <comment ref="AI47" authorId="0">
      <text>
        <r>
          <rPr>
            <sz val="9"/>
            <color indexed="81"/>
            <rFont val="Tahoma"/>
            <family val="2"/>
          </rPr>
          <t>impairment of O&amp;G, legal settlement, early termination payments, and gain on sale</t>
        </r>
      </text>
    </comment>
    <comment ref="AM47" authorId="0">
      <text>
        <r>
          <rPr>
            <sz val="9"/>
            <color indexed="81"/>
            <rFont val="Tahoma"/>
            <family val="2"/>
          </rPr>
          <t>early term</t>
        </r>
      </text>
    </comment>
    <comment ref="AN47" authorId="0">
      <text>
        <r>
          <rPr>
            <sz val="9"/>
            <color indexed="81"/>
            <rFont val="Tahoma"/>
            <family val="2"/>
          </rPr>
          <t>early term.</t>
        </r>
      </text>
    </comment>
    <comment ref="AO47" authorId="0">
      <text>
        <r>
          <rPr>
            <sz val="9"/>
            <color indexed="81"/>
            <rFont val="Tahoma"/>
            <family val="2"/>
          </rPr>
          <t>deferred financing charge write-off and early termination</t>
        </r>
      </text>
    </comment>
    <comment ref="AP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termination</t>
        </r>
      </text>
    </comment>
    <comment ref="AQ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gain on sale of real estate and transaction costs</t>
        </r>
      </text>
    </comment>
    <comment ref="AR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merger &amp; integration</t>
        </r>
      </text>
    </comment>
    <comment ref="AS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after-tax merger &amp; integration expenses</t>
        </r>
      </text>
    </comment>
    <comment ref="AT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deferred tax revaluation</t>
        </r>
      </text>
    </comment>
    <comment ref="O79" authorId="0">
      <text>
        <r>
          <rPr>
            <b/>
            <sz val="9"/>
            <color indexed="81"/>
            <rFont val="Tahoma"/>
            <family val="2"/>
          </rPr>
          <t xml:space="preserve">Lynagh, Connor J (Research):
</t>
        </r>
        <r>
          <rPr>
            <sz val="9"/>
            <color indexed="81"/>
            <rFont val="Tahoma"/>
            <family val="2"/>
          </rPr>
          <t>estimated</t>
        </r>
      </text>
    </comment>
    <comment ref="O83" authorId="0">
      <text>
        <r>
          <rPr>
            <b/>
            <sz val="9"/>
            <color indexed="81"/>
            <rFont val="Tahoma"/>
            <family val="2"/>
          </rPr>
          <t xml:space="preserve">Lynagh, Connor J (Research):
</t>
        </r>
        <r>
          <rPr>
            <sz val="9"/>
            <color indexed="81"/>
            <rFont val="Tahoma"/>
            <family val="2"/>
          </rPr>
          <t>estimated</t>
        </r>
      </text>
    </comment>
    <comment ref="AU8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169 avg.</t>
        </r>
      </text>
    </comment>
    <comment ref="Z97" authorId="0">
      <text>
        <r>
          <rPr>
            <sz val="9"/>
            <color indexed="81"/>
            <rFont val="Tahoma"/>
            <family val="2"/>
          </rPr>
          <t xml:space="preserve"> 132 in 4q</t>
        </r>
      </text>
    </comment>
    <comment ref="AA97" authorId="0">
      <text>
        <r>
          <rPr>
            <sz val="9"/>
            <color indexed="81"/>
            <rFont val="Tahoma"/>
            <family val="2"/>
          </rPr>
          <t xml:space="preserve"> 79 on avg in 2013
4q: 123 in 1q, 93 avg '13</t>
        </r>
      </text>
    </comment>
    <comment ref="AB97" authorId="0">
      <text>
        <r>
          <rPr>
            <sz val="9"/>
            <color indexed="81"/>
            <rFont val="Tahoma"/>
            <family val="2"/>
          </rPr>
          <t>116 for 2q and 100 for 2q-4q avg</t>
        </r>
      </text>
    </comment>
    <comment ref="AC97" authorId="0">
      <text>
        <r>
          <rPr>
            <sz val="9"/>
            <color indexed="81"/>
            <rFont val="Tahoma"/>
            <family val="2"/>
          </rPr>
          <t>123 for 3q and 113 avg in 2h</t>
        </r>
      </text>
    </comment>
    <comment ref="AG97" authorId="0">
      <text>
        <r>
          <rPr>
            <sz val="9"/>
            <color indexed="81"/>
            <rFont val="Tahoma"/>
            <family val="2"/>
          </rPr>
          <t>2Q earnings call</t>
        </r>
      </text>
    </comment>
    <comment ref="AH97" authorId="0">
      <text>
        <r>
          <rPr>
            <sz val="9"/>
            <color indexed="81"/>
            <rFont val="Tahoma"/>
            <family val="2"/>
          </rPr>
          <t>157 in 4Q</t>
        </r>
      </text>
    </comment>
    <comment ref="AI97" authorId="0">
      <text>
        <r>
          <rPr>
            <sz val="9"/>
            <color indexed="81"/>
            <rFont val="Tahoma"/>
            <family val="2"/>
          </rPr>
          <t>138 in 1Q, 104 during 2015 guidance, but potential for terminations likely in 20 rig range, assume 5 in 1Q and 5 in 2Q</t>
        </r>
      </text>
    </comment>
    <comment ref="AJ97" authorId="0">
      <text>
        <r>
          <rPr>
            <sz val="9"/>
            <color indexed="81"/>
            <rFont val="Tahoma"/>
            <family val="2"/>
          </rPr>
          <t>101 in 2Q, 83 avg. in 2Q15 - 4Q15</t>
        </r>
      </text>
    </comment>
    <comment ref="AK97" authorId="0">
      <text>
        <r>
          <rPr>
            <sz val="9"/>
            <color indexed="81"/>
            <rFont val="Tahoma"/>
            <family val="2"/>
          </rPr>
          <t>85 Q3, 77 for back half of year</t>
        </r>
      </text>
    </comment>
    <comment ref="AL97" authorId="0">
      <text>
        <r>
          <rPr>
            <sz val="9"/>
            <color indexed="81"/>
            <rFont val="Tahoma"/>
            <family val="2"/>
          </rPr>
          <t>71 for 4Q</t>
        </r>
      </text>
    </comment>
    <comment ref="AM97" authorId="0">
      <text>
        <r>
          <rPr>
            <sz val="9"/>
            <color indexed="81"/>
            <rFont val="Tahoma"/>
            <family val="2"/>
          </rPr>
          <t>59 in 1Q, 46 for '16</t>
        </r>
      </text>
    </comment>
    <comment ref="AR97" authorId="0">
      <text>
        <r>
          <rPr>
            <sz val="9"/>
            <color indexed="81"/>
            <rFont val="Tahoma"/>
            <family val="2"/>
          </rPr>
          <t>SSE still has 25 rigs contracted w/ CHK through mid-2017</t>
        </r>
      </text>
    </comment>
    <comment ref="AT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87 in 4Q</t>
        </r>
      </text>
    </comment>
    <comment ref="AU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53 in 2018</t>
        </r>
      </text>
    </comment>
    <comment ref="AY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2019 estimated</t>
        </r>
      </text>
    </comment>
    <comment ref="AK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unadjusted for rigs on standby</t>
        </r>
      </text>
    </comment>
    <comment ref="AL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unadjusted for rigs on standby</t>
        </r>
      </text>
    </comment>
    <comment ref="AM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unadjusted for rigs on standby</t>
        </r>
      </text>
    </comment>
    <comment ref="AN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unadjusted for rigs on standby</t>
        </r>
      </text>
    </comment>
    <comment ref="AO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note: unadjusted for rigs on standby</t>
        </r>
      </text>
    </comment>
    <comment ref="AU10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somewhat below 23k</t>
        </r>
      </text>
    </comment>
    <comment ref="AU10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not far below 20k</t>
        </r>
      </text>
    </comment>
    <comment ref="B10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Early termination or other</t>
        </r>
      </text>
    </comment>
    <comment ref="AC116" authorId="0">
      <text>
        <r>
          <rPr>
            <sz val="9"/>
            <color indexed="81"/>
            <rFont val="Tahoma"/>
            <family val="2"/>
          </rPr>
          <t>adj for 62.8mm early term revenue</t>
        </r>
      </text>
    </comment>
    <comment ref="AD116" authorId="0">
      <text>
        <r>
          <rPr>
            <sz val="9"/>
            <color indexed="81"/>
            <rFont val="Tahoma"/>
            <family val="2"/>
          </rPr>
          <t>early term payment</t>
        </r>
      </text>
    </comment>
    <comment ref="AI116" authorId="0">
      <text>
        <r>
          <rPr>
            <sz val="9"/>
            <color indexed="81"/>
            <rFont val="Tahoma"/>
            <family val="2"/>
          </rPr>
          <t>removes $15.8mm in early termination payments</t>
        </r>
      </text>
    </comment>
    <comment ref="AJ116" authorId="0">
      <text>
        <r>
          <rPr>
            <sz val="9"/>
            <color indexed="81"/>
            <rFont val="Tahoma"/>
            <family val="2"/>
          </rPr>
          <t>$15.6mm in early term</t>
        </r>
      </text>
    </comment>
    <comment ref="AK116" authorId="0">
      <text>
        <r>
          <rPr>
            <sz val="9"/>
            <color indexed="81"/>
            <rFont val="Tahoma"/>
            <family val="2"/>
          </rPr>
          <t>$28.9mm in early term</t>
        </r>
      </text>
    </comment>
    <comment ref="AL116" authorId="0">
      <text>
        <r>
          <rPr>
            <sz val="9"/>
            <color indexed="81"/>
            <rFont val="Tahoma"/>
            <family val="2"/>
          </rPr>
          <t>$9.2mm in early term</t>
        </r>
      </text>
    </comment>
    <comment ref="AN116" authorId="0">
      <text>
        <r>
          <rPr>
            <sz val="9"/>
            <color indexed="81"/>
            <rFont val="Tahoma"/>
            <family val="2"/>
          </rPr>
          <t>excl. early term.</t>
        </r>
      </text>
    </comment>
    <comment ref="AO116" authorId="0">
      <text>
        <r>
          <rPr>
            <sz val="9"/>
            <color indexed="81"/>
            <rFont val="Tahoma"/>
            <family val="2"/>
          </rPr>
          <t>excludes 1.139 in early termination revenues</t>
        </r>
      </text>
    </comment>
    <comment ref="AR1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impairment</t>
        </r>
      </text>
    </comment>
    <comment ref="R131" authorId="0">
      <text>
        <r>
          <rPr>
            <sz val="9"/>
            <color indexed="81"/>
            <rFont val="Tahoma"/>
            <family val="2"/>
          </rPr>
          <t>650 expected year-end 2011 minus 204 to be built</t>
        </r>
      </text>
    </comment>
    <comment ref="S131" authorId="0">
      <text>
        <r>
          <rPr>
            <sz val="9"/>
            <color indexed="81"/>
            <rFont val="Tahoma"/>
            <family val="2"/>
          </rPr>
          <t>4Q&amp;1Q11 call guided to added 204,000 frac horsepower to fleet in 2011, expect to end 2011 with 560,000 frac horsepower and 650,000 total horsepower (including nitrogen and cement)</t>
        </r>
      </text>
    </comment>
    <comment ref="Y131" authorId="0">
      <text>
        <r>
          <rPr>
            <sz val="9"/>
            <color indexed="81"/>
            <rFont val="Tahoma"/>
            <family val="2"/>
          </rPr>
          <t>750; retired some in 3q</t>
        </r>
      </text>
    </comment>
    <comment ref="AT13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exiting year at 1.25mmHP</t>
        </r>
      </text>
    </comment>
    <comment ref="AT1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targeting ~$390mm in revenues, in line with guidance</t>
        </r>
      </text>
    </comment>
    <comment ref="AU1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goal seek to hit $400mm guidance</t>
        </r>
      </text>
    </comment>
    <comment ref="AV14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impact of repositioning fleets + pricing + higher efficiency from weather</t>
        </r>
      </text>
    </comment>
    <comment ref="AR14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guidance</t>
        </r>
      </text>
    </comment>
    <comment ref="AT23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$4-5mm, most of the incremental</t>
        </r>
      </text>
    </comment>
    <comment ref="AT2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$4-5mm, most of the incremental</t>
        </r>
      </text>
    </comment>
    <comment ref="B25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gain on disposal</t>
        </r>
      </text>
    </comment>
    <comment ref="AT25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$4-5mm, most of the incremental</t>
        </r>
      </text>
    </comment>
    <comment ref="AI260" authorId="0">
      <text>
        <r>
          <rPr>
            <sz val="9"/>
            <color indexed="81"/>
            <rFont val="Tahoma"/>
            <family val="2"/>
          </rPr>
          <t>525</t>
        </r>
      </text>
    </comment>
    <comment ref="AU26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$2kpd + $25mm/newbuild + incremental upgrades = $330 for full-year</t>
        </r>
      </text>
    </comment>
    <comment ref="AH261" authorId="0">
      <text>
        <r>
          <rPr>
            <sz val="9"/>
            <color indexed="81"/>
            <rFont val="Tahoma"/>
            <family val="2"/>
          </rPr>
          <t>includes acq.</t>
        </r>
      </text>
    </comment>
    <comment ref="AI261" authorId="0">
      <text>
        <r>
          <rPr>
            <sz val="9"/>
            <color indexed="81"/>
            <rFont val="Tahoma"/>
            <family val="2"/>
          </rPr>
          <t>200</t>
        </r>
      </text>
    </comment>
    <comment ref="AU26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maint. guide implies $200/HP/year vs. normalized expectation 100/HP per year, +1,000/HP</t>
        </r>
      </text>
    </comment>
    <comment ref="AU26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$40mm full-year</t>
        </r>
      </text>
    </comment>
    <comment ref="AI263" authorId="0">
      <text>
        <r>
          <rPr>
            <sz val="9"/>
            <color indexed="81"/>
            <rFont val="Tahoma"/>
            <family val="2"/>
          </rPr>
          <t>25</t>
        </r>
      </text>
    </comment>
    <comment ref="AM282" authorId="0">
      <text>
        <r>
          <rPr>
            <sz val="9"/>
            <color indexed="81"/>
            <rFont val="Tahoma"/>
            <family val="2"/>
          </rPr>
          <t>&lt;200mm, of which &lt;150mm is maintenance</t>
        </r>
      </text>
    </comment>
    <comment ref="AN282" authorId="0">
      <text>
        <r>
          <rPr>
            <sz val="9"/>
            <color indexed="81"/>
            <rFont val="Tahoma"/>
            <family val="2"/>
          </rPr>
          <t>$170mm spending</t>
        </r>
      </text>
    </comment>
    <comment ref="AS28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$580mm for full-year</t>
        </r>
      </text>
    </comment>
    <comment ref="R286" authorId="0">
      <text>
        <r>
          <rPr>
            <sz val="9"/>
            <color indexed="81"/>
            <rFont val="Tahoma"/>
            <family val="2"/>
          </rPr>
          <t>All-cash acquisition of KEG's pressure pumping &amp; wireline business. Assume short-term (364-day) bridge facility refinanced with longer term debt, so flows into LTD</t>
        </r>
      </text>
    </comment>
    <comment ref="AH28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Platinum &amp; Torqued Up pumping assets</t>
        </r>
      </text>
    </comment>
    <comment ref="AR28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Seventy Seven Energy</t>
        </r>
      </text>
    </comment>
    <comment ref="AT32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  <comment ref="AT41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plug</t>
        </r>
      </text>
    </comment>
  </commentList>
</comments>
</file>

<file path=xl/sharedStrings.xml><?xml version="1.0" encoding="utf-8"?>
<sst xmlns="http://schemas.openxmlformats.org/spreadsheetml/2006/main" count="823" uniqueCount="685">
  <si>
    <t>2018E</t>
  </si>
  <si>
    <t>2019E</t>
  </si>
  <si>
    <t>2020E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</si>
  <si>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</si>
  <si>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</si>
  <si>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</si>
  <si>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</si>
  <si>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</si>
  <si>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</si>
  <si>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</si>
  <si>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</si>
  <si>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</si>
  <si>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</si>
  <si>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</si>
  <si>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</si>
  <si>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</si>
  <si>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</si>
  <si>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</si>
  <si>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</si>
  <si>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</si>
  <si>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</si>
  <si>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</si>
  <si>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</si>
  <si>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</si>
  <si>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</si>
  <si>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</si>
  <si>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</si>
  <si>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</si>
  <si>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</si>
  <si>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</si>
  <si>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</si>
  <si>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</si>
  <si>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</si>
  <si>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3Q17</t>
  </si>
  <si>
    <t>1Q18E</t>
  </si>
  <si>
    <t>2Q18E</t>
  </si>
  <si>
    <t>3Q18E</t>
  </si>
  <si>
    <t>4Q18E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</si>
  <si>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</si>
  <si>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</si>
  <si>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</si>
  <si>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</si>
  <si>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</si>
  <si>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</si>
  <si>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</si>
  <si>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</si>
  <si>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Revenue Breakdown:</t>
  </si>
  <si>
    <t>Total Revenues</t>
  </si>
  <si>
    <t>Pressure Pumping</t>
  </si>
  <si>
    <t>Directional Drilling</t>
  </si>
  <si>
    <t>Other</t>
  </si>
  <si>
    <t>Cost of Sales:</t>
  </si>
  <si>
    <t>Gross Profit:</t>
  </si>
  <si>
    <t>Total Cost of Sales</t>
  </si>
  <si>
    <t>Total Gross Profit</t>
  </si>
  <si>
    <t>(SG&amp;A)</t>
  </si>
  <si>
    <t>EBITDA</t>
  </si>
  <si>
    <t>Other Op. (Expense) Income</t>
  </si>
  <si>
    <t>(D&amp;A)</t>
  </si>
  <si>
    <t>EBIT</t>
  </si>
  <si>
    <t>Interest (Expense)</t>
  </si>
  <si>
    <t>Interest Income</t>
  </si>
  <si>
    <t>Non-Op. Income (Expense)</t>
  </si>
  <si>
    <t>($ in Millions)</t>
  </si>
  <si>
    <t>Income Statement</t>
  </si>
  <si>
    <t>x</t>
  </si>
  <si>
    <t>EBT</t>
  </si>
  <si>
    <t>Income Tax (Expense) Benefit</t>
  </si>
  <si>
    <t>Net Income, Operating</t>
  </si>
  <si>
    <t>Reconciliation to GAAP Net Income:</t>
  </si>
  <si>
    <t>Gain (Loss) on Sale</t>
  </si>
  <si>
    <t>Impairments and Asset Write-Downs</t>
  </si>
  <si>
    <t>Restructuring Charges</t>
  </si>
  <si>
    <t>Discontinued Operations</t>
  </si>
  <si>
    <t>Net Income (GAAP)</t>
  </si>
  <si>
    <t>EPS (Operating)</t>
  </si>
  <si>
    <t>EPS (GAAP)</t>
  </si>
  <si>
    <t>Diluted Shares Outstanding</t>
  </si>
  <si>
    <t>Basic Shares Outstanding</t>
  </si>
  <si>
    <t>Dividend per Share</t>
  </si>
  <si>
    <t>Key Drivers &amp; Analysis</t>
  </si>
  <si>
    <t>Avg. Rigs Operating</t>
  </si>
  <si>
    <t>Avg. Daily Revenue</t>
  </si>
  <si>
    <t>Avg. Daily Opex</t>
  </si>
  <si>
    <t>Avg. Daily Margin</t>
  </si>
  <si>
    <t>Revenue Growth</t>
  </si>
  <si>
    <t>Revenue Growth (Seq.)</t>
  </si>
  <si>
    <t>Gross Margin %</t>
  </si>
  <si>
    <t>EBITDA % Margin</t>
  </si>
  <si>
    <t>D&amp;A % of Net PP&amp;E (Ann.)</t>
  </si>
  <si>
    <t>EBIT % Margin</t>
  </si>
  <si>
    <t>Effective Int. Rate (Ann.)</t>
  </si>
  <si>
    <t>Effective Tax Rate</t>
  </si>
  <si>
    <t>Net Margin</t>
  </si>
  <si>
    <t>Detailed Drivers &amp; Analysis</t>
  </si>
  <si>
    <t>APEX Rigs Owned (EOP)</t>
  </si>
  <si>
    <t>Non-APEX Rigs Owned (EOP)</t>
  </si>
  <si>
    <t>Total Rigs Owned (EOP)</t>
  </si>
  <si>
    <t>APEX Rigs Working</t>
  </si>
  <si>
    <t>Non-APEX Rigs Working</t>
  </si>
  <si>
    <t>Total Rigs Working</t>
  </si>
  <si>
    <t>Contract Rigs Working</t>
  </si>
  <si>
    <t>APEX Spot Rigs</t>
  </si>
  <si>
    <t>Non-APEX Spot Rigs</t>
  </si>
  <si>
    <t>APEX Utilization</t>
  </si>
  <si>
    <t>Non-APEX Utilization</t>
  </si>
  <si>
    <t>Total Utilization</t>
  </si>
  <si>
    <t>Contract Rate</t>
  </si>
  <si>
    <t>APEX Spot Rate</t>
  </si>
  <si>
    <t>Non-APEX Spot Rate</t>
  </si>
  <si>
    <t>Assumed Rig-Level Opex</t>
  </si>
  <si>
    <t>Implied Overhead</t>
  </si>
  <si>
    <t>Total Opex</t>
  </si>
  <si>
    <t>Drilling P&amp;L ($mm)</t>
  </si>
  <si>
    <t>Revenues</t>
  </si>
  <si>
    <t>(Cost of Sales)</t>
  </si>
  <si>
    <t>Gross Margin</t>
  </si>
  <si>
    <t>US Hz Rig Count</t>
  </si>
  <si>
    <t>Total US Rig Count</t>
  </si>
  <si>
    <t>PTEN Total Share</t>
  </si>
  <si>
    <t>Frac HP</t>
  </si>
  <si>
    <t>Other HP</t>
  </si>
  <si>
    <t>Total Pumping HP</t>
  </si>
  <si>
    <t>Pumping HP Active</t>
  </si>
  <si>
    <t>PTEN Market Share</t>
  </si>
  <si>
    <t>HP Utilization</t>
  </si>
  <si>
    <t>EBITDA Margin %</t>
  </si>
  <si>
    <t>EBIT Margin %</t>
  </si>
  <si>
    <t>Incremental Gross Margin %</t>
  </si>
  <si>
    <t>Pumping P&amp;L ($mm)</t>
  </si>
  <si>
    <t>Pumping % of Total Revenues</t>
  </si>
  <si>
    <t>Total Corporate Expense</t>
  </si>
  <si>
    <t>Allocated Corporate Expense</t>
  </si>
  <si>
    <t>Implied Total R&amp;M</t>
  </si>
  <si>
    <t>Implied Other Capex</t>
  </si>
  <si>
    <t>EBIT / Active HP</t>
  </si>
  <si>
    <t>% Change</t>
  </si>
  <si>
    <t>Annualized per HP Economics</t>
  </si>
  <si>
    <t>Revenue / Active HP</t>
  </si>
  <si>
    <t>Gross Profit / Active HP</t>
  </si>
  <si>
    <t>EBITDA / Active HP</t>
  </si>
  <si>
    <t>Fully-Loaded EBITDA / Active HP</t>
  </si>
  <si>
    <t>Fully-Loaded EBITDA Calculation</t>
  </si>
  <si>
    <t>Directional Drilling P&amp;L ($mm)</t>
  </si>
  <si>
    <t>Corporate P&amp;L ($mm)</t>
  </si>
  <si>
    <t>Cash Flow Statement</t>
  </si>
  <si>
    <t>Operating Cash Flows</t>
  </si>
  <si>
    <t>D&amp;A</t>
  </si>
  <si>
    <t>Deferred Taxes</t>
  </si>
  <si>
    <t>Changes in Working Capital</t>
  </si>
  <si>
    <t>Accounts Receivable</t>
  </si>
  <si>
    <t>Inventory</t>
  </si>
  <si>
    <t>Accounts Payable</t>
  </si>
  <si>
    <t>Cash Flow from Operations</t>
  </si>
  <si>
    <t>Capital Expenditures</t>
  </si>
  <si>
    <t>Free Cash Flow (FCF)</t>
  </si>
  <si>
    <t>Financing/Investing Cash Flows</t>
  </si>
  <si>
    <t>Acquisitions &amp; Investments</t>
  </si>
  <si>
    <t>Asset Disposals</t>
  </si>
  <si>
    <t>Other Cash Flows from Investing</t>
  </si>
  <si>
    <t>Issuance / (Paydown) of Debt</t>
  </si>
  <si>
    <t>Dividends</t>
  </si>
  <si>
    <t>Equity Issues / Options Activity</t>
  </si>
  <si>
    <t>Purchase of Treasury Shares</t>
  </si>
  <si>
    <t>Other Cash Flows from Financing</t>
  </si>
  <si>
    <t>Foreign Exchange</t>
  </si>
  <si>
    <t>Total Change in Cash</t>
  </si>
  <si>
    <t>Income Taxes Payable</t>
  </si>
  <si>
    <t>Other Assets / Liabilities</t>
  </si>
  <si>
    <t>Balance Sheet</t>
  </si>
  <si>
    <t>Cash &amp; Equivalents</t>
  </si>
  <si>
    <t>Income Taxes Receivable</t>
  </si>
  <si>
    <t>Deferred Tax Assets</t>
  </si>
  <si>
    <t>Other Current Assets</t>
  </si>
  <si>
    <t>Total Current Assets</t>
  </si>
  <si>
    <t>Gross PP&amp;E</t>
  </si>
  <si>
    <t>Accumulated Depreciation</t>
  </si>
  <si>
    <t>Net PP&amp;E</t>
  </si>
  <si>
    <t>Other LT Assets</t>
  </si>
  <si>
    <t>Total Assets</t>
  </si>
  <si>
    <t>Liabilities &amp; Equity</t>
  </si>
  <si>
    <t>Accrued Expenses</t>
  </si>
  <si>
    <t>Total Current Liabilities</t>
  </si>
  <si>
    <t>Deferred Income Taxes</t>
  </si>
  <si>
    <t>Common Stock</t>
  </si>
  <si>
    <t>Retained Earnings</t>
  </si>
  <si>
    <t>Accumulated &amp; Other Income</t>
  </si>
  <si>
    <t>Treasury Stock</t>
  </si>
  <si>
    <t>Shareholders' Equity</t>
  </si>
  <si>
    <t>Total Liabilities &amp; Equity</t>
  </si>
  <si>
    <t>Assets</t>
  </si>
  <si>
    <t>Goodwill &amp; Intangibles</t>
  </si>
  <si>
    <t>Short-Term Debt</t>
  </si>
  <si>
    <t>Long-Term Debt</t>
  </si>
  <si>
    <t>Other Long-Term Liabilities</t>
  </si>
  <si>
    <t>Supporting Schedules</t>
  </si>
  <si>
    <t>Total Capital</t>
  </si>
  <si>
    <t>Total Debt</t>
  </si>
  <si>
    <t>Net Debt</t>
  </si>
  <si>
    <t>Total Debt/Capital</t>
  </si>
  <si>
    <t>Net Debt/Net Capital</t>
  </si>
  <si>
    <t>Net Debt/Equity</t>
  </si>
  <si>
    <t>Net Debt/LTM EBITDA</t>
  </si>
  <si>
    <t>Net Debt/LTM EBIT</t>
  </si>
  <si>
    <t>EBITDA/Int. Expense</t>
  </si>
  <si>
    <t>(EBITDA-Capex)/Int. Expense</t>
  </si>
  <si>
    <t>EBIT/Int. Expense</t>
  </si>
  <si>
    <t>Capex/D&amp;A</t>
  </si>
  <si>
    <t>Total Working Capital ($mm)</t>
  </si>
  <si>
    <t>Operating Working Capital ($mm)</t>
  </si>
  <si>
    <t>Current Ratio</t>
  </si>
  <si>
    <t>Receivables Turnover (x)</t>
  </si>
  <si>
    <t>Receivables Days</t>
  </si>
  <si>
    <t>Inventory Turnover (x)</t>
  </si>
  <si>
    <t>Days Inventory</t>
  </si>
  <si>
    <t>Payables Turnover (x)</t>
  </si>
  <si>
    <t>Payables Days</t>
  </si>
  <si>
    <t>Cash Conversion Cycle (Days)</t>
  </si>
  <si>
    <t>Other Current Assets (% of Revenue)</t>
  </si>
  <si>
    <t>DTL % of Net PP&amp;E</t>
  </si>
  <si>
    <t>Depreciation</t>
  </si>
  <si>
    <t>Depreciation / Revenues</t>
  </si>
  <si>
    <t>Capex / Revenues</t>
  </si>
  <si>
    <t>Capex / Depreciation</t>
  </si>
  <si>
    <t>Avg. Asset Life (Years)</t>
  </si>
  <si>
    <t>Average Asset Age (Years)</t>
  </si>
  <si>
    <t>Remaining Useful Life (Years)</t>
  </si>
  <si>
    <t>Shares Outstanding &amp; Book Value/Sh.</t>
  </si>
  <si>
    <t>Common Shares at Period End</t>
  </si>
  <si>
    <t>Dilution Ratio</t>
  </si>
  <si>
    <t>Basic EPS (Incl. Extraordinary)</t>
  </si>
  <si>
    <t>Basic EPS (Ex-Extraordinary)</t>
  </si>
  <si>
    <t>Book Value/Share</t>
  </si>
  <si>
    <t>Tangible Book Value/Share</t>
  </si>
  <si>
    <t>Net Operating Assets</t>
  </si>
  <si>
    <t>Invested Capital</t>
  </si>
  <si>
    <t>NOPAT</t>
  </si>
  <si>
    <t>NOPAT % Margin</t>
  </si>
  <si>
    <t>Op. Asset Turnover</t>
  </si>
  <si>
    <t>RNOA (ROIC)</t>
  </si>
  <si>
    <t>ROE (Operating)</t>
  </si>
  <si>
    <t>ROE (GAAP)</t>
  </si>
  <si>
    <t>Funding</t>
  </si>
  <si>
    <t>Net Operating Assets Req'd</t>
  </si>
  <si>
    <t>Operating Cash</t>
  </si>
  <si>
    <t>Funding Req'd</t>
  </si>
  <si>
    <t>Loans, Notes &amp; Other</t>
  </si>
  <si>
    <t>Revolver Req'd</t>
  </si>
  <si>
    <t>Debt Detail</t>
  </si>
  <si>
    <t>MW Tags</t>
  </si>
  <si>
    <t>Unrecorded Goodwill</t>
  </si>
  <si>
    <t>Net Issuance and repurchase</t>
  </si>
  <si>
    <t>Statutory Tax Rate</t>
  </si>
  <si>
    <t>Leverage &amp; Credit Metrics</t>
  </si>
  <si>
    <t>Corporate</t>
  </si>
  <si>
    <t>Total SG&amp;A</t>
  </si>
  <si>
    <t>Segment SG&amp;A, D&amp;A and Capex</t>
  </si>
  <si>
    <t>Total D&amp;A</t>
  </si>
  <si>
    <t>Total Capex</t>
  </si>
  <si>
    <t>Net Income</t>
  </si>
  <si>
    <t>Stock-Based Compensation</t>
  </si>
  <si>
    <t>Total Liabilities</t>
  </si>
  <si>
    <t>SG&amp;A</t>
  </si>
  <si>
    <t>Capex</t>
  </si>
  <si>
    <t>Working Days</t>
  </si>
  <si>
    <t>Year</t>
  </si>
  <si>
    <t>Days in Period</t>
  </si>
  <si>
    <t>Period End</t>
  </si>
  <si>
    <t>APEX Hz Share</t>
  </si>
  <si>
    <t>Non-Recurring Revenues</t>
  </si>
  <si>
    <t>HP/Fleet</t>
  </si>
  <si>
    <t>Fleets Active</t>
  </si>
  <si>
    <t>US HP Demand (MM)</t>
  </si>
  <si>
    <t>Revenue / Active Fleet</t>
  </si>
  <si>
    <t>Gross Profit / Active Fleet</t>
  </si>
  <si>
    <t>EBITDA / Active Fleet</t>
  </si>
  <si>
    <t>Fully-Loaded EBITDA / Active Fleet</t>
  </si>
  <si>
    <t>EBIT / Active Fleet</t>
  </si>
  <si>
    <t>Annualized Per "Fleet" Economics</t>
  </si>
  <si>
    <t>Other Operations</t>
  </si>
  <si>
    <t>Other Operations P&amp;L ($mm)</t>
  </si>
  <si>
    <t>Contract Drilling</t>
  </si>
  <si>
    <t>Ann. Corporate / Active HP</t>
  </si>
  <si>
    <t>Assumed Ann. R&amp;M / Active HP</t>
  </si>
  <si>
    <t>Fully-Loaded EBITDA</t>
  </si>
  <si>
    <t>Accrued Expenses vs. SG&amp;A</t>
  </si>
  <si>
    <t>Depreciation &amp; Capex</t>
  </si>
  <si>
    <t>Working Capital Management</t>
  </si>
  <si>
    <t>4.97% Series A Sr. Notes due 10/5/20</t>
  </si>
  <si>
    <t>4.27% Series B Sr. Notes due 6/14/22</t>
  </si>
  <si>
    <t>Total Notes &amp; Term Loans</t>
  </si>
  <si>
    <t>Revolver Drawn</t>
  </si>
  <si>
    <t>Gross Debt</t>
  </si>
  <si>
    <t>(Unamortized Discount)</t>
  </si>
  <si>
    <t>Reported Debt</t>
  </si>
  <si>
    <t>Revolver Capacity</t>
  </si>
  <si>
    <t>Revolver Availability</t>
  </si>
  <si>
    <t>Total Liquidity</t>
  </si>
  <si>
    <t>ST Debt</t>
  </si>
  <si>
    <t>LT Debt</t>
  </si>
  <si>
    <t>Debt Repayment</t>
  </si>
  <si>
    <t>Morgan Stanley</t>
  </si>
  <si>
    <t>Patterson-UTI (PTEN)  Earnings Model</t>
  </si>
  <si>
    <t>Return Metrics</t>
  </si>
  <si>
    <t>USD</t>
  </si>
  <si>
    <t>PTEN.O</t>
  </si>
  <si>
    <t>Patterson-UTI Energy</t>
  </si>
  <si>
    <t>Currency</t>
  </si>
  <si>
    <t>Current Stock Price</t>
  </si>
  <si>
    <t>Count</t>
  </si>
  <si>
    <t>PTEN.O,mscalc:closePriceCurrencyCalc</t>
  </si>
  <si>
    <t>PTEN.O,mscalc:targetPrice,,,,USD</t>
  </si>
  <si>
    <t>PTEN.O,mscalc:sedolCodeCalc</t>
  </si>
  <si>
    <t>$F$2</t>
  </si>
  <si>
    <t>27</t>
  </si>
  <si>
    <t>2672537</t>
  </si>
  <si>
    <t>Q Index</t>
  </si>
  <si>
    <t>Directional, Corporate &amp; Other</t>
  </si>
  <si>
    <t>3.95% Sr. Notes due 1/28</t>
  </si>
  <si>
    <t>4Q17</t>
  </si>
  <si>
    <t>Total EBITDA</t>
  </si>
  <si>
    <t>Total EBIT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</si>
  <si>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</si>
  <si>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</si>
  <si>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</si>
  <si>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</si>
  <si>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</si>
  <si>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</si>
  <si>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</si>
  <si>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</si>
  <si>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</si>
  <si>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</si>
  <si>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</si>
  <si>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PTEN.O</t>
  </si>
  <si>
    <t>Stock Rating: Overweight</t>
  </si>
  <si>
    <t>Industry: Oil Services, Drilling &amp; Equipment</t>
  </si>
  <si>
    <t>Industry View: In-Line</t>
  </si>
  <si>
    <t>Price as of 11 Apr 2018: 19.34</t>
  </si>
  <si>
    <t>Target Price: 27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</si>
  <si>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</si>
  <si>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</si>
  <si>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</si>
  <si>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</si>
  <si>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Patterson-UTI Energy.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</si>
  <si>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</si>
  <si>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</si>
  <si>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</si>
  <si>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</si>
  <si>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</si>
  <si>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</si>
  <si>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</si>
  <si>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</si>
  <si>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</si>
  <si>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</si>
  <si>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</si>
  <si>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</si>
  <si>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</si>
  <si>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</si>
  <si>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</si>
  <si>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</si>
  <si>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</si>
  <si>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</si>
  <si>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</si>
  <si>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</si>
  <si>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</si>
  <si>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</si>
  <si>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</si>
  <si>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</si>
  <si>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</si>
  <si>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</si>
  <si>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</si>
  <si>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</si>
  <si>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</si>
  <si>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</si>
  <si>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</si>
  <si>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</si>
  <si>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</si>
  <si>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</si>
  <si>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</si>
  <si>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</si>
  <si>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</si>
  <si>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</si>
  <si>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</si>
  <si>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</si>
  <si>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</si>
  <si>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</si>
  <si>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</si>
  <si>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</si>
  <si>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</si>
  <si>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</si>
  <si>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</si>
  <si>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</si>
  <si>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</si>
  <si>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</si>
  <si>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</si>
  <si>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</si>
  <si>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</si>
  <si>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</si>
  <si>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</si>
  <si>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</si>
  <si>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</si>
  <si>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</si>
  <si>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</si>
  <si>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</si>
  <si>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</si>
  <si>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</si>
  <si>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</si>
  <si>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</si>
  <si>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</si>
  <si>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</si>
  <si>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</si>
  <si>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</si>
  <si>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</si>
  <si>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</si>
  <si>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</si>
  <si>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</si>
  <si>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</si>
  <si>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</si>
  <si>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</si>
  <si>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</si>
  <si>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</si>
  <si>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</si>
  <si>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</si>
  <si>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</si>
  <si>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</si>
  <si>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</si>
  <si>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</si>
  <si>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</si>
  <si>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</si>
  <si>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</si>
  <si>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</si>
  <si>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</si>
  <si>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</si>
  <si>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</si>
  <si>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</si>
  <si>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</si>
  <si>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</si>
  <si>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</si>
  <si>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</si>
  <si>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</si>
  <si>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</si>
  <si>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</si>
  <si>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</si>
  <si>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</si>
  <si>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</si>
  <si>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</si>
  <si>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</si>
  <si>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</si>
  <si>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</si>
  <si>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</si>
  <si>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</si>
  <si>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</si>
  <si>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</si>
  <si>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</si>
  <si>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</si>
  <si>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</si>
  <si>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</si>
  <si>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</si>
  <si>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</si>
  <si>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</si>
  <si>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</si>
  <si>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</si>
  <si>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</si>
  <si>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</si>
  <si>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</si>
  <si>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</si>
  <si>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</si>
  <si>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</si>
  <si>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</si>
  <si>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</si>
  <si>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</si>
  <si>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</si>
  <si>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</si>
  <si>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</si>
  <si>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</si>
  <si>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</si>
  <si>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</si>
  <si>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</si>
  <si>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</si>
  <si>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</si>
  <si>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</si>
  <si>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</si>
  <si>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</si>
  <si>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</si>
  <si>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</si>
  <si>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</si>
  <si>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</si>
  <si>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</si>
  <si>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</si>
  <si>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</si>
  <si>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</si>
  <si>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</si>
  <si>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</si>
  <si>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</si>
  <si>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</si>
  <si>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</si>
  <si>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</si>
  <si>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</si>
  <si>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</si>
  <si>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</si>
  <si>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</si>
  <si>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</si>
  <si>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</si>
  <si>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</si>
  <si>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</si>
  <si>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</si>
  <si>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</si>
  <si>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</si>
  <si>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</si>
  <si>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</si>
  <si>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</si>
  <si>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</si>
  <si>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</si>
  <si>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</si>
  <si>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</si>
  <si>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</si>
  <si>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</si>
  <si>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</si>
  <si>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</si>
  <si>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</si>
  <si>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</si>
  <si>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</si>
  <si>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</si>
  <si>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</si>
  <si>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</si>
  <si>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</si>
  <si>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</si>
  <si>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</si>
  <si>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</si>
  <si>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</si>
  <si>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</si>
  <si>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</si>
  <si>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</si>
  <si>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</si>
  <si>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</si>
  <si>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</si>
  <si>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</si>
  <si>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</si>
  <si>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</si>
  <si>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</si>
  <si>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</si>
  <si>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</si>
  <si>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</si>
  <si>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</si>
  <si>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</si>
  <si>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</si>
  <si>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</si>
  <si>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</si>
  <si>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</si>
  <si>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</si>
  <si>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</si>
  <si>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</si>
  <si>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</si>
  <si>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</si>
  <si>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</si>
  <si>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</si>
  <si>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</si>
  <si>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</si>
  <si>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</si>
  <si>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</si>
  <si>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</si>
  <si>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</si>
  <si>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</si>
  <si>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</si>
  <si>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</si>
  <si>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</si>
  <si>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</si>
  <si>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</si>
  <si>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</si>
  <si>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</si>
  <si>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</si>
  <si>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</si>
  <si>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</si>
  <si>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</si>
  <si>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</si>
  <si>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</si>
  <si>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</si>
  <si>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</si>
  <si>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</si>
  <si>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</si>
  <si>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</si>
  <si>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</si>
  <si>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</si>
  <si>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</si>
  <si>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</si>
  <si>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</si>
  <si>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</si>
  <si>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Patterson-UTI Energy.</t>
  </si>
  <si>
    <t>In the next 3 months, Morgan Stanley expects to receive or intends to seek compensation for investment</t>
  </si>
  <si>
    <t>banking services from Patterson-UTI Energy.</t>
  </si>
  <si>
    <t>Within the last 12 months, Morgan Stanley has received compensation for investment banking services from</t>
  </si>
  <si>
    <t>Patterson-UTI Energy.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</si>
  <si>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</si>
  <si>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</si>
  <si>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</si>
  <si>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</si>
  <si>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</si>
  <si>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</si>
  <si>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</si>
  <si>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</si>
  <si>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</si>
  <si>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</si>
  <si>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</si>
  <si>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</si>
  <si>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</si>
  <si>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</si>
  <si>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</si>
  <si>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</si>
  <si>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</si>
  <si>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</si>
  <si>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</si>
  <si>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</si>
  <si>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</si>
  <si>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</si>
  <si>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</si>
  <si>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</si>
  <si>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</si>
  <si>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</si>
  <si>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</si>
  <si>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</si>
  <si>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</si>
  <si>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</si>
  <si>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</si>
  <si>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</si>
  <si>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</si>
  <si>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</si>
  <si>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</si>
  <si>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</si>
  <si>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</si>
  <si>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</si>
  <si>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</si>
  <si>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</si>
  <si>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</si>
  <si>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</si>
  <si>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</si>
  <si>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</si>
  <si>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</si>
  <si>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</si>
  <si>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</si>
  <si>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</si>
  <si>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</si>
  <si>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</si>
  <si>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</si>
  <si>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</si>
  <si>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</si>
  <si>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</si>
  <si>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</si>
  <si>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</si>
  <si>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</si>
  <si>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</si>
  <si>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</si>
  <si>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</si>
  <si>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</si>
  <si>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</si>
  <si>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</si>
  <si>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</si>
  <si>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</si>
  <si>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</si>
  <si>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</si>
  <si>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</si>
  <si>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</si>
  <si>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</si>
  <si>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</si>
  <si>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</si>
  <si>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</si>
  <si>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</si>
  <si>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</si>
  <si>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</si>
  <si>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</si>
  <si>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</si>
  <si>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ozierale</t>
  </si>
  <si>
    <t>L:\ENERGY\Lynagh\Models\PTEN.xlsm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</si>
  <si>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</si>
  <si>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</si>
  <si>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</si>
  <si>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</si>
  <si>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</si>
  <si>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</si>
  <si>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11:21]</t>
  </si>
  <si>
    <t>[PSYM PTEN.O(S&amp;P) (None)]</t>
  </si>
  <si>
    <t>[COU 1]</t>
  </si>
  <si>
    <t>[ANA ]</t>
  </si>
  <si>
    <t>[HL PTEN.O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</si>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</sst>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##"/>
    <numFmt numFmtId="165" formatCode="#,##0_);\ \(#,##0\);\ &quot;- &quot;"/>
    <numFmt numFmtId="166" formatCode="#,##0.0_);\(#,##0.0\);\–_)"/>
    <numFmt numFmtId="167" formatCode="#,##0_);\(#,##0\);\–_)"/>
    <numFmt numFmtId="168" formatCode="mm/dd/yy;@"/>
    <numFmt numFmtId="169" formatCode="0.0%_);\(0.0%\);&quot;–&quot;_)"/>
    <numFmt numFmtId="170" formatCode="0%_);\(0%\);&quot;–&quot;_)"/>
    <numFmt numFmtId="171" formatCode="_(* #,##0.0_);_(* \(#,##0.0\);_(* &quot;-&quot;??_);_(@_)"/>
    <numFmt numFmtId="172" formatCode="#,##0.0_);\(#,##0.0\)"/>
    <numFmt numFmtId="173" formatCode="0.0\x_);\(0.0\x\);&quot;–&quot;_)"/>
    <numFmt numFmtId="174" formatCode="#,##0.00_);\(#,##0.00\);\–_)"/>
    <numFmt numFmtId="175" formatCode="#,##0.000_);\(#,##0.000\)"/>
    <numFmt numFmtId="186" formatCode="#,##0.0_);\(#,##0.0\);&quot;-&quot;"/>
    <numFmt numFmtId="187" formatCode="0.0%_);\(0.0%\);&quot;-&quot;"/>
    <numFmt numFmtId="188" formatCode="_ * #,##0_ ;_ * \-#,##0_ ;_ * &quot;-&quot;_ ;_ @_ "/>
    <numFmt numFmtId="194" formatCode="mm/dd/yy\ hh:mm"/>
  </numFmts>
  <fonts count="40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10"/>
      <name val="Arial"/>
      <family val="2"/>
    </font>
    <font>
      <b/>
      <sz val="8"/>
      <color indexed="53"/>
      <name val="Arial"/>
      <family val="2"/>
    </font>
    <font>
      <b/>
      <sz val="8"/>
      <color indexed="12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5"/>
      <color theme="1"/>
      <name val="Arial"/>
      <family val="2"/>
    </font>
    <font>
      <i/>
      <sz val="8"/>
      <name val="Arial"/>
      <family val="2"/>
    </font>
    <font>
      <u/>
      <sz val="8"/>
      <color theme="1"/>
      <name val="Arial"/>
      <family val="2"/>
    </font>
    <font>
      <u/>
      <sz val="8"/>
      <name val="Arial"/>
      <family val="2"/>
    </font>
    <font>
      <sz val="8"/>
      <color rgb="FF008000"/>
      <name val="Arial"/>
      <family val="2"/>
    </font>
    <font>
      <sz val="5"/>
      <name val="Arial"/>
      <family val="2"/>
    </font>
    <font>
      <sz val="5"/>
      <color rgb="FF008000"/>
      <name val="Arial"/>
      <family val="2"/>
    </font>
    <font>
      <sz val="8"/>
      <color rgb="FF137CB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rgb="FF137CB1"/>
      <name val="Arial"/>
      <family val="2"/>
    </font>
    <font>
      <sz val="8"/>
      <color rgb="FFFF0000"/>
      <name val="Arial"/>
      <family val="2"/>
    </font>
    <font>
      <sz val="8"/>
      <color indexed="24"/>
      <name val="Arial"/>
      <family val="2"/>
    </font>
    <font>
      <b/>
      <sz val="5"/>
      <color theme="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10"/>
      <name val="Beatles"/>
      <charset val="162"/>
    </font>
    <font>
      <sz val="12"/>
      <name val="바탕체"/>
      <family val="1"/>
      <charset val="129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3">
    <xf numFmtId="0" fontId="0" fillId="0" borderId="0"/>
    <xf numFmtId="0" fontId="3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0" fontId="9" fillId="0" borderId="0"/>
    <xf numFmtId="0" fontId="25" fillId="0" borderId="0"/>
    <xf numFmtId="0" fontId="3" fillId="6" borderId="0" applyNumberFormat="0" applyFont="0" applyBorder="0" applyAlignment="0" applyProtection="0"/>
    <xf numFmtId="44" fontId="25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27" fillId="0" borderId="0"/>
    <xf numFmtId="0" fontId="28" fillId="0" borderId="0">
      <alignment vertical="center"/>
    </xf>
    <xf numFmtId="0" fontId="29" fillId="0" borderId="0"/>
    <xf numFmtId="0" fontId="29" fillId="0" borderId="6">
      <alignment horizontal="centerContinuous"/>
    </xf>
    <xf numFmtId="0" fontId="30" fillId="0" borderId="6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3" fillId="0" borderId="0"/>
    <xf numFmtId="0" fontId="3" fillId="0" borderId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186" fontId="7" fillId="0" borderId="0"/>
    <xf numFmtId="9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6" fontId="8" fillId="0" borderId="2"/>
    <xf numFmtId="188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5" fillId="0" borderId="0"/>
  </cellStyleXfs>
  <cellXfs count="163">
    <xf numFmtId="0" fontId="0" fillId="0" borderId="0" xfId="0"/>
    <xf numFmtId="164" fontId="4" fillId="0" borderId="0" xfId="1" applyNumberFormat="1" applyFont="1" applyBorder="1" applyAlignment="1">
      <alignment horizontal="right"/>
    </xf>
    <xf numFmtId="0" fontId="5" fillId="0" borderId="1" xfId="1" applyFont="1" applyBorder="1" applyAlignment="1">
      <alignment horizontal="right"/>
    </xf>
    <xf numFmtId="37" fontId="6" fillId="0" borderId="0" xfId="2" applyNumberFormat="1" applyFont="1" applyFill="1" applyBorder="1" applyAlignment="1"/>
    <xf numFmtId="165" fontId="7" fillId="0" borderId="0" xfId="1" applyNumberFormat="1" applyFont="1" applyFill="1" applyAlignment="1">
      <alignment horizontal="left" indent="1"/>
    </xf>
    <xf numFmtId="165" fontId="8" fillId="0" borderId="0" xfId="1" applyNumberFormat="1" applyFont="1" applyFill="1" applyAlignment="1"/>
    <xf numFmtId="0" fontId="5" fillId="0" borderId="0" xfId="1" applyFont="1" applyBorder="1" applyAlignment="1">
      <alignment horizontal="right"/>
    </xf>
    <xf numFmtId="0" fontId="8" fillId="0" borderId="1" xfId="1" applyFont="1" applyBorder="1" applyAlignment="1">
      <alignment horizontal="right"/>
    </xf>
    <xf numFmtId="0" fontId="0" fillId="0" borderId="0" xfId="0" applyAlignment="1">
      <alignment horizontal="left" indent="1"/>
    </xf>
    <xf numFmtId="164" fontId="7" fillId="0" borderId="1" xfId="1" applyNumberFormat="1" applyFont="1" applyBorder="1" applyAlignment="1">
      <alignment horizontal="left"/>
    </xf>
    <xf numFmtId="0" fontId="2" fillId="0" borderId="0" xfId="0" applyFont="1"/>
    <xf numFmtId="0" fontId="10" fillId="0" borderId="0" xfId="0" applyFont="1"/>
    <xf numFmtId="0" fontId="7" fillId="0" borderId="0" xfId="0" applyFont="1" applyBorder="1"/>
    <xf numFmtId="0" fontId="0" fillId="0" borderId="0" xfId="0" applyAlignment="1"/>
    <xf numFmtId="0" fontId="2" fillId="0" borderId="0" xfId="0" applyFont="1" applyAlignment="1"/>
    <xf numFmtId="165" fontId="11" fillId="0" borderId="0" xfId="1" applyNumberFormat="1" applyFont="1" applyFill="1" applyAlignment="1">
      <alignment horizontal="left" indent="1"/>
    </xf>
    <xf numFmtId="165" fontId="7" fillId="0" borderId="0" xfId="1" applyNumberFormat="1" applyFont="1" applyFill="1" applyAlignment="1">
      <alignment horizontal="left" indent="2"/>
    </xf>
    <xf numFmtId="0" fontId="0" fillId="0" borderId="0" xfId="0" applyFont="1"/>
    <xf numFmtId="164" fontId="8" fillId="0" borderId="1" xfId="1" applyNumberFormat="1" applyFont="1" applyBorder="1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166" fontId="2" fillId="0" borderId="2" xfId="0" applyNumberFormat="1" applyFont="1" applyBorder="1" applyAlignment="1">
      <alignment horizontal="right"/>
    </xf>
    <xf numFmtId="166" fontId="2" fillId="0" borderId="0" xfId="0" applyNumberFormat="1" applyFont="1" applyBorder="1" applyAlignment="1">
      <alignment horizontal="righ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indent="1"/>
    </xf>
    <xf numFmtId="0" fontId="0" fillId="0" borderId="0" xfId="0" applyAlignment="1">
      <alignment horizontal="left" indent="3"/>
    </xf>
    <xf numFmtId="165" fontId="8" fillId="0" borderId="0" xfId="1" applyNumberFormat="1" applyFont="1" applyFill="1"/>
    <xf numFmtId="0" fontId="7" fillId="0" borderId="1" xfId="1" applyFont="1" applyFill="1" applyBorder="1" applyAlignment="1">
      <alignment horizontal="left"/>
    </xf>
    <xf numFmtId="0" fontId="13" fillId="0" borderId="0" xfId="1" applyFont="1" applyFill="1" applyAlignment="1"/>
    <xf numFmtId="0" fontId="7" fillId="0" borderId="0" xfId="1" applyFont="1" applyFill="1" applyAlignment="1">
      <alignment horizontal="left" indent="1"/>
    </xf>
    <xf numFmtId="0" fontId="8" fillId="0" borderId="0" xfId="1" applyFont="1" applyFill="1" applyAlignment="1"/>
    <xf numFmtId="0" fontId="7" fillId="0" borderId="0" xfId="1" applyFont="1" applyFill="1" applyAlignment="1"/>
    <xf numFmtId="0" fontId="14" fillId="0" borderId="0" xfId="0" applyFont="1" applyAlignment="1">
      <alignment horizontal="left" indent="1"/>
    </xf>
    <xf numFmtId="0" fontId="14" fillId="0" borderId="0" xfId="0" applyFont="1" applyAlignment="1">
      <alignment horizontal="left" indent="2"/>
    </xf>
    <xf numFmtId="0" fontId="2" fillId="0" borderId="1" xfId="0" applyFont="1" applyBorder="1"/>
    <xf numFmtId="0" fontId="15" fillId="0" borderId="0" xfId="1" applyFont="1" applyFill="1"/>
    <xf numFmtId="0" fontId="8" fillId="0" borderId="0" xfId="1" applyFont="1" applyFill="1" applyAlignment="1">
      <alignment horizontal="left"/>
    </xf>
    <xf numFmtId="0" fontId="7" fillId="0" borderId="0" xfId="1" applyFont="1" applyFill="1" applyAlignment="1">
      <alignment horizontal="left"/>
    </xf>
    <xf numFmtId="49" fontId="8" fillId="0" borderId="0" xfId="1" applyNumberFormat="1" applyFont="1" applyFill="1" applyBorder="1"/>
    <xf numFmtId="49" fontId="8" fillId="0" borderId="0" xfId="1" applyNumberFormat="1" applyFont="1" applyFill="1" applyBorder="1" applyAlignment="1">
      <alignment horizontal="left"/>
    </xf>
    <xf numFmtId="0" fontId="15" fillId="0" borderId="0" xfId="3" applyFont="1" applyFill="1"/>
    <xf numFmtId="0" fontId="8" fillId="0" borderId="0" xfId="1" applyNumberFormat="1" applyFont="1" applyFill="1" applyBorder="1" applyAlignment="1">
      <alignment horizontal="left" vertical="center"/>
    </xf>
    <xf numFmtId="0" fontId="7" fillId="0" borderId="0" xfId="1" applyNumberFormat="1" applyFont="1" applyFill="1" applyBorder="1" applyAlignment="1">
      <alignment horizontal="left" vertical="center"/>
    </xf>
    <xf numFmtId="0" fontId="7" fillId="0" borderId="0" xfId="1" applyNumberFormat="1" applyFont="1" applyFill="1" applyBorder="1" applyAlignment="1">
      <alignment horizontal="left" vertical="center" indent="1"/>
    </xf>
    <xf numFmtId="0" fontId="8" fillId="0" borderId="0" xfId="1" applyFont="1" applyFill="1"/>
    <xf numFmtId="0" fontId="7" fillId="0" borderId="0" xfId="1" applyFont="1" applyFill="1"/>
    <xf numFmtId="49" fontId="7" fillId="0" borderId="0" xfId="1" applyNumberFormat="1" applyFont="1" applyFill="1" applyBorder="1" applyAlignment="1">
      <alignment horizontal="left" indent="1"/>
    </xf>
    <xf numFmtId="49" fontId="7" fillId="0" borderId="0" xfId="2" applyNumberFormat="1" applyFont="1" applyFill="1" applyBorder="1" applyAlignment="1">
      <alignment horizontal="left" indent="1"/>
    </xf>
    <xf numFmtId="0" fontId="8" fillId="0" borderId="0" xfId="1" applyFont="1" applyFill="1" applyAlignment="1">
      <alignment horizontal="left" indent="1"/>
    </xf>
    <xf numFmtId="49" fontId="7" fillId="0" borderId="0" xfId="2" applyNumberFormat="1" applyFont="1" applyFill="1" applyAlignment="1">
      <alignment horizontal="left" indent="1"/>
    </xf>
    <xf numFmtId="165" fontId="8" fillId="0" borderId="0" xfId="1" applyNumberFormat="1" applyFont="1" applyFill="1" applyAlignment="1">
      <alignment horizontal="left" indent="1"/>
    </xf>
    <xf numFmtId="0" fontId="0" fillId="0" borderId="0" xfId="0" applyFont="1" applyAlignment="1">
      <alignment horizontal="left" indent="1"/>
    </xf>
    <xf numFmtId="0" fontId="16" fillId="0" borderId="0" xfId="0" applyFont="1"/>
    <xf numFmtId="0" fontId="14" fillId="0" borderId="0" xfId="0" applyFont="1"/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167" fontId="14" fillId="0" borderId="0" xfId="0" applyNumberFormat="1" applyFont="1" applyAlignment="1">
      <alignment horizontal="right"/>
    </xf>
    <xf numFmtId="167" fontId="17" fillId="0" borderId="0" xfId="0" applyNumberFormat="1" applyFont="1" applyAlignment="1">
      <alignment horizontal="right"/>
    </xf>
    <xf numFmtId="167" fontId="17" fillId="3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167" fontId="17" fillId="5" borderId="0" xfId="0" applyNumberFormat="1" applyFont="1" applyFill="1" applyAlignment="1">
      <alignment horizontal="right"/>
    </xf>
    <xf numFmtId="166" fontId="17" fillId="0" borderId="0" xfId="0" applyNumberFormat="1" applyFont="1" applyAlignment="1">
      <alignment horizontal="right"/>
    </xf>
    <xf numFmtId="0" fontId="10" fillId="5" borderId="0" xfId="0" applyFont="1" applyFill="1"/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0" xfId="0" applyNumberFormat="1" applyFill="1" applyAlignment="1">
      <alignment horizontal="right"/>
    </xf>
    <xf numFmtId="14" fontId="0" fillId="5" borderId="0" xfId="0" applyNumberFormat="1" applyFill="1"/>
    <xf numFmtId="168" fontId="0" fillId="5" borderId="0" xfId="0" applyNumberFormat="1" applyFill="1" applyAlignment="1">
      <alignment horizontal="right"/>
    </xf>
    <xf numFmtId="169" fontId="0" fillId="0" borderId="0" xfId="0" applyNumberFormat="1" applyFont="1" applyAlignment="1">
      <alignment horizontal="right"/>
    </xf>
    <xf numFmtId="170" fontId="0" fillId="0" borderId="0" xfId="0" applyNumberFormat="1" applyFont="1" applyAlignment="1">
      <alignment horizontal="right"/>
    </xf>
    <xf numFmtId="167" fontId="2" fillId="0" borderId="2" xfId="0" applyNumberFormat="1" applyFont="1" applyBorder="1" applyAlignment="1">
      <alignment horizontal="right"/>
    </xf>
    <xf numFmtId="0" fontId="2" fillId="0" borderId="0" xfId="0" applyFont="1" applyAlignment="1">
      <alignment horizontal="left" indent="1"/>
    </xf>
    <xf numFmtId="167" fontId="20" fillId="0" borderId="2" xfId="0" applyNumberFormat="1" applyFont="1" applyBorder="1" applyAlignment="1">
      <alignment horizontal="right"/>
    </xf>
    <xf numFmtId="170" fontId="0" fillId="0" borderId="2" xfId="0" applyNumberFormat="1" applyFont="1" applyBorder="1" applyAlignment="1">
      <alignment horizontal="right"/>
    </xf>
    <xf numFmtId="166" fontId="17" fillId="2" borderId="0" xfId="0" applyNumberFormat="1" applyFont="1" applyFill="1" applyAlignment="1">
      <alignment horizontal="right"/>
    </xf>
    <xf numFmtId="166" fontId="14" fillId="0" borderId="0" xfId="0" applyNumberFormat="1" applyFont="1" applyAlignment="1">
      <alignment horizontal="right"/>
    </xf>
    <xf numFmtId="167" fontId="17" fillId="4" borderId="0" xfId="0" applyNumberFormat="1" applyFont="1" applyFill="1" applyAlignment="1">
      <alignment horizontal="right"/>
    </xf>
    <xf numFmtId="167" fontId="0" fillId="4" borderId="0" xfId="0" applyNumberFormat="1" applyFill="1" applyAlignment="1">
      <alignment horizontal="right"/>
    </xf>
    <xf numFmtId="167" fontId="7" fillId="0" borderId="0" xfId="0" applyNumberFormat="1" applyFont="1" applyAlignment="1">
      <alignment horizontal="right"/>
    </xf>
    <xf numFmtId="167" fontId="17" fillId="3" borderId="3" xfId="0" applyNumberFormat="1" applyFont="1" applyFill="1" applyBorder="1" applyAlignment="1">
      <alignment horizontal="right"/>
    </xf>
    <xf numFmtId="167" fontId="17" fillId="3" borderId="4" xfId="0" applyNumberFormat="1" applyFont="1" applyFill="1" applyBorder="1" applyAlignment="1">
      <alignment horizontal="right"/>
    </xf>
    <xf numFmtId="169" fontId="17" fillId="3" borderId="0" xfId="0" applyNumberFormat="1" applyFont="1" applyFill="1" applyAlignment="1">
      <alignment horizontal="right"/>
    </xf>
    <xf numFmtId="171" fontId="17" fillId="0" borderId="0" xfId="2" applyNumberFormat="1" applyFont="1" applyFill="1" applyBorder="1" applyAlignment="1">
      <alignment horizontal="right"/>
    </xf>
    <xf numFmtId="171" fontId="22" fillId="0" borderId="0" xfId="2" applyNumberFormat="1" applyFont="1" applyFill="1" applyBorder="1" applyAlignment="1">
      <alignment horizontal="right"/>
    </xf>
    <xf numFmtId="166" fontId="21" fillId="2" borderId="0" xfId="0" applyNumberFormat="1" applyFont="1" applyFill="1" applyAlignment="1">
      <alignment horizontal="right"/>
    </xf>
    <xf numFmtId="169" fontId="2" fillId="0" borderId="0" xfId="0" applyNumberFormat="1" applyFont="1" applyAlignment="1">
      <alignment horizontal="right"/>
    </xf>
    <xf numFmtId="169" fontId="0" fillId="0" borderId="0" xfId="0" applyNumberFormat="1" applyFont="1" applyFill="1" applyAlignment="1">
      <alignment horizontal="right"/>
    </xf>
    <xf numFmtId="166" fontId="0" fillId="0" borderId="0" xfId="0" applyNumberFormat="1" applyFill="1" applyAlignment="1">
      <alignment horizontal="right"/>
    </xf>
    <xf numFmtId="0" fontId="10" fillId="0" borderId="0" xfId="0" applyFont="1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left" indent="2"/>
    </xf>
    <xf numFmtId="166" fontId="21" fillId="0" borderId="0" xfId="0" applyNumberFormat="1" applyFont="1" applyBorder="1" applyAlignment="1">
      <alignment horizontal="right"/>
    </xf>
    <xf numFmtId="166" fontId="17" fillId="0" borderId="0" xfId="0" applyNumberFormat="1" applyFont="1" applyFill="1" applyAlignment="1">
      <alignment horizontal="right"/>
    </xf>
    <xf numFmtId="167" fontId="17" fillId="0" borderId="0" xfId="0" applyNumberFormat="1" applyFont="1" applyFill="1" applyAlignment="1">
      <alignment horizontal="right"/>
    </xf>
    <xf numFmtId="167" fontId="0" fillId="0" borderId="0" xfId="0" applyNumberFormat="1" applyFill="1" applyAlignment="1">
      <alignment horizontal="right"/>
    </xf>
    <xf numFmtId="171" fontId="0" fillId="0" borderId="0" xfId="0" applyNumberFormat="1" applyAlignment="1">
      <alignment horizontal="right"/>
    </xf>
    <xf numFmtId="166" fontId="20" fillId="0" borderId="2" xfId="0" applyNumberFormat="1" applyFont="1" applyBorder="1" applyAlignment="1">
      <alignment horizontal="right"/>
    </xf>
    <xf numFmtId="173" fontId="0" fillId="0" borderId="0" xfId="0" applyNumberFormat="1" applyAlignment="1">
      <alignment horizontal="right"/>
    </xf>
    <xf numFmtId="166" fontId="2" fillId="0" borderId="2" xfId="0" applyNumberFormat="1" applyFont="1" applyFill="1" applyBorder="1" applyAlignment="1">
      <alignment horizontal="right"/>
    </xf>
    <xf numFmtId="166" fontId="21" fillId="0" borderId="0" xfId="0" applyNumberFormat="1" applyFont="1" applyFill="1" applyBorder="1" applyAlignment="1">
      <alignment horizontal="right"/>
    </xf>
    <xf numFmtId="169" fontId="17" fillId="0" borderId="0" xfId="0" applyNumberFormat="1" applyFont="1" applyAlignment="1">
      <alignment horizontal="right"/>
    </xf>
    <xf numFmtId="43" fontId="0" fillId="0" borderId="0" xfId="0" applyNumberFormat="1" applyAlignment="1">
      <alignment horizontal="right"/>
    </xf>
    <xf numFmtId="173" fontId="17" fillId="0" borderId="0" xfId="0" applyNumberFormat="1" applyFont="1" applyAlignment="1">
      <alignment horizontal="right"/>
    </xf>
    <xf numFmtId="174" fontId="0" fillId="0" borderId="0" xfId="0" applyNumberFormat="1" applyAlignment="1">
      <alignment horizontal="right"/>
    </xf>
    <xf numFmtId="174" fontId="17" fillId="0" borderId="0" xfId="0" applyNumberFormat="1" applyFont="1" applyAlignment="1">
      <alignment horizontal="right"/>
    </xf>
    <xf numFmtId="0" fontId="23" fillId="0" borderId="0" xfId="0" applyFont="1"/>
    <xf numFmtId="174" fontId="2" fillId="0" borderId="0" xfId="0" applyNumberFormat="1" applyFont="1" applyAlignment="1">
      <alignment horizontal="right"/>
    </xf>
    <xf numFmtId="171" fontId="7" fillId="0" borderId="0" xfId="2" applyNumberFormat="1" applyFont="1" applyFill="1" applyBorder="1" applyAlignment="1">
      <alignment horizontal="right"/>
    </xf>
    <xf numFmtId="166" fontId="17" fillId="4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0" borderId="0" xfId="0" applyFont="1" applyFill="1"/>
    <xf numFmtId="166" fontId="17" fillId="0" borderId="0" xfId="2" applyNumberFormat="1" applyFont="1" applyFill="1"/>
    <xf numFmtId="166" fontId="7" fillId="0" borderId="0" xfId="2" applyNumberFormat="1" applyFont="1" applyFill="1"/>
    <xf numFmtId="166" fontId="17" fillId="0" borderId="5" xfId="2" applyNumberFormat="1" applyFont="1" applyFill="1" applyBorder="1"/>
    <xf numFmtId="166" fontId="0" fillId="0" borderId="0" xfId="0" applyNumberFormat="1" applyFont="1" applyFill="1" applyAlignment="1">
      <alignment horizontal="right"/>
    </xf>
    <xf numFmtId="172" fontId="0" fillId="0" borderId="0" xfId="0" applyNumberFormat="1" applyFont="1" applyFill="1" applyAlignment="1">
      <alignment horizontal="right"/>
    </xf>
    <xf numFmtId="166" fontId="0" fillId="0" borderId="0" xfId="0" applyNumberFormat="1"/>
    <xf numFmtId="167" fontId="0" fillId="0" borderId="0" xfId="0" applyNumberFormat="1"/>
    <xf numFmtId="166" fontId="0" fillId="4" borderId="0" xfId="0" applyNumberFormat="1" applyFill="1" applyAlignment="1">
      <alignment horizontal="right"/>
    </xf>
    <xf numFmtId="49" fontId="24" fillId="0" borderId="0" xfId="3" applyNumberFormat="1" applyFont="1" applyFill="1" applyBorder="1"/>
    <xf numFmtId="49" fontId="8" fillId="0" borderId="0" xfId="2" applyNumberFormat="1" applyFont="1" applyFill="1" applyAlignment="1">
      <alignment horizontal="left"/>
    </xf>
    <xf numFmtId="175" fontId="0" fillId="0" borderId="0" xfId="0" applyNumberFormat="1" applyAlignment="1">
      <alignment horizontal="right"/>
    </xf>
    <xf numFmtId="49" fontId="0" fillId="0" borderId="0" xfId="0" applyNumberFormat="1"/>
    <xf numFmtId="0" fontId="32" fillId="0" borderId="0" xfId="0" applyFont="1" applyAlignment="1">
      <alignment horizontal="left"/>
    </xf>
    <xf numFmtId="0" fontId="3" fillId="0" borderId="0" xfId="18"/>
    <xf numFmtId="0" fontId="5" fillId="0" borderId="0" xfId="1" applyFont="1" applyFill="1" applyBorder="1" applyAlignment="1">
      <alignment horizontal="right"/>
    </xf>
    <xf numFmtId="169" fontId="17" fillId="0" borderId="0" xfId="2" applyNumberFormat="1" applyFont="1" applyFill="1"/>
    <xf numFmtId="166" fontId="21" fillId="2" borderId="0" xfId="0" applyNumberFormat="1" applyFont="1" applyFill="1" applyBorder="1" applyAlignment="1">
      <alignment horizontal="right"/>
    </xf>
    <xf numFmtId="174" fontId="17" fillId="0" borderId="0" xfId="0" applyNumberFormat="1" applyFont="1" applyFill="1" applyAlignment="1">
      <alignment horizontal="right"/>
    </xf>
    <xf numFmtId="166" fontId="7" fillId="0" borderId="0" xfId="0" applyNumberFormat="1" applyFont="1" applyFill="1" applyAlignment="1">
      <alignment horizontal="right"/>
    </xf>
    <xf numFmtId="169" fontId="7" fillId="0" borderId="0" xfId="0" applyNumberFormat="1" applyFont="1" applyFill="1" applyAlignment="1">
      <alignment horizontal="right"/>
    </xf>
    <xf numFmtId="169" fontId="17" fillId="0" borderId="0" xfId="0" applyNumberFormat="1" applyFont="1" applyFill="1" applyAlignment="1">
      <alignment horizontal="right"/>
    </xf>
    <xf numFmtId="166" fontId="17" fillId="0" borderId="8" xfId="0" applyNumberFormat="1" applyFont="1" applyFill="1" applyBorder="1" applyAlignment="1">
      <alignment horizontal="right"/>
    </xf>
    <xf numFmtId="166" fontId="17" fillId="0" borderId="7" xfId="0" applyNumberFormat="1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3" fillId="8" borderId="0" xfId="32" applyFont="1" applyFill="1" applyAlignment="1">
      <alignment vertical="top"/>
    </xf>
    <xf numFmtId="0" fontId="3" fillId="8" borderId="0" xfId="18" applyFill="1" applyAlignment="1">
      <alignment vertical="top"/>
    </xf>
    <xf numFmtId="0" fontId="3" fillId="8" borderId="0" xfId="18" applyFill="1"/>
    <xf numFmtId="0" fontId="36" fillId="8" borderId="0" xfId="32" applyFont="1" applyFill="1" applyAlignment="1">
      <alignment horizontal="left" vertical="top"/>
    </xf>
    <xf numFmtId="0" fontId="3" fillId="8" borderId="0" xfId="18" applyFont="1" applyFill="1" applyAlignment="1">
      <alignment vertical="top"/>
    </xf>
    <xf numFmtId="0" fontId="37" fillId="8" borderId="0" xfId="32" applyFont="1" applyFill="1" applyAlignment="1">
      <alignment vertical="top"/>
    </xf>
    <xf numFmtId="0" fontId="0" fillId="8" borderId="0" xfId="0" applyFill="1" applyAlignment="1">
      <alignment vertical="top"/>
    </xf>
    <xf numFmtId="0" fontId="38" fillId="8" borderId="0" xfId="0" applyFont="1" applyFill="1" applyAlignment="1">
      <alignment vertical="top"/>
    </xf>
    <xf numFmtId="0" fontId="39" fillId="8" borderId="0" xfId="0" applyFont="1" applyFill="1" applyAlignment="1">
      <alignment vertical="top"/>
    </xf>
    <xf numFmtId="0" fontId="39" fillId="8" borderId="0" xfId="0" applyFont="1" applyFill="1" applyAlignment="1">
      <alignment vertical="top"/>
    </xf>
    <xf numFmtId="0" fontId="38" fillId="8" borderId="0" xfId="0" applyFont="1" applyFill="1" applyAlignment="1">
      <alignment vertical="top"/>
    </xf>
    <xf numFmtId="0" fontId="0" fillId="8" borderId="0" xfId="0" applyFill="1" applyAlignment="1">
      <alignment vertical="top"/>
    </xf>
    <xf numFmtId="0" fontId="0" fillId="8" borderId="13" xfId="0" applyFill="1" applyBorder="1" applyAlignment="1">
      <alignment vertical="top"/>
    </xf>
    <xf numFmtId="0" fontId="38" fillId="8" borderId="9" xfId="0" applyFont="1" applyFill="1" applyBorder="1" applyAlignment="1">
      <alignment vertical="top"/>
    </xf>
    <xf numFmtId="0" fontId="38" fillId="8" borderId="10" xfId="0" applyFont="1" applyFill="1" applyBorder="1" applyAlignment="1">
      <alignment vertical="top"/>
    </xf>
    <xf numFmtId="0" fontId="38" fillId="8" borderId="11" xfId="0" applyFont="1" applyFill="1" applyBorder="1" applyAlignment="1">
      <alignment vertical="top"/>
    </xf>
    <xf numFmtId="0" fontId="38" fillId="8" borderId="12" xfId="0" applyFont="1" applyFill="1" applyBorder="1" applyAlignment="1">
      <alignment vertical="top"/>
    </xf>
    <xf numFmtId="9" fontId="38" fillId="8" borderId="9" xfId="0" applyNumberFormat="1" applyFont="1" applyFill="1" applyBorder="1" applyAlignment="1">
      <alignment vertical="top"/>
    </xf>
    <xf numFmtId="3" fontId="38" fillId="8" borderId="9" xfId="0" applyNumberFormat="1" applyFont="1" applyFill="1" applyBorder="1" applyAlignment="1">
      <alignment vertical="top"/>
    </xf>
    <xf numFmtId="0" fontId="0" fillId="8" borderId="14" xfId="0" applyFill="1" applyBorder="1" applyAlignment="1">
      <alignment vertical="top"/>
    </xf>
    <xf numFmtId="2" fontId="3" fillId="0" borderId="0" xfId="18" applyNumberFormat="1" applyAlignment="1">
      <alignment horizontal="left"/>
    </xf>
    <xf numFmtId="0" fontId="3" fillId="0" borderId="0" xfId="18" applyNumberFormat="1" applyAlignment="1">
      <alignment horizontal="left"/>
    </xf>
    <xf numFmtId="1" fontId="3" fillId="0" borderId="0" xfId="18" applyNumberFormat="1" applyAlignment="1">
      <alignment horizontal="left"/>
    </xf>
    <xf numFmtId="0" fontId="3" fillId="0" borderId="0" xfId="18" applyFont="1"/>
    <xf numFmtId="194" fontId="3" fillId="0" borderId="0" xfId="18" applyNumberFormat="1" applyAlignment="1">
      <alignment horizontal="left"/>
    </xf>
    <xf numFmtId="49" fontId="3" fillId="0" borderId="0" xfId="18" applyNumberFormat="1"/>
  </cellXfs>
  <cellStyles count="33">
    <cellStyle name="          _x000d__x000a_network.drv=netware." xfId="20"/>
    <cellStyle name=" 1" xfId="21"/>
    <cellStyle name=" 1 2" xfId="22"/>
    <cellStyle name="_x000a_386grabber=M" xfId="1"/>
    <cellStyle name="_SUMMARY " xfId="7"/>
    <cellStyle name="0_Capex &amp; Depreciation " xfId="8"/>
    <cellStyle name="0_Valuing BP " xfId="9"/>
    <cellStyle name="c_HardInc " xfId="10"/>
    <cellStyle name="Comma 2" xfId="2"/>
    <cellStyle name="Comma 2 2" xfId="17"/>
    <cellStyle name="Comma 2 3" xfId="23"/>
    <cellStyle name="Currency 2" xfId="6"/>
    <cellStyle name="Currency 3" xfId="16"/>
    <cellStyle name="Currency 6" xfId="24"/>
    <cellStyle name="Normal" xfId="0" builtinId="0"/>
    <cellStyle name="Normal 2" xfId="3"/>
    <cellStyle name="Normal 2 2" xfId="18"/>
    <cellStyle name="Normal 3" xfId="4"/>
    <cellStyle name="Normal 4" xfId="15"/>
    <cellStyle name="Normal 6" xfId="25"/>
    <cellStyle name="Normal_DisclaimerSheet Samples" xfId="32"/>
    <cellStyle name="p " xfId="11"/>
    <cellStyle name="Percent 2" xfId="26"/>
    <cellStyle name="Percent 2 2" xfId="19"/>
    <cellStyle name="Percent 3" xfId="31"/>
    <cellStyle name="Percent 4" xfId="27"/>
    <cellStyle name="RRSInstruction" xfId="5"/>
    <cellStyle name="s_HardInc " xfId="12"/>
    <cellStyle name="s_Valuation " xfId="13"/>
    <cellStyle name="ssp " xfId="14"/>
    <cellStyle name="Subtotal 2" xfId="28"/>
    <cellStyle name="콤마 [0]_#3이설 견적_준공내역총괄표 " xfId="29"/>
    <cellStyle name="콤마_#3이설 견적_준공내역총괄표 " xfId="30"/>
  </cellStyles>
  <dxfs count="11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0066CC"/>
      <rgbColor rgb="001275A6"/>
      <rgbColor rgb="00E5BF61"/>
      <rgbColor rgb="004AAC6B"/>
      <rgbColor rgb="0097D0DD"/>
      <rgbColor rgb="00763A58"/>
      <rgbColor rgb="00EF8D8F"/>
      <rgbColor rgb="00E2704C"/>
      <rgbColor rgb="0099CCFF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9</xdr:col>
      <xdr:colOff>114300</xdr:colOff>
      <xdr:row>193</xdr:row>
      <xdr:rowOff>104775</xdr:rowOff>
    </xdr:to>
    <xdr:pic>
      <xdr:nvPicPr>
        <xdr:cNvPr id="31745" name="Picture 1" descr="C:\Users\ozierale.MSAD\AppData\Local\Temp\MercuryPriceRatingHistoryChart\PTEN.O_2018_04_10_18_46_51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4795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4"/>
  <sheetViews>
    <sheetView showGridLines="0" tabSelected="1" workbookViewId="0">
      <selection activeCell="Z1" sqref="Z1"/>
    </sheetView>
  </sheetViews>
  <sheetFormatPr defaultRowHeight="12.75"/>
  <cols>
    <col min="1" max="1" width="25.83203125" style="139" customWidth="1"/>
    <col min="2" max="5" width="9.33203125" style="139"/>
    <col min="6" max="6" width="18.83203125" style="139" customWidth="1"/>
    <col min="7" max="256" width="9.33203125" style="139"/>
    <col min="257" max="257" width="117.5" style="139" customWidth="1"/>
    <col min="258" max="512" width="9.33203125" style="139"/>
    <col min="513" max="513" width="117.5" style="139" customWidth="1"/>
    <col min="514" max="768" width="9.33203125" style="139"/>
    <col min="769" max="769" width="117.5" style="139" customWidth="1"/>
    <col min="770" max="1024" width="9.33203125" style="139"/>
    <col min="1025" max="1025" width="117.5" style="139" customWidth="1"/>
    <col min="1026" max="1280" width="9.33203125" style="139"/>
    <col min="1281" max="1281" width="117.5" style="139" customWidth="1"/>
    <col min="1282" max="1536" width="9.33203125" style="139"/>
    <col min="1537" max="1537" width="117.5" style="139" customWidth="1"/>
    <col min="1538" max="1792" width="9.33203125" style="139"/>
    <col min="1793" max="1793" width="117.5" style="139" customWidth="1"/>
    <col min="1794" max="2048" width="9.33203125" style="139"/>
    <col min="2049" max="2049" width="117.5" style="139" customWidth="1"/>
    <col min="2050" max="2304" width="9.33203125" style="139"/>
    <col min="2305" max="2305" width="117.5" style="139" customWidth="1"/>
    <col min="2306" max="2560" width="9.33203125" style="139"/>
    <col min="2561" max="2561" width="117.5" style="139" customWidth="1"/>
    <col min="2562" max="2816" width="9.33203125" style="139"/>
    <col min="2817" max="2817" width="117.5" style="139" customWidth="1"/>
    <col min="2818" max="3072" width="9.33203125" style="139"/>
    <col min="3073" max="3073" width="117.5" style="139" customWidth="1"/>
    <col min="3074" max="3328" width="9.33203125" style="139"/>
    <col min="3329" max="3329" width="117.5" style="139" customWidth="1"/>
    <col min="3330" max="3584" width="9.33203125" style="139"/>
    <col min="3585" max="3585" width="117.5" style="139" customWidth="1"/>
    <col min="3586" max="3840" width="9.33203125" style="139"/>
    <col min="3841" max="3841" width="117.5" style="139" customWidth="1"/>
    <col min="3842" max="4096" width="9.33203125" style="139"/>
    <col min="4097" max="4097" width="117.5" style="139" customWidth="1"/>
    <col min="4098" max="4352" width="9.33203125" style="139"/>
    <col min="4353" max="4353" width="117.5" style="139" customWidth="1"/>
    <col min="4354" max="4608" width="9.33203125" style="139"/>
    <col min="4609" max="4609" width="117.5" style="139" customWidth="1"/>
    <col min="4610" max="4864" width="9.33203125" style="139"/>
    <col min="4865" max="4865" width="117.5" style="139" customWidth="1"/>
    <col min="4866" max="5120" width="9.33203125" style="139"/>
    <col min="5121" max="5121" width="117.5" style="139" customWidth="1"/>
    <col min="5122" max="5376" width="9.33203125" style="139"/>
    <col min="5377" max="5377" width="117.5" style="139" customWidth="1"/>
    <col min="5378" max="5632" width="9.33203125" style="139"/>
    <col min="5633" max="5633" width="117.5" style="139" customWidth="1"/>
    <col min="5634" max="5888" width="9.33203125" style="139"/>
    <col min="5889" max="5889" width="117.5" style="139" customWidth="1"/>
    <col min="5890" max="6144" width="9.33203125" style="139"/>
    <col min="6145" max="6145" width="117.5" style="139" customWidth="1"/>
    <col min="6146" max="6400" width="9.33203125" style="139"/>
    <col min="6401" max="6401" width="117.5" style="139" customWidth="1"/>
    <col min="6402" max="6656" width="9.33203125" style="139"/>
    <col min="6657" max="6657" width="117.5" style="139" customWidth="1"/>
    <col min="6658" max="6912" width="9.33203125" style="139"/>
    <col min="6913" max="6913" width="117.5" style="139" customWidth="1"/>
    <col min="6914" max="7168" width="9.33203125" style="139"/>
    <col min="7169" max="7169" width="117.5" style="139" customWidth="1"/>
    <col min="7170" max="7424" width="9.33203125" style="139"/>
    <col min="7425" max="7425" width="117.5" style="139" customWidth="1"/>
    <col min="7426" max="7680" width="9.33203125" style="139"/>
    <col min="7681" max="7681" width="117.5" style="139" customWidth="1"/>
    <col min="7682" max="7936" width="9.33203125" style="139"/>
    <col min="7937" max="7937" width="117.5" style="139" customWidth="1"/>
    <col min="7938" max="8192" width="9.33203125" style="139"/>
    <col min="8193" max="8193" width="117.5" style="139" customWidth="1"/>
    <col min="8194" max="8448" width="9.33203125" style="139"/>
    <col min="8449" max="8449" width="117.5" style="139" customWidth="1"/>
    <col min="8450" max="8704" width="9.33203125" style="139"/>
    <col min="8705" max="8705" width="117.5" style="139" customWidth="1"/>
    <col min="8706" max="8960" width="9.33203125" style="139"/>
    <col min="8961" max="8961" width="117.5" style="139" customWidth="1"/>
    <col min="8962" max="9216" width="9.33203125" style="139"/>
    <col min="9217" max="9217" width="117.5" style="139" customWidth="1"/>
    <col min="9218" max="9472" width="9.33203125" style="139"/>
    <col min="9473" max="9473" width="117.5" style="139" customWidth="1"/>
    <col min="9474" max="9728" width="9.33203125" style="139"/>
    <col min="9729" max="9729" width="117.5" style="139" customWidth="1"/>
    <col min="9730" max="9984" width="9.33203125" style="139"/>
    <col min="9985" max="9985" width="117.5" style="139" customWidth="1"/>
    <col min="9986" max="10240" width="9.33203125" style="139"/>
    <col min="10241" max="10241" width="117.5" style="139" customWidth="1"/>
    <col min="10242" max="10496" width="9.33203125" style="139"/>
    <col min="10497" max="10497" width="117.5" style="139" customWidth="1"/>
    <col min="10498" max="10752" width="9.33203125" style="139"/>
    <col min="10753" max="10753" width="117.5" style="139" customWidth="1"/>
    <col min="10754" max="11008" width="9.33203125" style="139"/>
    <col min="11009" max="11009" width="117.5" style="139" customWidth="1"/>
    <col min="11010" max="11264" width="9.33203125" style="139"/>
    <col min="11265" max="11265" width="117.5" style="139" customWidth="1"/>
    <col min="11266" max="11520" width="9.33203125" style="139"/>
    <col min="11521" max="11521" width="117.5" style="139" customWidth="1"/>
    <col min="11522" max="11776" width="9.33203125" style="139"/>
    <col min="11777" max="11777" width="117.5" style="139" customWidth="1"/>
    <col min="11778" max="12032" width="9.33203125" style="139"/>
    <col min="12033" max="12033" width="117.5" style="139" customWidth="1"/>
    <col min="12034" max="12288" width="9.33203125" style="139"/>
    <col min="12289" max="12289" width="117.5" style="139" customWidth="1"/>
    <col min="12290" max="12544" width="9.33203125" style="139"/>
    <col min="12545" max="12545" width="117.5" style="139" customWidth="1"/>
    <col min="12546" max="12800" width="9.33203125" style="139"/>
    <col min="12801" max="12801" width="117.5" style="139" customWidth="1"/>
    <col min="12802" max="13056" width="9.33203125" style="139"/>
    <col min="13057" max="13057" width="117.5" style="139" customWidth="1"/>
    <col min="13058" max="13312" width="9.33203125" style="139"/>
    <col min="13313" max="13313" width="117.5" style="139" customWidth="1"/>
    <col min="13314" max="13568" width="9.33203125" style="139"/>
    <col min="13569" max="13569" width="117.5" style="139" customWidth="1"/>
    <col min="13570" max="13824" width="9.33203125" style="139"/>
    <col min="13825" max="13825" width="117.5" style="139" customWidth="1"/>
    <col min="13826" max="14080" width="9.33203125" style="139"/>
    <col min="14081" max="14081" width="117.5" style="139" customWidth="1"/>
    <col min="14082" max="14336" width="9.33203125" style="139"/>
    <col min="14337" max="14337" width="117.5" style="139" customWidth="1"/>
    <col min="14338" max="14592" width="9.33203125" style="139"/>
    <col min="14593" max="14593" width="117.5" style="139" customWidth="1"/>
    <col min="14594" max="14848" width="9.33203125" style="139"/>
    <col min="14849" max="14849" width="117.5" style="139" customWidth="1"/>
    <col min="14850" max="15104" width="9.33203125" style="139"/>
    <col min="15105" max="15105" width="117.5" style="139" customWidth="1"/>
    <col min="15106" max="15360" width="9.33203125" style="139"/>
    <col min="15361" max="15361" width="117.5" style="139" customWidth="1"/>
    <col min="15362" max="15616" width="9.33203125" style="139"/>
    <col min="15617" max="15617" width="117.5" style="139" customWidth="1"/>
    <col min="15618" max="15872" width="9.33203125" style="139"/>
    <col min="15873" max="15873" width="117.5" style="139" customWidth="1"/>
    <col min="15874" max="16128" width="9.33203125" style="139"/>
    <col min="16129" max="16129" width="117.5" style="139" customWidth="1"/>
    <col min="16130" max="16384" width="9.33203125" style="139"/>
  </cols>
  <sheetData>
    <row r="1" spans="1:8" ht="30" customHeight="1">
      <c r="A1" s="137"/>
      <c r="B1" s="138"/>
      <c r="C1" s="138"/>
      <c r="D1" s="138"/>
      <c r="E1" s="138"/>
      <c r="F1" s="138"/>
      <c r="G1" s="138"/>
      <c r="H1" s="138"/>
    </row>
    <row r="2" spans="1:8" ht="14.25">
      <c r="A2" s="140" t="s">
        <v>327</v>
      </c>
      <c r="B2" s="138"/>
      <c r="C2" s="138"/>
      <c r="D2" s="138"/>
      <c r="E2" s="138"/>
      <c r="F2" s="138"/>
      <c r="G2" s="138"/>
      <c r="H2" s="138"/>
    </row>
    <row r="3" spans="1:8" ht="14.25">
      <c r="A3" s="140" t="s">
        <v>328</v>
      </c>
      <c r="B3" s="138"/>
      <c r="C3" s="138"/>
      <c r="D3" s="138"/>
      <c r="E3" s="138"/>
      <c r="F3" s="138"/>
      <c r="G3" s="138"/>
      <c r="H3" s="138"/>
    </row>
    <row r="4" spans="1:8" ht="14.25">
      <c r="A4" s="140" t="s">
        <v>329</v>
      </c>
      <c r="B4" s="138"/>
      <c r="C4" s="138"/>
      <c r="D4" s="138"/>
      <c r="E4" s="138"/>
      <c r="F4" s="138"/>
      <c r="G4" s="138"/>
      <c r="H4" s="138"/>
    </row>
    <row r="5" spans="1:8" ht="14.25">
      <c r="A5" s="140" t="s">
        <v>330</v>
      </c>
      <c r="B5" s="138"/>
      <c r="C5" s="138"/>
      <c r="D5" s="138"/>
      <c r="E5" s="138"/>
      <c r="F5" s="138"/>
      <c r="G5" s="138"/>
      <c r="H5" s="138"/>
    </row>
    <row r="6" spans="1:8" ht="14.25">
      <c r="A6" s="140"/>
      <c r="B6" s="138"/>
      <c r="C6" s="138"/>
      <c r="D6" s="138"/>
      <c r="E6" s="138"/>
      <c r="F6" s="138"/>
      <c r="G6" s="138"/>
      <c r="H6" s="138"/>
    </row>
    <row r="7" spans="1:8">
      <c r="A7" s="137" t="s">
        <v>331</v>
      </c>
      <c r="B7" s="138"/>
      <c r="C7" s="138"/>
      <c r="D7" s="138"/>
      <c r="E7" s="138"/>
      <c r="F7" s="138"/>
      <c r="G7" s="138"/>
      <c r="H7" s="138"/>
    </row>
    <row r="8" spans="1:8">
      <c r="A8" s="137" t="s">
        <v>332</v>
      </c>
      <c r="B8" s="138"/>
      <c r="C8" s="138"/>
      <c r="D8" s="138"/>
      <c r="E8" s="138"/>
      <c r="F8" s="138"/>
      <c r="G8" s="138"/>
      <c r="H8" s="138"/>
    </row>
    <row r="9" spans="1:8">
      <c r="A9" s="137"/>
      <c r="B9" s="138"/>
      <c r="C9" s="138"/>
      <c r="D9" s="138"/>
      <c r="E9" s="138"/>
      <c r="F9" s="138"/>
      <c r="G9" s="138"/>
      <c r="H9" s="138"/>
    </row>
    <row r="10" spans="1:8">
      <c r="A10" s="141" t="s">
        <v>333</v>
      </c>
      <c r="B10" s="138"/>
      <c r="C10" s="138"/>
      <c r="D10" s="138"/>
      <c r="E10" s="138"/>
      <c r="F10" s="138"/>
      <c r="G10" s="138"/>
      <c r="H10" s="138"/>
    </row>
    <row r="11" spans="1:8">
      <c r="A11" s="141" t="s">
        <v>334</v>
      </c>
      <c r="B11" s="138"/>
      <c r="C11" s="138"/>
      <c r="D11" s="138"/>
      <c r="E11" s="138"/>
      <c r="F11" s="138"/>
      <c r="G11" s="138"/>
      <c r="H11" s="138"/>
    </row>
    <row r="12" spans="1:8">
      <c r="A12" s="141" t="s">
        <v>335</v>
      </c>
      <c r="B12" s="138"/>
      <c r="C12" s="138"/>
      <c r="D12" s="138"/>
      <c r="E12" s="138"/>
      <c r="F12" s="138"/>
      <c r="G12" s="138"/>
      <c r="H12" s="138"/>
    </row>
    <row r="13" spans="1:8">
      <c r="A13" s="141" t="s">
        <v>336</v>
      </c>
      <c r="B13" s="138"/>
      <c r="C13" s="138"/>
      <c r="D13" s="138"/>
      <c r="E13" s="138"/>
      <c r="F13" s="138"/>
      <c r="G13" s="138"/>
      <c r="H13" s="138"/>
    </row>
    <row r="14" spans="1:8">
      <c r="A14" s="141" t="s">
        <v>337</v>
      </c>
      <c r="B14" s="138"/>
      <c r="C14" s="138"/>
      <c r="D14" s="138"/>
      <c r="E14" s="138"/>
      <c r="F14" s="138"/>
      <c r="G14" s="138"/>
      <c r="H14" s="138"/>
    </row>
    <row r="15" spans="1:8">
      <c r="A15" s="141" t="s">
        <v>338</v>
      </c>
      <c r="B15" s="138"/>
      <c r="C15" s="138"/>
      <c r="D15" s="138"/>
      <c r="E15" s="138"/>
      <c r="F15" s="138"/>
      <c r="G15" s="138"/>
      <c r="H15" s="138"/>
    </row>
    <row r="16" spans="1:8">
      <c r="A16" s="141"/>
      <c r="B16" s="138"/>
      <c r="C16" s="138"/>
      <c r="D16" s="138"/>
      <c r="E16" s="138"/>
      <c r="F16" s="138"/>
      <c r="G16" s="138"/>
      <c r="H16" s="138"/>
    </row>
    <row r="17" spans="1:8">
      <c r="A17" s="141" t="s">
        <v>324</v>
      </c>
      <c r="B17" s="138"/>
      <c r="C17" s="138"/>
      <c r="D17" s="138"/>
      <c r="E17" s="138"/>
      <c r="F17" s="138"/>
      <c r="G17" s="138"/>
      <c r="H17" s="138"/>
    </row>
    <row r="18" spans="1:8">
      <c r="A18" s="141"/>
      <c r="B18" s="138"/>
      <c r="C18" s="138"/>
      <c r="D18" s="138"/>
      <c r="E18" s="138"/>
      <c r="F18" s="138"/>
      <c r="G18" s="138"/>
      <c r="H18" s="138"/>
    </row>
    <row r="19" spans="1:8">
      <c r="A19" s="141" t="s">
        <v>325</v>
      </c>
      <c r="B19" s="138"/>
      <c r="C19" s="138"/>
      <c r="D19" s="138"/>
      <c r="E19" s="138"/>
      <c r="F19" s="138"/>
      <c r="G19" s="138"/>
      <c r="H19" s="138"/>
    </row>
    <row r="20" spans="1:8">
      <c r="A20" s="137"/>
      <c r="B20" s="138"/>
      <c r="C20" s="138"/>
      <c r="D20" s="138"/>
      <c r="E20" s="138"/>
      <c r="F20" s="138"/>
      <c r="G20" s="138"/>
      <c r="H20" s="138"/>
    </row>
    <row r="21" spans="1:8">
      <c r="A21" s="142" t="s">
        <v>326</v>
      </c>
      <c r="B21" s="138"/>
      <c r="C21" s="138"/>
      <c r="D21" s="138"/>
      <c r="E21" s="138"/>
      <c r="F21" s="138"/>
      <c r="G21" s="138"/>
      <c r="H21" s="138"/>
    </row>
    <row r="22" spans="1:8">
      <c r="A22" s="143"/>
      <c r="B22" s="143"/>
      <c r="C22" s="143"/>
      <c r="D22" s="143"/>
      <c r="E22" s="143"/>
      <c r="F22" s="143"/>
      <c r="G22" s="143"/>
      <c r="H22" s="143"/>
    </row>
    <row r="23" spans="1:8">
      <c r="A23" s="144" t="s">
        <v>613</v>
      </c>
      <c r="B23" s="143"/>
      <c r="C23" s="143"/>
      <c r="D23" s="143"/>
      <c r="E23" s="143"/>
      <c r="F23" s="143"/>
      <c r="G23" s="143"/>
      <c r="H23" s="143"/>
    </row>
    <row r="24" spans="1:8">
      <c r="A24" s="144" t="s">
        <v>614</v>
      </c>
      <c r="B24" s="143"/>
      <c r="C24" s="143"/>
      <c r="D24" s="143"/>
      <c r="E24" s="143"/>
      <c r="F24" s="143"/>
      <c r="G24" s="143"/>
      <c r="H24" s="143"/>
    </row>
    <row r="25" spans="1:8">
      <c r="A25" s="144" t="s">
        <v>615</v>
      </c>
      <c r="B25" s="143"/>
      <c r="C25" s="143"/>
      <c r="D25" s="143"/>
      <c r="E25" s="143"/>
      <c r="F25" s="143"/>
      <c r="G25" s="143"/>
      <c r="H25" s="143"/>
    </row>
    <row r="26" spans="1:8">
      <c r="A26" s="144" t="s">
        <v>616</v>
      </c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>
      <c r="A28" s="143"/>
      <c r="B28" s="143"/>
      <c r="C28" s="143"/>
      <c r="D28" s="143"/>
      <c r="E28" s="143"/>
      <c r="F28" s="143"/>
      <c r="G28" s="143"/>
      <c r="H28" s="143"/>
    </row>
    <row r="29" spans="1:8">
      <c r="A29" s="144" t="s">
        <v>608</v>
      </c>
      <c r="B29" s="143"/>
      <c r="C29" s="143"/>
      <c r="D29" s="143"/>
      <c r="E29" s="143"/>
      <c r="F29" s="143"/>
      <c r="G29" s="143"/>
      <c r="H29" s="143"/>
    </row>
    <row r="30" spans="1:8">
      <c r="A30" s="144" t="s">
        <v>609</v>
      </c>
      <c r="B30" s="143"/>
      <c r="C30" s="143"/>
      <c r="D30" s="143"/>
      <c r="E30" s="143"/>
      <c r="F30" s="143"/>
      <c r="G30" s="143"/>
      <c r="H30" s="143"/>
    </row>
    <row r="31" spans="1:8">
      <c r="A31" s="144" t="s">
        <v>610</v>
      </c>
      <c r="B31" s="143"/>
      <c r="C31" s="143"/>
      <c r="D31" s="143"/>
      <c r="E31" s="143"/>
      <c r="F31" s="143"/>
      <c r="G31" s="143"/>
      <c r="H31" s="143"/>
    </row>
    <row r="32" spans="1:8">
      <c r="A32" s="144" t="s">
        <v>611</v>
      </c>
      <c r="B32" s="143"/>
      <c r="C32" s="143"/>
      <c r="D32" s="143"/>
      <c r="E32" s="143"/>
      <c r="F32" s="143"/>
      <c r="G32" s="143"/>
      <c r="H32" s="143"/>
    </row>
    <row r="33" spans="1:8">
      <c r="A33" s="144" t="s">
        <v>612</v>
      </c>
      <c r="B33" s="143"/>
      <c r="C33" s="143"/>
      <c r="D33" s="143"/>
      <c r="E33" s="143"/>
      <c r="F33" s="143"/>
      <c r="G33" s="143"/>
      <c r="H33" s="143"/>
    </row>
    <row r="34" spans="1:8">
      <c r="A34" s="143"/>
      <c r="B34" s="143"/>
      <c r="C34" s="143"/>
      <c r="D34" s="143"/>
      <c r="E34" s="143"/>
      <c r="F34" s="143"/>
      <c r="G34" s="143"/>
      <c r="H34" s="143"/>
    </row>
    <row r="35" spans="1:8">
      <c r="A35" s="144" t="s">
        <v>604</v>
      </c>
      <c r="B35" s="143"/>
      <c r="C35" s="143"/>
      <c r="D35" s="143"/>
      <c r="E35" s="143"/>
      <c r="F35" s="143"/>
      <c r="G35" s="143"/>
      <c r="H35" s="143"/>
    </row>
    <row r="36" spans="1:8">
      <c r="A36" s="144" t="s">
        <v>605</v>
      </c>
      <c r="B36" s="143"/>
      <c r="C36" s="143"/>
      <c r="D36" s="143"/>
      <c r="E36" s="143"/>
      <c r="F36" s="143"/>
      <c r="G36" s="143"/>
      <c r="H36" s="143"/>
    </row>
    <row r="37" spans="1:8">
      <c r="A37" s="144" t="s">
        <v>606</v>
      </c>
      <c r="B37" s="143"/>
      <c r="C37" s="143"/>
      <c r="D37" s="143"/>
      <c r="E37" s="143"/>
      <c r="F37" s="143"/>
      <c r="G37" s="143"/>
      <c r="H37" s="143"/>
    </row>
    <row r="38" spans="1:8">
      <c r="A38" s="144" t="s">
        <v>607</v>
      </c>
      <c r="B38" s="143"/>
      <c r="C38" s="143"/>
      <c r="D38" s="143"/>
      <c r="E38" s="143"/>
      <c r="F38" s="143"/>
      <c r="G38" s="143"/>
      <c r="H38" s="143"/>
    </row>
    <row r="39" spans="1:8">
      <c r="A39" s="143"/>
      <c r="B39" s="143"/>
      <c r="C39" s="143"/>
      <c r="D39" s="143"/>
      <c r="E39" s="143"/>
      <c r="F39" s="143"/>
      <c r="G39" s="143"/>
      <c r="H39" s="143"/>
    </row>
    <row r="40" spans="1:8">
      <c r="A40" s="144" t="s">
        <v>598</v>
      </c>
      <c r="B40" s="143"/>
      <c r="C40" s="143"/>
      <c r="D40" s="143"/>
      <c r="E40" s="143"/>
      <c r="F40" s="143"/>
      <c r="G40" s="143"/>
      <c r="H40" s="143"/>
    </row>
    <row r="41" spans="1:8">
      <c r="A41" s="144" t="s">
        <v>599</v>
      </c>
      <c r="B41" s="143"/>
      <c r="C41" s="143"/>
      <c r="D41" s="143"/>
      <c r="E41" s="143"/>
      <c r="F41" s="143"/>
      <c r="G41" s="143"/>
      <c r="H41" s="143"/>
    </row>
    <row r="42" spans="1:8">
      <c r="A42" s="144" t="s">
        <v>600</v>
      </c>
      <c r="B42" s="143"/>
      <c r="C42" s="143"/>
      <c r="D42" s="143"/>
      <c r="E42" s="143"/>
      <c r="F42" s="143"/>
      <c r="G42" s="143"/>
      <c r="H42" s="143"/>
    </row>
    <row r="43" spans="1:8">
      <c r="A43" s="144" t="s">
        <v>601</v>
      </c>
      <c r="B43" s="143"/>
      <c r="C43" s="143"/>
      <c r="D43" s="143"/>
      <c r="E43" s="143"/>
      <c r="F43" s="143"/>
      <c r="G43" s="143"/>
      <c r="H43" s="143"/>
    </row>
    <row r="44" spans="1:8">
      <c r="A44" s="144" t="s">
        <v>602</v>
      </c>
      <c r="B44" s="143"/>
      <c r="C44" s="143"/>
      <c r="D44" s="143"/>
      <c r="E44" s="143"/>
      <c r="F44" s="143"/>
      <c r="G44" s="143"/>
      <c r="H44" s="143"/>
    </row>
    <row r="45" spans="1:8">
      <c r="A45" s="144" t="s">
        <v>603</v>
      </c>
      <c r="B45" s="143"/>
      <c r="C45" s="143"/>
      <c r="D45" s="143"/>
      <c r="E45" s="143"/>
      <c r="F45" s="143"/>
      <c r="G45" s="143"/>
      <c r="H45" s="143"/>
    </row>
    <row r="46" spans="1:8">
      <c r="A46" s="143"/>
      <c r="B46" s="143"/>
      <c r="C46" s="143"/>
      <c r="D46" s="143"/>
      <c r="E46" s="143"/>
      <c r="F46" s="143"/>
      <c r="G46" s="143"/>
      <c r="H46" s="143"/>
    </row>
    <row r="47" spans="1:8" ht="15.75">
      <c r="A47" s="145" t="s">
        <v>339</v>
      </c>
      <c r="B47" s="143"/>
      <c r="C47" s="143"/>
      <c r="D47" s="143"/>
      <c r="E47" s="143"/>
      <c r="F47" s="143"/>
      <c r="G47" s="143"/>
      <c r="H47" s="143"/>
    </row>
    <row r="48" spans="1:8">
      <c r="A48" s="143"/>
      <c r="B48" s="143"/>
      <c r="C48" s="143"/>
      <c r="D48" s="143"/>
      <c r="E48" s="143"/>
      <c r="F48" s="143"/>
      <c r="G48" s="143"/>
      <c r="H48" s="143"/>
    </row>
    <row r="49" spans="1:8">
      <c r="A49" s="144" t="s">
        <v>594</v>
      </c>
      <c r="B49" s="143"/>
      <c r="C49" s="143"/>
      <c r="D49" s="143"/>
      <c r="E49" s="143"/>
      <c r="F49" s="143"/>
      <c r="G49" s="143"/>
      <c r="H49" s="143"/>
    </row>
    <row r="50" spans="1:8">
      <c r="A50" s="144" t="s">
        <v>595</v>
      </c>
      <c r="B50" s="143"/>
      <c r="C50" s="143"/>
      <c r="D50" s="143"/>
      <c r="E50" s="143"/>
      <c r="F50" s="143"/>
      <c r="G50" s="143"/>
      <c r="H50" s="143"/>
    </row>
    <row r="51" spans="1:8">
      <c r="A51" s="144" t="s">
        <v>596</v>
      </c>
      <c r="B51" s="143"/>
      <c r="C51" s="143"/>
      <c r="D51" s="143"/>
      <c r="E51" s="143"/>
      <c r="F51" s="143"/>
      <c r="G51" s="143"/>
      <c r="H51" s="143"/>
    </row>
    <row r="52" spans="1:8">
      <c r="A52" s="144" t="s">
        <v>597</v>
      </c>
      <c r="B52" s="143"/>
      <c r="C52" s="143"/>
      <c r="D52" s="143"/>
      <c r="E52" s="143"/>
      <c r="F52" s="143"/>
      <c r="G52" s="143"/>
      <c r="H52" s="143"/>
    </row>
    <row r="53" spans="1:8">
      <c r="A53" s="143"/>
      <c r="B53" s="143"/>
      <c r="C53" s="143"/>
      <c r="D53" s="143"/>
      <c r="E53" s="143"/>
      <c r="F53" s="143"/>
      <c r="G53" s="143"/>
      <c r="H53" s="143"/>
    </row>
    <row r="54" spans="1:8">
      <c r="A54" s="144" t="s">
        <v>340</v>
      </c>
      <c r="B54" s="143"/>
      <c r="C54" s="143"/>
      <c r="D54" s="143"/>
      <c r="E54" s="143"/>
      <c r="F54" s="143"/>
      <c r="G54" s="143"/>
      <c r="H54" s="143"/>
    </row>
    <row r="55" spans="1:8">
      <c r="A55" s="143"/>
      <c r="B55" s="143"/>
      <c r="C55" s="143"/>
      <c r="D55" s="143"/>
      <c r="E55" s="143"/>
      <c r="F55" s="143"/>
      <c r="G55" s="143"/>
      <c r="H55" s="143"/>
    </row>
    <row r="56" spans="1:8" ht="15.75">
      <c r="A56" s="145" t="s">
        <v>341</v>
      </c>
      <c r="B56" s="143"/>
      <c r="C56" s="143"/>
      <c r="D56" s="143"/>
      <c r="E56" s="143"/>
      <c r="F56" s="143"/>
      <c r="G56" s="143"/>
      <c r="H56" s="143"/>
    </row>
    <row r="57" spans="1:8">
      <c r="A57" s="143"/>
      <c r="B57" s="143"/>
      <c r="C57" s="143"/>
      <c r="D57" s="143"/>
      <c r="E57" s="143"/>
      <c r="F57" s="143"/>
      <c r="G57" s="143"/>
      <c r="H57" s="143"/>
    </row>
    <row r="58" spans="1:8">
      <c r="A58" s="144" t="s">
        <v>592</v>
      </c>
      <c r="B58" s="143"/>
      <c r="C58" s="143"/>
      <c r="D58" s="143"/>
      <c r="E58" s="143"/>
      <c r="F58" s="143"/>
      <c r="G58" s="143"/>
      <c r="H58" s="143"/>
    </row>
    <row r="59" spans="1:8">
      <c r="A59" s="144" t="s">
        <v>593</v>
      </c>
      <c r="B59" s="143"/>
      <c r="C59" s="143"/>
      <c r="D59" s="143"/>
      <c r="E59" s="143"/>
      <c r="F59" s="143"/>
      <c r="G59" s="143"/>
      <c r="H59" s="143"/>
    </row>
    <row r="60" spans="1:8">
      <c r="A60" s="143"/>
      <c r="B60" s="143"/>
      <c r="C60" s="143"/>
      <c r="D60" s="143"/>
      <c r="E60" s="143"/>
      <c r="F60" s="143"/>
      <c r="G60" s="143"/>
      <c r="H60" s="143"/>
    </row>
    <row r="61" spans="1:8" ht="15.75">
      <c r="A61" s="145" t="s">
        <v>342</v>
      </c>
      <c r="B61" s="143"/>
      <c r="C61" s="143"/>
      <c r="D61" s="143"/>
      <c r="E61" s="143"/>
      <c r="F61" s="143"/>
      <c r="G61" s="143"/>
      <c r="H61" s="143"/>
    </row>
    <row r="62" spans="1:8">
      <c r="A62" s="143"/>
      <c r="B62" s="143"/>
      <c r="C62" s="143"/>
      <c r="D62" s="143"/>
      <c r="E62" s="143"/>
      <c r="F62" s="143"/>
      <c r="G62" s="143"/>
      <c r="H62" s="143"/>
    </row>
    <row r="63" spans="1:8">
      <c r="A63" s="144" t="s">
        <v>590</v>
      </c>
      <c r="B63" s="143"/>
      <c r="C63" s="143"/>
      <c r="D63" s="143"/>
      <c r="E63" s="143"/>
      <c r="F63" s="143"/>
      <c r="G63" s="143"/>
      <c r="H63" s="143"/>
    </row>
    <row r="64" spans="1:8">
      <c r="A64" s="144" t="s">
        <v>591</v>
      </c>
      <c r="B64" s="143"/>
      <c r="C64" s="143"/>
      <c r="D64" s="143"/>
      <c r="E64" s="143"/>
      <c r="F64" s="143"/>
      <c r="G64" s="143"/>
      <c r="H64" s="143"/>
    </row>
    <row r="65" spans="1:8">
      <c r="A65" s="143"/>
      <c r="B65" s="143"/>
      <c r="C65" s="143"/>
      <c r="D65" s="143"/>
      <c r="E65" s="143"/>
      <c r="F65" s="143"/>
      <c r="G65" s="143"/>
      <c r="H65" s="143"/>
    </row>
    <row r="66" spans="1:8">
      <c r="A66" s="144" t="s">
        <v>588</v>
      </c>
      <c r="B66" s="143"/>
      <c r="C66" s="143"/>
      <c r="D66" s="143"/>
      <c r="E66" s="143"/>
      <c r="F66" s="143"/>
      <c r="G66" s="143"/>
      <c r="H66" s="143"/>
    </row>
    <row r="67" spans="1:8">
      <c r="A67" s="144" t="s">
        <v>589</v>
      </c>
      <c r="B67" s="143"/>
      <c r="C67" s="143"/>
      <c r="D67" s="143"/>
      <c r="E67" s="143"/>
      <c r="F67" s="143"/>
      <c r="G67" s="143"/>
      <c r="H67" s="143"/>
    </row>
    <row r="68" spans="1:8">
      <c r="A68" s="143"/>
      <c r="B68" s="143"/>
      <c r="C68" s="143"/>
      <c r="D68" s="143"/>
      <c r="E68" s="143"/>
      <c r="F68" s="143"/>
      <c r="G68" s="143"/>
      <c r="H68" s="143"/>
    </row>
    <row r="69" spans="1:8">
      <c r="A69" s="144" t="s">
        <v>586</v>
      </c>
      <c r="B69" s="143"/>
      <c r="C69" s="143"/>
      <c r="D69" s="143"/>
      <c r="E69" s="143"/>
      <c r="F69" s="143"/>
      <c r="G69" s="143"/>
      <c r="H69" s="143"/>
    </row>
    <row r="70" spans="1:8">
      <c r="A70" s="144" t="s">
        <v>587</v>
      </c>
      <c r="B70" s="143"/>
      <c r="C70" s="143"/>
      <c r="D70" s="143"/>
      <c r="E70" s="143"/>
      <c r="F70" s="143"/>
      <c r="G70" s="143"/>
      <c r="H70" s="143"/>
    </row>
    <row r="71" spans="1:8">
      <c r="A71" s="143"/>
      <c r="B71" s="143"/>
      <c r="C71" s="143"/>
      <c r="D71" s="143"/>
      <c r="E71" s="143"/>
      <c r="F71" s="143"/>
      <c r="G71" s="143"/>
      <c r="H71" s="143"/>
    </row>
    <row r="72" spans="1:8">
      <c r="A72" s="144" t="s">
        <v>343</v>
      </c>
      <c r="B72" s="143"/>
      <c r="C72" s="143"/>
      <c r="D72" s="143"/>
      <c r="E72" s="143"/>
      <c r="F72" s="143"/>
      <c r="G72" s="143"/>
      <c r="H72" s="143"/>
    </row>
    <row r="73" spans="1:8">
      <c r="A73" s="143"/>
      <c r="B73" s="143"/>
      <c r="C73" s="143"/>
      <c r="D73" s="143"/>
      <c r="E73" s="143"/>
      <c r="F73" s="143"/>
      <c r="G73" s="143"/>
      <c r="H73" s="143"/>
    </row>
    <row r="74" spans="1:8">
      <c r="A74" s="144" t="s">
        <v>581</v>
      </c>
      <c r="B74" s="143"/>
      <c r="C74" s="143"/>
      <c r="D74" s="143"/>
      <c r="E74" s="143"/>
      <c r="F74" s="143"/>
      <c r="G74" s="143"/>
      <c r="H74" s="143"/>
    </row>
    <row r="75" spans="1:8">
      <c r="A75" s="144" t="s">
        <v>582</v>
      </c>
      <c r="B75" s="143"/>
      <c r="C75" s="143"/>
      <c r="D75" s="143"/>
      <c r="E75" s="143"/>
      <c r="F75" s="143"/>
      <c r="G75" s="143"/>
      <c r="H75" s="143"/>
    </row>
    <row r="76" spans="1:8">
      <c r="A76" s="144" t="s">
        <v>583</v>
      </c>
      <c r="B76" s="143"/>
      <c r="C76" s="143"/>
      <c r="D76" s="143"/>
      <c r="E76" s="143"/>
      <c r="F76" s="143"/>
      <c r="G76" s="143"/>
      <c r="H76" s="143"/>
    </row>
    <row r="77" spans="1:8">
      <c r="A77" s="144" t="s">
        <v>584</v>
      </c>
      <c r="B77" s="143"/>
      <c r="C77" s="143"/>
      <c r="D77" s="143"/>
      <c r="E77" s="143"/>
      <c r="F77" s="143"/>
      <c r="G77" s="143"/>
      <c r="H77" s="143"/>
    </row>
    <row r="78" spans="1:8">
      <c r="A78" s="144" t="s">
        <v>585</v>
      </c>
      <c r="B78" s="143"/>
      <c r="C78" s="143"/>
      <c r="D78" s="143"/>
      <c r="E78" s="143"/>
      <c r="F78" s="143"/>
      <c r="G78" s="143"/>
      <c r="H78" s="143"/>
    </row>
    <row r="79" spans="1:8">
      <c r="A79" s="144" t="s">
        <v>470</v>
      </c>
      <c r="B79" s="143"/>
      <c r="C79" s="143"/>
      <c r="D79" s="143"/>
      <c r="E79" s="143"/>
      <c r="F79" s="143"/>
      <c r="G79" s="143"/>
      <c r="H79" s="143"/>
    </row>
    <row r="80" spans="1:8">
      <c r="A80" s="143"/>
      <c r="B80" s="143"/>
      <c r="C80" s="143"/>
      <c r="D80" s="143"/>
      <c r="E80" s="143"/>
      <c r="F80" s="143"/>
      <c r="G80" s="143"/>
      <c r="H80" s="143"/>
    </row>
    <row r="81" spans="1:8">
      <c r="A81" s="144" t="s">
        <v>574</v>
      </c>
      <c r="B81" s="143"/>
      <c r="C81" s="143"/>
      <c r="D81" s="143"/>
      <c r="E81" s="143"/>
      <c r="F81" s="143"/>
      <c r="G81" s="143"/>
      <c r="H81" s="143"/>
    </row>
    <row r="82" spans="1:8">
      <c r="A82" s="144" t="s">
        <v>575</v>
      </c>
      <c r="B82" s="143"/>
      <c r="C82" s="143"/>
      <c r="D82" s="143"/>
      <c r="E82" s="143"/>
      <c r="F82" s="143"/>
      <c r="G82" s="143"/>
      <c r="H82" s="143"/>
    </row>
    <row r="83" spans="1:8">
      <c r="A83" s="144" t="s">
        <v>576</v>
      </c>
      <c r="B83" s="143"/>
      <c r="C83" s="143"/>
      <c r="D83" s="143"/>
      <c r="E83" s="143"/>
      <c r="F83" s="143"/>
      <c r="G83" s="143"/>
      <c r="H83" s="143"/>
    </row>
    <row r="84" spans="1:8">
      <c r="A84" s="144" t="s">
        <v>577</v>
      </c>
      <c r="B84" s="143"/>
      <c r="C84" s="143"/>
      <c r="D84" s="143"/>
      <c r="E84" s="143"/>
      <c r="F84" s="143"/>
      <c r="G84" s="143"/>
      <c r="H84" s="143"/>
    </row>
    <row r="85" spans="1:8">
      <c r="A85" s="144" t="s">
        <v>578</v>
      </c>
      <c r="B85" s="143"/>
      <c r="C85" s="143"/>
      <c r="D85" s="143"/>
      <c r="E85" s="143"/>
      <c r="F85" s="143"/>
      <c r="G85" s="143"/>
      <c r="H85" s="143"/>
    </row>
    <row r="86" spans="1:8">
      <c r="A86" s="144" t="s">
        <v>579</v>
      </c>
      <c r="B86" s="143"/>
      <c r="C86" s="143"/>
      <c r="D86" s="143"/>
      <c r="E86" s="143"/>
      <c r="F86" s="143"/>
      <c r="G86" s="143"/>
      <c r="H86" s="143"/>
    </row>
    <row r="87" spans="1:8">
      <c r="A87" s="144" t="s">
        <v>580</v>
      </c>
      <c r="B87" s="143"/>
      <c r="C87" s="143"/>
      <c r="D87" s="143"/>
      <c r="E87" s="143"/>
      <c r="F87" s="143"/>
      <c r="G87" s="143"/>
      <c r="H87" s="143"/>
    </row>
    <row r="88" spans="1:8">
      <c r="A88" s="143"/>
      <c r="B88" s="143"/>
      <c r="C88" s="143"/>
      <c r="D88" s="143"/>
      <c r="E88" s="143"/>
      <c r="F88" s="143"/>
      <c r="G88" s="143"/>
      <c r="H88" s="143"/>
    </row>
    <row r="89" spans="1:8">
      <c r="A89" s="144" t="s">
        <v>572</v>
      </c>
      <c r="B89" s="143"/>
      <c r="C89" s="143"/>
      <c r="D89" s="143"/>
      <c r="E89" s="143"/>
      <c r="F89" s="143"/>
      <c r="G89" s="143"/>
      <c r="H89" s="143"/>
    </row>
    <row r="90" spans="1:8">
      <c r="A90" s="144" t="s">
        <v>573</v>
      </c>
      <c r="B90" s="143"/>
      <c r="C90" s="143"/>
      <c r="D90" s="143"/>
      <c r="E90" s="143"/>
      <c r="F90" s="143"/>
      <c r="G90" s="143"/>
      <c r="H90" s="143"/>
    </row>
    <row r="91" spans="1:8">
      <c r="A91" s="143"/>
      <c r="B91" s="143"/>
      <c r="C91" s="143"/>
      <c r="D91" s="143"/>
      <c r="E91" s="143"/>
      <c r="F91" s="143"/>
      <c r="G91" s="143"/>
      <c r="H91" s="143"/>
    </row>
    <row r="92" spans="1:8" ht="15.75">
      <c r="A92" s="145" t="s">
        <v>344</v>
      </c>
      <c r="B92" s="143"/>
      <c r="C92" s="143"/>
      <c r="D92" s="143"/>
      <c r="E92" s="143"/>
      <c r="F92" s="143"/>
      <c r="G92" s="143"/>
      <c r="H92" s="143"/>
    </row>
    <row r="93" spans="1:8">
      <c r="A93" s="143"/>
      <c r="B93" s="143"/>
      <c r="C93" s="143"/>
      <c r="D93" s="143"/>
      <c r="E93" s="143"/>
      <c r="F93" s="143"/>
      <c r="G93" s="143"/>
      <c r="H93" s="143"/>
    </row>
    <row r="94" spans="1:8">
      <c r="A94" s="144" t="s">
        <v>563</v>
      </c>
      <c r="B94" s="143"/>
      <c r="C94" s="143"/>
      <c r="D94" s="143"/>
      <c r="E94" s="143"/>
      <c r="F94" s="143"/>
      <c r="G94" s="143"/>
      <c r="H94" s="143"/>
    </row>
    <row r="95" spans="1:8">
      <c r="A95" s="144" t="s">
        <v>564</v>
      </c>
      <c r="B95" s="143"/>
      <c r="C95" s="143"/>
      <c r="D95" s="143"/>
      <c r="E95" s="143"/>
      <c r="F95" s="143"/>
      <c r="G95" s="143"/>
      <c r="H95" s="143"/>
    </row>
    <row r="96" spans="1:8">
      <c r="A96" s="144" t="s">
        <v>565</v>
      </c>
      <c r="B96" s="143"/>
      <c r="C96" s="143"/>
      <c r="D96" s="143"/>
      <c r="E96" s="143"/>
      <c r="F96" s="143"/>
      <c r="G96" s="143"/>
      <c r="H96" s="143"/>
    </row>
    <row r="97" spans="1:8">
      <c r="A97" s="144" t="s">
        <v>566</v>
      </c>
      <c r="B97" s="143"/>
      <c r="C97" s="143"/>
      <c r="D97" s="143"/>
      <c r="E97" s="143"/>
      <c r="F97" s="143"/>
      <c r="G97" s="143"/>
      <c r="H97" s="143"/>
    </row>
    <row r="98" spans="1:8">
      <c r="A98" s="144" t="s">
        <v>567</v>
      </c>
      <c r="B98" s="143"/>
      <c r="C98" s="143"/>
      <c r="D98" s="143"/>
      <c r="E98" s="143"/>
      <c r="F98" s="143"/>
      <c r="G98" s="143"/>
      <c r="H98" s="143"/>
    </row>
    <row r="99" spans="1:8">
      <c r="A99" s="144" t="s">
        <v>568</v>
      </c>
      <c r="B99" s="143"/>
      <c r="C99" s="143"/>
      <c r="D99" s="143"/>
      <c r="E99" s="143"/>
      <c r="F99" s="143"/>
      <c r="G99" s="143"/>
      <c r="H99" s="143"/>
    </row>
    <row r="100" spans="1:8">
      <c r="A100" s="144" t="s">
        <v>569</v>
      </c>
      <c r="B100" s="143"/>
      <c r="C100" s="143"/>
      <c r="D100" s="143"/>
      <c r="E100" s="143"/>
      <c r="F100" s="143"/>
      <c r="G100" s="143"/>
      <c r="H100" s="143"/>
    </row>
    <row r="101" spans="1:8">
      <c r="A101" s="144" t="s">
        <v>570</v>
      </c>
      <c r="B101" s="143"/>
      <c r="C101" s="143"/>
      <c r="D101" s="143"/>
      <c r="E101" s="143"/>
      <c r="F101" s="143"/>
      <c r="G101" s="143"/>
      <c r="H101" s="143"/>
    </row>
    <row r="102" spans="1:8">
      <c r="A102" s="144" t="s">
        <v>571</v>
      </c>
      <c r="B102" s="143"/>
      <c r="C102" s="143"/>
      <c r="D102" s="143"/>
      <c r="E102" s="143"/>
      <c r="F102" s="143"/>
      <c r="G102" s="143"/>
      <c r="H102" s="143"/>
    </row>
    <row r="103" spans="1:8">
      <c r="A103" s="143"/>
      <c r="B103" s="143"/>
      <c r="C103" s="143"/>
      <c r="D103" s="143"/>
      <c r="E103" s="143"/>
      <c r="F103" s="143"/>
      <c r="G103" s="143"/>
      <c r="H103" s="143"/>
    </row>
    <row r="104" spans="1:8" ht="15.75">
      <c r="A104" s="146" t="s">
        <v>345</v>
      </c>
      <c r="B104" s="146"/>
      <c r="C104" s="146"/>
      <c r="D104" s="146"/>
      <c r="E104" s="146"/>
      <c r="F104" s="146"/>
      <c r="G104" s="146"/>
      <c r="H104" s="146"/>
    </row>
    <row r="105" spans="1:8">
      <c r="A105" s="147" t="s">
        <v>346</v>
      </c>
      <c r="B105" s="147"/>
      <c r="C105" s="147"/>
      <c r="D105" s="147"/>
      <c r="E105" s="147"/>
      <c r="F105" s="147"/>
      <c r="G105" s="147"/>
      <c r="H105" s="147"/>
    </row>
    <row r="106" spans="1:8">
      <c r="A106" s="148"/>
      <c r="B106" s="148"/>
      <c r="C106" s="148"/>
      <c r="D106" s="148"/>
      <c r="E106" s="148"/>
      <c r="F106" s="148"/>
      <c r="G106" s="148"/>
      <c r="H106" s="148"/>
    </row>
    <row r="107" spans="1:8">
      <c r="A107" s="147" t="s">
        <v>561</v>
      </c>
      <c r="B107" s="147"/>
      <c r="C107" s="147"/>
      <c r="D107" s="147"/>
      <c r="E107" s="147"/>
      <c r="F107" s="147"/>
      <c r="G107" s="147"/>
      <c r="H107" s="147"/>
    </row>
    <row r="108" spans="1:8">
      <c r="A108" s="144" t="s">
        <v>562</v>
      </c>
      <c r="B108" s="144"/>
      <c r="C108" s="144"/>
      <c r="D108" s="144"/>
      <c r="E108" s="144"/>
      <c r="F108" s="144"/>
      <c r="G108" s="144"/>
      <c r="H108" s="144"/>
    </row>
    <row r="109" spans="1:8">
      <c r="A109" s="148"/>
      <c r="B109" s="148"/>
      <c r="C109" s="148"/>
      <c r="D109" s="148"/>
      <c r="E109" s="148"/>
      <c r="F109" s="148"/>
      <c r="G109" s="148"/>
      <c r="H109" s="148"/>
    </row>
    <row r="110" spans="1:8">
      <c r="A110" s="147" t="s">
        <v>554</v>
      </c>
      <c r="B110" s="147"/>
      <c r="C110" s="147"/>
      <c r="D110" s="147"/>
      <c r="E110" s="147"/>
      <c r="F110" s="147"/>
      <c r="G110" s="147"/>
      <c r="H110" s="147"/>
    </row>
    <row r="111" spans="1:8">
      <c r="A111" s="144" t="s">
        <v>555</v>
      </c>
      <c r="B111" s="144"/>
      <c r="C111" s="144"/>
      <c r="D111" s="144"/>
      <c r="E111" s="144"/>
      <c r="F111" s="144"/>
      <c r="G111" s="144"/>
      <c r="H111" s="144"/>
    </row>
    <row r="112" spans="1:8">
      <c r="A112" s="144" t="s">
        <v>556</v>
      </c>
      <c r="B112" s="144"/>
      <c r="C112" s="144"/>
      <c r="D112" s="144"/>
      <c r="E112" s="144"/>
      <c r="F112" s="144"/>
      <c r="G112" s="144"/>
      <c r="H112" s="144"/>
    </row>
    <row r="113" spans="1:8">
      <c r="A113" s="144" t="s">
        <v>557</v>
      </c>
      <c r="B113" s="144"/>
      <c r="C113" s="144"/>
      <c r="D113" s="144"/>
      <c r="E113" s="144"/>
      <c r="F113" s="144"/>
      <c r="G113" s="144"/>
      <c r="H113" s="144"/>
    </row>
    <row r="114" spans="1:8">
      <c r="A114" s="144" t="s">
        <v>558</v>
      </c>
      <c r="B114" s="144"/>
      <c r="C114" s="144"/>
      <c r="D114" s="144"/>
      <c r="E114" s="144"/>
      <c r="F114" s="144"/>
      <c r="G114" s="144"/>
      <c r="H114" s="144"/>
    </row>
    <row r="115" spans="1:8">
      <c r="A115" s="144" t="s">
        <v>559</v>
      </c>
      <c r="B115" s="144"/>
      <c r="C115" s="144"/>
      <c r="D115" s="144"/>
      <c r="E115" s="144"/>
      <c r="F115" s="144"/>
      <c r="G115" s="144"/>
      <c r="H115" s="144"/>
    </row>
    <row r="116" spans="1:8">
      <c r="A116" s="144" t="s">
        <v>560</v>
      </c>
      <c r="B116" s="144"/>
      <c r="C116" s="144"/>
      <c r="D116" s="144"/>
      <c r="E116" s="144"/>
      <c r="F116" s="144"/>
      <c r="G116" s="144"/>
      <c r="H116" s="144"/>
    </row>
    <row r="117" spans="1:8">
      <c r="A117" s="149"/>
      <c r="B117" s="149"/>
      <c r="C117" s="149"/>
      <c r="D117" s="149"/>
      <c r="E117" s="149"/>
      <c r="F117" s="149"/>
      <c r="G117" s="149"/>
      <c r="H117" s="149"/>
    </row>
    <row r="118" spans="1:8">
      <c r="A118" s="150"/>
      <c r="B118" s="151" t="s">
        <v>347</v>
      </c>
      <c r="C118" s="152"/>
      <c r="D118" s="151" t="s">
        <v>348</v>
      </c>
      <c r="E118" s="153"/>
      <c r="F118" s="152"/>
      <c r="G118" s="151" t="s">
        <v>349</v>
      </c>
      <c r="H118" s="152"/>
    </row>
    <row r="119" spans="1:8">
      <c r="A119" s="150" t="s">
        <v>350</v>
      </c>
      <c r="B119" s="150" t="s">
        <v>309</v>
      </c>
      <c r="C119" s="150" t="s">
        <v>351</v>
      </c>
      <c r="D119" s="150" t="s">
        <v>309</v>
      </c>
      <c r="E119" s="150" t="s">
        <v>352</v>
      </c>
      <c r="F119" s="150" t="s">
        <v>353</v>
      </c>
      <c r="G119" s="150" t="s">
        <v>309</v>
      </c>
      <c r="H119" s="150" t="s">
        <v>354</v>
      </c>
    </row>
    <row r="120" spans="1:8">
      <c r="A120" s="150" t="s">
        <v>355</v>
      </c>
      <c r="B120" s="150">
        <v>1189</v>
      </c>
      <c r="C120" s="154">
        <v>0.38</v>
      </c>
      <c r="D120" s="150">
        <v>315</v>
      </c>
      <c r="E120" s="154">
        <v>0.41</v>
      </c>
      <c r="F120" s="154">
        <v>0.26</v>
      </c>
      <c r="G120" s="150">
        <v>555</v>
      </c>
      <c r="H120" s="154">
        <v>0.39</v>
      </c>
    </row>
    <row r="121" spans="1:8">
      <c r="A121" s="150" t="s">
        <v>356</v>
      </c>
      <c r="B121" s="150">
        <v>1355</v>
      </c>
      <c r="C121" s="154">
        <v>0.43</v>
      </c>
      <c r="D121" s="150">
        <v>364</v>
      </c>
      <c r="E121" s="154">
        <v>0.47</v>
      </c>
      <c r="F121" s="154">
        <v>0.27</v>
      </c>
      <c r="G121" s="150">
        <v>644</v>
      </c>
      <c r="H121" s="154">
        <v>0.45</v>
      </c>
    </row>
    <row r="122" spans="1:8">
      <c r="A122" s="150" t="s">
        <v>357</v>
      </c>
      <c r="B122" s="150">
        <v>53</v>
      </c>
      <c r="C122" s="154">
        <v>0.02</v>
      </c>
      <c r="D122" s="150">
        <v>4</v>
      </c>
      <c r="E122" s="154">
        <v>0.01</v>
      </c>
      <c r="F122" s="154">
        <v>0.08</v>
      </c>
      <c r="G122" s="150">
        <v>7</v>
      </c>
      <c r="H122" s="154">
        <v>0</v>
      </c>
    </row>
    <row r="123" spans="1:8">
      <c r="A123" s="150" t="s">
        <v>358</v>
      </c>
      <c r="B123" s="150">
        <v>545</v>
      </c>
      <c r="C123" s="154">
        <v>0.17</v>
      </c>
      <c r="D123" s="150">
        <v>84</v>
      </c>
      <c r="E123" s="154">
        <v>0.11</v>
      </c>
      <c r="F123" s="154">
        <v>0.15</v>
      </c>
      <c r="G123" s="150">
        <v>214</v>
      </c>
      <c r="H123" s="154">
        <v>0.15</v>
      </c>
    </row>
    <row r="124" spans="1:8">
      <c r="A124" s="150" t="s">
        <v>359</v>
      </c>
      <c r="B124" s="155">
        <v>3142</v>
      </c>
      <c r="C124" s="150"/>
      <c r="D124" s="150">
        <v>767</v>
      </c>
      <c r="E124" s="150"/>
      <c r="F124" s="150"/>
      <c r="G124" s="150">
        <v>1420</v>
      </c>
      <c r="H124" s="150"/>
    </row>
    <row r="125" spans="1:8">
      <c r="A125" s="156"/>
      <c r="B125" s="156"/>
      <c r="C125" s="156"/>
      <c r="D125" s="156"/>
      <c r="E125" s="156"/>
      <c r="F125" s="156"/>
      <c r="G125" s="156"/>
      <c r="H125" s="156"/>
    </row>
    <row r="126" spans="1:8">
      <c r="A126" s="147" t="s">
        <v>550</v>
      </c>
      <c r="B126" s="147"/>
      <c r="C126" s="147"/>
      <c r="D126" s="147"/>
      <c r="E126" s="147"/>
      <c r="F126" s="147"/>
      <c r="G126" s="147"/>
      <c r="H126" s="147"/>
    </row>
    <row r="127" spans="1:8">
      <c r="A127" s="144" t="s">
        <v>551</v>
      </c>
      <c r="B127" s="144"/>
      <c r="C127" s="144"/>
      <c r="D127" s="144"/>
      <c r="E127" s="144"/>
      <c r="F127" s="144"/>
      <c r="G127" s="144"/>
      <c r="H127" s="144"/>
    </row>
    <row r="128" spans="1:8">
      <c r="A128" s="144" t="s">
        <v>552</v>
      </c>
      <c r="B128" s="144"/>
      <c r="C128" s="144"/>
      <c r="D128" s="144"/>
      <c r="E128" s="144"/>
      <c r="F128" s="144"/>
      <c r="G128" s="144"/>
      <c r="H128" s="144"/>
    </row>
    <row r="129" spans="1:8">
      <c r="A129" s="144" t="s">
        <v>553</v>
      </c>
      <c r="B129" s="144"/>
      <c r="C129" s="144"/>
      <c r="D129" s="144"/>
      <c r="E129" s="144"/>
      <c r="F129" s="144"/>
      <c r="G129" s="144"/>
      <c r="H129" s="144"/>
    </row>
    <row r="130" spans="1:8">
      <c r="A130" s="143"/>
      <c r="B130" s="143"/>
      <c r="C130" s="143"/>
      <c r="D130" s="143"/>
      <c r="E130" s="143"/>
      <c r="F130" s="143"/>
      <c r="G130" s="143"/>
      <c r="H130" s="143"/>
    </row>
    <row r="131" spans="1:8" ht="15.75">
      <c r="A131" s="145" t="s">
        <v>360</v>
      </c>
      <c r="B131" s="143"/>
      <c r="C131" s="143"/>
      <c r="D131" s="143"/>
      <c r="E131" s="143"/>
      <c r="F131" s="143"/>
      <c r="G131" s="143"/>
      <c r="H131" s="143"/>
    </row>
    <row r="132" spans="1:8">
      <c r="A132" s="143"/>
      <c r="B132" s="143"/>
      <c r="C132" s="143"/>
      <c r="D132" s="143"/>
      <c r="E132" s="143"/>
      <c r="F132" s="143"/>
      <c r="G132" s="143"/>
      <c r="H132" s="143"/>
    </row>
    <row r="133" spans="1:8">
      <c r="A133" s="144" t="s">
        <v>548</v>
      </c>
      <c r="B133" s="143"/>
      <c r="C133" s="143"/>
      <c r="D133" s="143"/>
      <c r="E133" s="143"/>
      <c r="F133" s="143"/>
      <c r="G133" s="143"/>
      <c r="H133" s="143"/>
    </row>
    <row r="134" spans="1:8">
      <c r="A134" s="144" t="s">
        <v>549</v>
      </c>
      <c r="B134" s="143"/>
      <c r="C134" s="143"/>
      <c r="D134" s="143"/>
      <c r="E134" s="143"/>
      <c r="F134" s="143"/>
      <c r="G134" s="143"/>
      <c r="H134" s="143"/>
    </row>
    <row r="135" spans="1:8">
      <c r="A135" s="143"/>
      <c r="B135" s="143"/>
      <c r="C135" s="143"/>
      <c r="D135" s="143"/>
      <c r="E135" s="143"/>
      <c r="F135" s="143"/>
      <c r="G135" s="143"/>
      <c r="H135" s="143"/>
    </row>
    <row r="136" spans="1:8">
      <c r="A136" s="144" t="s">
        <v>545</v>
      </c>
      <c r="B136" s="143"/>
      <c r="C136" s="143"/>
      <c r="D136" s="143"/>
      <c r="E136" s="143"/>
      <c r="F136" s="143"/>
      <c r="G136" s="143"/>
      <c r="H136" s="143"/>
    </row>
    <row r="137" spans="1:8">
      <c r="A137" s="144" t="s">
        <v>546</v>
      </c>
      <c r="B137" s="143"/>
      <c r="C137" s="143"/>
      <c r="D137" s="143"/>
      <c r="E137" s="143"/>
      <c r="F137" s="143"/>
      <c r="G137" s="143"/>
      <c r="H137" s="143"/>
    </row>
    <row r="138" spans="1:8">
      <c r="A138" s="144" t="s">
        <v>547</v>
      </c>
      <c r="B138" s="143"/>
      <c r="C138" s="143"/>
      <c r="D138" s="143"/>
      <c r="E138" s="143"/>
      <c r="F138" s="143"/>
      <c r="G138" s="143"/>
      <c r="H138" s="143"/>
    </row>
    <row r="139" spans="1:8">
      <c r="A139" s="143"/>
      <c r="B139" s="143"/>
      <c r="C139" s="143"/>
      <c r="D139" s="143"/>
      <c r="E139" s="143"/>
      <c r="F139" s="143"/>
      <c r="G139" s="143"/>
      <c r="H139" s="143"/>
    </row>
    <row r="140" spans="1:8">
      <c r="A140" s="144" t="s">
        <v>542</v>
      </c>
      <c r="B140" s="143"/>
      <c r="C140" s="143"/>
      <c r="D140" s="143"/>
      <c r="E140" s="143"/>
      <c r="F140" s="143"/>
      <c r="G140" s="143"/>
      <c r="H140" s="143"/>
    </row>
    <row r="141" spans="1:8">
      <c r="A141" s="144" t="s">
        <v>543</v>
      </c>
      <c r="B141" s="143"/>
      <c r="C141" s="143"/>
      <c r="D141" s="143"/>
      <c r="E141" s="143"/>
      <c r="F141" s="143"/>
      <c r="G141" s="143"/>
      <c r="H141" s="143"/>
    </row>
    <row r="142" spans="1:8">
      <c r="A142" s="144" t="s">
        <v>544</v>
      </c>
      <c r="B142" s="143"/>
      <c r="C142" s="143"/>
      <c r="D142" s="143"/>
      <c r="E142" s="143"/>
      <c r="F142" s="143"/>
      <c r="G142" s="143"/>
      <c r="H142" s="143"/>
    </row>
    <row r="143" spans="1:8">
      <c r="A143" s="143"/>
      <c r="B143" s="143"/>
      <c r="C143" s="143"/>
      <c r="D143" s="143"/>
      <c r="E143" s="143"/>
      <c r="F143" s="143"/>
      <c r="G143" s="143"/>
      <c r="H143" s="143"/>
    </row>
    <row r="144" spans="1:8">
      <c r="A144" s="144" t="s">
        <v>539</v>
      </c>
      <c r="B144" s="143"/>
      <c r="C144" s="143"/>
      <c r="D144" s="143"/>
      <c r="E144" s="143"/>
      <c r="F144" s="143"/>
      <c r="G144" s="143"/>
      <c r="H144" s="143"/>
    </row>
    <row r="145" spans="1:8">
      <c r="A145" s="144" t="s">
        <v>540</v>
      </c>
      <c r="B145" s="143"/>
      <c r="C145" s="143"/>
      <c r="D145" s="143"/>
      <c r="E145" s="143"/>
      <c r="F145" s="143"/>
      <c r="G145" s="143"/>
      <c r="H145" s="143"/>
    </row>
    <row r="146" spans="1:8">
      <c r="A146" s="144" t="s">
        <v>541</v>
      </c>
      <c r="B146" s="143"/>
      <c r="C146" s="143"/>
      <c r="D146" s="143"/>
      <c r="E146" s="143"/>
      <c r="F146" s="143"/>
      <c r="G146" s="143"/>
      <c r="H146" s="143"/>
    </row>
    <row r="147" spans="1:8">
      <c r="A147" s="143"/>
      <c r="B147" s="143"/>
      <c r="C147" s="143"/>
      <c r="D147" s="143"/>
      <c r="E147" s="143"/>
      <c r="F147" s="143"/>
      <c r="G147" s="143"/>
      <c r="H147" s="143"/>
    </row>
    <row r="148" spans="1:8">
      <c r="A148" s="144" t="s">
        <v>537</v>
      </c>
      <c r="B148" s="143"/>
      <c r="C148" s="143"/>
      <c r="D148" s="143"/>
      <c r="E148" s="143"/>
      <c r="F148" s="143"/>
      <c r="G148" s="143"/>
      <c r="H148" s="143"/>
    </row>
    <row r="149" spans="1:8">
      <c r="A149" s="144" t="s">
        <v>538</v>
      </c>
      <c r="B149" s="143"/>
      <c r="C149" s="143"/>
      <c r="D149" s="143"/>
      <c r="E149" s="143"/>
      <c r="F149" s="143"/>
      <c r="G149" s="143"/>
      <c r="H149" s="143"/>
    </row>
    <row r="150" spans="1:8">
      <c r="A150" s="143"/>
      <c r="B150" s="143"/>
      <c r="C150" s="143"/>
      <c r="D150" s="143"/>
      <c r="E150" s="143"/>
      <c r="F150" s="143"/>
      <c r="G150" s="143"/>
      <c r="H150" s="143"/>
    </row>
    <row r="151" spans="1:8" ht="15.75">
      <c r="A151" s="145" t="s">
        <v>361</v>
      </c>
      <c r="B151" s="143"/>
      <c r="C151" s="143"/>
      <c r="D151" s="143"/>
      <c r="E151" s="143"/>
      <c r="F151" s="143"/>
      <c r="G151" s="143"/>
      <c r="H151" s="143"/>
    </row>
    <row r="152" spans="1:8">
      <c r="A152" s="143"/>
      <c r="B152" s="143"/>
      <c r="C152" s="143"/>
      <c r="D152" s="143"/>
      <c r="E152" s="143"/>
      <c r="F152" s="143"/>
      <c r="G152" s="143"/>
      <c r="H152" s="143"/>
    </row>
    <row r="153" spans="1:8">
      <c r="A153" s="144" t="s">
        <v>535</v>
      </c>
      <c r="B153" s="143"/>
      <c r="C153" s="143"/>
      <c r="D153" s="143"/>
      <c r="E153" s="143"/>
      <c r="F153" s="143"/>
      <c r="G153" s="143"/>
      <c r="H153" s="143"/>
    </row>
    <row r="154" spans="1:8">
      <c r="A154" s="144" t="s">
        <v>536</v>
      </c>
      <c r="B154" s="143"/>
      <c r="C154" s="143"/>
      <c r="D154" s="143"/>
      <c r="E154" s="143"/>
      <c r="F154" s="143"/>
      <c r="G154" s="143"/>
      <c r="H154" s="143"/>
    </row>
    <row r="155" spans="1:8">
      <c r="A155" s="143"/>
      <c r="B155" s="143"/>
      <c r="C155" s="143"/>
      <c r="D155" s="143"/>
      <c r="E155" s="143"/>
      <c r="F155" s="143"/>
      <c r="G155" s="143"/>
      <c r="H155" s="143"/>
    </row>
    <row r="156" spans="1:8">
      <c r="A156" s="144" t="s">
        <v>533</v>
      </c>
      <c r="B156" s="143"/>
      <c r="C156" s="143"/>
      <c r="D156" s="143"/>
      <c r="E156" s="143"/>
      <c r="F156" s="143"/>
      <c r="G156" s="143"/>
      <c r="H156" s="143"/>
    </row>
    <row r="157" spans="1:8">
      <c r="A157" s="144" t="s">
        <v>534</v>
      </c>
      <c r="B157" s="143"/>
      <c r="C157" s="143"/>
      <c r="D157" s="143"/>
      <c r="E157" s="143"/>
      <c r="F157" s="143"/>
      <c r="G157" s="143"/>
      <c r="H157" s="143"/>
    </row>
    <row r="158" spans="1:8">
      <c r="A158" s="143"/>
      <c r="B158" s="143"/>
      <c r="C158" s="143"/>
      <c r="D158" s="143"/>
      <c r="E158" s="143"/>
      <c r="F158" s="143"/>
      <c r="G158" s="143"/>
      <c r="H158" s="143"/>
    </row>
    <row r="159" spans="1:8">
      <c r="A159" s="144" t="s">
        <v>531</v>
      </c>
      <c r="B159" s="143"/>
      <c r="C159" s="143"/>
      <c r="D159" s="143"/>
      <c r="E159" s="143"/>
      <c r="F159" s="143"/>
      <c r="G159" s="143"/>
      <c r="H159" s="143"/>
    </row>
    <row r="160" spans="1:8">
      <c r="A160" s="144" t="s">
        <v>532</v>
      </c>
      <c r="B160" s="143"/>
      <c r="C160" s="143"/>
      <c r="D160" s="143"/>
      <c r="E160" s="143"/>
      <c r="F160" s="143"/>
      <c r="G160" s="143"/>
      <c r="H160" s="143"/>
    </row>
    <row r="161" spans="1:8">
      <c r="A161" s="143"/>
      <c r="B161" s="143"/>
      <c r="C161" s="143"/>
      <c r="D161" s="143"/>
      <c r="E161" s="143"/>
      <c r="F161" s="143"/>
      <c r="G161" s="143"/>
      <c r="H161" s="143"/>
    </row>
    <row r="162" spans="1:8">
      <c r="A162" s="144" t="s">
        <v>528</v>
      </c>
      <c r="B162" s="143"/>
      <c r="C162" s="143"/>
      <c r="D162" s="143"/>
      <c r="E162" s="143"/>
      <c r="F162" s="143"/>
      <c r="G162" s="143"/>
      <c r="H162" s="143"/>
    </row>
    <row r="163" spans="1:8">
      <c r="A163" s="144" t="s">
        <v>529</v>
      </c>
      <c r="B163" s="143"/>
      <c r="C163" s="143"/>
      <c r="D163" s="143"/>
      <c r="E163" s="143"/>
      <c r="F163" s="143"/>
      <c r="G163" s="143"/>
      <c r="H163" s="143"/>
    </row>
    <row r="164" spans="1:8">
      <c r="A164" s="144" t="s">
        <v>530</v>
      </c>
      <c r="B164" s="143"/>
      <c r="C164" s="143"/>
      <c r="D164" s="143"/>
      <c r="E164" s="143"/>
      <c r="F164" s="143"/>
      <c r="G164" s="143"/>
      <c r="H164" s="143"/>
    </row>
    <row r="165" spans="1:8">
      <c r="A165" s="143"/>
      <c r="B165" s="143"/>
      <c r="C165" s="143"/>
      <c r="D165" s="143"/>
      <c r="E165" s="143"/>
      <c r="F165" s="143"/>
      <c r="G165" s="143"/>
      <c r="H165" s="143"/>
    </row>
    <row r="166" spans="1:8">
      <c r="A166" s="143"/>
      <c r="B166" s="143"/>
      <c r="C166" s="143"/>
      <c r="D166" s="143"/>
      <c r="E166" s="143"/>
      <c r="F166" s="143"/>
      <c r="G166" s="143"/>
      <c r="H166" s="143"/>
    </row>
    <row r="167" spans="1:8">
      <c r="A167" s="144" t="s">
        <v>362</v>
      </c>
      <c r="B167" s="143"/>
      <c r="C167" s="143"/>
      <c r="D167" s="143"/>
      <c r="E167" s="143"/>
      <c r="F167" s="143"/>
      <c r="G167" s="143"/>
      <c r="H167" s="143"/>
    </row>
    <row r="168" spans="1:8">
      <c r="A168" s="143"/>
      <c r="B168" s="143"/>
      <c r="C168" s="143"/>
      <c r="D168" s="143"/>
      <c r="E168" s="143"/>
      <c r="F168" s="143"/>
      <c r="G168" s="143"/>
      <c r="H168" s="143"/>
    </row>
    <row r="169" spans="1:8" ht="15.75">
      <c r="A169" s="145" t="s">
        <v>363</v>
      </c>
      <c r="B169" s="143"/>
      <c r="C169" s="143"/>
      <c r="D169" s="143"/>
      <c r="E169" s="143"/>
      <c r="F169" s="143"/>
      <c r="G169" s="143"/>
      <c r="H169" s="143"/>
    </row>
    <row r="170" spans="1:8">
      <c r="A170" s="143"/>
      <c r="B170" s="143"/>
      <c r="C170" s="143"/>
      <c r="D170" s="143"/>
      <c r="E170" s="143"/>
      <c r="F170" s="143"/>
      <c r="G170" s="143"/>
      <c r="H170" s="143"/>
    </row>
    <row r="171" spans="1:8">
      <c r="A171" s="143"/>
      <c r="B171" s="143"/>
      <c r="C171" s="143"/>
      <c r="D171" s="143"/>
      <c r="E171" s="143"/>
      <c r="F171" s="143"/>
      <c r="G171" s="143"/>
      <c r="H171" s="143"/>
    </row>
    <row r="172" spans="1:8">
      <c r="A172" s="143"/>
      <c r="B172" s="143"/>
      <c r="C172" s="143"/>
      <c r="D172" s="143"/>
      <c r="E172" s="143"/>
      <c r="F172" s="143"/>
      <c r="G172" s="143"/>
      <c r="H172" s="143"/>
    </row>
    <row r="173" spans="1:8">
      <c r="A173" s="143"/>
      <c r="B173" s="143"/>
      <c r="C173" s="143"/>
      <c r="D173" s="143"/>
      <c r="E173" s="143"/>
      <c r="F173" s="143"/>
      <c r="G173" s="143"/>
      <c r="H173" s="143"/>
    </row>
    <row r="174" spans="1:8">
      <c r="A174" s="143"/>
      <c r="B174" s="143"/>
      <c r="C174" s="143"/>
      <c r="D174" s="143"/>
      <c r="E174" s="143"/>
      <c r="F174" s="143"/>
      <c r="G174" s="143"/>
      <c r="H174" s="143"/>
    </row>
    <row r="175" spans="1:8">
      <c r="A175" s="143"/>
      <c r="B175" s="143"/>
      <c r="C175" s="143"/>
      <c r="D175" s="143"/>
      <c r="E175" s="143"/>
      <c r="F175" s="143"/>
      <c r="G175" s="143"/>
      <c r="H175" s="143"/>
    </row>
    <row r="176" spans="1:8">
      <c r="A176" s="143"/>
      <c r="B176" s="143"/>
      <c r="C176" s="143"/>
      <c r="D176" s="143"/>
      <c r="E176" s="143"/>
      <c r="F176" s="143"/>
      <c r="G176" s="143"/>
      <c r="H176" s="143"/>
    </row>
    <row r="177" spans="1:8">
      <c r="A177" s="143"/>
      <c r="B177" s="143"/>
      <c r="C177" s="143"/>
      <c r="D177" s="143"/>
      <c r="E177" s="143"/>
      <c r="F177" s="143"/>
      <c r="G177" s="143"/>
      <c r="H177" s="143"/>
    </row>
    <row r="178" spans="1:8">
      <c r="A178" s="143"/>
      <c r="B178" s="143"/>
      <c r="C178" s="143"/>
      <c r="D178" s="143"/>
      <c r="E178" s="143"/>
      <c r="F178" s="143"/>
      <c r="G178" s="143"/>
      <c r="H178" s="143"/>
    </row>
    <row r="179" spans="1:8">
      <c r="A179" s="143"/>
      <c r="B179" s="143"/>
      <c r="C179" s="143"/>
      <c r="D179" s="143"/>
      <c r="E179" s="143"/>
      <c r="F179" s="143"/>
      <c r="G179" s="143"/>
      <c r="H179" s="143"/>
    </row>
    <row r="180" spans="1:8">
      <c r="A180" s="143"/>
      <c r="B180" s="143"/>
      <c r="C180" s="143"/>
      <c r="D180" s="143"/>
      <c r="E180" s="143"/>
      <c r="F180" s="143"/>
      <c r="G180" s="143"/>
      <c r="H180" s="143"/>
    </row>
    <row r="181" spans="1:8">
      <c r="A181" s="143"/>
      <c r="B181" s="143"/>
      <c r="C181" s="143"/>
      <c r="D181" s="143"/>
      <c r="E181" s="143"/>
      <c r="F181" s="143"/>
      <c r="G181" s="143"/>
      <c r="H181" s="143"/>
    </row>
    <row r="182" spans="1:8">
      <c r="A182" s="143"/>
      <c r="B182" s="143"/>
      <c r="C182" s="143"/>
      <c r="D182" s="143"/>
      <c r="E182" s="143"/>
      <c r="F182" s="143"/>
      <c r="G182" s="143"/>
      <c r="H182" s="143"/>
    </row>
    <row r="183" spans="1:8">
      <c r="A183" s="143"/>
      <c r="B183" s="143"/>
      <c r="C183" s="143"/>
      <c r="D183" s="143"/>
      <c r="E183" s="143"/>
      <c r="F183" s="143"/>
      <c r="G183" s="143"/>
      <c r="H183" s="143"/>
    </row>
    <row r="184" spans="1:8">
      <c r="A184" s="143"/>
      <c r="B184" s="143"/>
      <c r="C184" s="143"/>
      <c r="D184" s="143"/>
      <c r="E184" s="143"/>
      <c r="F184" s="143"/>
      <c r="G184" s="143"/>
      <c r="H184" s="143"/>
    </row>
    <row r="185" spans="1:8">
      <c r="A185" s="143"/>
      <c r="B185" s="143"/>
      <c r="C185" s="143"/>
      <c r="D185" s="143"/>
      <c r="E185" s="143"/>
      <c r="F185" s="143"/>
      <c r="G185" s="143"/>
      <c r="H185" s="143"/>
    </row>
    <row r="186" spans="1:8">
      <c r="A186" s="143"/>
      <c r="B186" s="143"/>
      <c r="C186" s="143"/>
      <c r="D186" s="143"/>
      <c r="E186" s="143"/>
      <c r="F186" s="143"/>
      <c r="G186" s="143"/>
      <c r="H186" s="143"/>
    </row>
    <row r="187" spans="1:8">
      <c r="A187" s="143"/>
      <c r="B187" s="143"/>
      <c r="C187" s="143"/>
      <c r="D187" s="143"/>
      <c r="E187" s="143"/>
      <c r="F187" s="143"/>
      <c r="G187" s="143"/>
      <c r="H187" s="143"/>
    </row>
    <row r="188" spans="1:8">
      <c r="A188" s="143"/>
      <c r="B188" s="143"/>
      <c r="C188" s="143"/>
      <c r="D188" s="143"/>
      <c r="E188" s="143"/>
      <c r="F188" s="143"/>
      <c r="G188" s="143"/>
      <c r="H188" s="143"/>
    </row>
    <row r="189" spans="1:8">
      <c r="A189" s="143"/>
      <c r="B189" s="143"/>
      <c r="C189" s="143"/>
      <c r="D189" s="143"/>
      <c r="E189" s="143"/>
      <c r="F189" s="143"/>
      <c r="G189" s="143"/>
      <c r="H189" s="143"/>
    </row>
    <row r="190" spans="1:8">
      <c r="A190" s="143"/>
      <c r="B190" s="143"/>
      <c r="C190" s="143"/>
      <c r="D190" s="143"/>
      <c r="E190" s="143"/>
      <c r="F190" s="143"/>
      <c r="G190" s="143"/>
      <c r="H190" s="143"/>
    </row>
    <row r="191" spans="1:8">
      <c r="A191" s="143"/>
      <c r="B191" s="143"/>
      <c r="C191" s="143"/>
      <c r="D191" s="143"/>
      <c r="E191" s="143"/>
      <c r="F191" s="143"/>
      <c r="G191" s="143"/>
      <c r="H191" s="143"/>
    </row>
    <row r="192" spans="1:8">
      <c r="A192" s="143"/>
      <c r="B192" s="143"/>
      <c r="C192" s="143"/>
      <c r="D192" s="143"/>
      <c r="E192" s="143"/>
      <c r="F192" s="143"/>
      <c r="G192" s="143"/>
      <c r="H192" s="143"/>
    </row>
    <row r="193" spans="1:8">
      <c r="A193" s="143"/>
      <c r="B193" s="143"/>
      <c r="C193" s="143"/>
      <c r="D193" s="143"/>
      <c r="E193" s="143"/>
      <c r="F193" s="143"/>
      <c r="G193" s="143"/>
      <c r="H193" s="143"/>
    </row>
    <row r="194" spans="1:8">
      <c r="A194" s="143"/>
      <c r="B194" s="143"/>
      <c r="C194" s="143"/>
      <c r="D194" s="143"/>
      <c r="E194" s="143"/>
      <c r="F194" s="143"/>
      <c r="G194" s="143"/>
      <c r="H194" s="143"/>
    </row>
    <row r="195" spans="1:8">
      <c r="A195" s="143"/>
      <c r="B195" s="143"/>
      <c r="C195" s="143"/>
      <c r="D195" s="143"/>
      <c r="E195" s="143"/>
      <c r="F195" s="143"/>
      <c r="G195" s="143"/>
      <c r="H195" s="143"/>
    </row>
    <row r="196" spans="1:8" ht="15.75">
      <c r="A196" s="145" t="s">
        <v>364</v>
      </c>
      <c r="B196" s="143"/>
      <c r="C196" s="143"/>
      <c r="D196" s="143"/>
      <c r="E196" s="143"/>
      <c r="F196" s="143"/>
      <c r="G196" s="143"/>
      <c r="H196" s="143"/>
    </row>
    <row r="197" spans="1:8">
      <c r="A197" s="143"/>
      <c r="B197" s="143"/>
      <c r="C197" s="143"/>
      <c r="D197" s="143"/>
      <c r="E197" s="143"/>
      <c r="F197" s="143"/>
      <c r="G197" s="143"/>
      <c r="H197" s="143"/>
    </row>
    <row r="198" spans="1:8">
      <c r="A198" s="144" t="s">
        <v>523</v>
      </c>
      <c r="B198" s="143"/>
      <c r="C198" s="143"/>
      <c r="D198" s="143"/>
      <c r="E198" s="143"/>
      <c r="F198" s="143"/>
      <c r="G198" s="143"/>
      <c r="H198" s="143"/>
    </row>
    <row r="199" spans="1:8">
      <c r="A199" s="144" t="s">
        <v>524</v>
      </c>
      <c r="B199" s="143"/>
      <c r="C199" s="143"/>
      <c r="D199" s="143"/>
      <c r="E199" s="143"/>
      <c r="F199" s="143"/>
      <c r="G199" s="143"/>
      <c r="H199" s="143"/>
    </row>
    <row r="200" spans="1:8">
      <c r="A200" s="144" t="s">
        <v>525</v>
      </c>
      <c r="B200" s="143"/>
      <c r="C200" s="143"/>
      <c r="D200" s="143"/>
      <c r="E200" s="143"/>
      <c r="F200" s="143"/>
      <c r="G200" s="143"/>
      <c r="H200" s="143"/>
    </row>
    <row r="201" spans="1:8">
      <c r="A201" s="144" t="s">
        <v>526</v>
      </c>
      <c r="B201" s="143"/>
      <c r="C201" s="143"/>
      <c r="D201" s="143"/>
      <c r="E201" s="143"/>
      <c r="F201" s="143"/>
      <c r="G201" s="143"/>
      <c r="H201" s="143"/>
    </row>
    <row r="202" spans="1:8">
      <c r="A202" s="144" t="s">
        <v>527</v>
      </c>
      <c r="B202" s="143"/>
      <c r="C202" s="143"/>
      <c r="D202" s="143"/>
      <c r="E202" s="143"/>
      <c r="F202" s="143"/>
      <c r="G202" s="143"/>
      <c r="H202" s="143"/>
    </row>
    <row r="203" spans="1:8">
      <c r="A203" s="143"/>
      <c r="B203" s="143"/>
      <c r="C203" s="143"/>
      <c r="D203" s="143"/>
      <c r="E203" s="143"/>
      <c r="F203" s="143"/>
      <c r="G203" s="143"/>
      <c r="H203" s="143"/>
    </row>
    <row r="204" spans="1:8">
      <c r="A204" s="144" t="s">
        <v>520</v>
      </c>
      <c r="B204" s="143"/>
      <c r="C204" s="143"/>
      <c r="D204" s="143"/>
      <c r="E204" s="143"/>
      <c r="F204" s="143"/>
      <c r="G204" s="143"/>
      <c r="H204" s="143"/>
    </row>
    <row r="205" spans="1:8">
      <c r="A205" s="144" t="s">
        <v>521</v>
      </c>
      <c r="B205" s="143"/>
      <c r="C205" s="143"/>
      <c r="D205" s="143"/>
      <c r="E205" s="143"/>
      <c r="F205" s="143"/>
      <c r="G205" s="143"/>
      <c r="H205" s="143"/>
    </row>
    <row r="206" spans="1:8">
      <c r="A206" s="144" t="s">
        <v>522</v>
      </c>
      <c r="B206" s="143"/>
      <c r="C206" s="143"/>
      <c r="D206" s="143"/>
      <c r="E206" s="143"/>
      <c r="F206" s="143"/>
      <c r="G206" s="143"/>
      <c r="H206" s="143"/>
    </row>
    <row r="207" spans="1:8" ht="15.75">
      <c r="A207" s="145" t="s">
        <v>365</v>
      </c>
      <c r="B207" s="143"/>
      <c r="C207" s="143"/>
      <c r="D207" s="143"/>
      <c r="E207" s="143"/>
      <c r="F207" s="143"/>
      <c r="G207" s="143"/>
      <c r="H207" s="143"/>
    </row>
    <row r="208" spans="1:8">
      <c r="A208" s="143"/>
      <c r="B208" s="143"/>
      <c r="C208" s="143"/>
      <c r="D208" s="143"/>
      <c r="E208" s="143"/>
      <c r="F208" s="143"/>
      <c r="G208" s="143"/>
      <c r="H208" s="143"/>
    </row>
    <row r="209" spans="1:8">
      <c r="A209" s="144" t="s">
        <v>513</v>
      </c>
      <c r="B209" s="143"/>
      <c r="C209" s="143"/>
      <c r="D209" s="143"/>
      <c r="E209" s="143"/>
      <c r="F209" s="143"/>
      <c r="G209" s="143"/>
      <c r="H209" s="143"/>
    </row>
    <row r="210" spans="1:8">
      <c r="A210" s="144" t="s">
        <v>514</v>
      </c>
      <c r="B210" s="143"/>
      <c r="C210" s="143"/>
      <c r="D210" s="143"/>
      <c r="E210" s="143"/>
      <c r="F210" s="143"/>
      <c r="G210" s="143"/>
      <c r="H210" s="143"/>
    </row>
    <row r="211" spans="1:8">
      <c r="A211" s="144" t="s">
        <v>515</v>
      </c>
      <c r="B211" s="143"/>
      <c r="C211" s="143"/>
      <c r="D211" s="143"/>
      <c r="E211" s="143"/>
      <c r="F211" s="143"/>
      <c r="G211" s="143"/>
      <c r="H211" s="143"/>
    </row>
    <row r="212" spans="1:8">
      <c r="A212" s="144" t="s">
        <v>516</v>
      </c>
      <c r="B212" s="143"/>
      <c r="C212" s="143"/>
      <c r="D212" s="143"/>
      <c r="E212" s="143"/>
      <c r="F212" s="143"/>
      <c r="G212" s="143"/>
      <c r="H212" s="143"/>
    </row>
    <row r="213" spans="1:8">
      <c r="A213" s="144" t="s">
        <v>517</v>
      </c>
      <c r="B213" s="143"/>
      <c r="C213" s="143"/>
      <c r="D213" s="143"/>
      <c r="E213" s="143"/>
      <c r="F213" s="143"/>
      <c r="G213" s="143"/>
      <c r="H213" s="143"/>
    </row>
    <row r="214" spans="1:8">
      <c r="A214" s="144" t="s">
        <v>518</v>
      </c>
      <c r="B214" s="143"/>
      <c r="C214" s="143"/>
      <c r="D214" s="143"/>
      <c r="E214" s="143"/>
      <c r="F214" s="143"/>
      <c r="G214" s="143"/>
      <c r="H214" s="143"/>
    </row>
    <row r="215" spans="1:8">
      <c r="A215" s="144" t="s">
        <v>519</v>
      </c>
      <c r="B215" s="143"/>
      <c r="C215" s="143"/>
      <c r="D215" s="143"/>
      <c r="E215" s="143"/>
      <c r="F215" s="143"/>
      <c r="G215" s="143"/>
      <c r="H215" s="143"/>
    </row>
    <row r="216" spans="1:8">
      <c r="A216" s="143"/>
      <c r="B216" s="143"/>
      <c r="C216" s="143"/>
      <c r="D216" s="143"/>
      <c r="E216" s="143"/>
      <c r="F216" s="143"/>
      <c r="G216" s="143"/>
      <c r="H216" s="143"/>
    </row>
    <row r="217" spans="1:8">
      <c r="A217" s="144" t="s">
        <v>510</v>
      </c>
      <c r="B217" s="143"/>
      <c r="C217" s="143"/>
      <c r="D217" s="143"/>
      <c r="E217" s="143"/>
      <c r="F217" s="143"/>
      <c r="G217" s="143"/>
      <c r="H217" s="143"/>
    </row>
    <row r="218" spans="1:8">
      <c r="A218" s="144" t="s">
        <v>511</v>
      </c>
      <c r="B218" s="143"/>
      <c r="C218" s="143"/>
      <c r="D218" s="143"/>
      <c r="E218" s="143"/>
      <c r="F218" s="143"/>
      <c r="G218" s="143"/>
      <c r="H218" s="143"/>
    </row>
    <row r="219" spans="1:8">
      <c r="A219" s="144" t="s">
        <v>512</v>
      </c>
      <c r="B219" s="143"/>
      <c r="C219" s="143"/>
      <c r="D219" s="143"/>
      <c r="E219" s="143"/>
      <c r="F219" s="143"/>
      <c r="G219" s="143"/>
      <c r="H219" s="143"/>
    </row>
    <row r="220" spans="1:8">
      <c r="A220" s="143"/>
      <c r="B220" s="143"/>
      <c r="C220" s="143"/>
      <c r="D220" s="143"/>
      <c r="E220" s="143"/>
      <c r="F220" s="143"/>
      <c r="G220" s="143"/>
      <c r="H220" s="143"/>
    </row>
    <row r="221" spans="1:8">
      <c r="A221" s="144" t="s">
        <v>505</v>
      </c>
      <c r="B221" s="143"/>
      <c r="C221" s="143"/>
      <c r="D221" s="143"/>
      <c r="E221" s="143"/>
      <c r="F221" s="143"/>
      <c r="G221" s="143"/>
      <c r="H221" s="143"/>
    </row>
    <row r="222" spans="1:8">
      <c r="A222" s="144" t="s">
        <v>506</v>
      </c>
      <c r="B222" s="143"/>
      <c r="C222" s="143"/>
      <c r="D222" s="143"/>
      <c r="E222" s="143"/>
      <c r="F222" s="143"/>
      <c r="G222" s="143"/>
      <c r="H222" s="143"/>
    </row>
    <row r="223" spans="1:8">
      <c r="A223" s="144" t="s">
        <v>507</v>
      </c>
      <c r="B223" s="143"/>
      <c r="C223" s="143"/>
      <c r="D223" s="143"/>
      <c r="E223" s="143"/>
      <c r="F223" s="143"/>
      <c r="G223" s="143"/>
      <c r="H223" s="143"/>
    </row>
    <row r="224" spans="1:8">
      <c r="A224" s="144" t="s">
        <v>508</v>
      </c>
      <c r="B224" s="143"/>
      <c r="C224" s="143"/>
      <c r="D224" s="143"/>
      <c r="E224" s="143"/>
      <c r="F224" s="143"/>
      <c r="G224" s="143"/>
      <c r="H224" s="143"/>
    </row>
    <row r="225" spans="1:8">
      <c r="A225" s="144" t="s">
        <v>509</v>
      </c>
      <c r="B225" s="143"/>
      <c r="C225" s="143"/>
      <c r="D225" s="143"/>
      <c r="E225" s="143"/>
      <c r="F225" s="143"/>
      <c r="G225" s="143"/>
      <c r="H225" s="143"/>
    </row>
    <row r="226" spans="1:8">
      <c r="A226" s="143"/>
      <c r="B226" s="143"/>
      <c r="C226" s="143"/>
      <c r="D226" s="143"/>
      <c r="E226" s="143"/>
      <c r="F226" s="143"/>
      <c r="G226" s="143"/>
      <c r="H226" s="143"/>
    </row>
    <row r="227" spans="1:8">
      <c r="A227" s="144" t="s">
        <v>499</v>
      </c>
      <c r="B227" s="143"/>
      <c r="C227" s="143"/>
      <c r="D227" s="143"/>
      <c r="E227" s="143"/>
      <c r="F227" s="143"/>
      <c r="G227" s="143"/>
      <c r="H227" s="143"/>
    </row>
    <row r="228" spans="1:8">
      <c r="A228" s="144" t="s">
        <v>500</v>
      </c>
      <c r="B228" s="143"/>
      <c r="C228" s="143"/>
      <c r="D228" s="143"/>
      <c r="E228" s="143"/>
      <c r="F228" s="143"/>
      <c r="G228" s="143"/>
      <c r="H228" s="143"/>
    </row>
    <row r="229" spans="1:8">
      <c r="A229" s="144" t="s">
        <v>501</v>
      </c>
      <c r="B229" s="143"/>
      <c r="C229" s="143"/>
      <c r="D229" s="143"/>
      <c r="E229" s="143"/>
      <c r="F229" s="143"/>
      <c r="G229" s="143"/>
      <c r="H229" s="143"/>
    </row>
    <row r="230" spans="1:8">
      <c r="A230" s="144" t="s">
        <v>502</v>
      </c>
      <c r="B230" s="143"/>
      <c r="C230" s="143"/>
      <c r="D230" s="143"/>
      <c r="E230" s="143"/>
      <c r="F230" s="143"/>
      <c r="G230" s="143"/>
      <c r="H230" s="143"/>
    </row>
    <row r="231" spans="1:8">
      <c r="A231" s="144" t="s">
        <v>503</v>
      </c>
      <c r="B231" s="143"/>
      <c r="C231" s="143"/>
      <c r="D231" s="143"/>
      <c r="E231" s="143"/>
      <c r="F231" s="143"/>
      <c r="G231" s="143"/>
      <c r="H231" s="143"/>
    </row>
    <row r="232" spans="1:8">
      <c r="A232" s="144" t="s">
        <v>504</v>
      </c>
      <c r="B232" s="143"/>
      <c r="C232" s="143"/>
      <c r="D232" s="143"/>
      <c r="E232" s="143"/>
      <c r="F232" s="143"/>
      <c r="G232" s="143"/>
      <c r="H232" s="143"/>
    </row>
    <row r="233" spans="1:8">
      <c r="A233" s="143"/>
      <c r="B233" s="143"/>
      <c r="C233" s="143"/>
      <c r="D233" s="143"/>
      <c r="E233" s="143"/>
      <c r="F233" s="143"/>
      <c r="G233" s="143"/>
      <c r="H233" s="143"/>
    </row>
    <row r="234" spans="1:8">
      <c r="A234" s="144" t="s">
        <v>489</v>
      </c>
      <c r="B234" s="143"/>
      <c r="C234" s="143"/>
      <c r="D234" s="143"/>
      <c r="E234" s="143"/>
      <c r="F234" s="143"/>
      <c r="G234" s="143"/>
      <c r="H234" s="143"/>
    </row>
    <row r="235" spans="1:8">
      <c r="A235" s="144" t="s">
        <v>490</v>
      </c>
      <c r="B235" s="143"/>
      <c r="C235" s="143"/>
      <c r="D235" s="143"/>
      <c r="E235" s="143"/>
      <c r="F235" s="143"/>
      <c r="G235" s="143"/>
      <c r="H235" s="143"/>
    </row>
    <row r="236" spans="1:8">
      <c r="A236" s="144" t="s">
        <v>491</v>
      </c>
      <c r="B236" s="143"/>
      <c r="C236" s="143"/>
      <c r="D236" s="143"/>
      <c r="E236" s="143"/>
      <c r="F236" s="143"/>
      <c r="G236" s="143"/>
      <c r="H236" s="143"/>
    </row>
    <row r="237" spans="1:8">
      <c r="A237" s="144" t="s">
        <v>492</v>
      </c>
      <c r="B237" s="143"/>
      <c r="C237" s="143"/>
      <c r="D237" s="143"/>
      <c r="E237" s="143"/>
      <c r="F237" s="143"/>
      <c r="G237" s="143"/>
      <c r="H237" s="143"/>
    </row>
    <row r="238" spans="1:8">
      <c r="A238" s="144" t="s">
        <v>493</v>
      </c>
      <c r="B238" s="143"/>
      <c r="C238" s="143"/>
      <c r="D238" s="143"/>
      <c r="E238" s="143"/>
      <c r="F238" s="143"/>
      <c r="G238" s="143"/>
      <c r="H238" s="143"/>
    </row>
    <row r="239" spans="1:8">
      <c r="A239" s="144" t="s">
        <v>494</v>
      </c>
      <c r="B239" s="143"/>
      <c r="C239" s="143"/>
      <c r="D239" s="143"/>
      <c r="E239" s="143"/>
      <c r="F239" s="143"/>
      <c r="G239" s="143"/>
      <c r="H239" s="143"/>
    </row>
    <row r="240" spans="1:8">
      <c r="A240" s="144" t="s">
        <v>495</v>
      </c>
      <c r="B240" s="143"/>
      <c r="C240" s="143"/>
      <c r="D240" s="143"/>
      <c r="E240" s="143"/>
      <c r="F240" s="143"/>
      <c r="G240" s="143"/>
      <c r="H240" s="143"/>
    </row>
    <row r="241" spans="1:8">
      <c r="A241" s="144" t="s">
        <v>496</v>
      </c>
      <c r="B241" s="143"/>
      <c r="C241" s="143"/>
      <c r="D241" s="143"/>
      <c r="E241" s="143"/>
      <c r="F241" s="143"/>
      <c r="G241" s="143"/>
      <c r="H241" s="143"/>
    </row>
    <row r="242" spans="1:8">
      <c r="A242" s="144" t="s">
        <v>497</v>
      </c>
      <c r="B242" s="143"/>
      <c r="C242" s="143"/>
      <c r="D242" s="143"/>
      <c r="E242" s="143"/>
      <c r="F242" s="143"/>
      <c r="G242" s="143"/>
      <c r="H242" s="143"/>
    </row>
    <row r="243" spans="1:8">
      <c r="A243" s="144" t="s">
        <v>498</v>
      </c>
      <c r="B243" s="143"/>
      <c r="C243" s="143"/>
      <c r="D243" s="143"/>
      <c r="E243" s="143"/>
      <c r="F243" s="143"/>
      <c r="G243" s="143"/>
      <c r="H243" s="143"/>
    </row>
    <row r="244" spans="1:8">
      <c r="A244" s="143"/>
      <c r="B244" s="143"/>
      <c r="C244" s="143"/>
      <c r="D244" s="143"/>
      <c r="E244" s="143"/>
      <c r="F244" s="143"/>
      <c r="G244" s="143"/>
      <c r="H244" s="143"/>
    </row>
    <row r="245" spans="1:8">
      <c r="A245" s="144" t="s">
        <v>487</v>
      </c>
      <c r="B245" s="143"/>
      <c r="C245" s="143"/>
      <c r="D245" s="143"/>
      <c r="E245" s="143"/>
      <c r="F245" s="143"/>
      <c r="G245" s="143"/>
      <c r="H245" s="143"/>
    </row>
    <row r="246" spans="1:8">
      <c r="A246" s="144" t="s">
        <v>488</v>
      </c>
      <c r="B246" s="143"/>
      <c r="C246" s="143"/>
      <c r="D246" s="143"/>
      <c r="E246" s="143"/>
      <c r="F246" s="143"/>
      <c r="G246" s="143"/>
      <c r="H246" s="143"/>
    </row>
    <row r="247" spans="1:8">
      <c r="A247" s="143"/>
      <c r="B247" s="143"/>
      <c r="C247" s="143"/>
      <c r="D247" s="143"/>
      <c r="E247" s="143"/>
      <c r="F247" s="143"/>
      <c r="G247" s="143"/>
      <c r="H247" s="143"/>
    </row>
    <row r="248" spans="1:8">
      <c r="A248" s="144" t="s">
        <v>471</v>
      </c>
      <c r="B248" s="143"/>
      <c r="C248" s="143"/>
      <c r="D248" s="143"/>
      <c r="E248" s="143"/>
      <c r="F248" s="143"/>
      <c r="G248" s="143"/>
      <c r="H248" s="143"/>
    </row>
    <row r="249" spans="1:8">
      <c r="A249" s="144" t="s">
        <v>472</v>
      </c>
      <c r="B249" s="143"/>
      <c r="C249" s="143"/>
      <c r="D249" s="143"/>
      <c r="E249" s="143"/>
      <c r="F249" s="143"/>
      <c r="G249" s="143"/>
      <c r="H249" s="143"/>
    </row>
    <row r="250" spans="1:8">
      <c r="A250" s="144" t="s">
        <v>473</v>
      </c>
      <c r="B250" s="143"/>
      <c r="C250" s="143"/>
      <c r="D250" s="143"/>
      <c r="E250" s="143"/>
      <c r="F250" s="143"/>
      <c r="G250" s="143"/>
      <c r="H250" s="143"/>
    </row>
    <row r="251" spans="1:8">
      <c r="A251" s="144" t="s">
        <v>474</v>
      </c>
      <c r="B251" s="143"/>
      <c r="C251" s="143"/>
      <c r="D251" s="143"/>
      <c r="E251" s="143"/>
      <c r="F251" s="143"/>
      <c r="G251" s="143"/>
      <c r="H251" s="143"/>
    </row>
    <row r="252" spans="1:8">
      <c r="A252" s="144" t="s">
        <v>475</v>
      </c>
      <c r="B252" s="143"/>
      <c r="C252" s="143"/>
      <c r="D252" s="143"/>
      <c r="E252" s="143"/>
      <c r="F252" s="143"/>
      <c r="G252" s="143"/>
      <c r="H252" s="143"/>
    </row>
    <row r="253" spans="1:8">
      <c r="A253" s="144" t="s">
        <v>476</v>
      </c>
      <c r="B253" s="143"/>
      <c r="C253" s="143"/>
      <c r="D253" s="143"/>
      <c r="E253" s="143"/>
      <c r="F253" s="143"/>
      <c r="G253" s="143"/>
      <c r="H253" s="143"/>
    </row>
    <row r="254" spans="1:8">
      <c r="A254" s="144" t="s">
        <v>477</v>
      </c>
      <c r="B254" s="143"/>
      <c r="C254" s="143"/>
      <c r="D254" s="143"/>
      <c r="E254" s="143"/>
      <c r="F254" s="143"/>
      <c r="G254" s="143"/>
      <c r="H254" s="143"/>
    </row>
    <row r="255" spans="1:8">
      <c r="A255" s="144" t="s">
        <v>478</v>
      </c>
      <c r="B255" s="143"/>
      <c r="C255" s="143"/>
      <c r="D255" s="143"/>
      <c r="E255" s="143"/>
      <c r="F255" s="143"/>
      <c r="G255" s="143"/>
      <c r="H255" s="143"/>
    </row>
    <row r="256" spans="1:8">
      <c r="A256" s="144" t="s">
        <v>479</v>
      </c>
      <c r="B256" s="143"/>
      <c r="C256" s="143"/>
      <c r="D256" s="143"/>
      <c r="E256" s="143"/>
      <c r="F256" s="143"/>
      <c r="G256" s="143"/>
      <c r="H256" s="143"/>
    </row>
    <row r="257" spans="1:8">
      <c r="A257" s="144" t="s">
        <v>480</v>
      </c>
      <c r="B257" s="143"/>
      <c r="C257" s="143"/>
      <c r="D257" s="143"/>
      <c r="E257" s="143"/>
      <c r="F257" s="143"/>
      <c r="G257" s="143"/>
      <c r="H257" s="143"/>
    </row>
    <row r="258" spans="1:8">
      <c r="A258" s="144" t="s">
        <v>481</v>
      </c>
      <c r="B258" s="143"/>
      <c r="C258" s="143"/>
      <c r="D258" s="143"/>
      <c r="E258" s="143"/>
      <c r="F258" s="143"/>
      <c r="G258" s="143"/>
      <c r="H258" s="143"/>
    </row>
    <row r="259" spans="1:8">
      <c r="A259" s="144" t="s">
        <v>482</v>
      </c>
      <c r="B259" s="143"/>
      <c r="C259" s="143"/>
      <c r="D259" s="143"/>
      <c r="E259" s="143"/>
      <c r="F259" s="143"/>
      <c r="G259" s="143"/>
      <c r="H259" s="143"/>
    </row>
    <row r="260" spans="1:8">
      <c r="A260" s="144" t="s">
        <v>483</v>
      </c>
      <c r="B260" s="143"/>
      <c r="C260" s="143"/>
      <c r="D260" s="143"/>
      <c r="E260" s="143"/>
      <c r="F260" s="143"/>
      <c r="G260" s="143"/>
      <c r="H260" s="143"/>
    </row>
    <row r="261" spans="1:8">
      <c r="A261" s="144" t="s">
        <v>484</v>
      </c>
      <c r="B261" s="143"/>
      <c r="C261" s="143"/>
      <c r="D261" s="143"/>
      <c r="E261" s="143"/>
      <c r="F261" s="143"/>
      <c r="G261" s="143"/>
      <c r="H261" s="143"/>
    </row>
    <row r="262" spans="1:8">
      <c r="A262" s="144" t="s">
        <v>485</v>
      </c>
      <c r="B262" s="143"/>
      <c r="C262" s="143"/>
      <c r="D262" s="143"/>
      <c r="E262" s="143"/>
      <c r="F262" s="143"/>
      <c r="G262" s="143"/>
      <c r="H262" s="143"/>
    </row>
    <row r="263" spans="1:8">
      <c r="A263" s="144" t="s">
        <v>486</v>
      </c>
      <c r="B263" s="143"/>
      <c r="C263" s="143"/>
      <c r="D263" s="143"/>
      <c r="E263" s="143"/>
      <c r="F263" s="143"/>
      <c r="G263" s="143"/>
      <c r="H263" s="143"/>
    </row>
    <row r="264" spans="1:8">
      <c r="A264" s="143"/>
      <c r="B264" s="143"/>
      <c r="C264" s="143"/>
      <c r="D264" s="143"/>
      <c r="E264" s="143"/>
      <c r="F264" s="143"/>
      <c r="G264" s="143"/>
      <c r="H264" s="143"/>
    </row>
    <row r="265" spans="1:8">
      <c r="A265" s="144" t="s">
        <v>464</v>
      </c>
      <c r="B265" s="143"/>
      <c r="C265" s="143"/>
      <c r="D265" s="143"/>
      <c r="E265" s="143"/>
      <c r="F265" s="143"/>
      <c r="G265" s="143"/>
      <c r="H265" s="143"/>
    </row>
    <row r="266" spans="1:8">
      <c r="A266" s="144" t="s">
        <v>465</v>
      </c>
      <c r="B266" s="143"/>
      <c r="C266" s="143"/>
      <c r="D266" s="143"/>
      <c r="E266" s="143"/>
      <c r="F266" s="143"/>
      <c r="G266" s="143"/>
      <c r="H266" s="143"/>
    </row>
    <row r="267" spans="1:8">
      <c r="A267" s="144" t="s">
        <v>466</v>
      </c>
      <c r="B267" s="143"/>
      <c r="C267" s="143"/>
      <c r="D267" s="143"/>
      <c r="E267" s="143"/>
      <c r="F267" s="143"/>
      <c r="G267" s="143"/>
      <c r="H267" s="143"/>
    </row>
    <row r="268" spans="1:8">
      <c r="A268" s="144" t="s">
        <v>467</v>
      </c>
      <c r="B268" s="143"/>
      <c r="C268" s="143"/>
      <c r="D268" s="143"/>
      <c r="E268" s="143"/>
      <c r="F268" s="143"/>
      <c r="G268" s="143"/>
      <c r="H268" s="143"/>
    </row>
    <row r="269" spans="1:8">
      <c r="A269" s="144" t="s">
        <v>468</v>
      </c>
      <c r="B269" s="143"/>
      <c r="C269" s="143"/>
      <c r="D269" s="143"/>
      <c r="E269" s="143"/>
      <c r="F269" s="143"/>
      <c r="G269" s="143"/>
      <c r="H269" s="143"/>
    </row>
    <row r="270" spans="1:8">
      <c r="A270" s="144" t="s">
        <v>469</v>
      </c>
      <c r="B270" s="143"/>
      <c r="C270" s="143"/>
      <c r="D270" s="143"/>
      <c r="E270" s="143"/>
      <c r="F270" s="143"/>
      <c r="G270" s="143"/>
      <c r="H270" s="143"/>
    </row>
    <row r="271" spans="1:8">
      <c r="A271" s="144" t="s">
        <v>470</v>
      </c>
      <c r="B271" s="143"/>
      <c r="C271" s="143"/>
      <c r="D271" s="143"/>
      <c r="E271" s="143"/>
      <c r="F271" s="143"/>
      <c r="G271" s="143"/>
      <c r="H271" s="143"/>
    </row>
    <row r="272" spans="1:8">
      <c r="A272" s="143"/>
      <c r="B272" s="143"/>
      <c r="C272" s="143"/>
      <c r="D272" s="143"/>
      <c r="E272" s="143"/>
      <c r="F272" s="143"/>
      <c r="G272" s="143"/>
      <c r="H272" s="143"/>
    </row>
    <row r="273" spans="1:8">
      <c r="A273" s="144" t="s">
        <v>455</v>
      </c>
      <c r="B273" s="143"/>
      <c r="C273" s="143"/>
      <c r="D273" s="143"/>
      <c r="E273" s="143"/>
      <c r="F273" s="143"/>
      <c r="G273" s="143"/>
      <c r="H273" s="143"/>
    </row>
    <row r="274" spans="1:8">
      <c r="A274" s="144" t="s">
        <v>456</v>
      </c>
      <c r="B274" s="143"/>
      <c r="C274" s="143"/>
      <c r="D274" s="143"/>
      <c r="E274" s="143"/>
      <c r="F274" s="143"/>
      <c r="G274" s="143"/>
      <c r="H274" s="143"/>
    </row>
    <row r="275" spans="1:8">
      <c r="A275" s="144" t="s">
        <v>457</v>
      </c>
      <c r="B275" s="143"/>
      <c r="C275" s="143"/>
      <c r="D275" s="143"/>
      <c r="E275" s="143"/>
      <c r="F275" s="143"/>
      <c r="G275" s="143"/>
      <c r="H275" s="143"/>
    </row>
    <row r="276" spans="1:8">
      <c r="A276" s="144" t="s">
        <v>458</v>
      </c>
      <c r="B276" s="143"/>
      <c r="C276" s="143"/>
      <c r="D276" s="143"/>
      <c r="E276" s="143"/>
      <c r="F276" s="143"/>
      <c r="G276" s="143"/>
      <c r="H276" s="143"/>
    </row>
    <row r="277" spans="1:8">
      <c r="A277" s="144" t="s">
        <v>459</v>
      </c>
      <c r="B277" s="143"/>
      <c r="C277" s="143"/>
      <c r="D277" s="143"/>
      <c r="E277" s="143"/>
      <c r="F277" s="143"/>
      <c r="G277" s="143"/>
      <c r="H277" s="143"/>
    </row>
    <row r="278" spans="1:8">
      <c r="A278" s="144" t="s">
        <v>460</v>
      </c>
      <c r="B278" s="143"/>
      <c r="C278" s="143"/>
      <c r="D278" s="143"/>
      <c r="E278" s="143"/>
      <c r="F278" s="143"/>
      <c r="G278" s="143"/>
      <c r="H278" s="143"/>
    </row>
    <row r="279" spans="1:8">
      <c r="A279" s="144" t="s">
        <v>461</v>
      </c>
      <c r="B279" s="143"/>
      <c r="C279" s="143"/>
      <c r="D279" s="143"/>
      <c r="E279" s="143"/>
      <c r="F279" s="143"/>
      <c r="G279" s="143"/>
      <c r="H279" s="143"/>
    </row>
    <row r="280" spans="1:8">
      <c r="A280" s="144" t="s">
        <v>462</v>
      </c>
      <c r="B280" s="143"/>
      <c r="C280" s="143"/>
      <c r="D280" s="143"/>
      <c r="E280" s="143"/>
      <c r="F280" s="143"/>
      <c r="G280" s="143"/>
      <c r="H280" s="143"/>
    </row>
    <row r="281" spans="1:8">
      <c r="A281" s="144" t="s">
        <v>463</v>
      </c>
      <c r="B281" s="143"/>
      <c r="C281" s="143"/>
      <c r="D281" s="143"/>
      <c r="E281" s="143"/>
      <c r="F281" s="143"/>
      <c r="G281" s="143"/>
      <c r="H281" s="143"/>
    </row>
    <row r="282" spans="1:8">
      <c r="A282" s="143"/>
      <c r="B282" s="143"/>
      <c r="C282" s="143"/>
      <c r="D282" s="143"/>
      <c r="E282" s="143"/>
      <c r="F282" s="143"/>
      <c r="G282" s="143"/>
      <c r="H282" s="143"/>
    </row>
    <row r="283" spans="1:8">
      <c r="A283" s="144" t="s">
        <v>448</v>
      </c>
      <c r="B283" s="143"/>
      <c r="C283" s="143"/>
      <c r="D283" s="143"/>
      <c r="E283" s="143"/>
      <c r="F283" s="143"/>
      <c r="G283" s="143"/>
      <c r="H283" s="143"/>
    </row>
    <row r="284" spans="1:8">
      <c r="A284" s="144" t="s">
        <v>449</v>
      </c>
      <c r="B284" s="143"/>
      <c r="C284" s="143"/>
      <c r="D284" s="143"/>
      <c r="E284" s="143"/>
      <c r="F284" s="143"/>
      <c r="G284" s="143"/>
      <c r="H284" s="143"/>
    </row>
    <row r="285" spans="1:8">
      <c r="A285" s="144" t="s">
        <v>450</v>
      </c>
      <c r="B285" s="143"/>
      <c r="C285" s="143"/>
      <c r="D285" s="143"/>
      <c r="E285" s="143"/>
      <c r="F285" s="143"/>
      <c r="G285" s="143"/>
      <c r="H285" s="143"/>
    </row>
    <row r="286" spans="1:8">
      <c r="A286" s="144" t="s">
        <v>451</v>
      </c>
      <c r="B286" s="143"/>
      <c r="C286" s="143"/>
      <c r="D286" s="143"/>
      <c r="E286" s="143"/>
      <c r="F286" s="143"/>
      <c r="G286" s="143"/>
      <c r="H286" s="143"/>
    </row>
    <row r="287" spans="1:8">
      <c r="A287" s="144" t="s">
        <v>452</v>
      </c>
      <c r="B287" s="143"/>
      <c r="C287" s="143"/>
      <c r="D287" s="143"/>
      <c r="E287" s="143"/>
      <c r="F287" s="143"/>
      <c r="G287" s="143"/>
      <c r="H287" s="143"/>
    </row>
    <row r="288" spans="1:8">
      <c r="A288" s="144" t="s">
        <v>453</v>
      </c>
      <c r="B288" s="143"/>
      <c r="C288" s="143"/>
      <c r="D288" s="143"/>
      <c r="E288" s="143"/>
      <c r="F288" s="143"/>
      <c r="G288" s="143"/>
      <c r="H288" s="143"/>
    </row>
    <row r="289" spans="1:8">
      <c r="A289" s="144" t="s">
        <v>454</v>
      </c>
      <c r="B289" s="143"/>
      <c r="C289" s="143"/>
      <c r="D289" s="143"/>
      <c r="E289" s="143"/>
      <c r="F289" s="143"/>
      <c r="G289" s="143"/>
      <c r="H289" s="143"/>
    </row>
    <row r="290" spans="1:8">
      <c r="A290" s="143"/>
      <c r="B290" s="143"/>
      <c r="C290" s="143"/>
      <c r="D290" s="143"/>
      <c r="E290" s="143"/>
      <c r="F290" s="143"/>
      <c r="G290" s="143"/>
      <c r="H290" s="143"/>
    </row>
    <row r="291" spans="1:8">
      <c r="A291" s="144" t="s">
        <v>445</v>
      </c>
      <c r="B291" s="143"/>
      <c r="C291" s="143"/>
      <c r="D291" s="143"/>
      <c r="E291" s="143"/>
      <c r="F291" s="143"/>
      <c r="G291" s="143"/>
      <c r="H291" s="143"/>
    </row>
    <row r="292" spans="1:8">
      <c r="A292" s="144" t="s">
        <v>446</v>
      </c>
      <c r="B292" s="143"/>
      <c r="C292" s="143"/>
      <c r="D292" s="143"/>
      <c r="E292" s="143"/>
      <c r="F292" s="143"/>
      <c r="G292" s="143"/>
      <c r="H292" s="143"/>
    </row>
    <row r="293" spans="1:8">
      <c r="A293" s="144" t="s">
        <v>447</v>
      </c>
      <c r="B293" s="143"/>
      <c r="C293" s="143"/>
      <c r="D293" s="143"/>
      <c r="E293" s="143"/>
      <c r="F293" s="143"/>
      <c r="G293" s="143"/>
      <c r="H293" s="143"/>
    </row>
    <row r="294" spans="1:8">
      <c r="A294" s="143"/>
      <c r="B294" s="143"/>
      <c r="C294" s="143"/>
      <c r="D294" s="143"/>
      <c r="E294" s="143"/>
      <c r="F294" s="143"/>
      <c r="G294" s="143"/>
      <c r="H294" s="143"/>
    </row>
    <row r="295" spans="1:8">
      <c r="A295" s="144" t="s">
        <v>443</v>
      </c>
      <c r="B295" s="143"/>
      <c r="C295" s="143"/>
      <c r="D295" s="143"/>
      <c r="E295" s="143"/>
      <c r="F295" s="143"/>
      <c r="G295" s="143"/>
      <c r="H295" s="143"/>
    </row>
    <row r="296" spans="1:8">
      <c r="A296" s="144" t="s">
        <v>444</v>
      </c>
      <c r="B296" s="143"/>
      <c r="C296" s="143"/>
      <c r="D296" s="143"/>
      <c r="E296" s="143"/>
      <c r="F296" s="143"/>
      <c r="G296" s="143"/>
      <c r="H296" s="143"/>
    </row>
    <row r="297" spans="1:8">
      <c r="A297" s="143"/>
      <c r="B297" s="143"/>
      <c r="C297" s="143"/>
      <c r="D297" s="143"/>
      <c r="E297" s="143"/>
      <c r="F297" s="143"/>
      <c r="G297" s="143"/>
      <c r="H297" s="143"/>
    </row>
    <row r="298" spans="1:8">
      <c r="A298" s="144" t="s">
        <v>430</v>
      </c>
      <c r="B298" s="143"/>
      <c r="C298" s="143"/>
      <c r="D298" s="143"/>
      <c r="E298" s="143"/>
      <c r="F298" s="143"/>
      <c r="G298" s="143"/>
      <c r="H298" s="143"/>
    </row>
    <row r="299" spans="1:8">
      <c r="A299" s="144" t="s">
        <v>431</v>
      </c>
      <c r="B299" s="143"/>
      <c r="C299" s="143"/>
      <c r="D299" s="143"/>
      <c r="E299" s="143"/>
      <c r="F299" s="143"/>
      <c r="G299" s="143"/>
      <c r="H299" s="143"/>
    </row>
    <row r="300" spans="1:8">
      <c r="A300" s="144" t="s">
        <v>432</v>
      </c>
      <c r="B300" s="143"/>
      <c r="C300" s="143"/>
      <c r="D300" s="143"/>
      <c r="E300" s="143"/>
      <c r="F300" s="143"/>
      <c r="G300" s="143"/>
      <c r="H300" s="143"/>
    </row>
    <row r="301" spans="1:8">
      <c r="A301" s="144" t="s">
        <v>433</v>
      </c>
      <c r="B301" s="143"/>
      <c r="C301" s="143"/>
      <c r="D301" s="143"/>
      <c r="E301" s="143"/>
      <c r="F301" s="143"/>
      <c r="G301" s="143"/>
      <c r="H301" s="143"/>
    </row>
    <row r="302" spans="1:8">
      <c r="A302" s="144" t="s">
        <v>434</v>
      </c>
      <c r="B302" s="143"/>
      <c r="C302" s="143"/>
      <c r="D302" s="143"/>
      <c r="E302" s="143"/>
      <c r="F302" s="143"/>
      <c r="G302" s="143"/>
      <c r="H302" s="143"/>
    </row>
    <row r="303" spans="1:8">
      <c r="A303" s="144" t="s">
        <v>435</v>
      </c>
      <c r="B303" s="143"/>
      <c r="C303" s="143"/>
      <c r="D303" s="143"/>
      <c r="E303" s="143"/>
      <c r="F303" s="143"/>
      <c r="G303" s="143"/>
      <c r="H303" s="143"/>
    </row>
    <row r="304" spans="1:8">
      <c r="A304" s="144" t="s">
        <v>436</v>
      </c>
      <c r="B304" s="143"/>
      <c r="C304" s="143"/>
      <c r="D304" s="143"/>
      <c r="E304" s="143"/>
      <c r="F304" s="143"/>
      <c r="G304" s="143"/>
      <c r="H304" s="143"/>
    </row>
    <row r="305" spans="1:8">
      <c r="A305" s="144" t="s">
        <v>437</v>
      </c>
      <c r="B305" s="143"/>
      <c r="C305" s="143"/>
      <c r="D305" s="143"/>
      <c r="E305" s="143"/>
      <c r="F305" s="143"/>
      <c r="G305" s="143"/>
      <c r="H305" s="143"/>
    </row>
    <row r="306" spans="1:8">
      <c r="A306" s="144" t="s">
        <v>438</v>
      </c>
      <c r="B306" s="143"/>
      <c r="C306" s="143"/>
      <c r="D306" s="143"/>
      <c r="E306" s="143"/>
      <c r="F306" s="143"/>
      <c r="G306" s="143"/>
      <c r="H306" s="143"/>
    </row>
    <row r="307" spans="1:8">
      <c r="A307" s="144" t="s">
        <v>439</v>
      </c>
      <c r="B307" s="143"/>
      <c r="C307" s="143"/>
      <c r="D307" s="143"/>
      <c r="E307" s="143"/>
      <c r="F307" s="143"/>
      <c r="G307" s="143"/>
      <c r="H307" s="143"/>
    </row>
    <row r="308" spans="1:8">
      <c r="A308" s="144" t="s">
        <v>440</v>
      </c>
      <c r="B308" s="143"/>
      <c r="C308" s="143"/>
      <c r="D308" s="143"/>
      <c r="E308" s="143"/>
      <c r="F308" s="143"/>
      <c r="G308" s="143"/>
      <c r="H308" s="143"/>
    </row>
    <row r="309" spans="1:8">
      <c r="A309" s="144" t="s">
        <v>441</v>
      </c>
      <c r="B309" s="143"/>
      <c r="C309" s="143"/>
      <c r="D309" s="143"/>
      <c r="E309" s="143"/>
      <c r="F309" s="143"/>
      <c r="G309" s="143"/>
      <c r="H309" s="143"/>
    </row>
    <row r="310" spans="1:8">
      <c r="A310" s="144" t="s">
        <v>442</v>
      </c>
      <c r="B310" s="143"/>
      <c r="C310" s="143"/>
      <c r="D310" s="143"/>
      <c r="E310" s="143"/>
      <c r="F310" s="143"/>
      <c r="G310" s="143"/>
      <c r="H310" s="143"/>
    </row>
    <row r="311" spans="1:8">
      <c r="A311" s="143"/>
      <c r="B311" s="143"/>
      <c r="C311" s="143"/>
      <c r="D311" s="143"/>
      <c r="E311" s="143"/>
      <c r="F311" s="143"/>
      <c r="G311" s="143"/>
      <c r="H311" s="143"/>
    </row>
    <row r="312" spans="1:8">
      <c r="A312" s="144" t="s">
        <v>422</v>
      </c>
      <c r="B312" s="143"/>
      <c r="C312" s="143"/>
      <c r="D312" s="143"/>
      <c r="E312" s="143"/>
      <c r="F312" s="143"/>
      <c r="G312" s="143"/>
      <c r="H312" s="143"/>
    </row>
    <row r="313" spans="1:8">
      <c r="A313" s="144" t="s">
        <v>423</v>
      </c>
      <c r="B313" s="143"/>
      <c r="C313" s="143"/>
      <c r="D313" s="143"/>
      <c r="E313" s="143"/>
      <c r="F313" s="143"/>
      <c r="G313" s="143"/>
      <c r="H313" s="143"/>
    </row>
    <row r="314" spans="1:8">
      <c r="A314" s="144" t="s">
        <v>424</v>
      </c>
      <c r="B314" s="143"/>
      <c r="C314" s="143"/>
      <c r="D314" s="143"/>
      <c r="E314" s="143"/>
      <c r="F314" s="143"/>
      <c r="G314" s="143"/>
      <c r="H314" s="143"/>
    </row>
    <row r="315" spans="1:8">
      <c r="A315" s="144" t="s">
        <v>425</v>
      </c>
      <c r="B315" s="143"/>
      <c r="C315" s="143"/>
      <c r="D315" s="143"/>
      <c r="E315" s="143"/>
      <c r="F315" s="143"/>
      <c r="G315" s="143"/>
      <c r="H315" s="143"/>
    </row>
    <row r="316" spans="1:8">
      <c r="A316" s="144" t="s">
        <v>426</v>
      </c>
      <c r="B316" s="143"/>
      <c r="C316" s="143"/>
      <c r="D316" s="143"/>
      <c r="E316" s="143"/>
      <c r="F316" s="143"/>
      <c r="G316" s="143"/>
      <c r="H316" s="143"/>
    </row>
    <row r="317" spans="1:8">
      <c r="A317" s="144" t="s">
        <v>427</v>
      </c>
      <c r="B317" s="143"/>
      <c r="C317" s="143"/>
      <c r="D317" s="143"/>
      <c r="E317" s="143"/>
      <c r="F317" s="143"/>
      <c r="G317" s="143"/>
      <c r="H317" s="143"/>
    </row>
    <row r="318" spans="1:8">
      <c r="A318" s="144" t="s">
        <v>428</v>
      </c>
      <c r="B318" s="143"/>
      <c r="C318" s="143"/>
      <c r="D318" s="143"/>
      <c r="E318" s="143"/>
      <c r="F318" s="143"/>
      <c r="G318" s="143"/>
      <c r="H318" s="143"/>
    </row>
    <row r="319" spans="1:8">
      <c r="A319" s="144" t="s">
        <v>429</v>
      </c>
      <c r="B319" s="143"/>
      <c r="C319" s="143"/>
      <c r="D319" s="143"/>
      <c r="E319" s="143"/>
      <c r="F319" s="143"/>
      <c r="G319" s="143"/>
      <c r="H319" s="143"/>
    </row>
    <row r="320" spans="1:8">
      <c r="A320" s="143"/>
      <c r="B320" s="143"/>
      <c r="C320" s="143"/>
      <c r="D320" s="143"/>
      <c r="E320" s="143"/>
      <c r="F320" s="143"/>
      <c r="G320" s="143"/>
      <c r="H320" s="143"/>
    </row>
    <row r="321" spans="1:8">
      <c r="A321" s="144" t="s">
        <v>387</v>
      </c>
      <c r="B321" s="143"/>
      <c r="C321" s="143"/>
      <c r="D321" s="143"/>
      <c r="E321" s="143"/>
      <c r="F321" s="143"/>
      <c r="G321" s="143"/>
      <c r="H321" s="143"/>
    </row>
    <row r="322" spans="1:8">
      <c r="A322" s="144" t="s">
        <v>388</v>
      </c>
      <c r="B322" s="143"/>
      <c r="C322" s="143"/>
      <c r="D322" s="143"/>
      <c r="E322" s="143"/>
      <c r="F322" s="143"/>
      <c r="G322" s="143"/>
      <c r="H322" s="143"/>
    </row>
    <row r="323" spans="1:8">
      <c r="A323" s="144" t="s">
        <v>389</v>
      </c>
      <c r="B323" s="143"/>
      <c r="C323" s="143"/>
      <c r="D323" s="143"/>
      <c r="E323" s="143"/>
      <c r="F323" s="143"/>
      <c r="G323" s="143"/>
      <c r="H323" s="143"/>
    </row>
    <row r="324" spans="1:8">
      <c r="A324" s="144" t="s">
        <v>390</v>
      </c>
      <c r="B324" s="143"/>
      <c r="C324" s="143"/>
      <c r="D324" s="143"/>
      <c r="E324" s="143"/>
      <c r="F324" s="143"/>
      <c r="G324" s="143"/>
      <c r="H324" s="143"/>
    </row>
    <row r="325" spans="1:8">
      <c r="A325" s="144" t="s">
        <v>391</v>
      </c>
      <c r="B325" s="143"/>
      <c r="C325" s="143"/>
      <c r="D325" s="143"/>
      <c r="E325" s="143"/>
      <c r="F325" s="143"/>
      <c r="G325" s="143"/>
      <c r="H325" s="143"/>
    </row>
    <row r="326" spans="1:8">
      <c r="A326" s="144" t="s">
        <v>392</v>
      </c>
      <c r="B326" s="143"/>
      <c r="C326" s="143"/>
      <c r="D326" s="143"/>
      <c r="E326" s="143"/>
      <c r="F326" s="143"/>
      <c r="G326" s="143"/>
      <c r="H326" s="143"/>
    </row>
    <row r="327" spans="1:8">
      <c r="A327" s="144" t="s">
        <v>393</v>
      </c>
      <c r="B327" s="143"/>
      <c r="C327" s="143"/>
      <c r="D327" s="143"/>
      <c r="E327" s="143"/>
      <c r="F327" s="143"/>
      <c r="G327" s="143"/>
      <c r="H327" s="143"/>
    </row>
    <row r="328" spans="1:8">
      <c r="A328" s="144" t="s">
        <v>394</v>
      </c>
      <c r="B328" s="143"/>
      <c r="C328" s="143"/>
      <c r="D328" s="143"/>
      <c r="E328" s="143"/>
      <c r="F328" s="143"/>
      <c r="G328" s="143"/>
      <c r="H328" s="143"/>
    </row>
    <row r="329" spans="1:8">
      <c r="A329" s="144" t="s">
        <v>395</v>
      </c>
      <c r="B329" s="143"/>
      <c r="C329" s="143"/>
      <c r="D329" s="143"/>
      <c r="E329" s="143"/>
      <c r="F329" s="143"/>
      <c r="G329" s="143"/>
      <c r="H329" s="143"/>
    </row>
    <row r="330" spans="1:8">
      <c r="A330" s="144" t="s">
        <v>396</v>
      </c>
      <c r="B330" s="143"/>
      <c r="C330" s="143"/>
      <c r="D330" s="143"/>
      <c r="E330" s="143"/>
      <c r="F330" s="143"/>
      <c r="G330" s="143"/>
      <c r="H330" s="143"/>
    </row>
    <row r="331" spans="1:8">
      <c r="A331" s="144" t="s">
        <v>397</v>
      </c>
      <c r="B331" s="143"/>
      <c r="C331" s="143"/>
      <c r="D331" s="143"/>
      <c r="E331" s="143"/>
      <c r="F331" s="143"/>
      <c r="G331" s="143"/>
      <c r="H331" s="143"/>
    </row>
    <row r="332" spans="1:8">
      <c r="A332" s="144" t="s">
        <v>398</v>
      </c>
      <c r="B332" s="143"/>
      <c r="C332" s="143"/>
      <c r="D332" s="143"/>
      <c r="E332" s="143"/>
      <c r="F332" s="143"/>
      <c r="G332" s="143"/>
      <c r="H332" s="143"/>
    </row>
    <row r="333" spans="1:8">
      <c r="A333" s="144" t="s">
        <v>399</v>
      </c>
      <c r="B333" s="143"/>
      <c r="C333" s="143"/>
      <c r="D333" s="143"/>
      <c r="E333" s="143"/>
      <c r="F333" s="143"/>
      <c r="G333" s="143"/>
      <c r="H333" s="143"/>
    </row>
    <row r="334" spans="1:8">
      <c r="A334" s="144" t="s">
        <v>400</v>
      </c>
      <c r="B334" s="143"/>
      <c r="C334" s="143"/>
      <c r="D334" s="143"/>
      <c r="E334" s="143"/>
      <c r="F334" s="143"/>
      <c r="G334" s="143"/>
      <c r="H334" s="143"/>
    </row>
    <row r="335" spans="1:8">
      <c r="A335" s="144" t="s">
        <v>401</v>
      </c>
      <c r="B335" s="143"/>
      <c r="C335" s="143"/>
      <c r="D335" s="143"/>
      <c r="E335" s="143"/>
      <c r="F335" s="143"/>
      <c r="G335" s="143"/>
      <c r="H335" s="143"/>
    </row>
    <row r="336" spans="1:8">
      <c r="A336" s="144" t="s">
        <v>402</v>
      </c>
      <c r="B336" s="143"/>
      <c r="C336" s="143"/>
      <c r="D336" s="143"/>
      <c r="E336" s="143"/>
      <c r="F336" s="143"/>
      <c r="G336" s="143"/>
      <c r="H336" s="143"/>
    </row>
    <row r="337" spans="1:8">
      <c r="A337" s="144" t="s">
        <v>403</v>
      </c>
      <c r="B337" s="143"/>
      <c r="C337" s="143"/>
      <c r="D337" s="143"/>
      <c r="E337" s="143"/>
      <c r="F337" s="143"/>
      <c r="G337" s="143"/>
      <c r="H337" s="143"/>
    </row>
    <row r="338" spans="1:8">
      <c r="A338" s="144" t="s">
        <v>404</v>
      </c>
      <c r="B338" s="143"/>
      <c r="C338" s="143"/>
      <c r="D338" s="143"/>
      <c r="E338" s="143"/>
      <c r="F338" s="143"/>
      <c r="G338" s="143"/>
      <c r="H338" s="143"/>
    </row>
    <row r="339" spans="1:8">
      <c r="A339" s="144" t="s">
        <v>405</v>
      </c>
      <c r="B339" s="143"/>
      <c r="C339" s="143"/>
      <c r="D339" s="143"/>
      <c r="E339" s="143"/>
      <c r="F339" s="143"/>
      <c r="G339" s="143"/>
      <c r="H339" s="143"/>
    </row>
    <row r="340" spans="1:8">
      <c r="A340" s="144" t="s">
        <v>406</v>
      </c>
      <c r="B340" s="143"/>
      <c r="C340" s="143"/>
      <c r="D340" s="143"/>
      <c r="E340" s="143"/>
      <c r="F340" s="143"/>
      <c r="G340" s="143"/>
      <c r="H340" s="143"/>
    </row>
    <row r="341" spans="1:8">
      <c r="A341" s="144" t="s">
        <v>407</v>
      </c>
      <c r="B341" s="143"/>
      <c r="C341" s="143"/>
      <c r="D341" s="143"/>
      <c r="E341" s="143"/>
      <c r="F341" s="143"/>
      <c r="G341" s="143"/>
      <c r="H341" s="143"/>
    </row>
    <row r="342" spans="1:8">
      <c r="A342" s="144" t="s">
        <v>408</v>
      </c>
      <c r="B342" s="143"/>
      <c r="C342" s="143"/>
      <c r="D342" s="143"/>
      <c r="E342" s="143"/>
      <c r="F342" s="143"/>
      <c r="G342" s="143"/>
      <c r="H342" s="143"/>
    </row>
    <row r="343" spans="1:8">
      <c r="A343" s="144" t="s">
        <v>409</v>
      </c>
      <c r="B343" s="143"/>
      <c r="C343" s="143"/>
      <c r="D343" s="143"/>
      <c r="E343" s="143"/>
      <c r="F343" s="143"/>
      <c r="G343" s="143"/>
      <c r="H343" s="143"/>
    </row>
    <row r="344" spans="1:8">
      <c r="A344" s="144" t="s">
        <v>410</v>
      </c>
      <c r="B344" s="143"/>
      <c r="C344" s="143"/>
      <c r="D344" s="143"/>
      <c r="E344" s="143"/>
      <c r="F344" s="143"/>
      <c r="G344" s="143"/>
      <c r="H344" s="143"/>
    </row>
    <row r="345" spans="1:8">
      <c r="A345" s="144" t="s">
        <v>411</v>
      </c>
      <c r="B345" s="143"/>
      <c r="C345" s="143"/>
      <c r="D345" s="143"/>
      <c r="E345" s="143"/>
      <c r="F345" s="143"/>
      <c r="G345" s="143"/>
      <c r="H345" s="143"/>
    </row>
    <row r="346" spans="1:8">
      <c r="A346" s="144" t="s">
        <v>412</v>
      </c>
      <c r="B346" s="143"/>
      <c r="C346" s="143"/>
      <c r="D346" s="143"/>
      <c r="E346" s="143"/>
      <c r="F346" s="143"/>
      <c r="G346" s="143"/>
      <c r="H346" s="143"/>
    </row>
    <row r="347" spans="1:8">
      <c r="A347" s="144" t="s">
        <v>413</v>
      </c>
      <c r="B347" s="143"/>
      <c r="C347" s="143"/>
      <c r="D347" s="143"/>
      <c r="E347" s="143"/>
      <c r="F347" s="143"/>
      <c r="G347" s="143"/>
      <c r="H347" s="143"/>
    </row>
    <row r="348" spans="1:8">
      <c r="A348" s="144" t="s">
        <v>414</v>
      </c>
      <c r="B348" s="143"/>
      <c r="C348" s="143"/>
      <c r="D348" s="143"/>
      <c r="E348" s="143"/>
      <c r="F348" s="143"/>
      <c r="G348" s="143"/>
      <c r="H348" s="143"/>
    </row>
    <row r="349" spans="1:8">
      <c r="A349" s="144" t="s">
        <v>415</v>
      </c>
      <c r="B349" s="143"/>
      <c r="C349" s="143"/>
      <c r="D349" s="143"/>
      <c r="E349" s="143"/>
      <c r="F349" s="143"/>
      <c r="G349" s="143"/>
      <c r="H349" s="143"/>
    </row>
    <row r="350" spans="1:8">
      <c r="A350" s="144" t="s">
        <v>416</v>
      </c>
      <c r="B350" s="143"/>
      <c r="C350" s="143"/>
      <c r="D350" s="143"/>
      <c r="E350" s="143"/>
      <c r="F350" s="143"/>
      <c r="G350" s="143"/>
      <c r="H350" s="143"/>
    </row>
    <row r="351" spans="1:8">
      <c r="A351" s="144" t="s">
        <v>417</v>
      </c>
      <c r="B351" s="143"/>
      <c r="C351" s="143"/>
      <c r="D351" s="143"/>
      <c r="E351" s="143"/>
      <c r="F351" s="143"/>
      <c r="G351" s="143"/>
      <c r="H351" s="143"/>
    </row>
    <row r="352" spans="1:8">
      <c r="A352" s="144" t="s">
        <v>418</v>
      </c>
      <c r="B352" s="143"/>
      <c r="C352" s="143"/>
      <c r="D352" s="143"/>
      <c r="E352" s="143"/>
      <c r="F352" s="143"/>
      <c r="G352" s="143"/>
      <c r="H352" s="143"/>
    </row>
    <row r="353" spans="1:8">
      <c r="A353" s="144" t="s">
        <v>419</v>
      </c>
      <c r="B353" s="143"/>
      <c r="C353" s="143"/>
      <c r="D353" s="143"/>
      <c r="E353" s="143"/>
      <c r="F353" s="143"/>
      <c r="G353" s="143"/>
      <c r="H353" s="143"/>
    </row>
    <row r="354" spans="1:8">
      <c r="A354" s="144" t="s">
        <v>420</v>
      </c>
      <c r="B354" s="143"/>
      <c r="C354" s="143"/>
      <c r="D354" s="143"/>
      <c r="E354" s="143"/>
      <c r="F354" s="143"/>
      <c r="G354" s="143"/>
      <c r="H354" s="143"/>
    </row>
    <row r="355" spans="1:8">
      <c r="A355" s="144" t="s">
        <v>421</v>
      </c>
      <c r="B355" s="143"/>
      <c r="C355" s="143"/>
      <c r="D355" s="143"/>
      <c r="E355" s="143"/>
      <c r="F355" s="143"/>
      <c r="G355" s="143"/>
      <c r="H355" s="143"/>
    </row>
    <row r="356" spans="1:8">
      <c r="A356" s="143"/>
      <c r="B356" s="143"/>
      <c r="C356" s="143"/>
      <c r="D356" s="143"/>
      <c r="E356" s="143"/>
      <c r="F356" s="143"/>
      <c r="G356" s="143"/>
      <c r="H356" s="143"/>
    </row>
    <row r="357" spans="1:8">
      <c r="A357" s="144" t="s">
        <v>379</v>
      </c>
      <c r="B357" s="143"/>
      <c r="C357" s="143"/>
      <c r="D357" s="143"/>
      <c r="E357" s="143"/>
      <c r="F357" s="143"/>
      <c r="G357" s="143"/>
      <c r="H357" s="143"/>
    </row>
    <row r="358" spans="1:8">
      <c r="A358" s="144" t="s">
        <v>383</v>
      </c>
      <c r="B358" s="143"/>
      <c r="C358" s="143"/>
      <c r="D358" s="143"/>
      <c r="E358" s="143"/>
      <c r="F358" s="143"/>
      <c r="G358" s="143"/>
      <c r="H358" s="143"/>
    </row>
    <row r="359" spans="1:8">
      <c r="A359" s="144" t="s">
        <v>384</v>
      </c>
      <c r="B359" s="143"/>
      <c r="C359" s="143"/>
      <c r="D359" s="143"/>
      <c r="E359" s="143"/>
      <c r="F359" s="143"/>
      <c r="G359" s="143"/>
      <c r="H359" s="143"/>
    </row>
    <row r="360" spans="1:8">
      <c r="A360" s="144" t="s">
        <v>385</v>
      </c>
      <c r="B360" s="143"/>
      <c r="C360" s="143"/>
      <c r="D360" s="143"/>
      <c r="E360" s="143"/>
      <c r="F360" s="143"/>
      <c r="G360" s="143"/>
      <c r="H360" s="143"/>
    </row>
    <row r="361" spans="1:8">
      <c r="A361" s="144" t="s">
        <v>386</v>
      </c>
      <c r="B361" s="143"/>
      <c r="C361" s="143"/>
      <c r="D361" s="143"/>
      <c r="E361" s="143"/>
      <c r="F361" s="143"/>
      <c r="G361" s="143"/>
      <c r="H361" s="143"/>
    </row>
    <row r="362" spans="1:8">
      <c r="A362" s="143"/>
      <c r="B362" s="143"/>
      <c r="C362" s="143"/>
      <c r="D362" s="143"/>
      <c r="E362" s="143"/>
      <c r="F362" s="143"/>
      <c r="G362" s="143"/>
      <c r="H362" s="143"/>
    </row>
    <row r="363" spans="1:8">
      <c r="A363" s="144" t="s">
        <v>379</v>
      </c>
      <c r="B363" s="143"/>
      <c r="C363" s="143"/>
      <c r="D363" s="143"/>
      <c r="E363" s="143"/>
      <c r="F363" s="143"/>
      <c r="G363" s="143"/>
      <c r="H363" s="143"/>
    </row>
    <row r="364" spans="1:8">
      <c r="A364" s="144" t="s">
        <v>380</v>
      </c>
      <c r="B364" s="143"/>
      <c r="C364" s="143"/>
      <c r="D364" s="143"/>
      <c r="E364" s="143"/>
      <c r="F364" s="143"/>
      <c r="G364" s="143"/>
      <c r="H364" s="143"/>
    </row>
    <row r="365" spans="1:8">
      <c r="A365" s="144" t="s">
        <v>381</v>
      </c>
      <c r="B365" s="143"/>
      <c r="C365" s="143"/>
      <c r="D365" s="143"/>
      <c r="E365" s="143"/>
      <c r="F365" s="143"/>
      <c r="G365" s="143"/>
      <c r="H365" s="143"/>
    </row>
    <row r="366" spans="1:8">
      <c r="A366" s="144" t="s">
        <v>382</v>
      </c>
      <c r="B366" s="143"/>
      <c r="C366" s="143"/>
      <c r="D366" s="143"/>
      <c r="E366" s="143"/>
      <c r="F366" s="143"/>
      <c r="G366" s="143"/>
      <c r="H366" s="143"/>
    </row>
    <row r="367" spans="1:8">
      <c r="A367" s="143"/>
      <c r="B367" s="143"/>
      <c r="C367" s="143"/>
      <c r="D367" s="143"/>
      <c r="E367" s="143"/>
      <c r="F367" s="143"/>
      <c r="G367" s="143"/>
      <c r="H367" s="143"/>
    </row>
    <row r="368" spans="1:8">
      <c r="A368" s="144" t="s">
        <v>373</v>
      </c>
      <c r="B368" s="143"/>
      <c r="C368" s="143"/>
      <c r="D368" s="143"/>
      <c r="E368" s="143"/>
      <c r="F368" s="143"/>
      <c r="G368" s="143"/>
      <c r="H368" s="143"/>
    </row>
    <row r="369" spans="1:8">
      <c r="A369" s="144" t="s">
        <v>374</v>
      </c>
      <c r="B369" s="143"/>
      <c r="C369" s="143"/>
      <c r="D369" s="143"/>
      <c r="E369" s="143"/>
      <c r="F369" s="143"/>
      <c r="G369" s="143"/>
      <c r="H369" s="143"/>
    </row>
    <row r="370" spans="1:8">
      <c r="A370" s="144" t="s">
        <v>375</v>
      </c>
      <c r="B370" s="143"/>
      <c r="C370" s="143"/>
      <c r="D370" s="143"/>
      <c r="E370" s="143"/>
      <c r="F370" s="143"/>
      <c r="G370" s="143"/>
      <c r="H370" s="143"/>
    </row>
    <row r="371" spans="1:8">
      <c r="A371" s="144" t="s">
        <v>376</v>
      </c>
      <c r="B371" s="143"/>
      <c r="C371" s="143"/>
      <c r="D371" s="143"/>
      <c r="E371" s="143"/>
      <c r="F371" s="143"/>
      <c r="G371" s="143"/>
      <c r="H371" s="143"/>
    </row>
    <row r="372" spans="1:8">
      <c r="A372" s="144" t="s">
        <v>377</v>
      </c>
      <c r="B372" s="143"/>
      <c r="C372" s="143"/>
      <c r="D372" s="143"/>
      <c r="E372" s="143"/>
      <c r="F372" s="143"/>
      <c r="G372" s="143"/>
      <c r="H372" s="143"/>
    </row>
    <row r="373" spans="1:8">
      <c r="A373" s="144" t="s">
        <v>378</v>
      </c>
      <c r="B373" s="143"/>
      <c r="C373" s="143"/>
      <c r="D373" s="143"/>
      <c r="E373" s="143"/>
      <c r="F373" s="143"/>
      <c r="G373" s="143"/>
      <c r="H373" s="143"/>
    </row>
    <row r="374" spans="1:8">
      <c r="A374" s="143"/>
      <c r="B374" s="143"/>
      <c r="C374" s="143"/>
      <c r="D374" s="143"/>
      <c r="E374" s="143"/>
      <c r="F374" s="143"/>
      <c r="G374" s="143"/>
      <c r="H374" s="143"/>
    </row>
    <row r="375" spans="1:8">
      <c r="A375" s="144" t="s">
        <v>368</v>
      </c>
      <c r="B375" s="143"/>
      <c r="C375" s="143"/>
      <c r="D375" s="143"/>
      <c r="E375" s="143"/>
      <c r="F375" s="143"/>
      <c r="G375" s="143"/>
      <c r="H375" s="143"/>
    </row>
    <row r="376" spans="1:8">
      <c r="A376" s="144" t="s">
        <v>369</v>
      </c>
      <c r="B376" s="143"/>
      <c r="C376" s="143"/>
      <c r="D376" s="143"/>
      <c r="E376" s="143"/>
      <c r="F376" s="143"/>
      <c r="G376" s="143"/>
      <c r="H376" s="143"/>
    </row>
    <row r="377" spans="1:8">
      <c r="A377" s="144" t="s">
        <v>370</v>
      </c>
      <c r="B377" s="143"/>
      <c r="C377" s="143"/>
      <c r="D377" s="143"/>
      <c r="E377" s="143"/>
      <c r="F377" s="143"/>
      <c r="G377" s="143"/>
      <c r="H377" s="143"/>
    </row>
    <row r="378" spans="1:8">
      <c r="A378" s="144" t="s">
        <v>371</v>
      </c>
      <c r="B378" s="143"/>
      <c r="C378" s="143"/>
      <c r="D378" s="143"/>
      <c r="E378" s="143"/>
      <c r="F378" s="143"/>
      <c r="G378" s="143"/>
      <c r="H378" s="143"/>
    </row>
    <row r="379" spans="1:8">
      <c r="A379" s="144" t="s">
        <v>372</v>
      </c>
      <c r="B379" s="143"/>
      <c r="C379" s="143"/>
      <c r="D379" s="143"/>
      <c r="E379" s="143"/>
      <c r="F379" s="143"/>
      <c r="G379" s="143"/>
      <c r="H379" s="143"/>
    </row>
    <row r="380" spans="1:8">
      <c r="A380" s="143"/>
      <c r="B380" s="143"/>
      <c r="C380" s="143"/>
      <c r="D380" s="143"/>
      <c r="E380" s="143"/>
      <c r="F380" s="143"/>
      <c r="G380" s="143"/>
      <c r="H380" s="143"/>
    </row>
    <row r="381" spans="1:8">
      <c r="A381" s="144" t="s">
        <v>366</v>
      </c>
      <c r="B381" s="143"/>
      <c r="C381" s="143"/>
      <c r="D381" s="143"/>
      <c r="E381" s="143"/>
      <c r="F381" s="143"/>
      <c r="G381" s="143"/>
      <c r="H381" s="143"/>
    </row>
    <row r="382" spans="1:8">
      <c r="A382" s="144" t="s">
        <v>367</v>
      </c>
      <c r="B382" s="143"/>
      <c r="C382" s="143"/>
      <c r="D382" s="143"/>
      <c r="E382" s="143"/>
      <c r="F382" s="143"/>
      <c r="G382" s="143"/>
      <c r="H382" s="143"/>
    </row>
    <row r="384" spans="1:8">
      <c r="A384" s="139" t="s">
        <v>617</v>
      </c>
    </row>
  </sheetData>
  <mergeCells count="12">
    <mergeCell ref="A125:H125"/>
    <mergeCell ref="A126:H126"/>
    <mergeCell ref="B118:C118"/>
    <mergeCell ref="D118:F118"/>
    <mergeCell ref="G118:H118"/>
    <mergeCell ref="A104:H104"/>
    <mergeCell ref="A105:H105"/>
    <mergeCell ref="A106:H106"/>
    <mergeCell ref="A107:H107"/>
    <mergeCell ref="A109:H109"/>
    <mergeCell ref="A110:H110"/>
    <mergeCell ref="A117:H11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441"/>
  <sheetViews>
    <sheetView showGridLines="0" zoomScale="115" zoomScaleNormal="115" workbookViewId="0">
      <pane xSplit="2" ySplit="8" topLeftCell="F9" activePane="bottomRight" state="frozen"/>
      <selection pane="topRight" activeCell="C1" sqref="C1"/>
      <selection pane="bottomLeft" activeCell="A3" sqref="A3"/>
      <selection pane="bottomRight" activeCell="J41" sqref="J41"/>
    </sheetView>
  </sheetViews>
  <sheetFormatPr defaultRowHeight="11.25" outlineLevelRow="2" outlineLevelCol="1"/>
  <cols>
    <col min="1" max="1" width="1.5" style="11" bestFit="1" customWidth="1"/>
    <col min="2" max="2" width="34.6640625" bestFit="1" customWidth="1"/>
    <col min="3" max="5" width="9.33203125" style="20" hidden="1" customWidth="1" outlineLevel="1"/>
    <col min="6" max="6" width="9.33203125" style="20" customWidth="1" collapsed="1"/>
    <col min="7" max="13" width="9.33203125" style="20" customWidth="1"/>
    <col min="14" max="14" width="9.33203125" customWidth="1"/>
    <col min="15" max="15" width="9.83203125" style="20" hidden="1" customWidth="1" outlineLevel="1"/>
    <col min="16" max="38" width="9.33203125" style="20" hidden="1" customWidth="1" outlineLevel="1"/>
    <col min="39" max="39" width="9.33203125" style="20" hidden="1" customWidth="1" outlineLevel="1" collapsed="1"/>
    <col min="40" max="42" width="9.33203125" style="20" hidden="1" customWidth="1" outlineLevel="1"/>
    <col min="43" max="43" width="9.33203125" style="20" collapsed="1"/>
    <col min="44" max="45" width="9.33203125" style="20"/>
    <col min="46" max="58" width="9.33203125" style="20" customWidth="1"/>
    <col min="59" max="60" width="9.33203125" customWidth="1"/>
    <col min="61" max="61" width="9.33203125" hidden="1" customWidth="1" outlineLevel="1"/>
    <col min="62" max="62" width="36.6640625" hidden="1" customWidth="1" outlineLevel="1"/>
    <col min="63" max="67" width="9.33203125" hidden="1" customWidth="1" outlineLevel="1"/>
    <col min="68" max="68" width="9.33203125" collapsed="1"/>
  </cols>
  <sheetData>
    <row r="1" spans="1:67" ht="15.75">
      <c r="B1" s="121" t="s">
        <v>301</v>
      </c>
      <c r="C1" s="108">
        <f>C50</f>
        <v>0.71838034947370499</v>
      </c>
      <c r="D1" s="108">
        <f t="shared" ref="D1:BF1" si="0">D50</f>
        <v>2.1469863884755545</v>
      </c>
      <c r="E1" s="108">
        <f t="shared" si="0"/>
        <v>1.9076401144470463</v>
      </c>
      <c r="F1" s="108">
        <f t="shared" si="0"/>
        <v>1.1838169809475263</v>
      </c>
      <c r="G1" s="108">
        <f t="shared" si="0"/>
        <v>1.5866296461268576</v>
      </c>
      <c r="H1" s="108">
        <f t="shared" si="0"/>
        <v>-0.95306684959698107</v>
      </c>
      <c r="I1" s="108">
        <f t="shared" si="0"/>
        <v>-2.2747028924036781</v>
      </c>
      <c r="J1" s="108">
        <f t="shared" si="0"/>
        <v>-0.80453307674408425</v>
      </c>
      <c r="K1" s="108">
        <f t="shared" si="0"/>
        <v>1.3151273050337772E-2</v>
      </c>
      <c r="L1" s="108">
        <f t="shared" si="0"/>
        <v>0.8983731216683446</v>
      </c>
      <c r="M1" s="108">
        <f t="shared" si="0"/>
        <v>1.2986849796097599</v>
      </c>
      <c r="O1" s="108">
        <f t="shared" si="0"/>
        <v>2.7337678452476078E-2</v>
      </c>
      <c r="P1" s="108">
        <f t="shared" si="0"/>
        <v>0.10877144782201996</v>
      </c>
      <c r="Q1" s="108">
        <f t="shared" si="0"/>
        <v>0.21000720269419712</v>
      </c>
      <c r="R1" s="108">
        <f t="shared" si="0"/>
        <v>0.3709707810560926</v>
      </c>
      <c r="S1" s="108">
        <f t="shared" si="0"/>
        <v>0.46309479932494035</v>
      </c>
      <c r="T1" s="108">
        <f t="shared" si="0"/>
        <v>0.52472988346906091</v>
      </c>
      <c r="U1" s="108">
        <f t="shared" si="0"/>
        <v>0.54910459382299515</v>
      </c>
      <c r="V1" s="108">
        <f t="shared" si="0"/>
        <v>0.60988097998299717</v>
      </c>
      <c r="W1" s="108">
        <f t="shared" si="0"/>
        <v>0.62595478793572812</v>
      </c>
      <c r="X1" s="108">
        <f t="shared" si="0"/>
        <v>0.48608141615957845</v>
      </c>
      <c r="Y1" s="108">
        <f t="shared" si="0"/>
        <v>0.39334383013778718</v>
      </c>
      <c r="Z1" s="108">
        <f t="shared" si="0"/>
        <v>0.39561400535538771</v>
      </c>
      <c r="AA1" s="108">
        <f t="shared" si="0"/>
        <v>0.38308250955492118</v>
      </c>
      <c r="AB1" s="108">
        <f t="shared" si="0"/>
        <v>0.27851940918469154</v>
      </c>
      <c r="AC1" s="108">
        <f t="shared" si="0"/>
        <v>0.25262665713185523</v>
      </c>
      <c r="AD1" s="108">
        <f t="shared" si="0"/>
        <v>0.26865505999861239</v>
      </c>
      <c r="AE1" s="108">
        <f t="shared" si="0"/>
        <v>0.23427349602685074</v>
      </c>
      <c r="AF1" s="108">
        <f t="shared" si="0"/>
        <v>0.37172753357209898</v>
      </c>
      <c r="AG1" s="108">
        <f t="shared" si="0"/>
        <v>0.46843576137314535</v>
      </c>
      <c r="AH1" s="108">
        <f t="shared" si="0"/>
        <v>0.51102731587370243</v>
      </c>
      <c r="AI1" s="108">
        <f t="shared" si="0"/>
        <v>6.1937493567532503E-2</v>
      </c>
      <c r="AJ1" s="108">
        <f t="shared" si="0"/>
        <v>-0.17566993643138998</v>
      </c>
      <c r="AK1" s="108">
        <f t="shared" si="0"/>
        <v>-0.40235751259765773</v>
      </c>
      <c r="AL1" s="108">
        <f t="shared" si="0"/>
        <v>-0.43722213452840913</v>
      </c>
      <c r="AM1" s="108">
        <f t="shared" si="0"/>
        <v>-0.55025005145091588</v>
      </c>
      <c r="AN1" s="108">
        <f t="shared" si="0"/>
        <v>-0.61248389793345381</v>
      </c>
      <c r="AO1" s="108">
        <f t="shared" si="0"/>
        <v>-0.57402184164126691</v>
      </c>
      <c r="AP1" s="108">
        <f t="shared" si="0"/>
        <v>-0.53806216931216921</v>
      </c>
      <c r="AQ1" s="108">
        <f t="shared" si="0"/>
        <v>-0.4208806587447364</v>
      </c>
      <c r="AR1" s="108">
        <f t="shared" si="0"/>
        <v>-0.21087552931353257</v>
      </c>
      <c r="AS1" s="108">
        <f t="shared" si="0"/>
        <v>-0.1276224188790562</v>
      </c>
      <c r="AT1" s="108">
        <f t="shared" si="0"/>
        <v>-0.10398190208378418</v>
      </c>
      <c r="AU1" s="108">
        <f t="shared" si="0"/>
        <v>-0.11966844132018763</v>
      </c>
      <c r="AV1" s="108">
        <f t="shared" si="0"/>
        <v>-4.2253334867748973E-2</v>
      </c>
      <c r="AW1" s="108">
        <f t="shared" si="0"/>
        <v>5.2461730204311358E-2</v>
      </c>
      <c r="AX1" s="108">
        <f t="shared" si="0"/>
        <v>0.12094302781898141</v>
      </c>
      <c r="AY1" s="108">
        <f t="shared" si="0"/>
        <v>0.15175372942481691</v>
      </c>
      <c r="AZ1" s="108">
        <f t="shared" si="0"/>
        <v>0.2076724852188242</v>
      </c>
      <c r="BA1" s="108">
        <f t="shared" si="0"/>
        <v>0.26193683966649933</v>
      </c>
      <c r="BB1" s="108">
        <f t="shared" si="0"/>
        <v>0.27701006735820527</v>
      </c>
      <c r="BC1" s="108">
        <f t="shared" si="0"/>
        <v>0.29414789658346152</v>
      </c>
      <c r="BD1" s="108">
        <f t="shared" si="0"/>
        <v>0.31054273599300031</v>
      </c>
      <c r="BE1" s="108">
        <f t="shared" si="0"/>
        <v>0.33351274476197967</v>
      </c>
      <c r="BF1" s="108">
        <f t="shared" si="0"/>
        <v>0.36048160227131748</v>
      </c>
      <c r="BI1" t="s">
        <v>316</v>
      </c>
    </row>
    <row r="2" spans="1:67">
      <c r="B2" s="122" t="s">
        <v>302</v>
      </c>
      <c r="C2" s="93">
        <f>MIN(C300,0)</f>
        <v>0</v>
      </c>
      <c r="D2" s="93">
        <f t="shared" ref="D2:BF2" si="1">MIN(D300,0)</f>
        <v>0</v>
      </c>
      <c r="E2" s="93">
        <f t="shared" si="1"/>
        <v>0</v>
      </c>
      <c r="F2" s="93">
        <f t="shared" si="1"/>
        <v>0</v>
      </c>
      <c r="G2" s="93">
        <f t="shared" si="1"/>
        <v>0</v>
      </c>
      <c r="H2" s="93">
        <f t="shared" si="1"/>
        <v>0</v>
      </c>
      <c r="I2" s="93">
        <f t="shared" si="1"/>
        <v>0</v>
      </c>
      <c r="J2" s="93">
        <f t="shared" si="1"/>
        <v>0</v>
      </c>
      <c r="K2" s="93">
        <f t="shared" si="1"/>
        <v>0</v>
      </c>
      <c r="L2" s="93">
        <f t="shared" si="1"/>
        <v>0</v>
      </c>
      <c r="M2" s="93">
        <f t="shared" si="1"/>
        <v>0</v>
      </c>
      <c r="O2" s="93">
        <f t="shared" si="1"/>
        <v>0</v>
      </c>
      <c r="P2" s="93">
        <f t="shared" si="1"/>
        <v>0</v>
      </c>
      <c r="Q2" s="93">
        <f t="shared" si="1"/>
        <v>0</v>
      </c>
      <c r="R2" s="93">
        <f t="shared" si="1"/>
        <v>0</v>
      </c>
      <c r="S2" s="93">
        <f t="shared" si="1"/>
        <v>0</v>
      </c>
      <c r="T2" s="93">
        <f t="shared" si="1"/>
        <v>0</v>
      </c>
      <c r="U2" s="93">
        <f t="shared" si="1"/>
        <v>0</v>
      </c>
      <c r="V2" s="93">
        <f t="shared" si="1"/>
        <v>0</v>
      </c>
      <c r="W2" s="93">
        <f t="shared" si="1"/>
        <v>0</v>
      </c>
      <c r="X2" s="93">
        <f t="shared" si="1"/>
        <v>0</v>
      </c>
      <c r="Y2" s="93">
        <f t="shared" si="1"/>
        <v>0</v>
      </c>
      <c r="Z2" s="93">
        <f t="shared" si="1"/>
        <v>0</v>
      </c>
      <c r="AA2" s="93">
        <f t="shared" si="1"/>
        <v>0</v>
      </c>
      <c r="AB2" s="93">
        <f t="shared" si="1"/>
        <v>0</v>
      </c>
      <c r="AC2" s="93">
        <f t="shared" si="1"/>
        <v>0</v>
      </c>
      <c r="AD2" s="93">
        <f t="shared" si="1"/>
        <v>0</v>
      </c>
      <c r="AE2" s="93">
        <f t="shared" si="1"/>
        <v>0</v>
      </c>
      <c r="AF2" s="93">
        <f t="shared" si="1"/>
        <v>0</v>
      </c>
      <c r="AG2" s="93">
        <f t="shared" si="1"/>
        <v>0</v>
      </c>
      <c r="AH2" s="93">
        <f t="shared" si="1"/>
        <v>0</v>
      </c>
      <c r="AI2" s="93">
        <f t="shared" si="1"/>
        <v>0</v>
      </c>
      <c r="AJ2" s="93">
        <f t="shared" si="1"/>
        <v>0</v>
      </c>
      <c r="AK2" s="93">
        <f t="shared" si="1"/>
        <v>0</v>
      </c>
      <c r="AL2" s="93">
        <f t="shared" si="1"/>
        <v>0</v>
      </c>
      <c r="AM2" s="93">
        <f t="shared" si="1"/>
        <v>0</v>
      </c>
      <c r="AN2" s="93">
        <f t="shared" si="1"/>
        <v>0</v>
      </c>
      <c r="AO2" s="93">
        <f t="shared" si="1"/>
        <v>0</v>
      </c>
      <c r="AP2" s="93">
        <f t="shared" si="1"/>
        <v>0</v>
      </c>
      <c r="AQ2" s="93">
        <f t="shared" si="1"/>
        <v>0</v>
      </c>
      <c r="AR2" s="93">
        <f t="shared" si="1"/>
        <v>0</v>
      </c>
      <c r="AS2" s="93">
        <f t="shared" si="1"/>
        <v>0</v>
      </c>
      <c r="AT2" s="93">
        <f t="shared" si="1"/>
        <v>0</v>
      </c>
      <c r="AU2" s="93">
        <f t="shared" si="1"/>
        <v>0</v>
      </c>
      <c r="AV2" s="93">
        <f t="shared" si="1"/>
        <v>0</v>
      </c>
      <c r="AW2" s="93">
        <f t="shared" si="1"/>
        <v>0</v>
      </c>
      <c r="AX2" s="93">
        <f t="shared" si="1"/>
        <v>0</v>
      </c>
      <c r="AY2" s="93">
        <f t="shared" si="1"/>
        <v>0</v>
      </c>
      <c r="AZ2" s="93">
        <f t="shared" si="1"/>
        <v>0</v>
      </c>
      <c r="BA2" s="93">
        <f t="shared" si="1"/>
        <v>0</v>
      </c>
      <c r="BB2" s="93">
        <f t="shared" si="1"/>
        <v>0</v>
      </c>
      <c r="BC2" s="93">
        <f t="shared" si="1"/>
        <v>0</v>
      </c>
      <c r="BD2" s="93">
        <f t="shared" si="1"/>
        <v>0</v>
      </c>
      <c r="BE2" s="93">
        <f t="shared" si="1"/>
        <v>0</v>
      </c>
      <c r="BF2" s="93">
        <f t="shared" si="1"/>
        <v>0</v>
      </c>
    </row>
    <row r="3" spans="1:67">
      <c r="B3" s="122"/>
      <c r="F3" s="125"/>
    </row>
    <row r="4" spans="1:67" s="63" customFormat="1" hidden="1">
      <c r="A4" s="62"/>
      <c r="B4" s="63" t="s">
        <v>267</v>
      </c>
      <c r="C4" s="67">
        <v>40543</v>
      </c>
      <c r="D4" s="67">
        <f>EOMONTH(C4,12)</f>
        <v>40908</v>
      </c>
      <c r="E4" s="67">
        <f t="shared" ref="E4:M4" si="2">EOMONTH(D4,12)</f>
        <v>41274</v>
      </c>
      <c r="F4" s="67">
        <f t="shared" si="2"/>
        <v>41639</v>
      </c>
      <c r="G4" s="67">
        <f t="shared" si="2"/>
        <v>42004</v>
      </c>
      <c r="H4" s="67">
        <f t="shared" si="2"/>
        <v>42369</v>
      </c>
      <c r="I4" s="67">
        <f t="shared" si="2"/>
        <v>42735</v>
      </c>
      <c r="J4" s="67">
        <f t="shared" si="2"/>
        <v>43100</v>
      </c>
      <c r="K4" s="67">
        <f t="shared" si="2"/>
        <v>43465</v>
      </c>
      <c r="L4" s="67">
        <f t="shared" si="2"/>
        <v>43830</v>
      </c>
      <c r="M4" s="67">
        <f t="shared" si="2"/>
        <v>44196</v>
      </c>
      <c r="N4" s="66"/>
      <c r="O4" s="67">
        <v>40268</v>
      </c>
      <c r="P4" s="67">
        <f>EOMONTH(O4,3)</f>
        <v>40359</v>
      </c>
      <c r="Q4" s="67">
        <f t="shared" ref="Q4:BF4" si="3">EOMONTH(P4,3)</f>
        <v>40451</v>
      </c>
      <c r="R4" s="67">
        <f t="shared" si="3"/>
        <v>40543</v>
      </c>
      <c r="S4" s="67">
        <f t="shared" si="3"/>
        <v>40633</v>
      </c>
      <c r="T4" s="67">
        <f t="shared" si="3"/>
        <v>40724</v>
      </c>
      <c r="U4" s="67">
        <f t="shared" si="3"/>
        <v>40816</v>
      </c>
      <c r="V4" s="67">
        <f t="shared" si="3"/>
        <v>40908</v>
      </c>
      <c r="W4" s="67">
        <f t="shared" si="3"/>
        <v>40999</v>
      </c>
      <c r="X4" s="67">
        <f t="shared" si="3"/>
        <v>41090</v>
      </c>
      <c r="Y4" s="67">
        <f t="shared" si="3"/>
        <v>41182</v>
      </c>
      <c r="Z4" s="67">
        <f t="shared" si="3"/>
        <v>41274</v>
      </c>
      <c r="AA4" s="67">
        <f t="shared" si="3"/>
        <v>41364</v>
      </c>
      <c r="AB4" s="67">
        <f t="shared" si="3"/>
        <v>41455</v>
      </c>
      <c r="AC4" s="67">
        <f t="shared" si="3"/>
        <v>41547</v>
      </c>
      <c r="AD4" s="67">
        <f t="shared" si="3"/>
        <v>41639</v>
      </c>
      <c r="AE4" s="67">
        <f t="shared" si="3"/>
        <v>41729</v>
      </c>
      <c r="AF4" s="67">
        <f t="shared" si="3"/>
        <v>41820</v>
      </c>
      <c r="AG4" s="67">
        <f t="shared" si="3"/>
        <v>41912</v>
      </c>
      <c r="AH4" s="67">
        <f t="shared" si="3"/>
        <v>42004</v>
      </c>
      <c r="AI4" s="67">
        <f t="shared" si="3"/>
        <v>42094</v>
      </c>
      <c r="AJ4" s="67">
        <f t="shared" si="3"/>
        <v>42185</v>
      </c>
      <c r="AK4" s="67">
        <f t="shared" si="3"/>
        <v>42277</v>
      </c>
      <c r="AL4" s="67">
        <f t="shared" si="3"/>
        <v>42369</v>
      </c>
      <c r="AM4" s="67">
        <f t="shared" si="3"/>
        <v>42460</v>
      </c>
      <c r="AN4" s="67">
        <f t="shared" si="3"/>
        <v>42551</v>
      </c>
      <c r="AO4" s="67">
        <f t="shared" si="3"/>
        <v>42643</v>
      </c>
      <c r="AP4" s="67">
        <f t="shared" si="3"/>
        <v>42735</v>
      </c>
      <c r="AQ4" s="67">
        <f t="shared" si="3"/>
        <v>42825</v>
      </c>
      <c r="AR4" s="67">
        <f t="shared" si="3"/>
        <v>42916</v>
      </c>
      <c r="AS4" s="67">
        <f t="shared" si="3"/>
        <v>43008</v>
      </c>
      <c r="AT4" s="67">
        <f t="shared" si="3"/>
        <v>43100</v>
      </c>
      <c r="AU4" s="67">
        <f t="shared" si="3"/>
        <v>43190</v>
      </c>
      <c r="AV4" s="67">
        <f t="shared" si="3"/>
        <v>43281</v>
      </c>
      <c r="AW4" s="67">
        <f t="shared" si="3"/>
        <v>43373</v>
      </c>
      <c r="AX4" s="67">
        <f t="shared" si="3"/>
        <v>43465</v>
      </c>
      <c r="AY4" s="67">
        <f t="shared" si="3"/>
        <v>43555</v>
      </c>
      <c r="AZ4" s="67">
        <f t="shared" si="3"/>
        <v>43646</v>
      </c>
      <c r="BA4" s="67">
        <f t="shared" si="3"/>
        <v>43738</v>
      </c>
      <c r="BB4" s="67">
        <f t="shared" si="3"/>
        <v>43830</v>
      </c>
      <c r="BC4" s="67">
        <f t="shared" si="3"/>
        <v>43921</v>
      </c>
      <c r="BD4" s="67">
        <f t="shared" si="3"/>
        <v>44012</v>
      </c>
      <c r="BE4" s="67">
        <f t="shared" si="3"/>
        <v>44104</v>
      </c>
      <c r="BF4" s="67">
        <f t="shared" si="3"/>
        <v>44196</v>
      </c>
      <c r="BJ4"/>
      <c r="BK4"/>
      <c r="BL4"/>
      <c r="BM4"/>
      <c r="BN4"/>
      <c r="BO4"/>
    </row>
    <row r="5" spans="1:67" s="63" customFormat="1" hidden="1">
      <c r="A5" s="62"/>
      <c r="B5" s="63" t="s">
        <v>265</v>
      </c>
      <c r="C5" s="64">
        <f>YEAR(C4)</f>
        <v>2010</v>
      </c>
      <c r="D5" s="64">
        <f>YEAR(D4)</f>
        <v>2011</v>
      </c>
      <c r="E5" s="64">
        <f t="shared" ref="E5:M5" si="4">YEAR(E4)</f>
        <v>2012</v>
      </c>
      <c r="F5" s="64">
        <f t="shared" si="4"/>
        <v>2013</v>
      </c>
      <c r="G5" s="64">
        <f t="shared" si="4"/>
        <v>2014</v>
      </c>
      <c r="H5" s="64">
        <f t="shared" si="4"/>
        <v>2015</v>
      </c>
      <c r="I5" s="64">
        <f t="shared" si="4"/>
        <v>2016</v>
      </c>
      <c r="J5" s="64">
        <f t="shared" si="4"/>
        <v>2017</v>
      </c>
      <c r="K5" s="64">
        <f t="shared" si="4"/>
        <v>2018</v>
      </c>
      <c r="L5" s="64">
        <f t="shared" si="4"/>
        <v>2019</v>
      </c>
      <c r="M5" s="64">
        <f t="shared" si="4"/>
        <v>2020</v>
      </c>
      <c r="O5" s="64">
        <f>YEAR(O4)</f>
        <v>2010</v>
      </c>
      <c r="P5" s="64">
        <f>YEAR(P4)</f>
        <v>2010</v>
      </c>
      <c r="Q5" s="64">
        <f t="shared" ref="Q5:BF5" si="5">YEAR(Q4)</f>
        <v>2010</v>
      </c>
      <c r="R5" s="64">
        <f t="shared" si="5"/>
        <v>2010</v>
      </c>
      <c r="S5" s="64">
        <f t="shared" si="5"/>
        <v>2011</v>
      </c>
      <c r="T5" s="64">
        <f t="shared" si="5"/>
        <v>2011</v>
      </c>
      <c r="U5" s="64">
        <f t="shared" si="5"/>
        <v>2011</v>
      </c>
      <c r="V5" s="64">
        <f t="shared" si="5"/>
        <v>2011</v>
      </c>
      <c r="W5" s="64">
        <f t="shared" si="5"/>
        <v>2012</v>
      </c>
      <c r="X5" s="64">
        <f t="shared" si="5"/>
        <v>2012</v>
      </c>
      <c r="Y5" s="64">
        <f t="shared" si="5"/>
        <v>2012</v>
      </c>
      <c r="Z5" s="64">
        <f t="shared" si="5"/>
        <v>2012</v>
      </c>
      <c r="AA5" s="64">
        <f t="shared" si="5"/>
        <v>2013</v>
      </c>
      <c r="AB5" s="64">
        <f t="shared" si="5"/>
        <v>2013</v>
      </c>
      <c r="AC5" s="64">
        <f t="shared" si="5"/>
        <v>2013</v>
      </c>
      <c r="AD5" s="64">
        <f t="shared" si="5"/>
        <v>2013</v>
      </c>
      <c r="AE5" s="64">
        <f t="shared" si="5"/>
        <v>2014</v>
      </c>
      <c r="AF5" s="64">
        <f t="shared" si="5"/>
        <v>2014</v>
      </c>
      <c r="AG5" s="64">
        <f t="shared" si="5"/>
        <v>2014</v>
      </c>
      <c r="AH5" s="64">
        <f t="shared" si="5"/>
        <v>2014</v>
      </c>
      <c r="AI5" s="64">
        <f t="shared" si="5"/>
        <v>2015</v>
      </c>
      <c r="AJ5" s="64">
        <f t="shared" si="5"/>
        <v>2015</v>
      </c>
      <c r="AK5" s="64">
        <f t="shared" si="5"/>
        <v>2015</v>
      </c>
      <c r="AL5" s="64">
        <f t="shared" si="5"/>
        <v>2015</v>
      </c>
      <c r="AM5" s="64">
        <f t="shared" si="5"/>
        <v>2016</v>
      </c>
      <c r="AN5" s="64">
        <f t="shared" si="5"/>
        <v>2016</v>
      </c>
      <c r="AO5" s="64">
        <f t="shared" si="5"/>
        <v>2016</v>
      </c>
      <c r="AP5" s="64">
        <f t="shared" si="5"/>
        <v>2016</v>
      </c>
      <c r="AQ5" s="64">
        <f t="shared" si="5"/>
        <v>2017</v>
      </c>
      <c r="AR5" s="64">
        <f t="shared" si="5"/>
        <v>2017</v>
      </c>
      <c r="AS5" s="64">
        <f t="shared" si="5"/>
        <v>2017</v>
      </c>
      <c r="AT5" s="64">
        <f t="shared" si="5"/>
        <v>2017</v>
      </c>
      <c r="AU5" s="64">
        <f t="shared" si="5"/>
        <v>2018</v>
      </c>
      <c r="AV5" s="64">
        <f t="shared" si="5"/>
        <v>2018</v>
      </c>
      <c r="AW5" s="64">
        <f t="shared" si="5"/>
        <v>2018</v>
      </c>
      <c r="AX5" s="64">
        <f t="shared" si="5"/>
        <v>2018</v>
      </c>
      <c r="AY5" s="64">
        <f t="shared" si="5"/>
        <v>2019</v>
      </c>
      <c r="AZ5" s="64">
        <f t="shared" si="5"/>
        <v>2019</v>
      </c>
      <c r="BA5" s="64">
        <f t="shared" si="5"/>
        <v>2019</v>
      </c>
      <c r="BB5" s="64">
        <f t="shared" si="5"/>
        <v>2019</v>
      </c>
      <c r="BC5" s="64">
        <f t="shared" si="5"/>
        <v>2020</v>
      </c>
      <c r="BD5" s="64">
        <f t="shared" si="5"/>
        <v>2020</v>
      </c>
      <c r="BE5" s="64">
        <f t="shared" si="5"/>
        <v>2020</v>
      </c>
      <c r="BF5" s="64">
        <f t="shared" si="5"/>
        <v>2020</v>
      </c>
      <c r="BJ5"/>
      <c r="BK5"/>
      <c r="BL5"/>
      <c r="BM5"/>
      <c r="BN5"/>
      <c r="BO5"/>
    </row>
    <row r="6" spans="1:67" s="63" customFormat="1" hidden="1">
      <c r="A6" s="62"/>
      <c r="B6" s="63" t="s">
        <v>266</v>
      </c>
      <c r="C6" s="65">
        <v>365</v>
      </c>
      <c r="D6" s="65">
        <f>D4-C4</f>
        <v>365</v>
      </c>
      <c r="E6" s="65">
        <f t="shared" ref="E6:M6" si="6">E4-D4</f>
        <v>366</v>
      </c>
      <c r="F6" s="65">
        <f t="shared" si="6"/>
        <v>365</v>
      </c>
      <c r="G6" s="65">
        <f t="shared" si="6"/>
        <v>365</v>
      </c>
      <c r="H6" s="65">
        <f t="shared" si="6"/>
        <v>365</v>
      </c>
      <c r="I6" s="65">
        <f t="shared" si="6"/>
        <v>366</v>
      </c>
      <c r="J6" s="65">
        <f t="shared" si="6"/>
        <v>365</v>
      </c>
      <c r="K6" s="65">
        <f t="shared" si="6"/>
        <v>365</v>
      </c>
      <c r="L6" s="65">
        <f t="shared" si="6"/>
        <v>365</v>
      </c>
      <c r="M6" s="65">
        <f t="shared" si="6"/>
        <v>366</v>
      </c>
      <c r="O6" s="65">
        <v>90</v>
      </c>
      <c r="P6" s="65">
        <f>P4-O4</f>
        <v>91</v>
      </c>
      <c r="Q6" s="65">
        <f t="shared" ref="Q6:BF6" si="7">Q4-P4</f>
        <v>92</v>
      </c>
      <c r="R6" s="65">
        <f t="shared" si="7"/>
        <v>92</v>
      </c>
      <c r="S6" s="65">
        <f t="shared" si="7"/>
        <v>90</v>
      </c>
      <c r="T6" s="65">
        <f t="shared" si="7"/>
        <v>91</v>
      </c>
      <c r="U6" s="65">
        <f t="shared" si="7"/>
        <v>92</v>
      </c>
      <c r="V6" s="65">
        <f t="shared" si="7"/>
        <v>92</v>
      </c>
      <c r="W6" s="65">
        <f t="shared" si="7"/>
        <v>91</v>
      </c>
      <c r="X6" s="65">
        <f t="shared" si="7"/>
        <v>91</v>
      </c>
      <c r="Y6" s="65">
        <f t="shared" si="7"/>
        <v>92</v>
      </c>
      <c r="Z6" s="65">
        <f t="shared" si="7"/>
        <v>92</v>
      </c>
      <c r="AA6" s="65">
        <f t="shared" si="7"/>
        <v>90</v>
      </c>
      <c r="AB6" s="65">
        <f t="shared" si="7"/>
        <v>91</v>
      </c>
      <c r="AC6" s="65">
        <f t="shared" si="7"/>
        <v>92</v>
      </c>
      <c r="AD6" s="65">
        <f t="shared" si="7"/>
        <v>92</v>
      </c>
      <c r="AE6" s="65">
        <f t="shared" si="7"/>
        <v>90</v>
      </c>
      <c r="AF6" s="65">
        <f t="shared" si="7"/>
        <v>91</v>
      </c>
      <c r="AG6" s="65">
        <f t="shared" si="7"/>
        <v>92</v>
      </c>
      <c r="AH6" s="65">
        <f t="shared" si="7"/>
        <v>92</v>
      </c>
      <c r="AI6" s="65">
        <f t="shared" si="7"/>
        <v>90</v>
      </c>
      <c r="AJ6" s="65">
        <f t="shared" si="7"/>
        <v>91</v>
      </c>
      <c r="AK6" s="65">
        <f t="shared" si="7"/>
        <v>92</v>
      </c>
      <c r="AL6" s="65">
        <f t="shared" si="7"/>
        <v>92</v>
      </c>
      <c r="AM6" s="65">
        <f t="shared" si="7"/>
        <v>91</v>
      </c>
      <c r="AN6" s="65">
        <f t="shared" si="7"/>
        <v>91</v>
      </c>
      <c r="AO6" s="65">
        <f t="shared" si="7"/>
        <v>92</v>
      </c>
      <c r="AP6" s="65">
        <f t="shared" si="7"/>
        <v>92</v>
      </c>
      <c r="AQ6" s="65">
        <f t="shared" si="7"/>
        <v>90</v>
      </c>
      <c r="AR6" s="65">
        <f t="shared" si="7"/>
        <v>91</v>
      </c>
      <c r="AS6" s="65">
        <f t="shared" si="7"/>
        <v>92</v>
      </c>
      <c r="AT6" s="65">
        <f t="shared" si="7"/>
        <v>92</v>
      </c>
      <c r="AU6" s="65">
        <f t="shared" si="7"/>
        <v>90</v>
      </c>
      <c r="AV6" s="65">
        <f t="shared" si="7"/>
        <v>91</v>
      </c>
      <c r="AW6" s="65">
        <f t="shared" si="7"/>
        <v>92</v>
      </c>
      <c r="AX6" s="65">
        <f t="shared" si="7"/>
        <v>92</v>
      </c>
      <c r="AY6" s="65">
        <f t="shared" si="7"/>
        <v>90</v>
      </c>
      <c r="AZ6" s="65">
        <f t="shared" si="7"/>
        <v>91</v>
      </c>
      <c r="BA6" s="65">
        <f t="shared" si="7"/>
        <v>92</v>
      </c>
      <c r="BB6" s="65">
        <f t="shared" si="7"/>
        <v>92</v>
      </c>
      <c r="BC6" s="65">
        <f t="shared" si="7"/>
        <v>91</v>
      </c>
      <c r="BD6" s="65">
        <f t="shared" si="7"/>
        <v>91</v>
      </c>
      <c r="BE6" s="65">
        <f t="shared" si="7"/>
        <v>92</v>
      </c>
      <c r="BF6" s="65">
        <f t="shared" si="7"/>
        <v>92</v>
      </c>
      <c r="BJ6"/>
      <c r="BK6"/>
      <c r="BL6"/>
      <c r="BM6"/>
      <c r="BN6"/>
      <c r="BO6"/>
    </row>
    <row r="7" spans="1:67" hidden="1"/>
    <row r="8" spans="1:67">
      <c r="B8" s="1"/>
      <c r="C8" s="2">
        <v>2010</v>
      </c>
      <c r="D8" s="2">
        <v>2011</v>
      </c>
      <c r="E8" s="2">
        <v>2012</v>
      </c>
      <c r="F8" s="2">
        <v>2013</v>
      </c>
      <c r="G8" s="2">
        <v>2014</v>
      </c>
      <c r="H8" s="2">
        <v>2015</v>
      </c>
      <c r="I8" s="2">
        <v>2016</v>
      </c>
      <c r="J8" s="2">
        <v>2017</v>
      </c>
      <c r="K8" s="2" t="s">
        <v>0</v>
      </c>
      <c r="L8" s="2" t="s">
        <v>1</v>
      </c>
      <c r="M8" s="2" t="s">
        <v>2</v>
      </c>
      <c r="O8" s="2" t="s">
        <v>3</v>
      </c>
      <c r="P8" s="2" t="s">
        <v>4</v>
      </c>
      <c r="Q8" s="2" t="s">
        <v>5</v>
      </c>
      <c r="R8" s="2" t="s">
        <v>6</v>
      </c>
      <c r="S8" s="2" t="s">
        <v>7</v>
      </c>
      <c r="T8" s="2" t="s">
        <v>8</v>
      </c>
      <c r="U8" s="2" t="s">
        <v>9</v>
      </c>
      <c r="V8" s="2" t="s">
        <v>10</v>
      </c>
      <c r="W8" s="2" t="s">
        <v>11</v>
      </c>
      <c r="X8" s="2" t="s">
        <v>12</v>
      </c>
      <c r="Y8" s="2" t="s">
        <v>13</v>
      </c>
      <c r="Z8" s="2" t="s">
        <v>14</v>
      </c>
      <c r="AA8" s="2" t="s">
        <v>15</v>
      </c>
      <c r="AB8" s="2" t="s">
        <v>16</v>
      </c>
      <c r="AC8" s="2" t="s">
        <v>17</v>
      </c>
      <c r="AD8" s="2" t="s">
        <v>18</v>
      </c>
      <c r="AE8" s="2" t="s">
        <v>19</v>
      </c>
      <c r="AF8" s="2" t="s">
        <v>20</v>
      </c>
      <c r="AG8" s="2" t="s">
        <v>21</v>
      </c>
      <c r="AH8" s="2" t="s">
        <v>22</v>
      </c>
      <c r="AI8" s="2" t="s">
        <v>23</v>
      </c>
      <c r="AJ8" s="2" t="s">
        <v>24</v>
      </c>
      <c r="AK8" s="2" t="s">
        <v>25</v>
      </c>
      <c r="AL8" s="2" t="s">
        <v>26</v>
      </c>
      <c r="AM8" s="2" t="s">
        <v>27</v>
      </c>
      <c r="AN8" s="2" t="s">
        <v>28</v>
      </c>
      <c r="AO8" s="2" t="s">
        <v>29</v>
      </c>
      <c r="AP8" s="2" t="s">
        <v>30</v>
      </c>
      <c r="AQ8" s="2" t="s">
        <v>31</v>
      </c>
      <c r="AR8" s="2" t="s">
        <v>32</v>
      </c>
      <c r="AS8" s="2" t="s">
        <v>33</v>
      </c>
      <c r="AT8" s="2" t="s">
        <v>319</v>
      </c>
      <c r="AU8" s="2" t="s">
        <v>34</v>
      </c>
      <c r="AV8" s="2" t="s">
        <v>35</v>
      </c>
      <c r="AW8" s="2" t="s">
        <v>36</v>
      </c>
      <c r="AX8" s="2" t="s">
        <v>37</v>
      </c>
      <c r="AY8" s="2" t="s">
        <v>38</v>
      </c>
      <c r="AZ8" s="2" t="s">
        <v>39</v>
      </c>
      <c r="BA8" s="2" t="s">
        <v>40</v>
      </c>
      <c r="BB8" s="2" t="s">
        <v>41</v>
      </c>
      <c r="BC8" s="2" t="s">
        <v>42</v>
      </c>
      <c r="BD8" s="2" t="s">
        <v>43</v>
      </c>
      <c r="BE8" s="2" t="s">
        <v>44</v>
      </c>
      <c r="BF8" s="2" t="s">
        <v>45</v>
      </c>
      <c r="BI8" s="127">
        <v>1</v>
      </c>
    </row>
    <row r="9" spans="1:67">
      <c r="A9" s="11" t="s">
        <v>65</v>
      </c>
      <c r="B9" s="10" t="s">
        <v>64</v>
      </c>
      <c r="C9" s="6"/>
      <c r="D9" s="6"/>
      <c r="E9" s="6"/>
      <c r="F9" s="127"/>
      <c r="G9" s="6"/>
      <c r="H9" s="6"/>
      <c r="I9" s="6"/>
      <c r="J9" s="6"/>
      <c r="K9" s="6"/>
      <c r="L9" s="6"/>
      <c r="M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I9">
        <f>+BI8+1</f>
        <v>2</v>
      </c>
    </row>
    <row r="10" spans="1:67" outlineLevel="1">
      <c r="B10" s="9" t="s">
        <v>63</v>
      </c>
      <c r="C10" s="7">
        <f>C$8</f>
        <v>2010</v>
      </c>
      <c r="D10" s="7">
        <f t="shared" ref="D10:BF10" si="8">D$8</f>
        <v>2011</v>
      </c>
      <c r="E10" s="7">
        <f t="shared" si="8"/>
        <v>2012</v>
      </c>
      <c r="F10" s="7">
        <f t="shared" si="8"/>
        <v>2013</v>
      </c>
      <c r="G10" s="7">
        <f t="shared" si="8"/>
        <v>2014</v>
      </c>
      <c r="H10" s="7">
        <f t="shared" si="8"/>
        <v>2015</v>
      </c>
      <c r="I10" s="7">
        <f t="shared" si="8"/>
        <v>2016</v>
      </c>
      <c r="J10" s="7">
        <f t="shared" si="8"/>
        <v>2017</v>
      </c>
      <c r="K10" s="7" t="str">
        <f t="shared" si="8"/>
        <v>2018E</v>
      </c>
      <c r="L10" s="7" t="str">
        <f t="shared" si="8"/>
        <v>2019E</v>
      </c>
      <c r="M10" s="7" t="str">
        <f t="shared" si="8"/>
        <v>2020E</v>
      </c>
      <c r="N10" s="12"/>
      <c r="O10" s="7" t="str">
        <f t="shared" si="8"/>
        <v>1Q10</v>
      </c>
      <c r="P10" s="7" t="str">
        <f t="shared" si="8"/>
        <v>2Q10</v>
      </c>
      <c r="Q10" s="7" t="str">
        <f t="shared" si="8"/>
        <v>3Q10</v>
      </c>
      <c r="R10" s="7" t="str">
        <f t="shared" si="8"/>
        <v>4Q10</v>
      </c>
      <c r="S10" s="7" t="str">
        <f t="shared" si="8"/>
        <v>1Q11</v>
      </c>
      <c r="T10" s="7" t="str">
        <f t="shared" si="8"/>
        <v>2Q11</v>
      </c>
      <c r="U10" s="7" t="str">
        <f t="shared" si="8"/>
        <v>3Q11</v>
      </c>
      <c r="V10" s="7" t="str">
        <f t="shared" si="8"/>
        <v>4Q11</v>
      </c>
      <c r="W10" s="7" t="str">
        <f t="shared" si="8"/>
        <v>1Q12</v>
      </c>
      <c r="X10" s="7" t="str">
        <f t="shared" si="8"/>
        <v>2Q12</v>
      </c>
      <c r="Y10" s="7" t="str">
        <f t="shared" si="8"/>
        <v>3Q12</v>
      </c>
      <c r="Z10" s="7" t="str">
        <f t="shared" si="8"/>
        <v>4Q12</v>
      </c>
      <c r="AA10" s="7" t="str">
        <f t="shared" si="8"/>
        <v>1Q13</v>
      </c>
      <c r="AB10" s="7" t="str">
        <f t="shared" si="8"/>
        <v>2Q13</v>
      </c>
      <c r="AC10" s="7" t="str">
        <f t="shared" si="8"/>
        <v>3Q13</v>
      </c>
      <c r="AD10" s="7" t="str">
        <f t="shared" si="8"/>
        <v>4Q13</v>
      </c>
      <c r="AE10" s="7" t="str">
        <f t="shared" si="8"/>
        <v>1Q14</v>
      </c>
      <c r="AF10" s="7" t="str">
        <f t="shared" si="8"/>
        <v>2Q14</v>
      </c>
      <c r="AG10" s="7" t="str">
        <f t="shared" si="8"/>
        <v>3Q14</v>
      </c>
      <c r="AH10" s="7" t="str">
        <f t="shared" si="8"/>
        <v>4Q14</v>
      </c>
      <c r="AI10" s="7" t="str">
        <f t="shared" si="8"/>
        <v>1Q15</v>
      </c>
      <c r="AJ10" s="7" t="str">
        <f t="shared" si="8"/>
        <v>2Q15</v>
      </c>
      <c r="AK10" s="7" t="str">
        <f t="shared" si="8"/>
        <v>3Q15</v>
      </c>
      <c r="AL10" s="7" t="str">
        <f t="shared" si="8"/>
        <v>4Q15</v>
      </c>
      <c r="AM10" s="7" t="str">
        <f t="shared" si="8"/>
        <v>1Q16</v>
      </c>
      <c r="AN10" s="7" t="str">
        <f t="shared" si="8"/>
        <v>2Q16</v>
      </c>
      <c r="AO10" s="7" t="str">
        <f t="shared" si="8"/>
        <v>3Q16</v>
      </c>
      <c r="AP10" s="7" t="str">
        <f t="shared" si="8"/>
        <v>4Q16</v>
      </c>
      <c r="AQ10" s="7" t="str">
        <f t="shared" si="8"/>
        <v>1Q17</v>
      </c>
      <c r="AR10" s="7" t="str">
        <f t="shared" si="8"/>
        <v>2Q17</v>
      </c>
      <c r="AS10" s="7" t="str">
        <f t="shared" si="8"/>
        <v>3Q17</v>
      </c>
      <c r="AT10" s="7" t="str">
        <f t="shared" si="8"/>
        <v>4Q17</v>
      </c>
      <c r="AU10" s="7" t="str">
        <f t="shared" si="8"/>
        <v>1Q18E</v>
      </c>
      <c r="AV10" s="7" t="str">
        <f t="shared" si="8"/>
        <v>2Q18E</v>
      </c>
      <c r="AW10" s="7" t="str">
        <f t="shared" si="8"/>
        <v>3Q18E</v>
      </c>
      <c r="AX10" s="7" t="str">
        <f t="shared" si="8"/>
        <v>4Q18E</v>
      </c>
      <c r="AY10" s="7" t="str">
        <f t="shared" si="8"/>
        <v>1Q19E</v>
      </c>
      <c r="AZ10" s="7" t="str">
        <f t="shared" si="8"/>
        <v>2Q19E</v>
      </c>
      <c r="BA10" s="7" t="str">
        <f t="shared" si="8"/>
        <v>3Q19E</v>
      </c>
      <c r="BB10" s="7" t="str">
        <f t="shared" si="8"/>
        <v>4Q19E</v>
      </c>
      <c r="BC10" s="7" t="str">
        <f t="shared" si="8"/>
        <v>1Q20E</v>
      </c>
      <c r="BD10" s="7" t="str">
        <f t="shared" si="8"/>
        <v>2Q20E</v>
      </c>
      <c r="BE10" s="7" t="str">
        <f t="shared" si="8"/>
        <v>3Q20E</v>
      </c>
      <c r="BF10" s="7" t="str">
        <f t="shared" si="8"/>
        <v>4Q20E</v>
      </c>
      <c r="BI10">
        <f t="shared" ref="BI10:BI73" si="9">+BI9+1</f>
        <v>3</v>
      </c>
    </row>
    <row r="11" spans="1:67" outlineLevel="1">
      <c r="B11" s="3" t="s">
        <v>46</v>
      </c>
      <c r="BI11">
        <f t="shared" si="9"/>
        <v>4</v>
      </c>
    </row>
    <row r="12" spans="1:67" outlineLevel="1">
      <c r="B12" s="4" t="s">
        <v>281</v>
      </c>
      <c r="C12" s="54">
        <f>SUMIFS($O12:$BG12,$O$5:$BG$5,C$5)</f>
        <v>1081.8980000000001</v>
      </c>
      <c r="D12" s="54">
        <f t="shared" ref="D12:M15" si="10">SUMIFS($O12:$BG12,$O$5:$BG$5,D$5)</f>
        <v>1669.5809999999999</v>
      </c>
      <c r="E12" s="54">
        <f t="shared" si="10"/>
        <v>1821.713</v>
      </c>
      <c r="F12" s="54">
        <f t="shared" si="10"/>
        <v>1614.442</v>
      </c>
      <c r="G12" s="54">
        <f t="shared" si="10"/>
        <v>1838.8300000000002</v>
      </c>
      <c r="H12" s="54">
        <f t="shared" si="10"/>
        <v>1084.425</v>
      </c>
      <c r="I12" s="54">
        <f t="shared" si="10"/>
        <v>519.11</v>
      </c>
      <c r="J12" s="54">
        <f t="shared" si="10"/>
        <v>1040.0329999999999</v>
      </c>
      <c r="K12" s="54">
        <f t="shared" si="10"/>
        <v>1423.6065000000001</v>
      </c>
      <c r="L12" s="54">
        <f t="shared" si="10"/>
        <v>1734.48</v>
      </c>
      <c r="M12" s="54">
        <f t="shared" si="10"/>
        <v>1918.2075</v>
      </c>
      <c r="O12" s="54">
        <f t="shared" ref="O12:AR12" si="11">O116</f>
        <v>210.745</v>
      </c>
      <c r="P12" s="54">
        <f t="shared" si="11"/>
        <v>239.96600000000001</v>
      </c>
      <c r="Q12" s="54">
        <f t="shared" si="11"/>
        <v>290.75900000000001</v>
      </c>
      <c r="R12" s="54">
        <f t="shared" si="11"/>
        <v>340.428</v>
      </c>
      <c r="S12" s="54">
        <f t="shared" si="11"/>
        <v>377.358</v>
      </c>
      <c r="T12" s="54">
        <f t="shared" si="11"/>
        <v>386.47899999999998</v>
      </c>
      <c r="U12" s="54">
        <f t="shared" si="11"/>
        <v>436.827</v>
      </c>
      <c r="V12" s="54">
        <f t="shared" si="11"/>
        <v>468.91699999999997</v>
      </c>
      <c r="W12" s="54">
        <f t="shared" si="11"/>
        <v>489.48200000000003</v>
      </c>
      <c r="X12" s="54">
        <f t="shared" si="11"/>
        <v>460.24900000000002</v>
      </c>
      <c r="Y12" s="54">
        <f t="shared" si="11"/>
        <v>446.73500000000001</v>
      </c>
      <c r="Z12" s="54">
        <f t="shared" si="11"/>
        <v>425.24700000000001</v>
      </c>
      <c r="AA12" s="54">
        <f t="shared" si="11"/>
        <v>419.09399999999999</v>
      </c>
      <c r="AB12" s="54">
        <f t="shared" si="11"/>
        <v>389.97899999999998</v>
      </c>
      <c r="AC12" s="54">
        <f t="shared" si="11"/>
        <v>395.07099999999997</v>
      </c>
      <c r="AD12" s="54">
        <f t="shared" si="11"/>
        <v>410.29799999999994</v>
      </c>
      <c r="AE12" s="54">
        <f t="shared" si="11"/>
        <v>425.90300000000002</v>
      </c>
      <c r="AF12" s="54">
        <f t="shared" si="11"/>
        <v>438.58300000000003</v>
      </c>
      <c r="AG12" s="54">
        <f t="shared" si="11"/>
        <v>482.21199999999999</v>
      </c>
      <c r="AH12" s="54">
        <f t="shared" si="11"/>
        <v>492.13200000000001</v>
      </c>
      <c r="AI12" s="54">
        <f t="shared" si="11"/>
        <v>385.68400000000003</v>
      </c>
      <c r="AJ12" s="54">
        <f t="shared" si="11"/>
        <v>272.721</v>
      </c>
      <c r="AK12" s="54">
        <f t="shared" si="11"/>
        <v>232.917</v>
      </c>
      <c r="AL12" s="54">
        <f t="shared" si="11"/>
        <v>193.10300000000001</v>
      </c>
      <c r="AM12" s="54">
        <f t="shared" si="11"/>
        <v>151.88299999999998</v>
      </c>
      <c r="AN12" s="54">
        <f t="shared" si="11"/>
        <v>109.816</v>
      </c>
      <c r="AO12" s="54">
        <f t="shared" si="11"/>
        <v>122.545</v>
      </c>
      <c r="AP12" s="54">
        <f t="shared" si="11"/>
        <v>134.86600000000001</v>
      </c>
      <c r="AQ12" s="54">
        <f t="shared" si="11"/>
        <v>158.72800000000001</v>
      </c>
      <c r="AR12" s="54">
        <f t="shared" si="11"/>
        <v>270.11099999999999</v>
      </c>
      <c r="AS12" s="54">
        <f>AS116</f>
        <v>301.61399999999998</v>
      </c>
      <c r="AT12" s="54">
        <f>AT116</f>
        <v>309.58</v>
      </c>
      <c r="AU12" s="54">
        <f t="shared" ref="AU12" si="12">AU57*AU58*AU6/1000000</f>
        <v>323.28899999999999</v>
      </c>
      <c r="AV12" s="54">
        <f t="shared" ref="AV12:BF12" si="13">AV57*AV58*AV6/1000000</f>
        <v>347.66550000000001</v>
      </c>
      <c r="AW12" s="54">
        <f t="shared" si="13"/>
        <v>366.71200000000005</v>
      </c>
      <c r="AX12" s="54">
        <f t="shared" si="13"/>
        <v>385.94</v>
      </c>
      <c r="AY12" s="54">
        <f t="shared" si="13"/>
        <v>398.79</v>
      </c>
      <c r="AZ12" s="54">
        <f t="shared" si="13"/>
        <v>425.971</v>
      </c>
      <c r="BA12" s="54">
        <f t="shared" si="13"/>
        <v>447.46499999999997</v>
      </c>
      <c r="BB12" s="54">
        <f t="shared" si="13"/>
        <v>462.25400000000002</v>
      </c>
      <c r="BC12" s="54">
        <f t="shared" si="13"/>
        <v>470.56099999999998</v>
      </c>
      <c r="BD12" s="54">
        <f t="shared" si="13"/>
        <v>474.79250000000002</v>
      </c>
      <c r="BE12" s="54">
        <f t="shared" si="13"/>
        <v>484.28800000000001</v>
      </c>
      <c r="BF12" s="54">
        <f t="shared" si="13"/>
        <v>488.56599999999997</v>
      </c>
      <c r="BI12">
        <f t="shared" si="9"/>
        <v>5</v>
      </c>
    </row>
    <row r="13" spans="1:67" outlineLevel="1">
      <c r="B13" s="4" t="s">
        <v>48</v>
      </c>
      <c r="C13" s="54">
        <f t="shared" ref="C13:C15" si="14">SUMIFS($O13:$BG13,$O$5:$BG$5,C$5)</f>
        <v>350.608</v>
      </c>
      <c r="D13" s="54">
        <f t="shared" si="10"/>
        <v>845.80299999999988</v>
      </c>
      <c r="E13" s="54">
        <f t="shared" si="10"/>
        <v>841.77099999999996</v>
      </c>
      <c r="F13" s="54">
        <f t="shared" si="10"/>
        <v>979.10599999999999</v>
      </c>
      <c r="G13" s="54">
        <f t="shared" si="10"/>
        <v>1293.2649999999999</v>
      </c>
      <c r="H13" s="54">
        <f t="shared" si="10"/>
        <v>712.45400000000006</v>
      </c>
      <c r="I13" s="54">
        <f t="shared" si="10"/>
        <v>354.07</v>
      </c>
      <c r="J13" s="54">
        <f t="shared" si="10"/>
        <v>1200.3109999999999</v>
      </c>
      <c r="K13" s="54">
        <f t="shared" si="10"/>
        <v>1789.3177713575656</v>
      </c>
      <c r="L13" s="54">
        <f t="shared" si="10"/>
        <v>2232.493868076428</v>
      </c>
      <c r="M13" s="54">
        <f t="shared" si="10"/>
        <v>2423.6313389836437</v>
      </c>
      <c r="O13" s="54">
        <f t="shared" ref="O13:AR13" si="15">O149</f>
        <v>53.750999999999998</v>
      </c>
      <c r="P13" s="54">
        <f t="shared" si="15"/>
        <v>59.363999999999997</v>
      </c>
      <c r="Q13" s="54">
        <f t="shared" si="15"/>
        <v>81.103999999999999</v>
      </c>
      <c r="R13" s="54">
        <f t="shared" si="15"/>
        <v>156.38900000000001</v>
      </c>
      <c r="S13" s="54">
        <f t="shared" si="15"/>
        <v>179.65899999999999</v>
      </c>
      <c r="T13" s="54">
        <f t="shared" si="15"/>
        <v>200.131</v>
      </c>
      <c r="U13" s="54">
        <f t="shared" si="15"/>
        <v>225.16399999999999</v>
      </c>
      <c r="V13" s="54">
        <f t="shared" si="15"/>
        <v>240.84899999999999</v>
      </c>
      <c r="W13" s="54">
        <f t="shared" si="15"/>
        <v>241.72200000000001</v>
      </c>
      <c r="X13" s="54">
        <f t="shared" si="15"/>
        <v>206.173</v>
      </c>
      <c r="Y13" s="54">
        <f t="shared" si="15"/>
        <v>181.96299999999999</v>
      </c>
      <c r="Z13" s="54">
        <f t="shared" si="15"/>
        <v>211.91300000000001</v>
      </c>
      <c r="AA13" s="54">
        <f t="shared" si="15"/>
        <v>231.16</v>
      </c>
      <c r="AB13" s="54">
        <f t="shared" si="15"/>
        <v>254.62</v>
      </c>
      <c r="AC13" s="54">
        <f t="shared" si="15"/>
        <v>259.209</v>
      </c>
      <c r="AD13" s="54">
        <f t="shared" si="15"/>
        <v>234.11699999999999</v>
      </c>
      <c r="AE13" s="54">
        <f t="shared" si="15"/>
        <v>240.261</v>
      </c>
      <c r="AF13" s="54">
        <f t="shared" si="15"/>
        <v>306.577</v>
      </c>
      <c r="AG13" s="54">
        <f t="shared" si="15"/>
        <v>348.69200000000001</v>
      </c>
      <c r="AH13" s="54">
        <f t="shared" si="15"/>
        <v>397.73500000000001</v>
      </c>
      <c r="AI13" s="54">
        <f t="shared" si="15"/>
        <v>249.721</v>
      </c>
      <c r="AJ13" s="54">
        <f t="shared" si="15"/>
        <v>176.624</v>
      </c>
      <c r="AK13" s="54">
        <f t="shared" si="15"/>
        <v>154.40700000000001</v>
      </c>
      <c r="AL13" s="54">
        <f t="shared" si="15"/>
        <v>131.702</v>
      </c>
      <c r="AM13" s="54">
        <f t="shared" si="15"/>
        <v>96.313000000000002</v>
      </c>
      <c r="AN13" s="54">
        <f t="shared" si="15"/>
        <v>73.95</v>
      </c>
      <c r="AO13" s="54">
        <f t="shared" si="15"/>
        <v>78.165000000000006</v>
      </c>
      <c r="AP13" s="54">
        <f t="shared" si="15"/>
        <v>105.642</v>
      </c>
      <c r="AQ13" s="54">
        <f t="shared" si="15"/>
        <v>141.17400000000001</v>
      </c>
      <c r="AR13" s="54">
        <f t="shared" si="15"/>
        <v>290.04399999999998</v>
      </c>
      <c r="AS13" s="54">
        <f>AS149</f>
        <v>362.44099999999997</v>
      </c>
      <c r="AT13" s="54">
        <f>AT149</f>
        <v>406.65199999999999</v>
      </c>
      <c r="AU13" s="54">
        <f t="shared" ref="AU13" si="16">AT13*(1+AU62)</f>
        <v>385.90444897959185</v>
      </c>
      <c r="AV13" s="54">
        <f t="shared" ref="AV13:BF13" si="17">AU13*(1+AV62)</f>
        <v>431.08614186612243</v>
      </c>
      <c r="AW13" s="54">
        <f t="shared" si="17"/>
        <v>471.71724949028572</v>
      </c>
      <c r="AX13" s="54">
        <f t="shared" si="17"/>
        <v>500.60993102156561</v>
      </c>
      <c r="AY13" s="54">
        <f t="shared" si="17"/>
        <v>520.06826756303997</v>
      </c>
      <c r="AZ13" s="54">
        <f t="shared" si="17"/>
        <v>539.52660410451426</v>
      </c>
      <c r="BA13" s="54">
        <f t="shared" si="17"/>
        <v>576.72032993369953</v>
      </c>
      <c r="BB13" s="54">
        <f t="shared" si="17"/>
        <v>596.17866647517394</v>
      </c>
      <c r="BC13" s="54">
        <f t="shared" si="17"/>
        <v>605.90783474591092</v>
      </c>
      <c r="BD13" s="54">
        <f t="shared" si="17"/>
        <v>605.90783474591092</v>
      </c>
      <c r="BE13" s="54">
        <f t="shared" si="17"/>
        <v>605.90783474591092</v>
      </c>
      <c r="BF13" s="54">
        <f t="shared" si="17"/>
        <v>605.90783474591092</v>
      </c>
      <c r="BI13">
        <f t="shared" si="9"/>
        <v>6</v>
      </c>
    </row>
    <row r="14" spans="1:67" outlineLevel="1">
      <c r="B14" s="4" t="s">
        <v>49</v>
      </c>
      <c r="C14" s="54">
        <f t="shared" si="14"/>
        <v>0</v>
      </c>
      <c r="D14" s="54">
        <f t="shared" si="10"/>
        <v>0</v>
      </c>
      <c r="E14" s="54">
        <f t="shared" si="10"/>
        <v>0</v>
      </c>
      <c r="F14" s="54">
        <f t="shared" si="10"/>
        <v>0</v>
      </c>
      <c r="G14" s="54">
        <f t="shared" si="10"/>
        <v>0</v>
      </c>
      <c r="H14" s="54">
        <f t="shared" si="10"/>
        <v>0</v>
      </c>
      <c r="I14" s="54">
        <f t="shared" si="10"/>
        <v>0</v>
      </c>
      <c r="J14" s="54">
        <f t="shared" si="10"/>
        <v>45.58</v>
      </c>
      <c r="K14" s="54">
        <f t="shared" si="10"/>
        <v>202.575875</v>
      </c>
      <c r="L14" s="54">
        <f t="shared" si="10"/>
        <v>246.23224216171877</v>
      </c>
      <c r="M14" s="54">
        <f t="shared" si="10"/>
        <v>299.29682929908279</v>
      </c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131">
        <f>AT188</f>
        <v>45.58</v>
      </c>
      <c r="AU14" s="54">
        <f t="shared" ref="AU14" si="18">AT14*(1+AU65)</f>
        <v>47</v>
      </c>
      <c r="AV14" s="54">
        <f t="shared" ref="AV14:BF14" si="19">AU14*(1+AV65)</f>
        <v>49.35</v>
      </c>
      <c r="AW14" s="54">
        <f t="shared" si="19"/>
        <v>51.817500000000003</v>
      </c>
      <c r="AX14" s="54">
        <f t="shared" si="19"/>
        <v>54.408375000000007</v>
      </c>
      <c r="AY14" s="54">
        <f t="shared" si="19"/>
        <v>57.128793750000007</v>
      </c>
      <c r="AZ14" s="54">
        <f t="shared" si="19"/>
        <v>59.985233437500007</v>
      </c>
      <c r="BA14" s="54">
        <f t="shared" si="19"/>
        <v>62.984495109375011</v>
      </c>
      <c r="BB14" s="54">
        <f t="shared" si="19"/>
        <v>66.133719864843769</v>
      </c>
      <c r="BC14" s="54">
        <f t="shared" si="19"/>
        <v>69.440405858085967</v>
      </c>
      <c r="BD14" s="54">
        <f t="shared" si="19"/>
        <v>72.912426150990271</v>
      </c>
      <c r="BE14" s="54">
        <f t="shared" si="19"/>
        <v>76.558047458539789</v>
      </c>
      <c r="BF14" s="54">
        <f t="shared" si="19"/>
        <v>80.385949831466789</v>
      </c>
      <c r="BI14">
        <f t="shared" si="9"/>
        <v>7</v>
      </c>
    </row>
    <row r="15" spans="1:67" outlineLevel="1">
      <c r="B15" s="4" t="s">
        <v>50</v>
      </c>
      <c r="C15" s="54">
        <f t="shared" si="14"/>
        <v>30.425000000000001</v>
      </c>
      <c r="D15" s="54">
        <f t="shared" si="10"/>
        <v>50.558999999999997</v>
      </c>
      <c r="E15" s="54">
        <f t="shared" si="10"/>
        <v>59.929999999999964</v>
      </c>
      <c r="F15" s="54">
        <f t="shared" si="10"/>
        <v>57.257000000000005</v>
      </c>
      <c r="G15" s="54">
        <f t="shared" si="10"/>
        <v>50.195999999999998</v>
      </c>
      <c r="H15" s="54">
        <f t="shared" si="10"/>
        <v>24.931000000000001</v>
      </c>
      <c r="I15" s="54">
        <f t="shared" si="10"/>
        <v>18.132999999999999</v>
      </c>
      <c r="J15" s="54">
        <f t="shared" si="10"/>
        <v>70.759999999999991</v>
      </c>
      <c r="K15" s="54">
        <f t="shared" si="10"/>
        <v>90.512625</v>
      </c>
      <c r="L15" s="54">
        <f t="shared" si="10"/>
        <v>110.01866139140628</v>
      </c>
      <c r="M15" s="54">
        <f t="shared" si="10"/>
        <v>133.72837053788805</v>
      </c>
      <c r="O15" s="54">
        <f t="shared" ref="O15:AR15" si="20">O203+O218</f>
        <v>7.1020000000000003</v>
      </c>
      <c r="P15" s="54">
        <f t="shared" si="20"/>
        <v>7.6619999999999999</v>
      </c>
      <c r="Q15" s="54">
        <f t="shared" si="20"/>
        <v>6.8</v>
      </c>
      <c r="R15" s="54">
        <f t="shared" si="20"/>
        <v>8.8610000000000007</v>
      </c>
      <c r="S15" s="54">
        <f t="shared" si="20"/>
        <v>10.387</v>
      </c>
      <c r="T15" s="54">
        <f t="shared" si="20"/>
        <v>13.454000000000001</v>
      </c>
      <c r="U15" s="54">
        <f t="shared" si="20"/>
        <v>11.837</v>
      </c>
      <c r="V15" s="54">
        <f t="shared" si="20"/>
        <v>14.881</v>
      </c>
      <c r="W15" s="54">
        <f t="shared" si="20"/>
        <v>14.717000000000001</v>
      </c>
      <c r="X15" s="54">
        <f t="shared" si="20"/>
        <v>14.69</v>
      </c>
      <c r="Y15" s="54">
        <f t="shared" si="20"/>
        <v>14.932999999999993</v>
      </c>
      <c r="Z15" s="54">
        <f t="shared" si="20"/>
        <v>15.589999999999975</v>
      </c>
      <c r="AA15" s="54">
        <f t="shared" si="20"/>
        <v>16.785</v>
      </c>
      <c r="AB15" s="54">
        <f t="shared" si="20"/>
        <v>14.717000000000001</v>
      </c>
      <c r="AC15" s="54">
        <f t="shared" si="20"/>
        <v>13.827</v>
      </c>
      <c r="AD15" s="54">
        <f t="shared" si="20"/>
        <v>11.928000000000001</v>
      </c>
      <c r="AE15" s="54">
        <f t="shared" si="20"/>
        <v>12.004</v>
      </c>
      <c r="AF15" s="54">
        <f t="shared" si="20"/>
        <v>12.116</v>
      </c>
      <c r="AG15" s="54">
        <f t="shared" si="20"/>
        <v>14.724</v>
      </c>
      <c r="AH15" s="54">
        <f t="shared" si="20"/>
        <v>11.352</v>
      </c>
      <c r="AI15" s="54">
        <f t="shared" si="20"/>
        <v>6.5</v>
      </c>
      <c r="AJ15" s="54">
        <f t="shared" si="20"/>
        <v>7.8159999999999998</v>
      </c>
      <c r="AK15" s="54">
        <f t="shared" si="20"/>
        <v>6.0270000000000001</v>
      </c>
      <c r="AL15" s="54">
        <f t="shared" si="20"/>
        <v>4.5880000000000001</v>
      </c>
      <c r="AM15" s="54">
        <f t="shared" si="20"/>
        <v>3.9670000000000001</v>
      </c>
      <c r="AN15" s="54">
        <f t="shared" si="20"/>
        <v>4.7220000000000004</v>
      </c>
      <c r="AO15" s="54">
        <f t="shared" si="20"/>
        <v>4.2839999999999998</v>
      </c>
      <c r="AP15" s="54">
        <f t="shared" si="20"/>
        <v>5.16</v>
      </c>
      <c r="AQ15" s="54">
        <f t="shared" si="20"/>
        <v>5.2729999999999997</v>
      </c>
      <c r="AR15" s="54">
        <f t="shared" si="20"/>
        <v>19.030999999999999</v>
      </c>
      <c r="AS15" s="54">
        <f>AS203+AS218</f>
        <v>20.934000000000001</v>
      </c>
      <c r="AT15" s="54">
        <f>AT203+AT218</f>
        <v>25.521999999999998</v>
      </c>
      <c r="AU15" s="54">
        <f t="shared" ref="AU15" si="21">AT15*(1+AU68)</f>
        <v>21</v>
      </c>
      <c r="AV15" s="54">
        <f t="shared" ref="AV15:BF15" si="22">AU15*(1+AV68)</f>
        <v>22.05</v>
      </c>
      <c r="AW15" s="54">
        <f t="shared" si="22"/>
        <v>23.152500000000003</v>
      </c>
      <c r="AX15" s="54">
        <f t="shared" si="22"/>
        <v>24.310125000000003</v>
      </c>
      <c r="AY15" s="54">
        <f t="shared" si="22"/>
        <v>25.525631250000004</v>
      </c>
      <c r="AZ15" s="54">
        <f t="shared" si="22"/>
        <v>26.801912812500007</v>
      </c>
      <c r="BA15" s="54">
        <f t="shared" si="22"/>
        <v>28.142008453125008</v>
      </c>
      <c r="BB15" s="54">
        <f t="shared" si="22"/>
        <v>29.549108875781261</v>
      </c>
      <c r="BC15" s="54">
        <f t="shared" si="22"/>
        <v>31.026564319570326</v>
      </c>
      <c r="BD15" s="54">
        <f t="shared" si="22"/>
        <v>32.577892535548841</v>
      </c>
      <c r="BE15" s="54">
        <f t="shared" si="22"/>
        <v>34.206787162326286</v>
      </c>
      <c r="BF15" s="54">
        <f t="shared" si="22"/>
        <v>35.917126520442601</v>
      </c>
      <c r="BI15">
        <f t="shared" si="9"/>
        <v>8</v>
      </c>
    </row>
    <row r="16" spans="1:67" outlineLevel="1">
      <c r="B16" s="5" t="s">
        <v>47</v>
      </c>
      <c r="C16" s="21">
        <f>SUM(C12:C15)</f>
        <v>1462.931</v>
      </c>
      <c r="D16" s="21">
        <f t="shared" ref="D16:M16" si="23">SUM(D12:D15)</f>
        <v>2565.9430000000002</v>
      </c>
      <c r="E16" s="21">
        <f t="shared" si="23"/>
        <v>2723.4139999999998</v>
      </c>
      <c r="F16" s="21">
        <f t="shared" si="23"/>
        <v>2650.8049999999998</v>
      </c>
      <c r="G16" s="21">
        <f t="shared" si="23"/>
        <v>3182.2910000000002</v>
      </c>
      <c r="H16" s="21">
        <f t="shared" si="23"/>
        <v>1821.81</v>
      </c>
      <c r="I16" s="21">
        <f t="shared" si="23"/>
        <v>891.3130000000001</v>
      </c>
      <c r="J16" s="21">
        <f t="shared" si="23"/>
        <v>2356.6840000000002</v>
      </c>
      <c r="K16" s="21">
        <f t="shared" si="23"/>
        <v>3506.0127713575657</v>
      </c>
      <c r="L16" s="21">
        <f t="shared" si="23"/>
        <v>4323.2247716295533</v>
      </c>
      <c r="M16" s="21">
        <f t="shared" si="23"/>
        <v>4774.864038820614</v>
      </c>
      <c r="O16" s="21">
        <f t="shared" ref="O16:AR16" si="24">SUM(O12:O15)</f>
        <v>271.59799999999996</v>
      </c>
      <c r="P16" s="21">
        <f t="shared" si="24"/>
        <v>306.99199999999996</v>
      </c>
      <c r="Q16" s="21">
        <f t="shared" si="24"/>
        <v>378.66300000000001</v>
      </c>
      <c r="R16" s="21">
        <f t="shared" si="24"/>
        <v>505.678</v>
      </c>
      <c r="S16" s="21">
        <f t="shared" si="24"/>
        <v>567.404</v>
      </c>
      <c r="T16" s="21">
        <f t="shared" si="24"/>
        <v>600.06399999999996</v>
      </c>
      <c r="U16" s="21">
        <f t="shared" si="24"/>
        <v>673.82799999999997</v>
      </c>
      <c r="V16" s="21">
        <f t="shared" si="24"/>
        <v>724.64699999999993</v>
      </c>
      <c r="W16" s="21">
        <f t="shared" si="24"/>
        <v>745.92100000000005</v>
      </c>
      <c r="X16" s="21">
        <f t="shared" si="24"/>
        <v>681.11200000000008</v>
      </c>
      <c r="Y16" s="21">
        <f t="shared" si="24"/>
        <v>643.63099999999997</v>
      </c>
      <c r="Z16" s="21">
        <f t="shared" si="24"/>
        <v>652.75</v>
      </c>
      <c r="AA16" s="21">
        <f t="shared" si="24"/>
        <v>667.03899999999999</v>
      </c>
      <c r="AB16" s="21">
        <f t="shared" si="24"/>
        <v>659.31599999999992</v>
      </c>
      <c r="AC16" s="21">
        <f t="shared" si="24"/>
        <v>668.10699999999997</v>
      </c>
      <c r="AD16" s="21">
        <f t="shared" si="24"/>
        <v>656.34299999999996</v>
      </c>
      <c r="AE16" s="21">
        <f t="shared" si="24"/>
        <v>678.16800000000001</v>
      </c>
      <c r="AF16" s="21">
        <f t="shared" si="24"/>
        <v>757.27600000000007</v>
      </c>
      <c r="AG16" s="21">
        <f t="shared" si="24"/>
        <v>845.62800000000004</v>
      </c>
      <c r="AH16" s="21">
        <f t="shared" si="24"/>
        <v>901.21899999999994</v>
      </c>
      <c r="AI16" s="21">
        <f t="shared" si="24"/>
        <v>641.90499999999997</v>
      </c>
      <c r="AJ16" s="21">
        <f t="shared" si="24"/>
        <v>457.161</v>
      </c>
      <c r="AK16" s="21">
        <f t="shared" si="24"/>
        <v>393.351</v>
      </c>
      <c r="AL16" s="21">
        <f t="shared" si="24"/>
        <v>329.39300000000003</v>
      </c>
      <c r="AM16" s="21">
        <f t="shared" si="24"/>
        <v>252.16299999999998</v>
      </c>
      <c r="AN16" s="21">
        <f t="shared" si="24"/>
        <v>188.48800000000003</v>
      </c>
      <c r="AO16" s="21">
        <f t="shared" si="24"/>
        <v>204.994</v>
      </c>
      <c r="AP16" s="21">
        <f t="shared" si="24"/>
        <v>245.66800000000001</v>
      </c>
      <c r="AQ16" s="21">
        <f t="shared" si="24"/>
        <v>305.17500000000007</v>
      </c>
      <c r="AR16" s="21">
        <f t="shared" si="24"/>
        <v>579.18599999999992</v>
      </c>
      <c r="AS16" s="21">
        <f t="shared" ref="AS16:AT16" si="25">SUM(AS12:AS15)</f>
        <v>684.98899999999992</v>
      </c>
      <c r="AT16" s="21">
        <f t="shared" si="25"/>
        <v>787.33400000000006</v>
      </c>
      <c r="AU16" s="21">
        <f t="shared" ref="AU16" si="26">SUM(AU12:AU15)</f>
        <v>777.19344897959184</v>
      </c>
      <c r="AV16" s="21">
        <f t="shared" ref="AV16" si="27">SUM(AV12:AV15)</f>
        <v>850.15164186612242</v>
      </c>
      <c r="AW16" s="21">
        <f t="shared" ref="AW16" si="28">SUM(AW12:AW15)</f>
        <v>913.3992494902858</v>
      </c>
      <c r="AX16" s="21">
        <f t="shared" ref="AX16" si="29">SUM(AX12:AX15)</f>
        <v>965.26843102156556</v>
      </c>
      <c r="AY16" s="21">
        <f t="shared" ref="AY16" si="30">SUM(AY12:AY15)</f>
        <v>1001.51269256304</v>
      </c>
      <c r="AZ16" s="21">
        <f t="shared" ref="AZ16" si="31">SUM(AZ12:AZ15)</f>
        <v>1052.2847503545142</v>
      </c>
      <c r="BA16" s="21">
        <f t="shared" ref="BA16" si="32">SUM(BA12:BA15)</f>
        <v>1115.3118334961996</v>
      </c>
      <c r="BB16" s="21">
        <f t="shared" ref="BB16" si="33">SUM(BB12:BB15)</f>
        <v>1154.1154952157988</v>
      </c>
      <c r="BC16" s="21">
        <f t="shared" ref="BC16" si="34">SUM(BC12:BC15)</f>
        <v>1176.9358049235673</v>
      </c>
      <c r="BD16" s="21">
        <f t="shared" ref="BD16" si="35">SUM(BD12:BD15)</f>
        <v>1186.1906534324501</v>
      </c>
      <c r="BE16" s="21">
        <f t="shared" ref="BE16" si="36">SUM(BE12:BE15)</f>
        <v>1200.9606693667768</v>
      </c>
      <c r="BF16" s="21">
        <f t="shared" ref="BF16" si="37">SUM(BF12:BF15)</f>
        <v>1210.7769110978204</v>
      </c>
      <c r="BI16">
        <f t="shared" si="9"/>
        <v>9</v>
      </c>
    </row>
    <row r="17" spans="2:61" outlineLevel="1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BI17">
        <f t="shared" si="9"/>
        <v>10</v>
      </c>
    </row>
    <row r="18" spans="2:61" hidden="1" outlineLevel="2">
      <c r="B18" s="3" t="s">
        <v>51</v>
      </c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BI18">
        <f t="shared" si="9"/>
        <v>11</v>
      </c>
    </row>
    <row r="19" spans="2:61" hidden="1" outlineLevel="2">
      <c r="B19" s="4" t="s">
        <v>281</v>
      </c>
      <c r="C19" s="54">
        <f>SUMIFS($O19:$BG19,$O$5:$BG$5,C$5)</f>
        <v>-655.678</v>
      </c>
      <c r="D19" s="54">
        <f t="shared" ref="D19:M22" si="38">SUMIFS($O19:$BG19,$O$5:$BG$5,D$5)</f>
        <v>-968.47799999999984</v>
      </c>
      <c r="E19" s="54">
        <f t="shared" si="38"/>
        <v>-1075.491</v>
      </c>
      <c r="F19" s="54">
        <f t="shared" si="38"/>
        <v>-968.75399999999991</v>
      </c>
      <c r="G19" s="54">
        <f t="shared" si="38"/>
        <v>-1066.6590000000001</v>
      </c>
      <c r="H19" s="54">
        <f t="shared" si="38"/>
        <v>-608.84799999999996</v>
      </c>
      <c r="I19" s="54">
        <f t="shared" si="38"/>
        <v>-305.80399999999997</v>
      </c>
      <c r="J19" s="54">
        <f t="shared" si="38"/>
        <v>-667.10500000000002</v>
      </c>
      <c r="K19" s="54">
        <f t="shared" si="38"/>
        <v>-879.05510000000004</v>
      </c>
      <c r="L19" s="54">
        <f t="shared" si="38"/>
        <v>-1013.5454999999998</v>
      </c>
      <c r="M19" s="54">
        <f t="shared" si="38"/>
        <v>-1120.2874999999999</v>
      </c>
      <c r="O19" s="54">
        <f t="shared" ref="O19:AR19" si="39">O117</f>
        <v>-135.14599999999999</v>
      </c>
      <c r="P19" s="54">
        <f t="shared" si="39"/>
        <v>-149.303</v>
      </c>
      <c r="Q19" s="54">
        <f t="shared" si="39"/>
        <v>-174.999</v>
      </c>
      <c r="R19" s="54">
        <f t="shared" si="39"/>
        <v>-196.23</v>
      </c>
      <c r="S19" s="54">
        <f t="shared" si="39"/>
        <v>-218.69900000000001</v>
      </c>
      <c r="T19" s="54">
        <f t="shared" si="39"/>
        <v>-218.75399999999999</v>
      </c>
      <c r="U19" s="54">
        <f t="shared" si="39"/>
        <v>-260.11799999999999</v>
      </c>
      <c r="V19" s="54">
        <f t="shared" si="39"/>
        <v>-270.90699999999998</v>
      </c>
      <c r="W19" s="54">
        <f t="shared" si="39"/>
        <v>-282.649</v>
      </c>
      <c r="X19" s="54">
        <f t="shared" si="39"/>
        <v>-272.72000000000003</v>
      </c>
      <c r="Y19" s="54">
        <f t="shared" si="39"/>
        <v>-265.54199999999997</v>
      </c>
      <c r="Z19" s="54">
        <f t="shared" si="39"/>
        <v>-254.58</v>
      </c>
      <c r="AA19" s="54">
        <f t="shared" si="39"/>
        <v>-247.072</v>
      </c>
      <c r="AB19" s="54">
        <f t="shared" si="39"/>
        <v>-242.74799999999999</v>
      </c>
      <c r="AC19" s="54">
        <f t="shared" si="39"/>
        <v>-239.768</v>
      </c>
      <c r="AD19" s="54">
        <f t="shared" si="39"/>
        <v>-239.166</v>
      </c>
      <c r="AE19" s="54">
        <f t="shared" si="39"/>
        <v>-251.059</v>
      </c>
      <c r="AF19" s="54">
        <f t="shared" si="39"/>
        <v>-255.31800000000001</v>
      </c>
      <c r="AG19" s="54">
        <f t="shared" si="39"/>
        <v>-278.19499999999999</v>
      </c>
      <c r="AH19" s="54">
        <f t="shared" si="39"/>
        <v>-282.08699999999999</v>
      </c>
      <c r="AI19" s="54">
        <f t="shared" si="39"/>
        <v>-212.81</v>
      </c>
      <c r="AJ19" s="54">
        <f t="shared" si="39"/>
        <v>-153.84800000000001</v>
      </c>
      <c r="AK19" s="54">
        <f t="shared" si="39"/>
        <v>-136.71799999999999</v>
      </c>
      <c r="AL19" s="54">
        <f t="shared" si="39"/>
        <v>-105.47199999999999</v>
      </c>
      <c r="AM19" s="54">
        <f t="shared" si="39"/>
        <v>-80.897999999999996</v>
      </c>
      <c r="AN19" s="54">
        <f t="shared" si="39"/>
        <v>-63.802999999999997</v>
      </c>
      <c r="AO19" s="54">
        <f t="shared" si="39"/>
        <v>-74.516999999999996</v>
      </c>
      <c r="AP19" s="54">
        <f t="shared" si="39"/>
        <v>-86.585999999999999</v>
      </c>
      <c r="AQ19" s="54">
        <f t="shared" si="39"/>
        <v>-108.221</v>
      </c>
      <c r="AR19" s="54">
        <f t="shared" si="39"/>
        <v>-180.65799999999999</v>
      </c>
      <c r="AS19" s="54">
        <f>AS117</f>
        <v>-186.95699999999999</v>
      </c>
      <c r="AT19" s="54">
        <f>AT117</f>
        <v>-191.26900000000001</v>
      </c>
      <c r="AU19" s="54">
        <f t="shared" ref="AU19:BF22" si="40">AU26-AU12</f>
        <v>-206.09549999999999</v>
      </c>
      <c r="AV19" s="54">
        <f t="shared" si="40"/>
        <v>-218.27260000000001</v>
      </c>
      <c r="AW19" s="54">
        <f t="shared" si="40"/>
        <v>-223.07700000000003</v>
      </c>
      <c r="AX19" s="54">
        <f t="shared" si="40"/>
        <v>-231.60999999999996</v>
      </c>
      <c r="AY19" s="54">
        <f t="shared" si="40"/>
        <v>-236.11499999999998</v>
      </c>
      <c r="AZ19" s="54">
        <f t="shared" si="40"/>
        <v>-248.38449999999997</v>
      </c>
      <c r="BA19" s="54">
        <f t="shared" si="40"/>
        <v>-259.64699999999993</v>
      </c>
      <c r="BB19" s="54">
        <f t="shared" si="40"/>
        <v>-269.399</v>
      </c>
      <c r="BC19" s="54">
        <f t="shared" si="40"/>
        <v>-274.911</v>
      </c>
      <c r="BD19" s="54">
        <f t="shared" si="40"/>
        <v>-277.32249999999999</v>
      </c>
      <c r="BE19" s="54">
        <f t="shared" si="40"/>
        <v>-282.80799999999999</v>
      </c>
      <c r="BF19" s="54">
        <f t="shared" si="40"/>
        <v>-285.24599999999998</v>
      </c>
      <c r="BI19">
        <f t="shared" si="9"/>
        <v>12</v>
      </c>
    </row>
    <row r="20" spans="2:61" hidden="1" outlineLevel="2">
      <c r="B20" s="4" t="s">
        <v>48</v>
      </c>
      <c r="C20" s="54">
        <f t="shared" ref="C20:C22" si="41">SUMIFS($O20:$BG20,$O$5:$BG$5,C$5)</f>
        <v>-235.10000000000002</v>
      </c>
      <c r="D20" s="54">
        <f t="shared" si="38"/>
        <v>-561.39800000000002</v>
      </c>
      <c r="E20" s="54">
        <f t="shared" si="38"/>
        <v>-580.87800000000004</v>
      </c>
      <c r="F20" s="54">
        <f t="shared" si="38"/>
        <v>-744.24300000000017</v>
      </c>
      <c r="G20" s="54">
        <f t="shared" si="38"/>
        <v>-1036.31</v>
      </c>
      <c r="H20" s="54">
        <f t="shared" si="38"/>
        <v>-612.02099999999996</v>
      </c>
      <c r="I20" s="54">
        <f t="shared" si="38"/>
        <v>-334.58800000000002</v>
      </c>
      <c r="J20" s="54">
        <f t="shared" si="38"/>
        <v>-966.83500000000004</v>
      </c>
      <c r="K20" s="54">
        <f t="shared" si="38"/>
        <v>-1406.7756657011671</v>
      </c>
      <c r="L20" s="54">
        <f t="shared" si="38"/>
        <v>-1719.0202784188496</v>
      </c>
      <c r="M20" s="54">
        <f t="shared" si="38"/>
        <v>-1866.1961310174056</v>
      </c>
      <c r="O20" s="54">
        <f t="shared" ref="O20:AR20" si="42">O150</f>
        <v>-39.131</v>
      </c>
      <c r="P20" s="54">
        <f t="shared" si="42"/>
        <v>-41.965000000000003</v>
      </c>
      <c r="Q20" s="54">
        <f t="shared" si="42"/>
        <v>-51.305</v>
      </c>
      <c r="R20" s="54">
        <f t="shared" si="42"/>
        <v>-102.699</v>
      </c>
      <c r="S20" s="54">
        <f t="shared" si="42"/>
        <v>-118.575</v>
      </c>
      <c r="T20" s="54">
        <f t="shared" si="42"/>
        <v>-128.86600000000001</v>
      </c>
      <c r="U20" s="54">
        <f t="shared" si="42"/>
        <v>-149.577</v>
      </c>
      <c r="V20" s="54">
        <f t="shared" si="42"/>
        <v>-164.38</v>
      </c>
      <c r="W20" s="54">
        <f t="shared" si="42"/>
        <v>-166.857</v>
      </c>
      <c r="X20" s="54">
        <f t="shared" si="42"/>
        <v>-138.05099999999999</v>
      </c>
      <c r="Y20" s="54">
        <f t="shared" si="42"/>
        <v>-129.13900000000001</v>
      </c>
      <c r="Z20" s="54">
        <f t="shared" si="42"/>
        <v>-146.83099999999999</v>
      </c>
      <c r="AA20" s="54">
        <f t="shared" si="42"/>
        <v>-168.15600000000001</v>
      </c>
      <c r="AB20" s="54">
        <f t="shared" si="42"/>
        <v>-188.28</v>
      </c>
      <c r="AC20" s="54">
        <f t="shared" si="42"/>
        <v>-204.05</v>
      </c>
      <c r="AD20" s="54">
        <f t="shared" si="42"/>
        <v>-183.75700000000001</v>
      </c>
      <c r="AE20" s="54">
        <f t="shared" si="42"/>
        <v>-199.80799999999999</v>
      </c>
      <c r="AF20" s="54">
        <f t="shared" si="42"/>
        <v>-241.977</v>
      </c>
      <c r="AG20" s="54">
        <f t="shared" si="42"/>
        <v>-281.01600000000002</v>
      </c>
      <c r="AH20" s="54">
        <f t="shared" si="42"/>
        <v>-313.50900000000001</v>
      </c>
      <c r="AI20" s="54">
        <f t="shared" si="42"/>
        <v>-212.72499999999999</v>
      </c>
      <c r="AJ20" s="54">
        <f t="shared" si="42"/>
        <v>-142.756</v>
      </c>
      <c r="AK20" s="54">
        <f t="shared" si="42"/>
        <v>-138.59700000000001</v>
      </c>
      <c r="AL20" s="54">
        <f t="shared" si="42"/>
        <v>-117.943</v>
      </c>
      <c r="AM20" s="54">
        <f t="shared" si="42"/>
        <v>-87.813000000000002</v>
      </c>
      <c r="AN20" s="54">
        <f t="shared" si="42"/>
        <v>-69.546000000000006</v>
      </c>
      <c r="AO20" s="54">
        <f t="shared" si="42"/>
        <v>-77.221000000000004</v>
      </c>
      <c r="AP20" s="54">
        <f t="shared" si="42"/>
        <v>-100.008</v>
      </c>
      <c r="AQ20" s="54">
        <f t="shared" si="42"/>
        <v>-119.01300000000001</v>
      </c>
      <c r="AR20" s="54">
        <f t="shared" si="42"/>
        <v>-233.9</v>
      </c>
      <c r="AS20" s="54">
        <f>AS150</f>
        <v>-290.315</v>
      </c>
      <c r="AT20" s="54">
        <f>AT150</f>
        <v>-323.60700000000003</v>
      </c>
      <c r="AU20" s="54">
        <f t="shared" si="40"/>
        <v>-310.65308142857145</v>
      </c>
      <c r="AV20" s="54">
        <f t="shared" si="40"/>
        <v>-342.71348278356731</v>
      </c>
      <c r="AW20" s="54">
        <f t="shared" si="40"/>
        <v>-367.93945460242287</v>
      </c>
      <c r="AX20" s="54">
        <f t="shared" si="40"/>
        <v>-385.46964688660552</v>
      </c>
      <c r="AY20" s="54">
        <f t="shared" si="40"/>
        <v>-400.45256602354078</v>
      </c>
      <c r="AZ20" s="54">
        <f t="shared" si="40"/>
        <v>-415.43548516047599</v>
      </c>
      <c r="BA20" s="54">
        <f t="shared" si="40"/>
        <v>-444.07465404894867</v>
      </c>
      <c r="BB20" s="54">
        <f t="shared" si="40"/>
        <v>-459.05757318588394</v>
      </c>
      <c r="BC20" s="54">
        <f t="shared" si="40"/>
        <v>-466.5490327543514</v>
      </c>
      <c r="BD20" s="54">
        <f t="shared" si="40"/>
        <v>-466.5490327543514</v>
      </c>
      <c r="BE20" s="54">
        <f t="shared" si="40"/>
        <v>-466.5490327543514</v>
      </c>
      <c r="BF20" s="54">
        <f t="shared" si="40"/>
        <v>-466.5490327543514</v>
      </c>
      <c r="BI20">
        <f t="shared" si="9"/>
        <v>13</v>
      </c>
    </row>
    <row r="21" spans="2:61" hidden="1" outlineLevel="2">
      <c r="B21" s="4" t="s">
        <v>49</v>
      </c>
      <c r="C21" s="54">
        <f t="shared" si="41"/>
        <v>0</v>
      </c>
      <c r="D21" s="54">
        <f t="shared" si="38"/>
        <v>0</v>
      </c>
      <c r="E21" s="54">
        <f t="shared" si="38"/>
        <v>0</v>
      </c>
      <c r="F21" s="54">
        <f t="shared" si="38"/>
        <v>0</v>
      </c>
      <c r="G21" s="54">
        <f t="shared" si="38"/>
        <v>0</v>
      </c>
      <c r="H21" s="54">
        <f t="shared" si="38"/>
        <v>0</v>
      </c>
      <c r="I21" s="54">
        <f t="shared" si="38"/>
        <v>0</v>
      </c>
      <c r="J21" s="54">
        <f t="shared" si="38"/>
        <v>-32.171999999999997</v>
      </c>
      <c r="K21" s="54">
        <f t="shared" si="38"/>
        <v>-143.23661250000001</v>
      </c>
      <c r="L21" s="54">
        <f t="shared" si="38"/>
        <v>-172.36256951320314</v>
      </c>
      <c r="M21" s="54">
        <f t="shared" si="38"/>
        <v>-209.50778050935799</v>
      </c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4">
        <f>AT189</f>
        <v>-32.171999999999997</v>
      </c>
      <c r="AU21" s="54">
        <f t="shared" si="40"/>
        <v>-33.839999999999996</v>
      </c>
      <c r="AV21" s="54">
        <f t="shared" si="40"/>
        <v>-35.038499999999999</v>
      </c>
      <c r="AW21" s="54">
        <f t="shared" si="40"/>
        <v>-36.27225</v>
      </c>
      <c r="AX21" s="54">
        <f t="shared" si="40"/>
        <v>-38.085862500000005</v>
      </c>
      <c r="AY21" s="54">
        <f t="shared" si="40"/>
        <v>-39.990155625000007</v>
      </c>
      <c r="AZ21" s="54">
        <f t="shared" si="40"/>
        <v>-41.989663406250003</v>
      </c>
      <c r="BA21" s="54">
        <f t="shared" si="40"/>
        <v>-44.089146576562513</v>
      </c>
      <c r="BB21" s="54">
        <f t="shared" si="40"/>
        <v>-46.29360390539064</v>
      </c>
      <c r="BC21" s="54">
        <f t="shared" si="40"/>
        <v>-48.608284100660178</v>
      </c>
      <c r="BD21" s="54">
        <f t="shared" si="40"/>
        <v>-51.038698305693188</v>
      </c>
      <c r="BE21" s="54">
        <f t="shared" si="40"/>
        <v>-53.59063322097785</v>
      </c>
      <c r="BF21" s="54">
        <f t="shared" si="40"/>
        <v>-56.270164882026748</v>
      </c>
      <c r="BI21">
        <f t="shared" si="9"/>
        <v>14</v>
      </c>
    </row>
    <row r="22" spans="2:61" hidden="1" outlineLevel="2">
      <c r="B22" s="4" t="s">
        <v>50</v>
      </c>
      <c r="C22" s="54">
        <f t="shared" si="41"/>
        <v>-7.02</v>
      </c>
      <c r="D22" s="54">
        <f t="shared" si="38"/>
        <v>-9.6150000000000002</v>
      </c>
      <c r="E22" s="54">
        <f t="shared" si="38"/>
        <v>-11.303000000000001</v>
      </c>
      <c r="F22" s="54">
        <f t="shared" si="38"/>
        <v>-12.908999999999999</v>
      </c>
      <c r="G22" s="54">
        <f t="shared" si="38"/>
        <v>-13.102</v>
      </c>
      <c r="H22" s="54">
        <f t="shared" si="38"/>
        <v>-11.5</v>
      </c>
      <c r="I22" s="54">
        <f t="shared" si="38"/>
        <v>-8.3840000000000003</v>
      </c>
      <c r="J22" s="54">
        <f t="shared" si="38"/>
        <v>-52.694000000000003</v>
      </c>
      <c r="K22" s="54">
        <f t="shared" si="38"/>
        <v>-74.430352499999998</v>
      </c>
      <c r="L22" s="54">
        <f t="shared" si="38"/>
        <v>-90.215302340953144</v>
      </c>
      <c r="M22" s="54">
        <f t="shared" si="38"/>
        <v>-109.65726384106821</v>
      </c>
      <c r="O22" s="54">
        <f t="shared" ref="O22:AR22" si="43">O204+O219</f>
        <v>-2.0619999999999998</v>
      </c>
      <c r="P22" s="54">
        <f t="shared" si="43"/>
        <v>-1.78</v>
      </c>
      <c r="Q22" s="54">
        <f t="shared" si="43"/>
        <v>-1.484</v>
      </c>
      <c r="R22" s="54">
        <f t="shared" si="43"/>
        <v>-1.694</v>
      </c>
      <c r="S22" s="54">
        <f t="shared" si="43"/>
        <v>-1.9970000000000001</v>
      </c>
      <c r="T22" s="54">
        <f t="shared" si="43"/>
        <v>-2.1030000000000002</v>
      </c>
      <c r="U22" s="54">
        <f t="shared" si="43"/>
        <v>-2.306</v>
      </c>
      <c r="V22" s="54">
        <f t="shared" si="43"/>
        <v>-3.2090000000000001</v>
      </c>
      <c r="W22" s="54">
        <f t="shared" si="43"/>
        <v>-2.73</v>
      </c>
      <c r="X22" s="54">
        <f t="shared" si="43"/>
        <v>-2.5830000000000002</v>
      </c>
      <c r="Y22" s="54">
        <f t="shared" si="43"/>
        <v>-2.7040000000000002</v>
      </c>
      <c r="Z22" s="54">
        <f t="shared" si="43"/>
        <v>-3.286</v>
      </c>
      <c r="AA22" s="54">
        <f t="shared" si="43"/>
        <v>-2.9220000000000002</v>
      </c>
      <c r="AB22" s="54">
        <f t="shared" si="43"/>
        <v>-3.214</v>
      </c>
      <c r="AC22" s="54">
        <f t="shared" si="43"/>
        <v>-3.6019999999999999</v>
      </c>
      <c r="AD22" s="54">
        <f t="shared" si="43"/>
        <v>-3.1709999999999998</v>
      </c>
      <c r="AE22" s="54">
        <f t="shared" si="43"/>
        <v>-3.274</v>
      </c>
      <c r="AF22" s="54">
        <f t="shared" si="43"/>
        <v>-2.8719999999999999</v>
      </c>
      <c r="AG22" s="54">
        <f t="shared" si="43"/>
        <v>-3.2749999999999999</v>
      </c>
      <c r="AH22" s="54">
        <f t="shared" si="43"/>
        <v>-3.681</v>
      </c>
      <c r="AI22" s="54">
        <f t="shared" si="43"/>
        <v>-2.798</v>
      </c>
      <c r="AJ22" s="54">
        <f t="shared" si="43"/>
        <v>-2.7789999999999999</v>
      </c>
      <c r="AK22" s="54">
        <f t="shared" si="43"/>
        <v>-2.5190000000000001</v>
      </c>
      <c r="AL22" s="54">
        <f t="shared" si="43"/>
        <v>-3.4039999999999999</v>
      </c>
      <c r="AM22" s="54">
        <f t="shared" si="43"/>
        <v>-2.09</v>
      </c>
      <c r="AN22" s="54">
        <f t="shared" si="43"/>
        <v>-1.65</v>
      </c>
      <c r="AO22" s="54">
        <f t="shared" si="43"/>
        <v>-1.8460000000000001</v>
      </c>
      <c r="AP22" s="54">
        <f t="shared" si="43"/>
        <v>-2.798</v>
      </c>
      <c r="AQ22" s="54">
        <f t="shared" si="43"/>
        <v>-3.2589999999999999</v>
      </c>
      <c r="AR22" s="54">
        <f t="shared" si="43"/>
        <v>-12.670999999999999</v>
      </c>
      <c r="AS22" s="54">
        <f>AS204+AS219</f>
        <v>-15.882</v>
      </c>
      <c r="AT22" s="54">
        <f>AT204+AT219</f>
        <v>-20.882000000000001</v>
      </c>
      <c r="AU22" s="54">
        <f t="shared" si="40"/>
        <v>-17.43</v>
      </c>
      <c r="AV22" s="54">
        <f t="shared" si="40"/>
        <v>-18.081</v>
      </c>
      <c r="AW22" s="54">
        <f t="shared" si="40"/>
        <v>-18.985050000000001</v>
      </c>
      <c r="AX22" s="54">
        <f t="shared" si="40"/>
        <v>-19.934302500000001</v>
      </c>
      <c r="AY22" s="54">
        <f t="shared" si="40"/>
        <v>-20.931017625000003</v>
      </c>
      <c r="AZ22" s="54">
        <f t="shared" si="40"/>
        <v>-21.977568506250005</v>
      </c>
      <c r="BA22" s="54">
        <f t="shared" si="40"/>
        <v>-23.076446931562508</v>
      </c>
      <c r="BB22" s="54">
        <f t="shared" si="40"/>
        <v>-24.230269278140636</v>
      </c>
      <c r="BC22" s="54">
        <f t="shared" si="40"/>
        <v>-25.441782742047668</v>
      </c>
      <c r="BD22" s="54">
        <f t="shared" si="40"/>
        <v>-26.713871879150048</v>
      </c>
      <c r="BE22" s="54">
        <f t="shared" si="40"/>
        <v>-28.049565473107556</v>
      </c>
      <c r="BF22" s="54">
        <f t="shared" si="40"/>
        <v>-29.452043746762932</v>
      </c>
      <c r="BI22">
        <f t="shared" si="9"/>
        <v>15</v>
      </c>
    </row>
    <row r="23" spans="2:61" hidden="1" outlineLevel="2">
      <c r="B23" s="5" t="s">
        <v>53</v>
      </c>
      <c r="C23" s="21">
        <f>SUM(C19:C22)</f>
        <v>-897.798</v>
      </c>
      <c r="D23" s="21">
        <f t="shared" ref="D23" si="44">SUM(D19:D22)</f>
        <v>-1539.4909999999998</v>
      </c>
      <c r="E23" s="21">
        <f t="shared" ref="E23" si="45">SUM(E19:E22)</f>
        <v>-1667.6720000000003</v>
      </c>
      <c r="F23" s="21">
        <f t="shared" ref="F23" si="46">SUM(F19:F22)</f>
        <v>-1725.9060000000002</v>
      </c>
      <c r="G23" s="21">
        <f t="shared" ref="G23" si="47">SUM(G19:G22)</f>
        <v>-2116.0709999999999</v>
      </c>
      <c r="H23" s="21">
        <f t="shared" ref="H23" si="48">SUM(H19:H22)</f>
        <v>-1232.3689999999999</v>
      </c>
      <c r="I23" s="21">
        <f t="shared" ref="I23" si="49">SUM(I19:I22)</f>
        <v>-648.77600000000007</v>
      </c>
      <c r="J23" s="21">
        <f t="shared" ref="J23" si="50">SUM(J19:J22)</f>
        <v>-1718.806</v>
      </c>
      <c r="K23" s="21">
        <f t="shared" ref="K23" si="51">SUM(K19:K22)</f>
        <v>-2503.4977307011673</v>
      </c>
      <c r="L23" s="21">
        <f t="shared" ref="L23" si="52">SUM(L19:L22)</f>
        <v>-2995.1436502730057</v>
      </c>
      <c r="M23" s="21">
        <f t="shared" ref="M23" si="53">SUM(M19:M22)</f>
        <v>-3305.6486753678314</v>
      </c>
      <c r="O23" s="21">
        <f t="shared" ref="O23:AR23" si="54">SUM(O19:O22)</f>
        <v>-176.339</v>
      </c>
      <c r="P23" s="21">
        <f t="shared" si="54"/>
        <v>-193.048</v>
      </c>
      <c r="Q23" s="21">
        <f t="shared" si="54"/>
        <v>-227.78800000000001</v>
      </c>
      <c r="R23" s="21">
        <f t="shared" si="54"/>
        <v>-300.62299999999999</v>
      </c>
      <c r="S23" s="21">
        <f t="shared" si="54"/>
        <v>-339.27100000000002</v>
      </c>
      <c r="T23" s="21">
        <f t="shared" si="54"/>
        <v>-349.72300000000001</v>
      </c>
      <c r="U23" s="21">
        <f t="shared" si="54"/>
        <v>-412.00099999999998</v>
      </c>
      <c r="V23" s="21">
        <f t="shared" si="54"/>
        <v>-438.49599999999998</v>
      </c>
      <c r="W23" s="21">
        <f t="shared" si="54"/>
        <v>-452.23599999999999</v>
      </c>
      <c r="X23" s="21">
        <f t="shared" si="54"/>
        <v>-413.35400000000004</v>
      </c>
      <c r="Y23" s="21">
        <f t="shared" si="54"/>
        <v>-397.38499999999999</v>
      </c>
      <c r="Z23" s="21">
        <f t="shared" si="54"/>
        <v>-404.697</v>
      </c>
      <c r="AA23" s="21">
        <f t="shared" si="54"/>
        <v>-418.15000000000003</v>
      </c>
      <c r="AB23" s="21">
        <f t="shared" si="54"/>
        <v>-434.24200000000002</v>
      </c>
      <c r="AC23" s="21">
        <f t="shared" si="54"/>
        <v>-447.41999999999996</v>
      </c>
      <c r="AD23" s="21">
        <f t="shared" si="54"/>
        <v>-426.09399999999999</v>
      </c>
      <c r="AE23" s="21">
        <f t="shared" si="54"/>
        <v>-454.14099999999996</v>
      </c>
      <c r="AF23" s="21">
        <f t="shared" si="54"/>
        <v>-500.16700000000003</v>
      </c>
      <c r="AG23" s="21">
        <f t="shared" si="54"/>
        <v>-562.48599999999999</v>
      </c>
      <c r="AH23" s="21">
        <f t="shared" si="54"/>
        <v>-599.27700000000004</v>
      </c>
      <c r="AI23" s="21">
        <f t="shared" si="54"/>
        <v>-428.33299999999997</v>
      </c>
      <c r="AJ23" s="21">
        <f t="shared" si="54"/>
        <v>-299.38300000000004</v>
      </c>
      <c r="AK23" s="21">
        <f t="shared" si="54"/>
        <v>-277.834</v>
      </c>
      <c r="AL23" s="21">
        <f t="shared" si="54"/>
        <v>-226.81899999999999</v>
      </c>
      <c r="AM23" s="21">
        <f t="shared" si="54"/>
        <v>-170.80100000000002</v>
      </c>
      <c r="AN23" s="21">
        <f t="shared" si="54"/>
        <v>-134.999</v>
      </c>
      <c r="AO23" s="21">
        <f t="shared" si="54"/>
        <v>-153.584</v>
      </c>
      <c r="AP23" s="21">
        <f t="shared" si="54"/>
        <v>-189.392</v>
      </c>
      <c r="AQ23" s="21">
        <f t="shared" si="54"/>
        <v>-230.49299999999999</v>
      </c>
      <c r="AR23" s="21">
        <f t="shared" si="54"/>
        <v>-427.22899999999998</v>
      </c>
      <c r="AS23" s="21">
        <f t="shared" ref="AS23:AT23" si="55">SUM(AS19:AS22)</f>
        <v>-493.154</v>
      </c>
      <c r="AT23" s="21">
        <f t="shared" si="55"/>
        <v>-567.92999999999995</v>
      </c>
      <c r="AU23" s="21">
        <f t="shared" ref="AU23" si="56">SUM(AU19:AU22)</f>
        <v>-568.01858142857145</v>
      </c>
      <c r="AV23" s="21">
        <f t="shared" ref="AV23" si="57">SUM(AV19:AV22)</f>
        <v>-614.10558278356734</v>
      </c>
      <c r="AW23" s="21">
        <f t="shared" ref="AW23" si="58">SUM(AW19:AW22)</f>
        <v>-646.27375460242285</v>
      </c>
      <c r="AX23" s="21">
        <f t="shared" ref="AX23" si="59">SUM(AX19:AX22)</f>
        <v>-675.09981188660549</v>
      </c>
      <c r="AY23" s="21">
        <f t="shared" ref="AY23" si="60">SUM(AY19:AY22)</f>
        <v>-697.48873927354077</v>
      </c>
      <c r="AZ23" s="21">
        <f t="shared" ref="AZ23" si="61">SUM(AZ19:AZ22)</f>
        <v>-727.78721707297598</v>
      </c>
      <c r="BA23" s="21">
        <f t="shared" ref="BA23" si="62">SUM(BA19:BA22)</f>
        <v>-770.88724755707358</v>
      </c>
      <c r="BB23" s="21">
        <f t="shared" ref="BB23" si="63">SUM(BB19:BB22)</f>
        <v>-798.98044636941529</v>
      </c>
      <c r="BC23" s="21">
        <f t="shared" ref="BC23" si="64">SUM(BC19:BC22)</f>
        <v>-815.51009959705925</v>
      </c>
      <c r="BD23" s="21">
        <f t="shared" ref="BD23" si="65">SUM(BD19:BD22)</f>
        <v>-821.62410293919459</v>
      </c>
      <c r="BE23" s="21">
        <f t="shared" ref="BE23" si="66">SUM(BE19:BE22)</f>
        <v>-830.99723144843688</v>
      </c>
      <c r="BF23" s="21">
        <f t="shared" ref="BF23" si="67">SUM(BF19:BF22)</f>
        <v>-837.51724138314103</v>
      </c>
      <c r="BI23">
        <f t="shared" si="9"/>
        <v>16</v>
      </c>
    </row>
    <row r="24" spans="2:61" hidden="1" outlineLevel="2"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AS24" s="123"/>
      <c r="AT24" s="123"/>
      <c r="BI24">
        <f t="shared" si="9"/>
        <v>17</v>
      </c>
    </row>
    <row r="25" spans="2:61" outlineLevel="1" collapsed="1">
      <c r="B25" s="3" t="s">
        <v>52</v>
      </c>
      <c r="C25" s="54"/>
      <c r="D25" s="54"/>
      <c r="E25" s="54"/>
      <c r="F25" s="54"/>
      <c r="G25" s="54"/>
      <c r="H25" s="54"/>
      <c r="I25" s="54"/>
      <c r="J25" s="54"/>
      <c r="K25" s="68"/>
      <c r="L25" s="54"/>
      <c r="M25" s="54"/>
      <c r="BI25">
        <f t="shared" si="9"/>
        <v>18</v>
      </c>
    </row>
    <row r="26" spans="2:61" outlineLevel="1">
      <c r="B26" s="4" t="s">
        <v>281</v>
      </c>
      <c r="C26" s="54">
        <f>SUMIFS($O26:$BG26,$O$5:$BG$5,C$5)</f>
        <v>426.22</v>
      </c>
      <c r="D26" s="54">
        <f t="shared" ref="D26:M40" si="68">SUMIFS($O26:$BG26,$O$5:$BG$5,D$5)</f>
        <v>701.10300000000007</v>
      </c>
      <c r="E26" s="54">
        <f t="shared" si="68"/>
        <v>746.22200000000009</v>
      </c>
      <c r="F26" s="54">
        <f t="shared" si="68"/>
        <v>645.68799999999987</v>
      </c>
      <c r="G26" s="54">
        <f t="shared" si="68"/>
        <v>772.17100000000005</v>
      </c>
      <c r="H26" s="54">
        <f t="shared" si="68"/>
        <v>475.57700000000006</v>
      </c>
      <c r="I26" s="54">
        <f t="shared" si="68"/>
        <v>213.30600000000004</v>
      </c>
      <c r="J26" s="54">
        <f t="shared" si="68"/>
        <v>372.928</v>
      </c>
      <c r="K26" s="54">
        <f t="shared" si="68"/>
        <v>544.55140000000006</v>
      </c>
      <c r="L26" s="54">
        <f t="shared" si="68"/>
        <v>720.93450000000007</v>
      </c>
      <c r="M26" s="54">
        <f t="shared" si="68"/>
        <v>797.92000000000007</v>
      </c>
      <c r="O26" s="54">
        <f t="shared" ref="O26:AR26" si="69">O12+O19</f>
        <v>75.599000000000018</v>
      </c>
      <c r="P26" s="54">
        <f t="shared" si="69"/>
        <v>90.663000000000011</v>
      </c>
      <c r="Q26" s="54">
        <f t="shared" si="69"/>
        <v>115.76000000000002</v>
      </c>
      <c r="R26" s="54">
        <f t="shared" si="69"/>
        <v>144.19800000000001</v>
      </c>
      <c r="S26" s="54">
        <f t="shared" si="69"/>
        <v>158.65899999999999</v>
      </c>
      <c r="T26" s="54">
        <f t="shared" si="69"/>
        <v>167.72499999999999</v>
      </c>
      <c r="U26" s="54">
        <f t="shared" si="69"/>
        <v>176.709</v>
      </c>
      <c r="V26" s="54">
        <f t="shared" si="69"/>
        <v>198.01</v>
      </c>
      <c r="W26" s="54">
        <f t="shared" si="69"/>
        <v>206.83300000000003</v>
      </c>
      <c r="X26" s="54">
        <f t="shared" si="69"/>
        <v>187.529</v>
      </c>
      <c r="Y26" s="54">
        <f t="shared" si="69"/>
        <v>181.19300000000004</v>
      </c>
      <c r="Z26" s="54">
        <f t="shared" si="69"/>
        <v>170.667</v>
      </c>
      <c r="AA26" s="54">
        <f t="shared" si="69"/>
        <v>172.02199999999999</v>
      </c>
      <c r="AB26" s="54">
        <f t="shared" si="69"/>
        <v>147.23099999999999</v>
      </c>
      <c r="AC26" s="54">
        <f t="shared" si="69"/>
        <v>155.30299999999997</v>
      </c>
      <c r="AD26" s="54">
        <f t="shared" si="69"/>
        <v>171.13199999999995</v>
      </c>
      <c r="AE26" s="54">
        <f t="shared" si="69"/>
        <v>174.84400000000002</v>
      </c>
      <c r="AF26" s="54">
        <f t="shared" si="69"/>
        <v>183.26500000000001</v>
      </c>
      <c r="AG26" s="54">
        <f t="shared" si="69"/>
        <v>204.017</v>
      </c>
      <c r="AH26" s="54">
        <f t="shared" si="69"/>
        <v>210.04500000000002</v>
      </c>
      <c r="AI26" s="54">
        <f t="shared" si="69"/>
        <v>172.87400000000002</v>
      </c>
      <c r="AJ26" s="54">
        <f t="shared" si="69"/>
        <v>118.87299999999999</v>
      </c>
      <c r="AK26" s="54">
        <f t="shared" si="69"/>
        <v>96.199000000000012</v>
      </c>
      <c r="AL26" s="54">
        <f t="shared" si="69"/>
        <v>87.631000000000014</v>
      </c>
      <c r="AM26" s="54">
        <f t="shared" si="69"/>
        <v>70.984999999999985</v>
      </c>
      <c r="AN26" s="54">
        <f t="shared" si="69"/>
        <v>46.013000000000005</v>
      </c>
      <c r="AO26" s="54">
        <f t="shared" si="69"/>
        <v>48.028000000000006</v>
      </c>
      <c r="AP26" s="54">
        <f t="shared" si="69"/>
        <v>48.280000000000015</v>
      </c>
      <c r="AQ26" s="54">
        <f t="shared" si="69"/>
        <v>50.507000000000005</v>
      </c>
      <c r="AR26" s="54">
        <f t="shared" si="69"/>
        <v>89.453000000000003</v>
      </c>
      <c r="AS26" s="54">
        <f>AS12+AS19</f>
        <v>114.65699999999998</v>
      </c>
      <c r="AT26" s="54">
        <f>AT12+AT19</f>
        <v>118.31099999999998</v>
      </c>
      <c r="AU26" s="54">
        <f t="shared" ref="AU26:BF26" si="70">AU57*AU60*AU6/1000000</f>
        <v>117.1935</v>
      </c>
      <c r="AV26" s="54">
        <f t="shared" si="70"/>
        <v>129.3929</v>
      </c>
      <c r="AW26" s="54">
        <f t="shared" si="70"/>
        <v>143.63500000000002</v>
      </c>
      <c r="AX26" s="54">
        <f t="shared" si="70"/>
        <v>154.33000000000004</v>
      </c>
      <c r="AY26" s="54">
        <f t="shared" si="70"/>
        <v>162.67500000000004</v>
      </c>
      <c r="AZ26" s="54">
        <f t="shared" si="70"/>
        <v>177.58650000000003</v>
      </c>
      <c r="BA26" s="54">
        <f t="shared" si="70"/>
        <v>187.81800000000001</v>
      </c>
      <c r="BB26" s="54">
        <f t="shared" si="70"/>
        <v>192.85500000000002</v>
      </c>
      <c r="BC26" s="54">
        <f t="shared" si="70"/>
        <v>195.64999999999998</v>
      </c>
      <c r="BD26" s="54">
        <f t="shared" si="70"/>
        <v>197.47</v>
      </c>
      <c r="BE26" s="54">
        <f t="shared" si="70"/>
        <v>201.48</v>
      </c>
      <c r="BF26" s="54">
        <f t="shared" si="70"/>
        <v>203.32</v>
      </c>
      <c r="BI26">
        <f t="shared" si="9"/>
        <v>19</v>
      </c>
    </row>
    <row r="27" spans="2:61" outlineLevel="1">
      <c r="B27" s="4" t="s">
        <v>48</v>
      </c>
      <c r="C27" s="54">
        <f t="shared" ref="C27:C29" si="71">SUMIFS($O27:$BG27,$O$5:$BG$5,C$5)</f>
        <v>115.50800000000001</v>
      </c>
      <c r="D27" s="54">
        <f t="shared" si="68"/>
        <v>284.40499999999997</v>
      </c>
      <c r="E27" s="54">
        <f t="shared" si="68"/>
        <v>260.89300000000003</v>
      </c>
      <c r="F27" s="54">
        <f t="shared" si="68"/>
        <v>234.86299999999997</v>
      </c>
      <c r="G27" s="54">
        <f t="shared" si="68"/>
        <v>256.95499999999998</v>
      </c>
      <c r="H27" s="54">
        <f t="shared" si="68"/>
        <v>100.43300000000001</v>
      </c>
      <c r="I27" s="54">
        <f t="shared" si="68"/>
        <v>19.481999999999999</v>
      </c>
      <c r="J27" s="54">
        <f t="shared" si="68"/>
        <v>233.47599999999991</v>
      </c>
      <c r="K27" s="54">
        <f t="shared" si="68"/>
        <v>382.54210565639846</v>
      </c>
      <c r="L27" s="54">
        <f t="shared" si="68"/>
        <v>513.47358965757837</v>
      </c>
      <c r="M27" s="54">
        <f t="shared" si="68"/>
        <v>557.43520796623807</v>
      </c>
      <c r="O27" s="54">
        <f t="shared" ref="O27:AR27" si="72">O13+O20</f>
        <v>14.619999999999997</v>
      </c>
      <c r="P27" s="54">
        <f t="shared" si="72"/>
        <v>17.398999999999994</v>
      </c>
      <c r="Q27" s="54">
        <f t="shared" si="72"/>
        <v>29.798999999999999</v>
      </c>
      <c r="R27" s="54">
        <f t="shared" si="72"/>
        <v>53.690000000000012</v>
      </c>
      <c r="S27" s="54">
        <f t="shared" si="72"/>
        <v>61.083999999999989</v>
      </c>
      <c r="T27" s="54">
        <f t="shared" si="72"/>
        <v>71.264999999999986</v>
      </c>
      <c r="U27" s="54">
        <f t="shared" si="72"/>
        <v>75.586999999999989</v>
      </c>
      <c r="V27" s="54">
        <f t="shared" si="72"/>
        <v>76.468999999999994</v>
      </c>
      <c r="W27" s="54">
        <f t="shared" si="72"/>
        <v>74.865000000000009</v>
      </c>
      <c r="X27" s="54">
        <f t="shared" si="72"/>
        <v>68.122000000000014</v>
      </c>
      <c r="Y27" s="54">
        <f t="shared" si="72"/>
        <v>52.823999999999984</v>
      </c>
      <c r="Z27" s="54">
        <f t="shared" si="72"/>
        <v>65.082000000000022</v>
      </c>
      <c r="AA27" s="54">
        <f t="shared" si="72"/>
        <v>63.003999999999991</v>
      </c>
      <c r="AB27" s="54">
        <f t="shared" si="72"/>
        <v>66.34</v>
      </c>
      <c r="AC27" s="54">
        <f t="shared" si="72"/>
        <v>55.158999999999992</v>
      </c>
      <c r="AD27" s="54">
        <f t="shared" si="72"/>
        <v>50.359999999999985</v>
      </c>
      <c r="AE27" s="54">
        <f t="shared" si="72"/>
        <v>40.453000000000003</v>
      </c>
      <c r="AF27" s="54">
        <f t="shared" si="72"/>
        <v>64.599999999999994</v>
      </c>
      <c r="AG27" s="54">
        <f t="shared" si="72"/>
        <v>67.675999999999988</v>
      </c>
      <c r="AH27" s="54">
        <f t="shared" si="72"/>
        <v>84.225999999999999</v>
      </c>
      <c r="AI27" s="54">
        <f t="shared" si="72"/>
        <v>36.996000000000009</v>
      </c>
      <c r="AJ27" s="54">
        <f t="shared" si="72"/>
        <v>33.867999999999995</v>
      </c>
      <c r="AK27" s="54">
        <f t="shared" si="72"/>
        <v>15.810000000000002</v>
      </c>
      <c r="AL27" s="54">
        <f t="shared" si="72"/>
        <v>13.759</v>
      </c>
      <c r="AM27" s="54">
        <f t="shared" si="72"/>
        <v>8.5</v>
      </c>
      <c r="AN27" s="54">
        <f t="shared" si="72"/>
        <v>4.4039999999999964</v>
      </c>
      <c r="AO27" s="54">
        <f t="shared" si="72"/>
        <v>0.94400000000000261</v>
      </c>
      <c r="AP27" s="54">
        <f t="shared" si="72"/>
        <v>5.6340000000000003</v>
      </c>
      <c r="AQ27" s="54">
        <f t="shared" si="72"/>
        <v>22.161000000000001</v>
      </c>
      <c r="AR27" s="54">
        <f t="shared" si="72"/>
        <v>56.143999999999977</v>
      </c>
      <c r="AS27" s="54">
        <f>AS13+AS20</f>
        <v>72.125999999999976</v>
      </c>
      <c r="AT27" s="54">
        <f>AT13+AT20</f>
        <v>83.044999999999959</v>
      </c>
      <c r="AU27" s="54">
        <f t="shared" ref="AU27:BF27" si="73">AU63*AU13</f>
        <v>75.251367551020408</v>
      </c>
      <c r="AV27" s="54">
        <f t="shared" si="73"/>
        <v>88.372659082555089</v>
      </c>
      <c r="AW27" s="54">
        <f t="shared" si="73"/>
        <v>103.77779488786285</v>
      </c>
      <c r="AX27" s="54">
        <f t="shared" si="73"/>
        <v>115.1402841349601</v>
      </c>
      <c r="AY27" s="54">
        <f t="shared" si="73"/>
        <v>119.6157015394992</v>
      </c>
      <c r="AZ27" s="54">
        <f t="shared" si="73"/>
        <v>124.09111894403829</v>
      </c>
      <c r="BA27" s="54">
        <f t="shared" si="73"/>
        <v>132.64567588475089</v>
      </c>
      <c r="BB27" s="54">
        <f t="shared" si="73"/>
        <v>137.12109328929</v>
      </c>
      <c r="BC27" s="54">
        <f t="shared" si="73"/>
        <v>139.35880199155952</v>
      </c>
      <c r="BD27" s="54">
        <f t="shared" si="73"/>
        <v>139.35880199155952</v>
      </c>
      <c r="BE27" s="54">
        <f t="shared" si="73"/>
        <v>139.35880199155952</v>
      </c>
      <c r="BF27" s="54">
        <f t="shared" si="73"/>
        <v>139.35880199155952</v>
      </c>
      <c r="BI27">
        <f t="shared" si="9"/>
        <v>20</v>
      </c>
    </row>
    <row r="28" spans="2:61" outlineLevel="1">
      <c r="B28" s="4" t="s">
        <v>49</v>
      </c>
      <c r="C28" s="54">
        <f t="shared" si="71"/>
        <v>0</v>
      </c>
      <c r="D28" s="54">
        <f t="shared" si="68"/>
        <v>0</v>
      </c>
      <c r="E28" s="54">
        <f t="shared" si="68"/>
        <v>0</v>
      </c>
      <c r="F28" s="54">
        <f t="shared" si="68"/>
        <v>0</v>
      </c>
      <c r="G28" s="54">
        <f t="shared" si="68"/>
        <v>0</v>
      </c>
      <c r="H28" s="54">
        <f t="shared" si="68"/>
        <v>0</v>
      </c>
      <c r="I28" s="54">
        <f t="shared" si="68"/>
        <v>0</v>
      </c>
      <c r="J28" s="54">
        <f t="shared" si="68"/>
        <v>13.408000000000001</v>
      </c>
      <c r="K28" s="54">
        <f t="shared" si="68"/>
        <v>59.339262500000004</v>
      </c>
      <c r="L28" s="54">
        <f t="shared" si="68"/>
        <v>73.869672648515632</v>
      </c>
      <c r="M28" s="54">
        <f t="shared" si="68"/>
        <v>89.789048789724845</v>
      </c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4">
        <f>AT14+AT21</f>
        <v>13.408000000000001</v>
      </c>
      <c r="AU28" s="54">
        <f t="shared" ref="AU28:BF28" si="74">AU66*AU14</f>
        <v>13.160000000000002</v>
      </c>
      <c r="AV28" s="54">
        <f t="shared" si="74"/>
        <v>14.311499999999999</v>
      </c>
      <c r="AW28" s="54">
        <f t="shared" si="74"/>
        <v>15.545249999999999</v>
      </c>
      <c r="AX28" s="54">
        <f t="shared" si="74"/>
        <v>16.322512500000002</v>
      </c>
      <c r="AY28" s="54">
        <f t="shared" si="74"/>
        <v>17.138638125</v>
      </c>
      <c r="AZ28" s="54">
        <f t="shared" si="74"/>
        <v>17.995570031250001</v>
      </c>
      <c r="BA28" s="54">
        <f t="shared" si="74"/>
        <v>18.895348532812502</v>
      </c>
      <c r="BB28" s="54">
        <f t="shared" si="74"/>
        <v>19.840115959453129</v>
      </c>
      <c r="BC28" s="54">
        <f t="shared" si="74"/>
        <v>20.832121757425789</v>
      </c>
      <c r="BD28" s="54">
        <f t="shared" si="74"/>
        <v>21.873727845297079</v>
      </c>
      <c r="BE28" s="54">
        <f t="shared" si="74"/>
        <v>22.967414237561936</v>
      </c>
      <c r="BF28" s="54">
        <f t="shared" si="74"/>
        <v>24.115784949440037</v>
      </c>
      <c r="BI28">
        <f t="shared" si="9"/>
        <v>21</v>
      </c>
    </row>
    <row r="29" spans="2:61" outlineLevel="1">
      <c r="B29" s="4" t="s">
        <v>50</v>
      </c>
      <c r="C29" s="54">
        <f t="shared" si="71"/>
        <v>23.405000000000001</v>
      </c>
      <c r="D29" s="54">
        <f t="shared" si="68"/>
        <v>40.944000000000003</v>
      </c>
      <c r="E29" s="54">
        <f t="shared" si="68"/>
        <v>48.626999999999967</v>
      </c>
      <c r="F29" s="54">
        <f t="shared" si="68"/>
        <v>44.347999999999999</v>
      </c>
      <c r="G29" s="54">
        <f t="shared" si="68"/>
        <v>37.094000000000001</v>
      </c>
      <c r="H29" s="54">
        <f t="shared" si="68"/>
        <v>13.431000000000001</v>
      </c>
      <c r="I29" s="54">
        <f t="shared" si="68"/>
        <v>9.7490000000000006</v>
      </c>
      <c r="J29" s="54">
        <f t="shared" si="68"/>
        <v>18.065999999999995</v>
      </c>
      <c r="K29" s="54">
        <f t="shared" si="68"/>
        <v>16.082272500000002</v>
      </c>
      <c r="L29" s="54">
        <f t="shared" si="68"/>
        <v>19.803359050453128</v>
      </c>
      <c r="M29" s="54">
        <f t="shared" si="68"/>
        <v>24.07110669681985</v>
      </c>
      <c r="O29" s="54">
        <f t="shared" ref="O29:AT29" si="75">O15+O22</f>
        <v>5.0400000000000009</v>
      </c>
      <c r="P29" s="54">
        <f t="shared" si="75"/>
        <v>5.8819999999999997</v>
      </c>
      <c r="Q29" s="54">
        <f t="shared" si="75"/>
        <v>5.3159999999999998</v>
      </c>
      <c r="R29" s="54">
        <f t="shared" si="75"/>
        <v>7.1670000000000007</v>
      </c>
      <c r="S29" s="54">
        <f t="shared" si="75"/>
        <v>8.39</v>
      </c>
      <c r="T29" s="54">
        <f t="shared" si="75"/>
        <v>11.351000000000001</v>
      </c>
      <c r="U29" s="54">
        <f t="shared" si="75"/>
        <v>9.5309999999999988</v>
      </c>
      <c r="V29" s="54">
        <f t="shared" si="75"/>
        <v>11.672000000000001</v>
      </c>
      <c r="W29" s="54">
        <f t="shared" si="75"/>
        <v>11.987</v>
      </c>
      <c r="X29" s="54">
        <f t="shared" si="75"/>
        <v>12.106999999999999</v>
      </c>
      <c r="Y29" s="54">
        <f t="shared" si="75"/>
        <v>12.228999999999992</v>
      </c>
      <c r="Z29" s="54">
        <f t="shared" si="75"/>
        <v>12.303999999999975</v>
      </c>
      <c r="AA29" s="54">
        <f t="shared" si="75"/>
        <v>13.863</v>
      </c>
      <c r="AB29" s="54">
        <f t="shared" si="75"/>
        <v>11.503</v>
      </c>
      <c r="AC29" s="54">
        <f t="shared" si="75"/>
        <v>10.225</v>
      </c>
      <c r="AD29" s="54">
        <f t="shared" si="75"/>
        <v>8.7570000000000014</v>
      </c>
      <c r="AE29" s="54">
        <f t="shared" si="75"/>
        <v>8.73</v>
      </c>
      <c r="AF29" s="54">
        <f t="shared" si="75"/>
        <v>9.2439999999999998</v>
      </c>
      <c r="AG29" s="54">
        <f t="shared" si="75"/>
        <v>11.449</v>
      </c>
      <c r="AH29" s="54">
        <f t="shared" si="75"/>
        <v>7.6710000000000003</v>
      </c>
      <c r="AI29" s="54">
        <f t="shared" si="75"/>
        <v>3.702</v>
      </c>
      <c r="AJ29" s="54">
        <f t="shared" si="75"/>
        <v>5.0369999999999999</v>
      </c>
      <c r="AK29" s="54">
        <f t="shared" si="75"/>
        <v>3.508</v>
      </c>
      <c r="AL29" s="54">
        <f t="shared" si="75"/>
        <v>1.1840000000000002</v>
      </c>
      <c r="AM29" s="54">
        <f t="shared" si="75"/>
        <v>1.8770000000000002</v>
      </c>
      <c r="AN29" s="54">
        <f t="shared" si="75"/>
        <v>3.0720000000000005</v>
      </c>
      <c r="AO29" s="54">
        <f t="shared" si="75"/>
        <v>2.4379999999999997</v>
      </c>
      <c r="AP29" s="54">
        <f t="shared" si="75"/>
        <v>2.3620000000000001</v>
      </c>
      <c r="AQ29" s="54">
        <f t="shared" si="75"/>
        <v>2.0139999999999998</v>
      </c>
      <c r="AR29" s="54">
        <f t="shared" si="75"/>
        <v>6.3599999999999994</v>
      </c>
      <c r="AS29" s="54">
        <f t="shared" si="75"/>
        <v>5.0520000000000014</v>
      </c>
      <c r="AT29" s="54">
        <f t="shared" si="75"/>
        <v>4.639999999999997</v>
      </c>
      <c r="AU29" s="54">
        <f t="shared" ref="AU29:BF29" si="76">AU69*AU15</f>
        <v>3.5700000000000003</v>
      </c>
      <c r="AV29" s="54">
        <f t="shared" si="76"/>
        <v>3.9689999999999999</v>
      </c>
      <c r="AW29" s="54">
        <f t="shared" si="76"/>
        <v>4.1674500000000005</v>
      </c>
      <c r="AX29" s="54">
        <f t="shared" si="76"/>
        <v>4.3758224999999999</v>
      </c>
      <c r="AY29" s="54">
        <f t="shared" si="76"/>
        <v>4.594613625</v>
      </c>
      <c r="AZ29" s="54">
        <f t="shared" si="76"/>
        <v>4.8243443062500013</v>
      </c>
      <c r="BA29" s="54">
        <f t="shared" si="76"/>
        <v>5.0655615215625014</v>
      </c>
      <c r="BB29" s="54">
        <f t="shared" si="76"/>
        <v>5.3188395976406264</v>
      </c>
      <c r="BC29" s="54">
        <f t="shared" si="76"/>
        <v>5.5847815775226586</v>
      </c>
      <c r="BD29" s="54">
        <f t="shared" si="76"/>
        <v>5.8640206563987913</v>
      </c>
      <c r="BE29" s="54">
        <f t="shared" si="76"/>
        <v>6.1572216892187317</v>
      </c>
      <c r="BF29" s="54">
        <f t="shared" si="76"/>
        <v>6.4650827736796677</v>
      </c>
      <c r="BI29">
        <f t="shared" si="9"/>
        <v>22</v>
      </c>
    </row>
    <row r="30" spans="2:61" outlineLevel="1">
      <c r="B30" s="5" t="s">
        <v>54</v>
      </c>
      <c r="C30" s="21">
        <f>SUM(C26:C29)</f>
        <v>565.13300000000004</v>
      </c>
      <c r="D30" s="21">
        <f t="shared" ref="D30" si="77">SUM(D26:D29)</f>
        <v>1026.452</v>
      </c>
      <c r="E30" s="21">
        <f t="shared" ref="E30" si="78">SUM(E26:E29)</f>
        <v>1055.7420000000002</v>
      </c>
      <c r="F30" s="21">
        <f t="shared" ref="F30" si="79">SUM(F26:F29)</f>
        <v>924.89899999999977</v>
      </c>
      <c r="G30" s="21">
        <f t="shared" ref="G30" si="80">SUM(G26:G29)</f>
        <v>1066.22</v>
      </c>
      <c r="H30" s="21">
        <f t="shared" ref="H30" si="81">SUM(H26:H29)</f>
        <v>589.44100000000014</v>
      </c>
      <c r="I30" s="21">
        <f t="shared" ref="I30" si="82">SUM(I26:I29)</f>
        <v>242.53700000000003</v>
      </c>
      <c r="J30" s="21">
        <f t="shared" ref="J30" si="83">SUM(J26:J29)</f>
        <v>637.87799999999993</v>
      </c>
      <c r="K30" s="21">
        <f t="shared" ref="K30" si="84">SUM(K26:K29)</f>
        <v>1002.5150406563986</v>
      </c>
      <c r="L30" s="21">
        <f t="shared" ref="L30" si="85">SUM(L26:L29)</f>
        <v>1328.0811213565471</v>
      </c>
      <c r="M30" s="21">
        <f t="shared" ref="M30" si="86">SUM(M26:M29)</f>
        <v>1469.2153634527829</v>
      </c>
      <c r="O30" s="21">
        <f t="shared" ref="O30:AR30" si="87">SUM(O26:O29)</f>
        <v>95.259000000000029</v>
      </c>
      <c r="P30" s="21">
        <f t="shared" si="87"/>
        <v>113.94400000000002</v>
      </c>
      <c r="Q30" s="21">
        <f t="shared" si="87"/>
        <v>150.87500000000003</v>
      </c>
      <c r="R30" s="21">
        <f t="shared" si="87"/>
        <v>205.05500000000004</v>
      </c>
      <c r="S30" s="21">
        <f t="shared" si="87"/>
        <v>228.13299999999998</v>
      </c>
      <c r="T30" s="21">
        <f t="shared" si="87"/>
        <v>250.34099999999998</v>
      </c>
      <c r="U30" s="21">
        <f t="shared" si="87"/>
        <v>261.827</v>
      </c>
      <c r="V30" s="21">
        <f t="shared" si="87"/>
        <v>286.15100000000001</v>
      </c>
      <c r="W30" s="21">
        <f t="shared" si="87"/>
        <v>293.68500000000006</v>
      </c>
      <c r="X30" s="21">
        <f t="shared" si="87"/>
        <v>267.75800000000004</v>
      </c>
      <c r="Y30" s="21">
        <f t="shared" si="87"/>
        <v>246.24600000000001</v>
      </c>
      <c r="Z30" s="21">
        <f t="shared" si="87"/>
        <v>248.053</v>
      </c>
      <c r="AA30" s="21">
        <f t="shared" si="87"/>
        <v>248.88899999999998</v>
      </c>
      <c r="AB30" s="21">
        <f t="shared" si="87"/>
        <v>225.07400000000001</v>
      </c>
      <c r="AC30" s="21">
        <f t="shared" si="87"/>
        <v>220.68699999999995</v>
      </c>
      <c r="AD30" s="21">
        <f t="shared" si="87"/>
        <v>230.24899999999994</v>
      </c>
      <c r="AE30" s="21">
        <f t="shared" si="87"/>
        <v>224.02700000000002</v>
      </c>
      <c r="AF30" s="21">
        <f t="shared" si="87"/>
        <v>257.10900000000004</v>
      </c>
      <c r="AG30" s="21">
        <f t="shared" si="87"/>
        <v>283.142</v>
      </c>
      <c r="AH30" s="21">
        <f t="shared" si="87"/>
        <v>301.94200000000001</v>
      </c>
      <c r="AI30" s="21">
        <f t="shared" si="87"/>
        <v>213.57200000000003</v>
      </c>
      <c r="AJ30" s="21">
        <f t="shared" si="87"/>
        <v>157.77799999999999</v>
      </c>
      <c r="AK30" s="21">
        <f t="shared" si="87"/>
        <v>115.51700000000001</v>
      </c>
      <c r="AL30" s="21">
        <f t="shared" si="87"/>
        <v>102.57400000000001</v>
      </c>
      <c r="AM30" s="21">
        <f t="shared" si="87"/>
        <v>81.361999999999981</v>
      </c>
      <c r="AN30" s="21">
        <f t="shared" si="87"/>
        <v>53.489000000000004</v>
      </c>
      <c r="AO30" s="21">
        <f t="shared" si="87"/>
        <v>51.410000000000011</v>
      </c>
      <c r="AP30" s="21">
        <f t="shared" si="87"/>
        <v>56.276000000000018</v>
      </c>
      <c r="AQ30" s="21">
        <f t="shared" si="87"/>
        <v>74.682000000000002</v>
      </c>
      <c r="AR30" s="21">
        <f t="shared" si="87"/>
        <v>151.95699999999999</v>
      </c>
      <c r="AS30" s="21">
        <f t="shared" ref="AS30:AT30" si="88">SUM(AS26:AS29)</f>
        <v>191.83499999999995</v>
      </c>
      <c r="AT30" s="21">
        <f t="shared" si="88"/>
        <v>219.40399999999994</v>
      </c>
      <c r="AU30" s="21">
        <f t="shared" ref="AU30" si="89">SUM(AU26:AU29)</f>
        <v>209.17486755102041</v>
      </c>
      <c r="AV30" s="21">
        <f t="shared" ref="AV30" si="90">SUM(AV26:AV29)</f>
        <v>236.04605908255508</v>
      </c>
      <c r="AW30" s="21">
        <f t="shared" ref="AW30" si="91">SUM(AW26:AW29)</f>
        <v>267.12549488786283</v>
      </c>
      <c r="AX30" s="21">
        <f t="shared" ref="AX30" si="92">SUM(AX26:AX29)</f>
        <v>290.16861913496018</v>
      </c>
      <c r="AY30" s="21">
        <f t="shared" ref="AY30" si="93">SUM(AY26:AY29)</f>
        <v>304.02395328949927</v>
      </c>
      <c r="AZ30" s="21">
        <f t="shared" ref="AZ30" si="94">SUM(AZ26:AZ29)</f>
        <v>324.49753328153832</v>
      </c>
      <c r="BA30" s="21">
        <f t="shared" ref="BA30" si="95">SUM(BA26:BA29)</f>
        <v>344.4245859391259</v>
      </c>
      <c r="BB30" s="21">
        <f t="shared" ref="BB30" si="96">SUM(BB26:BB29)</f>
        <v>355.13504884638377</v>
      </c>
      <c r="BC30" s="21">
        <f t="shared" ref="BC30" si="97">SUM(BC26:BC29)</f>
        <v>361.42570532650797</v>
      </c>
      <c r="BD30" s="21">
        <f t="shared" ref="BD30" si="98">SUM(BD26:BD29)</f>
        <v>364.56655049325542</v>
      </c>
      <c r="BE30" s="21">
        <f t="shared" ref="BE30" si="99">SUM(BE26:BE29)</f>
        <v>369.96343791834016</v>
      </c>
      <c r="BF30" s="21">
        <f t="shared" ref="BF30" si="100">SUM(BF26:BF29)</f>
        <v>373.25966971467921</v>
      </c>
      <c r="BI30">
        <f t="shared" si="9"/>
        <v>23</v>
      </c>
    </row>
    <row r="31" spans="2:61" outlineLevel="1">
      <c r="B31" s="4" t="s">
        <v>55</v>
      </c>
      <c r="C31" s="54">
        <f>SUMIFS($O31:$BG31,$O$5:$BG$5,C$5)</f>
        <v>-50.841999999999999</v>
      </c>
      <c r="D31" s="54">
        <f t="shared" si="68"/>
        <v>-64.271000000000001</v>
      </c>
      <c r="E31" s="54">
        <f t="shared" si="68"/>
        <v>-64.473000000000013</v>
      </c>
      <c r="F31" s="54">
        <f t="shared" si="68"/>
        <v>-73.85199999999999</v>
      </c>
      <c r="G31" s="54">
        <f t="shared" si="68"/>
        <v>-80.144999999999996</v>
      </c>
      <c r="H31" s="54">
        <f t="shared" si="68"/>
        <v>-74.912999999999997</v>
      </c>
      <c r="I31" s="54">
        <f t="shared" si="68"/>
        <v>-69.204999999999984</v>
      </c>
      <c r="J31" s="54">
        <f t="shared" si="68"/>
        <v>-104.581</v>
      </c>
      <c r="K31" s="54">
        <f t="shared" si="68"/>
        <v>-131.89145600000001</v>
      </c>
      <c r="L31" s="54">
        <f t="shared" si="68"/>
        <v>-142.76355360362498</v>
      </c>
      <c r="M31" s="54">
        <f t="shared" si="68"/>
        <v>-154.53186169644758</v>
      </c>
      <c r="O31" s="83">
        <v>-11.462999999999999</v>
      </c>
      <c r="P31" s="83">
        <v>-12.343</v>
      </c>
      <c r="Q31" s="83">
        <v>-13.685</v>
      </c>
      <c r="R31" s="83">
        <f>-15.551+2.2</f>
        <v>-13.350999999999999</v>
      </c>
      <c r="S31" s="83">
        <v>-15.975</v>
      </c>
      <c r="T31" s="83">
        <v>-16.748999999999999</v>
      </c>
      <c r="U31" s="83">
        <v>-15.957000000000001</v>
      </c>
      <c r="V31" s="83">
        <v>-15.59</v>
      </c>
      <c r="W31" s="83">
        <v>-13.868</v>
      </c>
      <c r="X31" s="83">
        <v>-16.719000000000001</v>
      </c>
      <c r="Y31" s="83">
        <v>-17.222000000000001</v>
      </c>
      <c r="Z31" s="83">
        <v>-16.664000000000001</v>
      </c>
      <c r="AA31" s="83">
        <v>-17.396999999999998</v>
      </c>
      <c r="AB31" s="83">
        <v>-18.318999999999999</v>
      </c>
      <c r="AC31" s="83">
        <v>-19.579999999999998</v>
      </c>
      <c r="AD31" s="83">
        <v>-18.556000000000001</v>
      </c>
      <c r="AE31" s="83">
        <v>-19.672999999999998</v>
      </c>
      <c r="AF31" s="83">
        <v>-19.547999999999998</v>
      </c>
      <c r="AG31" s="83">
        <v>-18.896000000000001</v>
      </c>
      <c r="AH31" s="83">
        <v>-22.027999999999999</v>
      </c>
      <c r="AI31" s="83">
        <f>-32.797+12.26</f>
        <v>-20.536999999999999</v>
      </c>
      <c r="AJ31" s="83">
        <v>-19.216000000000001</v>
      </c>
      <c r="AK31" s="83">
        <v>-18.582000000000001</v>
      </c>
      <c r="AL31" s="83">
        <v>-16.577999999999999</v>
      </c>
      <c r="AM31" s="83">
        <f>-17.972</f>
        <v>-17.972000000000001</v>
      </c>
      <c r="AN31" s="83">
        <v>-17.087</v>
      </c>
      <c r="AO31" s="83">
        <v>-16.611999999999998</v>
      </c>
      <c r="AP31" s="83">
        <v>-17.533999999999999</v>
      </c>
      <c r="AQ31" s="83">
        <v>-18.852</v>
      </c>
      <c r="AR31" s="83">
        <f>-23.478</f>
        <v>-23.478000000000002</v>
      </c>
      <c r="AS31" s="83">
        <f>-27.551</f>
        <v>-27.550999999999998</v>
      </c>
      <c r="AT31" s="83">
        <f>-34.7</f>
        <v>-34.700000000000003</v>
      </c>
      <c r="AU31" s="82">
        <v>-32</v>
      </c>
      <c r="AV31" s="82">
        <f t="shared" ref="AV31:BB31" si="101">AU31*1.02</f>
        <v>-32.64</v>
      </c>
      <c r="AW31" s="82">
        <f t="shared" si="101"/>
        <v>-33.2928</v>
      </c>
      <c r="AX31" s="82">
        <f t="shared" si="101"/>
        <v>-33.958655999999998</v>
      </c>
      <c r="AY31" s="82">
        <f t="shared" si="101"/>
        <v>-34.637829119999999</v>
      </c>
      <c r="AZ31" s="82">
        <f t="shared" si="101"/>
        <v>-35.330585702400001</v>
      </c>
      <c r="BA31" s="82">
        <f t="shared" si="101"/>
        <v>-36.037197416448002</v>
      </c>
      <c r="BB31" s="82">
        <f t="shared" si="101"/>
        <v>-36.757941364776961</v>
      </c>
      <c r="BC31" s="82">
        <f>BB31*1.02</f>
        <v>-37.493100192072504</v>
      </c>
      <c r="BD31" s="82">
        <f>BC31*1.02</f>
        <v>-38.242962195913954</v>
      </c>
      <c r="BE31" s="82">
        <f>BD31*1.02</f>
        <v>-39.007821439832234</v>
      </c>
      <c r="BF31" s="82">
        <f>BE31*1.02</f>
        <v>-39.787977868628879</v>
      </c>
      <c r="BI31">
        <f t="shared" si="9"/>
        <v>24</v>
      </c>
    </row>
    <row r="32" spans="2:61" outlineLevel="1">
      <c r="B32" s="5" t="s">
        <v>56</v>
      </c>
      <c r="C32" s="21">
        <f t="shared" ref="C32" si="102">+C30+C31</f>
        <v>514.29100000000005</v>
      </c>
      <c r="D32" s="21">
        <f t="shared" ref="D32" si="103">+D30+D31</f>
        <v>962.18100000000004</v>
      </c>
      <c r="E32" s="21">
        <f t="shared" ref="E32" si="104">+E30+E31</f>
        <v>991.26900000000023</v>
      </c>
      <c r="F32" s="21">
        <f t="shared" ref="F32" si="105">+F30+F31</f>
        <v>851.0469999999998</v>
      </c>
      <c r="G32" s="21">
        <f t="shared" ref="G32" si="106">+G30+G31</f>
        <v>986.07500000000005</v>
      </c>
      <c r="H32" s="21">
        <f t="shared" ref="H32" si="107">+H30+H31</f>
        <v>514.52800000000013</v>
      </c>
      <c r="I32" s="21">
        <f t="shared" ref="I32" si="108">+I30+I31</f>
        <v>173.33200000000005</v>
      </c>
      <c r="J32" s="21">
        <f t="shared" ref="J32" si="109">+J30+J31</f>
        <v>533.29699999999991</v>
      </c>
      <c r="K32" s="21">
        <f t="shared" ref="K32" si="110">+K30+K31</f>
        <v>870.62358465639863</v>
      </c>
      <c r="L32" s="21">
        <f t="shared" ref="L32" si="111">+L30+L31</f>
        <v>1185.3175677529221</v>
      </c>
      <c r="M32" s="21">
        <f t="shared" ref="M32" si="112">+M30+M31</f>
        <v>1314.6835017563353</v>
      </c>
      <c r="O32" s="21">
        <f t="shared" ref="O32:AR32" si="113">+O30+O31</f>
        <v>83.796000000000035</v>
      </c>
      <c r="P32" s="21">
        <f t="shared" si="113"/>
        <v>101.60100000000001</v>
      </c>
      <c r="Q32" s="21">
        <f t="shared" si="113"/>
        <v>137.19000000000003</v>
      </c>
      <c r="R32" s="21">
        <f t="shared" si="113"/>
        <v>191.70400000000004</v>
      </c>
      <c r="S32" s="21">
        <f t="shared" si="113"/>
        <v>212.15799999999999</v>
      </c>
      <c r="T32" s="21">
        <f t="shared" si="113"/>
        <v>233.59199999999998</v>
      </c>
      <c r="U32" s="21">
        <f t="shared" si="113"/>
        <v>245.87</v>
      </c>
      <c r="V32" s="21">
        <f t="shared" si="113"/>
        <v>270.56100000000004</v>
      </c>
      <c r="W32" s="21">
        <f t="shared" si="113"/>
        <v>279.81700000000006</v>
      </c>
      <c r="X32" s="21">
        <f t="shared" si="113"/>
        <v>251.03900000000004</v>
      </c>
      <c r="Y32" s="21">
        <f t="shared" si="113"/>
        <v>229.024</v>
      </c>
      <c r="Z32" s="21">
        <f t="shared" si="113"/>
        <v>231.38900000000001</v>
      </c>
      <c r="AA32" s="21">
        <f t="shared" si="113"/>
        <v>231.49199999999999</v>
      </c>
      <c r="AB32" s="21">
        <f t="shared" si="113"/>
        <v>206.75500000000002</v>
      </c>
      <c r="AC32" s="21">
        <f t="shared" si="113"/>
        <v>201.10699999999997</v>
      </c>
      <c r="AD32" s="21">
        <f t="shared" si="113"/>
        <v>211.69299999999993</v>
      </c>
      <c r="AE32" s="21">
        <f t="shared" si="113"/>
        <v>204.35400000000001</v>
      </c>
      <c r="AF32" s="21">
        <f t="shared" si="113"/>
        <v>237.56100000000004</v>
      </c>
      <c r="AG32" s="21">
        <f t="shared" si="113"/>
        <v>264.24599999999998</v>
      </c>
      <c r="AH32" s="21">
        <f t="shared" si="113"/>
        <v>279.91399999999999</v>
      </c>
      <c r="AI32" s="21">
        <f t="shared" si="113"/>
        <v>193.03500000000003</v>
      </c>
      <c r="AJ32" s="21">
        <f t="shared" si="113"/>
        <v>138.56199999999998</v>
      </c>
      <c r="AK32" s="21">
        <f t="shared" si="113"/>
        <v>96.935000000000002</v>
      </c>
      <c r="AL32" s="21">
        <f t="shared" si="113"/>
        <v>85.996000000000009</v>
      </c>
      <c r="AM32" s="21">
        <f t="shared" si="113"/>
        <v>63.389999999999979</v>
      </c>
      <c r="AN32" s="21">
        <f t="shared" si="113"/>
        <v>36.402000000000001</v>
      </c>
      <c r="AO32" s="21">
        <f t="shared" si="113"/>
        <v>34.798000000000016</v>
      </c>
      <c r="AP32" s="21">
        <f t="shared" si="113"/>
        <v>38.742000000000019</v>
      </c>
      <c r="AQ32" s="21">
        <f t="shared" si="113"/>
        <v>55.83</v>
      </c>
      <c r="AR32" s="21">
        <f t="shared" si="113"/>
        <v>128.47899999999998</v>
      </c>
      <c r="AS32" s="21">
        <f>+AS30+AS31</f>
        <v>164.28399999999996</v>
      </c>
      <c r="AT32" s="21">
        <f>+AT30+AT31</f>
        <v>184.70399999999995</v>
      </c>
      <c r="AU32" s="21">
        <f t="shared" ref="AU32:BF32" si="114">+AU30+AU31</f>
        <v>177.17486755102041</v>
      </c>
      <c r="AV32" s="21">
        <f t="shared" si="114"/>
        <v>203.40605908255509</v>
      </c>
      <c r="AW32" s="21">
        <f t="shared" si="114"/>
        <v>233.83269488786283</v>
      </c>
      <c r="AX32" s="21">
        <f t="shared" si="114"/>
        <v>256.20996313496016</v>
      </c>
      <c r="AY32" s="21">
        <f t="shared" si="114"/>
        <v>269.38612416949928</v>
      </c>
      <c r="AZ32" s="21">
        <f t="shared" si="114"/>
        <v>289.16694757913831</v>
      </c>
      <c r="BA32" s="21">
        <f t="shared" si="114"/>
        <v>308.3873885226779</v>
      </c>
      <c r="BB32" s="21">
        <f t="shared" si="114"/>
        <v>318.3771074816068</v>
      </c>
      <c r="BC32" s="21">
        <f t="shared" si="114"/>
        <v>323.93260513443545</v>
      </c>
      <c r="BD32" s="21">
        <f t="shared" si="114"/>
        <v>326.32358829734147</v>
      </c>
      <c r="BE32" s="21">
        <f t="shared" si="114"/>
        <v>330.95561647850792</v>
      </c>
      <c r="BF32" s="21">
        <f t="shared" si="114"/>
        <v>333.47169184605031</v>
      </c>
      <c r="BI32">
        <f t="shared" si="9"/>
        <v>25</v>
      </c>
    </row>
    <row r="33" spans="1:67" outlineLevel="1">
      <c r="B33" s="4" t="s">
        <v>58</v>
      </c>
      <c r="C33" s="54">
        <f t="shared" ref="C33:C34" si="115">SUMIFS($O33:$BG33,$O$5:$BG$5,C$5)</f>
        <v>-333.49299999999999</v>
      </c>
      <c r="D33" s="54">
        <f t="shared" si="68"/>
        <v>-425.97900000000004</v>
      </c>
      <c r="E33" s="54">
        <f t="shared" si="68"/>
        <v>-514.11400000000003</v>
      </c>
      <c r="F33" s="54">
        <f t="shared" si="68"/>
        <v>-559.66899999999998</v>
      </c>
      <c r="G33" s="54">
        <f t="shared" si="68"/>
        <v>-624.03199999999993</v>
      </c>
      <c r="H33" s="54">
        <f t="shared" si="68"/>
        <v>-700.88200000000006</v>
      </c>
      <c r="I33" s="54">
        <f t="shared" si="68"/>
        <v>-666.23299999999995</v>
      </c>
      <c r="J33" s="54">
        <f t="shared" si="68"/>
        <v>-754.36200000000008</v>
      </c>
      <c r="K33" s="54">
        <f t="shared" si="68"/>
        <v>-824.41942457326263</v>
      </c>
      <c r="L33" s="54">
        <f t="shared" si="68"/>
        <v>-859.16085662847684</v>
      </c>
      <c r="M33" s="54">
        <f t="shared" si="68"/>
        <v>-866.14456990204189</v>
      </c>
      <c r="O33" s="82">
        <v>-75.715999999999994</v>
      </c>
      <c r="P33" s="82">
        <v>-78.783000000000001</v>
      </c>
      <c r="Q33" s="82">
        <v>-85.430999999999997</v>
      </c>
      <c r="R33" s="82">
        <v>-93.563000000000002</v>
      </c>
      <c r="S33" s="82">
        <v>-96.215000000000003</v>
      </c>
      <c r="T33" s="82">
        <v>-102.749</v>
      </c>
      <c r="U33" s="82">
        <v>-110.71299999999999</v>
      </c>
      <c r="V33" s="82">
        <v>-116.30200000000001</v>
      </c>
      <c r="W33" s="82">
        <v>-122.953</v>
      </c>
      <c r="X33" s="82">
        <v>-128.477</v>
      </c>
      <c r="Y33" s="82">
        <v>-129.893</v>
      </c>
      <c r="Z33" s="82">
        <v>-132.791</v>
      </c>
      <c r="AA33" s="82">
        <v>-136.435</v>
      </c>
      <c r="AB33" s="82">
        <v>-137.18199999999999</v>
      </c>
      <c r="AC33" s="82">
        <v>-140.73400000000001</v>
      </c>
      <c r="AD33" s="82">
        <v>-145.31799999999998</v>
      </c>
      <c r="AE33" s="82">
        <v>-147.322</v>
      </c>
      <c r="AF33" s="82">
        <v>-153.42599999999999</v>
      </c>
      <c r="AG33" s="82">
        <v>-159.94599999999997</v>
      </c>
      <c r="AH33" s="82">
        <v>-163.33800000000002</v>
      </c>
      <c r="AI33" s="82">
        <v>-172.018</v>
      </c>
      <c r="AJ33" s="82">
        <v>-177.82400000000001</v>
      </c>
      <c r="AK33" s="82">
        <v>-177.143</v>
      </c>
      <c r="AL33" s="82">
        <v>-173.89699999999999</v>
      </c>
      <c r="AM33" s="82">
        <v>-174.56900000000002</v>
      </c>
      <c r="AN33" s="82">
        <v>-170.97499999999999</v>
      </c>
      <c r="AO33" s="82">
        <v>-163.464</v>
      </c>
      <c r="AP33" s="82">
        <v>-157.22499999999999</v>
      </c>
      <c r="AQ33" s="82">
        <v>-156.21700000000001</v>
      </c>
      <c r="AR33" s="82">
        <v>-190.34899999999999</v>
      </c>
      <c r="AS33" s="82">
        <v>-196.642</v>
      </c>
      <c r="AT33" s="82">
        <v>-211.154</v>
      </c>
      <c r="AU33" s="82">
        <v>-205</v>
      </c>
      <c r="AV33" s="109">
        <f t="shared" ref="AV33:BF33" si="116">-AV71/4*AU309</f>
        <v>-205.6896130517903</v>
      </c>
      <c r="AW33" s="109">
        <f t="shared" si="116"/>
        <v>-206.44894515684058</v>
      </c>
      <c r="AX33" s="109">
        <f t="shared" si="116"/>
        <v>-207.28086636463169</v>
      </c>
      <c r="AY33" s="109">
        <f t="shared" si="116"/>
        <v>-210.76347190672888</v>
      </c>
      <c r="AZ33" s="109">
        <f t="shared" si="116"/>
        <v>-212.95133137507113</v>
      </c>
      <c r="BA33" s="109">
        <f t="shared" si="116"/>
        <v>-215.09931035946954</v>
      </c>
      <c r="BB33" s="109">
        <f t="shared" si="116"/>
        <v>-220.34674298720725</v>
      </c>
      <c r="BC33" s="109">
        <f t="shared" si="116"/>
        <v>-220.51039657428601</v>
      </c>
      <c r="BD33" s="109">
        <f t="shared" si="116"/>
        <v>-217.74329253621968</v>
      </c>
      <c r="BE33" s="109">
        <f t="shared" si="116"/>
        <v>-215.14857666226837</v>
      </c>
      <c r="BF33" s="109">
        <f t="shared" si="116"/>
        <v>-212.74230412926789</v>
      </c>
      <c r="BI33">
        <f t="shared" si="9"/>
        <v>26</v>
      </c>
    </row>
    <row r="34" spans="1:67" outlineLevel="1">
      <c r="B34" s="4" t="s">
        <v>57</v>
      </c>
      <c r="C34" s="54">
        <f t="shared" si="115"/>
        <v>2.3729999999999998</v>
      </c>
      <c r="D34" s="54">
        <f t="shared" si="68"/>
        <v>4.9989999999999997</v>
      </c>
      <c r="E34" s="54">
        <f t="shared" si="68"/>
        <v>5.4739999999999993</v>
      </c>
      <c r="F34" s="54">
        <f t="shared" si="68"/>
        <v>3.3839999999999995</v>
      </c>
      <c r="G34" s="54">
        <f t="shared" si="68"/>
        <v>15.780999999999999</v>
      </c>
      <c r="H34" s="54">
        <f t="shared" si="68"/>
        <v>10.613</v>
      </c>
      <c r="I34" s="54">
        <f t="shared" si="68"/>
        <v>14.323</v>
      </c>
      <c r="J34" s="54">
        <f t="shared" si="68"/>
        <v>12.329999999999998</v>
      </c>
      <c r="K34" s="54">
        <f t="shared" si="68"/>
        <v>8</v>
      </c>
      <c r="L34" s="54">
        <f t="shared" si="68"/>
        <v>8</v>
      </c>
      <c r="M34" s="54">
        <f t="shared" si="68"/>
        <v>8</v>
      </c>
      <c r="O34" s="61">
        <v>-0.249</v>
      </c>
      <c r="P34" s="61">
        <v>1</v>
      </c>
      <c r="Q34" s="61">
        <v>0.75</v>
      </c>
      <c r="R34" s="61">
        <v>0.872</v>
      </c>
      <c r="S34" s="61">
        <v>1.6040000000000001</v>
      </c>
      <c r="T34" s="61">
        <v>1.0169999999999999</v>
      </c>
      <c r="U34" s="61">
        <v>1.4370000000000001</v>
      </c>
      <c r="V34" s="61">
        <v>0.94099999999999995</v>
      </c>
      <c r="W34" s="61">
        <v>2.4</v>
      </c>
      <c r="X34" s="61">
        <v>0</v>
      </c>
      <c r="Y34" s="61">
        <v>1.9630000000000001</v>
      </c>
      <c r="Z34" s="61">
        <v>1.111</v>
      </c>
      <c r="AA34" s="61">
        <v>-0.125</v>
      </c>
      <c r="AB34" s="61">
        <v>1.0329999999999999</v>
      </c>
      <c r="AC34" s="61">
        <v>1.3779999999999999</v>
      </c>
      <c r="AD34" s="61">
        <v>1.0980000000000001</v>
      </c>
      <c r="AE34" s="61">
        <v>1.744</v>
      </c>
      <c r="AF34" s="61">
        <v>3.0910000000000002</v>
      </c>
      <c r="AG34" s="61">
        <v>3.87</v>
      </c>
      <c r="AH34" s="61">
        <v>7.0759999999999996</v>
      </c>
      <c r="AI34" s="61">
        <v>2.9159999999999999</v>
      </c>
      <c r="AJ34" s="61">
        <v>2.9980000000000002</v>
      </c>
      <c r="AK34" s="61">
        <v>1.3620000000000001</v>
      </c>
      <c r="AL34" s="61">
        <v>3.3370000000000002</v>
      </c>
      <c r="AM34" s="61">
        <v>1.345</v>
      </c>
      <c r="AN34" s="61">
        <v>4.8220000000000001</v>
      </c>
      <c r="AO34" s="61">
        <v>4.1180000000000003</v>
      </c>
      <c r="AP34" s="61">
        <v>4.0380000000000003</v>
      </c>
      <c r="AQ34" s="61">
        <v>1.6939999999999991</v>
      </c>
      <c r="AR34" s="61">
        <v>1.806</v>
      </c>
      <c r="AS34" s="61">
        <v>3.7909999999999999</v>
      </c>
      <c r="AT34" s="61">
        <f>13.456-8.417</f>
        <v>5.0389999999999997</v>
      </c>
      <c r="AU34" s="61">
        <v>2</v>
      </c>
      <c r="AV34" s="61">
        <v>2</v>
      </c>
      <c r="AW34" s="61">
        <v>2</v>
      </c>
      <c r="AX34" s="61">
        <v>2</v>
      </c>
      <c r="AY34" s="61">
        <v>2</v>
      </c>
      <c r="AZ34" s="61">
        <v>2</v>
      </c>
      <c r="BA34" s="61">
        <v>2</v>
      </c>
      <c r="BB34" s="61">
        <v>2</v>
      </c>
      <c r="BC34" s="61">
        <v>2</v>
      </c>
      <c r="BD34" s="61">
        <v>2</v>
      </c>
      <c r="BE34" s="61">
        <v>2</v>
      </c>
      <c r="BF34" s="61">
        <v>2</v>
      </c>
      <c r="BI34">
        <f t="shared" si="9"/>
        <v>27</v>
      </c>
    </row>
    <row r="35" spans="1:67" outlineLevel="1">
      <c r="B35" s="5" t="s">
        <v>59</v>
      </c>
      <c r="C35" s="21">
        <f t="shared" ref="C35:M35" si="117">SUM(C32:C34)</f>
        <v>183.17100000000005</v>
      </c>
      <c r="D35" s="21">
        <f t="shared" si="117"/>
        <v>541.20100000000002</v>
      </c>
      <c r="E35" s="21">
        <f t="shared" si="117"/>
        <v>482.62900000000019</v>
      </c>
      <c r="F35" s="21">
        <f t="shared" si="117"/>
        <v>294.76199999999983</v>
      </c>
      <c r="G35" s="21">
        <f t="shared" si="117"/>
        <v>377.82400000000013</v>
      </c>
      <c r="H35" s="21">
        <f t="shared" si="117"/>
        <v>-175.74099999999993</v>
      </c>
      <c r="I35" s="21">
        <f t="shared" si="117"/>
        <v>-478.57799999999992</v>
      </c>
      <c r="J35" s="21">
        <f t="shared" si="117"/>
        <v>-208.73500000000018</v>
      </c>
      <c r="K35" s="21">
        <f t="shared" si="117"/>
        <v>54.204160083136003</v>
      </c>
      <c r="L35" s="21">
        <f t="shared" si="117"/>
        <v>334.15671112444522</v>
      </c>
      <c r="M35" s="21">
        <f t="shared" si="117"/>
        <v>456.53893185429342</v>
      </c>
      <c r="O35" s="21">
        <f>SUM(O32:O34)</f>
        <v>7.8310000000000413</v>
      </c>
      <c r="P35" s="21">
        <f t="shared" ref="P35:BF35" si="118">SUM(P32:P34)</f>
        <v>23.818000000000012</v>
      </c>
      <c r="Q35" s="21">
        <f t="shared" si="118"/>
        <v>52.509000000000029</v>
      </c>
      <c r="R35" s="21">
        <f t="shared" si="118"/>
        <v>99.013000000000034</v>
      </c>
      <c r="S35" s="21">
        <f t="shared" si="118"/>
        <v>117.54699999999998</v>
      </c>
      <c r="T35" s="21">
        <f t="shared" si="118"/>
        <v>131.85999999999999</v>
      </c>
      <c r="U35" s="21">
        <f t="shared" si="118"/>
        <v>136.59400000000002</v>
      </c>
      <c r="V35" s="21">
        <f t="shared" si="118"/>
        <v>155.20000000000002</v>
      </c>
      <c r="W35" s="21">
        <f t="shared" si="118"/>
        <v>159.26400000000007</v>
      </c>
      <c r="X35" s="21">
        <f t="shared" si="118"/>
        <v>122.56200000000004</v>
      </c>
      <c r="Y35" s="21">
        <f t="shared" si="118"/>
        <v>101.09399999999999</v>
      </c>
      <c r="Z35" s="21">
        <f t="shared" si="118"/>
        <v>99.709000000000017</v>
      </c>
      <c r="AA35" s="21">
        <f t="shared" si="118"/>
        <v>94.931999999999988</v>
      </c>
      <c r="AB35" s="21">
        <f t="shared" si="118"/>
        <v>70.606000000000037</v>
      </c>
      <c r="AC35" s="21">
        <f t="shared" si="118"/>
        <v>61.750999999999962</v>
      </c>
      <c r="AD35" s="21">
        <f t="shared" si="118"/>
        <v>67.472999999999942</v>
      </c>
      <c r="AE35" s="21">
        <f t="shared" si="118"/>
        <v>58.77600000000001</v>
      </c>
      <c r="AF35" s="21">
        <f t="shared" si="118"/>
        <v>87.226000000000042</v>
      </c>
      <c r="AG35" s="21">
        <f t="shared" si="118"/>
        <v>108.17000000000002</v>
      </c>
      <c r="AH35" s="21">
        <f t="shared" si="118"/>
        <v>123.65199999999996</v>
      </c>
      <c r="AI35" s="21">
        <f t="shared" si="118"/>
        <v>23.933000000000025</v>
      </c>
      <c r="AJ35" s="21">
        <f t="shared" si="118"/>
        <v>-36.264000000000031</v>
      </c>
      <c r="AK35" s="21">
        <f t="shared" si="118"/>
        <v>-78.846000000000004</v>
      </c>
      <c r="AL35" s="21">
        <f t="shared" si="118"/>
        <v>-84.563999999999979</v>
      </c>
      <c r="AM35" s="21">
        <f t="shared" si="118"/>
        <v>-109.83400000000003</v>
      </c>
      <c r="AN35" s="21">
        <f t="shared" si="118"/>
        <v>-129.75099999999998</v>
      </c>
      <c r="AO35" s="21">
        <f t="shared" si="118"/>
        <v>-124.548</v>
      </c>
      <c r="AP35" s="21">
        <f t="shared" si="118"/>
        <v>-114.44499999999998</v>
      </c>
      <c r="AQ35" s="21">
        <f t="shared" si="118"/>
        <v>-98.693000000000012</v>
      </c>
      <c r="AR35" s="21">
        <f t="shared" si="118"/>
        <v>-60.064000000000007</v>
      </c>
      <c r="AS35" s="21">
        <f t="shared" si="118"/>
        <v>-28.567000000000032</v>
      </c>
      <c r="AT35" s="21">
        <f t="shared" si="118"/>
        <v>-21.411000000000044</v>
      </c>
      <c r="AU35" s="21">
        <f t="shared" si="118"/>
        <v>-25.825132448979588</v>
      </c>
      <c r="AV35" s="21">
        <f t="shared" si="118"/>
        <v>-0.28355396923521425</v>
      </c>
      <c r="AW35" s="21">
        <f t="shared" si="118"/>
        <v>29.383749731022249</v>
      </c>
      <c r="AX35" s="21">
        <f t="shared" si="118"/>
        <v>50.929096770328471</v>
      </c>
      <c r="AY35" s="21">
        <f t="shared" si="118"/>
        <v>60.622652262770401</v>
      </c>
      <c r="AZ35" s="21">
        <f t="shared" si="118"/>
        <v>78.215616204067175</v>
      </c>
      <c r="BA35" s="21">
        <f t="shared" si="118"/>
        <v>95.288078163208354</v>
      </c>
      <c r="BB35" s="21">
        <f t="shared" si="118"/>
        <v>100.03036449439955</v>
      </c>
      <c r="BC35" s="21">
        <f t="shared" si="118"/>
        <v>105.42220856014944</v>
      </c>
      <c r="BD35" s="21">
        <f t="shared" si="118"/>
        <v>110.58029576112179</v>
      </c>
      <c r="BE35" s="21">
        <f t="shared" si="118"/>
        <v>117.80703981623955</v>
      </c>
      <c r="BF35" s="21">
        <f t="shared" si="118"/>
        <v>122.72938771678241</v>
      </c>
      <c r="BI35">
        <f t="shared" si="9"/>
        <v>28</v>
      </c>
    </row>
    <row r="36" spans="1:67" outlineLevel="1">
      <c r="B36" s="8" t="s">
        <v>60</v>
      </c>
      <c r="C36" s="54">
        <f t="shared" ref="C36:C38" si="119">SUMIFS($O36:$BG36,$O$5:$BG$5,C$5)</f>
        <v>-8.1720000000000006</v>
      </c>
      <c r="D36" s="54">
        <f t="shared" si="68"/>
        <v>-15.651999999999999</v>
      </c>
      <c r="E36" s="54">
        <f t="shared" si="68"/>
        <v>-21.771999999999998</v>
      </c>
      <c r="F36" s="54">
        <f t="shared" si="68"/>
        <v>-28.359000000000002</v>
      </c>
      <c r="G36" s="54">
        <f t="shared" si="68"/>
        <v>-29.824999999999999</v>
      </c>
      <c r="H36" s="54">
        <f t="shared" si="68"/>
        <v>-36.474999999999994</v>
      </c>
      <c r="I36" s="54">
        <f t="shared" si="68"/>
        <v>-38.991</v>
      </c>
      <c r="J36" s="54">
        <f t="shared" si="68"/>
        <v>-37.471999999999994</v>
      </c>
      <c r="K36" s="54">
        <f t="shared" si="68"/>
        <v>-51.953035624999998</v>
      </c>
      <c r="L36" s="54">
        <f t="shared" si="68"/>
        <v>-53.379692499999997</v>
      </c>
      <c r="M36" s="54">
        <f t="shared" si="68"/>
        <v>-49.817192499999997</v>
      </c>
      <c r="O36" s="61">
        <v>-1.401</v>
      </c>
      <c r="P36" s="61">
        <v>-1.383</v>
      </c>
      <c r="Q36" s="61">
        <v>-1.6270000000000007</v>
      </c>
      <c r="R36" s="61">
        <v>-3.7610000000000001</v>
      </c>
      <c r="S36" s="61">
        <v>-3.8889999999999998</v>
      </c>
      <c r="T36" s="61">
        <v>-3.5139999999999998</v>
      </c>
      <c r="U36" s="61">
        <v>-3.835</v>
      </c>
      <c r="V36" s="61">
        <v>-4.4139999999999997</v>
      </c>
      <c r="W36" s="61">
        <v>-4.5819999999999999</v>
      </c>
      <c r="X36" s="61">
        <v>-5.0510000000000002</v>
      </c>
      <c r="Y36" s="61">
        <v>-6.2290000000000001</v>
      </c>
      <c r="Z36" s="61">
        <v>-5.91</v>
      </c>
      <c r="AA36" s="61">
        <v>-6.766</v>
      </c>
      <c r="AB36" s="61">
        <v>-6.9409999999999998</v>
      </c>
      <c r="AC36" s="61">
        <v>-7.5030000000000001</v>
      </c>
      <c r="AD36" s="61">
        <v>-7.149</v>
      </c>
      <c r="AE36" s="61">
        <v>-7.1879999999999997</v>
      </c>
      <c r="AF36" s="61">
        <v>-7.2489999999999997</v>
      </c>
      <c r="AG36" s="61">
        <v>-6.9930000000000003</v>
      </c>
      <c r="AH36" s="61">
        <v>-8.3949999999999996</v>
      </c>
      <c r="AI36" s="61">
        <v>-8.5410000000000004</v>
      </c>
      <c r="AJ36" s="61">
        <v>-9.2490000000000006</v>
      </c>
      <c r="AK36" s="61">
        <v>-9.2539999999999996</v>
      </c>
      <c r="AL36" s="61">
        <v>-9.4309999999999992</v>
      </c>
      <c r="AM36" s="61">
        <v>-10.8</v>
      </c>
      <c r="AN36" s="61">
        <v>-10.678000000000001</v>
      </c>
      <c r="AO36" s="61">
        <v>-8.8689999999999998</v>
      </c>
      <c r="AP36" s="61">
        <v>-8.6440000000000001</v>
      </c>
      <c r="AQ36" s="61">
        <v>-8.27</v>
      </c>
      <c r="AR36" s="61">
        <v>-9.0749999999999993</v>
      </c>
      <c r="AS36" s="61">
        <v>-9.5839999999999996</v>
      </c>
      <c r="AT36" s="61">
        <v>-10.542999999999999</v>
      </c>
      <c r="AU36" s="87">
        <f t="shared" ref="AU36:BF36" si="120">-AU73/4*AT334</f>
        <v>-11.91826625</v>
      </c>
      <c r="AV36" s="87">
        <f t="shared" si="120"/>
        <v>-13.344923124999999</v>
      </c>
      <c r="AW36" s="87">
        <f t="shared" si="120"/>
        <v>-13.344923124999999</v>
      </c>
      <c r="AX36" s="87">
        <f t="shared" si="120"/>
        <v>-13.344923124999999</v>
      </c>
      <c r="AY36" s="87">
        <f t="shared" si="120"/>
        <v>-13.344923124999999</v>
      </c>
      <c r="AZ36" s="87">
        <f t="shared" si="120"/>
        <v>-13.344923124999999</v>
      </c>
      <c r="BA36" s="87">
        <f t="shared" si="120"/>
        <v>-13.344923124999999</v>
      </c>
      <c r="BB36" s="87">
        <f t="shared" si="120"/>
        <v>-13.344923124999999</v>
      </c>
      <c r="BC36" s="87">
        <f t="shared" si="120"/>
        <v>-13.344923124999999</v>
      </c>
      <c r="BD36" s="87">
        <f t="shared" si="120"/>
        <v>-13.344923124999999</v>
      </c>
      <c r="BE36" s="87">
        <f t="shared" si="120"/>
        <v>-13.344923124999999</v>
      </c>
      <c r="BF36" s="87">
        <f t="shared" si="120"/>
        <v>-9.7824231250000011</v>
      </c>
      <c r="BI36">
        <f t="shared" si="9"/>
        <v>29</v>
      </c>
    </row>
    <row r="37" spans="1:67" outlineLevel="1">
      <c r="B37" s="8" t="s">
        <v>61</v>
      </c>
      <c r="C37" s="54">
        <f t="shared" si="119"/>
        <v>1.6739999999999999</v>
      </c>
      <c r="D37" s="54">
        <f t="shared" si="68"/>
        <v>0.187</v>
      </c>
      <c r="E37" s="54">
        <f t="shared" si="68"/>
        <v>0.54990000000000006</v>
      </c>
      <c r="F37" s="54">
        <f t="shared" si="68"/>
        <v>0.91799999999999993</v>
      </c>
      <c r="G37" s="54">
        <f t="shared" si="68"/>
        <v>0.97899999999999998</v>
      </c>
      <c r="H37" s="54">
        <f t="shared" si="68"/>
        <v>0.96399999999999997</v>
      </c>
      <c r="I37" s="54">
        <f t="shared" si="68"/>
        <v>0.32700000000000001</v>
      </c>
      <c r="J37" s="54">
        <f t="shared" si="68"/>
        <v>1.8660000000000001</v>
      </c>
      <c r="K37" s="54">
        <f t="shared" si="68"/>
        <v>1.8660000000000001</v>
      </c>
      <c r="L37" s="54">
        <f t="shared" si="68"/>
        <v>1.8660000000000001</v>
      </c>
      <c r="M37" s="54">
        <f t="shared" si="68"/>
        <v>1.8660000000000001</v>
      </c>
      <c r="O37" s="61">
        <v>0.187</v>
      </c>
      <c r="P37" s="61">
        <v>1.38</v>
      </c>
      <c r="Q37" s="61">
        <v>6.4000000000000001E-2</v>
      </c>
      <c r="R37" s="61">
        <v>4.2999999999999997E-2</v>
      </c>
      <c r="S37" s="61">
        <v>4.2999999999999997E-2</v>
      </c>
      <c r="T37" s="61">
        <v>4.4999999999999998E-2</v>
      </c>
      <c r="U37" s="61">
        <v>4.7E-2</v>
      </c>
      <c r="V37" s="61">
        <v>5.1999999999999998E-2</v>
      </c>
      <c r="W37" s="61">
        <v>5.3999999999999999E-2</v>
      </c>
      <c r="X37" s="61">
        <v>0.17899999999999999</v>
      </c>
      <c r="Y37" s="61">
        <v>0.1449</v>
      </c>
      <c r="Z37" s="61">
        <v>0.17199999999999999</v>
      </c>
      <c r="AA37" s="61">
        <v>0.17299999999999999</v>
      </c>
      <c r="AB37" s="61">
        <v>0.25</v>
      </c>
      <c r="AC37" s="61">
        <v>0.29299999999999998</v>
      </c>
      <c r="AD37" s="61">
        <v>0.20200000000000001</v>
      </c>
      <c r="AE37" s="61">
        <v>0.17599999999999999</v>
      </c>
      <c r="AF37" s="61">
        <v>0.20799999999999999</v>
      </c>
      <c r="AG37" s="61">
        <v>0.23400000000000001</v>
      </c>
      <c r="AH37" s="61">
        <v>0.36099999999999999</v>
      </c>
      <c r="AI37" s="61">
        <v>0.28299999999999997</v>
      </c>
      <c r="AJ37" s="61">
        <v>0.318</v>
      </c>
      <c r="AK37" s="61">
        <v>0.32300000000000001</v>
      </c>
      <c r="AL37" s="61">
        <v>0.04</v>
      </c>
      <c r="AM37" s="61">
        <v>0.11</v>
      </c>
      <c r="AN37" s="61">
        <v>0.1</v>
      </c>
      <c r="AO37" s="61">
        <v>6.3E-2</v>
      </c>
      <c r="AP37" s="61">
        <v>5.3999999999999999E-2</v>
      </c>
      <c r="AQ37" s="61">
        <v>0.40600000000000003</v>
      </c>
      <c r="AR37" s="61">
        <v>0.64200000000000002</v>
      </c>
      <c r="AS37" s="61">
        <v>0.10100000000000001</v>
      </c>
      <c r="AT37" s="61">
        <v>0.71699999999999997</v>
      </c>
      <c r="AU37" s="94">
        <f>AVERAGE(AQ37:AT37)</f>
        <v>0.46650000000000003</v>
      </c>
      <c r="AV37" s="94">
        <f t="shared" ref="AV37:BF37" si="121">AU37</f>
        <v>0.46650000000000003</v>
      </c>
      <c r="AW37" s="94">
        <f t="shared" si="121"/>
        <v>0.46650000000000003</v>
      </c>
      <c r="AX37" s="94">
        <f t="shared" si="121"/>
        <v>0.46650000000000003</v>
      </c>
      <c r="AY37" s="94">
        <f t="shared" si="121"/>
        <v>0.46650000000000003</v>
      </c>
      <c r="AZ37" s="94">
        <f t="shared" si="121"/>
        <v>0.46650000000000003</v>
      </c>
      <c r="BA37" s="94">
        <f t="shared" si="121"/>
        <v>0.46650000000000003</v>
      </c>
      <c r="BB37" s="94">
        <f t="shared" si="121"/>
        <v>0.46650000000000003</v>
      </c>
      <c r="BC37" s="94">
        <f t="shared" si="121"/>
        <v>0.46650000000000003</v>
      </c>
      <c r="BD37" s="94">
        <f t="shared" si="121"/>
        <v>0.46650000000000003</v>
      </c>
      <c r="BE37" s="94">
        <f t="shared" si="121"/>
        <v>0.46650000000000003</v>
      </c>
      <c r="BF37" s="94">
        <f t="shared" si="121"/>
        <v>0.46650000000000003</v>
      </c>
      <c r="BI37">
        <f t="shared" si="9"/>
        <v>30</v>
      </c>
    </row>
    <row r="38" spans="1:67" outlineLevel="1">
      <c r="B38" s="8" t="s">
        <v>62</v>
      </c>
      <c r="C38" s="54">
        <f t="shared" si="119"/>
        <v>0.92700000000000005</v>
      </c>
      <c r="D38" s="54">
        <f t="shared" si="68"/>
        <v>0.58200000000000007</v>
      </c>
      <c r="E38" s="54">
        <f t="shared" si="68"/>
        <v>-1.0919999999999999</v>
      </c>
      <c r="F38" s="54">
        <f t="shared" si="68"/>
        <v>1.6910000000000001</v>
      </c>
      <c r="G38" s="54">
        <f t="shared" si="68"/>
        <v>3.0000000000000001E-3</v>
      </c>
      <c r="H38" s="54">
        <f t="shared" si="68"/>
        <v>3.4000000000000002E-2</v>
      </c>
      <c r="I38" s="54">
        <f t="shared" si="68"/>
        <v>6.9000000000000006E-2</v>
      </c>
      <c r="J38" s="54">
        <f t="shared" si="68"/>
        <v>0.34300000000000003</v>
      </c>
      <c r="K38" s="54">
        <f t="shared" si="68"/>
        <v>0</v>
      </c>
      <c r="L38" s="54">
        <f t="shared" si="68"/>
        <v>0</v>
      </c>
      <c r="M38" s="54">
        <f t="shared" si="68"/>
        <v>0</v>
      </c>
      <c r="O38" s="61">
        <v>7.4999999999999997E-2</v>
      </c>
      <c r="P38" s="61">
        <v>0.17399999999999999</v>
      </c>
      <c r="Q38" s="61">
        <v>0.26</v>
      </c>
      <c r="R38" s="61">
        <v>0.41799999999999998</v>
      </c>
      <c r="S38" s="61">
        <v>0.11899999999999999</v>
      </c>
      <c r="T38" s="61">
        <v>7.8E-2</v>
      </c>
      <c r="U38" s="61">
        <v>0.375</v>
      </c>
      <c r="V38" s="61">
        <v>0.01</v>
      </c>
      <c r="W38" s="61">
        <v>-1.5450000000000002</v>
      </c>
      <c r="X38" s="61">
        <v>-0.14399999999999999</v>
      </c>
      <c r="Y38" s="61">
        <v>0.624</v>
      </c>
      <c r="Z38" s="61">
        <v>-2.7E-2</v>
      </c>
      <c r="AA38" s="61">
        <v>1.9E-2</v>
      </c>
      <c r="AB38" s="61">
        <v>0.38100000000000001</v>
      </c>
      <c r="AC38" s="61">
        <v>0.38</v>
      </c>
      <c r="AD38" s="61">
        <v>0.91100000000000003</v>
      </c>
      <c r="AE38" s="61">
        <v>0</v>
      </c>
      <c r="AF38" s="61">
        <v>3.0000000000000001E-3</v>
      </c>
      <c r="AG38" s="61">
        <v>0</v>
      </c>
      <c r="AH38" s="61">
        <v>0</v>
      </c>
      <c r="AI38" s="61">
        <v>0</v>
      </c>
      <c r="AJ38" s="61">
        <v>0</v>
      </c>
      <c r="AK38" s="61">
        <v>1.6E-2</v>
      </c>
      <c r="AL38" s="61">
        <v>1.7999999999999999E-2</v>
      </c>
      <c r="AM38" s="61">
        <v>1.6E-2</v>
      </c>
      <c r="AN38" s="61">
        <v>1.7000000000000001E-2</v>
      </c>
      <c r="AO38" s="61">
        <v>1.9E-2</v>
      </c>
      <c r="AP38" s="61">
        <v>1.7000000000000001E-2</v>
      </c>
      <c r="AQ38" s="61">
        <v>1.7000000000000001E-2</v>
      </c>
      <c r="AR38" s="61">
        <v>0.13100000000000001</v>
      </c>
      <c r="AS38" s="61">
        <v>7.8E-2</v>
      </c>
      <c r="AT38" s="61">
        <v>0.11700000000000001</v>
      </c>
      <c r="AU38" s="94">
        <v>0</v>
      </c>
      <c r="AV38" s="94">
        <v>0</v>
      </c>
      <c r="AW38" s="94">
        <v>0</v>
      </c>
      <c r="AX38" s="94">
        <v>0</v>
      </c>
      <c r="AY38" s="94">
        <v>0</v>
      </c>
      <c r="AZ38" s="94">
        <v>0</v>
      </c>
      <c r="BA38" s="94">
        <v>0</v>
      </c>
      <c r="BB38" s="94">
        <v>0</v>
      </c>
      <c r="BC38" s="94">
        <v>0</v>
      </c>
      <c r="BD38" s="94">
        <v>0</v>
      </c>
      <c r="BE38" s="94">
        <v>0</v>
      </c>
      <c r="BF38" s="94">
        <v>0</v>
      </c>
      <c r="BI38">
        <f t="shared" si="9"/>
        <v>31</v>
      </c>
    </row>
    <row r="39" spans="1:67" outlineLevel="1">
      <c r="B39" s="5" t="s">
        <v>66</v>
      </c>
      <c r="C39" s="21">
        <f>SUM(C35:C38)</f>
        <v>177.60000000000005</v>
      </c>
      <c r="D39" s="21">
        <f t="shared" ref="D39:O39" si="122">SUM(D35:D38)</f>
        <v>526.31799999999998</v>
      </c>
      <c r="E39" s="21">
        <f t="shared" si="122"/>
        <v>460.31490000000019</v>
      </c>
      <c r="F39" s="21">
        <f t="shared" si="122"/>
        <v>269.01199999999983</v>
      </c>
      <c r="G39" s="21">
        <f t="shared" si="122"/>
        <v>348.98100000000011</v>
      </c>
      <c r="H39" s="21">
        <f t="shared" si="122"/>
        <v>-211.21799999999993</v>
      </c>
      <c r="I39" s="21">
        <f t="shared" si="122"/>
        <v>-517.173</v>
      </c>
      <c r="J39" s="21">
        <f t="shared" si="122"/>
        <v>-243.99800000000016</v>
      </c>
      <c r="K39" s="21">
        <f t="shared" si="122"/>
        <v>4.1171244581360043</v>
      </c>
      <c r="L39" s="21">
        <f t="shared" si="122"/>
        <v>282.64301862444523</v>
      </c>
      <c r="M39" s="21">
        <f t="shared" si="122"/>
        <v>408.58773935429343</v>
      </c>
      <c r="O39" s="21">
        <f t="shared" si="122"/>
        <v>6.6920000000000419</v>
      </c>
      <c r="P39" s="21">
        <f t="shared" ref="P39" si="123">SUM(P35:P38)</f>
        <v>23.989000000000011</v>
      </c>
      <c r="Q39" s="21">
        <f t="shared" ref="Q39" si="124">SUM(Q35:Q38)</f>
        <v>51.206000000000024</v>
      </c>
      <c r="R39" s="21">
        <f t="shared" ref="R39" si="125">SUM(R35:R38)</f>
        <v>95.713000000000051</v>
      </c>
      <c r="S39" s="21">
        <f t="shared" ref="S39" si="126">SUM(S35:S38)</f>
        <v>113.82</v>
      </c>
      <c r="T39" s="21">
        <f t="shared" ref="T39" si="127">SUM(T35:T38)</f>
        <v>128.46899999999997</v>
      </c>
      <c r="U39" s="21">
        <f t="shared" ref="U39" si="128">SUM(U35:U38)</f>
        <v>133.18100000000001</v>
      </c>
      <c r="V39" s="21">
        <f t="shared" ref="V39" si="129">SUM(V35:V38)</f>
        <v>150.84800000000001</v>
      </c>
      <c r="W39" s="21">
        <f t="shared" ref="W39" si="130">SUM(W35:W38)</f>
        <v>153.19100000000009</v>
      </c>
      <c r="X39" s="21">
        <f t="shared" ref="X39" si="131">SUM(X35:X38)</f>
        <v>117.54600000000003</v>
      </c>
      <c r="Y39" s="21">
        <f t="shared" ref="Y39" si="132">SUM(Y35:Y38)</f>
        <v>95.633899999999997</v>
      </c>
      <c r="Z39" s="21">
        <f t="shared" ref="Z39" si="133">SUM(Z35:Z38)</f>
        <v>93.944000000000017</v>
      </c>
      <c r="AA39" s="21">
        <f t="shared" ref="AA39" si="134">SUM(AA35:AA38)</f>
        <v>88.35799999999999</v>
      </c>
      <c r="AB39" s="21">
        <f t="shared" ref="AB39" si="135">SUM(AB35:AB38)</f>
        <v>64.296000000000035</v>
      </c>
      <c r="AC39" s="21">
        <f t="shared" ref="AC39" si="136">SUM(AC35:AC38)</f>
        <v>54.920999999999964</v>
      </c>
      <c r="AD39" s="21">
        <f t="shared" ref="AD39" si="137">SUM(AD35:AD38)</f>
        <v>61.436999999999941</v>
      </c>
      <c r="AE39" s="21">
        <f t="shared" ref="AE39" si="138">SUM(AE35:AE38)</f>
        <v>51.76400000000001</v>
      </c>
      <c r="AF39" s="21">
        <f t="shared" ref="AF39" si="139">SUM(AF35:AF38)</f>
        <v>80.188000000000045</v>
      </c>
      <c r="AG39" s="21">
        <f t="shared" ref="AG39" si="140">SUM(AG35:AG38)</f>
        <v>101.41100000000002</v>
      </c>
      <c r="AH39" s="21">
        <f t="shared" ref="AH39" si="141">SUM(AH35:AH38)</f>
        <v>115.61799999999997</v>
      </c>
      <c r="AI39" s="21">
        <f t="shared" ref="AI39" si="142">SUM(AI35:AI38)</f>
        <v>15.675000000000024</v>
      </c>
      <c r="AJ39" s="21">
        <f t="shared" ref="AJ39" si="143">SUM(AJ35:AJ38)</f>
        <v>-45.195000000000036</v>
      </c>
      <c r="AK39" s="21">
        <f t="shared" ref="AK39" si="144">SUM(AK35:AK38)</f>
        <v>-87.76100000000001</v>
      </c>
      <c r="AL39" s="21">
        <f t="shared" ref="AL39" si="145">SUM(AL35:AL38)</f>
        <v>-93.936999999999969</v>
      </c>
      <c r="AM39" s="21">
        <f t="shared" ref="AM39" si="146">SUM(AM35:AM38)</f>
        <v>-120.50800000000002</v>
      </c>
      <c r="AN39" s="21">
        <f t="shared" ref="AN39" si="147">SUM(AN35:AN38)</f>
        <v>-140.31199999999998</v>
      </c>
      <c r="AO39" s="21">
        <f t="shared" ref="AO39" si="148">SUM(AO35:AO38)</f>
        <v>-133.33500000000001</v>
      </c>
      <c r="AP39" s="21">
        <f t="shared" ref="AP39" si="149">SUM(AP35:AP38)</f>
        <v>-123.01799999999999</v>
      </c>
      <c r="AQ39" s="21">
        <f t="shared" ref="AQ39" si="150">SUM(AQ35:AQ38)</f>
        <v>-106.54</v>
      </c>
      <c r="AR39" s="21">
        <f t="shared" ref="AR39" si="151">SUM(AR35:AR38)</f>
        <v>-68.366000000000014</v>
      </c>
      <c r="AS39" s="21">
        <f t="shared" ref="AS39" si="152">SUM(AS35:AS38)</f>
        <v>-37.97200000000003</v>
      </c>
      <c r="AT39" s="21">
        <f t="shared" ref="AT39" si="153">SUM(AT35:AT38)</f>
        <v>-31.120000000000044</v>
      </c>
      <c r="AU39" s="21">
        <f t="shared" ref="AU39" si="154">SUM(AU35:AU38)</f>
        <v>-37.276898698979586</v>
      </c>
      <c r="AV39" s="21">
        <f t="shared" ref="AV39" si="155">SUM(AV35:AV38)</f>
        <v>-13.161977094235214</v>
      </c>
      <c r="AW39" s="21">
        <f t="shared" ref="AW39" si="156">SUM(AW35:AW38)</f>
        <v>16.505326606022248</v>
      </c>
      <c r="AX39" s="21">
        <f t="shared" ref="AX39" si="157">SUM(AX35:AX38)</f>
        <v>38.050673645328473</v>
      </c>
      <c r="AY39" s="21">
        <f t="shared" ref="AY39" si="158">SUM(AY35:AY38)</f>
        <v>47.744229137770404</v>
      </c>
      <c r="AZ39" s="21">
        <f t="shared" ref="AZ39" si="159">SUM(AZ35:AZ38)</f>
        <v>65.337193079067177</v>
      </c>
      <c r="BA39" s="21">
        <f t="shared" ref="BA39" si="160">SUM(BA35:BA38)</f>
        <v>82.409655038208356</v>
      </c>
      <c r="BB39" s="21">
        <f t="shared" ref="BB39" si="161">SUM(BB35:BB38)</f>
        <v>87.151941369399552</v>
      </c>
      <c r="BC39" s="21">
        <f t="shared" ref="BC39" si="162">SUM(BC35:BC38)</f>
        <v>92.543785435149445</v>
      </c>
      <c r="BD39" s="21">
        <f t="shared" ref="BD39" si="163">SUM(BD35:BD38)</f>
        <v>97.701872636121792</v>
      </c>
      <c r="BE39" s="21">
        <f t="shared" ref="BE39" si="164">SUM(BE35:BE38)</f>
        <v>104.92861669123955</v>
      </c>
      <c r="BF39" s="21">
        <f t="shared" ref="BF39" si="165">SUM(BF35:BF38)</f>
        <v>113.4134645917824</v>
      </c>
      <c r="BI39">
        <f t="shared" si="9"/>
        <v>32</v>
      </c>
    </row>
    <row r="40" spans="1:67" outlineLevel="1">
      <c r="B40" s="8" t="s">
        <v>67</v>
      </c>
      <c r="C40" s="54">
        <f>SUMIFS($O40:$BG40,$O$5:$BG$5,C$5)</f>
        <v>-67.326999999999998</v>
      </c>
      <c r="D40" s="54">
        <f t="shared" si="68"/>
        <v>-193.738</v>
      </c>
      <c r="E40" s="54">
        <f t="shared" si="68"/>
        <v>-170.78616000000002</v>
      </c>
      <c r="F40" s="54">
        <f t="shared" si="68"/>
        <v>-96.542000000000002</v>
      </c>
      <c r="G40" s="54">
        <f t="shared" si="68"/>
        <v>-117.44730900000002</v>
      </c>
      <c r="H40" s="54">
        <f t="shared" si="68"/>
        <v>72.28467999999998</v>
      </c>
      <c r="I40" s="54">
        <f t="shared" si="68"/>
        <v>184.66602999999998</v>
      </c>
      <c r="J40" s="54">
        <f t="shared" si="68"/>
        <v>84.088000000000022</v>
      </c>
      <c r="K40" s="54">
        <f t="shared" si="68"/>
        <v>-1.1527948482780577</v>
      </c>
      <c r="L40" s="54">
        <f t="shared" si="68"/>
        <v>-79.140045214844747</v>
      </c>
      <c r="M40" s="54">
        <f t="shared" si="68"/>
        <v>-114.40456701920212</v>
      </c>
      <c r="O40" s="83">
        <v>-2.5059999999999998</v>
      </c>
      <c r="P40" s="83">
        <f>-16.4+9.039</f>
        <v>-7.3609999999999989</v>
      </c>
      <c r="Q40" s="83">
        <f>-17.232-(4.6*0.35)</f>
        <v>-18.841999999999999</v>
      </c>
      <c r="R40" s="83">
        <f>-36.718-1-0.9</f>
        <v>-38.618000000000002</v>
      </c>
      <c r="S40" s="83">
        <f>-42.201</f>
        <v>-42.201000000000001</v>
      </c>
      <c r="T40" s="83">
        <f>-46.831</f>
        <v>-46.831000000000003</v>
      </c>
      <c r="U40" s="83">
        <f>-46.953+-1.6</f>
        <v>-48.553000000000004</v>
      </c>
      <c r="V40" s="83">
        <f>-51.953-(11.3-7.1)</f>
        <v>-56.153000000000006</v>
      </c>
      <c r="W40" s="83">
        <f>-55.917</f>
        <v>-55.917000000000002</v>
      </c>
      <c r="X40" s="83">
        <f>-53.34+(28.332*0.37)</f>
        <v>-42.857160000000007</v>
      </c>
      <c r="Y40" s="83">
        <f>-31.354+(7.8-12.5)+(0.605-0.978)</f>
        <v>-36.427</v>
      </c>
      <c r="Z40" s="83">
        <v>-35.585000000000001</v>
      </c>
      <c r="AA40" s="83">
        <v>-32.128</v>
      </c>
      <c r="AB40" s="83">
        <v>-23.527999999999999</v>
      </c>
      <c r="AC40" s="83">
        <f>-43.301+62.8*0.4</f>
        <v>-18.181000000000001</v>
      </c>
      <c r="AD40" s="83">
        <f>-9.475-(37.8*0.35)</f>
        <v>-22.704999999999998</v>
      </c>
      <c r="AE40" s="83">
        <f>-16.942-2.369*0.35</f>
        <v>-17.771149999999999</v>
      </c>
      <c r="AF40" s="83">
        <f>-25.905</f>
        <v>-25.905000000000001</v>
      </c>
      <c r="AG40" s="83">
        <f>-7.556-(77.879*0.321)</f>
        <v>-32.555159000000003</v>
      </c>
      <c r="AH40" s="83">
        <f>-41.216</f>
        <v>-41.216000000000001</v>
      </c>
      <c r="AI40" s="83">
        <f>-6.72+(-12.26-3.364+15.794)*0.424</f>
        <v>-6.6479199999999992</v>
      </c>
      <c r="AJ40" s="83">
        <f>14.72+(15.6-4.1)*0.42</f>
        <v>19.55</v>
      </c>
      <c r="AK40" s="83">
        <f>112.452+28.9*0.332-(279.569-186.675)</f>
        <v>29.152799999999985</v>
      </c>
      <c r="AL40" s="83">
        <f>27.511+(9.173-1.405)*0.35</f>
        <v>30.229799999999997</v>
      </c>
      <c r="AM40" s="83">
        <f>35.43+(16.776-2.201)*0.334</f>
        <v>40.298050000000003</v>
      </c>
      <c r="AN40" s="83">
        <f>49.027+5.419*0.35</f>
        <v>50.923650000000002</v>
      </c>
      <c r="AO40" s="83">
        <f>49.428+(1.139-1.375)*0.37</f>
        <v>49.340679999999999</v>
      </c>
      <c r="AP40" s="83">
        <f>43.677+1.219*0.35</f>
        <v>44.103650000000002</v>
      </c>
      <c r="AQ40" s="83">
        <f>36.947-(5.156-3.26)+(11.21-7.088)</f>
        <v>39.173000000000002</v>
      </c>
      <c r="AR40" s="83">
        <f>56.354-(80.172-49.755)</f>
        <v>25.937000000000005</v>
      </c>
      <c r="AS40" s="83">
        <f>13.652-(9.449-6.729)</f>
        <v>10.931999999999999</v>
      </c>
      <c r="AT40" s="83">
        <f>226.758-218.651-(8.653-6.416)+(8.417-6.241)</f>
        <v>8.0459999999999994</v>
      </c>
      <c r="AU40" s="87">
        <f t="shared" ref="AU40:BF40" si="166">-AU74*AU39</f>
        <v>10.437531635714285</v>
      </c>
      <c r="AV40" s="87">
        <f t="shared" si="166"/>
        <v>3.68535358638586</v>
      </c>
      <c r="AW40" s="87">
        <f t="shared" si="166"/>
        <v>-4.6214914496862294</v>
      </c>
      <c r="AX40" s="87">
        <f t="shared" si="166"/>
        <v>-10.654188620691974</v>
      </c>
      <c r="AY40" s="87">
        <f t="shared" si="166"/>
        <v>-13.368384158575715</v>
      </c>
      <c r="AZ40" s="87">
        <f t="shared" si="166"/>
        <v>-18.294414062138813</v>
      </c>
      <c r="BA40" s="87">
        <f t="shared" si="166"/>
        <v>-23.074703410698341</v>
      </c>
      <c r="BB40" s="87">
        <f t="shared" si="166"/>
        <v>-24.402543583431878</v>
      </c>
      <c r="BC40" s="87">
        <f t="shared" si="166"/>
        <v>-25.912259921841848</v>
      </c>
      <c r="BD40" s="87">
        <f t="shared" si="166"/>
        <v>-27.356524338114106</v>
      </c>
      <c r="BE40" s="87">
        <f t="shared" si="166"/>
        <v>-29.380012673547078</v>
      </c>
      <c r="BF40" s="87">
        <f t="shared" si="166"/>
        <v>-31.755770085699076</v>
      </c>
      <c r="BI40">
        <f t="shared" si="9"/>
        <v>33</v>
      </c>
    </row>
    <row r="41" spans="1:67" outlineLevel="1">
      <c r="B41" s="5" t="s">
        <v>68</v>
      </c>
      <c r="C41" s="21">
        <f>C39+C40</f>
        <v>110.27300000000005</v>
      </c>
      <c r="D41" s="21">
        <f t="shared" ref="D41:O41" si="167">D39+D40</f>
        <v>332.58</v>
      </c>
      <c r="E41" s="21">
        <f t="shared" si="167"/>
        <v>289.5287400000002</v>
      </c>
      <c r="F41" s="21">
        <f t="shared" si="167"/>
        <v>172.46999999999983</v>
      </c>
      <c r="G41" s="21">
        <f t="shared" si="167"/>
        <v>231.53369100000009</v>
      </c>
      <c r="H41" s="21">
        <f t="shared" si="167"/>
        <v>-138.93331999999995</v>
      </c>
      <c r="I41" s="21">
        <f t="shared" si="167"/>
        <v>-332.50697000000002</v>
      </c>
      <c r="J41" s="21">
        <f t="shared" si="167"/>
        <v>-159.91000000000014</v>
      </c>
      <c r="K41" s="21">
        <f t="shared" si="167"/>
        <v>2.9643296098579466</v>
      </c>
      <c r="L41" s="21">
        <f t="shared" si="167"/>
        <v>203.50297340960049</v>
      </c>
      <c r="M41" s="21">
        <f t="shared" si="167"/>
        <v>294.18317233509129</v>
      </c>
      <c r="O41" s="21">
        <f t="shared" si="167"/>
        <v>4.1860000000000426</v>
      </c>
      <c r="P41" s="21">
        <f t="shared" ref="P41" si="168">P39+P40</f>
        <v>16.628000000000014</v>
      </c>
      <c r="Q41" s="21">
        <f t="shared" ref="Q41" si="169">Q39+Q40</f>
        <v>32.364000000000026</v>
      </c>
      <c r="R41" s="21">
        <f t="shared" ref="R41" si="170">R39+R40</f>
        <v>57.095000000000049</v>
      </c>
      <c r="S41" s="21">
        <f t="shared" ref="S41" si="171">S39+S40</f>
        <v>71.619</v>
      </c>
      <c r="T41" s="21">
        <f t="shared" ref="T41" si="172">T39+T40</f>
        <v>81.637999999999963</v>
      </c>
      <c r="U41" s="21">
        <f t="shared" ref="U41" si="173">U39+U40</f>
        <v>84.628000000000014</v>
      </c>
      <c r="V41" s="21">
        <f t="shared" ref="V41" si="174">V39+V40</f>
        <v>94.695000000000007</v>
      </c>
      <c r="W41" s="21">
        <f t="shared" ref="W41" si="175">W39+W40</f>
        <v>97.274000000000086</v>
      </c>
      <c r="X41" s="21">
        <f t="shared" ref="X41" si="176">X39+X40</f>
        <v>74.688840000000027</v>
      </c>
      <c r="Y41" s="21">
        <f t="shared" ref="Y41" si="177">Y39+Y40</f>
        <v>59.206899999999997</v>
      </c>
      <c r="Z41" s="21">
        <f t="shared" ref="Z41" si="178">Z39+Z40</f>
        <v>58.359000000000016</v>
      </c>
      <c r="AA41" s="21">
        <f t="shared" ref="AA41" si="179">AA39+AA40</f>
        <v>56.22999999999999</v>
      </c>
      <c r="AB41" s="21">
        <f t="shared" ref="AB41" si="180">AB39+AB40</f>
        <v>40.768000000000036</v>
      </c>
      <c r="AC41" s="21">
        <f t="shared" ref="AC41" si="181">AC39+AC40</f>
        <v>36.739999999999966</v>
      </c>
      <c r="AD41" s="21">
        <f t="shared" ref="AD41" si="182">AD39+AD40</f>
        <v>38.731999999999942</v>
      </c>
      <c r="AE41" s="21">
        <f t="shared" ref="AE41" si="183">AE39+AE40</f>
        <v>33.992850000000011</v>
      </c>
      <c r="AF41" s="21">
        <f t="shared" ref="AF41" si="184">AF39+AF40</f>
        <v>54.283000000000044</v>
      </c>
      <c r="AG41" s="21">
        <f t="shared" ref="AG41" si="185">AG39+AG40</f>
        <v>68.855841000000012</v>
      </c>
      <c r="AH41" s="21">
        <f t="shared" ref="AH41" si="186">AH39+AH40</f>
        <v>74.401999999999958</v>
      </c>
      <c r="AI41" s="21">
        <f t="shared" ref="AI41" si="187">AI39+AI40</f>
        <v>9.0270800000000246</v>
      </c>
      <c r="AJ41" s="21">
        <f t="shared" ref="AJ41" si="188">AJ39+AJ40</f>
        <v>-25.645000000000035</v>
      </c>
      <c r="AK41" s="21">
        <f t="shared" ref="AK41" si="189">AK39+AK40</f>
        <v>-58.608200000000025</v>
      </c>
      <c r="AL41" s="21">
        <f t="shared" ref="AL41" si="190">AL39+AL40</f>
        <v>-63.707199999999972</v>
      </c>
      <c r="AM41" s="21">
        <f t="shared" ref="AM41" si="191">AM39+AM40</f>
        <v>-80.209950000000021</v>
      </c>
      <c r="AN41" s="21">
        <f t="shared" ref="AN41" si="192">AN39+AN40</f>
        <v>-89.388349999999974</v>
      </c>
      <c r="AO41" s="21">
        <f t="shared" ref="AO41" si="193">AO39+AO40</f>
        <v>-83.994320000000016</v>
      </c>
      <c r="AP41" s="21">
        <f t="shared" ref="AP41" si="194">AP39+AP40</f>
        <v>-78.914349999999985</v>
      </c>
      <c r="AQ41" s="21">
        <f t="shared" ref="AQ41" si="195">AQ39+AQ40</f>
        <v>-67.367000000000004</v>
      </c>
      <c r="AR41" s="21">
        <f t="shared" ref="AR41" si="196">AR39+AR40</f>
        <v>-42.429000000000009</v>
      </c>
      <c r="AS41" s="21">
        <f t="shared" ref="AS41" si="197">AS39+AS40</f>
        <v>-27.040000000000031</v>
      </c>
      <c r="AT41" s="21">
        <f t="shared" ref="AT41" si="198">AT39+AT40</f>
        <v>-23.074000000000044</v>
      </c>
      <c r="AU41" s="21">
        <f t="shared" ref="AU41" si="199">AU39+AU40</f>
        <v>-26.8393670632653</v>
      </c>
      <c r="AV41" s="21">
        <f t="shared" ref="AV41" si="200">AV39+AV40</f>
        <v>-9.4766235078493537</v>
      </c>
      <c r="AW41" s="21">
        <f t="shared" ref="AW41" si="201">AW39+AW40</f>
        <v>11.883835156336019</v>
      </c>
      <c r="AX41" s="21">
        <f t="shared" ref="AX41" si="202">AX39+AX40</f>
        <v>27.396485024636497</v>
      </c>
      <c r="AY41" s="21">
        <f t="shared" ref="AY41" si="203">AY39+AY40</f>
        <v>34.375844979194689</v>
      </c>
      <c r="AZ41" s="21">
        <f t="shared" ref="AZ41" si="204">AZ39+AZ40</f>
        <v>47.042779016928364</v>
      </c>
      <c r="BA41" s="21">
        <f t="shared" ref="BA41" si="205">BA39+BA40</f>
        <v>59.334951627510016</v>
      </c>
      <c r="BB41" s="21">
        <f t="shared" ref="BB41" si="206">BB39+BB40</f>
        <v>62.749397785967673</v>
      </c>
      <c r="BC41" s="21">
        <f t="shared" ref="BC41" si="207">BC39+BC40</f>
        <v>66.631525513307594</v>
      </c>
      <c r="BD41" s="21">
        <f t="shared" ref="BD41" si="208">BD39+BD40</f>
        <v>70.345348298007679</v>
      </c>
      <c r="BE41" s="21">
        <f t="shared" ref="BE41" si="209">BE39+BE40</f>
        <v>75.548604017692469</v>
      </c>
      <c r="BF41" s="21">
        <f t="shared" ref="BF41" si="210">BF39+BF40</f>
        <v>81.657694506083317</v>
      </c>
      <c r="BI41">
        <f t="shared" si="9"/>
        <v>34</v>
      </c>
    </row>
    <row r="42" spans="1:67" hidden="1" outlineLevel="2">
      <c r="B42" s="15" t="s">
        <v>69</v>
      </c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BI42">
        <f t="shared" si="9"/>
        <v>35</v>
      </c>
    </row>
    <row r="43" spans="1:67" s="91" customFormat="1" hidden="1" outlineLevel="2">
      <c r="A43" s="88"/>
      <c r="B43" s="16" t="s">
        <v>70</v>
      </c>
      <c r="C43" s="87">
        <f t="shared" ref="C43:M47" si="211">SUMIFS($O43:$BG43,$O$5:$BG$5,C$5)</f>
        <v>0</v>
      </c>
      <c r="D43" s="87">
        <f t="shared" si="211"/>
        <v>0</v>
      </c>
      <c r="E43" s="87">
        <f t="shared" si="211"/>
        <v>0</v>
      </c>
      <c r="F43" s="87">
        <f t="shared" si="211"/>
        <v>0</v>
      </c>
      <c r="G43" s="87">
        <f t="shared" si="211"/>
        <v>0</v>
      </c>
      <c r="H43" s="87">
        <f t="shared" si="211"/>
        <v>0</v>
      </c>
      <c r="I43" s="87">
        <f t="shared" si="211"/>
        <v>0</v>
      </c>
      <c r="J43" s="87">
        <f t="shared" si="211"/>
        <v>6.2409999999999997</v>
      </c>
      <c r="K43" s="87">
        <f t="shared" si="211"/>
        <v>0</v>
      </c>
      <c r="L43" s="87">
        <f t="shared" si="211"/>
        <v>0</v>
      </c>
      <c r="M43" s="87">
        <f t="shared" si="211"/>
        <v>0</v>
      </c>
      <c r="O43" s="87">
        <v>0</v>
      </c>
      <c r="P43" s="87">
        <v>0</v>
      </c>
      <c r="Q43" s="87">
        <v>0</v>
      </c>
      <c r="R43" s="87">
        <v>0</v>
      </c>
      <c r="S43" s="87">
        <v>0</v>
      </c>
      <c r="T43" s="87">
        <v>0</v>
      </c>
      <c r="U43" s="87">
        <v>0</v>
      </c>
      <c r="V43" s="87">
        <v>0</v>
      </c>
      <c r="W43" s="87">
        <v>0</v>
      </c>
      <c r="X43" s="87">
        <v>0</v>
      </c>
      <c r="Y43" s="87">
        <v>0</v>
      </c>
      <c r="Z43" s="87">
        <v>0</v>
      </c>
      <c r="AA43" s="87">
        <v>0</v>
      </c>
      <c r="AB43" s="87">
        <v>0</v>
      </c>
      <c r="AC43" s="87">
        <v>0</v>
      </c>
      <c r="AD43" s="87">
        <v>0</v>
      </c>
      <c r="AE43" s="87">
        <v>0</v>
      </c>
      <c r="AF43" s="87">
        <v>0</v>
      </c>
      <c r="AG43" s="87">
        <v>0</v>
      </c>
      <c r="AH43" s="87">
        <v>0</v>
      </c>
      <c r="AI43" s="87">
        <v>0</v>
      </c>
      <c r="AJ43" s="87">
        <v>0</v>
      </c>
      <c r="AK43" s="87">
        <v>0</v>
      </c>
      <c r="AL43" s="87">
        <v>0</v>
      </c>
      <c r="AM43" s="87">
        <v>0</v>
      </c>
      <c r="AN43" s="87">
        <v>0</v>
      </c>
      <c r="AO43" s="87">
        <v>0</v>
      </c>
      <c r="AP43" s="87">
        <v>0</v>
      </c>
      <c r="AQ43" s="87">
        <v>0</v>
      </c>
      <c r="AR43" s="87">
        <v>0</v>
      </c>
      <c r="AS43" s="87">
        <v>0</v>
      </c>
      <c r="AT43" s="94">
        <v>6.2409999999999997</v>
      </c>
      <c r="AU43" s="94">
        <v>0</v>
      </c>
      <c r="AV43" s="94">
        <v>0</v>
      </c>
      <c r="AW43" s="94">
        <v>0</v>
      </c>
      <c r="AX43" s="94">
        <v>0</v>
      </c>
      <c r="AY43" s="94">
        <v>0</v>
      </c>
      <c r="AZ43" s="94">
        <v>0</v>
      </c>
      <c r="BA43" s="94">
        <v>0</v>
      </c>
      <c r="BB43" s="94">
        <v>0</v>
      </c>
      <c r="BC43" s="94">
        <v>0</v>
      </c>
      <c r="BD43" s="94">
        <v>0</v>
      </c>
      <c r="BE43" s="94">
        <v>0</v>
      </c>
      <c r="BF43" s="94">
        <v>0</v>
      </c>
      <c r="BI43" s="91">
        <f t="shared" si="9"/>
        <v>36</v>
      </c>
      <c r="BJ43"/>
      <c r="BK43"/>
      <c r="BL43"/>
      <c r="BM43"/>
      <c r="BN43"/>
      <c r="BO43"/>
    </row>
    <row r="44" spans="1:67" hidden="1" outlineLevel="2">
      <c r="B44" s="16" t="s">
        <v>71</v>
      </c>
      <c r="C44" s="54">
        <f t="shared" si="211"/>
        <v>0</v>
      </c>
      <c r="D44" s="54">
        <f t="shared" si="211"/>
        <v>0</v>
      </c>
      <c r="E44" s="54">
        <f t="shared" si="211"/>
        <v>0</v>
      </c>
      <c r="F44" s="54">
        <f t="shared" si="211"/>
        <v>-24.57</v>
      </c>
      <c r="G44" s="54">
        <f t="shared" si="211"/>
        <v>-69.691000000000003</v>
      </c>
      <c r="H44" s="54">
        <f t="shared" si="211"/>
        <v>-186.67500000000001</v>
      </c>
      <c r="I44" s="54">
        <f t="shared" si="211"/>
        <v>-1.4658659999999999</v>
      </c>
      <c r="J44" s="54">
        <f t="shared" si="211"/>
        <v>-17.964147000000004</v>
      </c>
      <c r="K44" s="54">
        <f t="shared" si="211"/>
        <v>0</v>
      </c>
      <c r="L44" s="54">
        <f t="shared" si="211"/>
        <v>0</v>
      </c>
      <c r="M44" s="54">
        <f t="shared" si="211"/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-24.57</v>
      </c>
      <c r="AE44" s="61">
        <v>0</v>
      </c>
      <c r="AF44" s="61">
        <v>0</v>
      </c>
      <c r="AG44" s="61">
        <v>-52.872</v>
      </c>
      <c r="AH44" s="61">
        <v>-16.818999999999999</v>
      </c>
      <c r="AI44" s="61">
        <v>0</v>
      </c>
      <c r="AJ44" s="61">
        <v>0</v>
      </c>
      <c r="AK44" s="61">
        <v>-186.67500000000001</v>
      </c>
      <c r="AL44" s="61">
        <v>0</v>
      </c>
      <c r="AM44" s="61">
        <v>-1.4658659999999999</v>
      </c>
      <c r="AN44" s="61">
        <v>0</v>
      </c>
      <c r="AO44" s="61">
        <v>0</v>
      </c>
      <c r="AP44" s="61">
        <v>0</v>
      </c>
      <c r="AQ44" s="61">
        <v>0</v>
      </c>
      <c r="AR44" s="61">
        <v>-17.964147000000004</v>
      </c>
      <c r="AS44" s="61">
        <v>0</v>
      </c>
      <c r="AT44" s="61">
        <v>0</v>
      </c>
      <c r="AU44" s="94">
        <v>0</v>
      </c>
      <c r="AV44" s="94">
        <v>0</v>
      </c>
      <c r="AW44" s="94">
        <v>0</v>
      </c>
      <c r="AX44" s="94">
        <v>0</v>
      </c>
      <c r="AY44" s="94">
        <v>0</v>
      </c>
      <c r="AZ44" s="94">
        <v>0</v>
      </c>
      <c r="BA44" s="94">
        <v>0</v>
      </c>
      <c r="BB44" s="94">
        <v>0</v>
      </c>
      <c r="BC44" s="94">
        <v>0</v>
      </c>
      <c r="BD44" s="94">
        <v>0</v>
      </c>
      <c r="BE44" s="94">
        <v>0</v>
      </c>
      <c r="BF44" s="94">
        <v>0</v>
      </c>
      <c r="BI44">
        <f t="shared" si="9"/>
        <v>37</v>
      </c>
    </row>
    <row r="45" spans="1:67" hidden="1" outlineLevel="2">
      <c r="B45" s="16" t="s">
        <v>72</v>
      </c>
      <c r="C45" s="54">
        <f t="shared" si="211"/>
        <v>0</v>
      </c>
      <c r="D45" s="54">
        <f t="shared" si="211"/>
        <v>0</v>
      </c>
      <c r="E45" s="54">
        <f t="shared" si="211"/>
        <v>0</v>
      </c>
      <c r="F45" s="54">
        <f t="shared" si="211"/>
        <v>0</v>
      </c>
      <c r="G45" s="54">
        <f t="shared" si="211"/>
        <v>0</v>
      </c>
      <c r="H45" s="54">
        <f t="shared" si="211"/>
        <v>0</v>
      </c>
      <c r="I45" s="54">
        <f t="shared" si="211"/>
        <v>0</v>
      </c>
      <c r="J45" s="54">
        <f t="shared" si="211"/>
        <v>0</v>
      </c>
      <c r="K45" s="54">
        <f t="shared" si="211"/>
        <v>0</v>
      </c>
      <c r="L45" s="54">
        <f t="shared" si="211"/>
        <v>0</v>
      </c>
      <c r="M45" s="54">
        <f t="shared" si="211"/>
        <v>0</v>
      </c>
      <c r="O45" s="61">
        <v>0</v>
      </c>
      <c r="P45" s="61">
        <v>0</v>
      </c>
      <c r="Q45" s="61">
        <v>0</v>
      </c>
      <c r="R45" s="61">
        <v>0</v>
      </c>
      <c r="S45" s="61">
        <v>0</v>
      </c>
      <c r="T45" s="61">
        <v>0</v>
      </c>
      <c r="U45" s="61">
        <v>0</v>
      </c>
      <c r="V45" s="61">
        <v>0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0</v>
      </c>
      <c r="AD45" s="61">
        <v>0</v>
      </c>
      <c r="AE45" s="61">
        <v>0</v>
      </c>
      <c r="AF45" s="61">
        <v>0</v>
      </c>
      <c r="AG45" s="61">
        <v>0</v>
      </c>
      <c r="AH45" s="61">
        <v>0</v>
      </c>
      <c r="AI45" s="61">
        <v>0</v>
      </c>
      <c r="AJ45" s="61">
        <v>0</v>
      </c>
      <c r="AK45" s="61">
        <v>0</v>
      </c>
      <c r="AL45" s="61">
        <v>0</v>
      </c>
      <c r="AM45" s="61">
        <v>0</v>
      </c>
      <c r="AN45" s="61">
        <v>0</v>
      </c>
      <c r="AO45" s="61">
        <v>0</v>
      </c>
      <c r="AP45" s="61">
        <v>0</v>
      </c>
      <c r="AQ45" s="61">
        <v>0</v>
      </c>
      <c r="AR45" s="61">
        <v>0</v>
      </c>
      <c r="AS45" s="61">
        <v>0</v>
      </c>
      <c r="AT45" s="61">
        <v>0</v>
      </c>
      <c r="AU45" s="94">
        <v>0</v>
      </c>
      <c r="AV45" s="94">
        <v>0</v>
      </c>
      <c r="AW45" s="94">
        <v>0</v>
      </c>
      <c r="AX45" s="94">
        <v>0</v>
      </c>
      <c r="AY45" s="94">
        <v>0</v>
      </c>
      <c r="AZ45" s="94">
        <v>0</v>
      </c>
      <c r="BA45" s="94">
        <v>0</v>
      </c>
      <c r="BB45" s="94">
        <v>0</v>
      </c>
      <c r="BC45" s="94">
        <v>0</v>
      </c>
      <c r="BD45" s="94">
        <v>0</v>
      </c>
      <c r="BE45" s="94">
        <v>0</v>
      </c>
      <c r="BF45" s="94">
        <v>0</v>
      </c>
      <c r="BI45">
        <f t="shared" si="9"/>
        <v>38</v>
      </c>
    </row>
    <row r="46" spans="1:67" hidden="1" outlineLevel="2">
      <c r="B46" s="16" t="s">
        <v>73</v>
      </c>
      <c r="C46" s="54">
        <f t="shared" si="211"/>
        <v>0</v>
      </c>
      <c r="D46" s="54">
        <f t="shared" si="211"/>
        <v>0</v>
      </c>
      <c r="E46" s="54">
        <f t="shared" si="211"/>
        <v>0</v>
      </c>
      <c r="F46" s="54">
        <f t="shared" si="211"/>
        <v>0</v>
      </c>
      <c r="G46" s="54">
        <f t="shared" si="211"/>
        <v>0</v>
      </c>
      <c r="H46" s="54">
        <f t="shared" si="211"/>
        <v>0</v>
      </c>
      <c r="I46" s="54">
        <f t="shared" si="211"/>
        <v>0</v>
      </c>
      <c r="J46" s="54">
        <f t="shared" si="211"/>
        <v>0</v>
      </c>
      <c r="K46" s="54">
        <f t="shared" si="211"/>
        <v>0</v>
      </c>
      <c r="L46" s="54">
        <f t="shared" si="211"/>
        <v>0</v>
      </c>
      <c r="M46" s="54">
        <f t="shared" si="211"/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>
        <v>0</v>
      </c>
      <c r="AF46" s="61">
        <v>0</v>
      </c>
      <c r="AG46" s="61">
        <v>0</v>
      </c>
      <c r="AH46" s="61">
        <v>0</v>
      </c>
      <c r="AI46" s="61">
        <v>0</v>
      </c>
      <c r="AJ46" s="61">
        <v>0</v>
      </c>
      <c r="AK46" s="61">
        <v>0</v>
      </c>
      <c r="AL46" s="61">
        <v>0</v>
      </c>
      <c r="AM46" s="61">
        <v>0</v>
      </c>
      <c r="AN46" s="61">
        <v>0</v>
      </c>
      <c r="AO46" s="61">
        <v>0</v>
      </c>
      <c r="AP46" s="61">
        <v>0</v>
      </c>
      <c r="AQ46" s="61">
        <v>0</v>
      </c>
      <c r="AR46" s="61">
        <v>0</v>
      </c>
      <c r="AS46" s="61">
        <v>0</v>
      </c>
      <c r="AT46" s="61">
        <v>0</v>
      </c>
      <c r="AU46" s="94">
        <v>0</v>
      </c>
      <c r="AV46" s="94">
        <v>0</v>
      </c>
      <c r="AW46" s="94">
        <v>0</v>
      </c>
      <c r="AX46" s="94">
        <v>0</v>
      </c>
      <c r="AY46" s="94">
        <v>0</v>
      </c>
      <c r="AZ46" s="94">
        <v>0</v>
      </c>
      <c r="BA46" s="94">
        <v>0</v>
      </c>
      <c r="BB46" s="94">
        <v>0</v>
      </c>
      <c r="BC46" s="94">
        <v>0</v>
      </c>
      <c r="BD46" s="94">
        <v>0</v>
      </c>
      <c r="BE46" s="94">
        <v>0</v>
      </c>
      <c r="BF46" s="94">
        <v>0</v>
      </c>
      <c r="BI46">
        <f t="shared" si="9"/>
        <v>39</v>
      </c>
    </row>
    <row r="47" spans="1:67" hidden="1" outlineLevel="2">
      <c r="B47" s="16" t="s">
        <v>50</v>
      </c>
      <c r="C47" s="54">
        <f t="shared" si="211"/>
        <v>6.6690000000000005</v>
      </c>
      <c r="D47" s="54">
        <f t="shared" si="211"/>
        <v>-10.167</v>
      </c>
      <c r="E47" s="54">
        <f t="shared" si="211"/>
        <v>9.9441600000000019</v>
      </c>
      <c r="F47" s="54">
        <f t="shared" si="211"/>
        <v>37.68</v>
      </c>
      <c r="G47" s="54">
        <f t="shared" si="211"/>
        <v>1.5398500000000002</v>
      </c>
      <c r="H47" s="54">
        <f t="shared" si="211"/>
        <v>31.122319999999995</v>
      </c>
      <c r="I47" s="54">
        <f t="shared" si="211"/>
        <v>15.338835999999999</v>
      </c>
      <c r="J47" s="54">
        <f t="shared" si="211"/>
        <v>177.543147</v>
      </c>
      <c r="K47" s="54">
        <f t="shared" si="211"/>
        <v>0</v>
      </c>
      <c r="L47" s="54">
        <f t="shared" si="211"/>
        <v>0</v>
      </c>
      <c r="M47" s="54">
        <f t="shared" si="211"/>
        <v>0</v>
      </c>
      <c r="O47" s="61">
        <v>0</v>
      </c>
      <c r="P47" s="61">
        <v>12.9</v>
      </c>
      <c r="Q47" s="61">
        <v>-2.9899999999999998</v>
      </c>
      <c r="R47" s="61">
        <v>-3.2410000000000001</v>
      </c>
      <c r="S47" s="61">
        <v>-0.36699999999999999</v>
      </c>
      <c r="T47" s="61">
        <v>0</v>
      </c>
      <c r="U47" s="61">
        <v>-2.7</v>
      </c>
      <c r="V47" s="61">
        <v>-7.1</v>
      </c>
      <c r="W47" s="61">
        <v>0</v>
      </c>
      <c r="X47" s="61">
        <v>17.849160000000001</v>
      </c>
      <c r="Y47" s="61">
        <v>-8.4049999999999994</v>
      </c>
      <c r="Z47" s="61">
        <v>0.5</v>
      </c>
      <c r="AA47" s="61">
        <v>0</v>
      </c>
      <c r="AB47" s="61">
        <v>0</v>
      </c>
      <c r="AC47" s="61">
        <v>37.68</v>
      </c>
      <c r="AD47" s="61">
        <v>0</v>
      </c>
      <c r="AE47" s="61">
        <v>1.5398500000000002</v>
      </c>
      <c r="AF47" s="61">
        <v>0</v>
      </c>
      <c r="AG47" s="61">
        <v>0</v>
      </c>
      <c r="AH47" s="61">
        <v>0</v>
      </c>
      <c r="AI47" s="61">
        <v>9.7920000000000992E-2</v>
      </c>
      <c r="AJ47" s="61">
        <v>6.6700000000000008</v>
      </c>
      <c r="AK47" s="61">
        <v>19.305199999999996</v>
      </c>
      <c r="AL47" s="61">
        <v>5.0491999999999999</v>
      </c>
      <c r="AM47" s="61">
        <v>11.172815999999999</v>
      </c>
      <c r="AN47" s="61">
        <v>3.5223499999999999</v>
      </c>
      <c r="AO47" s="61">
        <v>-0.14868000000000001</v>
      </c>
      <c r="AP47" s="61">
        <v>0.79235000000000011</v>
      </c>
      <c r="AQ47" s="61">
        <v>3.8280000000000003</v>
      </c>
      <c r="AR47" s="61">
        <v>-31.790852999999998</v>
      </c>
      <c r="AS47" s="61">
        <v>-6.7290000000000001</v>
      </c>
      <c r="AT47" s="61">
        <f>218.651-6.416</f>
        <v>212.23500000000001</v>
      </c>
      <c r="AU47" s="94">
        <v>0</v>
      </c>
      <c r="AV47" s="94">
        <v>0</v>
      </c>
      <c r="AW47" s="94">
        <v>0</v>
      </c>
      <c r="AX47" s="94">
        <v>0</v>
      </c>
      <c r="AY47" s="94">
        <v>0</v>
      </c>
      <c r="AZ47" s="94">
        <v>0</v>
      </c>
      <c r="BA47" s="94">
        <v>0</v>
      </c>
      <c r="BB47" s="94">
        <v>0</v>
      </c>
      <c r="BC47" s="94">
        <v>0</v>
      </c>
      <c r="BD47" s="94">
        <v>0</v>
      </c>
      <c r="BE47" s="94">
        <v>0</v>
      </c>
      <c r="BF47" s="94">
        <v>0</v>
      </c>
      <c r="BI47">
        <f t="shared" si="9"/>
        <v>40</v>
      </c>
    </row>
    <row r="48" spans="1:67" outlineLevel="1" collapsed="1">
      <c r="B48" s="5" t="s">
        <v>74</v>
      </c>
      <c r="C48" s="21">
        <f t="shared" ref="C48:M48" si="212">SUM(C41,C43:C47)</f>
        <v>116.94200000000005</v>
      </c>
      <c r="D48" s="21">
        <f t="shared" si="212"/>
        <v>322.41300000000001</v>
      </c>
      <c r="E48" s="21">
        <f t="shared" si="212"/>
        <v>299.47290000000021</v>
      </c>
      <c r="F48" s="21">
        <f t="shared" si="212"/>
        <v>185.57999999999984</v>
      </c>
      <c r="G48" s="21">
        <f t="shared" si="212"/>
        <v>163.38254100000009</v>
      </c>
      <c r="H48" s="21">
        <f t="shared" si="212"/>
        <v>-294.48599999999993</v>
      </c>
      <c r="I48" s="21">
        <f t="shared" si="212"/>
        <v>-318.63400000000001</v>
      </c>
      <c r="J48" s="21">
        <f t="shared" si="212"/>
        <v>5.9099999999998545</v>
      </c>
      <c r="K48" s="21">
        <f t="shared" si="212"/>
        <v>2.9643296098579466</v>
      </c>
      <c r="L48" s="21">
        <f t="shared" si="212"/>
        <v>203.50297340960049</v>
      </c>
      <c r="M48" s="21">
        <f t="shared" si="212"/>
        <v>294.18317233509129</v>
      </c>
      <c r="O48" s="21">
        <f t="shared" ref="O48:BF48" si="213">SUM(O41,O43:O47)</f>
        <v>4.1860000000000426</v>
      </c>
      <c r="P48" s="21">
        <f t="shared" si="213"/>
        <v>29.528000000000013</v>
      </c>
      <c r="Q48" s="21">
        <f t="shared" si="213"/>
        <v>29.374000000000027</v>
      </c>
      <c r="R48" s="21">
        <f t="shared" si="213"/>
        <v>53.854000000000049</v>
      </c>
      <c r="S48" s="21">
        <f t="shared" si="213"/>
        <v>71.251999999999995</v>
      </c>
      <c r="T48" s="21">
        <f t="shared" si="213"/>
        <v>81.637999999999963</v>
      </c>
      <c r="U48" s="21">
        <f t="shared" si="213"/>
        <v>81.928000000000011</v>
      </c>
      <c r="V48" s="21">
        <f t="shared" si="213"/>
        <v>87.595000000000013</v>
      </c>
      <c r="W48" s="21">
        <f t="shared" si="213"/>
        <v>97.274000000000086</v>
      </c>
      <c r="X48" s="21">
        <f t="shared" si="213"/>
        <v>92.538000000000025</v>
      </c>
      <c r="Y48" s="21">
        <f t="shared" si="213"/>
        <v>50.801899999999996</v>
      </c>
      <c r="Z48" s="21">
        <f t="shared" si="213"/>
        <v>58.859000000000016</v>
      </c>
      <c r="AA48" s="21">
        <f t="shared" si="213"/>
        <v>56.22999999999999</v>
      </c>
      <c r="AB48" s="21">
        <f t="shared" si="213"/>
        <v>40.768000000000036</v>
      </c>
      <c r="AC48" s="21">
        <f t="shared" si="213"/>
        <v>74.419999999999959</v>
      </c>
      <c r="AD48" s="21">
        <f t="shared" si="213"/>
        <v>14.161999999999942</v>
      </c>
      <c r="AE48" s="21">
        <f t="shared" si="213"/>
        <v>35.532700000000013</v>
      </c>
      <c r="AF48" s="21">
        <f t="shared" si="213"/>
        <v>54.283000000000044</v>
      </c>
      <c r="AG48" s="21">
        <f t="shared" si="213"/>
        <v>15.983841000000012</v>
      </c>
      <c r="AH48" s="21">
        <f t="shared" si="213"/>
        <v>57.582999999999956</v>
      </c>
      <c r="AI48" s="21">
        <f t="shared" si="213"/>
        <v>9.1250000000000249</v>
      </c>
      <c r="AJ48" s="21">
        <f t="shared" si="213"/>
        <v>-18.975000000000033</v>
      </c>
      <c r="AK48" s="21">
        <f t="shared" si="213"/>
        <v>-225.97800000000004</v>
      </c>
      <c r="AL48" s="21">
        <f t="shared" si="213"/>
        <v>-58.657999999999973</v>
      </c>
      <c r="AM48" s="21">
        <f t="shared" si="213"/>
        <v>-70.503000000000029</v>
      </c>
      <c r="AN48" s="21">
        <f t="shared" si="213"/>
        <v>-85.865999999999971</v>
      </c>
      <c r="AO48" s="21">
        <f t="shared" si="213"/>
        <v>-84.143000000000015</v>
      </c>
      <c r="AP48" s="21">
        <f t="shared" si="213"/>
        <v>-78.121999999999986</v>
      </c>
      <c r="AQ48" s="21">
        <f t="shared" si="213"/>
        <v>-63.539000000000001</v>
      </c>
      <c r="AR48" s="21">
        <f t="shared" si="213"/>
        <v>-92.184000000000012</v>
      </c>
      <c r="AS48" s="21">
        <f t="shared" si="213"/>
        <v>-33.769000000000034</v>
      </c>
      <c r="AT48" s="21">
        <f t="shared" si="213"/>
        <v>195.40199999999996</v>
      </c>
      <c r="AU48" s="21">
        <f t="shared" si="213"/>
        <v>-26.8393670632653</v>
      </c>
      <c r="AV48" s="21">
        <f t="shared" si="213"/>
        <v>-9.4766235078493537</v>
      </c>
      <c r="AW48" s="21">
        <f t="shared" si="213"/>
        <v>11.883835156336019</v>
      </c>
      <c r="AX48" s="21">
        <f t="shared" si="213"/>
        <v>27.396485024636497</v>
      </c>
      <c r="AY48" s="21">
        <f t="shared" si="213"/>
        <v>34.375844979194689</v>
      </c>
      <c r="AZ48" s="21">
        <f t="shared" si="213"/>
        <v>47.042779016928364</v>
      </c>
      <c r="BA48" s="21">
        <f t="shared" si="213"/>
        <v>59.334951627510016</v>
      </c>
      <c r="BB48" s="21">
        <f t="shared" si="213"/>
        <v>62.749397785967673</v>
      </c>
      <c r="BC48" s="21">
        <f t="shared" si="213"/>
        <v>66.631525513307594</v>
      </c>
      <c r="BD48" s="21">
        <f t="shared" si="213"/>
        <v>70.345348298007679</v>
      </c>
      <c r="BE48" s="21">
        <f t="shared" si="213"/>
        <v>75.548604017692469</v>
      </c>
      <c r="BF48" s="21">
        <f t="shared" si="213"/>
        <v>81.657694506083317</v>
      </c>
      <c r="BI48">
        <f t="shared" si="9"/>
        <v>41</v>
      </c>
    </row>
    <row r="49" spans="1:67" outlineLevel="1"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BI49">
        <f t="shared" si="9"/>
        <v>42</v>
      </c>
    </row>
    <row r="50" spans="1:67" s="10" customFormat="1" outlineLevel="1">
      <c r="A50" s="107"/>
      <c r="B50" s="10" t="s">
        <v>75</v>
      </c>
      <c r="C50" s="108">
        <f>C41/C52</f>
        <v>0.71838034947370499</v>
      </c>
      <c r="D50" s="108">
        <f t="shared" ref="D50:M50" si="214">D41/D52</f>
        <v>2.1469863884755545</v>
      </c>
      <c r="E50" s="108">
        <f t="shared" si="214"/>
        <v>1.9076401144470463</v>
      </c>
      <c r="F50" s="108">
        <f t="shared" si="214"/>
        <v>1.1838169809475263</v>
      </c>
      <c r="G50" s="108">
        <f t="shared" si="214"/>
        <v>1.5866296461268576</v>
      </c>
      <c r="H50" s="108">
        <f t="shared" si="214"/>
        <v>-0.95306684959698107</v>
      </c>
      <c r="I50" s="108">
        <f t="shared" si="214"/>
        <v>-2.2747028924036781</v>
      </c>
      <c r="J50" s="108">
        <f t="shared" si="214"/>
        <v>-0.80453307674408425</v>
      </c>
      <c r="K50" s="108">
        <f t="shared" si="214"/>
        <v>1.3151273050337772E-2</v>
      </c>
      <c r="L50" s="108">
        <f t="shared" si="214"/>
        <v>0.8983731216683446</v>
      </c>
      <c r="M50" s="108">
        <f t="shared" si="214"/>
        <v>1.2986849796097599</v>
      </c>
      <c r="O50" s="108">
        <f>O41/O52</f>
        <v>2.7337678452476078E-2</v>
      </c>
      <c r="P50" s="108">
        <f t="shared" ref="P50:AS50" si="215">P41/P52</f>
        <v>0.10877144782201996</v>
      </c>
      <c r="Q50" s="108">
        <f t="shared" si="215"/>
        <v>0.21000720269419712</v>
      </c>
      <c r="R50" s="108">
        <f t="shared" si="215"/>
        <v>0.3709707810560926</v>
      </c>
      <c r="S50" s="108">
        <f t="shared" si="215"/>
        <v>0.46309479932494035</v>
      </c>
      <c r="T50" s="108">
        <f t="shared" si="215"/>
        <v>0.52472988346906091</v>
      </c>
      <c r="U50" s="108">
        <f t="shared" si="215"/>
        <v>0.54910459382299515</v>
      </c>
      <c r="V50" s="108">
        <f t="shared" si="215"/>
        <v>0.60988097998299717</v>
      </c>
      <c r="W50" s="108">
        <f t="shared" si="215"/>
        <v>0.62595478793572812</v>
      </c>
      <c r="X50" s="108">
        <f t="shared" si="215"/>
        <v>0.48608141615957845</v>
      </c>
      <c r="Y50" s="108">
        <f t="shared" si="215"/>
        <v>0.39334383013778718</v>
      </c>
      <c r="Z50" s="108">
        <f t="shared" si="215"/>
        <v>0.39561400535538771</v>
      </c>
      <c r="AA50" s="108">
        <f t="shared" si="215"/>
        <v>0.38308250955492118</v>
      </c>
      <c r="AB50" s="108">
        <f t="shared" si="215"/>
        <v>0.27851940918469154</v>
      </c>
      <c r="AC50" s="108">
        <f t="shared" si="215"/>
        <v>0.25262665713185523</v>
      </c>
      <c r="AD50" s="108">
        <f t="shared" si="215"/>
        <v>0.26865505999861239</v>
      </c>
      <c r="AE50" s="108">
        <f t="shared" si="215"/>
        <v>0.23427349602685074</v>
      </c>
      <c r="AF50" s="108">
        <f t="shared" si="215"/>
        <v>0.37172753357209898</v>
      </c>
      <c r="AG50" s="108">
        <f t="shared" si="215"/>
        <v>0.46843576137314535</v>
      </c>
      <c r="AH50" s="108">
        <f t="shared" si="215"/>
        <v>0.51102731587370243</v>
      </c>
      <c r="AI50" s="108">
        <f t="shared" si="215"/>
        <v>6.1937493567532503E-2</v>
      </c>
      <c r="AJ50" s="108">
        <f t="shared" si="215"/>
        <v>-0.17566993643138998</v>
      </c>
      <c r="AK50" s="108">
        <f t="shared" si="215"/>
        <v>-0.40235751259765773</v>
      </c>
      <c r="AL50" s="108">
        <f t="shared" si="215"/>
        <v>-0.43722213452840913</v>
      </c>
      <c r="AM50" s="108">
        <f t="shared" si="215"/>
        <v>-0.55025005145091588</v>
      </c>
      <c r="AN50" s="108">
        <f t="shared" si="215"/>
        <v>-0.61248389793345381</v>
      </c>
      <c r="AO50" s="108">
        <f t="shared" si="215"/>
        <v>-0.57402184164126691</v>
      </c>
      <c r="AP50" s="108">
        <f t="shared" si="215"/>
        <v>-0.53806216931216921</v>
      </c>
      <c r="AQ50" s="108">
        <f t="shared" si="215"/>
        <v>-0.4208806587447364</v>
      </c>
      <c r="AR50" s="108">
        <f t="shared" si="215"/>
        <v>-0.21087552931353257</v>
      </c>
      <c r="AS50" s="108">
        <f t="shared" si="215"/>
        <v>-0.1276224188790562</v>
      </c>
      <c r="AT50" s="108">
        <f t="shared" ref="AT50" si="216">AT41/AT52</f>
        <v>-0.10398190208378418</v>
      </c>
      <c r="AU50" s="108">
        <f t="shared" ref="AU50:BF50" si="217">AU41/AU52</f>
        <v>-0.11966844132018763</v>
      </c>
      <c r="AV50" s="108">
        <f t="shared" si="217"/>
        <v>-4.2253334867748973E-2</v>
      </c>
      <c r="AW50" s="108">
        <f t="shared" si="217"/>
        <v>5.2461730204311358E-2</v>
      </c>
      <c r="AX50" s="108">
        <f t="shared" si="217"/>
        <v>0.12094302781898141</v>
      </c>
      <c r="AY50" s="108">
        <f t="shared" si="217"/>
        <v>0.15175372942481691</v>
      </c>
      <c r="AZ50" s="108">
        <f t="shared" si="217"/>
        <v>0.2076724852188242</v>
      </c>
      <c r="BA50" s="108">
        <f t="shared" si="217"/>
        <v>0.26193683966649933</v>
      </c>
      <c r="BB50" s="108">
        <f t="shared" si="217"/>
        <v>0.27701006735820527</v>
      </c>
      <c r="BC50" s="108">
        <f t="shared" si="217"/>
        <v>0.29414789658346152</v>
      </c>
      <c r="BD50" s="108">
        <f t="shared" si="217"/>
        <v>0.31054273599300031</v>
      </c>
      <c r="BE50" s="108">
        <f t="shared" si="217"/>
        <v>0.33351274476197967</v>
      </c>
      <c r="BF50" s="108">
        <f t="shared" si="217"/>
        <v>0.36048160227131748</v>
      </c>
      <c r="BI50">
        <f t="shared" si="9"/>
        <v>43</v>
      </c>
      <c r="BJ50"/>
      <c r="BK50"/>
      <c r="BL50"/>
      <c r="BM50"/>
      <c r="BN50"/>
      <c r="BO50"/>
    </row>
    <row r="51" spans="1:67" outlineLevel="1">
      <c r="B51" s="17" t="s">
        <v>76</v>
      </c>
      <c r="C51" s="105">
        <f>C48/C52</f>
        <v>0.76182596672035774</v>
      </c>
      <c r="D51" s="105">
        <f t="shared" ref="D51:M51" si="218">D48/D52</f>
        <v>2.081352824786725</v>
      </c>
      <c r="E51" s="105">
        <f t="shared" si="218"/>
        <v>1.9731599606650063</v>
      </c>
      <c r="F51" s="105">
        <f t="shared" si="218"/>
        <v>1.2738027211934941</v>
      </c>
      <c r="G51" s="105">
        <f t="shared" si="218"/>
        <v>1.1196106367523717</v>
      </c>
      <c r="H51" s="105">
        <f t="shared" si="218"/>
        <v>-2.0201406276796425</v>
      </c>
      <c r="I51" s="105">
        <f t="shared" si="218"/>
        <v>-2.1797969570928197</v>
      </c>
      <c r="J51" s="105">
        <f t="shared" si="218"/>
        <v>2.9734165990603571E-2</v>
      </c>
      <c r="K51" s="105">
        <f t="shared" si="218"/>
        <v>1.3151273050337772E-2</v>
      </c>
      <c r="L51" s="105">
        <f t="shared" si="218"/>
        <v>0.8983731216683446</v>
      </c>
      <c r="M51" s="105">
        <f t="shared" si="218"/>
        <v>1.2986849796097599</v>
      </c>
      <c r="O51" s="105">
        <f>O48/O52</f>
        <v>2.7337678452476078E-2</v>
      </c>
      <c r="P51" s="105">
        <f t="shared" ref="P51:AS51" si="219">P48/P52</f>
        <v>0.19315632134283162</v>
      </c>
      <c r="Q51" s="105">
        <f t="shared" si="219"/>
        <v>0.19060535075822974</v>
      </c>
      <c r="R51" s="105">
        <f t="shared" si="219"/>
        <v>0.34991260956291814</v>
      </c>
      <c r="S51" s="105">
        <f t="shared" si="219"/>
        <v>0.46072174480934736</v>
      </c>
      <c r="T51" s="105">
        <f t="shared" si="219"/>
        <v>0.52472988346906091</v>
      </c>
      <c r="U51" s="105">
        <f t="shared" si="219"/>
        <v>0.53158577731637691</v>
      </c>
      <c r="V51" s="105">
        <f t="shared" si="219"/>
        <v>0.56415359249813235</v>
      </c>
      <c r="W51" s="105">
        <f t="shared" si="219"/>
        <v>0.62595478793572812</v>
      </c>
      <c r="X51" s="105">
        <f t="shared" si="219"/>
        <v>0.60224528977254255</v>
      </c>
      <c r="Y51" s="105">
        <f t="shared" si="219"/>
        <v>0.33750481657166392</v>
      </c>
      <c r="Z51" s="105">
        <f t="shared" si="219"/>
        <v>0.39900349117038958</v>
      </c>
      <c r="AA51" s="105">
        <f t="shared" si="219"/>
        <v>0.38308250955492118</v>
      </c>
      <c r="AB51" s="105">
        <f t="shared" si="219"/>
        <v>0.27851940918469154</v>
      </c>
      <c r="AC51" s="105">
        <f t="shared" si="219"/>
        <v>0.51171681610649622</v>
      </c>
      <c r="AD51" s="105">
        <f t="shared" si="219"/>
        <v>9.8231254768675474E-2</v>
      </c>
      <c r="AE51" s="105">
        <f t="shared" si="219"/>
        <v>0.24488590548522055</v>
      </c>
      <c r="AF51" s="105">
        <f t="shared" si="219"/>
        <v>0.37172753357209898</v>
      </c>
      <c r="AG51" s="105">
        <f t="shared" si="219"/>
        <v>0.10874026981243758</v>
      </c>
      <c r="AH51" s="105">
        <f t="shared" si="219"/>
        <v>0.39550665210552677</v>
      </c>
      <c r="AI51" s="105">
        <f t="shared" si="219"/>
        <v>6.2609351950324368E-2</v>
      </c>
      <c r="AJ51" s="105">
        <f t="shared" si="219"/>
        <v>-0.12997999780797917</v>
      </c>
      <c r="AK51" s="105">
        <f t="shared" si="219"/>
        <v>-1.5513860855954198</v>
      </c>
      <c r="AL51" s="105">
        <f t="shared" si="219"/>
        <v>-0.40256950497223898</v>
      </c>
      <c r="AM51" s="105">
        <f t="shared" si="219"/>
        <v>-0.48365918913356676</v>
      </c>
      <c r="AN51" s="105">
        <f t="shared" si="219"/>
        <v>-0.58834895576385449</v>
      </c>
      <c r="AO51" s="105">
        <f t="shared" si="219"/>
        <v>-0.57503792900783191</v>
      </c>
      <c r="AP51" s="105">
        <f t="shared" si="219"/>
        <v>-0.53265968472154035</v>
      </c>
      <c r="AQ51" s="105">
        <f t="shared" si="219"/>
        <v>-0.39696492609113965</v>
      </c>
      <c r="AR51" s="105">
        <f t="shared" si="219"/>
        <v>-0.45816186556927302</v>
      </c>
      <c r="AS51" s="105">
        <f t="shared" si="219"/>
        <v>-0.15938171091445444</v>
      </c>
      <c r="AT51" s="105">
        <f t="shared" ref="AT51" si="220">AT48/AT52</f>
        <v>0.8805699762059267</v>
      </c>
      <c r="AU51" s="105">
        <f t="shared" ref="AU51" si="221">AU48/AU52</f>
        <v>-0.11966844132018763</v>
      </c>
      <c r="AV51" s="105">
        <f t="shared" ref="AV51" si="222">AV48/AV52</f>
        <v>-4.2253334867748973E-2</v>
      </c>
      <c r="AW51" s="105">
        <f t="shared" ref="AW51" si="223">AW48/AW52</f>
        <v>5.2461730204311358E-2</v>
      </c>
      <c r="AX51" s="105">
        <f t="shared" ref="AX51" si="224">AX48/AX52</f>
        <v>0.12094302781898141</v>
      </c>
      <c r="AY51" s="105">
        <f t="shared" ref="AY51" si="225">AY48/AY52</f>
        <v>0.15175372942481691</v>
      </c>
      <c r="AZ51" s="105">
        <f t="shared" ref="AZ51" si="226">AZ48/AZ52</f>
        <v>0.2076724852188242</v>
      </c>
      <c r="BA51" s="105">
        <f t="shared" ref="BA51" si="227">BA48/BA52</f>
        <v>0.26193683966649933</v>
      </c>
      <c r="BB51" s="105">
        <f t="shared" ref="BB51" si="228">BB48/BB52</f>
        <v>0.27701006735820527</v>
      </c>
      <c r="BC51" s="105">
        <f t="shared" ref="BC51" si="229">BC48/BC52</f>
        <v>0.29414789658346152</v>
      </c>
      <c r="BD51" s="105">
        <f t="shared" ref="BD51" si="230">BD48/BD52</f>
        <v>0.31054273599300031</v>
      </c>
      <c r="BE51" s="105">
        <f t="shared" ref="BE51" si="231">BE48/BE52</f>
        <v>0.33351274476197967</v>
      </c>
      <c r="BF51" s="105">
        <f t="shared" ref="BF51" si="232">BF48/BF52</f>
        <v>0.36048160227131748</v>
      </c>
      <c r="BI51">
        <f t="shared" si="9"/>
        <v>44</v>
      </c>
    </row>
    <row r="52" spans="1:67" outlineLevel="1">
      <c r="B52" t="s">
        <v>77</v>
      </c>
      <c r="C52" s="54">
        <f t="shared" ref="C52:M52" si="233">AVERAGEIFS($O52:$BG52,$O$5:$BG$5,C$5)</f>
        <v>153.50225000000003</v>
      </c>
      <c r="D52" s="54">
        <f t="shared" si="233"/>
        <v>154.90549999999999</v>
      </c>
      <c r="E52" s="54">
        <f t="shared" si="233"/>
        <v>151.77325000000002</v>
      </c>
      <c r="F52" s="54">
        <f t="shared" si="233"/>
        <v>145.68974999999998</v>
      </c>
      <c r="G52" s="54">
        <f t="shared" si="233"/>
        <v>145.928</v>
      </c>
      <c r="H52" s="54">
        <f t="shared" si="233"/>
        <v>145.77500000000003</v>
      </c>
      <c r="I52" s="54">
        <f t="shared" si="233"/>
        <v>146.17599999999999</v>
      </c>
      <c r="J52" s="54">
        <f t="shared" si="233"/>
        <v>198.76125000000002</v>
      </c>
      <c r="K52" s="54">
        <f t="shared" si="233"/>
        <v>225.40248373763421</v>
      </c>
      <c r="L52" s="54">
        <f t="shared" si="233"/>
        <v>226.52388912936374</v>
      </c>
      <c r="M52" s="54">
        <f t="shared" si="233"/>
        <v>226.52388912936374</v>
      </c>
      <c r="O52" s="61">
        <v>153.12200000000001</v>
      </c>
      <c r="P52" s="61">
        <v>152.87100000000001</v>
      </c>
      <c r="Q52" s="61">
        <v>154.10900000000001</v>
      </c>
      <c r="R52" s="61">
        <v>153.90700000000001</v>
      </c>
      <c r="S52" s="61">
        <v>154.65299999999999</v>
      </c>
      <c r="T52" s="61">
        <v>155.58099999999999</v>
      </c>
      <c r="U52" s="61">
        <v>154.12</v>
      </c>
      <c r="V52" s="61">
        <v>155.268</v>
      </c>
      <c r="W52" s="61">
        <v>155.40100000000001</v>
      </c>
      <c r="X52" s="61">
        <v>153.655</v>
      </c>
      <c r="Y52" s="61">
        <v>150.52199999999999</v>
      </c>
      <c r="Z52" s="61">
        <v>147.51499999999999</v>
      </c>
      <c r="AA52" s="61">
        <v>146.78299999999999</v>
      </c>
      <c r="AB52" s="61">
        <v>146.374</v>
      </c>
      <c r="AC52" s="61">
        <v>145.43199999999999</v>
      </c>
      <c r="AD52" s="61">
        <v>144.16999999999999</v>
      </c>
      <c r="AE52" s="61">
        <v>145.09899999999999</v>
      </c>
      <c r="AF52" s="61">
        <v>146.029</v>
      </c>
      <c r="AG52" s="61">
        <v>146.99100000000001</v>
      </c>
      <c r="AH52" s="61">
        <v>145.59299999999999</v>
      </c>
      <c r="AI52" s="61">
        <v>145.745</v>
      </c>
      <c r="AJ52" s="61">
        <v>145.98400000000001</v>
      </c>
      <c r="AK52" s="61">
        <v>145.66200000000001</v>
      </c>
      <c r="AL52" s="61">
        <v>145.709</v>
      </c>
      <c r="AM52" s="61">
        <v>145.77000000000001</v>
      </c>
      <c r="AN52" s="61">
        <v>145.94399999999999</v>
      </c>
      <c r="AO52" s="61">
        <v>146.32599999999999</v>
      </c>
      <c r="AP52" s="61">
        <v>146.66399999999999</v>
      </c>
      <c r="AQ52" s="61">
        <v>160.06200000000001</v>
      </c>
      <c r="AR52" s="61">
        <v>201.20400000000001</v>
      </c>
      <c r="AS52" s="61">
        <v>211.875</v>
      </c>
      <c r="AT52" s="61">
        <v>221.904</v>
      </c>
      <c r="AU52" s="87">
        <f t="shared" ref="AU52:BF52" si="234">AU378</f>
        <v>224.28107834590469</v>
      </c>
      <c r="AV52" s="87">
        <f t="shared" si="234"/>
        <v>224.28107834590469</v>
      </c>
      <c r="AW52" s="87">
        <f t="shared" si="234"/>
        <v>226.52388912936374</v>
      </c>
      <c r="AX52" s="87">
        <f t="shared" si="234"/>
        <v>226.52388912936374</v>
      </c>
      <c r="AY52" s="87">
        <f t="shared" si="234"/>
        <v>226.52388912936374</v>
      </c>
      <c r="AZ52" s="87">
        <f t="shared" si="234"/>
        <v>226.52388912936374</v>
      </c>
      <c r="BA52" s="87">
        <f t="shared" si="234"/>
        <v>226.52388912936374</v>
      </c>
      <c r="BB52" s="87">
        <f t="shared" si="234"/>
        <v>226.52388912936374</v>
      </c>
      <c r="BC52" s="87">
        <f t="shared" si="234"/>
        <v>226.52388912936374</v>
      </c>
      <c r="BD52" s="87">
        <f t="shared" si="234"/>
        <v>226.52388912936374</v>
      </c>
      <c r="BE52" s="87">
        <f t="shared" si="234"/>
        <v>226.52388912936374</v>
      </c>
      <c r="BF52" s="87">
        <f t="shared" si="234"/>
        <v>226.52388912936374</v>
      </c>
      <c r="BI52">
        <f t="shared" si="9"/>
        <v>45</v>
      </c>
    </row>
    <row r="53" spans="1:67" outlineLevel="1">
      <c r="B53" t="s">
        <v>79</v>
      </c>
      <c r="C53" s="105">
        <f t="shared" ref="C53:M53" si="235">SUMIFS($O53:$BG53,$O$5:$BG$5,C$5)</f>
        <v>0.2</v>
      </c>
      <c r="D53" s="105">
        <f t="shared" si="235"/>
        <v>0.2</v>
      </c>
      <c r="E53" s="105">
        <f t="shared" si="235"/>
        <v>0.2</v>
      </c>
      <c r="F53" s="105">
        <f t="shared" si="235"/>
        <v>0.2</v>
      </c>
      <c r="G53" s="105">
        <f t="shared" si="235"/>
        <v>0.4</v>
      </c>
      <c r="H53" s="105">
        <f t="shared" si="235"/>
        <v>0.4</v>
      </c>
      <c r="I53" s="105">
        <f t="shared" si="235"/>
        <v>0.16</v>
      </c>
      <c r="J53" s="105">
        <f t="shared" si="235"/>
        <v>0.08</v>
      </c>
      <c r="K53" s="105">
        <f t="shared" si="235"/>
        <v>0.27</v>
      </c>
      <c r="L53" s="105">
        <f t="shared" si="235"/>
        <v>0.4</v>
      </c>
      <c r="M53" s="105">
        <f t="shared" si="235"/>
        <v>0.4</v>
      </c>
      <c r="O53" s="106">
        <v>0.05</v>
      </c>
      <c r="P53" s="106">
        <v>0.05</v>
      </c>
      <c r="Q53" s="106">
        <v>0.05</v>
      </c>
      <c r="R53" s="106">
        <v>0.05</v>
      </c>
      <c r="S53" s="106">
        <v>0.05</v>
      </c>
      <c r="T53" s="106">
        <v>0.05</v>
      </c>
      <c r="U53" s="106">
        <v>0.05</v>
      </c>
      <c r="V53" s="106">
        <v>0.05</v>
      </c>
      <c r="W53" s="106">
        <v>0.05</v>
      </c>
      <c r="X53" s="106">
        <v>0.05</v>
      </c>
      <c r="Y53" s="106">
        <v>0.05</v>
      </c>
      <c r="Z53" s="106">
        <v>0.05</v>
      </c>
      <c r="AA53" s="106">
        <v>0.05</v>
      </c>
      <c r="AB53" s="106">
        <v>0.05</v>
      </c>
      <c r="AC53" s="106">
        <v>0.05</v>
      </c>
      <c r="AD53" s="106">
        <v>0.05</v>
      </c>
      <c r="AE53" s="106">
        <v>0.1</v>
      </c>
      <c r="AF53" s="106">
        <v>0.1</v>
      </c>
      <c r="AG53" s="106">
        <v>0.1</v>
      </c>
      <c r="AH53" s="106">
        <v>0.1</v>
      </c>
      <c r="AI53" s="106">
        <v>0.1</v>
      </c>
      <c r="AJ53" s="106">
        <v>0.1</v>
      </c>
      <c r="AK53" s="106">
        <v>0.1</v>
      </c>
      <c r="AL53" s="106">
        <v>0.1</v>
      </c>
      <c r="AM53" s="106">
        <v>0.1</v>
      </c>
      <c r="AN53" s="106">
        <v>0.02</v>
      </c>
      <c r="AO53" s="106">
        <v>0.02</v>
      </c>
      <c r="AP53" s="106">
        <v>0.02</v>
      </c>
      <c r="AQ53" s="106">
        <v>0.02</v>
      </c>
      <c r="AR53" s="106">
        <v>0.02</v>
      </c>
      <c r="AS53" s="106">
        <v>0.02</v>
      </c>
      <c r="AT53" s="130">
        <v>0.02</v>
      </c>
      <c r="AU53" s="106">
        <v>0.02</v>
      </c>
      <c r="AV53" s="106">
        <v>0.05</v>
      </c>
      <c r="AW53" s="106">
        <v>0.1</v>
      </c>
      <c r="AX53" s="105">
        <f t="shared" ref="AX53:BF53" si="236">AW53</f>
        <v>0.1</v>
      </c>
      <c r="AY53" s="105">
        <f t="shared" si="236"/>
        <v>0.1</v>
      </c>
      <c r="AZ53" s="105">
        <f t="shared" si="236"/>
        <v>0.1</v>
      </c>
      <c r="BA53" s="105">
        <f t="shared" si="236"/>
        <v>0.1</v>
      </c>
      <c r="BB53" s="105">
        <f t="shared" si="236"/>
        <v>0.1</v>
      </c>
      <c r="BC53" s="105">
        <f t="shared" si="236"/>
        <v>0.1</v>
      </c>
      <c r="BD53" s="105">
        <f t="shared" si="236"/>
        <v>0.1</v>
      </c>
      <c r="BE53" s="105">
        <f t="shared" si="236"/>
        <v>0.1</v>
      </c>
      <c r="BF53" s="105">
        <f t="shared" si="236"/>
        <v>0.1</v>
      </c>
      <c r="BI53">
        <f t="shared" si="9"/>
        <v>46</v>
      </c>
    </row>
    <row r="54" spans="1:67" outlineLevel="1">
      <c r="BI54">
        <f t="shared" si="9"/>
        <v>47</v>
      </c>
    </row>
    <row r="55" spans="1:67">
      <c r="A55" s="11" t="s">
        <v>65</v>
      </c>
      <c r="B55" s="18" t="s">
        <v>80</v>
      </c>
      <c r="C55" s="7">
        <f>C$8</f>
        <v>2010</v>
      </c>
      <c r="D55" s="7">
        <f t="shared" ref="D55:BF55" si="237">D$8</f>
        <v>2011</v>
      </c>
      <c r="E55" s="7">
        <f t="shared" si="237"/>
        <v>2012</v>
      </c>
      <c r="F55" s="7">
        <f t="shared" si="237"/>
        <v>2013</v>
      </c>
      <c r="G55" s="7">
        <f t="shared" si="237"/>
        <v>2014</v>
      </c>
      <c r="H55" s="7">
        <f t="shared" si="237"/>
        <v>2015</v>
      </c>
      <c r="I55" s="7">
        <f t="shared" si="237"/>
        <v>2016</v>
      </c>
      <c r="J55" s="7">
        <f t="shared" si="237"/>
        <v>2017</v>
      </c>
      <c r="K55" s="7" t="str">
        <f t="shared" si="237"/>
        <v>2018E</v>
      </c>
      <c r="L55" s="7" t="str">
        <f t="shared" si="237"/>
        <v>2019E</v>
      </c>
      <c r="M55" s="7" t="str">
        <f t="shared" si="237"/>
        <v>2020E</v>
      </c>
      <c r="N55" s="12"/>
      <c r="O55" s="7" t="str">
        <f t="shared" si="237"/>
        <v>1Q10</v>
      </c>
      <c r="P55" s="7" t="str">
        <f t="shared" si="237"/>
        <v>2Q10</v>
      </c>
      <c r="Q55" s="7" t="str">
        <f t="shared" si="237"/>
        <v>3Q10</v>
      </c>
      <c r="R55" s="7" t="str">
        <f t="shared" si="237"/>
        <v>4Q10</v>
      </c>
      <c r="S55" s="7" t="str">
        <f t="shared" si="237"/>
        <v>1Q11</v>
      </c>
      <c r="T55" s="7" t="str">
        <f t="shared" si="237"/>
        <v>2Q11</v>
      </c>
      <c r="U55" s="7" t="str">
        <f t="shared" si="237"/>
        <v>3Q11</v>
      </c>
      <c r="V55" s="7" t="str">
        <f t="shared" si="237"/>
        <v>4Q11</v>
      </c>
      <c r="W55" s="7" t="str">
        <f t="shared" si="237"/>
        <v>1Q12</v>
      </c>
      <c r="X55" s="7" t="str">
        <f t="shared" si="237"/>
        <v>2Q12</v>
      </c>
      <c r="Y55" s="7" t="str">
        <f t="shared" si="237"/>
        <v>3Q12</v>
      </c>
      <c r="Z55" s="7" t="str">
        <f t="shared" si="237"/>
        <v>4Q12</v>
      </c>
      <c r="AA55" s="7" t="str">
        <f t="shared" si="237"/>
        <v>1Q13</v>
      </c>
      <c r="AB55" s="7" t="str">
        <f t="shared" si="237"/>
        <v>2Q13</v>
      </c>
      <c r="AC55" s="7" t="str">
        <f t="shared" si="237"/>
        <v>3Q13</v>
      </c>
      <c r="AD55" s="7" t="str">
        <f t="shared" si="237"/>
        <v>4Q13</v>
      </c>
      <c r="AE55" s="7" t="str">
        <f t="shared" si="237"/>
        <v>1Q14</v>
      </c>
      <c r="AF55" s="7" t="str">
        <f t="shared" si="237"/>
        <v>2Q14</v>
      </c>
      <c r="AG55" s="7" t="str">
        <f t="shared" si="237"/>
        <v>3Q14</v>
      </c>
      <c r="AH55" s="7" t="str">
        <f t="shared" si="237"/>
        <v>4Q14</v>
      </c>
      <c r="AI55" s="7" t="str">
        <f t="shared" si="237"/>
        <v>1Q15</v>
      </c>
      <c r="AJ55" s="7" t="str">
        <f t="shared" si="237"/>
        <v>2Q15</v>
      </c>
      <c r="AK55" s="7" t="str">
        <f t="shared" si="237"/>
        <v>3Q15</v>
      </c>
      <c r="AL55" s="7" t="str">
        <f t="shared" si="237"/>
        <v>4Q15</v>
      </c>
      <c r="AM55" s="7" t="str">
        <f t="shared" si="237"/>
        <v>1Q16</v>
      </c>
      <c r="AN55" s="7" t="str">
        <f t="shared" si="237"/>
        <v>2Q16</v>
      </c>
      <c r="AO55" s="7" t="str">
        <f t="shared" si="237"/>
        <v>3Q16</v>
      </c>
      <c r="AP55" s="7" t="str">
        <f t="shared" si="237"/>
        <v>4Q16</v>
      </c>
      <c r="AQ55" s="7" t="str">
        <f t="shared" si="237"/>
        <v>1Q17</v>
      </c>
      <c r="AR55" s="7" t="str">
        <f t="shared" si="237"/>
        <v>2Q17</v>
      </c>
      <c r="AS55" s="7" t="str">
        <f t="shared" si="237"/>
        <v>3Q17</v>
      </c>
      <c r="AT55" s="7" t="str">
        <f t="shared" si="237"/>
        <v>4Q17</v>
      </c>
      <c r="AU55" s="7" t="str">
        <f t="shared" si="237"/>
        <v>1Q18E</v>
      </c>
      <c r="AV55" s="7" t="str">
        <f t="shared" si="237"/>
        <v>2Q18E</v>
      </c>
      <c r="AW55" s="7" t="str">
        <f t="shared" si="237"/>
        <v>3Q18E</v>
      </c>
      <c r="AX55" s="7" t="str">
        <f t="shared" si="237"/>
        <v>4Q18E</v>
      </c>
      <c r="AY55" s="7" t="str">
        <f t="shared" si="237"/>
        <v>1Q19E</v>
      </c>
      <c r="AZ55" s="7" t="str">
        <f t="shared" si="237"/>
        <v>2Q19E</v>
      </c>
      <c r="BA55" s="7" t="str">
        <f t="shared" si="237"/>
        <v>3Q19E</v>
      </c>
      <c r="BB55" s="7" t="str">
        <f t="shared" si="237"/>
        <v>4Q19E</v>
      </c>
      <c r="BC55" s="7" t="str">
        <f t="shared" si="237"/>
        <v>1Q20E</v>
      </c>
      <c r="BD55" s="7" t="str">
        <f t="shared" si="237"/>
        <v>2Q20E</v>
      </c>
      <c r="BE55" s="7" t="str">
        <f t="shared" si="237"/>
        <v>3Q20E</v>
      </c>
      <c r="BF55" s="7" t="str">
        <f t="shared" si="237"/>
        <v>4Q20E</v>
      </c>
      <c r="BI55">
        <f t="shared" si="9"/>
        <v>48</v>
      </c>
    </row>
    <row r="56" spans="1:67" outlineLevel="1">
      <c r="B56" s="23" t="s">
        <v>281</v>
      </c>
      <c r="BI56">
        <f t="shared" si="9"/>
        <v>49</v>
      </c>
    </row>
    <row r="57" spans="1:67" outlineLevel="1">
      <c r="B57" s="8" t="s">
        <v>81</v>
      </c>
      <c r="C57" s="55">
        <f t="shared" ref="C57:M57" si="238">C85</f>
        <v>167.7917808219178</v>
      </c>
      <c r="D57" s="55">
        <f t="shared" si="238"/>
        <v>215.77534246575343</v>
      </c>
      <c r="E57" s="55">
        <f t="shared" si="238"/>
        <v>220.85519125683061</v>
      </c>
      <c r="F57" s="55">
        <f t="shared" si="238"/>
        <v>191.55616438356165</v>
      </c>
      <c r="G57" s="55">
        <f t="shared" si="238"/>
        <v>210.95890410958904</v>
      </c>
      <c r="H57" s="55">
        <f t="shared" si="238"/>
        <v>123.67671232876712</v>
      </c>
      <c r="I57" s="55">
        <f t="shared" si="238"/>
        <v>64.469945355191257</v>
      </c>
      <c r="J57" s="55">
        <f t="shared" si="238"/>
        <v>138.15616438356165</v>
      </c>
      <c r="K57" s="55">
        <f t="shared" si="238"/>
        <v>180.31506849315068</v>
      </c>
      <c r="L57" s="55">
        <f t="shared" si="238"/>
        <v>209.57260273972602</v>
      </c>
      <c r="M57" s="55">
        <f t="shared" si="238"/>
        <v>231.01092896174865</v>
      </c>
      <c r="O57" s="55">
        <f t="shared" ref="O57:AR57" si="239">O85</f>
        <v>142.45555555555555</v>
      </c>
      <c r="P57" s="55">
        <f t="shared" si="239"/>
        <v>155.8901098901099</v>
      </c>
      <c r="Q57" s="55">
        <f t="shared" si="239"/>
        <v>178.2608695652174</v>
      </c>
      <c r="R57" s="55">
        <f t="shared" si="239"/>
        <v>193.88043478260869</v>
      </c>
      <c r="S57" s="55">
        <f t="shared" si="239"/>
        <v>207.17777777777778</v>
      </c>
      <c r="T57" s="55">
        <f t="shared" si="239"/>
        <v>202.26373626373626</v>
      </c>
      <c r="U57" s="55">
        <f t="shared" si="239"/>
        <v>221.41304347826087</v>
      </c>
      <c r="V57" s="55">
        <f t="shared" si="239"/>
        <v>231.91304347826087</v>
      </c>
      <c r="W57" s="55">
        <f t="shared" si="239"/>
        <v>237.47252747252747</v>
      </c>
      <c r="X57" s="55">
        <f t="shared" si="239"/>
        <v>224.08791208791209</v>
      </c>
      <c r="Y57" s="55">
        <f t="shared" si="239"/>
        <v>216.31521739130434</v>
      </c>
      <c r="Z57" s="55">
        <f t="shared" si="239"/>
        <v>205.7608695652174</v>
      </c>
      <c r="AA57" s="55">
        <f t="shared" si="239"/>
        <v>198.92222222222222</v>
      </c>
      <c r="AB57" s="55">
        <f t="shared" si="239"/>
        <v>185.31868131868131</v>
      </c>
      <c r="AC57" s="55">
        <f t="shared" si="239"/>
        <v>189.58695652173913</v>
      </c>
      <c r="AD57" s="55">
        <f t="shared" si="239"/>
        <v>192.4891304347826</v>
      </c>
      <c r="AE57" s="55">
        <f t="shared" si="239"/>
        <v>202.37777777777777</v>
      </c>
      <c r="AF57" s="55">
        <f t="shared" si="239"/>
        <v>203.98901098901098</v>
      </c>
      <c r="AG57" s="55">
        <f t="shared" si="239"/>
        <v>218.30434782608697</v>
      </c>
      <c r="AH57" s="55">
        <f t="shared" si="239"/>
        <v>218.90217391304347</v>
      </c>
      <c r="AI57" s="55">
        <f t="shared" si="239"/>
        <v>172.44444444444446</v>
      </c>
      <c r="AJ57" s="55">
        <f t="shared" si="239"/>
        <v>123.1978021978022</v>
      </c>
      <c r="AK57" s="55">
        <f t="shared" si="239"/>
        <v>109.42391304347827</v>
      </c>
      <c r="AL57" s="55">
        <f t="shared" si="239"/>
        <v>90.695652173913047</v>
      </c>
      <c r="AM57" s="55">
        <f t="shared" si="239"/>
        <v>73.15384615384616</v>
      </c>
      <c r="AN57" s="55">
        <f t="shared" si="239"/>
        <v>54.901098901098898</v>
      </c>
      <c r="AO57" s="55">
        <f t="shared" si="239"/>
        <v>61.467391304347828</v>
      </c>
      <c r="AP57" s="55">
        <f t="shared" si="239"/>
        <v>68.347826086956516</v>
      </c>
      <c r="AQ57" s="55">
        <f t="shared" si="239"/>
        <v>83.188888888888883</v>
      </c>
      <c r="AR57" s="55">
        <f t="shared" si="239"/>
        <v>146.4065934065934</v>
      </c>
      <c r="AS57" s="55">
        <f>AS85</f>
        <v>161.31521739130434</v>
      </c>
      <c r="AT57" s="55">
        <f>AT85</f>
        <v>160.60869565217391</v>
      </c>
      <c r="AU57" s="58">
        <f t="shared" ref="AU57" si="240">AU85</f>
        <v>169</v>
      </c>
      <c r="AV57" s="58">
        <f t="shared" ref="AV57:BF57" si="241">AV85</f>
        <v>179</v>
      </c>
      <c r="AW57" s="58">
        <f t="shared" si="241"/>
        <v>183</v>
      </c>
      <c r="AX57" s="58">
        <f t="shared" si="241"/>
        <v>190</v>
      </c>
      <c r="AY57" s="58">
        <f t="shared" si="241"/>
        <v>198</v>
      </c>
      <c r="AZ57" s="58">
        <f t="shared" si="241"/>
        <v>206</v>
      </c>
      <c r="BA57" s="58">
        <f t="shared" si="241"/>
        <v>213</v>
      </c>
      <c r="BB57" s="58">
        <f t="shared" si="241"/>
        <v>221</v>
      </c>
      <c r="BC57" s="58">
        <f t="shared" si="241"/>
        <v>228</v>
      </c>
      <c r="BD57" s="58">
        <f t="shared" si="241"/>
        <v>230</v>
      </c>
      <c r="BE57" s="58">
        <f t="shared" si="241"/>
        <v>232</v>
      </c>
      <c r="BF57" s="58">
        <f t="shared" si="241"/>
        <v>234</v>
      </c>
      <c r="BI57">
        <f t="shared" si="9"/>
        <v>50</v>
      </c>
    </row>
    <row r="58" spans="1:67" outlineLevel="1">
      <c r="B58" s="8" t="s">
        <v>82</v>
      </c>
      <c r="C58" s="55">
        <f t="shared" ref="C58:M58" si="242">C105</f>
        <v>17665.371301678537</v>
      </c>
      <c r="D58" s="55">
        <f t="shared" si="242"/>
        <v>21198.875034917088</v>
      </c>
      <c r="E58" s="55">
        <f t="shared" si="242"/>
        <v>22536.748605148889</v>
      </c>
      <c r="F58" s="55">
        <f t="shared" si="242"/>
        <v>23090.506021339283</v>
      </c>
      <c r="G58" s="55">
        <f t="shared" si="242"/>
        <v>23880.909090909096</v>
      </c>
      <c r="H58" s="55">
        <f t="shared" si="242"/>
        <v>24022.528908776749</v>
      </c>
      <c r="I58" s="55">
        <f t="shared" si="242"/>
        <v>21999.915239871163</v>
      </c>
      <c r="J58" s="55">
        <f t="shared" si="242"/>
        <v>20624.526543320044</v>
      </c>
      <c r="K58" s="55">
        <f t="shared" si="242"/>
        <v>21630.426194636482</v>
      </c>
      <c r="L58" s="55">
        <f t="shared" si="242"/>
        <v>22674.719585849871</v>
      </c>
      <c r="M58" s="55">
        <f t="shared" si="242"/>
        <v>22687.25606150207</v>
      </c>
      <c r="O58" s="55">
        <f t="shared" ref="O58:AR58" si="243">O105</f>
        <v>16437.485375555731</v>
      </c>
      <c r="P58" s="55">
        <f t="shared" si="243"/>
        <v>16915.691526857467</v>
      </c>
      <c r="Q58" s="55">
        <f t="shared" si="243"/>
        <v>17729.207317073171</v>
      </c>
      <c r="R58" s="55">
        <f t="shared" si="243"/>
        <v>19085.496439984301</v>
      </c>
      <c r="S58" s="55">
        <f t="shared" si="243"/>
        <v>20238.013514962993</v>
      </c>
      <c r="T58" s="55">
        <f t="shared" si="243"/>
        <v>20997.446484841901</v>
      </c>
      <c r="U58" s="55">
        <f t="shared" si="243"/>
        <v>21444.624447717229</v>
      </c>
      <c r="V58" s="55">
        <f t="shared" si="243"/>
        <v>21977.737157855267</v>
      </c>
      <c r="W58" s="55">
        <f t="shared" si="243"/>
        <v>22650.717260527534</v>
      </c>
      <c r="X58" s="55">
        <f t="shared" si="243"/>
        <v>22570.076500588468</v>
      </c>
      <c r="Y58" s="55">
        <f t="shared" si="243"/>
        <v>22447.866941359731</v>
      </c>
      <c r="Z58" s="55">
        <f t="shared" si="243"/>
        <v>22464.183835182252</v>
      </c>
      <c r="AA58" s="55">
        <f t="shared" si="243"/>
        <v>23409.149304585822</v>
      </c>
      <c r="AB58" s="55">
        <f t="shared" si="243"/>
        <v>23124.940702087286</v>
      </c>
      <c r="AC58" s="55">
        <f t="shared" si="243"/>
        <v>22650.556128884298</v>
      </c>
      <c r="AD58" s="55">
        <f t="shared" si="243"/>
        <v>23168.897170930031</v>
      </c>
      <c r="AE58" s="55">
        <f t="shared" si="243"/>
        <v>23383.276600417263</v>
      </c>
      <c r="AF58" s="55">
        <f t="shared" si="243"/>
        <v>23626.730593115339</v>
      </c>
      <c r="AG58" s="55">
        <f t="shared" si="243"/>
        <v>24009.759012148974</v>
      </c>
      <c r="AH58" s="55">
        <f t="shared" si="243"/>
        <v>24436.764486816624</v>
      </c>
      <c r="AI58" s="55">
        <f t="shared" si="243"/>
        <v>24850.773195876289</v>
      </c>
      <c r="AJ58" s="55">
        <f t="shared" si="243"/>
        <v>24326.197484613327</v>
      </c>
      <c r="AK58" s="55">
        <f t="shared" si="243"/>
        <v>23136.684215754445</v>
      </c>
      <c r="AL58" s="55">
        <f t="shared" si="243"/>
        <v>23142.737296260788</v>
      </c>
      <c r="AM58" s="55">
        <f t="shared" si="243"/>
        <v>22815.532522157122</v>
      </c>
      <c r="AN58" s="55">
        <f t="shared" si="243"/>
        <v>21980.78462770216</v>
      </c>
      <c r="AO58" s="55">
        <f t="shared" si="243"/>
        <v>21670.203359858533</v>
      </c>
      <c r="AP58" s="55">
        <f t="shared" si="243"/>
        <v>21448.155216284988</v>
      </c>
      <c r="AQ58" s="55">
        <f t="shared" si="243"/>
        <v>21200.480833444639</v>
      </c>
      <c r="AR58" s="55">
        <f t="shared" si="243"/>
        <v>20274.0373789687</v>
      </c>
      <c r="AS58" s="55">
        <f t="shared" ref="AS58:AU60" si="244">AS105</f>
        <v>20323.02405498282</v>
      </c>
      <c r="AT58" s="55">
        <f t="shared" si="244"/>
        <v>20951.543042772064</v>
      </c>
      <c r="AU58" s="58">
        <f t="shared" si="244"/>
        <v>21255.029585798817</v>
      </c>
      <c r="AV58" s="58">
        <f t="shared" ref="AV58:BF58" si="245">AV105</f>
        <v>21343.575418994413</v>
      </c>
      <c r="AW58" s="58">
        <f t="shared" si="245"/>
        <v>21781.420765027324</v>
      </c>
      <c r="AX58" s="58">
        <f t="shared" si="245"/>
        <v>22078.947368421053</v>
      </c>
      <c r="AY58" s="58">
        <f t="shared" si="245"/>
        <v>22378.78787878788</v>
      </c>
      <c r="AZ58" s="58">
        <f t="shared" si="245"/>
        <v>22723.300970873788</v>
      </c>
      <c r="BA58" s="58">
        <f t="shared" si="245"/>
        <v>22834.507042253521</v>
      </c>
      <c r="BB58" s="58">
        <f t="shared" si="245"/>
        <v>22735.294117647059</v>
      </c>
      <c r="BC58" s="58">
        <f t="shared" si="245"/>
        <v>22679.824561403508</v>
      </c>
      <c r="BD58" s="58">
        <f t="shared" si="245"/>
        <v>22684.782608695652</v>
      </c>
      <c r="BE58" s="58">
        <f t="shared" si="245"/>
        <v>22689.655172413793</v>
      </c>
      <c r="BF58" s="58">
        <f t="shared" si="245"/>
        <v>22694.444444444445</v>
      </c>
      <c r="BI58">
        <f t="shared" si="9"/>
        <v>51</v>
      </c>
    </row>
    <row r="59" spans="1:67" outlineLevel="1">
      <c r="B59" s="8" t="s">
        <v>83</v>
      </c>
      <c r="C59" s="55">
        <f t="shared" ref="C59:M59" si="246">C106</f>
        <v>10705.995689373653</v>
      </c>
      <c r="D59" s="55">
        <f t="shared" si="246"/>
        <v>12296.884126057033</v>
      </c>
      <c r="E59" s="55">
        <f t="shared" si="246"/>
        <v>13305.09816535326</v>
      </c>
      <c r="F59" s="55">
        <f t="shared" si="246"/>
        <v>13855.573672015787</v>
      </c>
      <c r="G59" s="55">
        <f t="shared" si="246"/>
        <v>13852.714285714288</v>
      </c>
      <c r="H59" s="55">
        <f t="shared" si="246"/>
        <v>13487.395330291081</v>
      </c>
      <c r="I59" s="55">
        <f t="shared" si="246"/>
        <v>12959.993219189693</v>
      </c>
      <c r="J59" s="55">
        <f t="shared" si="246"/>
        <v>13229.123287127928</v>
      </c>
      <c r="K59" s="55">
        <f t="shared" si="246"/>
        <v>13356.455215376434</v>
      </c>
      <c r="L59" s="55">
        <f t="shared" si="246"/>
        <v>13249.999999999998</v>
      </c>
      <c r="M59" s="55">
        <f t="shared" si="246"/>
        <v>13250</v>
      </c>
      <c r="O59" s="55">
        <f t="shared" ref="O59:AR59" si="247">O106</f>
        <v>10540.987442477186</v>
      </c>
      <c r="P59" s="55">
        <f t="shared" si="247"/>
        <v>10524.672212040039</v>
      </c>
      <c r="Q59" s="55">
        <f t="shared" si="247"/>
        <v>10670.670731707318</v>
      </c>
      <c r="R59" s="55">
        <f t="shared" si="247"/>
        <v>11001.289454504682</v>
      </c>
      <c r="S59" s="55">
        <f t="shared" si="247"/>
        <v>11729.003539633166</v>
      </c>
      <c r="T59" s="55">
        <f t="shared" si="247"/>
        <v>11884.928827556232</v>
      </c>
      <c r="U59" s="55">
        <f t="shared" si="247"/>
        <v>12769.661266568482</v>
      </c>
      <c r="V59" s="55">
        <f t="shared" si="247"/>
        <v>12697.17847769029</v>
      </c>
      <c r="W59" s="55">
        <f t="shared" si="247"/>
        <v>13079.546506247108</v>
      </c>
      <c r="X59" s="55">
        <f t="shared" si="247"/>
        <v>13373.872106708513</v>
      </c>
      <c r="Y59" s="55">
        <f t="shared" si="247"/>
        <v>13343.148585498215</v>
      </c>
      <c r="Z59" s="55">
        <f t="shared" si="247"/>
        <v>13448.494453248812</v>
      </c>
      <c r="AA59" s="55">
        <f t="shared" si="247"/>
        <v>13800.592079539741</v>
      </c>
      <c r="AB59" s="55">
        <f t="shared" si="247"/>
        <v>14394.449715370019</v>
      </c>
      <c r="AC59" s="55">
        <f t="shared" si="247"/>
        <v>13746.588693957116</v>
      </c>
      <c r="AD59" s="55">
        <f t="shared" si="247"/>
        <v>13505.336269693376</v>
      </c>
      <c r="AE59" s="55">
        <f t="shared" si="247"/>
        <v>13783.847589766114</v>
      </c>
      <c r="AF59" s="55">
        <f t="shared" si="247"/>
        <v>13754.134568765825</v>
      </c>
      <c r="AG59" s="55">
        <f t="shared" si="247"/>
        <v>13851.573391754631</v>
      </c>
      <c r="AH59" s="55">
        <f t="shared" si="247"/>
        <v>14007.001340682258</v>
      </c>
      <c r="AI59" s="55">
        <f t="shared" si="247"/>
        <v>13711.984536082475</v>
      </c>
      <c r="AJ59" s="55">
        <f t="shared" si="247"/>
        <v>13722.950673445723</v>
      </c>
      <c r="AK59" s="55">
        <f t="shared" si="247"/>
        <v>13580.808582497268</v>
      </c>
      <c r="AL59" s="55">
        <f t="shared" si="247"/>
        <v>12640.46021093001</v>
      </c>
      <c r="AM59" s="55">
        <f t="shared" si="247"/>
        <v>12152.32086525462</v>
      </c>
      <c r="AN59" s="55">
        <f t="shared" si="247"/>
        <v>12770.816653322658</v>
      </c>
      <c r="AO59" s="55">
        <f t="shared" si="247"/>
        <v>13177.188328912467</v>
      </c>
      <c r="AP59" s="55">
        <f t="shared" si="247"/>
        <v>13770.038167938932</v>
      </c>
      <c r="AQ59" s="55">
        <f t="shared" si="247"/>
        <v>14454.521170028049</v>
      </c>
      <c r="AR59" s="55">
        <f t="shared" si="247"/>
        <v>13559.858890640246</v>
      </c>
      <c r="AS59" s="55">
        <f t="shared" si="244"/>
        <v>12597.331716191631</v>
      </c>
      <c r="AT59" s="55">
        <f t="shared" si="244"/>
        <v>12944.572279371954</v>
      </c>
      <c r="AU59" s="58">
        <f t="shared" si="244"/>
        <v>13550</v>
      </c>
      <c r="AV59" s="58">
        <f t="shared" ref="AV59:BF59" si="248">AV106</f>
        <v>13400</v>
      </c>
      <c r="AW59" s="58">
        <f t="shared" si="248"/>
        <v>13250</v>
      </c>
      <c r="AX59" s="58">
        <f t="shared" si="248"/>
        <v>13250</v>
      </c>
      <c r="AY59" s="58">
        <f t="shared" si="248"/>
        <v>13250</v>
      </c>
      <c r="AZ59" s="58">
        <f t="shared" si="248"/>
        <v>13250</v>
      </c>
      <c r="BA59" s="58">
        <f t="shared" si="248"/>
        <v>13250</v>
      </c>
      <c r="BB59" s="58">
        <f t="shared" si="248"/>
        <v>13250</v>
      </c>
      <c r="BC59" s="58">
        <f t="shared" si="248"/>
        <v>13250</v>
      </c>
      <c r="BD59" s="58">
        <f t="shared" si="248"/>
        <v>13250</v>
      </c>
      <c r="BE59" s="58">
        <f t="shared" si="248"/>
        <v>13250</v>
      </c>
      <c r="BF59" s="58">
        <f t="shared" si="248"/>
        <v>13250</v>
      </c>
      <c r="BI59">
        <f t="shared" si="9"/>
        <v>52</v>
      </c>
    </row>
    <row r="60" spans="1:67" outlineLevel="1">
      <c r="B60" s="8" t="s">
        <v>84</v>
      </c>
      <c r="C60" s="55">
        <f t="shared" ref="C60:M60" si="249">C107</f>
        <v>6959.3756123048788</v>
      </c>
      <c r="D60" s="55">
        <f t="shared" si="249"/>
        <v>8901.9909088600543</v>
      </c>
      <c r="E60" s="55">
        <f t="shared" si="249"/>
        <v>9231.6504397956287</v>
      </c>
      <c r="F60" s="55">
        <f t="shared" si="249"/>
        <v>9234.9323493234915</v>
      </c>
      <c r="G60" s="55">
        <f t="shared" si="249"/>
        <v>10028.194805194806</v>
      </c>
      <c r="H60" s="55">
        <f t="shared" si="249"/>
        <v>10535.133578485669</v>
      </c>
      <c r="I60" s="55">
        <f t="shared" si="249"/>
        <v>9039.9220206814734</v>
      </c>
      <c r="J60" s="55">
        <f t="shared" si="249"/>
        <v>7395.4032561921194</v>
      </c>
      <c r="K60" s="55">
        <f t="shared" si="249"/>
        <v>8273.9709792600479</v>
      </c>
      <c r="L60" s="55">
        <f t="shared" si="249"/>
        <v>9424.7195858498726</v>
      </c>
      <c r="M60" s="55">
        <f t="shared" si="249"/>
        <v>9437.256061502072</v>
      </c>
      <c r="O60" s="55">
        <f t="shared" ref="O60:AR60" si="250">O107</f>
        <v>5896.4979330785445</v>
      </c>
      <c r="P60" s="55">
        <f t="shared" si="250"/>
        <v>6391.0193148174267</v>
      </c>
      <c r="Q60" s="55">
        <f t="shared" si="250"/>
        <v>7058.536585365855</v>
      </c>
      <c r="R60" s="55">
        <f t="shared" si="250"/>
        <v>8084.2069854796209</v>
      </c>
      <c r="S60" s="55">
        <f t="shared" si="250"/>
        <v>8509.0099753298291</v>
      </c>
      <c r="T60" s="55">
        <f t="shared" si="250"/>
        <v>9112.5176572856672</v>
      </c>
      <c r="U60" s="55">
        <f t="shared" si="250"/>
        <v>8674.9631811487488</v>
      </c>
      <c r="V60" s="55">
        <f t="shared" si="250"/>
        <v>9280.5586801649788</v>
      </c>
      <c r="W60" s="55">
        <f t="shared" si="250"/>
        <v>9571.170754280427</v>
      </c>
      <c r="X60" s="55">
        <f t="shared" si="250"/>
        <v>9196.2043938799525</v>
      </c>
      <c r="Y60" s="55">
        <f t="shared" si="250"/>
        <v>9104.7183558615161</v>
      </c>
      <c r="Z60" s="55">
        <f t="shared" si="250"/>
        <v>9015.6893819334382</v>
      </c>
      <c r="AA60" s="55">
        <f t="shared" si="250"/>
        <v>9608.5572250460809</v>
      </c>
      <c r="AB60" s="55">
        <f t="shared" si="250"/>
        <v>8730.4909867172682</v>
      </c>
      <c r="AC60" s="55">
        <f t="shared" si="250"/>
        <v>8903.9674349271863</v>
      </c>
      <c r="AD60" s="55">
        <f t="shared" si="250"/>
        <v>9663.5609012366567</v>
      </c>
      <c r="AE60" s="55">
        <f t="shared" si="250"/>
        <v>9599.4290106511489</v>
      </c>
      <c r="AF60" s="55">
        <f t="shared" si="250"/>
        <v>9872.5960243495119</v>
      </c>
      <c r="AG60" s="55">
        <f t="shared" si="250"/>
        <v>10158.185620394344</v>
      </c>
      <c r="AH60" s="55">
        <f t="shared" si="250"/>
        <v>10429.763146134368</v>
      </c>
      <c r="AI60" s="55">
        <f t="shared" si="250"/>
        <v>11138.788659793816</v>
      </c>
      <c r="AJ60" s="55">
        <f t="shared" si="250"/>
        <v>10603.246811167603</v>
      </c>
      <c r="AK60" s="55">
        <f t="shared" si="250"/>
        <v>9555.8756332571793</v>
      </c>
      <c r="AL60" s="55">
        <f t="shared" si="250"/>
        <v>10502.277085330779</v>
      </c>
      <c r="AM60" s="55">
        <f t="shared" si="250"/>
        <v>10663.211656902506</v>
      </c>
      <c r="AN60" s="55">
        <f t="shared" si="250"/>
        <v>9209.9679743795059</v>
      </c>
      <c r="AO60" s="55">
        <f t="shared" si="250"/>
        <v>8493.015030946066</v>
      </c>
      <c r="AP60" s="55">
        <f t="shared" si="250"/>
        <v>7678.1170483460583</v>
      </c>
      <c r="AQ60" s="55">
        <f t="shared" si="250"/>
        <v>6745.95966341659</v>
      </c>
      <c r="AR60" s="55">
        <f t="shared" si="250"/>
        <v>6714.1784883284545</v>
      </c>
      <c r="AS60" s="55">
        <f t="shared" si="244"/>
        <v>7725.6923387911856</v>
      </c>
      <c r="AT60" s="55">
        <f t="shared" si="244"/>
        <v>8006.970763400107</v>
      </c>
      <c r="AU60" s="58">
        <f t="shared" si="244"/>
        <v>7705.0295857988167</v>
      </c>
      <c r="AV60" s="58">
        <f t="shared" ref="AV60:BF60" si="251">AV107</f>
        <v>7943.5754189944128</v>
      </c>
      <c r="AW60" s="58">
        <f t="shared" si="251"/>
        <v>8531.4207650273238</v>
      </c>
      <c r="AX60" s="58">
        <f t="shared" si="251"/>
        <v>8828.9473684210534</v>
      </c>
      <c r="AY60" s="58">
        <f t="shared" si="251"/>
        <v>9128.7878787878799</v>
      </c>
      <c r="AZ60" s="58">
        <f t="shared" si="251"/>
        <v>9473.3009708737882</v>
      </c>
      <c r="BA60" s="58">
        <f t="shared" si="251"/>
        <v>9584.5070422535209</v>
      </c>
      <c r="BB60" s="58">
        <f t="shared" si="251"/>
        <v>9485.2941176470595</v>
      </c>
      <c r="BC60" s="58">
        <f t="shared" si="251"/>
        <v>9429.8245614035077</v>
      </c>
      <c r="BD60" s="58">
        <f t="shared" si="251"/>
        <v>9434.782608695652</v>
      </c>
      <c r="BE60" s="58">
        <f t="shared" si="251"/>
        <v>9439.6551724137935</v>
      </c>
      <c r="BF60" s="58">
        <f t="shared" si="251"/>
        <v>9444.4444444444453</v>
      </c>
      <c r="BI60">
        <f t="shared" si="9"/>
        <v>53</v>
      </c>
    </row>
    <row r="61" spans="1:67" outlineLevel="1">
      <c r="B61" s="23" t="s">
        <v>48</v>
      </c>
      <c r="BI61">
        <f t="shared" si="9"/>
        <v>54</v>
      </c>
    </row>
    <row r="62" spans="1:67" outlineLevel="1">
      <c r="B62" s="8" t="s">
        <v>86</v>
      </c>
      <c r="C62" s="68"/>
      <c r="D62" s="68">
        <f t="shared" ref="D62:M62" si="252">D13/C13-1</f>
        <v>1.4123893350978869</v>
      </c>
      <c r="E62" s="68">
        <f t="shared" si="252"/>
        <v>-4.7670675086277647E-3</v>
      </c>
      <c r="F62" s="68">
        <f t="shared" si="252"/>
        <v>0.16315007288205474</v>
      </c>
      <c r="G62" s="68">
        <f t="shared" si="252"/>
        <v>0.32086311390186539</v>
      </c>
      <c r="H62" s="68">
        <f t="shared" si="252"/>
        <v>-0.44910439855714013</v>
      </c>
      <c r="I62" s="68">
        <f t="shared" si="252"/>
        <v>-0.50302756388482628</v>
      </c>
      <c r="J62" s="68">
        <f t="shared" si="252"/>
        <v>2.3900386929138304</v>
      </c>
      <c r="K62" s="68">
        <f t="shared" si="252"/>
        <v>0.49071179998980741</v>
      </c>
      <c r="L62" s="68">
        <f t="shared" si="252"/>
        <v>0.24767881022196647</v>
      </c>
      <c r="M62" s="68">
        <f t="shared" si="252"/>
        <v>8.5616123582863191E-2</v>
      </c>
      <c r="O62" s="68"/>
      <c r="P62" s="68">
        <f t="shared" ref="P62:AT62" si="253">P13/O13-1</f>
        <v>0.10442596416810845</v>
      </c>
      <c r="Q62" s="68">
        <f t="shared" si="253"/>
        <v>0.36621521460818007</v>
      </c>
      <c r="R62" s="68">
        <f t="shared" si="253"/>
        <v>0.92825261392779645</v>
      </c>
      <c r="S62" s="68">
        <f t="shared" si="253"/>
        <v>0.14879563140630081</v>
      </c>
      <c r="T62" s="68">
        <f t="shared" si="253"/>
        <v>0.11394920376936302</v>
      </c>
      <c r="U62" s="68">
        <f t="shared" si="253"/>
        <v>0.12508307058876422</v>
      </c>
      <c r="V62" s="68">
        <f t="shared" si="253"/>
        <v>6.9660336465865003E-2</v>
      </c>
      <c r="W62" s="68">
        <f t="shared" si="253"/>
        <v>3.6246777026269772E-3</v>
      </c>
      <c r="X62" s="68">
        <f t="shared" si="253"/>
        <v>-0.14706563738509526</v>
      </c>
      <c r="Y62" s="68">
        <f t="shared" si="253"/>
        <v>-0.11742565709379993</v>
      </c>
      <c r="Z62" s="68">
        <f t="shared" si="253"/>
        <v>0.16459390095788717</v>
      </c>
      <c r="AA62" s="68">
        <f t="shared" si="253"/>
        <v>9.0825008376078875E-2</v>
      </c>
      <c r="AB62" s="68">
        <f t="shared" si="253"/>
        <v>0.10148814673819007</v>
      </c>
      <c r="AC62" s="68">
        <f t="shared" si="253"/>
        <v>1.8022936140130286E-2</v>
      </c>
      <c r="AD62" s="68">
        <f t="shared" si="253"/>
        <v>-9.6802194368251104E-2</v>
      </c>
      <c r="AE62" s="68">
        <f t="shared" si="253"/>
        <v>2.6243288612104232E-2</v>
      </c>
      <c r="AF62" s="68">
        <f t="shared" si="253"/>
        <v>0.27601649872430389</v>
      </c>
      <c r="AG62" s="68">
        <f t="shared" si="253"/>
        <v>0.13737168802617283</v>
      </c>
      <c r="AH62" s="68">
        <f t="shared" si="253"/>
        <v>0.14064848060752766</v>
      </c>
      <c r="AI62" s="68">
        <f t="shared" si="253"/>
        <v>-0.37214225552189273</v>
      </c>
      <c r="AJ62" s="68">
        <f t="shared" si="253"/>
        <v>-0.29271466957124148</v>
      </c>
      <c r="AK62" s="68">
        <f t="shared" si="253"/>
        <v>-0.1257869825165322</v>
      </c>
      <c r="AL62" s="68">
        <f t="shared" si="253"/>
        <v>-0.14704644219497831</v>
      </c>
      <c r="AM62" s="68">
        <f t="shared" si="253"/>
        <v>-0.26870510698394856</v>
      </c>
      <c r="AN62" s="68">
        <f t="shared" si="253"/>
        <v>-0.23219087765929836</v>
      </c>
      <c r="AO62" s="68">
        <f t="shared" si="253"/>
        <v>5.6997971602434028E-2</v>
      </c>
      <c r="AP62" s="68">
        <f t="shared" si="253"/>
        <v>0.35152561888313172</v>
      </c>
      <c r="AQ62" s="68">
        <f t="shared" si="253"/>
        <v>0.3363434997444199</v>
      </c>
      <c r="AR62" s="68">
        <f t="shared" si="253"/>
        <v>1.0545142873333613</v>
      </c>
      <c r="AS62" s="68">
        <f t="shared" si="253"/>
        <v>0.24960695618595796</v>
      </c>
      <c r="AT62" s="68">
        <f t="shared" si="253"/>
        <v>0.12198123280754669</v>
      </c>
      <c r="AU62" s="81">
        <f t="shared" ref="AU62" si="254">AU157</f>
        <v>-5.1020408163265252E-2</v>
      </c>
      <c r="AV62" s="81">
        <f t="shared" ref="AV62:BF62" si="255">AV157</f>
        <v>0.11707999999999985</v>
      </c>
      <c r="AW62" s="81">
        <f t="shared" si="255"/>
        <v>9.4252873563218431E-2</v>
      </c>
      <c r="AX62" s="81">
        <f t="shared" si="255"/>
        <v>6.1249999999999805E-2</v>
      </c>
      <c r="AY62" s="81">
        <f t="shared" si="255"/>
        <v>3.8869257950530089E-2</v>
      </c>
      <c r="AZ62" s="81">
        <f t="shared" si="255"/>
        <v>3.7414965986394488E-2</v>
      </c>
      <c r="BA62" s="81">
        <f t="shared" si="255"/>
        <v>6.8937704918032638E-2</v>
      </c>
      <c r="BB62" s="81">
        <f t="shared" si="255"/>
        <v>3.3739640396778459E-2</v>
      </c>
      <c r="BC62" s="81">
        <f t="shared" si="255"/>
        <v>1.6319215728163083E-2</v>
      </c>
      <c r="BD62" s="81">
        <f t="shared" si="255"/>
        <v>0</v>
      </c>
      <c r="BE62" s="81">
        <f t="shared" si="255"/>
        <v>0</v>
      </c>
      <c r="BF62" s="81">
        <f t="shared" si="255"/>
        <v>0</v>
      </c>
      <c r="BI62">
        <f t="shared" si="9"/>
        <v>55</v>
      </c>
    </row>
    <row r="63" spans="1:67" outlineLevel="1">
      <c r="B63" s="8" t="s">
        <v>87</v>
      </c>
      <c r="C63" s="68">
        <f t="shared" ref="C63:M63" si="256">C27/C13</f>
        <v>0.32945055446538585</v>
      </c>
      <c r="D63" s="68">
        <f t="shared" si="256"/>
        <v>0.33625442331133848</v>
      </c>
      <c r="E63" s="68">
        <f t="shared" si="256"/>
        <v>0.30993346171345892</v>
      </c>
      <c r="F63" s="68">
        <f t="shared" si="256"/>
        <v>0.23987494714566143</v>
      </c>
      <c r="G63" s="68">
        <f t="shared" si="256"/>
        <v>0.1986870440319656</v>
      </c>
      <c r="H63" s="68">
        <f t="shared" si="256"/>
        <v>0.14096769756363217</v>
      </c>
      <c r="I63" s="68">
        <f t="shared" si="256"/>
        <v>5.5023018047278785E-2</v>
      </c>
      <c r="J63" s="68">
        <f t="shared" si="256"/>
        <v>0.19451292206769741</v>
      </c>
      <c r="K63" s="68">
        <f t="shared" si="256"/>
        <v>0.21379215686555306</v>
      </c>
      <c r="L63" s="68">
        <f t="shared" si="256"/>
        <v>0.22999999999999995</v>
      </c>
      <c r="M63" s="68">
        <f t="shared" si="256"/>
        <v>0.23</v>
      </c>
      <c r="O63" s="68">
        <f t="shared" ref="O63:AT63" si="257">O27/O13</f>
        <v>0.2719949396290301</v>
      </c>
      <c r="P63" s="68">
        <f t="shared" si="257"/>
        <v>0.29309008826898447</v>
      </c>
      <c r="Q63" s="68">
        <f t="shared" si="257"/>
        <v>0.36741714342079307</v>
      </c>
      <c r="R63" s="68">
        <f t="shared" si="257"/>
        <v>0.34331059089833688</v>
      </c>
      <c r="S63" s="68">
        <f t="shared" si="257"/>
        <v>0.33999966603398657</v>
      </c>
      <c r="T63" s="68">
        <f t="shared" si="257"/>
        <v>0.35609175989726721</v>
      </c>
      <c r="U63" s="68">
        <f t="shared" si="257"/>
        <v>0.33569753601819113</v>
      </c>
      <c r="V63" s="68">
        <f t="shared" si="257"/>
        <v>0.31749768527168476</v>
      </c>
      <c r="W63" s="68">
        <f t="shared" si="257"/>
        <v>0.30971529277434412</v>
      </c>
      <c r="X63" s="68">
        <f t="shared" si="257"/>
        <v>0.33041183860156281</v>
      </c>
      <c r="Y63" s="68">
        <f t="shared" si="257"/>
        <v>0.29030077543236804</v>
      </c>
      <c r="Z63" s="68">
        <f t="shared" si="257"/>
        <v>0.30711659973668448</v>
      </c>
      <c r="AA63" s="68">
        <f t="shared" si="257"/>
        <v>0.2725558055026821</v>
      </c>
      <c r="AB63" s="68">
        <f t="shared" si="257"/>
        <v>0.26054512607022229</v>
      </c>
      <c r="AC63" s="68">
        <f t="shared" si="257"/>
        <v>0.21279739515217447</v>
      </c>
      <c r="AD63" s="68">
        <f t="shared" si="257"/>
        <v>0.21510612215259886</v>
      </c>
      <c r="AE63" s="68">
        <f t="shared" si="257"/>
        <v>0.16837106313550682</v>
      </c>
      <c r="AF63" s="68">
        <f t="shared" si="257"/>
        <v>0.21071378479142269</v>
      </c>
      <c r="AG63" s="68">
        <f t="shared" si="257"/>
        <v>0.19408532458444697</v>
      </c>
      <c r="AH63" s="68">
        <f t="shared" si="257"/>
        <v>0.21176411429720793</v>
      </c>
      <c r="AI63" s="68">
        <f t="shared" si="257"/>
        <v>0.14814933465747779</v>
      </c>
      <c r="AJ63" s="68">
        <f t="shared" si="257"/>
        <v>0.19175197028716368</v>
      </c>
      <c r="AK63" s="68">
        <f t="shared" si="257"/>
        <v>0.10239173094484059</v>
      </c>
      <c r="AL63" s="68">
        <f t="shared" si="257"/>
        <v>0.10447069900229305</v>
      </c>
      <c r="AM63" s="68">
        <f t="shared" si="257"/>
        <v>8.8253922108126631E-2</v>
      </c>
      <c r="AN63" s="68">
        <f t="shared" si="257"/>
        <v>5.9553752535496905E-2</v>
      </c>
      <c r="AO63" s="68">
        <f t="shared" si="257"/>
        <v>1.2077016567517463E-2</v>
      </c>
      <c r="AP63" s="68">
        <f t="shared" si="257"/>
        <v>5.3331061509626861E-2</v>
      </c>
      <c r="AQ63" s="68">
        <f t="shared" si="257"/>
        <v>0.15697649708869904</v>
      </c>
      <c r="AR63" s="68">
        <f t="shared" si="257"/>
        <v>0.19357063066293384</v>
      </c>
      <c r="AS63" s="68">
        <f t="shared" si="257"/>
        <v>0.1990006649358102</v>
      </c>
      <c r="AT63" s="68">
        <f t="shared" si="257"/>
        <v>0.20421638157441735</v>
      </c>
      <c r="AU63" s="81">
        <f t="shared" ref="AU63:BF63" si="258">AU158</f>
        <v>0.19500000000000001</v>
      </c>
      <c r="AV63" s="81">
        <f t="shared" si="258"/>
        <v>0.20499999999999999</v>
      </c>
      <c r="AW63" s="81">
        <f t="shared" si="258"/>
        <v>0.22</v>
      </c>
      <c r="AX63" s="81">
        <f t="shared" si="258"/>
        <v>0.23</v>
      </c>
      <c r="AY63" s="81">
        <f t="shared" si="258"/>
        <v>0.23</v>
      </c>
      <c r="AZ63" s="81">
        <f t="shared" si="258"/>
        <v>0.23</v>
      </c>
      <c r="BA63" s="81">
        <f t="shared" si="258"/>
        <v>0.23</v>
      </c>
      <c r="BB63" s="81">
        <f t="shared" si="258"/>
        <v>0.23</v>
      </c>
      <c r="BC63" s="81">
        <f t="shared" si="258"/>
        <v>0.23</v>
      </c>
      <c r="BD63" s="81">
        <f t="shared" si="258"/>
        <v>0.23</v>
      </c>
      <c r="BE63" s="81">
        <f t="shared" si="258"/>
        <v>0.23</v>
      </c>
      <c r="BF63" s="81">
        <f t="shared" si="258"/>
        <v>0.23</v>
      </c>
      <c r="BI63">
        <f t="shared" si="9"/>
        <v>56</v>
      </c>
    </row>
    <row r="64" spans="1:67" outlineLevel="1">
      <c r="B64" s="23" t="s">
        <v>49</v>
      </c>
      <c r="BI64">
        <f t="shared" si="9"/>
        <v>57</v>
      </c>
    </row>
    <row r="65" spans="1:61" outlineLevel="1">
      <c r="B65" s="8" t="s">
        <v>86</v>
      </c>
      <c r="C65" s="59"/>
      <c r="D65" s="59"/>
      <c r="E65" s="59"/>
      <c r="F65" s="59"/>
      <c r="G65" s="59"/>
      <c r="H65" s="59"/>
      <c r="I65" s="59"/>
      <c r="J65" s="59"/>
      <c r="K65" s="86">
        <f>+K14/J14-1</f>
        <v>3.4444026985519969</v>
      </c>
      <c r="L65" s="86">
        <f t="shared" ref="L65:M65" si="259">+L14/K14-1</f>
        <v>0.21550625000000023</v>
      </c>
      <c r="M65" s="86">
        <f t="shared" si="259"/>
        <v>0.21550625000000045</v>
      </c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81">
        <v>3.115401491882408E-2</v>
      </c>
      <c r="AV65" s="81">
        <v>0.05</v>
      </c>
      <c r="AW65" s="81">
        <v>0.05</v>
      </c>
      <c r="AX65" s="81">
        <v>0.05</v>
      </c>
      <c r="AY65" s="81">
        <v>0.05</v>
      </c>
      <c r="AZ65" s="81">
        <v>0.05</v>
      </c>
      <c r="BA65" s="81">
        <v>0.05</v>
      </c>
      <c r="BB65" s="81">
        <v>0.05</v>
      </c>
      <c r="BC65" s="81">
        <v>0.05</v>
      </c>
      <c r="BD65" s="81">
        <v>0.05</v>
      </c>
      <c r="BE65" s="81">
        <v>0.05</v>
      </c>
      <c r="BF65" s="81">
        <v>0.05</v>
      </c>
      <c r="BI65">
        <f t="shared" si="9"/>
        <v>58</v>
      </c>
    </row>
    <row r="66" spans="1:61" outlineLevel="1">
      <c r="B66" s="8" t="s">
        <v>87</v>
      </c>
      <c r="C66" s="59"/>
      <c r="D66" s="59"/>
      <c r="E66" s="59"/>
      <c r="F66" s="59"/>
      <c r="G66" s="59"/>
      <c r="H66" s="59"/>
      <c r="I66" s="59"/>
      <c r="J66" s="86">
        <f>J28/J14</f>
        <v>0.29416410706450202</v>
      </c>
      <c r="K66" s="86">
        <f t="shared" ref="K66:M66" si="260">K28/K14</f>
        <v>0.29292363910559444</v>
      </c>
      <c r="L66" s="86">
        <f t="shared" si="260"/>
        <v>0.3</v>
      </c>
      <c r="M66" s="86">
        <f t="shared" si="260"/>
        <v>0.30000000000000004</v>
      </c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132">
        <f>+AT28/AT14</f>
        <v>0.29416410706450202</v>
      </c>
      <c r="AU66" s="81">
        <v>0.28000000000000003</v>
      </c>
      <c r="AV66" s="81">
        <v>0.28999999999999998</v>
      </c>
      <c r="AW66" s="81">
        <v>0.3</v>
      </c>
      <c r="AX66" s="81">
        <v>0.3</v>
      </c>
      <c r="AY66" s="81">
        <v>0.3</v>
      </c>
      <c r="AZ66" s="81">
        <v>0.3</v>
      </c>
      <c r="BA66" s="81">
        <v>0.3</v>
      </c>
      <c r="BB66" s="81">
        <v>0.3</v>
      </c>
      <c r="BC66" s="81">
        <v>0.3</v>
      </c>
      <c r="BD66" s="81">
        <v>0.3</v>
      </c>
      <c r="BE66" s="81">
        <v>0.3</v>
      </c>
      <c r="BF66" s="81">
        <v>0.3</v>
      </c>
      <c r="BI66">
        <f t="shared" si="9"/>
        <v>59</v>
      </c>
    </row>
    <row r="67" spans="1:61" outlineLevel="1">
      <c r="B67" s="23" t="s">
        <v>50</v>
      </c>
      <c r="BI67">
        <f t="shared" si="9"/>
        <v>60</v>
      </c>
    </row>
    <row r="68" spans="1:61" outlineLevel="1">
      <c r="B68" s="8" t="s">
        <v>86</v>
      </c>
      <c r="C68" s="68"/>
      <c r="D68" s="68">
        <f t="shared" ref="D68:M68" si="261">D15/C15-1</f>
        <v>0.66175842235004101</v>
      </c>
      <c r="E68" s="68">
        <f t="shared" si="261"/>
        <v>0.18534781146778956</v>
      </c>
      <c r="F68" s="68">
        <f t="shared" si="261"/>
        <v>-4.4602035708325771E-2</v>
      </c>
      <c r="G68" s="68">
        <f t="shared" si="261"/>
        <v>-0.12332116597097309</v>
      </c>
      <c r="H68" s="68">
        <f t="shared" si="261"/>
        <v>-0.50332695832337238</v>
      </c>
      <c r="I68" s="68">
        <f t="shared" si="261"/>
        <v>-0.27267257631061737</v>
      </c>
      <c r="J68" s="68">
        <f t="shared" si="261"/>
        <v>2.9022776153973417</v>
      </c>
      <c r="K68" s="68">
        <f t="shared" si="261"/>
        <v>0.27914959016393448</v>
      </c>
      <c r="L68" s="68">
        <f t="shared" si="261"/>
        <v>0.21550625000000045</v>
      </c>
      <c r="M68" s="68">
        <f t="shared" si="261"/>
        <v>0.21550625000000023</v>
      </c>
      <c r="O68" s="68"/>
      <c r="P68" s="68">
        <f t="shared" ref="P68:AT68" si="262">P15/O15-1</f>
        <v>7.8851027879470514E-2</v>
      </c>
      <c r="Q68" s="68">
        <f t="shared" si="262"/>
        <v>-0.11250326285565126</v>
      </c>
      <c r="R68" s="68">
        <f t="shared" si="262"/>
        <v>0.30308823529411777</v>
      </c>
      <c r="S68" s="68">
        <f t="shared" si="262"/>
        <v>0.17221532558401975</v>
      </c>
      <c r="T68" s="68">
        <f t="shared" si="262"/>
        <v>0.29527293732550297</v>
      </c>
      <c r="U68" s="68">
        <f t="shared" si="262"/>
        <v>-0.12018730489073892</v>
      </c>
      <c r="V68" s="68">
        <f t="shared" si="262"/>
        <v>0.25715975331587404</v>
      </c>
      <c r="W68" s="68">
        <f t="shared" si="262"/>
        <v>-1.1020764733552846E-2</v>
      </c>
      <c r="X68" s="68">
        <f t="shared" si="262"/>
        <v>-1.8346130325475052E-3</v>
      </c>
      <c r="Y68" s="68">
        <f t="shared" si="262"/>
        <v>1.6541865214431128E-2</v>
      </c>
      <c r="Z68" s="68">
        <f t="shared" si="262"/>
        <v>4.3996517779413491E-2</v>
      </c>
      <c r="AA68" s="68">
        <f t="shared" si="262"/>
        <v>7.6651699807570584E-2</v>
      </c>
      <c r="AB68" s="68">
        <f t="shared" si="262"/>
        <v>-0.1232052427762883</v>
      </c>
      <c r="AC68" s="68">
        <f t="shared" si="262"/>
        <v>-6.0474281443228972E-2</v>
      </c>
      <c r="AD68" s="68">
        <f t="shared" si="262"/>
        <v>-0.13733998698199168</v>
      </c>
      <c r="AE68" s="68">
        <f t="shared" si="262"/>
        <v>6.3715627095908278E-3</v>
      </c>
      <c r="AF68" s="68">
        <f t="shared" si="262"/>
        <v>9.3302232589136391E-3</v>
      </c>
      <c r="AG68" s="68">
        <f t="shared" si="262"/>
        <v>0.2152525586001981</v>
      </c>
      <c r="AH68" s="68">
        <f t="shared" si="262"/>
        <v>-0.22901385493072535</v>
      </c>
      <c r="AI68" s="68">
        <f t="shared" si="262"/>
        <v>-0.4274136715997181</v>
      </c>
      <c r="AJ68" s="68">
        <f t="shared" si="262"/>
        <v>0.20246153846153847</v>
      </c>
      <c r="AK68" s="68">
        <f t="shared" si="262"/>
        <v>-0.22888945752302969</v>
      </c>
      <c r="AL68" s="68">
        <f t="shared" si="262"/>
        <v>-0.23875891820142692</v>
      </c>
      <c r="AM68" s="68">
        <f t="shared" si="262"/>
        <v>-0.1353530950305144</v>
      </c>
      <c r="AN68" s="68">
        <f t="shared" si="262"/>
        <v>0.19032014116460805</v>
      </c>
      <c r="AO68" s="68">
        <f t="shared" si="262"/>
        <v>-9.2757306226175507E-2</v>
      </c>
      <c r="AP68" s="68">
        <f t="shared" si="262"/>
        <v>0.204481792717087</v>
      </c>
      <c r="AQ68" s="68">
        <f t="shared" si="262"/>
        <v>2.1899224806201545E-2</v>
      </c>
      <c r="AR68" s="68">
        <f t="shared" si="262"/>
        <v>2.6091409065048361</v>
      </c>
      <c r="AS68" s="68">
        <f t="shared" si="262"/>
        <v>9.9994745415375119E-2</v>
      </c>
      <c r="AT68" s="68">
        <f t="shared" si="262"/>
        <v>0.2191649947453902</v>
      </c>
      <c r="AU68" s="81">
        <v>-0.17718047174986284</v>
      </c>
      <c r="AV68" s="81">
        <v>0.05</v>
      </c>
      <c r="AW68" s="81">
        <v>0.05</v>
      </c>
      <c r="AX68" s="81">
        <v>0.05</v>
      </c>
      <c r="AY68" s="81">
        <v>0.05</v>
      </c>
      <c r="AZ68" s="81">
        <v>0.05</v>
      </c>
      <c r="BA68" s="81">
        <v>0.05</v>
      </c>
      <c r="BB68" s="81">
        <v>0.05</v>
      </c>
      <c r="BC68" s="81">
        <v>0.05</v>
      </c>
      <c r="BD68" s="81">
        <v>0.05</v>
      </c>
      <c r="BE68" s="81">
        <v>0.05</v>
      </c>
      <c r="BF68" s="81">
        <v>0.05</v>
      </c>
      <c r="BI68">
        <f t="shared" si="9"/>
        <v>61</v>
      </c>
    </row>
    <row r="69" spans="1:61" outlineLevel="1">
      <c r="B69" s="8" t="s">
        <v>87</v>
      </c>
      <c r="C69" s="68">
        <f t="shared" ref="C69:M69" si="263">C29/C15</f>
        <v>0.76926869350862781</v>
      </c>
      <c r="D69" s="68">
        <f t="shared" si="263"/>
        <v>0.80982614371328554</v>
      </c>
      <c r="E69" s="68">
        <f t="shared" si="263"/>
        <v>0.81139662940096768</v>
      </c>
      <c r="F69" s="68">
        <f t="shared" si="263"/>
        <v>0.77454285065581496</v>
      </c>
      <c r="G69" s="68">
        <f t="shared" si="263"/>
        <v>0.73898318591122802</v>
      </c>
      <c r="H69" s="68">
        <f t="shared" si="263"/>
        <v>0.53872688620592835</v>
      </c>
      <c r="I69" s="68">
        <f t="shared" si="263"/>
        <v>0.53763855953234441</v>
      </c>
      <c r="J69" s="68">
        <f t="shared" si="263"/>
        <v>0.25531373657433576</v>
      </c>
      <c r="K69" s="68">
        <f t="shared" si="263"/>
        <v>0.1776798816739654</v>
      </c>
      <c r="L69" s="68">
        <f t="shared" si="263"/>
        <v>0.17999999999999997</v>
      </c>
      <c r="M69" s="68">
        <f t="shared" si="263"/>
        <v>0.18</v>
      </c>
      <c r="O69" s="68">
        <f t="shared" ref="O69:AT69" si="264">O29/O15</f>
        <v>0.7096592509152353</v>
      </c>
      <c r="P69" s="68">
        <f t="shared" si="264"/>
        <v>0.76768467762986159</v>
      </c>
      <c r="Q69" s="68">
        <f t="shared" si="264"/>
        <v>0.78176470588235292</v>
      </c>
      <c r="R69" s="68">
        <f t="shared" si="264"/>
        <v>0.80882518903058342</v>
      </c>
      <c r="S69" s="68">
        <f t="shared" si="264"/>
        <v>0.80774044478675266</v>
      </c>
      <c r="T69" s="68">
        <f t="shared" si="264"/>
        <v>0.84368960903820422</v>
      </c>
      <c r="U69" s="68">
        <f t="shared" si="264"/>
        <v>0.80518712511616108</v>
      </c>
      <c r="V69" s="68">
        <f t="shared" si="264"/>
        <v>0.78435589006115181</v>
      </c>
      <c r="W69" s="68">
        <f t="shared" si="264"/>
        <v>0.81450023782020786</v>
      </c>
      <c r="X69" s="68">
        <f t="shared" si="264"/>
        <v>0.82416609938733831</v>
      </c>
      <c r="Y69" s="68">
        <f t="shared" si="264"/>
        <v>0.81892452956539197</v>
      </c>
      <c r="Z69" s="68">
        <f t="shared" si="264"/>
        <v>0.78922386144964685</v>
      </c>
      <c r="AA69" s="68">
        <f t="shared" si="264"/>
        <v>0.82591599642537972</v>
      </c>
      <c r="AB69" s="68">
        <f t="shared" si="264"/>
        <v>0.78161310049602495</v>
      </c>
      <c r="AC69" s="68">
        <f t="shared" si="264"/>
        <v>0.73949519056917623</v>
      </c>
      <c r="AD69" s="68">
        <f t="shared" si="264"/>
        <v>0.73415492957746487</v>
      </c>
      <c r="AE69" s="68">
        <f t="shared" si="264"/>
        <v>0.72725758080639791</v>
      </c>
      <c r="AF69" s="68">
        <f t="shared" si="264"/>
        <v>0.76295807197094756</v>
      </c>
      <c r="AG69" s="68">
        <f t="shared" si="264"/>
        <v>0.77757402879652271</v>
      </c>
      <c r="AH69" s="68">
        <f t="shared" si="264"/>
        <v>0.67573995771670192</v>
      </c>
      <c r="AI69" s="68">
        <f t="shared" si="264"/>
        <v>0.56953846153846155</v>
      </c>
      <c r="AJ69" s="68">
        <f t="shared" si="264"/>
        <v>0.64444728761514847</v>
      </c>
      <c r="AK69" s="68">
        <f t="shared" si="264"/>
        <v>0.58204745312759254</v>
      </c>
      <c r="AL69" s="68">
        <f t="shared" si="264"/>
        <v>0.25806451612903231</v>
      </c>
      <c r="AM69" s="68">
        <f t="shared" si="264"/>
        <v>0.47315351651121756</v>
      </c>
      <c r="AN69" s="68">
        <f t="shared" si="264"/>
        <v>0.65057179161372303</v>
      </c>
      <c r="AO69" s="68">
        <f t="shared" si="264"/>
        <v>0.56909430438842201</v>
      </c>
      <c r="AP69" s="68">
        <f t="shared" si="264"/>
        <v>0.45775193798449615</v>
      </c>
      <c r="AQ69" s="68">
        <f t="shared" si="264"/>
        <v>0.38194576142613312</v>
      </c>
      <c r="AR69" s="68">
        <f t="shared" si="264"/>
        <v>0.3341915821554306</v>
      </c>
      <c r="AS69" s="68">
        <f t="shared" si="264"/>
        <v>0.24132989395242196</v>
      </c>
      <c r="AT69" s="68">
        <f t="shared" si="264"/>
        <v>0.18180393386098256</v>
      </c>
      <c r="AU69" s="81">
        <v>0.17</v>
      </c>
      <c r="AV69" s="81">
        <v>0.18</v>
      </c>
      <c r="AW69" s="81">
        <v>0.18</v>
      </c>
      <c r="AX69" s="81">
        <v>0.18</v>
      </c>
      <c r="AY69" s="81">
        <v>0.18</v>
      </c>
      <c r="AZ69" s="81">
        <v>0.18</v>
      </c>
      <c r="BA69" s="81">
        <v>0.18</v>
      </c>
      <c r="BB69" s="81">
        <v>0.18</v>
      </c>
      <c r="BC69" s="81">
        <v>0.18</v>
      </c>
      <c r="BD69" s="81">
        <v>0.18</v>
      </c>
      <c r="BE69" s="81">
        <v>0.18</v>
      </c>
      <c r="BF69" s="81">
        <v>0.18</v>
      </c>
      <c r="BI69">
        <f t="shared" si="9"/>
        <v>62</v>
      </c>
    </row>
    <row r="70" spans="1:61" outlineLevel="1">
      <c r="B70" s="10" t="s">
        <v>88</v>
      </c>
      <c r="C70" s="85">
        <f t="shared" ref="C70:M70" si="265">C32/C16</f>
        <v>0.35154836420856489</v>
      </c>
      <c r="D70" s="85">
        <f t="shared" si="265"/>
        <v>0.37498143957211832</v>
      </c>
      <c r="E70" s="85">
        <f t="shared" si="265"/>
        <v>0.36398028357054796</v>
      </c>
      <c r="F70" s="85">
        <f t="shared" si="265"/>
        <v>0.32105228411746617</v>
      </c>
      <c r="G70" s="85">
        <f t="shared" si="265"/>
        <v>0.30986324003681626</v>
      </c>
      <c r="H70" s="85">
        <f t="shared" si="265"/>
        <v>0.28242681728610564</v>
      </c>
      <c r="I70" s="85">
        <f t="shared" si="265"/>
        <v>0.19446816101638822</v>
      </c>
      <c r="J70" s="85">
        <f t="shared" si="265"/>
        <v>0.22629126348717091</v>
      </c>
      <c r="K70" s="85">
        <f t="shared" si="265"/>
        <v>0.24832299293629892</v>
      </c>
      <c r="L70" s="85">
        <f t="shared" si="265"/>
        <v>0.27417440229602963</v>
      </c>
      <c r="M70" s="85">
        <f t="shared" si="265"/>
        <v>0.27533422754400788</v>
      </c>
      <c r="O70" s="85">
        <f t="shared" ref="O70:BF70" si="266">O32/O16</f>
        <v>0.30852951789041172</v>
      </c>
      <c r="P70" s="85">
        <f t="shared" si="266"/>
        <v>0.33095650700995471</v>
      </c>
      <c r="Q70" s="85">
        <f t="shared" si="266"/>
        <v>0.3623010434079908</v>
      </c>
      <c r="R70" s="85">
        <f t="shared" si="266"/>
        <v>0.37910290738375019</v>
      </c>
      <c r="S70" s="85">
        <f t="shared" si="266"/>
        <v>0.37390994776208836</v>
      </c>
      <c r="T70" s="85">
        <f t="shared" si="266"/>
        <v>0.38927847696245732</v>
      </c>
      <c r="U70" s="85">
        <f t="shared" si="266"/>
        <v>0.36488540102221934</v>
      </c>
      <c r="V70" s="85">
        <f t="shared" si="266"/>
        <v>0.37336937846979296</v>
      </c>
      <c r="W70" s="85">
        <f t="shared" si="266"/>
        <v>0.37512953784650122</v>
      </c>
      <c r="X70" s="85">
        <f t="shared" si="266"/>
        <v>0.36857227592525166</v>
      </c>
      <c r="Y70" s="85">
        <f t="shared" si="266"/>
        <v>0.35583121384768601</v>
      </c>
      <c r="Z70" s="85">
        <f t="shared" si="266"/>
        <v>0.35448333971658369</v>
      </c>
      <c r="AA70" s="85">
        <f t="shared" si="266"/>
        <v>0.34704417582780017</v>
      </c>
      <c r="AB70" s="85">
        <f t="shared" si="266"/>
        <v>0.3135901449380874</v>
      </c>
      <c r="AC70" s="85">
        <f t="shared" si="266"/>
        <v>0.30101016753304483</v>
      </c>
      <c r="AD70" s="85">
        <f t="shared" si="266"/>
        <v>0.32253410183394954</v>
      </c>
      <c r="AE70" s="85">
        <f t="shared" si="266"/>
        <v>0.30133241320734688</v>
      </c>
      <c r="AF70" s="85">
        <f t="shared" si="266"/>
        <v>0.3137046466545883</v>
      </c>
      <c r="AG70" s="85">
        <f t="shared" si="266"/>
        <v>0.31248492244816867</v>
      </c>
      <c r="AH70" s="85">
        <f t="shared" si="266"/>
        <v>0.31059487205662556</v>
      </c>
      <c r="AI70" s="85">
        <f t="shared" si="266"/>
        <v>0.30072206946510782</v>
      </c>
      <c r="AJ70" s="85">
        <f t="shared" si="266"/>
        <v>0.30309234602251717</v>
      </c>
      <c r="AK70" s="85">
        <f t="shared" si="266"/>
        <v>0.24643384661536388</v>
      </c>
      <c r="AL70" s="85">
        <f t="shared" si="266"/>
        <v>0.26107415761719283</v>
      </c>
      <c r="AM70" s="85">
        <f t="shared" si="266"/>
        <v>0.25138501683434916</v>
      </c>
      <c r="AN70" s="85">
        <f t="shared" si="266"/>
        <v>0.19312635287127031</v>
      </c>
      <c r="AO70" s="85">
        <f t="shared" si="266"/>
        <v>0.16975130979443309</v>
      </c>
      <c r="AP70" s="85">
        <f t="shared" si="266"/>
        <v>0.15770063663155159</v>
      </c>
      <c r="AQ70" s="85">
        <f t="shared" si="266"/>
        <v>0.18294421233718353</v>
      </c>
      <c r="AR70" s="85">
        <f t="shared" si="266"/>
        <v>0.22182683973714834</v>
      </c>
      <c r="AS70" s="85">
        <f t="shared" si="266"/>
        <v>0.23983450829137401</v>
      </c>
      <c r="AT70" s="85">
        <f t="shared" si="266"/>
        <v>0.23459421287534887</v>
      </c>
      <c r="AU70" s="85">
        <f t="shared" si="266"/>
        <v>0.22796752569600315</v>
      </c>
      <c r="AV70" s="85">
        <f t="shared" si="266"/>
        <v>0.23925856172678714</v>
      </c>
      <c r="AW70" s="85">
        <f t="shared" si="266"/>
        <v>0.25600272281628328</v>
      </c>
      <c r="AX70" s="85">
        <f t="shared" si="266"/>
        <v>0.26542871899768578</v>
      </c>
      <c r="AY70" s="85">
        <f t="shared" si="266"/>
        <v>0.26897924127161554</v>
      </c>
      <c r="AZ70" s="85">
        <f t="shared" si="266"/>
        <v>0.27479914299025821</v>
      </c>
      <c r="BA70" s="85">
        <f t="shared" si="266"/>
        <v>0.27650328747608388</v>
      </c>
      <c r="BB70" s="85">
        <f t="shared" si="266"/>
        <v>0.2758624321407937</v>
      </c>
      <c r="BC70" s="85">
        <f t="shared" si="266"/>
        <v>0.27523387748023548</v>
      </c>
      <c r="BD70" s="85">
        <f t="shared" si="266"/>
        <v>0.27510214091897212</v>
      </c>
      <c r="BE70" s="85">
        <f t="shared" si="266"/>
        <v>0.27557573276151404</v>
      </c>
      <c r="BF70" s="85">
        <f t="shared" si="266"/>
        <v>0.27541959942371963</v>
      </c>
      <c r="BI70">
        <f t="shared" si="9"/>
        <v>63</v>
      </c>
    </row>
    <row r="71" spans="1:61" outlineLevel="1">
      <c r="B71" t="s">
        <v>89</v>
      </c>
      <c r="C71" s="68"/>
      <c r="D71" s="68">
        <f t="shared" ref="D71:M71" si="267">-D33/C309</f>
        <v>0.16253157312373614</v>
      </c>
      <c r="E71" s="68">
        <f t="shared" si="267"/>
        <v>0.16232106807574737</v>
      </c>
      <c r="F71" s="68">
        <f t="shared" si="267"/>
        <v>0.15480213299669773</v>
      </c>
      <c r="G71" s="68">
        <f t="shared" si="267"/>
        <v>0.17164763098531965</v>
      </c>
      <c r="H71" s="68">
        <f t="shared" si="267"/>
        <v>0.16966108788737838</v>
      </c>
      <c r="I71" s="68">
        <f t="shared" si="267"/>
        <v>0.16992670711514346</v>
      </c>
      <c r="J71" s="68">
        <f t="shared" si="267"/>
        <v>0.22128782271910841</v>
      </c>
      <c r="K71" s="68">
        <f t="shared" si="267"/>
        <v>0.19376539159318276</v>
      </c>
      <c r="L71" s="68">
        <f t="shared" si="267"/>
        <v>0.20914764211998826</v>
      </c>
      <c r="M71" s="68">
        <f t="shared" si="267"/>
        <v>0.21625754227392116</v>
      </c>
      <c r="O71" s="68"/>
      <c r="P71" s="68">
        <f t="shared" ref="P71:AU71" si="268">-P33/O309*4</f>
        <v>0.14389773019929022</v>
      </c>
      <c r="Q71" s="68">
        <f t="shared" si="268"/>
        <v>0.14922908090163492</v>
      </c>
      <c r="R71" s="68">
        <f t="shared" si="268"/>
        <v>0.15611930162379897</v>
      </c>
      <c r="S71" s="68">
        <f t="shared" si="268"/>
        <v>0.14684268762638789</v>
      </c>
      <c r="T71" s="68">
        <f t="shared" si="268"/>
        <v>0.15187126807830723</v>
      </c>
      <c r="U71" s="68">
        <f t="shared" si="268"/>
        <v>0.15320057509198562</v>
      </c>
      <c r="V71" s="68">
        <f t="shared" si="268"/>
        <v>0.1537569663730175</v>
      </c>
      <c r="W71" s="68">
        <f t="shared" si="268"/>
        <v>0.15527966391203013</v>
      </c>
      <c r="X71" s="68">
        <f t="shared" si="268"/>
        <v>0.15534073318838315</v>
      </c>
      <c r="Y71" s="68">
        <f t="shared" si="268"/>
        <v>0.15270691712029083</v>
      </c>
      <c r="Z71" s="68">
        <f t="shared" si="268"/>
        <v>0.15077447469474053</v>
      </c>
      <c r="AA71" s="68">
        <f t="shared" si="268"/>
        <v>0.15094942914761728</v>
      </c>
      <c r="AB71" s="68">
        <f t="shared" si="268"/>
        <v>0.14899952481162168</v>
      </c>
      <c r="AC71" s="68">
        <f t="shared" si="268"/>
        <v>0.15356626592135372</v>
      </c>
      <c r="AD71" s="68">
        <f t="shared" si="268"/>
        <v>0.15918395738385685</v>
      </c>
      <c r="AE71" s="68">
        <f t="shared" si="268"/>
        <v>0.16209086900684108</v>
      </c>
      <c r="AF71" s="68">
        <f t="shared" si="268"/>
        <v>0.16512635837540612</v>
      </c>
      <c r="AG71" s="68">
        <f t="shared" si="268"/>
        <v>0.16516479459728775</v>
      </c>
      <c r="AH71" s="68">
        <f t="shared" si="268"/>
        <v>0.16721183846467061</v>
      </c>
      <c r="AI71" s="68">
        <f t="shared" si="268"/>
        <v>0.16656019710142964</v>
      </c>
      <c r="AJ71" s="68">
        <f t="shared" si="268"/>
        <v>0.16845758956272305</v>
      </c>
      <c r="AK71" s="68">
        <f t="shared" si="268"/>
        <v>0.16687410963398108</v>
      </c>
      <c r="AL71" s="68">
        <f t="shared" si="268"/>
        <v>0.17289425653565729</v>
      </c>
      <c r="AM71" s="68">
        <f t="shared" si="268"/>
        <v>0.17809946570874446</v>
      </c>
      <c r="AN71" s="68">
        <f t="shared" si="268"/>
        <v>0.18059936596128426</v>
      </c>
      <c r="AO71" s="68">
        <f t="shared" si="268"/>
        <v>0.17958666195720058</v>
      </c>
      <c r="AP71" s="68">
        <f t="shared" si="268"/>
        <v>0.17908501198835911</v>
      </c>
      <c r="AQ71" s="68">
        <f t="shared" si="268"/>
        <v>0.18330149080526834</v>
      </c>
      <c r="AR71" s="68">
        <f t="shared" si="268"/>
        <v>0.22873069717867286</v>
      </c>
      <c r="AS71" s="68">
        <f t="shared" si="268"/>
        <v>0.18585348403215923</v>
      </c>
      <c r="AT71" s="68">
        <f t="shared" si="268"/>
        <v>0.20118119660766243</v>
      </c>
      <c r="AU71" s="68">
        <f t="shared" si="268"/>
        <v>0.1927266830092626</v>
      </c>
      <c r="AV71" s="128">
        <f>+AU71+0.25%</f>
        <v>0.1952266830092626</v>
      </c>
      <c r="AW71" s="128">
        <f>+AV71+0.25%</f>
        <v>0.1977266830092626</v>
      </c>
      <c r="AX71" s="128">
        <f>+AW71+0.25%</f>
        <v>0.20022668300926261</v>
      </c>
      <c r="AY71" s="128">
        <f>+AX71+0.5%</f>
        <v>0.20522668300926261</v>
      </c>
      <c r="AZ71" s="128">
        <f>AY71+0.5%</f>
        <v>0.21022668300926262</v>
      </c>
      <c r="BA71" s="128">
        <f>AZ71+0.5%</f>
        <v>0.21522668300926262</v>
      </c>
      <c r="BB71" s="128">
        <f>BA71+0.5%</f>
        <v>0.22022668300926262</v>
      </c>
      <c r="BC71" s="128">
        <f>BB71</f>
        <v>0.22022668300926262</v>
      </c>
      <c r="BD71" s="128">
        <f t="shared" ref="BD71:BF71" si="269">BC71</f>
        <v>0.22022668300926262</v>
      </c>
      <c r="BE71" s="128">
        <f t="shared" si="269"/>
        <v>0.22022668300926262</v>
      </c>
      <c r="BF71" s="128">
        <f t="shared" si="269"/>
        <v>0.22022668300926262</v>
      </c>
      <c r="BI71">
        <f t="shared" si="9"/>
        <v>64</v>
      </c>
    </row>
    <row r="72" spans="1:61" outlineLevel="1">
      <c r="B72" s="10" t="s">
        <v>90</v>
      </c>
      <c r="C72" s="85">
        <f t="shared" ref="C72:M72" si="270">C35/C16</f>
        <v>0.12520822923295771</v>
      </c>
      <c r="D72" s="85">
        <f t="shared" si="270"/>
        <v>0.21091700010483475</v>
      </c>
      <c r="E72" s="85">
        <f t="shared" si="270"/>
        <v>0.17721470184114507</v>
      </c>
      <c r="F72" s="85">
        <f t="shared" si="270"/>
        <v>0.11119716463489387</v>
      </c>
      <c r="G72" s="85">
        <f t="shared" si="270"/>
        <v>0.11872704287571442</v>
      </c>
      <c r="H72" s="85">
        <f t="shared" si="270"/>
        <v>-9.6465053984773355E-2</v>
      </c>
      <c r="I72" s="85">
        <f t="shared" si="270"/>
        <v>-0.5369359585241098</v>
      </c>
      <c r="J72" s="85">
        <f t="shared" si="270"/>
        <v>-8.8571484339860659E-2</v>
      </c>
      <c r="K72" s="85">
        <f t="shared" si="270"/>
        <v>1.5460343021553675E-2</v>
      </c>
      <c r="L72" s="85">
        <f t="shared" si="270"/>
        <v>7.7293392959184845E-2</v>
      </c>
      <c r="M72" s="85">
        <f t="shared" si="270"/>
        <v>9.5612969948995236E-2</v>
      </c>
      <c r="O72" s="85">
        <f t="shared" ref="O72:AR72" si="271">O35/O16</f>
        <v>2.8833054735307485E-2</v>
      </c>
      <c r="P72" s="85">
        <f t="shared" si="271"/>
        <v>7.758508365038834E-2</v>
      </c>
      <c r="Q72" s="85">
        <f t="shared" si="271"/>
        <v>0.13866947655303008</v>
      </c>
      <c r="R72" s="85">
        <f t="shared" si="271"/>
        <v>0.19580246718267363</v>
      </c>
      <c r="S72" s="85">
        <f t="shared" si="271"/>
        <v>0.20716632240872462</v>
      </c>
      <c r="T72" s="85">
        <f t="shared" si="271"/>
        <v>0.21974322738907848</v>
      </c>
      <c r="U72" s="85">
        <f t="shared" si="271"/>
        <v>0.20271345209756797</v>
      </c>
      <c r="V72" s="85">
        <f t="shared" si="271"/>
        <v>0.21417324573205992</v>
      </c>
      <c r="W72" s="85">
        <f t="shared" si="271"/>
        <v>0.21351322727205704</v>
      </c>
      <c r="X72" s="85">
        <f t="shared" si="271"/>
        <v>0.17994397397197529</v>
      </c>
      <c r="Y72" s="85">
        <f t="shared" si="271"/>
        <v>0.15706825805469282</v>
      </c>
      <c r="Z72" s="85">
        <f t="shared" si="271"/>
        <v>0.15275220222137115</v>
      </c>
      <c r="AA72" s="85">
        <f t="shared" si="271"/>
        <v>0.14231851510931143</v>
      </c>
      <c r="AB72" s="85">
        <f t="shared" si="271"/>
        <v>0.10708977182413296</v>
      </c>
      <c r="AC72" s="85">
        <f t="shared" si="271"/>
        <v>9.2426811872948447E-2</v>
      </c>
      <c r="AD72" s="85">
        <f t="shared" si="271"/>
        <v>0.10280143156855477</v>
      </c>
      <c r="AE72" s="85">
        <f t="shared" si="271"/>
        <v>8.6668790034327786E-2</v>
      </c>
      <c r="AF72" s="85">
        <f t="shared" si="271"/>
        <v>0.11518389596395506</v>
      </c>
      <c r="AG72" s="85">
        <f t="shared" si="271"/>
        <v>0.12791676718367889</v>
      </c>
      <c r="AH72" s="85">
        <f t="shared" si="271"/>
        <v>0.1372052741897363</v>
      </c>
      <c r="AI72" s="85">
        <f t="shared" si="271"/>
        <v>3.7284333351508443E-2</v>
      </c>
      <c r="AJ72" s="85">
        <f t="shared" si="271"/>
        <v>-7.9324351814787419E-2</v>
      </c>
      <c r="AK72" s="85">
        <f t="shared" si="271"/>
        <v>-0.2004469290786092</v>
      </c>
      <c r="AL72" s="85">
        <f t="shared" si="271"/>
        <v>-0.25672676711405518</v>
      </c>
      <c r="AM72" s="85">
        <f t="shared" si="271"/>
        <v>-0.43556747024741949</v>
      </c>
      <c r="AN72" s="85">
        <f t="shared" si="271"/>
        <v>-0.68837803998132485</v>
      </c>
      <c r="AO72" s="85">
        <f t="shared" si="271"/>
        <v>-0.60756900201957131</v>
      </c>
      <c r="AP72" s="85">
        <f t="shared" si="271"/>
        <v>-0.46585228845433663</v>
      </c>
      <c r="AQ72" s="85">
        <f t="shared" si="271"/>
        <v>-0.32339805029900875</v>
      </c>
      <c r="AR72" s="85">
        <f t="shared" si="271"/>
        <v>-0.10370416411998912</v>
      </c>
      <c r="AS72" s="85">
        <f>AS35/AS16</f>
        <v>-4.1704319339434699E-2</v>
      </c>
      <c r="AT72" s="85">
        <f>AT35/AT16</f>
        <v>-2.7194303815153469E-2</v>
      </c>
      <c r="AU72" s="85">
        <f t="shared" ref="AU72:BF72" si="272">AU35/AU16</f>
        <v>-3.3228705778318678E-2</v>
      </c>
      <c r="AV72" s="85">
        <f t="shared" si="272"/>
        <v>-3.3353340189145561E-4</v>
      </c>
      <c r="AW72" s="85">
        <f t="shared" si="272"/>
        <v>3.2169667040365522E-2</v>
      </c>
      <c r="AX72" s="85">
        <f t="shared" si="272"/>
        <v>5.2761589557455066E-2</v>
      </c>
      <c r="AY72" s="85">
        <f t="shared" si="272"/>
        <v>6.0531087337122813E-2</v>
      </c>
      <c r="AZ72" s="85">
        <f t="shared" si="272"/>
        <v>7.4329325952615363E-2</v>
      </c>
      <c r="BA72" s="85">
        <f t="shared" si="272"/>
        <v>8.5436265716383658E-2</v>
      </c>
      <c r="BB72" s="85">
        <f t="shared" si="272"/>
        <v>8.6672750612100294E-2</v>
      </c>
      <c r="BC72" s="85">
        <f t="shared" si="272"/>
        <v>8.9573456869209436E-2</v>
      </c>
      <c r="BD72" s="85">
        <f t="shared" si="272"/>
        <v>9.3223037494974667E-2</v>
      </c>
      <c r="BE72" s="85">
        <f t="shared" si="272"/>
        <v>9.8094003260202484E-2</v>
      </c>
      <c r="BF72" s="85">
        <f t="shared" si="272"/>
        <v>0.10136416262307378</v>
      </c>
      <c r="BI72">
        <f t="shared" si="9"/>
        <v>65</v>
      </c>
    </row>
    <row r="73" spans="1:61" outlineLevel="1">
      <c r="B73" t="s">
        <v>91</v>
      </c>
      <c r="C73" s="68" t="str">
        <f t="shared" ref="C73:M73" si="273">IFERROR(-C36/B334,"NM")</f>
        <v>NM</v>
      </c>
      <c r="D73" s="68">
        <f t="shared" si="273"/>
        <v>3.9252664576802508E-2</v>
      </c>
      <c r="E73" s="68">
        <f t="shared" si="273"/>
        <v>4.3327363184079599E-2</v>
      </c>
      <c r="F73" s="68">
        <f t="shared" si="273"/>
        <v>4.0585330948121646E-2</v>
      </c>
      <c r="G73" s="68">
        <f t="shared" si="273"/>
        <v>4.3068592057761729E-2</v>
      </c>
      <c r="H73" s="68">
        <f t="shared" si="273"/>
        <v>3.7011669203450018E-2</v>
      </c>
      <c r="I73" s="68">
        <f t="shared" si="273"/>
        <v>4.5603508771929827E-2</v>
      </c>
      <c r="J73" s="68">
        <f t="shared" si="273"/>
        <v>6.2616449183456227E-2</v>
      </c>
      <c r="K73" s="68">
        <f t="shared" si="273"/>
        <v>5.9937764844257439E-2</v>
      </c>
      <c r="L73" s="68">
        <f t="shared" si="273"/>
        <v>4.7500000000000001E-2</v>
      </c>
      <c r="M73" s="68">
        <f t="shared" si="273"/>
        <v>4.4329903993920533E-2</v>
      </c>
      <c r="O73" s="68" t="str">
        <f t="shared" ref="O73:AT73" si="274">IFERROR(-O36/N334*4,"NM")</f>
        <v>NM</v>
      </c>
      <c r="P73" s="68" t="str">
        <f t="shared" si="274"/>
        <v>NM</v>
      </c>
      <c r="Q73" s="68" t="str">
        <f t="shared" si="274"/>
        <v>NM</v>
      </c>
      <c r="R73" s="68">
        <f t="shared" si="274"/>
        <v>0.15044000000000002</v>
      </c>
      <c r="S73" s="68">
        <f t="shared" si="274"/>
        <v>3.9011912225705325E-2</v>
      </c>
      <c r="T73" s="68">
        <f t="shared" si="274"/>
        <v>3.5361006289308175E-2</v>
      </c>
      <c r="U73" s="68">
        <f t="shared" si="274"/>
        <v>3.8712933753943218E-2</v>
      </c>
      <c r="V73" s="68">
        <f t="shared" si="274"/>
        <v>4.2979552093476141E-2</v>
      </c>
      <c r="W73" s="68">
        <f t="shared" si="274"/>
        <v>3.6473631840796016E-2</v>
      </c>
      <c r="X73" s="68">
        <f t="shared" si="274"/>
        <v>4.0529588766298898E-2</v>
      </c>
      <c r="Y73" s="68">
        <f t="shared" si="274"/>
        <v>4.152666666666667E-2</v>
      </c>
      <c r="Z73" s="68">
        <f t="shared" si="274"/>
        <v>3.9399999999999998E-2</v>
      </c>
      <c r="AA73" s="68">
        <f t="shared" si="274"/>
        <v>3.8732021466905187E-2</v>
      </c>
      <c r="AB73" s="68">
        <f t="shared" si="274"/>
        <v>3.9805017921146955E-2</v>
      </c>
      <c r="AC73" s="68">
        <f t="shared" si="274"/>
        <v>4.310520646319569E-2</v>
      </c>
      <c r="AD73" s="68">
        <f t="shared" si="274"/>
        <v>4.1145323741007198E-2</v>
      </c>
      <c r="AE73" s="68">
        <f t="shared" si="274"/>
        <v>4.1519133574007216E-2</v>
      </c>
      <c r="AF73" s="68">
        <f t="shared" si="274"/>
        <v>4.20231884057971E-2</v>
      </c>
      <c r="AG73" s="68">
        <f t="shared" si="274"/>
        <v>4.0686545454545454E-2</v>
      </c>
      <c r="AH73" s="68">
        <f t="shared" si="274"/>
        <v>4.9021897810218977E-2</v>
      </c>
      <c r="AI73" s="68">
        <f t="shared" si="274"/>
        <v>3.4666666666666665E-2</v>
      </c>
      <c r="AJ73" s="68">
        <f t="shared" si="274"/>
        <v>4.2040909090909094E-2</v>
      </c>
      <c r="AK73" s="68">
        <f t="shared" si="274"/>
        <v>4.2425214899713466E-2</v>
      </c>
      <c r="AL73" s="68">
        <f t="shared" si="274"/>
        <v>4.3611560693641617E-2</v>
      </c>
      <c r="AM73" s="68">
        <f t="shared" si="274"/>
        <v>5.052631578947369E-2</v>
      </c>
      <c r="AN73" s="68">
        <f t="shared" si="274"/>
        <v>5.0755232439999104E-2</v>
      </c>
      <c r="AO73" s="68">
        <f t="shared" si="274"/>
        <v>4.2902925419342354E-2</v>
      </c>
      <c r="AP73" s="68">
        <f t="shared" si="274"/>
        <v>5.6372289276450188E-2</v>
      </c>
      <c r="AQ73" s="68">
        <f t="shared" si="274"/>
        <v>5.5277330780015267E-2</v>
      </c>
      <c r="AR73" s="68">
        <f t="shared" si="274"/>
        <v>6.0649197024680711E-2</v>
      </c>
      <c r="AS73" s="68">
        <f t="shared" si="274"/>
        <v>5.3721220274379561E-2</v>
      </c>
      <c r="AT73" s="68">
        <f t="shared" si="274"/>
        <v>5.6782240940787425E-2</v>
      </c>
      <c r="AU73" s="133">
        <v>5.5E-2</v>
      </c>
      <c r="AV73" s="133">
        <v>4.7500000000000001E-2</v>
      </c>
      <c r="AW73" s="133">
        <v>4.7500000000000001E-2</v>
      </c>
      <c r="AX73" s="133">
        <v>4.7500000000000001E-2</v>
      </c>
      <c r="AY73" s="133">
        <v>4.7500000000000001E-2</v>
      </c>
      <c r="AZ73" s="133">
        <v>4.7500000000000001E-2</v>
      </c>
      <c r="BA73" s="133">
        <v>4.7500000000000001E-2</v>
      </c>
      <c r="BB73" s="133">
        <v>4.7500000000000001E-2</v>
      </c>
      <c r="BC73" s="133">
        <v>4.7500000000000001E-2</v>
      </c>
      <c r="BD73" s="133">
        <v>4.7500000000000001E-2</v>
      </c>
      <c r="BE73" s="133">
        <v>4.7500000000000001E-2</v>
      </c>
      <c r="BF73" s="133">
        <v>4.7500000000000001E-2</v>
      </c>
      <c r="BI73">
        <f t="shared" si="9"/>
        <v>66</v>
      </c>
    </row>
    <row r="74" spans="1:61" outlineLevel="1">
      <c r="B74" t="s">
        <v>92</v>
      </c>
      <c r="C74" s="68">
        <f t="shared" ref="C74:M74" si="275">-C40/C39</f>
        <v>0.37909346846846836</v>
      </c>
      <c r="D74" s="68">
        <f t="shared" si="275"/>
        <v>0.36810065397725333</v>
      </c>
      <c r="E74" s="68">
        <f t="shared" si="275"/>
        <v>0.37102027329552001</v>
      </c>
      <c r="F74" s="68">
        <f t="shared" si="275"/>
        <v>0.35887618396205395</v>
      </c>
      <c r="G74" s="68">
        <f t="shared" si="275"/>
        <v>0.33654356254351953</v>
      </c>
      <c r="H74" s="68">
        <f t="shared" si="275"/>
        <v>0.34222784043026638</v>
      </c>
      <c r="I74" s="68">
        <f t="shared" si="275"/>
        <v>0.35706819574881127</v>
      </c>
      <c r="J74" s="68">
        <f t="shared" si="275"/>
        <v>0.34462577562111152</v>
      </c>
      <c r="K74" s="68">
        <f t="shared" si="275"/>
        <v>0.27999999999999431</v>
      </c>
      <c r="L74" s="68">
        <f t="shared" si="275"/>
        <v>0.2800000000000003</v>
      </c>
      <c r="M74" s="68">
        <f t="shared" si="275"/>
        <v>0.27999999999999992</v>
      </c>
      <c r="O74" s="68">
        <f t="shared" ref="O74:AR74" si="276">-O40/O39</f>
        <v>0.37447698744769636</v>
      </c>
      <c r="P74" s="68">
        <f t="shared" si="276"/>
        <v>0.30684897244570408</v>
      </c>
      <c r="Q74" s="68">
        <f t="shared" si="276"/>
        <v>0.36796469163769852</v>
      </c>
      <c r="R74" s="68">
        <f t="shared" si="276"/>
        <v>0.40347706163217101</v>
      </c>
      <c r="S74" s="68">
        <f t="shared" si="276"/>
        <v>0.3707696362677913</v>
      </c>
      <c r="T74" s="68">
        <f t="shared" si="276"/>
        <v>0.36453152122301891</v>
      </c>
      <c r="U74" s="68">
        <f t="shared" si="276"/>
        <v>0.36456401438643649</v>
      </c>
      <c r="V74" s="68">
        <f t="shared" si="276"/>
        <v>0.37224888629613917</v>
      </c>
      <c r="W74" s="68">
        <f t="shared" si="276"/>
        <v>0.36501491601987041</v>
      </c>
      <c r="X74" s="68">
        <f t="shared" si="276"/>
        <v>0.36459905058445202</v>
      </c>
      <c r="Y74" s="68">
        <f t="shared" si="276"/>
        <v>0.38090049658123321</v>
      </c>
      <c r="Z74" s="68">
        <f t="shared" si="276"/>
        <v>0.37878949161202413</v>
      </c>
      <c r="AA74" s="68">
        <f t="shared" si="276"/>
        <v>0.36361167070327538</v>
      </c>
      <c r="AB74" s="68">
        <f t="shared" si="276"/>
        <v>0.36593256190120671</v>
      </c>
      <c r="AC74" s="68">
        <f t="shared" si="276"/>
        <v>0.33103912893064608</v>
      </c>
      <c r="AD74" s="68">
        <f t="shared" si="276"/>
        <v>0.36956557123557499</v>
      </c>
      <c r="AE74" s="68">
        <f t="shared" si="276"/>
        <v>0.34331098833165896</v>
      </c>
      <c r="AF74" s="68">
        <f t="shared" si="276"/>
        <v>0.32305332468698544</v>
      </c>
      <c r="AG74" s="68">
        <f t="shared" si="276"/>
        <v>0.32102197000325405</v>
      </c>
      <c r="AH74" s="68">
        <f t="shared" si="276"/>
        <v>0.35648428445397784</v>
      </c>
      <c r="AI74" s="68">
        <f t="shared" si="276"/>
        <v>0.42410972886762288</v>
      </c>
      <c r="AJ74" s="68">
        <f t="shared" si="276"/>
        <v>0.43256997455470703</v>
      </c>
      <c r="AK74" s="68">
        <f t="shared" si="276"/>
        <v>0.33218399972652979</v>
      </c>
      <c r="AL74" s="68">
        <f t="shared" si="276"/>
        <v>0.32180929772081296</v>
      </c>
      <c r="AM74" s="68">
        <f t="shared" si="276"/>
        <v>0.33440145052610609</v>
      </c>
      <c r="AN74" s="68">
        <f t="shared" si="276"/>
        <v>0.3629315382861053</v>
      </c>
      <c r="AO74" s="68">
        <f t="shared" si="276"/>
        <v>0.37005047436907035</v>
      </c>
      <c r="AP74" s="68">
        <f t="shared" si="276"/>
        <v>0.35851379472922668</v>
      </c>
      <c r="AQ74" s="68">
        <f t="shared" si="276"/>
        <v>0.36768349915524684</v>
      </c>
      <c r="AR74" s="68">
        <f t="shared" si="276"/>
        <v>0.37938448936605912</v>
      </c>
      <c r="AS74" s="68">
        <f>-AS40/AS39</f>
        <v>0.28789634467502345</v>
      </c>
      <c r="AT74" s="68">
        <f>-AT40/AT39</f>
        <v>0.25854755784061656</v>
      </c>
      <c r="AU74" s="133">
        <v>0.28000000000000003</v>
      </c>
      <c r="AV74" s="133">
        <v>0.28000000000000003</v>
      </c>
      <c r="AW74" s="133">
        <v>0.28000000000000003</v>
      </c>
      <c r="AX74" s="133">
        <v>0.28000000000000003</v>
      </c>
      <c r="AY74" s="133">
        <f>AX74</f>
        <v>0.28000000000000003</v>
      </c>
      <c r="AZ74" s="133">
        <f t="shared" ref="AZ74:BF74" si="277">AY74</f>
        <v>0.28000000000000003</v>
      </c>
      <c r="BA74" s="133">
        <f t="shared" si="277"/>
        <v>0.28000000000000003</v>
      </c>
      <c r="BB74" s="133">
        <f t="shared" si="277"/>
        <v>0.28000000000000003</v>
      </c>
      <c r="BC74" s="133">
        <f t="shared" si="277"/>
        <v>0.28000000000000003</v>
      </c>
      <c r="BD74" s="133">
        <f t="shared" si="277"/>
        <v>0.28000000000000003</v>
      </c>
      <c r="BE74" s="133">
        <f t="shared" si="277"/>
        <v>0.28000000000000003</v>
      </c>
      <c r="BF74" s="133">
        <f t="shared" si="277"/>
        <v>0.28000000000000003</v>
      </c>
      <c r="BI74">
        <f t="shared" ref="BI74:BI137" si="278">+BI73+1</f>
        <v>67</v>
      </c>
    </row>
    <row r="75" spans="1:61" outlineLevel="1">
      <c r="B75" t="s">
        <v>93</v>
      </c>
      <c r="C75" s="68">
        <f t="shared" ref="C75:M75" si="279">C41/C16</f>
        <v>7.5378127881629453E-2</v>
      </c>
      <c r="D75" s="68">
        <f t="shared" si="279"/>
        <v>0.12961316755672278</v>
      </c>
      <c r="E75" s="68">
        <f t="shared" si="279"/>
        <v>0.10631095382486842</v>
      </c>
      <c r="F75" s="68">
        <f t="shared" si="279"/>
        <v>6.506325436989889E-2</v>
      </c>
      <c r="G75" s="68">
        <f t="shared" si="279"/>
        <v>7.2756919778863741E-2</v>
      </c>
      <c r="H75" s="68">
        <f t="shared" si="279"/>
        <v>-7.6261146881398151E-2</v>
      </c>
      <c r="I75" s="68">
        <f t="shared" si="279"/>
        <v>-0.37305297914425123</v>
      </c>
      <c r="J75" s="68">
        <f t="shared" si="279"/>
        <v>-6.7853814936580437E-2</v>
      </c>
      <c r="K75" s="68">
        <f t="shared" si="279"/>
        <v>8.4549880538801526E-4</v>
      </c>
      <c r="L75" s="68">
        <f t="shared" si="279"/>
        <v>4.7072031679929079E-2</v>
      </c>
      <c r="M75" s="68">
        <f t="shared" si="279"/>
        <v>6.1610795604507766E-2</v>
      </c>
      <c r="O75" s="68">
        <f>O41/O16</f>
        <v>1.5412484628016566E-2</v>
      </c>
      <c r="P75" s="68">
        <f t="shared" ref="P75:BF75" si="280">P41/P16</f>
        <v>5.4164277896492467E-2</v>
      </c>
      <c r="Q75" s="68">
        <f t="shared" si="280"/>
        <v>8.5469137465239611E-2</v>
      </c>
      <c r="R75" s="68">
        <f t="shared" si="280"/>
        <v>0.1129078188095983</v>
      </c>
      <c r="S75" s="68">
        <f t="shared" si="280"/>
        <v>0.12622223318834552</v>
      </c>
      <c r="T75" s="68">
        <f t="shared" si="280"/>
        <v>0.13604882145904432</v>
      </c>
      <c r="U75" s="68">
        <f t="shared" si="280"/>
        <v>0.1255928812694041</v>
      </c>
      <c r="V75" s="68">
        <f t="shared" si="280"/>
        <v>0.1306774194883854</v>
      </c>
      <c r="W75" s="68">
        <f t="shared" si="280"/>
        <v>0.13040791182980513</v>
      </c>
      <c r="X75" s="68">
        <f t="shared" si="280"/>
        <v>0.10965720762517768</v>
      </c>
      <c r="Y75" s="68">
        <f t="shared" si="280"/>
        <v>9.1988888042993572E-2</v>
      </c>
      <c r="Z75" s="68">
        <f t="shared" si="280"/>
        <v>8.9404825737265436E-2</v>
      </c>
      <c r="AA75" s="68">
        <f t="shared" si="280"/>
        <v>8.4297919611896741E-2</v>
      </c>
      <c r="AB75" s="68">
        <f t="shared" si="280"/>
        <v>6.1833779250010677E-2</v>
      </c>
      <c r="AC75" s="68">
        <f t="shared" si="280"/>
        <v>5.4991191530697876E-2</v>
      </c>
      <c r="AD75" s="68">
        <f t="shared" si="280"/>
        <v>5.901182765718526E-2</v>
      </c>
      <c r="AE75" s="68">
        <f t="shared" si="280"/>
        <v>5.0124526665958895E-2</v>
      </c>
      <c r="AF75" s="68">
        <f t="shared" si="280"/>
        <v>7.1681923103333572E-2</v>
      </c>
      <c r="AG75" s="68">
        <f t="shared" si="280"/>
        <v>8.1425687181597595E-2</v>
      </c>
      <c r="AH75" s="68">
        <f t="shared" si="280"/>
        <v>8.2557069924180437E-2</v>
      </c>
      <c r="AI75" s="68">
        <f t="shared" si="280"/>
        <v>1.4062953240744386E-2</v>
      </c>
      <c r="AJ75" s="68">
        <f t="shared" si="280"/>
        <v>-5.6096211181618803E-2</v>
      </c>
      <c r="AK75" s="68">
        <f t="shared" si="280"/>
        <v>-0.14899720605769409</v>
      </c>
      <c r="AL75" s="68">
        <f t="shared" si="280"/>
        <v>-0.19340787448427857</v>
      </c>
      <c r="AM75" s="68">
        <f t="shared" si="280"/>
        <v>-0.31808770517482748</v>
      </c>
      <c r="AN75" s="68">
        <f t="shared" si="280"/>
        <v>-0.47423894359322588</v>
      </c>
      <c r="AO75" s="68">
        <f t="shared" si="280"/>
        <v>-0.40974038264534579</v>
      </c>
      <c r="AP75" s="68">
        <f t="shared" si="280"/>
        <v>-0.32122356188026108</v>
      </c>
      <c r="AQ75" s="68">
        <f t="shared" si="280"/>
        <v>-0.22074875071680181</v>
      </c>
      <c r="AR75" s="68">
        <f t="shared" si="280"/>
        <v>-7.325625964716001E-2</v>
      </c>
      <c r="AS75" s="68">
        <f t="shared" si="280"/>
        <v>-3.9475086461242495E-2</v>
      </c>
      <c r="AT75" s="68">
        <f t="shared" si="280"/>
        <v>-2.9306495083408112E-2</v>
      </c>
      <c r="AU75" s="68">
        <f t="shared" si="280"/>
        <v>-3.4533702128477499E-2</v>
      </c>
      <c r="AV75" s="68">
        <f t="shared" si="280"/>
        <v>-1.1146980187026074E-2</v>
      </c>
      <c r="AW75" s="68">
        <f t="shared" si="280"/>
        <v>1.3010559361601936E-2</v>
      </c>
      <c r="AX75" s="68">
        <f t="shared" si="280"/>
        <v>2.8382244921904443E-2</v>
      </c>
      <c r="AY75" s="68">
        <f t="shared" si="280"/>
        <v>3.4323923435479485E-2</v>
      </c>
      <c r="AZ75" s="68">
        <f t="shared" si="280"/>
        <v>4.4705369911594434E-2</v>
      </c>
      <c r="BA75" s="68">
        <f t="shared" si="280"/>
        <v>5.3200324649574519E-2</v>
      </c>
      <c r="BB75" s="68">
        <f t="shared" si="280"/>
        <v>5.4370119841632203E-2</v>
      </c>
      <c r="BC75" s="68">
        <f t="shared" si="280"/>
        <v>5.6614409413463962E-2</v>
      </c>
      <c r="BD75" s="68">
        <f t="shared" si="280"/>
        <v>5.9303576616837363E-2</v>
      </c>
      <c r="BE75" s="68">
        <f t="shared" si="280"/>
        <v>6.2906809477388234E-2</v>
      </c>
      <c r="BF75" s="68">
        <f t="shared" si="280"/>
        <v>6.7442394843855821E-2</v>
      </c>
      <c r="BI75">
        <f t="shared" si="278"/>
        <v>68</v>
      </c>
    </row>
    <row r="76" spans="1:61" outlineLevel="1">
      <c r="BI76">
        <f t="shared" si="278"/>
        <v>69</v>
      </c>
    </row>
    <row r="77" spans="1:61" outlineLevel="1">
      <c r="A77" s="11" t="s">
        <v>65</v>
      </c>
      <c r="B77" s="10" t="s">
        <v>94</v>
      </c>
      <c r="BI77">
        <f t="shared" si="278"/>
        <v>70</v>
      </c>
    </row>
    <row r="78" spans="1:61" outlineLevel="1">
      <c r="A78" s="11" t="s">
        <v>65</v>
      </c>
      <c r="B78" s="14" t="s">
        <v>281</v>
      </c>
      <c r="C78"/>
      <c r="D78"/>
      <c r="E78"/>
      <c r="F78"/>
      <c r="G78"/>
      <c r="H78"/>
      <c r="I78"/>
      <c r="J78"/>
      <c r="K78"/>
      <c r="L78"/>
      <c r="M78"/>
      <c r="BI78">
        <f t="shared" si="278"/>
        <v>71</v>
      </c>
    </row>
    <row r="79" spans="1:61" hidden="1" outlineLevel="2">
      <c r="B79" s="8" t="s">
        <v>95</v>
      </c>
      <c r="C79" s="55">
        <f t="shared" ref="C79:M81" si="281">INDEX($O79:$BG79,1,MATCH(C$4,$O$4:$BG$4,0))</f>
        <v>67</v>
      </c>
      <c r="D79" s="55">
        <f t="shared" si="281"/>
        <v>95</v>
      </c>
      <c r="E79" s="55">
        <f t="shared" si="281"/>
        <v>110.71265156714711</v>
      </c>
      <c r="F79" s="55">
        <f t="shared" si="281"/>
        <v>120</v>
      </c>
      <c r="G79" s="55">
        <f t="shared" si="281"/>
        <v>145</v>
      </c>
      <c r="H79" s="55">
        <f t="shared" si="281"/>
        <v>161</v>
      </c>
      <c r="I79" s="55">
        <f t="shared" si="281"/>
        <v>161</v>
      </c>
      <c r="J79" s="55">
        <f t="shared" si="281"/>
        <v>199</v>
      </c>
      <c r="K79" s="55">
        <f t="shared" si="281"/>
        <v>199</v>
      </c>
      <c r="L79" s="55">
        <f t="shared" si="281"/>
        <v>207</v>
      </c>
      <c r="M79" s="55">
        <f t="shared" si="281"/>
        <v>215</v>
      </c>
      <c r="O79" s="60">
        <v>51</v>
      </c>
      <c r="P79" s="57">
        <v>54</v>
      </c>
      <c r="Q79" s="57">
        <v>59.5</v>
      </c>
      <c r="R79" s="57">
        <v>67</v>
      </c>
      <c r="S79" s="57">
        <v>69.5</v>
      </c>
      <c r="T79" s="57">
        <v>75.898989898989896</v>
      </c>
      <c r="U79" s="57">
        <v>83.333333333333329</v>
      </c>
      <c r="V79" s="57">
        <v>95</v>
      </c>
      <c r="W79" s="57">
        <v>94.677544677544688</v>
      </c>
      <c r="X79" s="57">
        <v>99.503289032084851</v>
      </c>
      <c r="Y79" s="57">
        <v>104.50874456945527</v>
      </c>
      <c r="Z79" s="57">
        <v>110.71265156714711</v>
      </c>
      <c r="AA79" s="57">
        <v>115.9366157328806</v>
      </c>
      <c r="AB79" s="57">
        <v>118.94736842105263</v>
      </c>
      <c r="AC79" s="57">
        <v>120</v>
      </c>
      <c r="AD79" s="57">
        <v>120</v>
      </c>
      <c r="AE79" s="57">
        <v>127</v>
      </c>
      <c r="AF79" s="57">
        <v>133</v>
      </c>
      <c r="AG79" s="57">
        <v>139</v>
      </c>
      <c r="AH79" s="57">
        <v>145</v>
      </c>
      <c r="AI79" s="57">
        <v>151</v>
      </c>
      <c r="AJ79" s="57">
        <v>158</v>
      </c>
      <c r="AK79" s="57">
        <v>160</v>
      </c>
      <c r="AL79" s="57">
        <v>161</v>
      </c>
      <c r="AM79" s="57">
        <v>161</v>
      </c>
      <c r="AN79" s="57">
        <v>161</v>
      </c>
      <c r="AO79" s="57">
        <v>161</v>
      </c>
      <c r="AP79" s="57">
        <v>161</v>
      </c>
      <c r="AQ79" s="57">
        <v>162</v>
      </c>
      <c r="AR79" s="57">
        <v>198</v>
      </c>
      <c r="AS79" s="57">
        <v>198</v>
      </c>
      <c r="AT79" s="57">
        <v>199</v>
      </c>
      <c r="AU79" s="58">
        <v>199</v>
      </c>
      <c r="AV79" s="58">
        <v>199</v>
      </c>
      <c r="AW79" s="58">
        <v>199</v>
      </c>
      <c r="AX79" s="58">
        <v>199</v>
      </c>
      <c r="AY79" s="58">
        <f t="shared" ref="AY79:BF79" si="282">+AX79+2</f>
        <v>201</v>
      </c>
      <c r="AZ79" s="58">
        <f t="shared" si="282"/>
        <v>203</v>
      </c>
      <c r="BA79" s="58">
        <f t="shared" si="282"/>
        <v>205</v>
      </c>
      <c r="BB79" s="58">
        <f t="shared" si="282"/>
        <v>207</v>
      </c>
      <c r="BC79" s="58">
        <f t="shared" si="282"/>
        <v>209</v>
      </c>
      <c r="BD79" s="58">
        <f t="shared" si="282"/>
        <v>211</v>
      </c>
      <c r="BE79" s="58">
        <f t="shared" si="282"/>
        <v>213</v>
      </c>
      <c r="BF79" s="58">
        <f t="shared" si="282"/>
        <v>215</v>
      </c>
      <c r="BI79">
        <f t="shared" si="278"/>
        <v>72</v>
      </c>
    </row>
    <row r="80" spans="1:61" hidden="1" outlineLevel="2">
      <c r="B80" s="8" t="s">
        <v>96</v>
      </c>
      <c r="C80" s="55">
        <f t="shared" si="281"/>
        <v>289</v>
      </c>
      <c r="D80" s="55">
        <f t="shared" si="281"/>
        <v>233</v>
      </c>
      <c r="E80" s="55">
        <f t="shared" si="281"/>
        <v>203.28734843285289</v>
      </c>
      <c r="F80" s="55">
        <f t="shared" si="281"/>
        <v>158</v>
      </c>
      <c r="G80" s="55">
        <f t="shared" si="281"/>
        <v>94</v>
      </c>
      <c r="H80" s="55">
        <f t="shared" si="281"/>
        <v>60</v>
      </c>
      <c r="I80" s="55">
        <f t="shared" si="281"/>
        <v>41</v>
      </c>
      <c r="J80" s="55">
        <f t="shared" si="281"/>
        <v>96</v>
      </c>
      <c r="K80" s="55">
        <f t="shared" si="281"/>
        <v>96</v>
      </c>
      <c r="L80" s="55">
        <f t="shared" si="281"/>
        <v>96</v>
      </c>
      <c r="M80" s="55">
        <f t="shared" si="281"/>
        <v>96</v>
      </c>
      <c r="O80" s="55">
        <f>+O81-O79</f>
        <v>292</v>
      </c>
      <c r="P80" s="55">
        <f t="shared" ref="P80:AT80" si="283">+P81-P79</f>
        <v>292</v>
      </c>
      <c r="Q80" s="55">
        <f t="shared" si="283"/>
        <v>291.5</v>
      </c>
      <c r="R80" s="55">
        <f t="shared" si="283"/>
        <v>289</v>
      </c>
      <c r="S80" s="55">
        <f t="shared" si="283"/>
        <v>289.5</v>
      </c>
      <c r="T80" s="55">
        <f t="shared" si="283"/>
        <v>291.1010101010101</v>
      </c>
      <c r="U80" s="55">
        <f t="shared" si="283"/>
        <v>268.66666666666669</v>
      </c>
      <c r="V80" s="55">
        <f t="shared" si="283"/>
        <v>233</v>
      </c>
      <c r="W80" s="55">
        <f t="shared" si="283"/>
        <v>235.32245532245531</v>
      </c>
      <c r="X80" s="55">
        <f t="shared" si="283"/>
        <v>230.49671096791513</v>
      </c>
      <c r="Y80" s="55">
        <f t="shared" si="283"/>
        <v>232.49125543054473</v>
      </c>
      <c r="Z80" s="55">
        <f t="shared" si="283"/>
        <v>203.28734843285289</v>
      </c>
      <c r="AA80" s="55">
        <f t="shared" si="283"/>
        <v>202.0633842671194</v>
      </c>
      <c r="AB80" s="55">
        <f t="shared" si="283"/>
        <v>203.05263157894737</v>
      </c>
      <c r="AC80" s="55">
        <f t="shared" si="283"/>
        <v>203</v>
      </c>
      <c r="AD80" s="55">
        <f t="shared" si="283"/>
        <v>158</v>
      </c>
      <c r="AE80" s="55">
        <f t="shared" si="283"/>
        <v>154</v>
      </c>
      <c r="AF80" s="55">
        <f t="shared" si="283"/>
        <v>154</v>
      </c>
      <c r="AG80" s="55">
        <f t="shared" si="283"/>
        <v>99</v>
      </c>
      <c r="AH80" s="55">
        <f t="shared" si="283"/>
        <v>94</v>
      </c>
      <c r="AI80" s="55">
        <f t="shared" si="283"/>
        <v>94</v>
      </c>
      <c r="AJ80" s="55">
        <f t="shared" si="283"/>
        <v>94</v>
      </c>
      <c r="AK80" s="55">
        <f t="shared" si="283"/>
        <v>61</v>
      </c>
      <c r="AL80" s="55">
        <f t="shared" si="283"/>
        <v>60</v>
      </c>
      <c r="AM80" s="55">
        <f t="shared" si="283"/>
        <v>60</v>
      </c>
      <c r="AN80" s="55">
        <f t="shared" si="283"/>
        <v>60</v>
      </c>
      <c r="AO80" s="55">
        <f t="shared" si="283"/>
        <v>60</v>
      </c>
      <c r="AP80" s="55">
        <f t="shared" si="283"/>
        <v>41</v>
      </c>
      <c r="AQ80" s="55">
        <f t="shared" si="283"/>
        <v>41</v>
      </c>
      <c r="AR80" s="55">
        <f t="shared" si="283"/>
        <v>96</v>
      </c>
      <c r="AS80" s="55">
        <f t="shared" si="283"/>
        <v>96</v>
      </c>
      <c r="AT80" s="55">
        <f t="shared" si="283"/>
        <v>96</v>
      </c>
      <c r="AU80" s="55">
        <f t="shared" ref="AU80:BF80" si="284">AT80</f>
        <v>96</v>
      </c>
      <c r="AV80" s="55">
        <f t="shared" si="284"/>
        <v>96</v>
      </c>
      <c r="AW80" s="55">
        <f t="shared" si="284"/>
        <v>96</v>
      </c>
      <c r="AX80" s="55">
        <f t="shared" si="284"/>
        <v>96</v>
      </c>
      <c r="AY80" s="55">
        <f t="shared" si="284"/>
        <v>96</v>
      </c>
      <c r="AZ80" s="55">
        <f t="shared" si="284"/>
        <v>96</v>
      </c>
      <c r="BA80" s="55">
        <f t="shared" si="284"/>
        <v>96</v>
      </c>
      <c r="BB80" s="55">
        <f t="shared" si="284"/>
        <v>96</v>
      </c>
      <c r="BC80" s="55">
        <f t="shared" si="284"/>
        <v>96</v>
      </c>
      <c r="BD80" s="55">
        <f t="shared" si="284"/>
        <v>96</v>
      </c>
      <c r="BE80" s="55">
        <f t="shared" si="284"/>
        <v>96</v>
      </c>
      <c r="BF80" s="55">
        <f t="shared" si="284"/>
        <v>96</v>
      </c>
      <c r="BI80">
        <f t="shared" si="278"/>
        <v>73</v>
      </c>
    </row>
    <row r="81" spans="2:61" hidden="1" outlineLevel="2">
      <c r="B81" s="71" t="s">
        <v>97</v>
      </c>
      <c r="C81" s="70">
        <f t="shared" si="281"/>
        <v>356</v>
      </c>
      <c r="D81" s="70">
        <f t="shared" si="281"/>
        <v>328</v>
      </c>
      <c r="E81" s="70">
        <f t="shared" si="281"/>
        <v>314</v>
      </c>
      <c r="F81" s="70">
        <f t="shared" si="281"/>
        <v>278</v>
      </c>
      <c r="G81" s="70">
        <f t="shared" si="281"/>
        <v>239</v>
      </c>
      <c r="H81" s="70">
        <f t="shared" si="281"/>
        <v>221</v>
      </c>
      <c r="I81" s="70">
        <f t="shared" si="281"/>
        <v>202</v>
      </c>
      <c r="J81" s="70">
        <f t="shared" si="281"/>
        <v>295</v>
      </c>
      <c r="K81" s="70">
        <f t="shared" si="281"/>
        <v>295</v>
      </c>
      <c r="L81" s="70">
        <f t="shared" si="281"/>
        <v>303</v>
      </c>
      <c r="M81" s="70">
        <f t="shared" si="281"/>
        <v>311</v>
      </c>
      <c r="N81" s="10"/>
      <c r="O81" s="72">
        <v>343</v>
      </c>
      <c r="P81" s="72">
        <v>346</v>
      </c>
      <c r="Q81" s="72">
        <v>351</v>
      </c>
      <c r="R81" s="72">
        <v>356</v>
      </c>
      <c r="S81" s="72">
        <v>359</v>
      </c>
      <c r="T81" s="72">
        <v>367</v>
      </c>
      <c r="U81" s="72">
        <v>352</v>
      </c>
      <c r="V81" s="72">
        <v>328</v>
      </c>
      <c r="W81" s="72">
        <v>330</v>
      </c>
      <c r="X81" s="72">
        <v>330</v>
      </c>
      <c r="Y81" s="72">
        <v>337</v>
      </c>
      <c r="Z81" s="72">
        <v>314</v>
      </c>
      <c r="AA81" s="72">
        <v>318</v>
      </c>
      <c r="AB81" s="72">
        <v>322</v>
      </c>
      <c r="AC81" s="72">
        <v>323</v>
      </c>
      <c r="AD81" s="72">
        <v>278</v>
      </c>
      <c r="AE81" s="72">
        <v>281</v>
      </c>
      <c r="AF81" s="72">
        <v>287</v>
      </c>
      <c r="AG81" s="72">
        <v>238</v>
      </c>
      <c r="AH81" s="72">
        <v>239</v>
      </c>
      <c r="AI81" s="72">
        <v>245</v>
      </c>
      <c r="AJ81" s="72">
        <v>252</v>
      </c>
      <c r="AK81" s="72">
        <v>221</v>
      </c>
      <c r="AL81" s="72">
        <v>221</v>
      </c>
      <c r="AM81" s="72">
        <v>221</v>
      </c>
      <c r="AN81" s="72">
        <v>221</v>
      </c>
      <c r="AO81" s="72">
        <v>221</v>
      </c>
      <c r="AP81" s="72">
        <v>202</v>
      </c>
      <c r="AQ81" s="72">
        <v>203</v>
      </c>
      <c r="AR81" s="72">
        <v>294</v>
      </c>
      <c r="AS81" s="72">
        <v>294</v>
      </c>
      <c r="AT81" s="72">
        <v>295</v>
      </c>
      <c r="AU81" s="70">
        <f t="shared" ref="AU81:BF81" si="285">AU79+AU80</f>
        <v>295</v>
      </c>
      <c r="AV81" s="70">
        <f t="shared" si="285"/>
        <v>295</v>
      </c>
      <c r="AW81" s="70">
        <f t="shared" si="285"/>
        <v>295</v>
      </c>
      <c r="AX81" s="70">
        <f t="shared" si="285"/>
        <v>295</v>
      </c>
      <c r="AY81" s="70">
        <f t="shared" si="285"/>
        <v>297</v>
      </c>
      <c r="AZ81" s="70">
        <f t="shared" si="285"/>
        <v>299</v>
      </c>
      <c r="BA81" s="70">
        <f t="shared" si="285"/>
        <v>301</v>
      </c>
      <c r="BB81" s="70">
        <f t="shared" si="285"/>
        <v>303</v>
      </c>
      <c r="BC81" s="70">
        <f t="shared" si="285"/>
        <v>305</v>
      </c>
      <c r="BD81" s="70">
        <f t="shared" si="285"/>
        <v>307</v>
      </c>
      <c r="BE81" s="70">
        <f t="shared" si="285"/>
        <v>309</v>
      </c>
      <c r="BF81" s="70">
        <f t="shared" si="285"/>
        <v>311</v>
      </c>
      <c r="BI81">
        <f t="shared" si="278"/>
        <v>74</v>
      </c>
    </row>
    <row r="82" spans="2:61" hidden="1" outlineLevel="2">
      <c r="B82" s="8"/>
      <c r="C82"/>
      <c r="D82"/>
      <c r="E82"/>
      <c r="F82"/>
      <c r="G82"/>
      <c r="H82"/>
      <c r="I82"/>
      <c r="J82"/>
      <c r="K82"/>
      <c r="L82"/>
      <c r="M82"/>
      <c r="BI82">
        <f t="shared" si="278"/>
        <v>75</v>
      </c>
    </row>
    <row r="83" spans="2:61" hidden="1" outlineLevel="2">
      <c r="B83" s="8" t="s">
        <v>98</v>
      </c>
      <c r="C83" s="119">
        <f>AVERAGEIFS($O83:$BG83,$O$5:$BG$5,C$5)</f>
        <v>54.5</v>
      </c>
      <c r="D83" s="119">
        <f t="shared" ref="D83:M84" si="286">AVERAGEIFS($O83:$BG83,$O$5:$BG$5,D$5)</f>
        <v>76</v>
      </c>
      <c r="E83" s="119">
        <f t="shared" si="286"/>
        <v>96</v>
      </c>
      <c r="F83" s="119">
        <f t="shared" si="286"/>
        <v>112.5</v>
      </c>
      <c r="G83" s="119">
        <f t="shared" si="286"/>
        <v>130.125</v>
      </c>
      <c r="H83" s="119">
        <f t="shared" si="286"/>
        <v>99.25</v>
      </c>
      <c r="I83" s="119">
        <f t="shared" si="286"/>
        <v>61.75</v>
      </c>
      <c r="J83" s="119">
        <f t="shared" si="286"/>
        <v>123.25</v>
      </c>
      <c r="K83" s="119">
        <f t="shared" si="286"/>
        <v>162.25</v>
      </c>
      <c r="L83" s="119">
        <f t="shared" si="286"/>
        <v>180</v>
      </c>
      <c r="M83" s="119">
        <f t="shared" si="286"/>
        <v>191</v>
      </c>
      <c r="O83" s="60">
        <v>48</v>
      </c>
      <c r="P83" s="57">
        <v>51</v>
      </c>
      <c r="Q83" s="57">
        <v>57</v>
      </c>
      <c r="R83" s="57">
        <v>62</v>
      </c>
      <c r="S83" s="57">
        <v>67</v>
      </c>
      <c r="T83" s="57">
        <v>72</v>
      </c>
      <c r="U83" s="57">
        <v>79</v>
      </c>
      <c r="V83" s="57">
        <v>86</v>
      </c>
      <c r="W83" s="57">
        <v>91</v>
      </c>
      <c r="X83" s="57">
        <v>95</v>
      </c>
      <c r="Y83" s="57">
        <v>97</v>
      </c>
      <c r="Z83" s="57">
        <v>101</v>
      </c>
      <c r="AA83" s="57">
        <v>106</v>
      </c>
      <c r="AB83" s="57">
        <v>112</v>
      </c>
      <c r="AC83" s="57">
        <v>114</v>
      </c>
      <c r="AD83" s="57">
        <v>118</v>
      </c>
      <c r="AE83" s="57">
        <v>121</v>
      </c>
      <c r="AF83" s="57">
        <v>128</v>
      </c>
      <c r="AG83" s="57">
        <v>133</v>
      </c>
      <c r="AH83" s="57">
        <v>138.5</v>
      </c>
      <c r="AI83" s="57">
        <v>125</v>
      </c>
      <c r="AJ83" s="57">
        <v>102</v>
      </c>
      <c r="AK83" s="57">
        <v>89</v>
      </c>
      <c r="AL83" s="57">
        <v>81</v>
      </c>
      <c r="AM83" s="57">
        <v>68</v>
      </c>
      <c r="AN83" s="57">
        <v>54</v>
      </c>
      <c r="AO83" s="57">
        <v>59</v>
      </c>
      <c r="AP83" s="57">
        <v>66</v>
      </c>
      <c r="AQ83" s="57">
        <v>81</v>
      </c>
      <c r="AR83" s="57">
        <v>125</v>
      </c>
      <c r="AS83" s="57">
        <v>142</v>
      </c>
      <c r="AT83" s="57">
        <v>145</v>
      </c>
      <c r="AU83" s="58">
        <v>152</v>
      </c>
      <c r="AV83" s="58">
        <v>162</v>
      </c>
      <c r="AW83" s="58">
        <v>165</v>
      </c>
      <c r="AX83" s="58">
        <v>170</v>
      </c>
      <c r="AY83" s="58">
        <f>+AX83+4</f>
        <v>174</v>
      </c>
      <c r="AZ83" s="58">
        <f>+AY83+4</f>
        <v>178</v>
      </c>
      <c r="BA83" s="58">
        <f>+AZ83+4</f>
        <v>182</v>
      </c>
      <c r="BB83" s="58">
        <f>+BA83+4</f>
        <v>186</v>
      </c>
      <c r="BC83" s="58">
        <f>+BB83+2</f>
        <v>188</v>
      </c>
      <c r="BD83" s="58">
        <f t="shared" ref="BD83:BF83" si="287">+BC83+2</f>
        <v>190</v>
      </c>
      <c r="BE83" s="58">
        <f t="shared" si="287"/>
        <v>192</v>
      </c>
      <c r="BF83" s="58">
        <f t="shared" si="287"/>
        <v>194</v>
      </c>
      <c r="BI83">
        <f t="shared" si="278"/>
        <v>76</v>
      </c>
    </row>
    <row r="84" spans="2:61" hidden="1" outlineLevel="2">
      <c r="B84" s="8" t="s">
        <v>99</v>
      </c>
      <c r="C84" s="119">
        <f>AVERAGEIFS($O84:$BG84,$O$5:$BG$5,C$5)</f>
        <v>113.12174244837288</v>
      </c>
      <c r="D84" s="119">
        <f t="shared" si="286"/>
        <v>139.69190024950893</v>
      </c>
      <c r="E84" s="119">
        <f t="shared" si="286"/>
        <v>124.90913162924033</v>
      </c>
      <c r="F84" s="119">
        <f t="shared" si="286"/>
        <v>79.079247624356313</v>
      </c>
      <c r="G84" s="119">
        <f t="shared" si="286"/>
        <v>80.768327626479788</v>
      </c>
      <c r="H84" s="119">
        <f t="shared" si="286"/>
        <v>24.690452964909493</v>
      </c>
      <c r="I84" s="119">
        <f t="shared" si="286"/>
        <v>2.7175406115623506</v>
      </c>
      <c r="J84" s="119">
        <f t="shared" si="286"/>
        <v>14.629848834740134</v>
      </c>
      <c r="K84" s="119">
        <f t="shared" si="286"/>
        <v>18</v>
      </c>
      <c r="L84" s="119">
        <f t="shared" si="286"/>
        <v>29.5</v>
      </c>
      <c r="M84" s="119">
        <f t="shared" si="286"/>
        <v>40</v>
      </c>
      <c r="O84" s="55">
        <f>O85-O83</f>
        <v>94.455555555555549</v>
      </c>
      <c r="P84" s="55">
        <f t="shared" ref="P84:AS84" si="288">P85-P83</f>
        <v>104.8901098901099</v>
      </c>
      <c r="Q84" s="55">
        <f t="shared" si="288"/>
        <v>121.2608695652174</v>
      </c>
      <c r="R84" s="55">
        <f t="shared" si="288"/>
        <v>131.88043478260869</v>
      </c>
      <c r="S84" s="55">
        <f t="shared" si="288"/>
        <v>140.17777777777778</v>
      </c>
      <c r="T84" s="55">
        <f t="shared" si="288"/>
        <v>130.26373626373626</v>
      </c>
      <c r="U84" s="55">
        <f t="shared" si="288"/>
        <v>142.41304347826087</v>
      </c>
      <c r="V84" s="55">
        <f t="shared" si="288"/>
        <v>145.91304347826087</v>
      </c>
      <c r="W84" s="55">
        <f t="shared" si="288"/>
        <v>146.47252747252747</v>
      </c>
      <c r="X84" s="55">
        <f t="shared" si="288"/>
        <v>129.08791208791209</v>
      </c>
      <c r="Y84" s="55">
        <f t="shared" si="288"/>
        <v>119.31521739130434</v>
      </c>
      <c r="Z84" s="55">
        <f t="shared" si="288"/>
        <v>104.7608695652174</v>
      </c>
      <c r="AA84" s="55">
        <f t="shared" si="288"/>
        <v>92.922222222222217</v>
      </c>
      <c r="AB84" s="55">
        <f t="shared" si="288"/>
        <v>73.318681318681314</v>
      </c>
      <c r="AC84" s="55">
        <f t="shared" si="288"/>
        <v>75.586956521739125</v>
      </c>
      <c r="AD84" s="55">
        <f t="shared" si="288"/>
        <v>74.489130434782595</v>
      </c>
      <c r="AE84" s="55">
        <f t="shared" si="288"/>
        <v>81.377777777777766</v>
      </c>
      <c r="AF84" s="55">
        <f t="shared" si="288"/>
        <v>75.989010989010978</v>
      </c>
      <c r="AG84" s="55">
        <f t="shared" si="288"/>
        <v>85.304347826086968</v>
      </c>
      <c r="AH84" s="55">
        <f t="shared" si="288"/>
        <v>80.40217391304347</v>
      </c>
      <c r="AI84" s="55">
        <f t="shared" si="288"/>
        <v>47.444444444444457</v>
      </c>
      <c r="AJ84" s="55">
        <f t="shared" si="288"/>
        <v>21.197802197802204</v>
      </c>
      <c r="AK84" s="55">
        <f t="shared" si="288"/>
        <v>20.423913043478265</v>
      </c>
      <c r="AL84" s="55">
        <f t="shared" si="288"/>
        <v>9.6956521739130466</v>
      </c>
      <c r="AM84" s="55">
        <f t="shared" si="288"/>
        <v>5.1538461538461604</v>
      </c>
      <c r="AN84" s="55">
        <f t="shared" si="288"/>
        <v>0.9010989010988979</v>
      </c>
      <c r="AO84" s="55">
        <f t="shared" si="288"/>
        <v>2.4673913043478279</v>
      </c>
      <c r="AP84" s="55">
        <f t="shared" si="288"/>
        <v>2.3478260869565162</v>
      </c>
      <c r="AQ84" s="55">
        <f t="shared" si="288"/>
        <v>2.1888888888888829</v>
      </c>
      <c r="AR84" s="55">
        <f t="shared" si="288"/>
        <v>21.406593406593402</v>
      </c>
      <c r="AS84" s="55">
        <f t="shared" si="288"/>
        <v>19.315217391304344</v>
      </c>
      <c r="AT84" s="55">
        <f t="shared" ref="AT84" si="289">AT85-AT83</f>
        <v>15.608695652173907</v>
      </c>
      <c r="AU84" s="58">
        <v>17</v>
      </c>
      <c r="AV84" s="58">
        <v>17</v>
      </c>
      <c r="AW84" s="58">
        <v>18</v>
      </c>
      <c r="AX84" s="58">
        <v>20</v>
      </c>
      <c r="AY84" s="58">
        <v>24</v>
      </c>
      <c r="AZ84" s="58">
        <v>28</v>
      </c>
      <c r="BA84" s="58">
        <v>31</v>
      </c>
      <c r="BB84" s="58">
        <v>35</v>
      </c>
      <c r="BC84" s="58">
        <f>+BB84+5</f>
        <v>40</v>
      </c>
      <c r="BD84" s="58">
        <v>40</v>
      </c>
      <c r="BE84" s="58">
        <v>40</v>
      </c>
      <c r="BF84" s="58">
        <v>40</v>
      </c>
      <c r="BI84">
        <f t="shared" si="278"/>
        <v>77</v>
      </c>
    </row>
    <row r="85" spans="2:61" hidden="1" outlineLevel="2">
      <c r="B85" s="71" t="s">
        <v>100</v>
      </c>
      <c r="C85" s="70">
        <f t="shared" ref="C85" si="290">C86/C6</f>
        <v>167.7917808219178</v>
      </c>
      <c r="D85" s="70">
        <f t="shared" ref="D85" si="291">D86/D6</f>
        <v>215.77534246575343</v>
      </c>
      <c r="E85" s="70">
        <f t="shared" ref="E85" si="292">E86/E6</f>
        <v>220.85519125683061</v>
      </c>
      <c r="F85" s="70">
        <f t="shared" ref="F85" si="293">F86/F6</f>
        <v>191.55616438356165</v>
      </c>
      <c r="G85" s="70">
        <f t="shared" ref="G85" si="294">G86/G6</f>
        <v>210.95890410958904</v>
      </c>
      <c r="H85" s="70">
        <f t="shared" ref="H85" si="295">H86/H6</f>
        <v>123.67671232876712</v>
      </c>
      <c r="I85" s="70">
        <f t="shared" ref="I85" si="296">I86/I6</f>
        <v>64.469945355191257</v>
      </c>
      <c r="J85" s="70">
        <f t="shared" ref="J85" si="297">J86/J6</f>
        <v>138.15616438356165</v>
      </c>
      <c r="K85" s="70">
        <f t="shared" ref="K85" si="298">K86/K6</f>
        <v>180.31506849315068</v>
      </c>
      <c r="L85" s="70">
        <f t="shared" ref="L85" si="299">L86/L6</f>
        <v>209.57260273972602</v>
      </c>
      <c r="M85" s="70">
        <f t="shared" ref="M85" si="300">M86/M6</f>
        <v>231.01092896174865</v>
      </c>
      <c r="O85" s="70">
        <f t="shared" ref="O85:AS85" si="301">O86/O6</f>
        <v>142.45555555555555</v>
      </c>
      <c r="P85" s="70">
        <f t="shared" si="301"/>
        <v>155.8901098901099</v>
      </c>
      <c r="Q85" s="70">
        <f t="shared" si="301"/>
        <v>178.2608695652174</v>
      </c>
      <c r="R85" s="70">
        <f t="shared" si="301"/>
        <v>193.88043478260869</v>
      </c>
      <c r="S85" s="70">
        <f t="shared" si="301"/>
        <v>207.17777777777778</v>
      </c>
      <c r="T85" s="70">
        <f t="shared" si="301"/>
        <v>202.26373626373626</v>
      </c>
      <c r="U85" s="70">
        <f t="shared" si="301"/>
        <v>221.41304347826087</v>
      </c>
      <c r="V85" s="70">
        <f t="shared" si="301"/>
        <v>231.91304347826087</v>
      </c>
      <c r="W85" s="70">
        <f t="shared" si="301"/>
        <v>237.47252747252747</v>
      </c>
      <c r="X85" s="70">
        <f t="shared" si="301"/>
        <v>224.08791208791209</v>
      </c>
      <c r="Y85" s="70">
        <f t="shared" si="301"/>
        <v>216.31521739130434</v>
      </c>
      <c r="Z85" s="70">
        <f t="shared" si="301"/>
        <v>205.7608695652174</v>
      </c>
      <c r="AA85" s="70">
        <f t="shared" si="301"/>
        <v>198.92222222222222</v>
      </c>
      <c r="AB85" s="70">
        <f t="shared" si="301"/>
        <v>185.31868131868131</v>
      </c>
      <c r="AC85" s="70">
        <f t="shared" si="301"/>
        <v>189.58695652173913</v>
      </c>
      <c r="AD85" s="70">
        <f t="shared" si="301"/>
        <v>192.4891304347826</v>
      </c>
      <c r="AE85" s="70">
        <f t="shared" si="301"/>
        <v>202.37777777777777</v>
      </c>
      <c r="AF85" s="70">
        <f t="shared" si="301"/>
        <v>203.98901098901098</v>
      </c>
      <c r="AG85" s="70">
        <f t="shared" si="301"/>
        <v>218.30434782608697</v>
      </c>
      <c r="AH85" s="70">
        <f t="shared" si="301"/>
        <v>218.90217391304347</v>
      </c>
      <c r="AI85" s="70">
        <f t="shared" si="301"/>
        <v>172.44444444444446</v>
      </c>
      <c r="AJ85" s="70">
        <f t="shared" si="301"/>
        <v>123.1978021978022</v>
      </c>
      <c r="AK85" s="70">
        <f t="shared" si="301"/>
        <v>109.42391304347827</v>
      </c>
      <c r="AL85" s="70">
        <f t="shared" si="301"/>
        <v>90.695652173913047</v>
      </c>
      <c r="AM85" s="70">
        <f t="shared" si="301"/>
        <v>73.15384615384616</v>
      </c>
      <c r="AN85" s="70">
        <f t="shared" si="301"/>
        <v>54.901098901098898</v>
      </c>
      <c r="AO85" s="70">
        <f t="shared" si="301"/>
        <v>61.467391304347828</v>
      </c>
      <c r="AP85" s="70">
        <f t="shared" si="301"/>
        <v>68.347826086956516</v>
      </c>
      <c r="AQ85" s="70">
        <f t="shared" si="301"/>
        <v>83.188888888888883</v>
      </c>
      <c r="AR85" s="70">
        <f t="shared" si="301"/>
        <v>146.4065934065934</v>
      </c>
      <c r="AS85" s="70">
        <f t="shared" si="301"/>
        <v>161.31521739130434</v>
      </c>
      <c r="AT85" s="70">
        <f t="shared" ref="AT85" si="302">AT86/AT6</f>
        <v>160.60869565217391</v>
      </c>
      <c r="AU85" s="70">
        <f t="shared" ref="AU85:BF85" si="303">SUM(AU83:AU84)</f>
        <v>169</v>
      </c>
      <c r="AV85" s="70">
        <f t="shared" si="303"/>
        <v>179</v>
      </c>
      <c r="AW85" s="70">
        <f t="shared" si="303"/>
        <v>183</v>
      </c>
      <c r="AX85" s="70">
        <f t="shared" si="303"/>
        <v>190</v>
      </c>
      <c r="AY85" s="70">
        <f t="shared" si="303"/>
        <v>198</v>
      </c>
      <c r="AZ85" s="70">
        <f t="shared" si="303"/>
        <v>206</v>
      </c>
      <c r="BA85" s="70">
        <f t="shared" si="303"/>
        <v>213</v>
      </c>
      <c r="BB85" s="70">
        <f t="shared" si="303"/>
        <v>221</v>
      </c>
      <c r="BC85" s="70">
        <f t="shared" si="303"/>
        <v>228</v>
      </c>
      <c r="BD85" s="70">
        <f t="shared" si="303"/>
        <v>230</v>
      </c>
      <c r="BE85" s="70">
        <f t="shared" si="303"/>
        <v>232</v>
      </c>
      <c r="BF85" s="70">
        <f t="shared" si="303"/>
        <v>234</v>
      </c>
      <c r="BI85">
        <f t="shared" si="278"/>
        <v>78</v>
      </c>
    </row>
    <row r="86" spans="2:61" hidden="1" outlineLevel="2">
      <c r="B86" s="8" t="s">
        <v>264</v>
      </c>
      <c r="C86" s="55">
        <f t="shared" ref="C86:M86" si="304">SUMIFS($O86:$BG86,$O$5:$BG$5,C$5)</f>
        <v>61244</v>
      </c>
      <c r="D86" s="55">
        <f t="shared" si="304"/>
        <v>78758</v>
      </c>
      <c r="E86" s="55">
        <f t="shared" si="304"/>
        <v>80833</v>
      </c>
      <c r="F86" s="55">
        <f t="shared" si="304"/>
        <v>69918</v>
      </c>
      <c r="G86" s="55">
        <f t="shared" si="304"/>
        <v>77000</v>
      </c>
      <c r="H86" s="55">
        <f t="shared" si="304"/>
        <v>45142</v>
      </c>
      <c r="I86" s="55">
        <f t="shared" si="304"/>
        <v>23596</v>
      </c>
      <c r="J86" s="55">
        <f t="shared" si="304"/>
        <v>50427</v>
      </c>
      <c r="K86" s="55">
        <f t="shared" si="304"/>
        <v>65815</v>
      </c>
      <c r="L86" s="55">
        <f t="shared" si="304"/>
        <v>76494</v>
      </c>
      <c r="M86" s="55">
        <f t="shared" si="304"/>
        <v>84550</v>
      </c>
      <c r="O86" s="57">
        <v>12821</v>
      </c>
      <c r="P86" s="57">
        <v>14186</v>
      </c>
      <c r="Q86" s="57">
        <v>16400</v>
      </c>
      <c r="R86" s="57">
        <v>17837</v>
      </c>
      <c r="S86" s="57">
        <v>18646</v>
      </c>
      <c r="T86" s="57">
        <v>18406</v>
      </c>
      <c r="U86" s="57">
        <v>20370</v>
      </c>
      <c r="V86" s="57">
        <v>21336</v>
      </c>
      <c r="W86" s="57">
        <v>21610</v>
      </c>
      <c r="X86" s="57">
        <v>20392</v>
      </c>
      <c r="Y86" s="57">
        <v>19901</v>
      </c>
      <c r="Z86" s="57">
        <v>18930</v>
      </c>
      <c r="AA86" s="57">
        <v>17903</v>
      </c>
      <c r="AB86" s="57">
        <v>16864</v>
      </c>
      <c r="AC86" s="57">
        <v>17442</v>
      </c>
      <c r="AD86" s="57">
        <v>17709</v>
      </c>
      <c r="AE86" s="57">
        <v>18214</v>
      </c>
      <c r="AF86" s="57">
        <v>18563</v>
      </c>
      <c r="AG86" s="57">
        <v>20084</v>
      </c>
      <c r="AH86" s="57">
        <v>20139</v>
      </c>
      <c r="AI86" s="57">
        <v>15520</v>
      </c>
      <c r="AJ86" s="57">
        <v>11211</v>
      </c>
      <c r="AK86" s="57">
        <v>10067</v>
      </c>
      <c r="AL86" s="57">
        <v>8344</v>
      </c>
      <c r="AM86" s="57">
        <v>6657</v>
      </c>
      <c r="AN86" s="57">
        <v>4996</v>
      </c>
      <c r="AO86" s="57">
        <v>5655</v>
      </c>
      <c r="AP86" s="57">
        <v>6288</v>
      </c>
      <c r="AQ86" s="57">
        <v>7487</v>
      </c>
      <c r="AR86" s="57">
        <v>13323</v>
      </c>
      <c r="AS86" s="57">
        <v>14841</v>
      </c>
      <c r="AT86" s="57">
        <v>14776</v>
      </c>
      <c r="AU86" s="55">
        <f t="shared" ref="AU86:BF86" si="305">AU85*AU6</f>
        <v>15210</v>
      </c>
      <c r="AV86" s="55">
        <f t="shared" si="305"/>
        <v>16289</v>
      </c>
      <c r="AW86" s="55">
        <f t="shared" si="305"/>
        <v>16836</v>
      </c>
      <c r="AX86" s="55">
        <f t="shared" si="305"/>
        <v>17480</v>
      </c>
      <c r="AY86" s="55">
        <f t="shared" si="305"/>
        <v>17820</v>
      </c>
      <c r="AZ86" s="55">
        <f t="shared" si="305"/>
        <v>18746</v>
      </c>
      <c r="BA86" s="55">
        <f t="shared" si="305"/>
        <v>19596</v>
      </c>
      <c r="BB86" s="55">
        <f t="shared" si="305"/>
        <v>20332</v>
      </c>
      <c r="BC86" s="55">
        <f t="shared" si="305"/>
        <v>20748</v>
      </c>
      <c r="BD86" s="55">
        <f t="shared" si="305"/>
        <v>20930</v>
      </c>
      <c r="BE86" s="55">
        <f t="shared" si="305"/>
        <v>21344</v>
      </c>
      <c r="BF86" s="55">
        <f t="shared" si="305"/>
        <v>21528</v>
      </c>
      <c r="BI86">
        <f t="shared" si="278"/>
        <v>79</v>
      </c>
    </row>
    <row r="87" spans="2:61" hidden="1" outlineLevel="2">
      <c r="C87"/>
      <c r="D87"/>
      <c r="E87"/>
      <c r="F87"/>
      <c r="G87"/>
      <c r="H87"/>
      <c r="I87"/>
      <c r="J87"/>
      <c r="K87"/>
      <c r="L87"/>
      <c r="M87"/>
      <c r="BI87">
        <f t="shared" si="278"/>
        <v>80</v>
      </c>
    </row>
    <row r="88" spans="2:61" hidden="1" outlineLevel="2">
      <c r="B88" s="8" t="s">
        <v>117</v>
      </c>
      <c r="C88" s="55">
        <f t="shared" ref="C88:M88" si="306">AVERAGEIFS($O88:$BG88,$O$5:$BG$5,C$5)</f>
        <v>817.22500000000002</v>
      </c>
      <c r="D88" s="55">
        <f t="shared" si="306"/>
        <v>1072.2166666666667</v>
      </c>
      <c r="E88" s="55">
        <f t="shared" si="306"/>
        <v>1150.5666666666666</v>
      </c>
      <c r="F88" s="55">
        <f t="shared" si="306"/>
        <v>1101.925</v>
      </c>
      <c r="G88" s="55">
        <f t="shared" si="306"/>
        <v>1275.1500000000001</v>
      </c>
      <c r="H88" s="55">
        <f t="shared" si="306"/>
        <v>743.9041666666667</v>
      </c>
      <c r="I88" s="55">
        <f t="shared" si="306"/>
        <v>401.43333333333334</v>
      </c>
      <c r="J88" s="55">
        <f t="shared" si="306"/>
        <v>734.7833333333333</v>
      </c>
      <c r="K88" s="55">
        <f t="shared" si="306"/>
        <v>916.15384615384619</v>
      </c>
      <c r="L88" s="55">
        <f t="shared" si="306"/>
        <v>982.5</v>
      </c>
      <c r="M88" s="55">
        <f t="shared" si="306"/>
        <v>1000</v>
      </c>
      <c r="O88" s="56">
        <v>660.26666666666665</v>
      </c>
      <c r="P88" s="56">
        <v>783.23333333333323</v>
      </c>
      <c r="Q88" s="56">
        <v>885.4666666666667</v>
      </c>
      <c r="R88" s="56">
        <v>939.93333333333339</v>
      </c>
      <c r="S88" s="56">
        <v>977.5</v>
      </c>
      <c r="T88" s="56">
        <v>1040.55</v>
      </c>
      <c r="U88" s="56">
        <v>1114.7333333333333</v>
      </c>
      <c r="V88" s="56">
        <v>1156.0833333333333</v>
      </c>
      <c r="W88" s="56">
        <v>1171.3666666666666</v>
      </c>
      <c r="X88" s="56">
        <v>1168.1499999999999</v>
      </c>
      <c r="Y88" s="56">
        <v>1152.9666666666667</v>
      </c>
      <c r="Z88" s="56">
        <v>1109.7833333333333</v>
      </c>
      <c r="AA88" s="56">
        <v>1126.9833333333333</v>
      </c>
      <c r="AB88" s="56">
        <v>1088.1166666666666</v>
      </c>
      <c r="AC88" s="56">
        <v>1072.7</v>
      </c>
      <c r="AD88" s="56">
        <v>1119.8999999999999</v>
      </c>
      <c r="AE88" s="56">
        <v>1184.2166666666667</v>
      </c>
      <c r="AF88" s="56">
        <v>1242.8</v>
      </c>
      <c r="AG88" s="56">
        <v>1313.6666666666667</v>
      </c>
      <c r="AH88" s="56">
        <v>1359.9166666666667</v>
      </c>
      <c r="AI88" s="56">
        <v>1037.7166666666667</v>
      </c>
      <c r="AJ88" s="56">
        <v>702.36666666666667</v>
      </c>
      <c r="AK88" s="56">
        <v>657.9666666666667</v>
      </c>
      <c r="AL88" s="56">
        <v>577.56666666666672</v>
      </c>
      <c r="AM88" s="56">
        <v>437.40000000000003</v>
      </c>
      <c r="AN88" s="56">
        <v>324.7</v>
      </c>
      <c r="AO88" s="56">
        <v>373.09999999999997</v>
      </c>
      <c r="AP88" s="56">
        <v>470.5333333333333</v>
      </c>
      <c r="AQ88" s="56">
        <v>606.69999999999993</v>
      </c>
      <c r="AR88" s="56">
        <v>748.63333333333333</v>
      </c>
      <c r="AS88" s="56">
        <v>799.73333333333323</v>
      </c>
      <c r="AT88" s="56">
        <v>784.06666666666661</v>
      </c>
      <c r="AU88" s="56">
        <v>859.61538461538464</v>
      </c>
      <c r="AV88" s="56">
        <v>910</v>
      </c>
      <c r="AW88" s="56">
        <v>940</v>
      </c>
      <c r="AX88" s="56">
        <v>955</v>
      </c>
      <c r="AY88" s="56">
        <v>965</v>
      </c>
      <c r="AZ88" s="56">
        <v>975</v>
      </c>
      <c r="BA88" s="56">
        <v>990</v>
      </c>
      <c r="BB88" s="56">
        <v>1000</v>
      </c>
      <c r="BC88" s="56">
        <v>1000</v>
      </c>
      <c r="BD88" s="56">
        <v>1000</v>
      </c>
      <c r="BE88" s="56">
        <v>1000</v>
      </c>
      <c r="BF88" s="56">
        <v>1000</v>
      </c>
      <c r="BI88">
        <f t="shared" si="278"/>
        <v>81</v>
      </c>
    </row>
    <row r="89" spans="2:61" hidden="1" outlineLevel="2">
      <c r="B89" s="8" t="s">
        <v>268</v>
      </c>
      <c r="C89" s="69">
        <f t="shared" ref="C89:M89" si="307">C83/C88</f>
        <v>6.6689100308972432E-2</v>
      </c>
      <c r="D89" s="69">
        <f t="shared" si="307"/>
        <v>7.0881196275628375E-2</v>
      </c>
      <c r="E89" s="69">
        <f t="shared" si="307"/>
        <v>8.3437146913115282E-2</v>
      </c>
      <c r="F89" s="69">
        <f t="shared" si="307"/>
        <v>0.10209406266306691</v>
      </c>
      <c r="G89" s="69">
        <f t="shared" si="307"/>
        <v>0.10204681802140923</v>
      </c>
      <c r="H89" s="69">
        <f t="shared" si="307"/>
        <v>0.13341772293698226</v>
      </c>
      <c r="I89" s="69">
        <f t="shared" si="307"/>
        <v>0.15382379805696256</v>
      </c>
      <c r="J89" s="69">
        <f t="shared" si="307"/>
        <v>0.16773652096990044</v>
      </c>
      <c r="K89" s="69">
        <f t="shared" si="307"/>
        <v>0.17709907640638117</v>
      </c>
      <c r="L89" s="69">
        <f t="shared" si="307"/>
        <v>0.18320610687022901</v>
      </c>
      <c r="M89" s="69">
        <f t="shared" si="307"/>
        <v>0.191</v>
      </c>
      <c r="O89" s="69">
        <f>O83/O88</f>
        <v>7.2697899838449112E-2</v>
      </c>
      <c r="P89" s="69">
        <f t="shared" ref="P89:BF89" si="308">P83/P88</f>
        <v>6.5114695493041677E-2</v>
      </c>
      <c r="Q89" s="69">
        <f t="shared" si="308"/>
        <v>6.4372835416352955E-2</v>
      </c>
      <c r="R89" s="69">
        <f t="shared" si="308"/>
        <v>6.596212497340237E-2</v>
      </c>
      <c r="S89" s="69">
        <f t="shared" si="308"/>
        <v>6.8542199488491051E-2</v>
      </c>
      <c r="T89" s="69">
        <f t="shared" si="308"/>
        <v>6.9194176156840134E-2</v>
      </c>
      <c r="U89" s="69">
        <f t="shared" si="308"/>
        <v>7.086896716703546E-2</v>
      </c>
      <c r="V89" s="69">
        <f t="shared" si="308"/>
        <v>7.4389101131694668E-2</v>
      </c>
      <c r="W89" s="69">
        <f t="shared" si="308"/>
        <v>7.7687032241541221E-2</v>
      </c>
      <c r="X89" s="69">
        <f t="shared" si="308"/>
        <v>8.1325172280957078E-2</v>
      </c>
      <c r="Y89" s="69">
        <f t="shared" si="308"/>
        <v>8.4130793026684789E-2</v>
      </c>
      <c r="Z89" s="69">
        <f t="shared" si="308"/>
        <v>9.1008755462778021E-2</v>
      </c>
      <c r="AA89" s="69">
        <f t="shared" si="308"/>
        <v>9.4056404265073432E-2</v>
      </c>
      <c r="AB89" s="69">
        <f t="shared" si="308"/>
        <v>0.1029301392313937</v>
      </c>
      <c r="AC89" s="69">
        <f t="shared" si="308"/>
        <v>0.10627388831919456</v>
      </c>
      <c r="AD89" s="69">
        <f t="shared" si="308"/>
        <v>0.10536655058487367</v>
      </c>
      <c r="AE89" s="69">
        <f t="shared" si="308"/>
        <v>0.10217724796982534</v>
      </c>
      <c r="AF89" s="69">
        <f t="shared" si="308"/>
        <v>0.10299324106855488</v>
      </c>
      <c r="AG89" s="69">
        <f t="shared" si="308"/>
        <v>0.10124333925399644</v>
      </c>
      <c r="AH89" s="69">
        <f t="shared" si="308"/>
        <v>0.10184447576444634</v>
      </c>
      <c r="AI89" s="69">
        <f t="shared" si="308"/>
        <v>0.12045677207972631</v>
      </c>
      <c r="AJ89" s="69">
        <f t="shared" si="308"/>
        <v>0.14522329267713918</v>
      </c>
      <c r="AK89" s="69">
        <f t="shared" si="308"/>
        <v>0.13526521100359692</v>
      </c>
      <c r="AL89" s="69">
        <f t="shared" si="308"/>
        <v>0.14024355052807755</v>
      </c>
      <c r="AM89" s="69">
        <f t="shared" si="308"/>
        <v>0.15546410608139002</v>
      </c>
      <c r="AN89" s="69">
        <f t="shared" si="308"/>
        <v>0.16630736064059132</v>
      </c>
      <c r="AO89" s="69">
        <f t="shared" si="308"/>
        <v>0.15813454837845084</v>
      </c>
      <c r="AP89" s="69">
        <f t="shared" si="308"/>
        <v>0.14026636440918108</v>
      </c>
      <c r="AQ89" s="69">
        <f t="shared" si="308"/>
        <v>0.13350914784901929</v>
      </c>
      <c r="AR89" s="69">
        <f t="shared" si="308"/>
        <v>0.16697092479629547</v>
      </c>
      <c r="AS89" s="69">
        <f t="shared" si="308"/>
        <v>0.17755918639546517</v>
      </c>
      <c r="AT89" s="69">
        <f t="shared" ref="AT89" si="309">AT83/AT88</f>
        <v>0.18493325397500213</v>
      </c>
      <c r="AU89" s="69">
        <f t="shared" si="308"/>
        <v>0.17682326621923936</v>
      </c>
      <c r="AV89" s="69">
        <f t="shared" si="308"/>
        <v>0.17802197802197803</v>
      </c>
      <c r="AW89" s="69">
        <f t="shared" si="308"/>
        <v>0.17553191489361702</v>
      </c>
      <c r="AX89" s="69">
        <f t="shared" si="308"/>
        <v>0.17801047120418848</v>
      </c>
      <c r="AY89" s="69">
        <f t="shared" si="308"/>
        <v>0.18031088082901556</v>
      </c>
      <c r="AZ89" s="69">
        <f t="shared" si="308"/>
        <v>0.18256410256410258</v>
      </c>
      <c r="BA89" s="69">
        <f t="shared" si="308"/>
        <v>0.18383838383838383</v>
      </c>
      <c r="BB89" s="69">
        <f t="shared" si="308"/>
        <v>0.186</v>
      </c>
      <c r="BC89" s="69">
        <f t="shared" si="308"/>
        <v>0.188</v>
      </c>
      <c r="BD89" s="69">
        <f t="shared" si="308"/>
        <v>0.19</v>
      </c>
      <c r="BE89" s="69">
        <f t="shared" si="308"/>
        <v>0.192</v>
      </c>
      <c r="BF89" s="69">
        <f t="shared" si="308"/>
        <v>0.19400000000000001</v>
      </c>
      <c r="BI89">
        <f t="shared" si="278"/>
        <v>82</v>
      </c>
    </row>
    <row r="90" spans="2:61" hidden="1" outlineLevel="2">
      <c r="B90" s="8" t="s">
        <v>118</v>
      </c>
      <c r="C90" s="55">
        <f t="shared" ref="C90:M90" si="310">AVERAGEIFS($O90:$BG90,$O$5:$BG$5,C$5)</f>
        <v>1494.125</v>
      </c>
      <c r="D90" s="55">
        <f t="shared" si="310"/>
        <v>1826.3416666666667</v>
      </c>
      <c r="E90" s="55">
        <f t="shared" si="310"/>
        <v>1854.0666666666666</v>
      </c>
      <c r="F90" s="55">
        <f t="shared" si="310"/>
        <v>1686.5791666666667</v>
      </c>
      <c r="G90" s="55">
        <f t="shared" si="310"/>
        <v>1790.8291666666667</v>
      </c>
      <c r="H90" s="55">
        <f t="shared" si="310"/>
        <v>937.77500000000009</v>
      </c>
      <c r="I90" s="55">
        <f t="shared" si="310"/>
        <v>484.89166666666665</v>
      </c>
      <c r="J90" s="55">
        <f t="shared" si="310"/>
        <v>851.9</v>
      </c>
      <c r="K90" s="55">
        <f t="shared" si="310"/>
        <v>1053.6538461538462</v>
      </c>
      <c r="L90" s="55">
        <f t="shared" si="310"/>
        <v>1132.5</v>
      </c>
      <c r="M90" s="55">
        <f t="shared" si="310"/>
        <v>1150</v>
      </c>
      <c r="O90" s="56">
        <v>1283.0500000000002</v>
      </c>
      <c r="P90" s="56">
        <v>1454.9333333333334</v>
      </c>
      <c r="Q90" s="56">
        <v>1590.5166666666669</v>
      </c>
      <c r="R90" s="56">
        <v>1648</v>
      </c>
      <c r="S90" s="56">
        <v>1674.3333333333333</v>
      </c>
      <c r="T90" s="56">
        <v>1780.8999999999999</v>
      </c>
      <c r="U90" s="56">
        <v>1894.1499999999996</v>
      </c>
      <c r="V90" s="56">
        <v>1955.9833333333333</v>
      </c>
      <c r="W90" s="56">
        <v>1930.3</v>
      </c>
      <c r="X90" s="56">
        <v>1903.35</v>
      </c>
      <c r="Y90" s="56">
        <v>1838.3166666666666</v>
      </c>
      <c r="Z90" s="56">
        <v>1744.2999999999997</v>
      </c>
      <c r="AA90" s="56">
        <v>1689.0833333333335</v>
      </c>
      <c r="AB90" s="56">
        <v>1687.6666666666667</v>
      </c>
      <c r="AC90" s="56">
        <v>1688.6833333333332</v>
      </c>
      <c r="AD90" s="56">
        <v>1680.8833333333332</v>
      </c>
      <c r="AE90" s="56">
        <v>1707.4666666666665</v>
      </c>
      <c r="AF90" s="56">
        <v>1782.15</v>
      </c>
      <c r="AG90" s="56">
        <v>1829.8999999999999</v>
      </c>
      <c r="AH90" s="56">
        <v>1843.8</v>
      </c>
      <c r="AI90" s="56">
        <v>1323.7666666666669</v>
      </c>
      <c r="AJ90" s="56">
        <v>874.48333333333335</v>
      </c>
      <c r="AK90" s="56">
        <v>829.58333333333337</v>
      </c>
      <c r="AL90" s="56">
        <v>723.26666666666688</v>
      </c>
      <c r="AM90" s="56">
        <v>526.04999999999995</v>
      </c>
      <c r="AN90" s="56">
        <v>393.73333333333335</v>
      </c>
      <c r="AO90" s="56">
        <v>457.90000000000003</v>
      </c>
      <c r="AP90" s="56">
        <v>561.88333333333321</v>
      </c>
      <c r="AQ90" s="56">
        <v>715.55000000000018</v>
      </c>
      <c r="AR90" s="56">
        <v>867.88333333333321</v>
      </c>
      <c r="AS90" s="56">
        <v>924.49999999999989</v>
      </c>
      <c r="AT90" s="56">
        <v>899.66666666666663</v>
      </c>
      <c r="AU90" s="56">
        <v>984.61538461538464</v>
      </c>
      <c r="AV90" s="56">
        <v>1045</v>
      </c>
      <c r="AW90" s="56">
        <v>1080</v>
      </c>
      <c r="AX90" s="56">
        <v>1105</v>
      </c>
      <c r="AY90" s="56">
        <v>1115</v>
      </c>
      <c r="AZ90" s="56">
        <v>1125</v>
      </c>
      <c r="BA90" s="56">
        <v>1140</v>
      </c>
      <c r="BB90" s="56">
        <v>1150</v>
      </c>
      <c r="BC90" s="56">
        <v>1150</v>
      </c>
      <c r="BD90" s="56">
        <v>1150</v>
      </c>
      <c r="BE90" s="56">
        <v>1150</v>
      </c>
      <c r="BF90" s="56">
        <v>1150</v>
      </c>
      <c r="BI90">
        <f t="shared" si="278"/>
        <v>83</v>
      </c>
    </row>
    <row r="91" spans="2:61" hidden="1" outlineLevel="2">
      <c r="B91" s="8" t="s">
        <v>119</v>
      </c>
      <c r="C91" s="69">
        <f t="shared" ref="C91:M91" si="311">C85/C90</f>
        <v>0.11230103292690892</v>
      </c>
      <c r="D91" s="69">
        <f t="shared" si="311"/>
        <v>0.11814620802008756</v>
      </c>
      <c r="E91" s="69">
        <f t="shared" si="311"/>
        <v>0.11911933655217213</v>
      </c>
      <c r="F91" s="69">
        <f t="shared" si="311"/>
        <v>0.11357674052274154</v>
      </c>
      <c r="G91" s="69">
        <f t="shared" si="311"/>
        <v>0.11779956906903313</v>
      </c>
      <c r="H91" s="69">
        <f t="shared" si="311"/>
        <v>0.13188314076272786</v>
      </c>
      <c r="I91" s="69">
        <f t="shared" si="311"/>
        <v>0.13295742077479422</v>
      </c>
      <c r="J91" s="69">
        <f t="shared" si="311"/>
        <v>0.16217415704139176</v>
      </c>
      <c r="K91" s="69">
        <f t="shared" si="311"/>
        <v>0.17113311848227478</v>
      </c>
      <c r="L91" s="69">
        <f t="shared" si="311"/>
        <v>0.18505307085185521</v>
      </c>
      <c r="M91" s="69">
        <f t="shared" si="311"/>
        <v>0.20087906866239014</v>
      </c>
      <c r="O91" s="69">
        <f>O85/O90</f>
        <v>0.11102884186552008</v>
      </c>
      <c r="P91" s="69">
        <f t="shared" ref="P91:BF91" si="312">P85/P90</f>
        <v>0.10714587831523316</v>
      </c>
      <c r="Q91" s="69">
        <f t="shared" si="312"/>
        <v>0.11207733518367242</v>
      </c>
      <c r="R91" s="69">
        <f t="shared" si="312"/>
        <v>0.11764589489235965</v>
      </c>
      <c r="S91" s="69">
        <f t="shared" si="312"/>
        <v>0.12373747428495588</v>
      </c>
      <c r="T91" s="69">
        <f t="shared" si="312"/>
        <v>0.113573887508415</v>
      </c>
      <c r="U91" s="69">
        <f t="shared" si="312"/>
        <v>0.11689308844508667</v>
      </c>
      <c r="V91" s="69">
        <f t="shared" si="312"/>
        <v>0.11856596092924832</v>
      </c>
      <c r="W91" s="69">
        <f t="shared" si="312"/>
        <v>0.12302363750325207</v>
      </c>
      <c r="X91" s="69">
        <f t="shared" si="312"/>
        <v>0.11773342374650594</v>
      </c>
      <c r="Y91" s="69">
        <f t="shared" si="312"/>
        <v>0.11767026939027789</v>
      </c>
      <c r="Z91" s="69">
        <f t="shared" si="312"/>
        <v>0.11796185837597743</v>
      </c>
      <c r="AA91" s="69">
        <f t="shared" si="312"/>
        <v>0.11776933576726363</v>
      </c>
      <c r="AB91" s="69">
        <f t="shared" si="312"/>
        <v>0.10980763262019433</v>
      </c>
      <c r="AC91" s="69">
        <f t="shared" si="312"/>
        <v>0.11226909911375084</v>
      </c>
      <c r="AD91" s="69">
        <f t="shared" si="312"/>
        <v>0.11451665122591254</v>
      </c>
      <c r="AE91" s="69">
        <f t="shared" si="312"/>
        <v>0.11852517049299809</v>
      </c>
      <c r="AF91" s="69">
        <f t="shared" si="312"/>
        <v>0.11446231293045533</v>
      </c>
      <c r="AG91" s="69">
        <f t="shared" si="312"/>
        <v>0.11929851239198153</v>
      </c>
      <c r="AH91" s="69">
        <f t="shared" si="312"/>
        <v>0.1187233831831237</v>
      </c>
      <c r="AI91" s="69">
        <f t="shared" si="312"/>
        <v>0.1302680062783807</v>
      </c>
      <c r="AJ91" s="69">
        <f t="shared" si="312"/>
        <v>0.14088067491029241</v>
      </c>
      <c r="AK91" s="69">
        <f t="shared" si="312"/>
        <v>0.13190225580328871</v>
      </c>
      <c r="AL91" s="69">
        <f t="shared" si="312"/>
        <v>0.12539725160002721</v>
      </c>
      <c r="AM91" s="69">
        <f t="shared" si="312"/>
        <v>0.13906253427211512</v>
      </c>
      <c r="AN91" s="69">
        <f t="shared" si="312"/>
        <v>0.13943726439493453</v>
      </c>
      <c r="AO91" s="69">
        <f t="shared" si="312"/>
        <v>0.13423758747400705</v>
      </c>
      <c r="AP91" s="69">
        <f t="shared" si="312"/>
        <v>0.12164060051663726</v>
      </c>
      <c r="AQ91" s="69">
        <f t="shared" si="312"/>
        <v>0.11625866660455435</v>
      </c>
      <c r="AR91" s="69">
        <f t="shared" si="312"/>
        <v>0.16869386446710591</v>
      </c>
      <c r="AS91" s="69">
        <f t="shared" si="312"/>
        <v>0.17448914807063751</v>
      </c>
      <c r="AT91" s="69">
        <f t="shared" ref="AT91" si="313">AT85/AT90</f>
        <v>0.17852022488200139</v>
      </c>
      <c r="AU91" s="69">
        <f t="shared" si="312"/>
        <v>0.17164062499999999</v>
      </c>
      <c r="AV91" s="69">
        <f t="shared" si="312"/>
        <v>0.17129186602870813</v>
      </c>
      <c r="AW91" s="69">
        <f t="shared" si="312"/>
        <v>0.16944444444444445</v>
      </c>
      <c r="AX91" s="69">
        <f t="shared" si="312"/>
        <v>0.17194570135746606</v>
      </c>
      <c r="AY91" s="69">
        <f t="shared" si="312"/>
        <v>0.17757847533632287</v>
      </c>
      <c r="AZ91" s="69">
        <f t="shared" si="312"/>
        <v>0.18311111111111111</v>
      </c>
      <c r="BA91" s="69">
        <f t="shared" si="312"/>
        <v>0.18684210526315789</v>
      </c>
      <c r="BB91" s="69">
        <f t="shared" si="312"/>
        <v>0.19217391304347825</v>
      </c>
      <c r="BC91" s="69">
        <f t="shared" si="312"/>
        <v>0.19826086956521738</v>
      </c>
      <c r="BD91" s="69">
        <f t="shared" si="312"/>
        <v>0.2</v>
      </c>
      <c r="BE91" s="69">
        <f t="shared" si="312"/>
        <v>0.20173913043478262</v>
      </c>
      <c r="BF91" s="69">
        <f t="shared" si="312"/>
        <v>0.20347826086956522</v>
      </c>
      <c r="BI91">
        <f t="shared" si="278"/>
        <v>84</v>
      </c>
    </row>
    <row r="92" spans="2:61" hidden="1" outlineLevel="2">
      <c r="C92"/>
      <c r="D92"/>
      <c r="E92"/>
      <c r="F92"/>
      <c r="G92"/>
      <c r="H92"/>
      <c r="I92"/>
      <c r="J92"/>
      <c r="K92"/>
      <c r="L92"/>
      <c r="M92"/>
      <c r="BI92">
        <f t="shared" si="278"/>
        <v>85</v>
      </c>
    </row>
    <row r="93" spans="2:61" hidden="1" outlineLevel="2">
      <c r="B93" s="8" t="s">
        <v>104</v>
      </c>
      <c r="C93" s="69">
        <f t="shared" ref="C93:M93" si="314">C83/AVERAGE(B79:C79)</f>
        <v>0.81343283582089554</v>
      </c>
      <c r="D93" s="69">
        <f t="shared" si="314"/>
        <v>0.93827160493827155</v>
      </c>
      <c r="E93" s="69">
        <f t="shared" si="314"/>
        <v>0.93334074757832219</v>
      </c>
      <c r="F93" s="69">
        <f t="shared" si="314"/>
        <v>0.97523910575192496</v>
      </c>
      <c r="G93" s="69">
        <f t="shared" si="314"/>
        <v>0.98207547169811316</v>
      </c>
      <c r="H93" s="69">
        <f t="shared" si="314"/>
        <v>0.64869281045751637</v>
      </c>
      <c r="I93" s="69">
        <f t="shared" si="314"/>
        <v>0.38354037267080743</v>
      </c>
      <c r="J93" s="69">
        <f t="shared" si="314"/>
        <v>0.68472222222222223</v>
      </c>
      <c r="K93" s="69">
        <f t="shared" si="314"/>
        <v>0.8153266331658291</v>
      </c>
      <c r="L93" s="69">
        <f t="shared" si="314"/>
        <v>0.88669950738916259</v>
      </c>
      <c r="M93" s="69">
        <f t="shared" si="314"/>
        <v>0.90521327014218012</v>
      </c>
      <c r="O93" s="69">
        <f>O83/AVERAGE(N79:O79)</f>
        <v>0.94117647058823528</v>
      </c>
      <c r="P93" s="69">
        <f t="shared" ref="P93:BF93" si="315">P83/AVERAGE(O79:P79)</f>
        <v>0.97142857142857142</v>
      </c>
      <c r="Q93" s="69">
        <f t="shared" si="315"/>
        <v>1.0044052863436124</v>
      </c>
      <c r="R93" s="69">
        <f t="shared" si="315"/>
        <v>0.98023715415019763</v>
      </c>
      <c r="S93" s="69">
        <f t="shared" si="315"/>
        <v>0.98168498168498164</v>
      </c>
      <c r="T93" s="69">
        <f t="shared" si="315"/>
        <v>0.99037826947792562</v>
      </c>
      <c r="U93" s="69">
        <f t="shared" si="315"/>
        <v>0.99226084750063448</v>
      </c>
      <c r="V93" s="69">
        <f t="shared" si="315"/>
        <v>0.96448598130841134</v>
      </c>
      <c r="W93" s="69">
        <f t="shared" si="315"/>
        <v>0.95952317555250599</v>
      </c>
      <c r="X93" s="69">
        <f t="shared" si="315"/>
        <v>0.97846938016611151</v>
      </c>
      <c r="Y93" s="69">
        <f t="shared" si="315"/>
        <v>0.95092429880339902</v>
      </c>
      <c r="Z93" s="69">
        <f t="shared" si="315"/>
        <v>0.93856839341284326</v>
      </c>
      <c r="AA93" s="69">
        <f t="shared" si="315"/>
        <v>0.93536591812301917</v>
      </c>
      <c r="AB93" s="69">
        <f t="shared" si="315"/>
        <v>0.95366229760986887</v>
      </c>
      <c r="AC93" s="69">
        <f t="shared" si="315"/>
        <v>0.95418502202643174</v>
      </c>
      <c r="AD93" s="69">
        <f t="shared" si="315"/>
        <v>0.98333333333333328</v>
      </c>
      <c r="AE93" s="69">
        <f t="shared" si="315"/>
        <v>0.97975708502024295</v>
      </c>
      <c r="AF93" s="69">
        <f t="shared" si="315"/>
        <v>0.98461538461538467</v>
      </c>
      <c r="AG93" s="69">
        <f t="shared" si="315"/>
        <v>0.9779411764705882</v>
      </c>
      <c r="AH93" s="69">
        <f t="shared" si="315"/>
        <v>0.97535211267605637</v>
      </c>
      <c r="AI93" s="69">
        <f t="shared" si="315"/>
        <v>0.84459459459459463</v>
      </c>
      <c r="AJ93" s="69">
        <f t="shared" si="315"/>
        <v>0.66019417475728159</v>
      </c>
      <c r="AK93" s="69">
        <f t="shared" si="315"/>
        <v>0.55974842767295596</v>
      </c>
      <c r="AL93" s="69">
        <f t="shared" si="315"/>
        <v>0.50467289719626163</v>
      </c>
      <c r="AM93" s="69">
        <f t="shared" si="315"/>
        <v>0.42236024844720499</v>
      </c>
      <c r="AN93" s="69">
        <f t="shared" si="315"/>
        <v>0.33540372670807456</v>
      </c>
      <c r="AO93" s="69">
        <f t="shared" si="315"/>
        <v>0.36645962732919257</v>
      </c>
      <c r="AP93" s="69">
        <f t="shared" si="315"/>
        <v>0.40993788819875776</v>
      </c>
      <c r="AQ93" s="69">
        <f t="shared" si="315"/>
        <v>0.50154798761609909</v>
      </c>
      <c r="AR93" s="69">
        <f t="shared" si="315"/>
        <v>0.69444444444444442</v>
      </c>
      <c r="AS93" s="69">
        <f t="shared" si="315"/>
        <v>0.71717171717171713</v>
      </c>
      <c r="AT93" s="69">
        <f t="shared" si="315"/>
        <v>0.73047858942065491</v>
      </c>
      <c r="AU93" s="69">
        <f t="shared" si="315"/>
        <v>0.76381909547738691</v>
      </c>
      <c r="AV93" s="69">
        <f t="shared" si="315"/>
        <v>0.81407035175879394</v>
      </c>
      <c r="AW93" s="69">
        <f t="shared" si="315"/>
        <v>0.82914572864321612</v>
      </c>
      <c r="AX93" s="69">
        <f t="shared" si="315"/>
        <v>0.85427135678391963</v>
      </c>
      <c r="AY93" s="69">
        <f t="shared" si="315"/>
        <v>0.87</v>
      </c>
      <c r="AZ93" s="69">
        <f t="shared" si="315"/>
        <v>0.88118811881188119</v>
      </c>
      <c r="BA93" s="69">
        <f t="shared" si="315"/>
        <v>0.89215686274509809</v>
      </c>
      <c r="BB93" s="69">
        <f t="shared" si="315"/>
        <v>0.90291262135922334</v>
      </c>
      <c r="BC93" s="69">
        <f t="shared" si="315"/>
        <v>0.90384615384615385</v>
      </c>
      <c r="BD93" s="69">
        <f t="shared" si="315"/>
        <v>0.90476190476190477</v>
      </c>
      <c r="BE93" s="69">
        <f t="shared" si="315"/>
        <v>0.90566037735849059</v>
      </c>
      <c r="BF93" s="69">
        <f t="shared" si="315"/>
        <v>0.90654205607476634</v>
      </c>
      <c r="BI93">
        <f t="shared" si="278"/>
        <v>86</v>
      </c>
    </row>
    <row r="94" spans="2:61" hidden="1" outlineLevel="2">
      <c r="B94" s="8" t="s">
        <v>105</v>
      </c>
      <c r="C94" s="69">
        <f t="shared" ref="C94:M94" si="316">C84/AVERAGE(B80:C80)</f>
        <v>0.39142471435423143</v>
      </c>
      <c r="D94" s="69">
        <f t="shared" si="316"/>
        <v>0.53521800861880819</v>
      </c>
      <c r="E94" s="69">
        <f t="shared" si="316"/>
        <v>0.57260029234363441</v>
      </c>
      <c r="F94" s="69">
        <f t="shared" si="316"/>
        <v>0.43776372445576289</v>
      </c>
      <c r="G94" s="69">
        <f t="shared" si="316"/>
        <v>0.64101847322603012</v>
      </c>
      <c r="H94" s="69">
        <f t="shared" si="316"/>
        <v>0.32065523331051288</v>
      </c>
      <c r="I94" s="69">
        <f t="shared" si="316"/>
        <v>5.3812685377472289E-2</v>
      </c>
      <c r="J94" s="69">
        <f t="shared" si="316"/>
        <v>0.2135744355436516</v>
      </c>
      <c r="K94" s="69">
        <f t="shared" si="316"/>
        <v>0.1875</v>
      </c>
      <c r="L94" s="69">
        <f t="shared" si="316"/>
        <v>0.30729166666666669</v>
      </c>
      <c r="M94" s="69">
        <f t="shared" si="316"/>
        <v>0.41666666666666669</v>
      </c>
      <c r="O94" s="69">
        <f t="shared" ref="O94:BF94" si="317">O84/AVERAGE(N80:O80)</f>
        <v>0.32347792998477926</v>
      </c>
      <c r="P94" s="69">
        <f t="shared" si="317"/>
        <v>0.35921270510311609</v>
      </c>
      <c r="Q94" s="69">
        <f t="shared" si="317"/>
        <v>0.41563280056629787</v>
      </c>
      <c r="R94" s="69">
        <f t="shared" si="317"/>
        <v>0.45436842302363029</v>
      </c>
      <c r="S94" s="69">
        <f t="shared" si="317"/>
        <v>0.48462498799577453</v>
      </c>
      <c r="T94" s="69">
        <f t="shared" si="317"/>
        <v>0.44872032255360217</v>
      </c>
      <c r="U94" s="69">
        <f t="shared" si="317"/>
        <v>0.50882910674875315</v>
      </c>
      <c r="V94" s="69">
        <f t="shared" si="317"/>
        <v>0.58171313014589054</v>
      </c>
      <c r="W94" s="69">
        <f t="shared" si="317"/>
        <v>0.62551998439483902</v>
      </c>
      <c r="X94" s="69">
        <f t="shared" si="317"/>
        <v>0.55424044964025621</v>
      </c>
      <c r="Y94" s="69">
        <f t="shared" si="317"/>
        <v>0.51541390295495693</v>
      </c>
      <c r="Z94" s="69">
        <f t="shared" si="317"/>
        <v>0.48079859192929314</v>
      </c>
      <c r="AA94" s="69">
        <f t="shared" si="317"/>
        <v>0.4584781263538521</v>
      </c>
      <c r="AB94" s="69">
        <f t="shared" si="317"/>
        <v>0.36196387430182692</v>
      </c>
      <c r="AC94" s="69">
        <f t="shared" si="317"/>
        <v>0.37230127645185829</v>
      </c>
      <c r="AD94" s="69">
        <f t="shared" si="317"/>
        <v>0.41268216307358779</v>
      </c>
      <c r="AE94" s="69">
        <f t="shared" si="317"/>
        <v>0.52165242165242154</v>
      </c>
      <c r="AF94" s="69">
        <f t="shared" si="317"/>
        <v>0.49343513629227909</v>
      </c>
      <c r="AG94" s="69">
        <f t="shared" si="317"/>
        <v>0.6743426705619523</v>
      </c>
      <c r="AH94" s="69">
        <f t="shared" si="317"/>
        <v>0.83318314935796345</v>
      </c>
      <c r="AI94" s="69">
        <f t="shared" si="317"/>
        <v>0.50472813238770697</v>
      </c>
      <c r="AJ94" s="69">
        <f t="shared" si="317"/>
        <v>0.2255085340191724</v>
      </c>
      <c r="AK94" s="69">
        <f t="shared" si="317"/>
        <v>0.26353436185133244</v>
      </c>
      <c r="AL94" s="69">
        <f t="shared" si="317"/>
        <v>0.16025871361839747</v>
      </c>
      <c r="AM94" s="69">
        <f t="shared" si="317"/>
        <v>8.5897435897436009E-2</v>
      </c>
      <c r="AN94" s="69">
        <f t="shared" si="317"/>
        <v>1.5018315018314965E-2</v>
      </c>
      <c r="AO94" s="69">
        <f t="shared" si="317"/>
        <v>4.112318840579713E-2</v>
      </c>
      <c r="AP94" s="69">
        <f t="shared" si="317"/>
        <v>4.6491605682307251E-2</v>
      </c>
      <c r="AQ94" s="69">
        <f t="shared" si="317"/>
        <v>5.3387533875338608E-2</v>
      </c>
      <c r="AR94" s="69">
        <f t="shared" si="317"/>
        <v>0.31250501323494018</v>
      </c>
      <c r="AS94" s="69">
        <f t="shared" si="317"/>
        <v>0.20120018115942026</v>
      </c>
      <c r="AT94" s="69">
        <f t="shared" si="317"/>
        <v>0.16259057971014487</v>
      </c>
      <c r="AU94" s="69">
        <f t="shared" si="317"/>
        <v>0.17708333333333334</v>
      </c>
      <c r="AV94" s="69">
        <f t="shared" si="317"/>
        <v>0.17708333333333334</v>
      </c>
      <c r="AW94" s="69">
        <f t="shared" si="317"/>
        <v>0.1875</v>
      </c>
      <c r="AX94" s="69">
        <f t="shared" si="317"/>
        <v>0.20833333333333334</v>
      </c>
      <c r="AY94" s="69">
        <f t="shared" si="317"/>
        <v>0.25</v>
      </c>
      <c r="AZ94" s="69">
        <f t="shared" si="317"/>
        <v>0.29166666666666669</v>
      </c>
      <c r="BA94" s="69">
        <f t="shared" si="317"/>
        <v>0.32291666666666669</v>
      </c>
      <c r="BB94" s="69">
        <f t="shared" si="317"/>
        <v>0.36458333333333331</v>
      </c>
      <c r="BC94" s="69">
        <f t="shared" si="317"/>
        <v>0.41666666666666669</v>
      </c>
      <c r="BD94" s="69">
        <f t="shared" si="317"/>
        <v>0.41666666666666669</v>
      </c>
      <c r="BE94" s="69">
        <f t="shared" si="317"/>
        <v>0.41666666666666669</v>
      </c>
      <c r="BF94" s="69">
        <f t="shared" si="317"/>
        <v>0.41666666666666669</v>
      </c>
      <c r="BI94">
        <f t="shared" si="278"/>
        <v>87</v>
      </c>
    </row>
    <row r="95" spans="2:61" hidden="1" outlineLevel="2">
      <c r="B95" s="8" t="s">
        <v>106</v>
      </c>
      <c r="C95" s="73">
        <f t="shared" ref="C95:M95" si="318">C85/AVERAGE(B81:C81)</f>
        <v>0.47132522702785901</v>
      </c>
      <c r="D95" s="73">
        <f t="shared" si="318"/>
        <v>0.63092205399343104</v>
      </c>
      <c r="E95" s="73">
        <f t="shared" si="318"/>
        <v>0.68802240266925418</v>
      </c>
      <c r="F95" s="73">
        <f t="shared" si="318"/>
        <v>0.64714920399851905</v>
      </c>
      <c r="G95" s="73">
        <f t="shared" si="318"/>
        <v>0.81608860390556692</v>
      </c>
      <c r="H95" s="73">
        <f t="shared" si="318"/>
        <v>0.53772483621203093</v>
      </c>
      <c r="I95" s="73">
        <f t="shared" si="318"/>
        <v>0.30482243666757097</v>
      </c>
      <c r="J95" s="73">
        <f t="shared" si="318"/>
        <v>0.55596042005457402</v>
      </c>
      <c r="K95" s="73">
        <f t="shared" si="318"/>
        <v>0.61123752031576495</v>
      </c>
      <c r="L95" s="73">
        <f t="shared" si="318"/>
        <v>0.70091171484858206</v>
      </c>
      <c r="M95" s="73">
        <f t="shared" si="318"/>
        <v>0.75247859596660793</v>
      </c>
      <c r="O95" s="73">
        <f t="shared" ref="O95:BF95" si="319">O85/AVERAGE(N81:O81)</f>
        <v>0.41532231940395203</v>
      </c>
      <c r="P95" s="73">
        <f t="shared" si="319"/>
        <v>0.45251120432542785</v>
      </c>
      <c r="Q95" s="73">
        <f t="shared" si="319"/>
        <v>0.51150895140664965</v>
      </c>
      <c r="R95" s="73">
        <f t="shared" si="319"/>
        <v>0.5484595043355267</v>
      </c>
      <c r="S95" s="73">
        <f t="shared" si="319"/>
        <v>0.57951825951825953</v>
      </c>
      <c r="T95" s="73">
        <f t="shared" si="319"/>
        <v>0.55720037538219358</v>
      </c>
      <c r="U95" s="73">
        <f t="shared" si="319"/>
        <v>0.61589163693535709</v>
      </c>
      <c r="V95" s="73">
        <f t="shared" si="319"/>
        <v>0.68209718670076724</v>
      </c>
      <c r="W95" s="73">
        <f t="shared" si="319"/>
        <v>0.72180099535722642</v>
      </c>
      <c r="X95" s="73">
        <f t="shared" si="319"/>
        <v>0.67905427905427906</v>
      </c>
      <c r="Y95" s="73">
        <f t="shared" si="319"/>
        <v>0.64862134150316142</v>
      </c>
      <c r="Z95" s="73">
        <f t="shared" si="319"/>
        <v>0.63213784812662799</v>
      </c>
      <c r="AA95" s="73">
        <f t="shared" si="319"/>
        <v>0.62950070323488039</v>
      </c>
      <c r="AB95" s="73">
        <f t="shared" si="319"/>
        <v>0.57912087912087906</v>
      </c>
      <c r="AC95" s="73">
        <f t="shared" si="319"/>
        <v>0.58786653185035387</v>
      </c>
      <c r="AD95" s="73">
        <f t="shared" si="319"/>
        <v>0.64056283006583226</v>
      </c>
      <c r="AE95" s="73">
        <f t="shared" si="319"/>
        <v>0.72407076128006354</v>
      </c>
      <c r="AF95" s="73">
        <f t="shared" si="319"/>
        <v>0.71827116545426406</v>
      </c>
      <c r="AG95" s="73">
        <f t="shared" si="319"/>
        <v>0.83163561076604564</v>
      </c>
      <c r="AH95" s="73">
        <f t="shared" si="319"/>
        <v>0.91782882143833744</v>
      </c>
      <c r="AI95" s="73">
        <f t="shared" si="319"/>
        <v>0.71258034894398536</v>
      </c>
      <c r="AJ95" s="73">
        <f t="shared" si="319"/>
        <v>0.49576580361288614</v>
      </c>
      <c r="AK95" s="73">
        <f t="shared" si="319"/>
        <v>0.46268039341851275</v>
      </c>
      <c r="AL95" s="73">
        <f t="shared" si="319"/>
        <v>0.41038756639779661</v>
      </c>
      <c r="AM95" s="73">
        <f t="shared" si="319"/>
        <v>0.33101287852419076</v>
      </c>
      <c r="AN95" s="73">
        <f t="shared" si="319"/>
        <v>0.24842126199592263</v>
      </c>
      <c r="AO95" s="73">
        <f t="shared" si="319"/>
        <v>0.27813299232736571</v>
      </c>
      <c r="AP95" s="73">
        <f t="shared" si="319"/>
        <v>0.32315757015109464</v>
      </c>
      <c r="AQ95" s="73">
        <f t="shared" si="319"/>
        <v>0.41080932784636487</v>
      </c>
      <c r="AR95" s="73">
        <f t="shared" si="319"/>
        <v>0.58916134167643219</v>
      </c>
      <c r="AS95" s="73">
        <f t="shared" si="319"/>
        <v>0.54869121561668144</v>
      </c>
      <c r="AT95" s="73">
        <f t="shared" si="319"/>
        <v>0.54536059644201662</v>
      </c>
      <c r="AU95" s="73">
        <f t="shared" si="319"/>
        <v>0.57288135593220335</v>
      </c>
      <c r="AV95" s="73">
        <f t="shared" si="319"/>
        <v>0.60677966101694913</v>
      </c>
      <c r="AW95" s="73">
        <f t="shared" si="319"/>
        <v>0.62033898305084745</v>
      </c>
      <c r="AX95" s="73">
        <f t="shared" si="319"/>
        <v>0.64406779661016944</v>
      </c>
      <c r="AY95" s="73">
        <f t="shared" si="319"/>
        <v>0.66891891891891897</v>
      </c>
      <c r="AZ95" s="73">
        <f t="shared" si="319"/>
        <v>0.6912751677852349</v>
      </c>
      <c r="BA95" s="73">
        <f t="shared" si="319"/>
        <v>0.71</v>
      </c>
      <c r="BB95" s="73">
        <f t="shared" si="319"/>
        <v>0.73178807947019864</v>
      </c>
      <c r="BC95" s="73">
        <f t="shared" si="319"/>
        <v>0.75</v>
      </c>
      <c r="BD95" s="73">
        <f t="shared" si="319"/>
        <v>0.75163398692810457</v>
      </c>
      <c r="BE95" s="73">
        <f t="shared" si="319"/>
        <v>0.75324675324675328</v>
      </c>
      <c r="BF95" s="73">
        <f t="shared" si="319"/>
        <v>0.75483870967741939</v>
      </c>
      <c r="BI95">
        <f t="shared" si="278"/>
        <v>88</v>
      </c>
    </row>
    <row r="96" spans="2:61" hidden="1" outlineLevel="2">
      <c r="C96"/>
      <c r="D96"/>
      <c r="E96"/>
      <c r="F96"/>
      <c r="G96"/>
      <c r="H96"/>
      <c r="I96"/>
      <c r="J96"/>
      <c r="K96"/>
      <c r="L96"/>
      <c r="M96"/>
      <c r="BI96">
        <f t="shared" si="278"/>
        <v>89</v>
      </c>
    </row>
    <row r="97" spans="2:61" hidden="1" outlineLevel="2">
      <c r="B97" s="8" t="s">
        <v>101</v>
      </c>
      <c r="C97" s="119">
        <f t="shared" ref="C97:M100" si="320">AVERAGEIFS($O97:$BG97,$O$5:$BG$5,C$5)</f>
        <v>52</v>
      </c>
      <c r="D97" s="119">
        <f t="shared" si="320"/>
        <v>110.25</v>
      </c>
      <c r="E97" s="119">
        <f t="shared" si="320"/>
        <v>139.25</v>
      </c>
      <c r="F97" s="119">
        <f t="shared" si="320"/>
        <v>119.5</v>
      </c>
      <c r="G97" s="119">
        <f t="shared" si="320"/>
        <v>141.75</v>
      </c>
      <c r="H97" s="119">
        <f t="shared" si="320"/>
        <v>97.5</v>
      </c>
      <c r="I97" s="119">
        <f t="shared" si="320"/>
        <v>48</v>
      </c>
      <c r="J97" s="119">
        <f t="shared" si="320"/>
        <v>77.25</v>
      </c>
      <c r="K97" s="119">
        <f t="shared" si="320"/>
        <v>66.5</v>
      </c>
      <c r="L97" s="119">
        <f t="shared" si="320"/>
        <v>12.75</v>
      </c>
      <c r="M97" s="119">
        <f t="shared" si="320"/>
        <v>0</v>
      </c>
      <c r="O97" s="57">
        <v>39</v>
      </c>
      <c r="P97" s="57">
        <v>46</v>
      </c>
      <c r="Q97" s="57">
        <v>54</v>
      </c>
      <c r="R97" s="57">
        <v>69</v>
      </c>
      <c r="S97" s="57">
        <v>86</v>
      </c>
      <c r="T97" s="57">
        <v>107</v>
      </c>
      <c r="U97" s="57">
        <v>124</v>
      </c>
      <c r="V97" s="57">
        <v>124</v>
      </c>
      <c r="W97" s="57">
        <v>131</v>
      </c>
      <c r="X97" s="57">
        <v>153</v>
      </c>
      <c r="Y97" s="57">
        <v>141</v>
      </c>
      <c r="Z97" s="57">
        <v>132</v>
      </c>
      <c r="AA97" s="57">
        <v>123</v>
      </c>
      <c r="AB97" s="57">
        <v>116</v>
      </c>
      <c r="AC97" s="57">
        <v>123</v>
      </c>
      <c r="AD97" s="57">
        <v>116</v>
      </c>
      <c r="AE97" s="57">
        <v>124</v>
      </c>
      <c r="AF97" s="57">
        <v>137</v>
      </c>
      <c r="AG97" s="57">
        <v>149</v>
      </c>
      <c r="AH97" s="57">
        <v>157</v>
      </c>
      <c r="AI97" s="57">
        <v>133</v>
      </c>
      <c r="AJ97" s="57">
        <v>101</v>
      </c>
      <c r="AK97" s="57">
        <v>85</v>
      </c>
      <c r="AL97" s="57">
        <v>71</v>
      </c>
      <c r="AM97" s="57">
        <v>61</v>
      </c>
      <c r="AN97" s="57">
        <v>43</v>
      </c>
      <c r="AO97" s="57">
        <v>45</v>
      </c>
      <c r="AP97" s="57">
        <v>43</v>
      </c>
      <c r="AQ97" s="57">
        <v>44</v>
      </c>
      <c r="AR97" s="57">
        <v>84</v>
      </c>
      <c r="AS97" s="57">
        <v>94</v>
      </c>
      <c r="AT97" s="95">
        <v>87</v>
      </c>
      <c r="AU97" s="95">
        <v>96</v>
      </c>
      <c r="AV97" s="95">
        <v>75</v>
      </c>
      <c r="AW97" s="95">
        <v>55</v>
      </c>
      <c r="AX97" s="95">
        <v>40</v>
      </c>
      <c r="AY97" s="95">
        <v>27</v>
      </c>
      <c r="AZ97" s="95">
        <v>17</v>
      </c>
      <c r="BA97" s="95">
        <v>7</v>
      </c>
      <c r="BB97" s="95">
        <v>0</v>
      </c>
      <c r="BC97" s="95">
        <v>0</v>
      </c>
      <c r="BD97" s="95">
        <v>0</v>
      </c>
      <c r="BE97" s="95">
        <v>0</v>
      </c>
      <c r="BF97" s="95">
        <v>0</v>
      </c>
      <c r="BI97">
        <f t="shared" si="278"/>
        <v>90</v>
      </c>
    </row>
    <row r="98" spans="2:61" hidden="1" outlineLevel="2">
      <c r="B98" s="8" t="s">
        <v>102</v>
      </c>
      <c r="C98" s="119">
        <f t="shared" si="320"/>
        <v>4.25</v>
      </c>
      <c r="D98" s="119">
        <f t="shared" si="320"/>
        <v>0</v>
      </c>
      <c r="E98" s="119">
        <f t="shared" si="320"/>
        <v>0</v>
      </c>
      <c r="F98" s="119">
        <f t="shared" si="320"/>
        <v>0.5</v>
      </c>
      <c r="G98" s="119">
        <f t="shared" si="320"/>
        <v>0</v>
      </c>
      <c r="H98" s="119">
        <f t="shared" si="320"/>
        <v>3.75</v>
      </c>
      <c r="I98" s="119">
        <f t="shared" si="320"/>
        <v>13.75</v>
      </c>
      <c r="J98" s="119">
        <f t="shared" si="320"/>
        <v>46</v>
      </c>
      <c r="K98" s="119">
        <f t="shared" si="320"/>
        <v>95.75</v>
      </c>
      <c r="L98" s="119">
        <f t="shared" si="320"/>
        <v>167.25</v>
      </c>
      <c r="M98" s="119">
        <f t="shared" si="320"/>
        <v>191</v>
      </c>
      <c r="O98" s="55">
        <f>MAX(O83-O97,0)</f>
        <v>9</v>
      </c>
      <c r="P98" s="55">
        <f t="shared" ref="P98:BF98" si="321">MAX(P83-P97,0)</f>
        <v>5</v>
      </c>
      <c r="Q98" s="55">
        <f t="shared" si="321"/>
        <v>3</v>
      </c>
      <c r="R98" s="55">
        <f t="shared" si="321"/>
        <v>0</v>
      </c>
      <c r="S98" s="55">
        <f t="shared" si="321"/>
        <v>0</v>
      </c>
      <c r="T98" s="55">
        <f t="shared" si="321"/>
        <v>0</v>
      </c>
      <c r="U98" s="55">
        <f t="shared" si="321"/>
        <v>0</v>
      </c>
      <c r="V98" s="55">
        <f t="shared" si="321"/>
        <v>0</v>
      </c>
      <c r="W98" s="55">
        <f t="shared" si="321"/>
        <v>0</v>
      </c>
      <c r="X98" s="55">
        <f t="shared" si="321"/>
        <v>0</v>
      </c>
      <c r="Y98" s="55">
        <f t="shared" si="321"/>
        <v>0</v>
      </c>
      <c r="Z98" s="55">
        <f t="shared" si="321"/>
        <v>0</v>
      </c>
      <c r="AA98" s="55">
        <f t="shared" si="321"/>
        <v>0</v>
      </c>
      <c r="AB98" s="55">
        <f t="shared" si="321"/>
        <v>0</v>
      </c>
      <c r="AC98" s="55">
        <f t="shared" si="321"/>
        <v>0</v>
      </c>
      <c r="AD98" s="55">
        <f t="shared" si="321"/>
        <v>2</v>
      </c>
      <c r="AE98" s="55">
        <f t="shared" si="321"/>
        <v>0</v>
      </c>
      <c r="AF98" s="55">
        <f t="shared" si="321"/>
        <v>0</v>
      </c>
      <c r="AG98" s="55">
        <f t="shared" si="321"/>
        <v>0</v>
      </c>
      <c r="AH98" s="55">
        <f t="shared" si="321"/>
        <v>0</v>
      </c>
      <c r="AI98" s="55">
        <f t="shared" si="321"/>
        <v>0</v>
      </c>
      <c r="AJ98" s="55">
        <f t="shared" si="321"/>
        <v>1</v>
      </c>
      <c r="AK98" s="55">
        <f t="shared" si="321"/>
        <v>4</v>
      </c>
      <c r="AL98" s="55">
        <f t="shared" si="321"/>
        <v>10</v>
      </c>
      <c r="AM98" s="55">
        <f t="shared" si="321"/>
        <v>7</v>
      </c>
      <c r="AN98" s="55">
        <f t="shared" si="321"/>
        <v>11</v>
      </c>
      <c r="AO98" s="55">
        <f t="shared" si="321"/>
        <v>14</v>
      </c>
      <c r="AP98" s="55">
        <f t="shared" si="321"/>
        <v>23</v>
      </c>
      <c r="AQ98" s="55">
        <f t="shared" si="321"/>
        <v>37</v>
      </c>
      <c r="AR98" s="55">
        <f t="shared" si="321"/>
        <v>41</v>
      </c>
      <c r="AS98" s="55">
        <f t="shared" si="321"/>
        <v>48</v>
      </c>
      <c r="AT98" s="55">
        <f t="shared" ref="AT98" si="322">MAX(AT83-AT97,0)</f>
        <v>58</v>
      </c>
      <c r="AU98" s="55">
        <f t="shared" si="321"/>
        <v>56</v>
      </c>
      <c r="AV98" s="55">
        <f t="shared" si="321"/>
        <v>87</v>
      </c>
      <c r="AW98" s="55">
        <f t="shared" si="321"/>
        <v>110</v>
      </c>
      <c r="AX98" s="55">
        <f t="shared" si="321"/>
        <v>130</v>
      </c>
      <c r="AY98" s="55">
        <f t="shared" si="321"/>
        <v>147</v>
      </c>
      <c r="AZ98" s="55">
        <f t="shared" si="321"/>
        <v>161</v>
      </c>
      <c r="BA98" s="55">
        <f t="shared" si="321"/>
        <v>175</v>
      </c>
      <c r="BB98" s="55">
        <f t="shared" si="321"/>
        <v>186</v>
      </c>
      <c r="BC98" s="55">
        <f t="shared" si="321"/>
        <v>188</v>
      </c>
      <c r="BD98" s="55">
        <f t="shared" si="321"/>
        <v>190</v>
      </c>
      <c r="BE98" s="55">
        <f t="shared" si="321"/>
        <v>192</v>
      </c>
      <c r="BF98" s="55">
        <f t="shared" si="321"/>
        <v>194</v>
      </c>
      <c r="BI98">
        <f t="shared" si="278"/>
        <v>91</v>
      </c>
    </row>
    <row r="99" spans="2:61" hidden="1" outlineLevel="2">
      <c r="B99" s="8" t="s">
        <v>103</v>
      </c>
      <c r="C99" s="119">
        <f t="shared" si="320"/>
        <v>111.37174244837288</v>
      </c>
      <c r="D99" s="119">
        <f t="shared" si="320"/>
        <v>105.44190024950895</v>
      </c>
      <c r="E99" s="119">
        <f t="shared" si="320"/>
        <v>81.659131629240335</v>
      </c>
      <c r="F99" s="119">
        <f t="shared" si="320"/>
        <v>71.579247624356313</v>
      </c>
      <c r="G99" s="119">
        <f t="shared" si="320"/>
        <v>69.143327626479788</v>
      </c>
      <c r="H99" s="119">
        <f t="shared" si="320"/>
        <v>22.690452964909493</v>
      </c>
      <c r="I99" s="119">
        <f t="shared" si="320"/>
        <v>2.7175406115623506</v>
      </c>
      <c r="J99" s="119">
        <f t="shared" si="320"/>
        <v>14.629848834740134</v>
      </c>
      <c r="K99" s="119">
        <f t="shared" si="320"/>
        <v>18</v>
      </c>
      <c r="L99" s="119">
        <f t="shared" si="320"/>
        <v>29.5</v>
      </c>
      <c r="M99" s="119">
        <f t="shared" si="320"/>
        <v>40</v>
      </c>
      <c r="O99" s="55">
        <f>O85-O97-O98</f>
        <v>94.455555555555549</v>
      </c>
      <c r="P99" s="55">
        <f t="shared" ref="P99:BF99" si="323">P85-P97-P98</f>
        <v>104.8901098901099</v>
      </c>
      <c r="Q99" s="55">
        <f t="shared" si="323"/>
        <v>121.2608695652174</v>
      </c>
      <c r="R99" s="55">
        <f t="shared" si="323"/>
        <v>124.88043478260869</v>
      </c>
      <c r="S99" s="55">
        <f t="shared" si="323"/>
        <v>121.17777777777778</v>
      </c>
      <c r="T99" s="55">
        <f t="shared" si="323"/>
        <v>95.263736263736263</v>
      </c>
      <c r="U99" s="55">
        <f t="shared" si="323"/>
        <v>97.413043478260875</v>
      </c>
      <c r="V99" s="55">
        <f t="shared" si="323"/>
        <v>107.91304347826087</v>
      </c>
      <c r="W99" s="55">
        <f t="shared" si="323"/>
        <v>106.47252747252747</v>
      </c>
      <c r="X99" s="55">
        <f t="shared" si="323"/>
        <v>71.087912087912088</v>
      </c>
      <c r="Y99" s="55">
        <f t="shared" si="323"/>
        <v>75.315217391304344</v>
      </c>
      <c r="Z99" s="55">
        <f t="shared" si="323"/>
        <v>73.760869565217405</v>
      </c>
      <c r="AA99" s="55">
        <f t="shared" si="323"/>
        <v>75.922222222222217</v>
      </c>
      <c r="AB99" s="55">
        <f t="shared" si="323"/>
        <v>69.318681318681314</v>
      </c>
      <c r="AC99" s="55">
        <f t="shared" si="323"/>
        <v>66.586956521739125</v>
      </c>
      <c r="AD99" s="55">
        <f t="shared" si="323"/>
        <v>74.489130434782595</v>
      </c>
      <c r="AE99" s="55">
        <f t="shared" si="323"/>
        <v>78.377777777777766</v>
      </c>
      <c r="AF99" s="55">
        <f t="shared" si="323"/>
        <v>66.989010989010978</v>
      </c>
      <c r="AG99" s="55">
        <f t="shared" si="323"/>
        <v>69.304347826086968</v>
      </c>
      <c r="AH99" s="55">
        <f t="shared" si="323"/>
        <v>61.90217391304347</v>
      </c>
      <c r="AI99" s="55">
        <f t="shared" si="323"/>
        <v>39.444444444444457</v>
      </c>
      <c r="AJ99" s="55">
        <f t="shared" si="323"/>
        <v>21.197802197802204</v>
      </c>
      <c r="AK99" s="55">
        <f t="shared" si="323"/>
        <v>20.423913043478265</v>
      </c>
      <c r="AL99" s="55">
        <f t="shared" si="323"/>
        <v>9.6956521739130466</v>
      </c>
      <c r="AM99" s="55">
        <f t="shared" si="323"/>
        <v>5.1538461538461604</v>
      </c>
      <c r="AN99" s="55">
        <f t="shared" si="323"/>
        <v>0.9010989010988979</v>
      </c>
      <c r="AO99" s="55">
        <f t="shared" si="323"/>
        <v>2.4673913043478279</v>
      </c>
      <c r="AP99" s="55">
        <f t="shared" si="323"/>
        <v>2.3478260869565162</v>
      </c>
      <c r="AQ99" s="55">
        <f t="shared" si="323"/>
        <v>2.1888888888888829</v>
      </c>
      <c r="AR99" s="55">
        <f t="shared" si="323"/>
        <v>21.406593406593402</v>
      </c>
      <c r="AS99" s="55">
        <f t="shared" si="323"/>
        <v>19.315217391304344</v>
      </c>
      <c r="AT99" s="55">
        <f t="shared" ref="AT99" si="324">AT85-AT97-AT98</f>
        <v>15.608695652173907</v>
      </c>
      <c r="AU99" s="55">
        <f t="shared" si="323"/>
        <v>17</v>
      </c>
      <c r="AV99" s="55">
        <f t="shared" si="323"/>
        <v>17</v>
      </c>
      <c r="AW99" s="55">
        <f t="shared" si="323"/>
        <v>18</v>
      </c>
      <c r="AX99" s="55">
        <f t="shared" si="323"/>
        <v>20</v>
      </c>
      <c r="AY99" s="55">
        <f t="shared" si="323"/>
        <v>24</v>
      </c>
      <c r="AZ99" s="55">
        <f t="shared" si="323"/>
        <v>28</v>
      </c>
      <c r="BA99" s="55">
        <f t="shared" si="323"/>
        <v>31</v>
      </c>
      <c r="BB99" s="55">
        <f t="shared" si="323"/>
        <v>35</v>
      </c>
      <c r="BC99" s="55">
        <f t="shared" si="323"/>
        <v>40</v>
      </c>
      <c r="BD99" s="55">
        <f t="shared" si="323"/>
        <v>40</v>
      </c>
      <c r="BE99" s="55">
        <f t="shared" si="323"/>
        <v>40</v>
      </c>
      <c r="BF99" s="55">
        <f t="shared" si="323"/>
        <v>40</v>
      </c>
      <c r="BI99">
        <f t="shared" si="278"/>
        <v>92</v>
      </c>
    </row>
    <row r="100" spans="2:61" hidden="1" outlineLevel="2">
      <c r="B100" s="8" t="s">
        <v>100</v>
      </c>
      <c r="C100" s="119">
        <f t="shared" si="320"/>
        <v>167.62174244837286</v>
      </c>
      <c r="D100" s="119">
        <f t="shared" si="320"/>
        <v>215.69190024950896</v>
      </c>
      <c r="E100" s="119">
        <f t="shared" si="320"/>
        <v>220.90913162924033</v>
      </c>
      <c r="F100" s="119">
        <f t="shared" si="320"/>
        <v>191.57924762435633</v>
      </c>
      <c r="G100" s="119">
        <f t="shared" si="320"/>
        <v>210.89332762647982</v>
      </c>
      <c r="H100" s="119">
        <f t="shared" si="320"/>
        <v>123.9404529649095</v>
      </c>
      <c r="I100" s="119">
        <f t="shared" si="320"/>
        <v>64.467540611562342</v>
      </c>
      <c r="J100" s="119">
        <f t="shared" si="320"/>
        <v>137.87984883474013</v>
      </c>
      <c r="K100" s="119">
        <f t="shared" si="320"/>
        <v>180.25</v>
      </c>
      <c r="L100" s="119">
        <f t="shared" si="320"/>
        <v>209.5</v>
      </c>
      <c r="M100" s="119">
        <f t="shared" si="320"/>
        <v>231</v>
      </c>
      <c r="O100" s="55">
        <f>SUM(O97:O99)</f>
        <v>142.45555555555555</v>
      </c>
      <c r="P100" s="55">
        <f t="shared" ref="P100:BF100" si="325">SUM(P97:P99)</f>
        <v>155.8901098901099</v>
      </c>
      <c r="Q100" s="55">
        <f t="shared" si="325"/>
        <v>178.2608695652174</v>
      </c>
      <c r="R100" s="55">
        <f t="shared" si="325"/>
        <v>193.88043478260869</v>
      </c>
      <c r="S100" s="55">
        <f t="shared" si="325"/>
        <v>207.17777777777778</v>
      </c>
      <c r="T100" s="55">
        <f t="shared" si="325"/>
        <v>202.26373626373626</v>
      </c>
      <c r="U100" s="55">
        <f t="shared" si="325"/>
        <v>221.41304347826087</v>
      </c>
      <c r="V100" s="55">
        <f t="shared" si="325"/>
        <v>231.91304347826087</v>
      </c>
      <c r="W100" s="55">
        <f t="shared" si="325"/>
        <v>237.47252747252747</v>
      </c>
      <c r="X100" s="55">
        <f t="shared" si="325"/>
        <v>224.08791208791209</v>
      </c>
      <c r="Y100" s="55">
        <f t="shared" si="325"/>
        <v>216.31521739130434</v>
      </c>
      <c r="Z100" s="55">
        <f t="shared" si="325"/>
        <v>205.7608695652174</v>
      </c>
      <c r="AA100" s="55">
        <f t="shared" si="325"/>
        <v>198.92222222222222</v>
      </c>
      <c r="AB100" s="55">
        <f t="shared" si="325"/>
        <v>185.31868131868131</v>
      </c>
      <c r="AC100" s="55">
        <f t="shared" si="325"/>
        <v>189.58695652173913</v>
      </c>
      <c r="AD100" s="55">
        <f t="shared" si="325"/>
        <v>192.4891304347826</v>
      </c>
      <c r="AE100" s="55">
        <f t="shared" si="325"/>
        <v>202.37777777777777</v>
      </c>
      <c r="AF100" s="55">
        <f t="shared" si="325"/>
        <v>203.98901098901098</v>
      </c>
      <c r="AG100" s="55">
        <f t="shared" si="325"/>
        <v>218.30434782608697</v>
      </c>
      <c r="AH100" s="55">
        <f t="shared" si="325"/>
        <v>218.90217391304347</v>
      </c>
      <c r="AI100" s="55">
        <f t="shared" si="325"/>
        <v>172.44444444444446</v>
      </c>
      <c r="AJ100" s="55">
        <f t="shared" si="325"/>
        <v>123.1978021978022</v>
      </c>
      <c r="AK100" s="55">
        <f t="shared" si="325"/>
        <v>109.42391304347827</v>
      </c>
      <c r="AL100" s="55">
        <f t="shared" si="325"/>
        <v>90.695652173913047</v>
      </c>
      <c r="AM100" s="55">
        <f t="shared" si="325"/>
        <v>73.15384615384616</v>
      </c>
      <c r="AN100" s="55">
        <f t="shared" si="325"/>
        <v>54.901098901098898</v>
      </c>
      <c r="AO100" s="55">
        <f t="shared" si="325"/>
        <v>61.467391304347828</v>
      </c>
      <c r="AP100" s="55">
        <f t="shared" si="325"/>
        <v>68.347826086956516</v>
      </c>
      <c r="AQ100" s="55">
        <f t="shared" si="325"/>
        <v>83.188888888888883</v>
      </c>
      <c r="AR100" s="55">
        <f t="shared" si="325"/>
        <v>146.4065934065934</v>
      </c>
      <c r="AS100" s="55">
        <f t="shared" si="325"/>
        <v>161.31521739130434</v>
      </c>
      <c r="AT100" s="55">
        <f t="shared" ref="AT100" si="326">SUM(AT97:AT99)</f>
        <v>160.60869565217391</v>
      </c>
      <c r="AU100" s="55">
        <f t="shared" si="325"/>
        <v>169</v>
      </c>
      <c r="AV100" s="55">
        <f t="shared" si="325"/>
        <v>179</v>
      </c>
      <c r="AW100" s="55">
        <f t="shared" si="325"/>
        <v>183</v>
      </c>
      <c r="AX100" s="55">
        <f t="shared" si="325"/>
        <v>190</v>
      </c>
      <c r="AY100" s="55">
        <f t="shared" si="325"/>
        <v>198</v>
      </c>
      <c r="AZ100" s="55">
        <f t="shared" si="325"/>
        <v>206</v>
      </c>
      <c r="BA100" s="55">
        <f t="shared" si="325"/>
        <v>213</v>
      </c>
      <c r="BB100" s="55">
        <f t="shared" si="325"/>
        <v>221</v>
      </c>
      <c r="BC100" s="55">
        <f t="shared" si="325"/>
        <v>228</v>
      </c>
      <c r="BD100" s="55">
        <f t="shared" si="325"/>
        <v>230</v>
      </c>
      <c r="BE100" s="55">
        <f t="shared" si="325"/>
        <v>232</v>
      </c>
      <c r="BF100" s="55">
        <f t="shared" si="325"/>
        <v>234</v>
      </c>
      <c r="BI100">
        <f t="shared" si="278"/>
        <v>93</v>
      </c>
    </row>
    <row r="101" spans="2:61" hidden="1" outlineLevel="2">
      <c r="C101"/>
      <c r="D101"/>
      <c r="E101"/>
      <c r="F101"/>
      <c r="G101"/>
      <c r="H101"/>
      <c r="I101"/>
      <c r="J101"/>
      <c r="K101"/>
      <c r="L101"/>
      <c r="M101"/>
      <c r="BI101">
        <f t="shared" si="278"/>
        <v>94</v>
      </c>
    </row>
    <row r="102" spans="2:61" hidden="1" outlineLevel="2">
      <c r="B102" s="8" t="s">
        <v>107</v>
      </c>
      <c r="C102" s="76"/>
      <c r="D102" s="76"/>
      <c r="E102" s="76"/>
      <c r="F102" s="76"/>
      <c r="G102" s="55">
        <f>IFERROR(SUMPRODUCT(($O102:$BG102)*($O97:$BG97)*($O$5:$BG$5=G$5))/SUMIFS($O97:$BG97,$O$5:$BG$5,G$5),"NM")</f>
        <v>26000</v>
      </c>
      <c r="H102" s="55">
        <f t="shared" ref="H102:M102" si="327">IFERROR(SUMPRODUCT(($O102:$BG102)*($O97:$BG97)*($O$5:$BG$5=H$5))/SUMIFS($O97:$BG97,$O$5:$BG$5,H$5),"NM")</f>
        <v>25527.179487179488</v>
      </c>
      <c r="I102" s="55">
        <f t="shared" si="327"/>
        <v>23930.208333333332</v>
      </c>
      <c r="J102" s="55">
        <f t="shared" si="327"/>
        <v>22903.88349514563</v>
      </c>
      <c r="K102" s="55">
        <f t="shared" si="327"/>
        <v>23315.225563909775</v>
      </c>
      <c r="L102" s="55">
        <f t="shared" si="327"/>
        <v>24735.294117647059</v>
      </c>
      <c r="M102" s="55" t="str">
        <f t="shared" si="327"/>
        <v>NM</v>
      </c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57">
        <v>26000</v>
      </c>
      <c r="AF102" s="57">
        <v>26000</v>
      </c>
      <c r="AG102" s="57">
        <v>26000</v>
      </c>
      <c r="AH102" s="57">
        <v>26000</v>
      </c>
      <c r="AI102" s="57">
        <v>26000</v>
      </c>
      <c r="AJ102" s="57">
        <v>26000</v>
      </c>
      <c r="AK102" s="60">
        <v>25000</v>
      </c>
      <c r="AL102" s="60">
        <v>24600</v>
      </c>
      <c r="AM102" s="60">
        <v>24000</v>
      </c>
      <c r="AN102" s="60">
        <v>23450</v>
      </c>
      <c r="AO102" s="60">
        <v>23750</v>
      </c>
      <c r="AP102" s="57">
        <v>24500</v>
      </c>
      <c r="AQ102" s="57">
        <v>24800</v>
      </c>
      <c r="AR102" s="57">
        <v>22750</v>
      </c>
      <c r="AS102" s="57">
        <v>22250</v>
      </c>
      <c r="AT102" s="95">
        <v>22800</v>
      </c>
      <c r="AU102" s="58">
        <v>22975</v>
      </c>
      <c r="AV102" s="58">
        <v>23250</v>
      </c>
      <c r="AW102" s="58">
        <v>23500</v>
      </c>
      <c r="AX102" s="58">
        <v>24000</v>
      </c>
      <c r="AY102" s="58">
        <v>24500</v>
      </c>
      <c r="AZ102" s="58">
        <v>25000</v>
      </c>
      <c r="BA102" s="58">
        <v>25000</v>
      </c>
      <c r="BB102" s="58">
        <v>25000</v>
      </c>
      <c r="BC102" s="58">
        <v>25000</v>
      </c>
      <c r="BD102" s="58">
        <v>25000</v>
      </c>
      <c r="BE102" s="58">
        <v>25000</v>
      </c>
      <c r="BF102" s="58">
        <v>25000</v>
      </c>
      <c r="BI102">
        <f t="shared" si="278"/>
        <v>95</v>
      </c>
    </row>
    <row r="103" spans="2:61" hidden="1" outlineLevel="2">
      <c r="B103" s="8" t="s">
        <v>108</v>
      </c>
      <c r="C103" s="76"/>
      <c r="D103" s="76"/>
      <c r="E103" s="76"/>
      <c r="F103" s="76"/>
      <c r="G103" s="55" t="str">
        <f t="shared" ref="G103:M103" si="328">IFERROR(SUMPRODUCT(($O103:$BG103)*($O98:$BG98)*($O$5:$BG$5=G$5))/SUMIFS($O98:$BG98,$O$5:$BG$5,G$5),"NM")</f>
        <v>NM</v>
      </c>
      <c r="H103" s="55">
        <f t="shared" si="328"/>
        <v>19400</v>
      </c>
      <c r="I103" s="55">
        <f t="shared" si="328"/>
        <v>16613.636363636364</v>
      </c>
      <c r="J103" s="55">
        <f t="shared" si="328"/>
        <v>18317.934782608696</v>
      </c>
      <c r="K103" s="55">
        <f t="shared" si="328"/>
        <v>21186.684073107048</v>
      </c>
      <c r="L103" s="55">
        <f t="shared" si="328"/>
        <v>23025.037369207774</v>
      </c>
      <c r="M103" s="55">
        <f t="shared" si="328"/>
        <v>23250</v>
      </c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57">
        <v>26000</v>
      </c>
      <c r="AF103" s="57">
        <v>26000</v>
      </c>
      <c r="AG103" s="57">
        <v>26000</v>
      </c>
      <c r="AH103" s="57">
        <v>26000</v>
      </c>
      <c r="AI103" s="57">
        <v>23000</v>
      </c>
      <c r="AJ103" s="57">
        <v>21000</v>
      </c>
      <c r="AK103" s="57">
        <v>20000</v>
      </c>
      <c r="AL103" s="57">
        <v>19000</v>
      </c>
      <c r="AM103" s="57">
        <v>18000</v>
      </c>
      <c r="AN103" s="57">
        <v>16750</v>
      </c>
      <c r="AO103" s="57">
        <v>16000</v>
      </c>
      <c r="AP103" s="57">
        <v>16500</v>
      </c>
      <c r="AQ103" s="57">
        <v>17250</v>
      </c>
      <c r="AR103" s="57">
        <v>17750</v>
      </c>
      <c r="AS103" s="57">
        <v>18500</v>
      </c>
      <c r="AT103" s="95">
        <v>19250</v>
      </c>
      <c r="AU103" s="58">
        <v>19750</v>
      </c>
      <c r="AV103" s="58">
        <v>20500</v>
      </c>
      <c r="AW103" s="58">
        <v>21500</v>
      </c>
      <c r="AX103" s="58">
        <v>22000</v>
      </c>
      <c r="AY103" s="58">
        <f>+AX103+500</f>
        <v>22500</v>
      </c>
      <c r="AZ103" s="58">
        <f>+AY103+500</f>
        <v>23000</v>
      </c>
      <c r="BA103" s="58">
        <f>+AZ103+250</f>
        <v>23250</v>
      </c>
      <c r="BB103" s="58">
        <f>BA103</f>
        <v>23250</v>
      </c>
      <c r="BC103" s="58">
        <f t="shared" ref="BC103:BF103" si="329">BB103</f>
        <v>23250</v>
      </c>
      <c r="BD103" s="58">
        <f t="shared" si="329"/>
        <v>23250</v>
      </c>
      <c r="BE103" s="58">
        <f t="shared" si="329"/>
        <v>23250</v>
      </c>
      <c r="BF103" s="58">
        <f t="shared" si="329"/>
        <v>23250</v>
      </c>
      <c r="BI103">
        <f t="shared" si="278"/>
        <v>96</v>
      </c>
    </row>
    <row r="104" spans="2:61" hidden="1" outlineLevel="2">
      <c r="B104" s="8" t="s">
        <v>109</v>
      </c>
      <c r="C104" s="77"/>
      <c r="D104" s="77"/>
      <c r="E104" s="77"/>
      <c r="F104" s="77"/>
      <c r="G104" s="55">
        <f t="shared" ref="G104:M104" si="330">IFERROR(SUMPRODUCT(($O104:$BG104)*($O99:$BG99)*($O$5:$BG$5=G$5))/SUMIFS($O99:$BG99,$O$5:$BG$5,G$5),"NM")</f>
        <v>19526.629682538707</v>
      </c>
      <c r="H104" s="55">
        <f t="shared" si="330"/>
        <v>18359.74826286962</v>
      </c>
      <c r="I104" s="55">
        <f t="shared" si="330"/>
        <v>15216.777100159297</v>
      </c>
      <c r="J104" s="55">
        <f t="shared" si="330"/>
        <v>15849.620964178743</v>
      </c>
      <c r="K104" s="55">
        <f t="shared" si="330"/>
        <v>17739.583333333332</v>
      </c>
      <c r="L104" s="55">
        <f t="shared" si="330"/>
        <v>19788.135593220341</v>
      </c>
      <c r="M104" s="55">
        <f t="shared" si="330"/>
        <v>20000</v>
      </c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55">
        <f t="shared" ref="AE104" si="331">(AE105*AE100-(AE102*AE97+AE98*AE103))/AE99</f>
        <v>19243.407995463574</v>
      </c>
      <c r="AF104" s="55">
        <f t="shared" ref="AF104" si="332">(AF105*AF100-(AF102*AF97+AF98*AF103))/AF99</f>
        <v>18773.129921259846</v>
      </c>
      <c r="AG104" s="55">
        <f t="shared" ref="AG104" si="333">(AG105*AG100-(AG102*AG97+AG98*AG103))/AG99</f>
        <v>19730.865746549567</v>
      </c>
      <c r="AH104" s="55">
        <f t="shared" ref="AH104:AR104" si="334">(AH105*AH100-(AH102*AH97+AH98*AH103))/AH99</f>
        <v>20471.992976294991</v>
      </c>
      <c r="AI104" s="55">
        <f t="shared" si="334"/>
        <v>20975.774647887323</v>
      </c>
      <c r="AJ104" s="55">
        <f t="shared" si="334"/>
        <v>16508.035251425616</v>
      </c>
      <c r="AK104" s="55">
        <f t="shared" si="334"/>
        <v>15996.27461415646</v>
      </c>
      <c r="AL104" s="55">
        <f t="shared" si="334"/>
        <v>16744.170403587443</v>
      </c>
      <c r="AM104" s="55">
        <f t="shared" si="334"/>
        <v>15336.886993603359</v>
      </c>
      <c r="AN104" s="55">
        <f t="shared" si="334"/>
        <v>15724.390243902217</v>
      </c>
      <c r="AO104" s="55">
        <f t="shared" si="334"/>
        <v>15911.894273127795</v>
      </c>
      <c r="AP104" s="55">
        <f t="shared" si="334"/>
        <v>14027.777777777772</v>
      </c>
      <c r="AQ104" s="55">
        <f t="shared" si="334"/>
        <v>15621.827411167578</v>
      </c>
      <c r="AR104" s="55">
        <f t="shared" si="334"/>
        <v>15392.582135523604</v>
      </c>
      <c r="AS104" s="55">
        <f>(AS105*AS100-(AS102*AS97+AS98*AS103))/AS99</f>
        <v>15475.520540236374</v>
      </c>
      <c r="AT104" s="55">
        <f>(AT105*AT100-(AT102*AT97+AT98*AT103))/AT99</f>
        <v>16971.309192200562</v>
      </c>
      <c r="AU104" s="58">
        <v>16500</v>
      </c>
      <c r="AV104" s="58">
        <f>+AU104-AU103+AV103</f>
        <v>17250</v>
      </c>
      <c r="AW104" s="58">
        <f t="shared" ref="AW104:BF104" si="335">+AV104-AV103+AW103</f>
        <v>18250</v>
      </c>
      <c r="AX104" s="58">
        <f t="shared" si="335"/>
        <v>18750</v>
      </c>
      <c r="AY104" s="58">
        <f t="shared" si="335"/>
        <v>19250</v>
      </c>
      <c r="AZ104" s="58">
        <f t="shared" si="335"/>
        <v>19750</v>
      </c>
      <c r="BA104" s="58">
        <f t="shared" si="335"/>
        <v>20000</v>
      </c>
      <c r="BB104" s="58">
        <f t="shared" si="335"/>
        <v>20000</v>
      </c>
      <c r="BC104" s="58">
        <f t="shared" si="335"/>
        <v>20000</v>
      </c>
      <c r="BD104" s="58">
        <f t="shared" si="335"/>
        <v>20000</v>
      </c>
      <c r="BE104" s="58">
        <f t="shared" si="335"/>
        <v>20000</v>
      </c>
      <c r="BF104" s="58">
        <f t="shared" si="335"/>
        <v>20000</v>
      </c>
      <c r="BI104">
        <f t="shared" si="278"/>
        <v>97</v>
      </c>
    </row>
    <row r="105" spans="2:61" hidden="1" outlineLevel="2">
      <c r="B105" s="8" t="s">
        <v>82</v>
      </c>
      <c r="C105" s="55">
        <f t="shared" ref="C105:M105" si="336">C116*1000000/C$86</f>
        <v>17665.371301678537</v>
      </c>
      <c r="D105" s="55">
        <f t="shared" si="336"/>
        <v>21198.875034917088</v>
      </c>
      <c r="E105" s="55">
        <f t="shared" si="336"/>
        <v>22536.748605148889</v>
      </c>
      <c r="F105" s="55">
        <f t="shared" si="336"/>
        <v>23090.506021339283</v>
      </c>
      <c r="G105" s="55">
        <f t="shared" si="336"/>
        <v>23880.909090909096</v>
      </c>
      <c r="H105" s="55">
        <f t="shared" si="336"/>
        <v>24022.528908776749</v>
      </c>
      <c r="I105" s="55">
        <f t="shared" si="336"/>
        <v>21999.915239871163</v>
      </c>
      <c r="J105" s="55">
        <f t="shared" si="336"/>
        <v>20624.526543320044</v>
      </c>
      <c r="K105" s="55">
        <f t="shared" si="336"/>
        <v>21630.426194636482</v>
      </c>
      <c r="L105" s="55">
        <f t="shared" si="336"/>
        <v>22674.719585849871</v>
      </c>
      <c r="M105" s="55">
        <f t="shared" si="336"/>
        <v>22687.25606150207</v>
      </c>
      <c r="O105" s="55">
        <f t="shared" ref="O105:AR105" si="337">O116*1000000/O$86</f>
        <v>16437.485375555731</v>
      </c>
      <c r="P105" s="55">
        <f t="shared" si="337"/>
        <v>16915.691526857467</v>
      </c>
      <c r="Q105" s="55">
        <f t="shared" si="337"/>
        <v>17729.207317073171</v>
      </c>
      <c r="R105" s="55">
        <f t="shared" si="337"/>
        <v>19085.496439984301</v>
      </c>
      <c r="S105" s="55">
        <f t="shared" si="337"/>
        <v>20238.013514962993</v>
      </c>
      <c r="T105" s="55">
        <f t="shared" si="337"/>
        <v>20997.446484841901</v>
      </c>
      <c r="U105" s="55">
        <f t="shared" si="337"/>
        <v>21444.624447717229</v>
      </c>
      <c r="V105" s="55">
        <f t="shared" si="337"/>
        <v>21977.737157855267</v>
      </c>
      <c r="W105" s="55">
        <f t="shared" si="337"/>
        <v>22650.717260527534</v>
      </c>
      <c r="X105" s="55">
        <f t="shared" si="337"/>
        <v>22570.076500588468</v>
      </c>
      <c r="Y105" s="55">
        <f t="shared" si="337"/>
        <v>22447.866941359731</v>
      </c>
      <c r="Z105" s="55">
        <f t="shared" si="337"/>
        <v>22464.183835182252</v>
      </c>
      <c r="AA105" s="55">
        <f t="shared" si="337"/>
        <v>23409.149304585822</v>
      </c>
      <c r="AB105" s="55">
        <f t="shared" si="337"/>
        <v>23124.940702087286</v>
      </c>
      <c r="AC105" s="55">
        <f t="shared" si="337"/>
        <v>22650.556128884298</v>
      </c>
      <c r="AD105" s="55">
        <f t="shared" si="337"/>
        <v>23168.897170930031</v>
      </c>
      <c r="AE105" s="55">
        <f t="shared" si="337"/>
        <v>23383.276600417263</v>
      </c>
      <c r="AF105" s="55">
        <f t="shared" si="337"/>
        <v>23626.730593115339</v>
      </c>
      <c r="AG105" s="55">
        <f t="shared" si="337"/>
        <v>24009.759012148974</v>
      </c>
      <c r="AH105" s="55">
        <f t="shared" si="337"/>
        <v>24436.764486816624</v>
      </c>
      <c r="AI105" s="55">
        <f t="shared" si="337"/>
        <v>24850.773195876289</v>
      </c>
      <c r="AJ105" s="55">
        <f t="shared" si="337"/>
        <v>24326.197484613327</v>
      </c>
      <c r="AK105" s="55">
        <f t="shared" si="337"/>
        <v>23136.684215754445</v>
      </c>
      <c r="AL105" s="55">
        <f t="shared" si="337"/>
        <v>23142.737296260788</v>
      </c>
      <c r="AM105" s="55">
        <f t="shared" si="337"/>
        <v>22815.532522157122</v>
      </c>
      <c r="AN105" s="55">
        <f t="shared" si="337"/>
        <v>21980.78462770216</v>
      </c>
      <c r="AO105" s="55">
        <f t="shared" si="337"/>
        <v>21670.203359858533</v>
      </c>
      <c r="AP105" s="55">
        <f t="shared" si="337"/>
        <v>21448.155216284988</v>
      </c>
      <c r="AQ105" s="55">
        <f t="shared" si="337"/>
        <v>21200.480833444639</v>
      </c>
      <c r="AR105" s="55">
        <f t="shared" si="337"/>
        <v>20274.0373789687</v>
      </c>
      <c r="AS105" s="55">
        <f>AS116*1000000/AS$86</f>
        <v>20323.02405498282</v>
      </c>
      <c r="AT105" s="55">
        <f>AT116*1000000/AT$86</f>
        <v>20951.543042772064</v>
      </c>
      <c r="AU105" s="55">
        <f t="shared" ref="AU105:BF105" si="338">SUMPRODUCT(AU102:AU104,AU97:AU99)/AU100</f>
        <v>21255.029585798817</v>
      </c>
      <c r="AV105" s="55">
        <f t="shared" si="338"/>
        <v>21343.575418994413</v>
      </c>
      <c r="AW105" s="55">
        <f t="shared" si="338"/>
        <v>21781.420765027324</v>
      </c>
      <c r="AX105" s="55">
        <f t="shared" si="338"/>
        <v>22078.947368421053</v>
      </c>
      <c r="AY105" s="55">
        <f t="shared" si="338"/>
        <v>22378.78787878788</v>
      </c>
      <c r="AZ105" s="55">
        <f t="shared" si="338"/>
        <v>22723.300970873788</v>
      </c>
      <c r="BA105" s="55">
        <f t="shared" si="338"/>
        <v>22834.507042253521</v>
      </c>
      <c r="BB105" s="55">
        <f t="shared" si="338"/>
        <v>22735.294117647059</v>
      </c>
      <c r="BC105" s="55">
        <f t="shared" si="338"/>
        <v>22679.824561403508</v>
      </c>
      <c r="BD105" s="55">
        <f t="shared" si="338"/>
        <v>22684.782608695652</v>
      </c>
      <c r="BE105" s="55">
        <f t="shared" si="338"/>
        <v>22689.655172413793</v>
      </c>
      <c r="BF105" s="55">
        <f t="shared" si="338"/>
        <v>22694.444444444445</v>
      </c>
      <c r="BI105">
        <f t="shared" si="278"/>
        <v>98</v>
      </c>
    </row>
    <row r="106" spans="2:61" hidden="1" outlineLevel="2">
      <c r="B106" s="8" t="s">
        <v>83</v>
      </c>
      <c r="C106" s="55">
        <f t="shared" ref="C106:M106" si="339">-C117*1000000/C$86</f>
        <v>10705.995689373653</v>
      </c>
      <c r="D106" s="55">
        <f t="shared" si="339"/>
        <v>12296.884126057033</v>
      </c>
      <c r="E106" s="55">
        <f t="shared" si="339"/>
        <v>13305.09816535326</v>
      </c>
      <c r="F106" s="55">
        <f t="shared" si="339"/>
        <v>13855.573672015787</v>
      </c>
      <c r="G106" s="55">
        <f t="shared" si="339"/>
        <v>13852.714285714288</v>
      </c>
      <c r="H106" s="55">
        <f t="shared" si="339"/>
        <v>13487.395330291081</v>
      </c>
      <c r="I106" s="55">
        <f t="shared" si="339"/>
        <v>12959.993219189693</v>
      </c>
      <c r="J106" s="55">
        <f t="shared" si="339"/>
        <v>13229.123287127928</v>
      </c>
      <c r="K106" s="55">
        <f t="shared" si="339"/>
        <v>13356.455215376434</v>
      </c>
      <c r="L106" s="55">
        <f t="shared" si="339"/>
        <v>13249.999999999998</v>
      </c>
      <c r="M106" s="55">
        <f t="shared" si="339"/>
        <v>13250</v>
      </c>
      <c r="O106" s="55">
        <f t="shared" ref="O106:AR106" si="340">-O117*1000000/O$86</f>
        <v>10540.987442477186</v>
      </c>
      <c r="P106" s="55">
        <f t="shared" si="340"/>
        <v>10524.672212040039</v>
      </c>
      <c r="Q106" s="55">
        <f t="shared" si="340"/>
        <v>10670.670731707318</v>
      </c>
      <c r="R106" s="55">
        <f t="shared" si="340"/>
        <v>11001.289454504682</v>
      </c>
      <c r="S106" s="55">
        <f t="shared" si="340"/>
        <v>11729.003539633166</v>
      </c>
      <c r="T106" s="55">
        <f t="shared" si="340"/>
        <v>11884.928827556232</v>
      </c>
      <c r="U106" s="55">
        <f t="shared" si="340"/>
        <v>12769.661266568482</v>
      </c>
      <c r="V106" s="55">
        <f t="shared" si="340"/>
        <v>12697.17847769029</v>
      </c>
      <c r="W106" s="55">
        <f t="shared" si="340"/>
        <v>13079.546506247108</v>
      </c>
      <c r="X106" s="55">
        <f t="shared" si="340"/>
        <v>13373.872106708513</v>
      </c>
      <c r="Y106" s="55">
        <f t="shared" si="340"/>
        <v>13343.148585498215</v>
      </c>
      <c r="Z106" s="55">
        <f t="shared" si="340"/>
        <v>13448.494453248812</v>
      </c>
      <c r="AA106" s="55">
        <f t="shared" si="340"/>
        <v>13800.592079539741</v>
      </c>
      <c r="AB106" s="55">
        <f t="shared" si="340"/>
        <v>14394.449715370019</v>
      </c>
      <c r="AC106" s="55">
        <f t="shared" si="340"/>
        <v>13746.588693957116</v>
      </c>
      <c r="AD106" s="55">
        <f t="shared" si="340"/>
        <v>13505.336269693376</v>
      </c>
      <c r="AE106" s="55">
        <f t="shared" si="340"/>
        <v>13783.847589766114</v>
      </c>
      <c r="AF106" s="55">
        <f t="shared" si="340"/>
        <v>13754.134568765825</v>
      </c>
      <c r="AG106" s="55">
        <f t="shared" si="340"/>
        <v>13851.573391754631</v>
      </c>
      <c r="AH106" s="55">
        <f t="shared" si="340"/>
        <v>14007.001340682258</v>
      </c>
      <c r="AI106" s="55">
        <f t="shared" si="340"/>
        <v>13711.984536082475</v>
      </c>
      <c r="AJ106" s="55">
        <f t="shared" si="340"/>
        <v>13722.950673445723</v>
      </c>
      <c r="AK106" s="55">
        <f t="shared" si="340"/>
        <v>13580.808582497268</v>
      </c>
      <c r="AL106" s="55">
        <f t="shared" si="340"/>
        <v>12640.46021093001</v>
      </c>
      <c r="AM106" s="55">
        <f t="shared" si="340"/>
        <v>12152.32086525462</v>
      </c>
      <c r="AN106" s="55">
        <f t="shared" si="340"/>
        <v>12770.816653322658</v>
      </c>
      <c r="AO106" s="55">
        <f t="shared" si="340"/>
        <v>13177.188328912467</v>
      </c>
      <c r="AP106" s="55">
        <f t="shared" si="340"/>
        <v>13770.038167938932</v>
      </c>
      <c r="AQ106" s="55">
        <f t="shared" si="340"/>
        <v>14454.521170028049</v>
      </c>
      <c r="AR106" s="55">
        <f t="shared" si="340"/>
        <v>13559.858890640246</v>
      </c>
      <c r="AS106" s="55">
        <f>-AS117*1000000/AS$86</f>
        <v>12597.331716191631</v>
      </c>
      <c r="AT106" s="55">
        <f>-AT117*1000000/AT$86</f>
        <v>12944.572279371954</v>
      </c>
      <c r="AU106" s="58">
        <v>13550</v>
      </c>
      <c r="AV106" s="58">
        <v>13400</v>
      </c>
      <c r="AW106" s="58">
        <v>13250</v>
      </c>
      <c r="AX106" s="58">
        <v>13250</v>
      </c>
      <c r="AY106" s="58">
        <v>13250</v>
      </c>
      <c r="AZ106" s="58">
        <v>13250</v>
      </c>
      <c r="BA106" s="58">
        <v>13250</v>
      </c>
      <c r="BB106" s="58">
        <v>13250</v>
      </c>
      <c r="BC106" s="58">
        <v>13250</v>
      </c>
      <c r="BD106" s="58">
        <v>13250</v>
      </c>
      <c r="BE106" s="58">
        <v>13250</v>
      </c>
      <c r="BF106" s="58">
        <v>13250</v>
      </c>
      <c r="BI106">
        <f t="shared" si="278"/>
        <v>99</v>
      </c>
    </row>
    <row r="107" spans="2:61" hidden="1" outlineLevel="2">
      <c r="B107" s="8" t="s">
        <v>84</v>
      </c>
      <c r="C107" s="55">
        <f t="shared" ref="C107:M107" si="341">C118*1000000/C$86</f>
        <v>6959.3756123048788</v>
      </c>
      <c r="D107" s="55">
        <f t="shared" si="341"/>
        <v>8901.9909088600543</v>
      </c>
      <c r="E107" s="55">
        <f t="shared" si="341"/>
        <v>9231.6504397956287</v>
      </c>
      <c r="F107" s="55">
        <f t="shared" si="341"/>
        <v>9234.9323493234915</v>
      </c>
      <c r="G107" s="55">
        <f t="shared" si="341"/>
        <v>10028.194805194806</v>
      </c>
      <c r="H107" s="55">
        <f t="shared" si="341"/>
        <v>10535.133578485669</v>
      </c>
      <c r="I107" s="55">
        <f t="shared" si="341"/>
        <v>9039.9220206814734</v>
      </c>
      <c r="J107" s="55">
        <f t="shared" si="341"/>
        <v>7395.4032561921194</v>
      </c>
      <c r="K107" s="55">
        <f t="shared" si="341"/>
        <v>8273.9709792600479</v>
      </c>
      <c r="L107" s="55">
        <f t="shared" si="341"/>
        <v>9424.7195858498726</v>
      </c>
      <c r="M107" s="55">
        <f t="shared" si="341"/>
        <v>9437.256061502072</v>
      </c>
      <c r="O107" s="55">
        <f t="shared" ref="O107:AR107" si="342">O118*1000000/O$86</f>
        <v>5896.4979330785445</v>
      </c>
      <c r="P107" s="55">
        <f t="shared" si="342"/>
        <v>6391.0193148174267</v>
      </c>
      <c r="Q107" s="55">
        <f t="shared" si="342"/>
        <v>7058.536585365855</v>
      </c>
      <c r="R107" s="55">
        <f t="shared" si="342"/>
        <v>8084.2069854796209</v>
      </c>
      <c r="S107" s="55">
        <f t="shared" si="342"/>
        <v>8509.0099753298291</v>
      </c>
      <c r="T107" s="55">
        <f t="shared" si="342"/>
        <v>9112.5176572856672</v>
      </c>
      <c r="U107" s="55">
        <f t="shared" si="342"/>
        <v>8674.9631811487488</v>
      </c>
      <c r="V107" s="55">
        <f t="shared" si="342"/>
        <v>9280.5586801649788</v>
      </c>
      <c r="W107" s="55">
        <f t="shared" si="342"/>
        <v>9571.170754280427</v>
      </c>
      <c r="X107" s="55">
        <f t="shared" si="342"/>
        <v>9196.2043938799525</v>
      </c>
      <c r="Y107" s="55">
        <f t="shared" si="342"/>
        <v>9104.7183558615161</v>
      </c>
      <c r="Z107" s="55">
        <f t="shared" si="342"/>
        <v>9015.6893819334382</v>
      </c>
      <c r="AA107" s="55">
        <f t="shared" si="342"/>
        <v>9608.5572250460809</v>
      </c>
      <c r="AB107" s="55">
        <f t="shared" si="342"/>
        <v>8730.4909867172682</v>
      </c>
      <c r="AC107" s="55">
        <f t="shared" si="342"/>
        <v>8903.9674349271863</v>
      </c>
      <c r="AD107" s="55">
        <f t="shared" si="342"/>
        <v>9663.5609012366567</v>
      </c>
      <c r="AE107" s="55">
        <f t="shared" si="342"/>
        <v>9599.4290106511489</v>
      </c>
      <c r="AF107" s="55">
        <f t="shared" si="342"/>
        <v>9872.5960243495119</v>
      </c>
      <c r="AG107" s="55">
        <f t="shared" si="342"/>
        <v>10158.185620394344</v>
      </c>
      <c r="AH107" s="55">
        <f t="shared" si="342"/>
        <v>10429.763146134368</v>
      </c>
      <c r="AI107" s="55">
        <f t="shared" si="342"/>
        <v>11138.788659793816</v>
      </c>
      <c r="AJ107" s="55">
        <f t="shared" si="342"/>
        <v>10603.246811167603</v>
      </c>
      <c r="AK107" s="55">
        <f t="shared" si="342"/>
        <v>9555.8756332571793</v>
      </c>
      <c r="AL107" s="55">
        <f t="shared" si="342"/>
        <v>10502.277085330779</v>
      </c>
      <c r="AM107" s="55">
        <f t="shared" si="342"/>
        <v>10663.211656902506</v>
      </c>
      <c r="AN107" s="55">
        <f t="shared" si="342"/>
        <v>9209.9679743795059</v>
      </c>
      <c r="AO107" s="55">
        <f t="shared" si="342"/>
        <v>8493.015030946066</v>
      </c>
      <c r="AP107" s="55">
        <f t="shared" si="342"/>
        <v>7678.1170483460583</v>
      </c>
      <c r="AQ107" s="55">
        <f t="shared" si="342"/>
        <v>6745.95966341659</v>
      </c>
      <c r="AR107" s="55">
        <f t="shared" si="342"/>
        <v>6714.1784883284545</v>
      </c>
      <c r="AS107" s="55">
        <f>AS118*1000000/AS$86</f>
        <v>7725.6923387911856</v>
      </c>
      <c r="AT107" s="55">
        <f>AT118*1000000/AT$86</f>
        <v>8006.970763400107</v>
      </c>
      <c r="AU107" s="55">
        <f t="shared" ref="AU107:BF107" si="343">AU105-AU106</f>
        <v>7705.0295857988167</v>
      </c>
      <c r="AV107" s="55">
        <f t="shared" si="343"/>
        <v>7943.5754189944128</v>
      </c>
      <c r="AW107" s="55">
        <f t="shared" si="343"/>
        <v>8531.4207650273238</v>
      </c>
      <c r="AX107" s="55">
        <f t="shared" si="343"/>
        <v>8828.9473684210534</v>
      </c>
      <c r="AY107" s="55">
        <f t="shared" si="343"/>
        <v>9128.7878787878799</v>
      </c>
      <c r="AZ107" s="55">
        <f t="shared" si="343"/>
        <v>9473.3009708737882</v>
      </c>
      <c r="BA107" s="55">
        <f t="shared" si="343"/>
        <v>9584.5070422535209</v>
      </c>
      <c r="BB107" s="55">
        <f t="shared" si="343"/>
        <v>9485.2941176470595</v>
      </c>
      <c r="BC107" s="55">
        <f t="shared" si="343"/>
        <v>9429.8245614035077</v>
      </c>
      <c r="BD107" s="55">
        <f t="shared" si="343"/>
        <v>9434.782608695652</v>
      </c>
      <c r="BE107" s="55">
        <f t="shared" si="343"/>
        <v>9439.6551724137935</v>
      </c>
      <c r="BF107" s="55">
        <f t="shared" si="343"/>
        <v>9444.4444444444453</v>
      </c>
      <c r="BI107">
        <f t="shared" si="278"/>
        <v>100</v>
      </c>
    </row>
    <row r="108" spans="2:61" hidden="1" outlineLevel="2">
      <c r="C108"/>
      <c r="D108"/>
      <c r="E108"/>
      <c r="F108"/>
      <c r="G108"/>
      <c r="H108"/>
      <c r="I108"/>
      <c r="J108"/>
      <c r="K108"/>
      <c r="L108"/>
      <c r="M108"/>
      <c r="AV108" s="55"/>
      <c r="AW108" s="55"/>
      <c r="BI108">
        <f t="shared" si="278"/>
        <v>101</v>
      </c>
    </row>
    <row r="109" spans="2:61" hidden="1" outlineLevel="2">
      <c r="B109" s="8" t="s">
        <v>269</v>
      </c>
      <c r="C109" s="54">
        <f t="shared" ref="C109:M113" si="344">SUMIFS($O109:$BG109,$O$5:$BG$5,C$5)</f>
        <v>0</v>
      </c>
      <c r="D109" s="54">
        <f t="shared" si="344"/>
        <v>0</v>
      </c>
      <c r="E109" s="54">
        <f t="shared" si="344"/>
        <v>0</v>
      </c>
      <c r="F109" s="54">
        <f t="shared" si="344"/>
        <v>0</v>
      </c>
      <c r="G109" s="54">
        <f t="shared" si="344"/>
        <v>0</v>
      </c>
      <c r="H109" s="54">
        <f t="shared" si="344"/>
        <v>69.472999999999999</v>
      </c>
      <c r="I109" s="54">
        <f t="shared" si="344"/>
        <v>24.553000000000001</v>
      </c>
      <c r="J109" s="54">
        <f t="shared" si="344"/>
        <v>0</v>
      </c>
      <c r="K109" s="54">
        <f t="shared" si="344"/>
        <v>0</v>
      </c>
      <c r="L109" s="54">
        <f t="shared" si="344"/>
        <v>0</v>
      </c>
      <c r="M109" s="54">
        <f t="shared" si="344"/>
        <v>0</v>
      </c>
      <c r="O109" s="61">
        <v>0</v>
      </c>
      <c r="P109" s="61">
        <v>0</v>
      </c>
      <c r="Q109" s="61">
        <v>0</v>
      </c>
      <c r="R109" s="61">
        <v>0</v>
      </c>
      <c r="S109" s="61">
        <v>0</v>
      </c>
      <c r="T109" s="61">
        <v>0</v>
      </c>
      <c r="U109" s="61">
        <v>0</v>
      </c>
      <c r="V109" s="61">
        <v>0</v>
      </c>
      <c r="W109" s="61">
        <v>0</v>
      </c>
      <c r="X109" s="61">
        <v>0</v>
      </c>
      <c r="Y109" s="61">
        <v>0</v>
      </c>
      <c r="Z109" s="61">
        <v>0</v>
      </c>
      <c r="AA109" s="61">
        <v>0</v>
      </c>
      <c r="AB109" s="61">
        <v>0</v>
      </c>
      <c r="AC109" s="74">
        <v>0</v>
      </c>
      <c r="AD109" s="74">
        <v>0</v>
      </c>
      <c r="AE109" s="61">
        <v>0</v>
      </c>
      <c r="AF109" s="61">
        <v>0</v>
      </c>
      <c r="AG109" s="61">
        <v>0</v>
      </c>
      <c r="AH109" s="61">
        <v>0</v>
      </c>
      <c r="AI109" s="61">
        <v>15.8</v>
      </c>
      <c r="AJ109" s="61">
        <v>15.6</v>
      </c>
      <c r="AK109" s="61">
        <v>28.9</v>
      </c>
      <c r="AL109" s="61">
        <v>9.173</v>
      </c>
      <c r="AM109" s="61">
        <v>16.776</v>
      </c>
      <c r="AN109" s="61">
        <v>5.4189999999999996</v>
      </c>
      <c r="AO109" s="61">
        <v>1.139</v>
      </c>
      <c r="AP109" s="61">
        <v>1.2190000000000001</v>
      </c>
      <c r="AQ109" s="61">
        <v>0</v>
      </c>
      <c r="AR109" s="61">
        <v>0</v>
      </c>
      <c r="AS109" s="61">
        <v>0</v>
      </c>
      <c r="AT109" s="61">
        <v>0</v>
      </c>
      <c r="AU109" s="61">
        <v>0</v>
      </c>
      <c r="AV109" s="61">
        <v>0</v>
      </c>
      <c r="AW109" s="61">
        <v>0</v>
      </c>
      <c r="AX109" s="61">
        <v>0</v>
      </c>
      <c r="AY109" s="61">
        <v>0</v>
      </c>
      <c r="AZ109" s="61">
        <v>0</v>
      </c>
      <c r="BA109" s="61">
        <v>0</v>
      </c>
      <c r="BB109" s="61">
        <v>0</v>
      </c>
      <c r="BC109" s="61">
        <v>0</v>
      </c>
      <c r="BD109" s="61">
        <v>0</v>
      </c>
      <c r="BE109" s="61">
        <v>0</v>
      </c>
      <c r="BF109" s="61">
        <v>0</v>
      </c>
      <c r="BI109">
        <f t="shared" si="278"/>
        <v>102</v>
      </c>
    </row>
    <row r="110" spans="2:61" hidden="1" outlineLevel="2">
      <c r="C110"/>
      <c r="D110"/>
      <c r="E110"/>
      <c r="F110"/>
      <c r="G110"/>
      <c r="H110"/>
      <c r="I110"/>
      <c r="J110"/>
      <c r="K110"/>
      <c r="L110"/>
      <c r="M110"/>
      <c r="BI110">
        <f t="shared" si="278"/>
        <v>103</v>
      </c>
    </row>
    <row r="111" spans="2:61" hidden="1" outlineLevel="2">
      <c r="B111" s="8" t="s">
        <v>110</v>
      </c>
      <c r="C111" s="54">
        <f t="shared" si="344"/>
        <v>-673.68399999999997</v>
      </c>
      <c r="D111" s="54">
        <f t="shared" si="344"/>
        <v>-866.33800000000008</v>
      </c>
      <c r="E111" s="54">
        <f t="shared" si="344"/>
        <v>-889.16300000000001</v>
      </c>
      <c r="F111" s="54">
        <f t="shared" si="344"/>
        <v>-769.09799999999996</v>
      </c>
      <c r="G111" s="54">
        <f t="shared" si="344"/>
        <v>-847</v>
      </c>
      <c r="H111" s="54">
        <f t="shared" si="344"/>
        <v>-496.56200000000001</v>
      </c>
      <c r="I111" s="54">
        <f t="shared" si="344"/>
        <v>-259.55599999999998</v>
      </c>
      <c r="J111" s="54">
        <f t="shared" si="344"/>
        <v>-554.697</v>
      </c>
      <c r="K111" s="54">
        <f t="shared" si="344"/>
        <v>-723.96500000000003</v>
      </c>
      <c r="L111" s="54">
        <f t="shared" si="344"/>
        <v>-841.43399999999997</v>
      </c>
      <c r="M111" s="54">
        <f t="shared" si="344"/>
        <v>-930.05</v>
      </c>
      <c r="O111" s="54">
        <f t="shared" ref="O111:AR111" si="345">-11000*O86/1000000</f>
        <v>-141.03100000000001</v>
      </c>
      <c r="P111" s="54">
        <f t="shared" si="345"/>
        <v>-156.04599999999999</v>
      </c>
      <c r="Q111" s="54">
        <f t="shared" si="345"/>
        <v>-180.4</v>
      </c>
      <c r="R111" s="54">
        <f t="shared" si="345"/>
        <v>-196.20699999999999</v>
      </c>
      <c r="S111" s="54">
        <f t="shared" si="345"/>
        <v>-205.10599999999999</v>
      </c>
      <c r="T111" s="54">
        <f t="shared" si="345"/>
        <v>-202.46600000000001</v>
      </c>
      <c r="U111" s="54">
        <f t="shared" si="345"/>
        <v>-224.07</v>
      </c>
      <c r="V111" s="54">
        <f t="shared" si="345"/>
        <v>-234.696</v>
      </c>
      <c r="W111" s="54">
        <f t="shared" si="345"/>
        <v>-237.71</v>
      </c>
      <c r="X111" s="54">
        <f t="shared" si="345"/>
        <v>-224.31200000000001</v>
      </c>
      <c r="Y111" s="54">
        <f t="shared" si="345"/>
        <v>-218.911</v>
      </c>
      <c r="Z111" s="54">
        <f t="shared" si="345"/>
        <v>-208.23</v>
      </c>
      <c r="AA111" s="54">
        <f t="shared" si="345"/>
        <v>-196.93299999999999</v>
      </c>
      <c r="AB111" s="54">
        <f t="shared" si="345"/>
        <v>-185.50399999999999</v>
      </c>
      <c r="AC111" s="54">
        <f t="shared" si="345"/>
        <v>-191.86199999999999</v>
      </c>
      <c r="AD111" s="54">
        <f t="shared" si="345"/>
        <v>-194.79900000000001</v>
      </c>
      <c r="AE111" s="54">
        <f t="shared" si="345"/>
        <v>-200.35400000000001</v>
      </c>
      <c r="AF111" s="54">
        <f t="shared" si="345"/>
        <v>-204.19300000000001</v>
      </c>
      <c r="AG111" s="54">
        <f t="shared" si="345"/>
        <v>-220.92400000000001</v>
      </c>
      <c r="AH111" s="54">
        <f t="shared" si="345"/>
        <v>-221.529</v>
      </c>
      <c r="AI111" s="54">
        <f t="shared" si="345"/>
        <v>-170.72</v>
      </c>
      <c r="AJ111" s="54">
        <f t="shared" si="345"/>
        <v>-123.321</v>
      </c>
      <c r="AK111" s="54">
        <f t="shared" si="345"/>
        <v>-110.73699999999999</v>
      </c>
      <c r="AL111" s="54">
        <f t="shared" si="345"/>
        <v>-91.784000000000006</v>
      </c>
      <c r="AM111" s="54">
        <f t="shared" si="345"/>
        <v>-73.227000000000004</v>
      </c>
      <c r="AN111" s="54">
        <f t="shared" si="345"/>
        <v>-54.956000000000003</v>
      </c>
      <c r="AO111" s="54">
        <f t="shared" si="345"/>
        <v>-62.204999999999998</v>
      </c>
      <c r="AP111" s="54">
        <f t="shared" si="345"/>
        <v>-69.168000000000006</v>
      </c>
      <c r="AQ111" s="54">
        <f t="shared" si="345"/>
        <v>-82.356999999999999</v>
      </c>
      <c r="AR111" s="54">
        <f t="shared" si="345"/>
        <v>-146.553</v>
      </c>
      <c r="AS111" s="54">
        <f>-11000*AS86/1000000</f>
        <v>-163.251</v>
      </c>
      <c r="AT111" s="54">
        <f>-11000*AT86/1000000</f>
        <v>-162.536</v>
      </c>
      <c r="AU111" s="54">
        <f t="shared" ref="AU111:BF111" si="346">-11000*AU86/1000000</f>
        <v>-167.31</v>
      </c>
      <c r="AV111" s="54">
        <f t="shared" si="346"/>
        <v>-179.179</v>
      </c>
      <c r="AW111" s="54">
        <f t="shared" si="346"/>
        <v>-185.196</v>
      </c>
      <c r="AX111" s="54">
        <f t="shared" si="346"/>
        <v>-192.28</v>
      </c>
      <c r="AY111" s="54">
        <f t="shared" si="346"/>
        <v>-196.02</v>
      </c>
      <c r="AZ111" s="54">
        <f t="shared" si="346"/>
        <v>-206.20599999999999</v>
      </c>
      <c r="BA111" s="54">
        <f t="shared" si="346"/>
        <v>-215.55600000000001</v>
      </c>
      <c r="BB111" s="54">
        <f t="shared" si="346"/>
        <v>-223.65199999999999</v>
      </c>
      <c r="BC111" s="54">
        <f t="shared" si="346"/>
        <v>-228.22800000000001</v>
      </c>
      <c r="BD111" s="54">
        <f t="shared" si="346"/>
        <v>-230.23</v>
      </c>
      <c r="BE111" s="54">
        <f t="shared" si="346"/>
        <v>-234.78399999999999</v>
      </c>
      <c r="BF111" s="54">
        <f t="shared" si="346"/>
        <v>-236.80799999999999</v>
      </c>
      <c r="BI111">
        <f t="shared" si="278"/>
        <v>104</v>
      </c>
    </row>
    <row r="112" spans="2:61" hidden="1" outlineLevel="2">
      <c r="B112" s="8" t="s">
        <v>111</v>
      </c>
      <c r="C112" s="54">
        <f t="shared" si="344"/>
        <v>18.006000000000029</v>
      </c>
      <c r="D112" s="54">
        <f t="shared" si="344"/>
        <v>-102.13999999999999</v>
      </c>
      <c r="E112" s="54">
        <f t="shared" si="344"/>
        <v>-186.328</v>
      </c>
      <c r="F112" s="54">
        <f t="shared" si="344"/>
        <v>-199.65600000000001</v>
      </c>
      <c r="G112" s="54">
        <f t="shared" si="344"/>
        <v>-219.65899999999996</v>
      </c>
      <c r="H112" s="54">
        <f t="shared" si="344"/>
        <v>-112.286</v>
      </c>
      <c r="I112" s="54">
        <f t="shared" si="344"/>
        <v>-46.247999999999976</v>
      </c>
      <c r="J112" s="54">
        <f t="shared" si="344"/>
        <v>-112.40799999999999</v>
      </c>
      <c r="K112" s="54">
        <f t="shared" si="344"/>
        <v>-155.09009999999998</v>
      </c>
      <c r="L112" s="54">
        <f t="shared" si="344"/>
        <v>-172.11149999999989</v>
      </c>
      <c r="M112" s="54">
        <f t="shared" si="344"/>
        <v>-190.23749999999998</v>
      </c>
      <c r="O112" s="54">
        <f t="shared" ref="O112:AR112" si="347">O113-O111</f>
        <v>5.8850000000000193</v>
      </c>
      <c r="P112" s="54">
        <f t="shared" si="347"/>
        <v>6.742999999999995</v>
      </c>
      <c r="Q112" s="54">
        <f t="shared" si="347"/>
        <v>5.4010000000000105</v>
      </c>
      <c r="R112" s="54">
        <f t="shared" si="347"/>
        <v>-2.2999999999996135E-2</v>
      </c>
      <c r="S112" s="54">
        <f t="shared" si="347"/>
        <v>-13.593000000000018</v>
      </c>
      <c r="T112" s="54">
        <f t="shared" si="347"/>
        <v>-16.287999999999982</v>
      </c>
      <c r="U112" s="54">
        <f t="shared" si="347"/>
        <v>-36.048000000000002</v>
      </c>
      <c r="V112" s="54">
        <f t="shared" si="347"/>
        <v>-36.210999999999984</v>
      </c>
      <c r="W112" s="54">
        <f t="shared" si="347"/>
        <v>-44.938999999999993</v>
      </c>
      <c r="X112" s="54">
        <f t="shared" si="347"/>
        <v>-48.408000000000015</v>
      </c>
      <c r="Y112" s="54">
        <f t="shared" si="347"/>
        <v>-46.630999999999972</v>
      </c>
      <c r="Z112" s="54">
        <f t="shared" si="347"/>
        <v>-46.350000000000023</v>
      </c>
      <c r="AA112" s="54">
        <f t="shared" si="347"/>
        <v>-50.13900000000001</v>
      </c>
      <c r="AB112" s="54">
        <f t="shared" si="347"/>
        <v>-57.244</v>
      </c>
      <c r="AC112" s="54">
        <f t="shared" si="347"/>
        <v>-47.906000000000006</v>
      </c>
      <c r="AD112" s="54">
        <f t="shared" si="347"/>
        <v>-44.36699999999999</v>
      </c>
      <c r="AE112" s="54">
        <f t="shared" si="347"/>
        <v>-50.704999999999984</v>
      </c>
      <c r="AF112" s="54">
        <f t="shared" si="347"/>
        <v>-51.125</v>
      </c>
      <c r="AG112" s="54">
        <f t="shared" si="347"/>
        <v>-57.270999999999987</v>
      </c>
      <c r="AH112" s="54">
        <f t="shared" si="347"/>
        <v>-60.557999999999993</v>
      </c>
      <c r="AI112" s="54">
        <f t="shared" si="347"/>
        <v>-42.09</v>
      </c>
      <c r="AJ112" s="54">
        <f t="shared" si="347"/>
        <v>-30.527000000000015</v>
      </c>
      <c r="AK112" s="54">
        <f t="shared" si="347"/>
        <v>-25.980999999999995</v>
      </c>
      <c r="AL112" s="54">
        <f t="shared" si="347"/>
        <v>-13.687999999999988</v>
      </c>
      <c r="AM112" s="54">
        <f t="shared" si="347"/>
        <v>-7.6709999999999923</v>
      </c>
      <c r="AN112" s="54">
        <f t="shared" si="347"/>
        <v>-8.8469999999999942</v>
      </c>
      <c r="AO112" s="54">
        <f t="shared" si="347"/>
        <v>-12.311999999999998</v>
      </c>
      <c r="AP112" s="54">
        <f t="shared" si="347"/>
        <v>-17.417999999999992</v>
      </c>
      <c r="AQ112" s="54">
        <f t="shared" si="347"/>
        <v>-25.864000000000004</v>
      </c>
      <c r="AR112" s="54">
        <f t="shared" si="347"/>
        <v>-34.10499999999999</v>
      </c>
      <c r="AS112" s="54">
        <f>AS113-AS111</f>
        <v>-23.705999999999989</v>
      </c>
      <c r="AT112" s="54">
        <f>AT113-AT111</f>
        <v>-28.733000000000004</v>
      </c>
      <c r="AU112" s="54">
        <f t="shared" ref="AU112:BF112" si="348">AU113-AU111</f>
        <v>-38.785499999999985</v>
      </c>
      <c r="AV112" s="54">
        <f t="shared" si="348"/>
        <v>-39.093600000000009</v>
      </c>
      <c r="AW112" s="54">
        <f t="shared" si="348"/>
        <v>-37.881000000000029</v>
      </c>
      <c r="AX112" s="54">
        <f t="shared" si="348"/>
        <v>-39.329999999999956</v>
      </c>
      <c r="AY112" s="54">
        <f t="shared" si="348"/>
        <v>-40.09499999999997</v>
      </c>
      <c r="AZ112" s="54">
        <f t="shared" si="348"/>
        <v>-42.178499999999985</v>
      </c>
      <c r="BA112" s="54">
        <f t="shared" si="348"/>
        <v>-44.090999999999923</v>
      </c>
      <c r="BB112" s="54">
        <f t="shared" si="348"/>
        <v>-45.747000000000014</v>
      </c>
      <c r="BC112" s="54">
        <f t="shared" si="348"/>
        <v>-46.682999999999993</v>
      </c>
      <c r="BD112" s="54">
        <f t="shared" si="348"/>
        <v>-47.092500000000001</v>
      </c>
      <c r="BE112" s="54">
        <f t="shared" si="348"/>
        <v>-48.024000000000001</v>
      </c>
      <c r="BF112" s="54">
        <f t="shared" si="348"/>
        <v>-48.437999999999988</v>
      </c>
      <c r="BI112">
        <f t="shared" si="278"/>
        <v>105</v>
      </c>
    </row>
    <row r="113" spans="2:61" hidden="1" outlineLevel="2">
      <c r="B113" s="8" t="s">
        <v>112</v>
      </c>
      <c r="C113" s="54">
        <f t="shared" si="344"/>
        <v>-655.678</v>
      </c>
      <c r="D113" s="54">
        <f t="shared" si="344"/>
        <v>-968.47799999999984</v>
      </c>
      <c r="E113" s="54">
        <f t="shared" si="344"/>
        <v>-1075.491</v>
      </c>
      <c r="F113" s="54">
        <f t="shared" si="344"/>
        <v>-968.75399999999991</v>
      </c>
      <c r="G113" s="54">
        <f t="shared" si="344"/>
        <v>-1066.6590000000001</v>
      </c>
      <c r="H113" s="54">
        <f t="shared" si="344"/>
        <v>-608.84799999999996</v>
      </c>
      <c r="I113" s="54">
        <f t="shared" si="344"/>
        <v>-305.80399999999997</v>
      </c>
      <c r="J113" s="54">
        <f t="shared" si="344"/>
        <v>-667.10500000000002</v>
      </c>
      <c r="K113" s="54">
        <f t="shared" si="344"/>
        <v>-879.05510000000004</v>
      </c>
      <c r="L113" s="54">
        <f t="shared" si="344"/>
        <v>-1013.5454999999998</v>
      </c>
      <c r="M113" s="54">
        <f t="shared" si="344"/>
        <v>-1120.2874999999999</v>
      </c>
      <c r="O113" s="54">
        <f t="shared" ref="O113:AR113" si="349">O117</f>
        <v>-135.14599999999999</v>
      </c>
      <c r="P113" s="54">
        <f t="shared" si="349"/>
        <v>-149.303</v>
      </c>
      <c r="Q113" s="54">
        <f t="shared" si="349"/>
        <v>-174.999</v>
      </c>
      <c r="R113" s="54">
        <f t="shared" si="349"/>
        <v>-196.23</v>
      </c>
      <c r="S113" s="54">
        <f t="shared" si="349"/>
        <v>-218.69900000000001</v>
      </c>
      <c r="T113" s="54">
        <f t="shared" si="349"/>
        <v>-218.75399999999999</v>
      </c>
      <c r="U113" s="54">
        <f t="shared" si="349"/>
        <v>-260.11799999999999</v>
      </c>
      <c r="V113" s="54">
        <f t="shared" si="349"/>
        <v>-270.90699999999998</v>
      </c>
      <c r="W113" s="54">
        <f t="shared" si="349"/>
        <v>-282.649</v>
      </c>
      <c r="X113" s="54">
        <f t="shared" si="349"/>
        <v>-272.72000000000003</v>
      </c>
      <c r="Y113" s="54">
        <f t="shared" si="349"/>
        <v>-265.54199999999997</v>
      </c>
      <c r="Z113" s="54">
        <f t="shared" si="349"/>
        <v>-254.58</v>
      </c>
      <c r="AA113" s="54">
        <f t="shared" si="349"/>
        <v>-247.072</v>
      </c>
      <c r="AB113" s="54">
        <f t="shared" si="349"/>
        <v>-242.74799999999999</v>
      </c>
      <c r="AC113" s="54">
        <f t="shared" si="349"/>
        <v>-239.768</v>
      </c>
      <c r="AD113" s="54">
        <f t="shared" si="349"/>
        <v>-239.166</v>
      </c>
      <c r="AE113" s="54">
        <f t="shared" si="349"/>
        <v>-251.059</v>
      </c>
      <c r="AF113" s="54">
        <f t="shared" si="349"/>
        <v>-255.31800000000001</v>
      </c>
      <c r="AG113" s="54">
        <f t="shared" si="349"/>
        <v>-278.19499999999999</v>
      </c>
      <c r="AH113" s="54">
        <f t="shared" si="349"/>
        <v>-282.08699999999999</v>
      </c>
      <c r="AI113" s="54">
        <f t="shared" si="349"/>
        <v>-212.81</v>
      </c>
      <c r="AJ113" s="54">
        <f t="shared" si="349"/>
        <v>-153.84800000000001</v>
      </c>
      <c r="AK113" s="54">
        <f t="shared" si="349"/>
        <v>-136.71799999999999</v>
      </c>
      <c r="AL113" s="54">
        <f t="shared" si="349"/>
        <v>-105.47199999999999</v>
      </c>
      <c r="AM113" s="54">
        <f t="shared" si="349"/>
        <v>-80.897999999999996</v>
      </c>
      <c r="AN113" s="54">
        <f t="shared" si="349"/>
        <v>-63.802999999999997</v>
      </c>
      <c r="AO113" s="54">
        <f t="shared" si="349"/>
        <v>-74.516999999999996</v>
      </c>
      <c r="AP113" s="54">
        <f t="shared" si="349"/>
        <v>-86.585999999999999</v>
      </c>
      <c r="AQ113" s="54">
        <f t="shared" si="349"/>
        <v>-108.221</v>
      </c>
      <c r="AR113" s="54">
        <f t="shared" si="349"/>
        <v>-180.65799999999999</v>
      </c>
      <c r="AS113" s="54">
        <f>AS117</f>
        <v>-186.95699999999999</v>
      </c>
      <c r="AT113" s="54">
        <f>AT117</f>
        <v>-191.26900000000001</v>
      </c>
      <c r="AU113" s="54">
        <f t="shared" ref="AU113:BF113" si="350">AU117</f>
        <v>-206.09549999999999</v>
      </c>
      <c r="AV113" s="54">
        <f t="shared" si="350"/>
        <v>-218.27260000000001</v>
      </c>
      <c r="AW113" s="54">
        <f t="shared" si="350"/>
        <v>-223.07700000000003</v>
      </c>
      <c r="AX113" s="54">
        <f t="shared" si="350"/>
        <v>-231.60999999999996</v>
      </c>
      <c r="AY113" s="54">
        <f t="shared" si="350"/>
        <v>-236.11499999999998</v>
      </c>
      <c r="AZ113" s="54">
        <f t="shared" si="350"/>
        <v>-248.38449999999997</v>
      </c>
      <c r="BA113" s="54">
        <f t="shared" si="350"/>
        <v>-259.64699999999993</v>
      </c>
      <c r="BB113" s="54">
        <f t="shared" si="350"/>
        <v>-269.399</v>
      </c>
      <c r="BC113" s="54">
        <f t="shared" si="350"/>
        <v>-274.911</v>
      </c>
      <c r="BD113" s="54">
        <f t="shared" si="350"/>
        <v>-277.32249999999999</v>
      </c>
      <c r="BE113" s="54">
        <f t="shared" si="350"/>
        <v>-282.80799999999999</v>
      </c>
      <c r="BF113" s="54">
        <f t="shared" si="350"/>
        <v>-285.24599999999998</v>
      </c>
      <c r="BI113">
        <f t="shared" si="278"/>
        <v>106</v>
      </c>
    </row>
    <row r="114" spans="2:61" hidden="1" outlineLevel="2">
      <c r="C114"/>
      <c r="D114"/>
      <c r="E114"/>
      <c r="F114"/>
      <c r="G114"/>
      <c r="H114"/>
      <c r="I114"/>
      <c r="J114"/>
      <c r="K114"/>
      <c r="L114"/>
      <c r="M114"/>
      <c r="BI114">
        <f t="shared" si="278"/>
        <v>107</v>
      </c>
    </row>
    <row r="115" spans="2:61" hidden="1" outlineLevel="2">
      <c r="B115" s="24" t="s">
        <v>113</v>
      </c>
      <c r="BI115">
        <f t="shared" si="278"/>
        <v>108</v>
      </c>
    </row>
    <row r="116" spans="2:61" hidden="1" outlineLevel="2">
      <c r="B116" s="19" t="s">
        <v>114</v>
      </c>
      <c r="C116" s="54">
        <f t="shared" ref="C116:M122" si="351">SUMIFS($O116:$BG116,$O$5:$BG$5,C$5)</f>
        <v>1081.8980000000001</v>
      </c>
      <c r="D116" s="54">
        <f t="shared" si="351"/>
        <v>1669.5809999999999</v>
      </c>
      <c r="E116" s="54">
        <f t="shared" si="351"/>
        <v>1821.713</v>
      </c>
      <c r="F116" s="54">
        <f t="shared" si="351"/>
        <v>1614.442</v>
      </c>
      <c r="G116" s="54">
        <f t="shared" si="351"/>
        <v>1838.8300000000002</v>
      </c>
      <c r="H116" s="54">
        <f t="shared" si="351"/>
        <v>1084.425</v>
      </c>
      <c r="I116" s="54">
        <f t="shared" si="351"/>
        <v>519.11</v>
      </c>
      <c r="J116" s="54">
        <f t="shared" si="351"/>
        <v>1040.0329999999999</v>
      </c>
      <c r="K116" s="54">
        <f t="shared" si="351"/>
        <v>1423.6065000000001</v>
      </c>
      <c r="L116" s="54">
        <f t="shared" si="351"/>
        <v>1734.48</v>
      </c>
      <c r="M116" s="54">
        <f t="shared" si="351"/>
        <v>1918.2075</v>
      </c>
      <c r="O116" s="61">
        <v>210.745</v>
      </c>
      <c r="P116" s="61">
        <v>239.96600000000001</v>
      </c>
      <c r="Q116" s="61">
        <v>290.75900000000001</v>
      </c>
      <c r="R116" s="61">
        <v>340.428</v>
      </c>
      <c r="S116" s="61">
        <v>377.358</v>
      </c>
      <c r="T116" s="61">
        <v>386.47899999999998</v>
      </c>
      <c r="U116" s="61">
        <v>436.827</v>
      </c>
      <c r="V116" s="61">
        <v>468.91699999999997</v>
      </c>
      <c r="W116" s="61">
        <v>489.48200000000003</v>
      </c>
      <c r="X116" s="61">
        <v>460.24900000000002</v>
      </c>
      <c r="Y116" s="61">
        <v>446.73500000000001</v>
      </c>
      <c r="Z116" s="61">
        <v>425.24700000000001</v>
      </c>
      <c r="AA116" s="61">
        <v>419.09399999999999</v>
      </c>
      <c r="AB116" s="61">
        <v>389.97899999999998</v>
      </c>
      <c r="AC116" s="61">
        <v>395.07099999999997</v>
      </c>
      <c r="AD116" s="61">
        <v>410.29799999999994</v>
      </c>
      <c r="AE116" s="61">
        <v>425.90300000000002</v>
      </c>
      <c r="AF116" s="61">
        <v>438.58300000000003</v>
      </c>
      <c r="AG116" s="61">
        <v>482.21199999999999</v>
      </c>
      <c r="AH116" s="61">
        <v>492.13200000000001</v>
      </c>
      <c r="AI116" s="61">
        <v>385.68400000000003</v>
      </c>
      <c r="AJ116" s="61">
        <v>272.721</v>
      </c>
      <c r="AK116" s="61">
        <v>232.917</v>
      </c>
      <c r="AL116" s="61">
        <v>193.10300000000001</v>
      </c>
      <c r="AM116" s="61">
        <v>151.88299999999998</v>
      </c>
      <c r="AN116" s="61">
        <v>109.816</v>
      </c>
      <c r="AO116" s="61">
        <v>122.545</v>
      </c>
      <c r="AP116" s="61">
        <v>134.86600000000001</v>
      </c>
      <c r="AQ116" s="61">
        <v>158.72800000000001</v>
      </c>
      <c r="AR116" s="61">
        <v>270.11099999999999</v>
      </c>
      <c r="AS116" s="61">
        <v>301.61399999999998</v>
      </c>
      <c r="AT116" s="61">
        <v>309.58</v>
      </c>
      <c r="AU116" s="54">
        <f t="shared" ref="AU116:BF116" si="352">AU12</f>
        <v>323.28899999999999</v>
      </c>
      <c r="AV116" s="54">
        <f t="shared" si="352"/>
        <v>347.66550000000001</v>
      </c>
      <c r="AW116" s="54">
        <f t="shared" si="352"/>
        <v>366.71200000000005</v>
      </c>
      <c r="AX116" s="54">
        <f t="shared" si="352"/>
        <v>385.94</v>
      </c>
      <c r="AY116" s="54">
        <f t="shared" si="352"/>
        <v>398.79</v>
      </c>
      <c r="AZ116" s="54">
        <f t="shared" si="352"/>
        <v>425.971</v>
      </c>
      <c r="BA116" s="54">
        <f t="shared" si="352"/>
        <v>447.46499999999997</v>
      </c>
      <c r="BB116" s="54">
        <f t="shared" si="352"/>
        <v>462.25400000000002</v>
      </c>
      <c r="BC116" s="54">
        <f t="shared" si="352"/>
        <v>470.56099999999998</v>
      </c>
      <c r="BD116" s="54">
        <f t="shared" si="352"/>
        <v>474.79250000000002</v>
      </c>
      <c r="BE116" s="54">
        <f t="shared" si="352"/>
        <v>484.28800000000001</v>
      </c>
      <c r="BF116" s="54">
        <f t="shared" si="352"/>
        <v>488.56599999999997</v>
      </c>
      <c r="BI116">
        <f t="shared" si="278"/>
        <v>109</v>
      </c>
    </row>
    <row r="117" spans="2:61" hidden="1" outlineLevel="2">
      <c r="B117" s="25" t="s">
        <v>115</v>
      </c>
      <c r="C117" s="54">
        <f t="shared" si="351"/>
        <v>-655.678</v>
      </c>
      <c r="D117" s="54">
        <f t="shared" si="351"/>
        <v>-968.47799999999984</v>
      </c>
      <c r="E117" s="54">
        <f t="shared" si="351"/>
        <v>-1075.491</v>
      </c>
      <c r="F117" s="54">
        <f t="shared" si="351"/>
        <v>-968.75399999999991</v>
      </c>
      <c r="G117" s="54">
        <f t="shared" si="351"/>
        <v>-1066.6590000000001</v>
      </c>
      <c r="H117" s="54">
        <f t="shared" si="351"/>
        <v>-608.84799999999996</v>
      </c>
      <c r="I117" s="54">
        <f t="shared" si="351"/>
        <v>-305.80399999999997</v>
      </c>
      <c r="J117" s="54">
        <f t="shared" si="351"/>
        <v>-667.10500000000002</v>
      </c>
      <c r="K117" s="54">
        <f t="shared" si="351"/>
        <v>-879.05510000000004</v>
      </c>
      <c r="L117" s="54">
        <f t="shared" si="351"/>
        <v>-1013.5454999999998</v>
      </c>
      <c r="M117" s="54">
        <f t="shared" si="351"/>
        <v>-1120.2874999999999</v>
      </c>
      <c r="O117" s="61">
        <v>-135.14599999999999</v>
      </c>
      <c r="P117" s="61">
        <v>-149.303</v>
      </c>
      <c r="Q117" s="61">
        <v>-174.999</v>
      </c>
      <c r="R117" s="61">
        <v>-196.23</v>
      </c>
      <c r="S117" s="61">
        <v>-218.69900000000001</v>
      </c>
      <c r="T117" s="61">
        <v>-218.75399999999999</v>
      </c>
      <c r="U117" s="61">
        <v>-260.11799999999999</v>
      </c>
      <c r="V117" s="61">
        <v>-270.90699999999998</v>
      </c>
      <c r="W117" s="61">
        <v>-282.649</v>
      </c>
      <c r="X117" s="61">
        <v>-272.72000000000003</v>
      </c>
      <c r="Y117" s="61">
        <v>-265.54199999999997</v>
      </c>
      <c r="Z117" s="61">
        <v>-254.58</v>
      </c>
      <c r="AA117" s="61">
        <v>-247.072</v>
      </c>
      <c r="AB117" s="61">
        <v>-242.74799999999999</v>
      </c>
      <c r="AC117" s="61">
        <v>-239.768</v>
      </c>
      <c r="AD117" s="61">
        <v>-239.166</v>
      </c>
      <c r="AE117" s="61">
        <v>-251.059</v>
      </c>
      <c r="AF117" s="61">
        <v>-255.31800000000001</v>
      </c>
      <c r="AG117" s="61">
        <v>-278.19499999999999</v>
      </c>
      <c r="AH117" s="61">
        <v>-282.08699999999999</v>
      </c>
      <c r="AI117" s="61">
        <v>-212.81</v>
      </c>
      <c r="AJ117" s="61">
        <v>-153.84800000000001</v>
      </c>
      <c r="AK117" s="61">
        <v>-136.71799999999999</v>
      </c>
      <c r="AL117" s="61">
        <v>-105.47199999999999</v>
      </c>
      <c r="AM117" s="61">
        <v>-80.897999999999996</v>
      </c>
      <c r="AN117" s="61">
        <v>-63.802999999999997</v>
      </c>
      <c r="AO117" s="61">
        <v>-74.516999999999996</v>
      </c>
      <c r="AP117" s="61">
        <v>-86.585999999999999</v>
      </c>
      <c r="AQ117" s="61">
        <v>-108.221</v>
      </c>
      <c r="AR117" s="61">
        <v>-180.65799999999999</v>
      </c>
      <c r="AS117" s="61">
        <v>-186.95699999999999</v>
      </c>
      <c r="AT117" s="61">
        <v>-191.26900000000001</v>
      </c>
      <c r="AU117" s="54">
        <f t="shared" ref="AU117:BF117" si="353">AU19</f>
        <v>-206.09549999999999</v>
      </c>
      <c r="AV117" s="54">
        <f t="shared" si="353"/>
        <v>-218.27260000000001</v>
      </c>
      <c r="AW117" s="54">
        <f t="shared" si="353"/>
        <v>-223.07700000000003</v>
      </c>
      <c r="AX117" s="54">
        <f t="shared" si="353"/>
        <v>-231.60999999999996</v>
      </c>
      <c r="AY117" s="54">
        <f t="shared" si="353"/>
        <v>-236.11499999999998</v>
      </c>
      <c r="AZ117" s="54">
        <f t="shared" si="353"/>
        <v>-248.38449999999997</v>
      </c>
      <c r="BA117" s="54">
        <f t="shared" si="353"/>
        <v>-259.64699999999993</v>
      </c>
      <c r="BB117" s="54">
        <f t="shared" si="353"/>
        <v>-269.399</v>
      </c>
      <c r="BC117" s="54">
        <f t="shared" si="353"/>
        <v>-274.911</v>
      </c>
      <c r="BD117" s="54">
        <f t="shared" si="353"/>
        <v>-277.32249999999999</v>
      </c>
      <c r="BE117" s="54">
        <f t="shared" si="353"/>
        <v>-282.80799999999999</v>
      </c>
      <c r="BF117" s="54">
        <f t="shared" si="353"/>
        <v>-285.24599999999998</v>
      </c>
      <c r="BI117">
        <f t="shared" si="278"/>
        <v>110</v>
      </c>
    </row>
    <row r="118" spans="2:61" hidden="1" outlineLevel="2">
      <c r="B118" s="19" t="s">
        <v>116</v>
      </c>
      <c r="C118" s="54">
        <f t="shared" si="351"/>
        <v>426.22</v>
      </c>
      <c r="D118" s="54">
        <f t="shared" si="351"/>
        <v>701.10300000000007</v>
      </c>
      <c r="E118" s="54">
        <f t="shared" si="351"/>
        <v>746.22200000000009</v>
      </c>
      <c r="F118" s="54">
        <f t="shared" si="351"/>
        <v>645.68799999999987</v>
      </c>
      <c r="G118" s="54">
        <f t="shared" si="351"/>
        <v>772.17100000000005</v>
      </c>
      <c r="H118" s="54">
        <f t="shared" si="351"/>
        <v>475.57700000000006</v>
      </c>
      <c r="I118" s="54">
        <f t="shared" si="351"/>
        <v>213.30600000000004</v>
      </c>
      <c r="J118" s="54">
        <f t="shared" si="351"/>
        <v>372.928</v>
      </c>
      <c r="K118" s="54">
        <f t="shared" si="351"/>
        <v>544.55140000000006</v>
      </c>
      <c r="L118" s="54">
        <f t="shared" si="351"/>
        <v>720.93450000000007</v>
      </c>
      <c r="M118" s="54">
        <f t="shared" si="351"/>
        <v>797.92000000000007</v>
      </c>
      <c r="O118" s="54">
        <f>O116+O117</f>
        <v>75.599000000000018</v>
      </c>
      <c r="P118" s="54">
        <f t="shared" ref="P118:AS118" si="354">P116+P117</f>
        <v>90.663000000000011</v>
      </c>
      <c r="Q118" s="54">
        <f t="shared" si="354"/>
        <v>115.76000000000002</v>
      </c>
      <c r="R118" s="54">
        <f t="shared" si="354"/>
        <v>144.19800000000001</v>
      </c>
      <c r="S118" s="54">
        <f t="shared" si="354"/>
        <v>158.65899999999999</v>
      </c>
      <c r="T118" s="54">
        <f t="shared" si="354"/>
        <v>167.72499999999999</v>
      </c>
      <c r="U118" s="54">
        <f t="shared" si="354"/>
        <v>176.709</v>
      </c>
      <c r="V118" s="54">
        <f t="shared" si="354"/>
        <v>198.01</v>
      </c>
      <c r="W118" s="54">
        <f t="shared" si="354"/>
        <v>206.83300000000003</v>
      </c>
      <c r="X118" s="54">
        <f t="shared" si="354"/>
        <v>187.529</v>
      </c>
      <c r="Y118" s="54">
        <f t="shared" si="354"/>
        <v>181.19300000000004</v>
      </c>
      <c r="Z118" s="54">
        <f t="shared" si="354"/>
        <v>170.667</v>
      </c>
      <c r="AA118" s="54">
        <f t="shared" si="354"/>
        <v>172.02199999999999</v>
      </c>
      <c r="AB118" s="54">
        <f t="shared" si="354"/>
        <v>147.23099999999999</v>
      </c>
      <c r="AC118" s="54">
        <f t="shared" si="354"/>
        <v>155.30299999999997</v>
      </c>
      <c r="AD118" s="54">
        <f t="shared" si="354"/>
        <v>171.13199999999995</v>
      </c>
      <c r="AE118" s="54">
        <f t="shared" si="354"/>
        <v>174.84400000000002</v>
      </c>
      <c r="AF118" s="54">
        <f t="shared" si="354"/>
        <v>183.26500000000001</v>
      </c>
      <c r="AG118" s="54">
        <f t="shared" si="354"/>
        <v>204.017</v>
      </c>
      <c r="AH118" s="54">
        <f t="shared" si="354"/>
        <v>210.04500000000002</v>
      </c>
      <c r="AI118" s="54">
        <f t="shared" si="354"/>
        <v>172.87400000000002</v>
      </c>
      <c r="AJ118" s="54">
        <f t="shared" si="354"/>
        <v>118.87299999999999</v>
      </c>
      <c r="AK118" s="54">
        <f t="shared" si="354"/>
        <v>96.199000000000012</v>
      </c>
      <c r="AL118" s="54">
        <f t="shared" si="354"/>
        <v>87.631000000000014</v>
      </c>
      <c r="AM118" s="54">
        <f t="shared" si="354"/>
        <v>70.984999999999985</v>
      </c>
      <c r="AN118" s="54">
        <f t="shared" si="354"/>
        <v>46.013000000000005</v>
      </c>
      <c r="AO118" s="54">
        <f t="shared" si="354"/>
        <v>48.028000000000006</v>
      </c>
      <c r="AP118" s="54">
        <f t="shared" si="354"/>
        <v>48.280000000000015</v>
      </c>
      <c r="AQ118" s="54">
        <f t="shared" si="354"/>
        <v>50.507000000000005</v>
      </c>
      <c r="AR118" s="54">
        <f t="shared" si="354"/>
        <v>89.453000000000003</v>
      </c>
      <c r="AS118" s="54">
        <f t="shared" si="354"/>
        <v>114.65699999999998</v>
      </c>
      <c r="AT118" s="54">
        <f t="shared" ref="AT118" si="355">AT116+AT117</f>
        <v>118.31099999999998</v>
      </c>
      <c r="AU118" s="54">
        <f t="shared" ref="AU118" si="356">AU116+AU117</f>
        <v>117.1935</v>
      </c>
      <c r="AV118" s="54">
        <f t="shared" ref="AV118" si="357">AV116+AV117</f>
        <v>129.3929</v>
      </c>
      <c r="AW118" s="54">
        <f t="shared" ref="AW118" si="358">AW116+AW117</f>
        <v>143.63500000000002</v>
      </c>
      <c r="AX118" s="54">
        <f t="shared" ref="AX118" si="359">AX116+AX117</f>
        <v>154.33000000000004</v>
      </c>
      <c r="AY118" s="54">
        <f t="shared" ref="AY118" si="360">AY116+AY117</f>
        <v>162.67500000000004</v>
      </c>
      <c r="AZ118" s="54">
        <f t="shared" ref="AZ118" si="361">AZ116+AZ117</f>
        <v>177.58650000000003</v>
      </c>
      <c r="BA118" s="54">
        <f t="shared" ref="BA118" si="362">BA116+BA117</f>
        <v>187.81800000000004</v>
      </c>
      <c r="BB118" s="54">
        <f t="shared" ref="BB118" si="363">BB116+BB117</f>
        <v>192.85500000000002</v>
      </c>
      <c r="BC118" s="54">
        <f t="shared" ref="BC118" si="364">BC116+BC117</f>
        <v>195.64999999999998</v>
      </c>
      <c r="BD118" s="54">
        <f t="shared" ref="BD118" si="365">BD116+BD117</f>
        <v>197.47000000000003</v>
      </c>
      <c r="BE118" s="54">
        <f t="shared" ref="BE118" si="366">BE116+BE117</f>
        <v>201.48000000000002</v>
      </c>
      <c r="BF118" s="54">
        <f t="shared" ref="BF118" si="367">BF116+BF117</f>
        <v>203.32</v>
      </c>
      <c r="BI118">
        <f t="shared" si="278"/>
        <v>111</v>
      </c>
    </row>
    <row r="119" spans="2:61" hidden="1" outlineLevel="2">
      <c r="B119" s="25" t="s">
        <v>55</v>
      </c>
      <c r="C119" s="54">
        <f t="shared" si="351"/>
        <v>-5.2789999999999999</v>
      </c>
      <c r="D119" s="54">
        <f t="shared" si="351"/>
        <v>-6.4080000000000004</v>
      </c>
      <c r="E119" s="54">
        <f t="shared" si="351"/>
        <v>-6.5129999999999999</v>
      </c>
      <c r="F119" s="54">
        <f t="shared" si="351"/>
        <v>-5.8669999999999991</v>
      </c>
      <c r="G119" s="54">
        <f t="shared" si="351"/>
        <v>-6.2969999999999997</v>
      </c>
      <c r="H119" s="54">
        <f t="shared" si="351"/>
        <v>-5.3609999999999998</v>
      </c>
      <c r="I119" s="54">
        <f t="shared" si="351"/>
        <v>-5.7430000000000003</v>
      </c>
      <c r="J119" s="54">
        <f t="shared" si="351"/>
        <v>-5.9340000000000002</v>
      </c>
      <c r="K119" s="54">
        <f t="shared" si="351"/>
        <v>-5.4276945005187311</v>
      </c>
      <c r="L119" s="54">
        <f t="shared" si="351"/>
        <v>-5.8751110820166117</v>
      </c>
      <c r="M119" s="54">
        <f t="shared" si="351"/>
        <v>-6.3594091787471783</v>
      </c>
      <c r="O119" s="61">
        <v>-1.232</v>
      </c>
      <c r="P119" s="61">
        <v>-0.92</v>
      </c>
      <c r="Q119" s="61">
        <v>-1.6639999999999999</v>
      </c>
      <c r="R119" s="61">
        <v>-1.4630000000000001</v>
      </c>
      <c r="S119" s="61">
        <v>-1.2849999999999999</v>
      </c>
      <c r="T119" s="61">
        <v>-1.3080000000000001</v>
      </c>
      <c r="U119" s="61">
        <v>-2.2400000000000002</v>
      </c>
      <c r="V119" s="61">
        <v>-1.575</v>
      </c>
      <c r="W119" s="61">
        <v>-1.3360000000000001</v>
      </c>
      <c r="X119" s="61">
        <v>-1.286</v>
      </c>
      <c r="Y119" s="61">
        <v>-2.206</v>
      </c>
      <c r="Z119" s="61">
        <v>-1.6850000000000001</v>
      </c>
      <c r="AA119" s="61">
        <v>-1.851</v>
      </c>
      <c r="AB119" s="61">
        <v>-1.879</v>
      </c>
      <c r="AC119" s="61">
        <v>-0.81399999999999995</v>
      </c>
      <c r="AD119" s="61">
        <v>-1.323</v>
      </c>
      <c r="AE119" s="61">
        <v>-1.6479999999999999</v>
      </c>
      <c r="AF119" s="61">
        <v>-1.591</v>
      </c>
      <c r="AG119" s="61">
        <v>-1.2130000000000001</v>
      </c>
      <c r="AH119" s="61">
        <v>-1.845</v>
      </c>
      <c r="AI119" s="61">
        <v>-1.3979999999999997</v>
      </c>
      <c r="AJ119" s="61">
        <v>-1.42</v>
      </c>
      <c r="AK119" s="61">
        <v>-1.42</v>
      </c>
      <c r="AL119" s="61">
        <v>-1.123</v>
      </c>
      <c r="AM119" s="61">
        <v>-1.758</v>
      </c>
      <c r="AN119" s="61">
        <v>-1.4790000000000001</v>
      </c>
      <c r="AO119" s="61">
        <v>-1.3009999999999999</v>
      </c>
      <c r="AP119" s="61">
        <v>-1.2050000000000001</v>
      </c>
      <c r="AQ119" s="61">
        <v>-1.6539999999999999</v>
      </c>
      <c r="AR119" s="61">
        <v>-1.401</v>
      </c>
      <c r="AS119" s="61">
        <v>-1.4510000000000001</v>
      </c>
      <c r="AT119" s="61">
        <v>-1.4279999999999999</v>
      </c>
      <c r="AU119" s="87">
        <f t="shared" ref="AU119:BF119" si="368">AU228</f>
        <v>-1.3168876080691641</v>
      </c>
      <c r="AV119" s="87">
        <f t="shared" si="368"/>
        <v>-1.3432253602305473</v>
      </c>
      <c r="AW119" s="87">
        <f t="shared" si="368"/>
        <v>-1.3700898674351583</v>
      </c>
      <c r="AX119" s="87">
        <f t="shared" si="368"/>
        <v>-1.3974916647838613</v>
      </c>
      <c r="AY119" s="87">
        <f t="shared" si="368"/>
        <v>-1.4254414980795387</v>
      </c>
      <c r="AZ119" s="87">
        <f t="shared" si="368"/>
        <v>-1.4539503280411294</v>
      </c>
      <c r="BA119" s="87">
        <f t="shared" si="368"/>
        <v>-1.4830293346019521</v>
      </c>
      <c r="BB119" s="87">
        <f t="shared" si="368"/>
        <v>-1.512689921293991</v>
      </c>
      <c r="BC119" s="87">
        <f t="shared" si="368"/>
        <v>-1.542943719719871</v>
      </c>
      <c r="BD119" s="87">
        <f t="shared" si="368"/>
        <v>-1.5738025941142686</v>
      </c>
      <c r="BE119" s="87">
        <f t="shared" si="368"/>
        <v>-1.605278645996554</v>
      </c>
      <c r="BF119" s="87">
        <f t="shared" si="368"/>
        <v>-1.6373842189164851</v>
      </c>
      <c r="BI119">
        <f t="shared" si="278"/>
        <v>112</v>
      </c>
    </row>
    <row r="120" spans="2:61" hidden="1" outlineLevel="2">
      <c r="B120" s="19" t="s">
        <v>56</v>
      </c>
      <c r="C120" s="54">
        <f t="shared" si="351"/>
        <v>420.94100000000003</v>
      </c>
      <c r="D120" s="54">
        <f t="shared" si="351"/>
        <v>694.69499999999994</v>
      </c>
      <c r="E120" s="54">
        <f t="shared" si="351"/>
        <v>739.70900000000006</v>
      </c>
      <c r="F120" s="54">
        <f t="shared" si="351"/>
        <v>639.82099999999991</v>
      </c>
      <c r="G120" s="54">
        <f t="shared" si="351"/>
        <v>765.87400000000002</v>
      </c>
      <c r="H120" s="54">
        <f t="shared" si="351"/>
        <v>470.21600000000001</v>
      </c>
      <c r="I120" s="54">
        <f t="shared" si="351"/>
        <v>207.56300000000002</v>
      </c>
      <c r="J120" s="54">
        <f t="shared" si="351"/>
        <v>366.99400000000003</v>
      </c>
      <c r="K120" s="54">
        <f t="shared" si="351"/>
        <v>539.12370549948128</v>
      </c>
      <c r="L120" s="54">
        <f t="shared" si="351"/>
        <v>715.0593889179836</v>
      </c>
      <c r="M120" s="54">
        <f t="shared" si="351"/>
        <v>791.56059082125284</v>
      </c>
      <c r="O120" s="54">
        <f>O118+O119</f>
        <v>74.367000000000019</v>
      </c>
      <c r="P120" s="54">
        <f t="shared" ref="P120:AS120" si="369">P118+P119</f>
        <v>89.743000000000009</v>
      </c>
      <c r="Q120" s="54">
        <f t="shared" si="369"/>
        <v>114.09600000000002</v>
      </c>
      <c r="R120" s="54">
        <f t="shared" si="369"/>
        <v>142.73500000000001</v>
      </c>
      <c r="S120" s="54">
        <f t="shared" si="369"/>
        <v>157.374</v>
      </c>
      <c r="T120" s="54">
        <f t="shared" si="369"/>
        <v>166.417</v>
      </c>
      <c r="U120" s="54">
        <f t="shared" si="369"/>
        <v>174.46899999999999</v>
      </c>
      <c r="V120" s="54">
        <f t="shared" si="369"/>
        <v>196.435</v>
      </c>
      <c r="W120" s="54">
        <f t="shared" si="369"/>
        <v>205.49700000000001</v>
      </c>
      <c r="X120" s="54">
        <f t="shared" si="369"/>
        <v>186.24299999999999</v>
      </c>
      <c r="Y120" s="54">
        <f t="shared" si="369"/>
        <v>178.98700000000005</v>
      </c>
      <c r="Z120" s="54">
        <f t="shared" si="369"/>
        <v>168.982</v>
      </c>
      <c r="AA120" s="54">
        <f t="shared" si="369"/>
        <v>170.17099999999999</v>
      </c>
      <c r="AB120" s="54">
        <f t="shared" si="369"/>
        <v>145.352</v>
      </c>
      <c r="AC120" s="54">
        <f t="shared" si="369"/>
        <v>154.48899999999998</v>
      </c>
      <c r="AD120" s="54">
        <f t="shared" si="369"/>
        <v>169.80899999999994</v>
      </c>
      <c r="AE120" s="54">
        <f t="shared" si="369"/>
        <v>173.19600000000003</v>
      </c>
      <c r="AF120" s="54">
        <f t="shared" si="369"/>
        <v>181.67400000000001</v>
      </c>
      <c r="AG120" s="54">
        <f t="shared" si="369"/>
        <v>202.804</v>
      </c>
      <c r="AH120" s="54">
        <f t="shared" si="369"/>
        <v>208.20000000000002</v>
      </c>
      <c r="AI120" s="54">
        <f t="shared" si="369"/>
        <v>171.47600000000003</v>
      </c>
      <c r="AJ120" s="54">
        <f t="shared" si="369"/>
        <v>117.45299999999999</v>
      </c>
      <c r="AK120" s="54">
        <f t="shared" si="369"/>
        <v>94.779000000000011</v>
      </c>
      <c r="AL120" s="54">
        <f t="shared" si="369"/>
        <v>86.50800000000001</v>
      </c>
      <c r="AM120" s="54">
        <f t="shared" si="369"/>
        <v>69.22699999999999</v>
      </c>
      <c r="AN120" s="54">
        <f t="shared" si="369"/>
        <v>44.534000000000006</v>
      </c>
      <c r="AO120" s="54">
        <f t="shared" si="369"/>
        <v>46.727000000000004</v>
      </c>
      <c r="AP120" s="54">
        <f t="shared" si="369"/>
        <v>47.075000000000017</v>
      </c>
      <c r="AQ120" s="54">
        <f t="shared" si="369"/>
        <v>48.853000000000009</v>
      </c>
      <c r="AR120" s="54">
        <f t="shared" si="369"/>
        <v>88.052000000000007</v>
      </c>
      <c r="AS120" s="54">
        <f t="shared" si="369"/>
        <v>113.20599999999999</v>
      </c>
      <c r="AT120" s="54">
        <f t="shared" ref="AT120" si="370">AT118+AT119</f>
        <v>116.88299999999998</v>
      </c>
      <c r="AU120" s="54">
        <f t="shared" ref="AU120" si="371">AU118+AU119</f>
        <v>115.87661239193083</v>
      </c>
      <c r="AV120" s="54">
        <f t="shared" ref="AV120" si="372">AV118+AV119</f>
        <v>128.04967463976945</v>
      </c>
      <c r="AW120" s="54">
        <f t="shared" ref="AW120" si="373">AW118+AW119</f>
        <v>142.26491013256486</v>
      </c>
      <c r="AX120" s="54">
        <f t="shared" ref="AX120" si="374">AX118+AX119</f>
        <v>152.93250833521617</v>
      </c>
      <c r="AY120" s="54">
        <f t="shared" ref="AY120" si="375">AY118+AY119</f>
        <v>161.24955850192049</v>
      </c>
      <c r="AZ120" s="54">
        <f t="shared" ref="AZ120" si="376">AZ118+AZ119</f>
        <v>176.13254967195891</v>
      </c>
      <c r="BA120" s="54">
        <f t="shared" ref="BA120" si="377">BA118+BA119</f>
        <v>186.33497066539809</v>
      </c>
      <c r="BB120" s="54">
        <f t="shared" ref="BB120" si="378">BB118+BB119</f>
        <v>191.34231007870602</v>
      </c>
      <c r="BC120" s="54">
        <f t="shared" ref="BC120" si="379">BC118+BC119</f>
        <v>194.10705628028012</v>
      </c>
      <c r="BD120" s="54">
        <f t="shared" ref="BD120" si="380">BD118+BD119</f>
        <v>195.89619740588577</v>
      </c>
      <c r="BE120" s="54">
        <f t="shared" ref="BE120" si="381">BE118+BE119</f>
        <v>199.87472135400347</v>
      </c>
      <c r="BF120" s="54">
        <f t="shared" ref="BF120" si="382">BF118+BF119</f>
        <v>201.68261578108351</v>
      </c>
      <c r="BI120">
        <f t="shared" si="278"/>
        <v>113</v>
      </c>
    </row>
    <row r="121" spans="2:61" hidden="1" outlineLevel="2">
      <c r="B121" s="25" t="s">
        <v>58</v>
      </c>
      <c r="C121" s="54">
        <f t="shared" si="351"/>
        <v>-280.45800000000003</v>
      </c>
      <c r="D121" s="54">
        <f t="shared" si="351"/>
        <v>-333.012</v>
      </c>
      <c r="E121" s="54">
        <f t="shared" si="351"/>
        <v>-390.31599999999997</v>
      </c>
      <c r="F121" s="54">
        <f t="shared" si="351"/>
        <v>-398.17500000000001</v>
      </c>
      <c r="G121" s="54">
        <f t="shared" si="351"/>
        <v>-446.14400000000001</v>
      </c>
      <c r="H121" s="54">
        <f t="shared" si="351"/>
        <v>-487.37200000000001</v>
      </c>
      <c r="I121" s="54">
        <f t="shared" si="351"/>
        <v>-467.97400000000005</v>
      </c>
      <c r="J121" s="54">
        <f t="shared" si="351"/>
        <v>-509.91199999999998</v>
      </c>
      <c r="K121" s="54">
        <f t="shared" si="351"/>
        <v>-520.50861260968054</v>
      </c>
      <c r="L121" s="54">
        <f t="shared" si="351"/>
        <v>-542.4430965145126</v>
      </c>
      <c r="M121" s="54">
        <f t="shared" si="351"/>
        <v>-546.85236053539461</v>
      </c>
      <c r="O121" s="61">
        <v>-65.665999999999997</v>
      </c>
      <c r="P121" s="61">
        <v>-67.644000000000005</v>
      </c>
      <c r="Q121" s="61">
        <v>-72.617000000000004</v>
      </c>
      <c r="R121" s="61">
        <v>-74.531000000000006</v>
      </c>
      <c r="S121" s="61">
        <v>-76.855000000000004</v>
      </c>
      <c r="T121" s="61">
        <v>-81.281999999999996</v>
      </c>
      <c r="U121" s="61">
        <v>-84.460999999999999</v>
      </c>
      <c r="V121" s="61">
        <v>-90.414000000000001</v>
      </c>
      <c r="W121" s="61">
        <v>-93.725999999999999</v>
      </c>
      <c r="X121" s="61">
        <v>-95.706999999999994</v>
      </c>
      <c r="Y121" s="61">
        <v>-101.02</v>
      </c>
      <c r="Z121" s="61">
        <v>-99.863</v>
      </c>
      <c r="AA121" s="61">
        <v>-97.622</v>
      </c>
      <c r="AB121" s="61">
        <v>-98.283000000000001</v>
      </c>
      <c r="AC121" s="61">
        <v>-98.283000000000001</v>
      </c>
      <c r="AD121" s="61">
        <v>-103.98700000000001</v>
      </c>
      <c r="AE121" s="61">
        <v>-106.119</v>
      </c>
      <c r="AF121" s="61">
        <v>-112.057</v>
      </c>
      <c r="AG121" s="61">
        <v>-112.77800000000001</v>
      </c>
      <c r="AH121" s="61">
        <v>-115.19</v>
      </c>
      <c r="AI121" s="61">
        <v>-118.83199999999999</v>
      </c>
      <c r="AJ121" s="61">
        <v>-123.627</v>
      </c>
      <c r="AK121" s="61">
        <v>-123.69399999999999</v>
      </c>
      <c r="AL121" s="61">
        <v>-121.21899999999999</v>
      </c>
      <c r="AM121" s="61">
        <v>-121.099</v>
      </c>
      <c r="AN121" s="61">
        <v>-120.402</v>
      </c>
      <c r="AO121" s="61">
        <v>-115.652</v>
      </c>
      <c r="AP121" s="61">
        <v>-110.821</v>
      </c>
      <c r="AQ121" s="61">
        <v>-110.559</v>
      </c>
      <c r="AR121" s="61">
        <v>-132.435</v>
      </c>
      <c r="AS121" s="61">
        <v>-133.60300000000001</v>
      </c>
      <c r="AT121" s="61">
        <v>-133.315</v>
      </c>
      <c r="AU121" s="87">
        <f t="shared" ref="AU121:BF121" si="383">AU244</f>
        <v>-129.42958693654867</v>
      </c>
      <c r="AV121" s="87">
        <f t="shared" si="383"/>
        <v>-129.86498368015486</v>
      </c>
      <c r="AW121" s="87">
        <f t="shared" si="383"/>
        <v>-130.34439851285887</v>
      </c>
      <c r="AX121" s="87">
        <f t="shared" si="383"/>
        <v>-130.86964348011819</v>
      </c>
      <c r="AY121" s="87">
        <f t="shared" si="383"/>
        <v>-133.06843468390636</v>
      </c>
      <c r="AZ121" s="87">
        <f t="shared" si="383"/>
        <v>-134.44977003640761</v>
      </c>
      <c r="BA121" s="87">
        <f t="shared" si="383"/>
        <v>-135.80592629347626</v>
      </c>
      <c r="BB121" s="87">
        <f t="shared" si="383"/>
        <v>-139.1189655007224</v>
      </c>
      <c r="BC121" s="87">
        <f t="shared" si="383"/>
        <v>-139.22229045767989</v>
      </c>
      <c r="BD121" s="87">
        <f t="shared" si="383"/>
        <v>-137.47524103008291</v>
      </c>
      <c r="BE121" s="87">
        <f t="shared" si="383"/>
        <v>-135.83703125553058</v>
      </c>
      <c r="BF121" s="87">
        <f t="shared" si="383"/>
        <v>-134.31779779210126</v>
      </c>
      <c r="BI121">
        <f t="shared" si="278"/>
        <v>114</v>
      </c>
    </row>
    <row r="122" spans="2:61" hidden="1" outlineLevel="2">
      <c r="B122" s="19" t="s">
        <v>59</v>
      </c>
      <c r="C122" s="54">
        <f t="shared" si="351"/>
        <v>140.48300000000006</v>
      </c>
      <c r="D122" s="54">
        <f t="shared" si="351"/>
        <v>361.68299999999999</v>
      </c>
      <c r="E122" s="54">
        <f t="shared" si="351"/>
        <v>349.39300000000003</v>
      </c>
      <c r="F122" s="54">
        <f t="shared" si="351"/>
        <v>241.6459999999999</v>
      </c>
      <c r="G122" s="54">
        <f t="shared" si="351"/>
        <v>319.73</v>
      </c>
      <c r="H122" s="54">
        <f t="shared" si="351"/>
        <v>-17.155999999999935</v>
      </c>
      <c r="I122" s="54">
        <f t="shared" si="351"/>
        <v>-260.411</v>
      </c>
      <c r="J122" s="54">
        <f t="shared" si="351"/>
        <v>-142.91800000000001</v>
      </c>
      <c r="K122" s="54">
        <f t="shared" si="351"/>
        <v>18.615092889800721</v>
      </c>
      <c r="L122" s="54">
        <f t="shared" si="351"/>
        <v>172.61629240347088</v>
      </c>
      <c r="M122" s="54">
        <f t="shared" si="351"/>
        <v>244.70823028585824</v>
      </c>
      <c r="O122" s="54">
        <f>O120+O121</f>
        <v>8.7010000000000218</v>
      </c>
      <c r="P122" s="54">
        <f t="shared" ref="P122:AS122" si="384">P120+P121</f>
        <v>22.099000000000004</v>
      </c>
      <c r="Q122" s="54">
        <f t="shared" si="384"/>
        <v>41.479000000000013</v>
      </c>
      <c r="R122" s="54">
        <f t="shared" si="384"/>
        <v>68.204000000000008</v>
      </c>
      <c r="S122" s="54">
        <f t="shared" si="384"/>
        <v>80.518999999999991</v>
      </c>
      <c r="T122" s="54">
        <f t="shared" si="384"/>
        <v>85.135000000000005</v>
      </c>
      <c r="U122" s="54">
        <f t="shared" si="384"/>
        <v>90.007999999999996</v>
      </c>
      <c r="V122" s="54">
        <f t="shared" si="384"/>
        <v>106.021</v>
      </c>
      <c r="W122" s="54">
        <f t="shared" si="384"/>
        <v>111.77100000000002</v>
      </c>
      <c r="X122" s="54">
        <f t="shared" si="384"/>
        <v>90.536000000000001</v>
      </c>
      <c r="Y122" s="54">
        <f t="shared" si="384"/>
        <v>77.967000000000056</v>
      </c>
      <c r="Z122" s="54">
        <f t="shared" si="384"/>
        <v>69.119</v>
      </c>
      <c r="AA122" s="54">
        <f t="shared" si="384"/>
        <v>72.548999999999992</v>
      </c>
      <c r="AB122" s="54">
        <f t="shared" si="384"/>
        <v>47.069000000000003</v>
      </c>
      <c r="AC122" s="54">
        <f t="shared" si="384"/>
        <v>56.205999999999975</v>
      </c>
      <c r="AD122" s="54">
        <f t="shared" si="384"/>
        <v>65.821999999999932</v>
      </c>
      <c r="AE122" s="54">
        <f t="shared" si="384"/>
        <v>67.077000000000027</v>
      </c>
      <c r="AF122" s="54">
        <f t="shared" si="384"/>
        <v>69.617000000000004</v>
      </c>
      <c r="AG122" s="54">
        <f t="shared" si="384"/>
        <v>90.025999999999996</v>
      </c>
      <c r="AH122" s="54">
        <f t="shared" si="384"/>
        <v>93.010000000000019</v>
      </c>
      <c r="AI122" s="54">
        <f t="shared" si="384"/>
        <v>52.644000000000034</v>
      </c>
      <c r="AJ122" s="54">
        <f t="shared" si="384"/>
        <v>-6.1740000000000066</v>
      </c>
      <c r="AK122" s="54">
        <f t="shared" si="384"/>
        <v>-28.914999999999978</v>
      </c>
      <c r="AL122" s="54">
        <f t="shared" si="384"/>
        <v>-34.710999999999984</v>
      </c>
      <c r="AM122" s="54">
        <f t="shared" si="384"/>
        <v>-51.872000000000014</v>
      </c>
      <c r="AN122" s="54">
        <f t="shared" si="384"/>
        <v>-75.867999999999995</v>
      </c>
      <c r="AO122" s="54">
        <f t="shared" si="384"/>
        <v>-68.924999999999997</v>
      </c>
      <c r="AP122" s="54">
        <f t="shared" si="384"/>
        <v>-63.745999999999981</v>
      </c>
      <c r="AQ122" s="54">
        <f t="shared" si="384"/>
        <v>-61.705999999999989</v>
      </c>
      <c r="AR122" s="54">
        <f t="shared" si="384"/>
        <v>-44.382999999999996</v>
      </c>
      <c r="AS122" s="54">
        <f t="shared" si="384"/>
        <v>-20.39700000000002</v>
      </c>
      <c r="AT122" s="54">
        <f t="shared" ref="AT122" si="385">AT120+AT121</f>
        <v>-16.432000000000016</v>
      </c>
      <c r="AU122" s="54">
        <f t="shared" ref="AU122" si="386">AU120+AU121</f>
        <v>-13.55297454461784</v>
      </c>
      <c r="AV122" s="54">
        <f t="shared" ref="AV122" si="387">AV120+AV121</f>
        <v>-1.8153090403854151</v>
      </c>
      <c r="AW122" s="54">
        <f t="shared" ref="AW122" si="388">AW120+AW121</f>
        <v>11.920511619705991</v>
      </c>
      <c r="AX122" s="54">
        <f t="shared" ref="AX122" si="389">AX120+AX121</f>
        <v>22.062864855097985</v>
      </c>
      <c r="AY122" s="54">
        <f t="shared" ref="AY122" si="390">AY120+AY121</f>
        <v>28.181123818014129</v>
      </c>
      <c r="AZ122" s="54">
        <f t="shared" ref="AZ122" si="391">AZ120+AZ121</f>
        <v>41.682779635551299</v>
      </c>
      <c r="BA122" s="54">
        <f t="shared" ref="BA122" si="392">BA120+BA121</f>
        <v>50.529044371921827</v>
      </c>
      <c r="BB122" s="54">
        <f t="shared" ref="BB122" si="393">BB120+BB121</f>
        <v>52.223344577983625</v>
      </c>
      <c r="BC122" s="54">
        <f t="shared" ref="BC122" si="394">BC120+BC121</f>
        <v>54.88476582260023</v>
      </c>
      <c r="BD122" s="54">
        <f t="shared" ref="BD122" si="395">BD120+BD121</f>
        <v>58.420956375802859</v>
      </c>
      <c r="BE122" s="54">
        <f t="shared" ref="BE122" si="396">BE120+BE121</f>
        <v>64.037690098472893</v>
      </c>
      <c r="BF122" s="54">
        <f t="shared" ref="BF122" si="397">BF120+BF121</f>
        <v>67.364817988982253</v>
      </c>
      <c r="BI122">
        <f t="shared" si="278"/>
        <v>115</v>
      </c>
    </row>
    <row r="123" spans="2:61" hidden="1" outlineLevel="2">
      <c r="BI123">
        <f t="shared" si="278"/>
        <v>116</v>
      </c>
    </row>
    <row r="124" spans="2:61" hidden="1" outlineLevel="2">
      <c r="B124" s="19" t="s">
        <v>85</v>
      </c>
      <c r="C124" s="68"/>
      <c r="D124" s="68">
        <f t="shared" ref="D124" si="398">D116/C116-1</f>
        <v>0.54319630870932345</v>
      </c>
      <c r="E124" s="68">
        <f t="shared" ref="E124" si="399">E116/D116-1</f>
        <v>9.1119867799166476E-2</v>
      </c>
      <c r="F124" s="68">
        <f t="shared" ref="F124" si="400">F116/E116-1</f>
        <v>-0.11377807590987166</v>
      </c>
      <c r="G124" s="68">
        <f t="shared" ref="G124" si="401">G116/F116-1</f>
        <v>0.13898795992671165</v>
      </c>
      <c r="H124" s="68">
        <f t="shared" ref="H124" si="402">H116/G116-1</f>
        <v>-0.41026359152287062</v>
      </c>
      <c r="I124" s="68">
        <f t="shared" ref="I124" si="403">I116/H116-1</f>
        <v>-0.52130391682227906</v>
      </c>
      <c r="J124" s="68">
        <f t="shared" ref="J124" si="404">J116/I116-1</f>
        <v>1.0034925160370634</v>
      </c>
      <c r="K124" s="68">
        <f t="shared" ref="K124" si="405">K116/J116-1</f>
        <v>0.36880897048459071</v>
      </c>
      <c r="L124" s="68">
        <f t="shared" ref="L124" si="406">L116/K116-1</f>
        <v>0.21837038535578479</v>
      </c>
      <c r="M124" s="68">
        <f t="shared" ref="M124" si="407">M116/L116-1</f>
        <v>0.1059265601217656</v>
      </c>
      <c r="O124" s="68"/>
      <c r="P124" s="68">
        <f t="shared" ref="P124:AR124" si="408">P116/O116-1</f>
        <v>0.1386557213694275</v>
      </c>
      <c r="Q124" s="68">
        <f t="shared" si="408"/>
        <v>0.21166748622721565</v>
      </c>
      <c r="R124" s="68">
        <f t="shared" si="408"/>
        <v>0.17082532268992523</v>
      </c>
      <c r="S124" s="68">
        <f t="shared" si="408"/>
        <v>0.10848108851210836</v>
      </c>
      <c r="T124" s="68">
        <f t="shared" si="408"/>
        <v>2.4170681421885831E-2</v>
      </c>
      <c r="U124" s="68">
        <f t="shared" si="408"/>
        <v>0.13027357243213733</v>
      </c>
      <c r="V124" s="68">
        <f t="shared" si="408"/>
        <v>7.3461576321976363E-2</v>
      </c>
      <c r="W124" s="68">
        <f t="shared" si="408"/>
        <v>4.3856375435311623E-2</v>
      </c>
      <c r="X124" s="68">
        <f t="shared" si="408"/>
        <v>-5.9722318696091015E-2</v>
      </c>
      <c r="Y124" s="68">
        <f t="shared" si="408"/>
        <v>-2.9362366892703773E-2</v>
      </c>
      <c r="Z124" s="68">
        <f t="shared" si="408"/>
        <v>-4.8100104088553586E-2</v>
      </c>
      <c r="AA124" s="68">
        <f t="shared" si="408"/>
        <v>-1.4469237878221408E-2</v>
      </c>
      <c r="AB124" s="68">
        <f t="shared" si="408"/>
        <v>-6.9471288064252956E-2</v>
      </c>
      <c r="AC124" s="68">
        <f t="shared" si="408"/>
        <v>1.305711333174342E-2</v>
      </c>
      <c r="AD124" s="68">
        <f t="shared" si="408"/>
        <v>3.8542439207129853E-2</v>
      </c>
      <c r="AE124" s="68">
        <f t="shared" si="408"/>
        <v>3.803333187098179E-2</v>
      </c>
      <c r="AF124" s="68">
        <f t="shared" si="408"/>
        <v>2.9772037294877096E-2</v>
      </c>
      <c r="AG124" s="68">
        <f t="shared" si="408"/>
        <v>9.947717991805427E-2</v>
      </c>
      <c r="AH124" s="68">
        <f t="shared" si="408"/>
        <v>2.0571864657038752E-2</v>
      </c>
      <c r="AI124" s="68">
        <f t="shared" si="408"/>
        <v>-0.21629969195256549</v>
      </c>
      <c r="AJ124" s="68">
        <f t="shared" si="408"/>
        <v>-0.29289003432862137</v>
      </c>
      <c r="AK124" s="68">
        <f t="shared" si="408"/>
        <v>-0.14595135688120831</v>
      </c>
      <c r="AL124" s="68">
        <f t="shared" si="408"/>
        <v>-0.17093642799795628</v>
      </c>
      <c r="AM124" s="68">
        <f t="shared" si="408"/>
        <v>-0.21346120982066574</v>
      </c>
      <c r="AN124" s="68">
        <f t="shared" si="408"/>
        <v>-0.27696977278563095</v>
      </c>
      <c r="AO124" s="68">
        <f t="shared" si="408"/>
        <v>0.11591207110075041</v>
      </c>
      <c r="AP124" s="68">
        <f t="shared" si="408"/>
        <v>0.10054265779917593</v>
      </c>
      <c r="AQ124" s="68">
        <f t="shared" si="408"/>
        <v>0.17693117613038112</v>
      </c>
      <c r="AR124" s="68">
        <f t="shared" si="408"/>
        <v>0.70172244342523049</v>
      </c>
      <c r="AS124" s="68">
        <f>AS116/AR116-1</f>
        <v>0.11662982995879467</v>
      </c>
      <c r="AT124" s="68">
        <f>AT116/AS116-1</f>
        <v>2.6411240857519891E-2</v>
      </c>
      <c r="AU124" s="68">
        <f t="shared" ref="AU124:BF124" si="409">AU116/AT116-1</f>
        <v>4.4282576393823936E-2</v>
      </c>
      <c r="AV124" s="68">
        <f t="shared" si="409"/>
        <v>7.5401575679964417E-2</v>
      </c>
      <c r="AW124" s="68">
        <f t="shared" si="409"/>
        <v>5.4783980579033775E-2</v>
      </c>
      <c r="AX124" s="68">
        <f t="shared" si="409"/>
        <v>5.2433517310586986E-2</v>
      </c>
      <c r="AY124" s="68">
        <f t="shared" si="409"/>
        <v>3.3295330880447782E-2</v>
      </c>
      <c r="AZ124" s="68">
        <f t="shared" si="409"/>
        <v>6.8158680007021299E-2</v>
      </c>
      <c r="BA124" s="68">
        <f t="shared" si="409"/>
        <v>5.045883405208329E-2</v>
      </c>
      <c r="BB124" s="68">
        <f t="shared" si="409"/>
        <v>3.3050629658185615E-2</v>
      </c>
      <c r="BC124" s="68">
        <f t="shared" si="409"/>
        <v>1.797063951853306E-2</v>
      </c>
      <c r="BD124" s="68">
        <f t="shared" si="409"/>
        <v>8.9924579385032288E-3</v>
      </c>
      <c r="BE124" s="68">
        <f t="shared" si="409"/>
        <v>1.999926283587028E-2</v>
      </c>
      <c r="BF124" s="68">
        <f t="shared" si="409"/>
        <v>8.8335866261397555E-3</v>
      </c>
      <c r="BI124">
        <f t="shared" si="278"/>
        <v>117</v>
      </c>
    </row>
    <row r="125" spans="2:61" hidden="1" outlineLevel="2">
      <c r="B125" s="19" t="s">
        <v>87</v>
      </c>
      <c r="C125" s="68">
        <f t="shared" ref="C125:M125" si="410">C118/C116</f>
        <v>0.39395580729421809</v>
      </c>
      <c r="D125" s="68">
        <f t="shared" si="410"/>
        <v>0.41992751474771223</v>
      </c>
      <c r="E125" s="68">
        <f t="shared" si="410"/>
        <v>0.40962654380794344</v>
      </c>
      <c r="F125" s="68">
        <f t="shared" si="410"/>
        <v>0.39994499647556236</v>
      </c>
      <c r="G125" s="68">
        <f t="shared" si="410"/>
        <v>0.41992516980906336</v>
      </c>
      <c r="H125" s="68">
        <f t="shared" si="410"/>
        <v>0.43855222813933659</v>
      </c>
      <c r="I125" s="68">
        <f t="shared" si="410"/>
        <v>0.41090712951012315</v>
      </c>
      <c r="J125" s="68">
        <f t="shared" si="410"/>
        <v>0.35857323757996146</v>
      </c>
      <c r="K125" s="68">
        <f t="shared" si="410"/>
        <v>0.38251539312302946</v>
      </c>
      <c r="L125" s="68">
        <f t="shared" si="410"/>
        <v>0.41564878234398783</v>
      </c>
      <c r="M125" s="68">
        <f t="shared" si="410"/>
        <v>0.4159716818957282</v>
      </c>
      <c r="O125" s="68">
        <f t="shared" ref="O125:AR125" si="411">O118/O116</f>
        <v>0.35872262687133749</v>
      </c>
      <c r="P125" s="68">
        <f t="shared" si="411"/>
        <v>0.37781602393672442</v>
      </c>
      <c r="Q125" s="68">
        <f t="shared" si="411"/>
        <v>0.39813041040862024</v>
      </c>
      <c r="R125" s="68">
        <f t="shared" si="411"/>
        <v>0.42357855405548311</v>
      </c>
      <c r="S125" s="68">
        <f t="shared" si="411"/>
        <v>0.42044689658096551</v>
      </c>
      <c r="T125" s="68">
        <f t="shared" si="411"/>
        <v>0.4339821827317914</v>
      </c>
      <c r="U125" s="68">
        <f t="shared" si="411"/>
        <v>0.4045285662287359</v>
      </c>
      <c r="V125" s="68">
        <f t="shared" si="411"/>
        <v>0.42227089229010678</v>
      </c>
      <c r="W125" s="68">
        <f t="shared" si="411"/>
        <v>0.42255486412166332</v>
      </c>
      <c r="X125" s="68">
        <f t="shared" si="411"/>
        <v>0.4074511840329908</v>
      </c>
      <c r="Y125" s="68">
        <f t="shared" si="411"/>
        <v>0.40559392033308345</v>
      </c>
      <c r="Z125" s="68">
        <f t="shared" si="411"/>
        <v>0.40133616462902738</v>
      </c>
      <c r="AA125" s="68">
        <f t="shared" si="411"/>
        <v>0.41046161481672366</v>
      </c>
      <c r="AB125" s="68">
        <f t="shared" si="411"/>
        <v>0.37753571346149406</v>
      </c>
      <c r="AC125" s="68">
        <f t="shared" si="411"/>
        <v>0.39310149314933263</v>
      </c>
      <c r="AD125" s="68">
        <f t="shared" si="411"/>
        <v>0.41709196730181469</v>
      </c>
      <c r="AE125" s="68">
        <f t="shared" si="411"/>
        <v>0.41052540132377563</v>
      </c>
      <c r="AF125" s="68">
        <f t="shared" si="411"/>
        <v>0.41785705328295897</v>
      </c>
      <c r="AG125" s="68">
        <f t="shared" si="411"/>
        <v>0.42308569674748864</v>
      </c>
      <c r="AH125" s="68">
        <f t="shared" si="411"/>
        <v>0.42680622272073349</v>
      </c>
      <c r="AI125" s="68">
        <f t="shared" si="411"/>
        <v>0.44822704597546181</v>
      </c>
      <c r="AJ125" s="68">
        <f t="shared" si="411"/>
        <v>0.43587769185357927</v>
      </c>
      <c r="AK125" s="68">
        <f t="shared" si="411"/>
        <v>0.41301837135116809</v>
      </c>
      <c r="AL125" s="68">
        <f t="shared" si="411"/>
        <v>0.45380444633175049</v>
      </c>
      <c r="AM125" s="68">
        <f t="shared" si="411"/>
        <v>0.46736632802881162</v>
      </c>
      <c r="AN125" s="68">
        <f t="shared" si="411"/>
        <v>0.41900087418955345</v>
      </c>
      <c r="AO125" s="68">
        <f t="shared" si="411"/>
        <v>0.39192133501978871</v>
      </c>
      <c r="AP125" s="68">
        <f t="shared" si="411"/>
        <v>0.35798496285201614</v>
      </c>
      <c r="AQ125" s="68">
        <f t="shared" si="411"/>
        <v>0.31819842749861399</v>
      </c>
      <c r="AR125" s="68">
        <f t="shared" si="411"/>
        <v>0.33117125922306018</v>
      </c>
      <c r="AS125" s="68">
        <f>AS118/AS116</f>
        <v>0.38014482086375301</v>
      </c>
      <c r="AT125" s="68">
        <f>AT118/AT116</f>
        <v>0.38216616060469016</v>
      </c>
      <c r="AU125" s="68">
        <f t="shared" ref="AU125:BF125" si="412">AU118/AU116</f>
        <v>0.36250382784443641</v>
      </c>
      <c r="AV125" s="68">
        <f t="shared" si="412"/>
        <v>0.37217641669938489</v>
      </c>
      <c r="AW125" s="68">
        <f t="shared" si="412"/>
        <v>0.39168339187155043</v>
      </c>
      <c r="AX125" s="68">
        <f t="shared" si="412"/>
        <v>0.39988081048867713</v>
      </c>
      <c r="AY125" s="68">
        <f t="shared" si="412"/>
        <v>0.40792146242383215</v>
      </c>
      <c r="AZ125" s="68">
        <f t="shared" si="412"/>
        <v>0.41689809869685973</v>
      </c>
      <c r="BA125" s="68">
        <f t="shared" si="412"/>
        <v>0.41973785659213581</v>
      </c>
      <c r="BB125" s="68">
        <f t="shared" si="412"/>
        <v>0.41720569210866754</v>
      </c>
      <c r="BC125" s="68">
        <f t="shared" si="412"/>
        <v>0.41578031328563136</v>
      </c>
      <c r="BD125" s="68">
        <f t="shared" si="412"/>
        <v>0.4159080019166268</v>
      </c>
      <c r="BE125" s="68">
        <f t="shared" si="412"/>
        <v>0.41603343465045595</v>
      </c>
      <c r="BF125" s="68">
        <f t="shared" si="412"/>
        <v>0.41615667074663404</v>
      </c>
      <c r="BI125">
        <f t="shared" si="278"/>
        <v>118</v>
      </c>
    </row>
    <row r="126" spans="2:61" hidden="1" outlineLevel="2">
      <c r="B126" s="19" t="s">
        <v>128</v>
      </c>
      <c r="C126" s="68"/>
      <c r="D126" s="68">
        <f t="shared" ref="D126" si="413">IFERROR((D118-C118)/(D116-C116),"NM")</f>
        <v>0.46774026133136426</v>
      </c>
      <c r="E126" s="68">
        <f t="shared" ref="E126" si="414">IFERROR((E118-D118)/(E116-D116),"NM")</f>
        <v>0.29657797176136519</v>
      </c>
      <c r="F126" s="68">
        <f t="shared" ref="F126" si="415">IFERROR((F118-E118)/(F116-E116),"NM")</f>
        <v>0.48503649811116961</v>
      </c>
      <c r="G126" s="68">
        <f t="shared" ref="G126" si="416">IFERROR((G118-F118)/(G116-F116),"NM")</f>
        <v>0.56367987592919444</v>
      </c>
      <c r="H126" s="68">
        <f t="shared" ref="H126" si="417">IFERROR((H118-G118)/(H116-G116),"NM")</f>
        <v>0.39314956820275571</v>
      </c>
      <c r="I126" s="68">
        <f t="shared" ref="I126" si="418">IFERROR((I118-H118)/(I116-H116),"NM")</f>
        <v>0.46393780458682338</v>
      </c>
      <c r="J126" s="68">
        <f t="shared" ref="J126" si="419">IFERROR((J118-I118)/(J116-I116),"NM")</f>
        <v>0.30642148647688811</v>
      </c>
      <c r="K126" s="68">
        <f t="shared" ref="K126" si="420">IFERROR((K118-J118)/(K116-J116),"NM")</f>
        <v>0.4474328909583169</v>
      </c>
      <c r="L126" s="68">
        <f t="shared" ref="L126" si="421">IFERROR((L118-K118)/(L116-K116),"NM")</f>
        <v>0.5673790142935955</v>
      </c>
      <c r="M126" s="68">
        <f t="shared" ref="M126" si="422">IFERROR((M118-L118)/(M116-L116),"NM")</f>
        <v>0.41902001605638795</v>
      </c>
      <c r="O126" s="68"/>
      <c r="P126" s="68">
        <f t="shared" ref="P126:BE126" si="423">IFERROR((P118-O118)/(P116-O116),"NM")</f>
        <v>0.51551966051812026</v>
      </c>
      <c r="Q126" s="68">
        <f t="shared" si="423"/>
        <v>0.49410351820132709</v>
      </c>
      <c r="R126" s="68">
        <f t="shared" si="423"/>
        <v>0.57255028287261667</v>
      </c>
      <c r="S126" s="68">
        <f t="shared" si="423"/>
        <v>0.39157866233414518</v>
      </c>
      <c r="T126" s="68">
        <f t="shared" si="423"/>
        <v>0.99396995943427491</v>
      </c>
      <c r="U126" s="68">
        <f t="shared" si="423"/>
        <v>0.17843807102566153</v>
      </c>
      <c r="V126" s="68">
        <f t="shared" si="423"/>
        <v>0.66378934247429122</v>
      </c>
      <c r="W126" s="68">
        <f t="shared" si="423"/>
        <v>0.42902990517870226</v>
      </c>
      <c r="X126" s="68">
        <f t="shared" si="423"/>
        <v>0.66034960489857453</v>
      </c>
      <c r="Y126" s="68">
        <f t="shared" si="423"/>
        <v>0.46884712150362223</v>
      </c>
      <c r="Z126" s="68">
        <f t="shared" si="423"/>
        <v>0.48985480268056769</v>
      </c>
      <c r="AA126" s="68">
        <f t="shared" si="423"/>
        <v>-0.22021777994474001</v>
      </c>
      <c r="AB126" s="68">
        <f t="shared" si="423"/>
        <v>0.85148548857976947</v>
      </c>
      <c r="AC126" s="68">
        <f t="shared" si="423"/>
        <v>1.5852317360565591</v>
      </c>
      <c r="AD126" s="68">
        <f t="shared" si="423"/>
        <v>1.0395350364484144</v>
      </c>
      <c r="AE126" s="68">
        <f t="shared" si="423"/>
        <v>0.23787247677026957</v>
      </c>
      <c r="AF126" s="68">
        <f t="shared" si="423"/>
        <v>0.66411671924290128</v>
      </c>
      <c r="AG126" s="68">
        <f t="shared" si="423"/>
        <v>0.47564693208645625</v>
      </c>
      <c r="AH126" s="68">
        <f t="shared" si="423"/>
        <v>0.60766129032258165</v>
      </c>
      <c r="AI126" s="68">
        <f t="shared" si="423"/>
        <v>0.34919397264392005</v>
      </c>
      <c r="AJ126" s="68">
        <f t="shared" si="423"/>
        <v>0.47804148260935014</v>
      </c>
      <c r="AK126" s="68">
        <f t="shared" si="423"/>
        <v>0.56964124208622191</v>
      </c>
      <c r="AL126" s="68">
        <f t="shared" si="423"/>
        <v>0.21520068317677196</v>
      </c>
      <c r="AM126" s="68">
        <f t="shared" si="423"/>
        <v>0.4038330907326545</v>
      </c>
      <c r="AN126" s="68">
        <f t="shared" si="423"/>
        <v>0.59362445622459392</v>
      </c>
      <c r="AO126" s="68">
        <f t="shared" si="423"/>
        <v>0.15829994500746333</v>
      </c>
      <c r="AP126" s="68">
        <f t="shared" si="423"/>
        <v>2.0452885317750937E-2</v>
      </c>
      <c r="AQ126" s="68">
        <f t="shared" si="423"/>
        <v>9.332830441706437E-2</v>
      </c>
      <c r="AR126" s="68">
        <f t="shared" si="423"/>
        <v>0.34965838592963022</v>
      </c>
      <c r="AS126" s="68">
        <f t="shared" si="423"/>
        <v>0.80005078881376346</v>
      </c>
      <c r="AT126" s="68">
        <f t="shared" si="423"/>
        <v>0.45869947275922579</v>
      </c>
      <c r="AU126" s="68">
        <f t="shared" si="423"/>
        <v>-8.1515792545041807E-2</v>
      </c>
      <c r="AV126" s="68">
        <f t="shared" si="423"/>
        <v>0.50045740774926617</v>
      </c>
      <c r="AW126" s="68">
        <f t="shared" si="423"/>
        <v>0.7477541805581075</v>
      </c>
      <c r="AX126" s="68">
        <f t="shared" si="423"/>
        <v>0.55622009569378239</v>
      </c>
      <c r="AY126" s="68">
        <f t="shared" si="423"/>
        <v>0.64941634241245016</v>
      </c>
      <c r="AZ126" s="68">
        <f t="shared" si="423"/>
        <v>0.54860012508737721</v>
      </c>
      <c r="BA126" s="68">
        <f t="shared" si="423"/>
        <v>0.47601656276170207</v>
      </c>
      <c r="BB126" s="68">
        <f t="shared" si="423"/>
        <v>0.3405909797822681</v>
      </c>
      <c r="BC126" s="68">
        <f t="shared" si="423"/>
        <v>0.33646322378716415</v>
      </c>
      <c r="BD126" s="68">
        <f t="shared" si="423"/>
        <v>0.43010752688172821</v>
      </c>
      <c r="BE126" s="68">
        <f t="shared" si="423"/>
        <v>0.42230530251171544</v>
      </c>
      <c r="BF126" s="68">
        <f>IFERROR((BF118-BE118)/(BF116-BE116),"NM")</f>
        <v>0.43010752688171827</v>
      </c>
      <c r="BI126">
        <f t="shared" si="278"/>
        <v>119</v>
      </c>
    </row>
    <row r="127" spans="2:61" hidden="1" outlineLevel="2">
      <c r="B127" s="19" t="s">
        <v>126</v>
      </c>
      <c r="C127" s="68">
        <f t="shared" ref="C127:M127" si="424">C120/C116</f>
        <v>0.3890764194036776</v>
      </c>
      <c r="D127" s="68">
        <f t="shared" si="424"/>
        <v>0.41608942602964455</v>
      </c>
      <c r="E127" s="68">
        <f t="shared" si="424"/>
        <v>0.4060513373950782</v>
      </c>
      <c r="F127" s="68">
        <f t="shared" si="424"/>
        <v>0.3963109235265187</v>
      </c>
      <c r="G127" s="68">
        <f t="shared" si="424"/>
        <v>0.41650070969040093</v>
      </c>
      <c r="H127" s="68">
        <f t="shared" si="424"/>
        <v>0.43360859441639582</v>
      </c>
      <c r="I127" s="68">
        <f t="shared" si="424"/>
        <v>0.39984396370711411</v>
      </c>
      <c r="J127" s="68">
        <f t="shared" si="424"/>
        <v>0.35286764939189436</v>
      </c>
      <c r="K127" s="68">
        <f t="shared" si="424"/>
        <v>0.37870275634417322</v>
      </c>
      <c r="L127" s="68">
        <f t="shared" si="424"/>
        <v>0.41226153597503784</v>
      </c>
      <c r="M127" s="68">
        <f t="shared" si="424"/>
        <v>0.4126563944835232</v>
      </c>
      <c r="O127" s="68">
        <f t="shared" ref="O127:AR127" si="425">O120/O116</f>
        <v>0.35287669932857252</v>
      </c>
      <c r="P127" s="68">
        <f t="shared" si="425"/>
        <v>0.37398214747089176</v>
      </c>
      <c r="Q127" s="68">
        <f t="shared" si="425"/>
        <v>0.39240745772271884</v>
      </c>
      <c r="R127" s="68">
        <f t="shared" si="425"/>
        <v>0.41928102271258538</v>
      </c>
      <c r="S127" s="68">
        <f t="shared" si="425"/>
        <v>0.41704164215413481</v>
      </c>
      <c r="T127" s="68">
        <f t="shared" si="425"/>
        <v>0.43059778150947403</v>
      </c>
      <c r="U127" s="68">
        <f t="shared" si="425"/>
        <v>0.39940067807163931</v>
      </c>
      <c r="V127" s="68">
        <f t="shared" si="425"/>
        <v>0.41891208891978754</v>
      </c>
      <c r="W127" s="68">
        <f t="shared" si="425"/>
        <v>0.41982544812679529</v>
      </c>
      <c r="X127" s="68">
        <f t="shared" si="425"/>
        <v>0.40465704433904254</v>
      </c>
      <c r="Y127" s="68">
        <f t="shared" si="425"/>
        <v>0.40065586981096185</v>
      </c>
      <c r="Z127" s="68">
        <f t="shared" si="425"/>
        <v>0.39737376160208066</v>
      </c>
      <c r="AA127" s="68">
        <f t="shared" si="425"/>
        <v>0.40604494457090773</v>
      </c>
      <c r="AB127" s="68">
        <f t="shared" si="425"/>
        <v>0.37271750530156755</v>
      </c>
      <c r="AC127" s="68">
        <f t="shared" si="425"/>
        <v>0.39104110400409037</v>
      </c>
      <c r="AD127" s="68">
        <f t="shared" si="425"/>
        <v>0.41386748168404419</v>
      </c>
      <c r="AE127" s="68">
        <f t="shared" si="425"/>
        <v>0.40665597565642886</v>
      </c>
      <c r="AF127" s="68">
        <f t="shared" si="425"/>
        <v>0.41422946169824182</v>
      </c>
      <c r="AG127" s="68">
        <f t="shared" si="425"/>
        <v>0.42057020563569553</v>
      </c>
      <c r="AH127" s="68">
        <f t="shared" si="425"/>
        <v>0.42305722854843825</v>
      </c>
      <c r="AI127" s="68">
        <f t="shared" si="425"/>
        <v>0.44460231692266211</v>
      </c>
      <c r="AJ127" s="68">
        <f t="shared" si="425"/>
        <v>0.43067090543082487</v>
      </c>
      <c r="AK127" s="68">
        <f t="shared" si="425"/>
        <v>0.40692177900282078</v>
      </c>
      <c r="AL127" s="68">
        <f t="shared" si="425"/>
        <v>0.44798889711708262</v>
      </c>
      <c r="AM127" s="68">
        <f t="shared" si="425"/>
        <v>0.45579162908291249</v>
      </c>
      <c r="AN127" s="68">
        <f t="shared" si="425"/>
        <v>0.40553289138194804</v>
      </c>
      <c r="AO127" s="68">
        <f t="shared" si="425"/>
        <v>0.38130482679831901</v>
      </c>
      <c r="AP127" s="68">
        <f t="shared" si="425"/>
        <v>0.34905016831521668</v>
      </c>
      <c r="AQ127" s="68">
        <f t="shared" si="425"/>
        <v>0.30777808578196669</v>
      </c>
      <c r="AR127" s="68">
        <f t="shared" si="425"/>
        <v>0.32598450266742196</v>
      </c>
      <c r="AS127" s="68">
        <f>AS120/AS116</f>
        <v>0.37533403621847794</v>
      </c>
      <c r="AT127" s="68">
        <f>AT120/AT116</f>
        <v>0.3775534595258091</v>
      </c>
      <c r="AU127" s="68">
        <f t="shared" ref="AU127:BF127" si="426">AU120/AU116</f>
        <v>0.35843042105339445</v>
      </c>
      <c r="AV127" s="68">
        <f t="shared" si="426"/>
        <v>0.36831286003290359</v>
      </c>
      <c r="AW127" s="68">
        <f t="shared" si="426"/>
        <v>0.38794724506578693</v>
      </c>
      <c r="AX127" s="68">
        <f t="shared" si="426"/>
        <v>0.39625980291033885</v>
      </c>
      <c r="AY127" s="68">
        <f t="shared" si="426"/>
        <v>0.40434704606916039</v>
      </c>
      <c r="AZ127" s="68">
        <f t="shared" si="426"/>
        <v>0.41348483739963265</v>
      </c>
      <c r="BA127" s="68">
        <f t="shared" si="426"/>
        <v>0.41642356534119562</v>
      </c>
      <c r="BB127" s="68">
        <f t="shared" si="426"/>
        <v>0.4139332706233067</v>
      </c>
      <c r="BC127" s="68">
        <f t="shared" si="426"/>
        <v>0.41250136811227478</v>
      </c>
      <c r="BD127" s="68">
        <f t="shared" si="426"/>
        <v>0.41259328528964917</v>
      </c>
      <c r="BE127" s="68">
        <f t="shared" si="426"/>
        <v>0.41271871562789797</v>
      </c>
      <c r="BF127" s="68">
        <f t="shared" si="426"/>
        <v>0.41280526230045383</v>
      </c>
      <c r="BI127">
        <f t="shared" si="278"/>
        <v>120</v>
      </c>
    </row>
    <row r="128" spans="2:61" hidden="1" outlineLevel="2">
      <c r="B128" s="19" t="s">
        <v>127</v>
      </c>
      <c r="C128" s="68">
        <f t="shared" ref="C128:M128" si="427">C122/C116</f>
        <v>0.12984865486395208</v>
      </c>
      <c r="D128" s="68">
        <f t="shared" si="427"/>
        <v>0.21663099903508726</v>
      </c>
      <c r="E128" s="68">
        <f t="shared" si="427"/>
        <v>0.19179365794721784</v>
      </c>
      <c r="F128" s="68">
        <f t="shared" si="427"/>
        <v>0.14967772146661193</v>
      </c>
      <c r="G128" s="68">
        <f t="shared" si="427"/>
        <v>0.17387686735587302</v>
      </c>
      <c r="H128" s="68">
        <f t="shared" si="427"/>
        <v>-1.5820365631555835E-2</v>
      </c>
      <c r="I128" s="68">
        <f t="shared" si="427"/>
        <v>-0.50164897613222625</v>
      </c>
      <c r="J128" s="68">
        <f t="shared" si="427"/>
        <v>-0.13741679350559072</v>
      </c>
      <c r="K128" s="68">
        <f t="shared" si="427"/>
        <v>1.3076010041960837E-2</v>
      </c>
      <c r="L128" s="68">
        <f t="shared" si="427"/>
        <v>9.9520485911322634E-2</v>
      </c>
      <c r="M128" s="68">
        <f t="shared" si="427"/>
        <v>0.12757130304508674</v>
      </c>
      <c r="O128" s="68">
        <f t="shared" ref="O128:AR128" si="428">O122/O116</f>
        <v>4.1286863270777581E-2</v>
      </c>
      <c r="P128" s="68">
        <f t="shared" si="428"/>
        <v>9.209221306351735E-2</v>
      </c>
      <c r="Q128" s="68">
        <f t="shared" si="428"/>
        <v>0.1426576649390045</v>
      </c>
      <c r="R128" s="68">
        <f t="shared" si="428"/>
        <v>0.20034779747846831</v>
      </c>
      <c r="S128" s="68">
        <f t="shared" si="428"/>
        <v>0.21337562738831559</v>
      </c>
      <c r="T128" s="68">
        <f t="shared" si="428"/>
        <v>0.22028363766207221</v>
      </c>
      <c r="U128" s="68">
        <f t="shared" si="428"/>
        <v>0.20604953448390323</v>
      </c>
      <c r="V128" s="68">
        <f t="shared" si="428"/>
        <v>0.22609758230134547</v>
      </c>
      <c r="W128" s="68">
        <f t="shared" si="428"/>
        <v>0.22834547542095524</v>
      </c>
      <c r="X128" s="68">
        <f t="shared" si="428"/>
        <v>0.19671091083304906</v>
      </c>
      <c r="Y128" s="68">
        <f t="shared" si="428"/>
        <v>0.17452628515786775</v>
      </c>
      <c r="Z128" s="68">
        <f t="shared" si="428"/>
        <v>0.16253847763770232</v>
      </c>
      <c r="AA128" s="68">
        <f t="shared" si="428"/>
        <v>0.1731091354206932</v>
      </c>
      <c r="AB128" s="68">
        <f t="shared" si="428"/>
        <v>0.12069624261819227</v>
      </c>
      <c r="AC128" s="68">
        <f t="shared" si="428"/>
        <v>0.14226809864555987</v>
      </c>
      <c r="AD128" s="68">
        <f t="shared" si="428"/>
        <v>0.16042486192962174</v>
      </c>
      <c r="AE128" s="68">
        <f t="shared" si="428"/>
        <v>0.15749360769940579</v>
      </c>
      <c r="AF128" s="68">
        <f t="shared" si="428"/>
        <v>0.15873164258532593</v>
      </c>
      <c r="AG128" s="68">
        <f t="shared" si="428"/>
        <v>0.1866938193159855</v>
      </c>
      <c r="AH128" s="68">
        <f t="shared" si="428"/>
        <v>0.18899400973722502</v>
      </c>
      <c r="AI128" s="68">
        <f t="shared" si="428"/>
        <v>0.13649516184233734</v>
      </c>
      <c r="AJ128" s="68">
        <f t="shared" si="428"/>
        <v>-2.2638520685975803E-2</v>
      </c>
      <c r="AK128" s="68">
        <f t="shared" si="428"/>
        <v>-0.1241429350369444</v>
      </c>
      <c r="AL128" s="68">
        <f t="shared" si="428"/>
        <v>-0.17975381014277345</v>
      </c>
      <c r="AM128" s="68">
        <f t="shared" si="428"/>
        <v>-0.3415260430726284</v>
      </c>
      <c r="AN128" s="68">
        <f t="shared" si="428"/>
        <v>-0.69086471916660586</v>
      </c>
      <c r="AO128" s="68">
        <f t="shared" si="428"/>
        <v>-0.56244644824350232</v>
      </c>
      <c r="AP128" s="68">
        <f t="shared" si="428"/>
        <v>-0.47266175314756853</v>
      </c>
      <c r="AQ128" s="68">
        <f t="shared" si="428"/>
        <v>-0.38875308704198369</v>
      </c>
      <c r="AR128" s="68">
        <f t="shared" si="428"/>
        <v>-0.16431393019906629</v>
      </c>
      <c r="AS128" s="68">
        <f>AS122/AS116</f>
        <v>-6.7626171198949717E-2</v>
      </c>
      <c r="AT128" s="68">
        <f>AT122/AT116</f>
        <v>-5.307836423541578E-2</v>
      </c>
      <c r="AU128" s="68">
        <f t="shared" ref="AU128:BF128" si="429">AU122/AU116</f>
        <v>-4.1922164207931108E-2</v>
      </c>
      <c r="AV128" s="68">
        <f t="shared" si="429"/>
        <v>-5.2214241573737257E-3</v>
      </c>
      <c r="AW128" s="68">
        <f t="shared" si="429"/>
        <v>3.2506467254155819E-2</v>
      </c>
      <c r="AX128" s="68">
        <f t="shared" si="429"/>
        <v>5.7166566966621715E-2</v>
      </c>
      <c r="AY128" s="68">
        <f t="shared" si="429"/>
        <v>7.0666575937245485E-2</v>
      </c>
      <c r="AZ128" s="68">
        <f t="shared" si="429"/>
        <v>9.7853561945651923E-2</v>
      </c>
      <c r="BA128" s="68">
        <f t="shared" si="429"/>
        <v>0.11292289759405055</v>
      </c>
      <c r="BB128" s="68">
        <f t="shared" si="429"/>
        <v>0.11297543034345538</v>
      </c>
      <c r="BC128" s="68">
        <f t="shared" si="429"/>
        <v>0.11663687773232426</v>
      </c>
      <c r="BD128" s="68">
        <f t="shared" si="429"/>
        <v>0.1230452384479596</v>
      </c>
      <c r="BE128" s="68">
        <f t="shared" si="429"/>
        <v>0.13223059439522122</v>
      </c>
      <c r="BF128" s="68">
        <f t="shared" si="429"/>
        <v>0.13788273844062471</v>
      </c>
      <c r="BI128">
        <f t="shared" si="278"/>
        <v>121</v>
      </c>
    </row>
    <row r="129" spans="1:61" hidden="1" outlineLevel="2">
      <c r="BI129">
        <f t="shared" si="278"/>
        <v>122</v>
      </c>
    </row>
    <row r="130" spans="1:61" outlineLevel="1" collapsed="1">
      <c r="A130" s="11" t="s">
        <v>65</v>
      </c>
      <c r="B130" s="10" t="s">
        <v>48</v>
      </c>
      <c r="AV130" s="55"/>
      <c r="AW130" s="55"/>
      <c r="AX130" s="55"/>
      <c r="BI130">
        <f t="shared" si="278"/>
        <v>123</v>
      </c>
    </row>
    <row r="131" spans="1:61" hidden="1" outlineLevel="2">
      <c r="B131" s="8" t="s">
        <v>120</v>
      </c>
      <c r="C131" s="55">
        <f t="shared" ref="C131:M134" si="430">AVERAGEIFS($O131:$BG131,$O$5:$BG$5,C$5)</f>
        <v>353.6</v>
      </c>
      <c r="D131" s="55">
        <f t="shared" si="430"/>
        <v>456.41250000000002</v>
      </c>
      <c r="E131" s="55">
        <f t="shared" si="430"/>
        <v>640.42499999999995</v>
      </c>
      <c r="F131" s="55">
        <f t="shared" si="430"/>
        <v>676.5</v>
      </c>
      <c r="G131" s="55">
        <f t="shared" si="430"/>
        <v>759.27499999999998</v>
      </c>
      <c r="H131" s="55">
        <f t="shared" si="430"/>
        <v>1008.2249999999999</v>
      </c>
      <c r="I131" s="55">
        <f t="shared" si="430"/>
        <v>1016.75</v>
      </c>
      <c r="J131" s="55">
        <f t="shared" si="430"/>
        <v>1391</v>
      </c>
      <c r="K131" s="55">
        <f t="shared" si="430"/>
        <v>1516</v>
      </c>
      <c r="L131" s="55">
        <f t="shared" si="430"/>
        <v>1557.25</v>
      </c>
      <c r="M131" s="55">
        <f t="shared" si="430"/>
        <v>1626</v>
      </c>
      <c r="O131" s="57">
        <v>353.6</v>
      </c>
      <c r="P131" s="57">
        <v>353.6</v>
      </c>
      <c r="Q131" s="57">
        <v>353.6</v>
      </c>
      <c r="R131" s="57">
        <v>353.6</v>
      </c>
      <c r="S131" s="57">
        <v>364.6</v>
      </c>
      <c r="T131" s="57">
        <v>415.6</v>
      </c>
      <c r="U131" s="57">
        <v>491.85</v>
      </c>
      <c r="V131" s="57">
        <v>553.6</v>
      </c>
      <c r="W131" s="57">
        <v>583.6</v>
      </c>
      <c r="X131" s="57">
        <v>638.6</v>
      </c>
      <c r="Y131" s="57">
        <v>663</v>
      </c>
      <c r="Z131" s="57">
        <v>676.5</v>
      </c>
      <c r="AA131" s="57">
        <v>676.5</v>
      </c>
      <c r="AB131" s="57">
        <v>676.5</v>
      </c>
      <c r="AC131" s="57">
        <v>676.5</v>
      </c>
      <c r="AD131" s="57">
        <v>676.5</v>
      </c>
      <c r="AE131" s="57">
        <v>676.5</v>
      </c>
      <c r="AF131" s="57">
        <v>709</v>
      </c>
      <c r="AG131" s="57">
        <v>709</v>
      </c>
      <c r="AH131" s="57">
        <v>942.59999999999991</v>
      </c>
      <c r="AI131" s="57">
        <v>990.09999999999991</v>
      </c>
      <c r="AJ131" s="57">
        <v>1007.5999999999999</v>
      </c>
      <c r="AK131" s="57">
        <v>1017.5999999999999</v>
      </c>
      <c r="AL131" s="57">
        <v>1017.5999999999999</v>
      </c>
      <c r="AM131" s="57">
        <v>1017.5999999999999</v>
      </c>
      <c r="AN131" s="57">
        <v>1017.5999999999999</v>
      </c>
      <c r="AO131" s="57">
        <v>1015.8</v>
      </c>
      <c r="AP131" s="57">
        <v>1016</v>
      </c>
      <c r="AQ131" s="57">
        <v>1016</v>
      </c>
      <c r="AR131" s="57">
        <v>1516</v>
      </c>
      <c r="AS131" s="57">
        <v>1516</v>
      </c>
      <c r="AT131" s="57">
        <v>1516</v>
      </c>
      <c r="AU131" s="58">
        <v>1516</v>
      </c>
      <c r="AV131" s="58">
        <v>1516</v>
      </c>
      <c r="AW131" s="58">
        <v>1516</v>
      </c>
      <c r="AX131" s="58">
        <v>1516</v>
      </c>
      <c r="AY131" s="58">
        <v>1516</v>
      </c>
      <c r="AZ131" s="58">
        <v>1516</v>
      </c>
      <c r="BA131" s="79">
        <f>+AZ131+55</f>
        <v>1571</v>
      </c>
      <c r="BB131" s="80">
        <f>+BA131+55</f>
        <v>1626</v>
      </c>
      <c r="BC131" s="58">
        <f>BB131</f>
        <v>1626</v>
      </c>
      <c r="BD131" s="58">
        <f t="shared" ref="BD131:BF131" si="431">BC131</f>
        <v>1626</v>
      </c>
      <c r="BE131" s="58">
        <f t="shared" si="431"/>
        <v>1626</v>
      </c>
      <c r="BF131" s="58">
        <f t="shared" si="431"/>
        <v>1626</v>
      </c>
      <c r="BI131">
        <f t="shared" si="278"/>
        <v>124</v>
      </c>
    </row>
    <row r="132" spans="1:61" hidden="1" outlineLevel="2">
      <c r="B132" s="8" t="s">
        <v>121</v>
      </c>
      <c r="C132" s="55">
        <f t="shared" si="430"/>
        <v>92.399999999999977</v>
      </c>
      <c r="D132" s="55">
        <f t="shared" si="430"/>
        <v>92.399999999999977</v>
      </c>
      <c r="E132" s="55">
        <f t="shared" si="430"/>
        <v>92.399999999999977</v>
      </c>
      <c r="F132" s="55">
        <f t="shared" si="430"/>
        <v>87</v>
      </c>
      <c r="G132" s="55">
        <f t="shared" si="430"/>
        <v>84.966250000000002</v>
      </c>
      <c r="H132" s="55">
        <f t="shared" si="430"/>
        <v>87.564999999999998</v>
      </c>
      <c r="I132" s="55">
        <f t="shared" si="430"/>
        <v>87.097499999999997</v>
      </c>
      <c r="J132" s="55">
        <f t="shared" si="430"/>
        <v>86.630000000000081</v>
      </c>
      <c r="K132" s="55">
        <f t="shared" si="430"/>
        <v>86.630000000000109</v>
      </c>
      <c r="L132" s="55">
        <f t="shared" si="430"/>
        <v>86.630000000000109</v>
      </c>
      <c r="M132" s="55">
        <f t="shared" si="430"/>
        <v>86.630000000000109</v>
      </c>
      <c r="O132" s="57">
        <v>92.399999999999977</v>
      </c>
      <c r="P132" s="57">
        <v>92.399999999999977</v>
      </c>
      <c r="Q132" s="57">
        <v>92.399999999999977</v>
      </c>
      <c r="R132" s="57">
        <v>92.399999999999977</v>
      </c>
      <c r="S132" s="57">
        <v>92.399999999999977</v>
      </c>
      <c r="T132" s="57">
        <v>92.399999999999977</v>
      </c>
      <c r="U132" s="57">
        <v>92.399999999999977</v>
      </c>
      <c r="V132" s="57">
        <v>92.399999999999977</v>
      </c>
      <c r="W132" s="57">
        <v>92.399999999999977</v>
      </c>
      <c r="X132" s="57">
        <v>92.399999999999977</v>
      </c>
      <c r="Y132" s="57">
        <f t="shared" ref="Y132:Z132" si="432">X132</f>
        <v>92.399999999999977</v>
      </c>
      <c r="Z132" s="57">
        <f t="shared" si="432"/>
        <v>92.399999999999977</v>
      </c>
      <c r="AA132" s="57">
        <v>87</v>
      </c>
      <c r="AB132" s="57">
        <v>87</v>
      </c>
      <c r="AC132" s="57">
        <v>87</v>
      </c>
      <c r="AD132" s="57">
        <v>87</v>
      </c>
      <c r="AE132" s="57">
        <v>87</v>
      </c>
      <c r="AF132" s="57">
        <v>83</v>
      </c>
      <c r="AG132" s="57">
        <v>83</v>
      </c>
      <c r="AH132" s="57">
        <v>86.865000000000009</v>
      </c>
      <c r="AI132" s="57">
        <v>87.564999999999998</v>
      </c>
      <c r="AJ132" s="57">
        <v>87.564999999999998</v>
      </c>
      <c r="AK132" s="57">
        <v>87.564999999999998</v>
      </c>
      <c r="AL132" s="57">
        <v>87.564999999999998</v>
      </c>
      <c r="AM132" s="57">
        <v>87.564999999999998</v>
      </c>
      <c r="AN132" s="57">
        <v>87.564999999999998</v>
      </c>
      <c r="AO132" s="57">
        <v>86.63</v>
      </c>
      <c r="AP132" s="57">
        <v>86.63</v>
      </c>
      <c r="AQ132" s="57">
        <v>86.63</v>
      </c>
      <c r="AR132" s="57">
        <v>86.630000000000109</v>
      </c>
      <c r="AS132" s="57">
        <v>86.630000000000109</v>
      </c>
      <c r="AT132" s="57">
        <v>86.630000000000109</v>
      </c>
      <c r="AU132" s="78">
        <f t="shared" ref="AU132:BF132" si="433">AT132</f>
        <v>86.630000000000109</v>
      </c>
      <c r="AV132" s="78">
        <f t="shared" si="433"/>
        <v>86.630000000000109</v>
      </c>
      <c r="AW132" s="78">
        <f t="shared" si="433"/>
        <v>86.630000000000109</v>
      </c>
      <c r="AX132" s="78">
        <f t="shared" si="433"/>
        <v>86.630000000000109</v>
      </c>
      <c r="AY132" s="78">
        <f t="shared" si="433"/>
        <v>86.630000000000109</v>
      </c>
      <c r="AZ132" s="78">
        <f t="shared" si="433"/>
        <v>86.630000000000109</v>
      </c>
      <c r="BA132" s="78">
        <f t="shared" si="433"/>
        <v>86.630000000000109</v>
      </c>
      <c r="BB132" s="78">
        <f t="shared" si="433"/>
        <v>86.630000000000109</v>
      </c>
      <c r="BC132" s="78">
        <f t="shared" si="433"/>
        <v>86.630000000000109</v>
      </c>
      <c r="BD132" s="78">
        <f t="shared" si="433"/>
        <v>86.630000000000109</v>
      </c>
      <c r="BE132" s="78">
        <f t="shared" si="433"/>
        <v>86.630000000000109</v>
      </c>
      <c r="BF132" s="78">
        <f t="shared" si="433"/>
        <v>86.630000000000109</v>
      </c>
      <c r="BI132">
        <f t="shared" si="278"/>
        <v>125</v>
      </c>
    </row>
    <row r="133" spans="1:61" hidden="1" outlineLevel="2">
      <c r="B133" s="8" t="s">
        <v>122</v>
      </c>
      <c r="C133" s="55">
        <f t="shared" si="430"/>
        <v>446</v>
      </c>
      <c r="D133" s="55">
        <f t="shared" si="430"/>
        <v>548.8125</v>
      </c>
      <c r="E133" s="55">
        <f t="shared" si="430"/>
        <v>732.82500000000005</v>
      </c>
      <c r="F133" s="55">
        <f t="shared" si="430"/>
        <v>763.5</v>
      </c>
      <c r="G133" s="55">
        <f t="shared" si="430"/>
        <v>844.24125000000004</v>
      </c>
      <c r="H133" s="55">
        <f t="shared" si="430"/>
        <v>1095.79</v>
      </c>
      <c r="I133" s="55">
        <f t="shared" si="430"/>
        <v>1103.8474999999999</v>
      </c>
      <c r="J133" s="55">
        <f t="shared" si="430"/>
        <v>1477.63</v>
      </c>
      <c r="K133" s="55">
        <f t="shared" si="430"/>
        <v>1602.63</v>
      </c>
      <c r="L133" s="55">
        <f t="shared" si="430"/>
        <v>1643.88</v>
      </c>
      <c r="M133" s="55">
        <f t="shared" si="430"/>
        <v>1712.63</v>
      </c>
      <c r="O133" s="55">
        <f>SUM(O131:O132)</f>
        <v>446</v>
      </c>
      <c r="P133" s="55">
        <f t="shared" ref="P133:AT133" si="434">SUM(P131:P132)</f>
        <v>446</v>
      </c>
      <c r="Q133" s="55">
        <f t="shared" si="434"/>
        <v>446</v>
      </c>
      <c r="R133" s="55">
        <f t="shared" si="434"/>
        <v>446</v>
      </c>
      <c r="S133" s="55">
        <f t="shared" si="434"/>
        <v>457</v>
      </c>
      <c r="T133" s="55">
        <f t="shared" si="434"/>
        <v>508</v>
      </c>
      <c r="U133" s="55">
        <f t="shared" si="434"/>
        <v>584.25</v>
      </c>
      <c r="V133" s="55">
        <f t="shared" si="434"/>
        <v>646</v>
      </c>
      <c r="W133" s="55">
        <f t="shared" si="434"/>
        <v>676</v>
      </c>
      <c r="X133" s="55">
        <f t="shared" si="434"/>
        <v>731</v>
      </c>
      <c r="Y133" s="55">
        <f t="shared" si="434"/>
        <v>755.4</v>
      </c>
      <c r="Z133" s="55">
        <f t="shared" si="434"/>
        <v>768.9</v>
      </c>
      <c r="AA133" s="55">
        <f t="shared" si="434"/>
        <v>763.5</v>
      </c>
      <c r="AB133" s="55">
        <f t="shared" si="434"/>
        <v>763.5</v>
      </c>
      <c r="AC133" s="55">
        <f t="shared" si="434"/>
        <v>763.5</v>
      </c>
      <c r="AD133" s="55">
        <f t="shared" si="434"/>
        <v>763.5</v>
      </c>
      <c r="AE133" s="55">
        <f t="shared" si="434"/>
        <v>763.5</v>
      </c>
      <c r="AF133" s="55">
        <f t="shared" si="434"/>
        <v>792</v>
      </c>
      <c r="AG133" s="55">
        <f t="shared" si="434"/>
        <v>792</v>
      </c>
      <c r="AH133" s="55">
        <f t="shared" si="434"/>
        <v>1029.4649999999999</v>
      </c>
      <c r="AI133" s="55">
        <f t="shared" si="434"/>
        <v>1077.665</v>
      </c>
      <c r="AJ133" s="55">
        <f t="shared" si="434"/>
        <v>1095.165</v>
      </c>
      <c r="AK133" s="55">
        <f t="shared" si="434"/>
        <v>1105.165</v>
      </c>
      <c r="AL133" s="55">
        <f t="shared" si="434"/>
        <v>1105.165</v>
      </c>
      <c r="AM133" s="55">
        <f t="shared" si="434"/>
        <v>1105.165</v>
      </c>
      <c r="AN133" s="55">
        <f t="shared" si="434"/>
        <v>1105.165</v>
      </c>
      <c r="AO133" s="55">
        <f t="shared" si="434"/>
        <v>1102.4299999999998</v>
      </c>
      <c r="AP133" s="55">
        <f t="shared" si="434"/>
        <v>1102.6300000000001</v>
      </c>
      <c r="AQ133" s="55">
        <f t="shared" si="434"/>
        <v>1102.6300000000001</v>
      </c>
      <c r="AR133" s="55">
        <f t="shared" si="434"/>
        <v>1602.63</v>
      </c>
      <c r="AS133" s="55">
        <f t="shared" si="434"/>
        <v>1602.63</v>
      </c>
      <c r="AT133" s="55">
        <f t="shared" si="434"/>
        <v>1602.63</v>
      </c>
      <c r="AU133" s="55">
        <f t="shared" ref="AU133" si="435">SUM(AU131:AU132)</f>
        <v>1602.63</v>
      </c>
      <c r="AV133" s="55">
        <f t="shared" ref="AV133" si="436">SUM(AV131:AV132)</f>
        <v>1602.63</v>
      </c>
      <c r="AW133" s="55">
        <f t="shared" ref="AW133" si="437">SUM(AW131:AW132)</f>
        <v>1602.63</v>
      </c>
      <c r="AX133" s="55">
        <f t="shared" ref="AX133" si="438">SUM(AX131:AX132)</f>
        <v>1602.63</v>
      </c>
      <c r="AY133" s="55">
        <f t="shared" ref="AY133" si="439">SUM(AY131:AY132)</f>
        <v>1602.63</v>
      </c>
      <c r="AZ133" s="55">
        <f t="shared" ref="AZ133" si="440">SUM(AZ131:AZ132)</f>
        <v>1602.63</v>
      </c>
      <c r="BA133" s="55">
        <f t="shared" ref="BA133" si="441">SUM(BA131:BA132)</f>
        <v>1657.63</v>
      </c>
      <c r="BB133" s="55">
        <f t="shared" ref="BB133" si="442">SUM(BB131:BB132)</f>
        <v>1712.63</v>
      </c>
      <c r="BC133" s="55">
        <f t="shared" ref="BC133" si="443">SUM(BC131:BC132)</f>
        <v>1712.63</v>
      </c>
      <c r="BD133" s="55">
        <f t="shared" ref="BD133" si="444">SUM(BD131:BD132)</f>
        <v>1712.63</v>
      </c>
      <c r="BE133" s="55">
        <f t="shared" ref="BE133" si="445">SUM(BE131:BE132)</f>
        <v>1712.63</v>
      </c>
      <c r="BF133" s="55">
        <f t="shared" ref="BF133" si="446">SUM(BF131:BF132)</f>
        <v>1712.63</v>
      </c>
      <c r="BI133">
        <f t="shared" si="278"/>
        <v>126</v>
      </c>
    </row>
    <row r="134" spans="1:61" hidden="1" outlineLevel="2">
      <c r="B134" s="8" t="s">
        <v>123</v>
      </c>
      <c r="C134" s="55">
        <f t="shared" si="430"/>
        <v>433.32500000000005</v>
      </c>
      <c r="D134" s="55">
        <f t="shared" si="430"/>
        <v>548.8125</v>
      </c>
      <c r="E134" s="55">
        <f t="shared" si="430"/>
        <v>683</v>
      </c>
      <c r="F134" s="55">
        <f t="shared" si="430"/>
        <v>763.5</v>
      </c>
      <c r="G134" s="55">
        <f t="shared" si="430"/>
        <v>844.24125000000004</v>
      </c>
      <c r="H134" s="55">
        <f t="shared" si="430"/>
        <v>708.75</v>
      </c>
      <c r="I134" s="55">
        <f t="shared" si="430"/>
        <v>498.75</v>
      </c>
      <c r="J134" s="55">
        <f t="shared" si="430"/>
        <v>933.75</v>
      </c>
      <c r="K134" s="55">
        <f t="shared" si="430"/>
        <v>1332.5</v>
      </c>
      <c r="L134" s="55">
        <f t="shared" si="430"/>
        <v>1577.5650000000001</v>
      </c>
      <c r="M134" s="55">
        <f t="shared" si="430"/>
        <v>1712.63</v>
      </c>
      <c r="O134" s="57">
        <v>419.1</v>
      </c>
      <c r="P134" s="57">
        <v>429.1</v>
      </c>
      <c r="Q134" s="57">
        <v>439.1</v>
      </c>
      <c r="R134" s="57">
        <v>446</v>
      </c>
      <c r="S134" s="57">
        <v>457</v>
      </c>
      <c r="T134" s="57">
        <v>508</v>
      </c>
      <c r="U134" s="57">
        <v>584.25</v>
      </c>
      <c r="V134" s="57">
        <v>646</v>
      </c>
      <c r="W134" s="57">
        <v>676</v>
      </c>
      <c r="X134" s="57">
        <v>731</v>
      </c>
      <c r="Y134" s="57">
        <v>650</v>
      </c>
      <c r="Z134" s="57">
        <v>675</v>
      </c>
      <c r="AA134" s="57">
        <v>763.5</v>
      </c>
      <c r="AB134" s="57">
        <v>763.5</v>
      </c>
      <c r="AC134" s="57">
        <v>763.5</v>
      </c>
      <c r="AD134" s="57">
        <v>763.5</v>
      </c>
      <c r="AE134" s="57">
        <v>763.5</v>
      </c>
      <c r="AF134" s="57">
        <v>792</v>
      </c>
      <c r="AG134" s="57">
        <v>792</v>
      </c>
      <c r="AH134" s="57">
        <v>1029.4649999999999</v>
      </c>
      <c r="AI134" s="57">
        <v>810</v>
      </c>
      <c r="AJ134" s="57">
        <v>765</v>
      </c>
      <c r="AK134" s="57">
        <v>720</v>
      </c>
      <c r="AL134" s="57">
        <v>540</v>
      </c>
      <c r="AM134" s="57">
        <v>540</v>
      </c>
      <c r="AN134" s="57">
        <v>470</v>
      </c>
      <c r="AO134" s="57">
        <v>470</v>
      </c>
      <c r="AP134" s="57">
        <v>515</v>
      </c>
      <c r="AQ134" s="57">
        <v>560</v>
      </c>
      <c r="AR134" s="57">
        <v>850</v>
      </c>
      <c r="AS134" s="57">
        <v>1100</v>
      </c>
      <c r="AT134" s="57">
        <v>1225</v>
      </c>
      <c r="AU134" s="58">
        <v>1250</v>
      </c>
      <c r="AV134" s="58">
        <f t="shared" ref="AV134:AW134" si="447">AU134+55</f>
        <v>1305</v>
      </c>
      <c r="AW134" s="58">
        <f t="shared" si="447"/>
        <v>1360</v>
      </c>
      <c r="AX134" s="58">
        <f>AW134+55</f>
        <v>1415</v>
      </c>
      <c r="AY134" s="58">
        <f>AX134+55</f>
        <v>1470</v>
      </c>
      <c r="AZ134" s="58">
        <f>AY134+55</f>
        <v>1525</v>
      </c>
      <c r="BA134" s="58">
        <f>AVERAGE(AZ133:BA133)</f>
        <v>1630.13</v>
      </c>
      <c r="BB134" s="58">
        <f>AVERAGE(BA133:BB133)</f>
        <v>1685.13</v>
      </c>
      <c r="BC134" s="58">
        <f t="shared" ref="BC134:BF134" si="448">AVERAGE(BB133:BC133)</f>
        <v>1712.63</v>
      </c>
      <c r="BD134" s="58">
        <f t="shared" si="448"/>
        <v>1712.63</v>
      </c>
      <c r="BE134" s="58">
        <f t="shared" si="448"/>
        <v>1712.63</v>
      </c>
      <c r="BF134" s="58">
        <f t="shared" si="448"/>
        <v>1712.63</v>
      </c>
      <c r="BI134">
        <f t="shared" si="278"/>
        <v>127</v>
      </c>
    </row>
    <row r="135" spans="1:61" hidden="1" outlineLevel="2">
      <c r="B135" s="8" t="s">
        <v>125</v>
      </c>
      <c r="C135" s="69">
        <f t="shared" ref="C135:M135" si="449">C134/C133</f>
        <v>0.97158071748878938</v>
      </c>
      <c r="D135" s="69">
        <f t="shared" si="449"/>
        <v>1</v>
      </c>
      <c r="E135" s="69">
        <f t="shared" si="449"/>
        <v>0.93200968853409749</v>
      </c>
      <c r="F135" s="69">
        <f t="shared" si="449"/>
        <v>1</v>
      </c>
      <c r="G135" s="69">
        <f t="shared" si="449"/>
        <v>1</v>
      </c>
      <c r="H135" s="69">
        <f t="shared" si="449"/>
        <v>0.64679363746703289</v>
      </c>
      <c r="I135" s="69">
        <f t="shared" si="449"/>
        <v>0.45182871728205215</v>
      </c>
      <c r="J135" s="69">
        <f t="shared" si="449"/>
        <v>0.63192409466510557</v>
      </c>
      <c r="K135" s="69">
        <f t="shared" si="449"/>
        <v>0.83144581094825376</v>
      </c>
      <c r="L135" s="69">
        <f t="shared" si="449"/>
        <v>0.95965946419446668</v>
      </c>
      <c r="M135" s="69">
        <f t="shared" si="449"/>
        <v>1</v>
      </c>
      <c r="O135" s="69">
        <f>O134/O133</f>
        <v>0.93968609865470853</v>
      </c>
      <c r="P135" s="69">
        <f t="shared" ref="P135:AT135" si="450">P134/P133</f>
        <v>0.96210762331838573</v>
      </c>
      <c r="Q135" s="69">
        <f t="shared" si="450"/>
        <v>0.98452914798206281</v>
      </c>
      <c r="R135" s="69">
        <f t="shared" si="450"/>
        <v>1</v>
      </c>
      <c r="S135" s="69">
        <f t="shared" si="450"/>
        <v>1</v>
      </c>
      <c r="T135" s="69">
        <f t="shared" si="450"/>
        <v>1</v>
      </c>
      <c r="U135" s="69">
        <f t="shared" si="450"/>
        <v>1</v>
      </c>
      <c r="V135" s="69">
        <f t="shared" si="450"/>
        <v>1</v>
      </c>
      <c r="W135" s="69">
        <f t="shared" si="450"/>
        <v>1</v>
      </c>
      <c r="X135" s="69">
        <f t="shared" si="450"/>
        <v>1</v>
      </c>
      <c r="Y135" s="69">
        <f t="shared" si="450"/>
        <v>0.86047127349748476</v>
      </c>
      <c r="Z135" s="69">
        <f t="shared" si="450"/>
        <v>0.8778774873195474</v>
      </c>
      <c r="AA135" s="69">
        <f t="shared" si="450"/>
        <v>1</v>
      </c>
      <c r="AB135" s="69">
        <f t="shared" si="450"/>
        <v>1</v>
      </c>
      <c r="AC135" s="69">
        <f t="shared" si="450"/>
        <v>1</v>
      </c>
      <c r="AD135" s="69">
        <f t="shared" si="450"/>
        <v>1</v>
      </c>
      <c r="AE135" s="69">
        <f t="shared" si="450"/>
        <v>1</v>
      </c>
      <c r="AF135" s="69">
        <f t="shared" si="450"/>
        <v>1</v>
      </c>
      <c r="AG135" s="69">
        <f t="shared" si="450"/>
        <v>1</v>
      </c>
      <c r="AH135" s="69">
        <f t="shared" si="450"/>
        <v>1</v>
      </c>
      <c r="AI135" s="69">
        <f t="shared" si="450"/>
        <v>0.75162504117698914</v>
      </c>
      <c r="AJ135" s="69">
        <f t="shared" si="450"/>
        <v>0.69852487981263101</v>
      </c>
      <c r="AK135" s="69">
        <f t="shared" si="450"/>
        <v>0.65148642962815506</v>
      </c>
      <c r="AL135" s="69">
        <f t="shared" si="450"/>
        <v>0.4886148222211163</v>
      </c>
      <c r="AM135" s="69">
        <f t="shared" si="450"/>
        <v>0.4886148222211163</v>
      </c>
      <c r="AN135" s="69">
        <f t="shared" si="450"/>
        <v>0.42527586378504567</v>
      </c>
      <c r="AO135" s="69">
        <f t="shared" si="450"/>
        <v>0.42633092350534735</v>
      </c>
      <c r="AP135" s="69">
        <f t="shared" si="450"/>
        <v>0.46706510796912831</v>
      </c>
      <c r="AQ135" s="69">
        <f t="shared" si="450"/>
        <v>0.50787662225769292</v>
      </c>
      <c r="AR135" s="69">
        <f t="shared" si="450"/>
        <v>0.53037819084879223</v>
      </c>
      <c r="AS135" s="69">
        <f t="shared" si="450"/>
        <v>0.68637177639255464</v>
      </c>
      <c r="AT135" s="69">
        <f t="shared" si="450"/>
        <v>0.76436856916443585</v>
      </c>
      <c r="AU135" s="69">
        <f t="shared" ref="AU135" si="451">AU134/AU133</f>
        <v>0.77996792771881218</v>
      </c>
      <c r="AV135" s="69">
        <f t="shared" ref="AV135" si="452">AV134/AV133</f>
        <v>0.81428651653843986</v>
      </c>
      <c r="AW135" s="69">
        <f t="shared" ref="AW135" si="453">AW134/AW133</f>
        <v>0.84860510535806766</v>
      </c>
      <c r="AX135" s="69">
        <f t="shared" ref="AX135" si="454">AX134/AX133</f>
        <v>0.88292369417769534</v>
      </c>
      <c r="AY135" s="69">
        <f t="shared" ref="AY135" si="455">AY134/AY133</f>
        <v>0.91724228299732313</v>
      </c>
      <c r="AZ135" s="69">
        <f t="shared" ref="AZ135" si="456">AZ134/AZ133</f>
        <v>0.95156087181695082</v>
      </c>
      <c r="BA135" s="69">
        <f t="shared" ref="BA135" si="457">BA134/BA133</f>
        <v>0.98341004928723541</v>
      </c>
      <c r="BB135" s="69">
        <f t="shared" ref="BB135" si="458">BB134/BB133</f>
        <v>0.983942824778265</v>
      </c>
      <c r="BC135" s="69">
        <f t="shared" ref="BC135" si="459">BC134/BC133</f>
        <v>1</v>
      </c>
      <c r="BD135" s="69">
        <f t="shared" ref="BD135" si="460">BD134/BD133</f>
        <v>1</v>
      </c>
      <c r="BE135" s="69">
        <f t="shared" ref="BE135" si="461">BE134/BE133</f>
        <v>1</v>
      </c>
      <c r="BF135" s="69">
        <f t="shared" ref="BF135" si="462">BF134/BF133</f>
        <v>1</v>
      </c>
      <c r="BI135">
        <f t="shared" si="278"/>
        <v>128</v>
      </c>
    </row>
    <row r="136" spans="1:61" hidden="1" outlineLevel="2">
      <c r="B136" s="8"/>
      <c r="BI136">
        <f t="shared" si="278"/>
        <v>129</v>
      </c>
    </row>
    <row r="137" spans="1:61" hidden="1" outlineLevel="2">
      <c r="B137" s="8" t="s">
        <v>272</v>
      </c>
      <c r="C137" s="120"/>
      <c r="D137" s="54">
        <f t="shared" ref="D137:M137" si="463">AVERAGEIFS($O137:$BG137,$O$5:$BG$5,D$5)</f>
        <v>12.81195</v>
      </c>
      <c r="E137" s="54">
        <f t="shared" si="463"/>
        <v>11.912725</v>
      </c>
      <c r="F137" s="54">
        <f t="shared" si="463"/>
        <v>12.37415</v>
      </c>
      <c r="G137" s="54">
        <f t="shared" si="463"/>
        <v>14.6343</v>
      </c>
      <c r="H137" s="54">
        <f t="shared" si="463"/>
        <v>10.666599999999999</v>
      </c>
      <c r="I137" s="54">
        <f t="shared" si="463"/>
        <v>6.1823499999999996</v>
      </c>
      <c r="J137" s="54">
        <f t="shared" si="463"/>
        <v>11.049206311987328</v>
      </c>
      <c r="K137" s="54">
        <f t="shared" si="463"/>
        <v>16.458848823292261</v>
      </c>
      <c r="L137" s="54">
        <f t="shared" si="463"/>
        <v>20.19692888526378</v>
      </c>
      <c r="M137" s="54">
        <f t="shared" si="463"/>
        <v>20.707817454728414</v>
      </c>
      <c r="O137" s="59"/>
      <c r="P137" s="59"/>
      <c r="Q137" s="59"/>
      <c r="R137" s="59"/>
      <c r="S137" s="59"/>
      <c r="T137" s="59"/>
      <c r="U137" s="75">
        <v>12.664999999999999</v>
      </c>
      <c r="V137" s="75">
        <v>12.9589</v>
      </c>
      <c r="W137" s="75">
        <v>12.9495</v>
      </c>
      <c r="X137" s="75">
        <v>12.355399999999999</v>
      </c>
      <c r="Y137" s="75">
        <v>11.627000000000001</v>
      </c>
      <c r="Z137" s="75">
        <v>10.718999999999999</v>
      </c>
      <c r="AA137" s="75">
        <v>12.0092</v>
      </c>
      <c r="AB137" s="75">
        <v>12.542999999999999</v>
      </c>
      <c r="AC137" s="75">
        <v>12.6426</v>
      </c>
      <c r="AD137" s="75">
        <v>12.3018</v>
      </c>
      <c r="AE137" s="75">
        <v>13.1829</v>
      </c>
      <c r="AF137" s="75">
        <v>13.8872</v>
      </c>
      <c r="AG137" s="75">
        <v>14.745200000000001</v>
      </c>
      <c r="AH137" s="75">
        <v>16.721900000000002</v>
      </c>
      <c r="AI137" s="75">
        <v>13.5267</v>
      </c>
      <c r="AJ137" s="75">
        <v>10.4832</v>
      </c>
      <c r="AK137" s="75">
        <v>10.164099999999999</v>
      </c>
      <c r="AL137" s="75">
        <v>8.4923999999999999</v>
      </c>
      <c r="AM137" s="75">
        <v>6.5731000000000002</v>
      </c>
      <c r="AN137" s="75">
        <v>5.5</v>
      </c>
      <c r="AO137" s="75">
        <v>5.8236999999999997</v>
      </c>
      <c r="AP137" s="75">
        <v>6.8326000000000002</v>
      </c>
      <c r="AQ137" s="75">
        <v>9.214686804990869</v>
      </c>
      <c r="AR137" s="75">
        <v>10.919107903901336</v>
      </c>
      <c r="AS137" s="75">
        <v>11.611581415992914</v>
      </c>
      <c r="AT137" s="75">
        <v>12.451449123064192</v>
      </c>
      <c r="AU137" s="75">
        <v>12.649199126032114</v>
      </c>
      <c r="AV137" s="75">
        <v>15.894167927008613</v>
      </c>
      <c r="AW137" s="75">
        <v>18.081071307182956</v>
      </c>
      <c r="AX137" s="75">
        <v>19.210956932945368</v>
      </c>
      <c r="AY137" s="75">
        <v>19.991140248907548</v>
      </c>
      <c r="AZ137" s="75">
        <v>19.983935314059959</v>
      </c>
      <c r="BA137" s="75">
        <v>20.221073159985181</v>
      </c>
      <c r="BB137" s="75">
        <v>20.591566818102432</v>
      </c>
      <c r="BC137" s="75">
        <v>20.848659395636592</v>
      </c>
      <c r="BD137" s="75">
        <v>20.702950615870503</v>
      </c>
      <c r="BE137" s="75">
        <v>20.567767409362443</v>
      </c>
      <c r="BF137" s="75">
        <v>20.711892398044121</v>
      </c>
      <c r="BI137">
        <f t="shared" si="278"/>
        <v>130</v>
      </c>
    </row>
    <row r="138" spans="1:61" hidden="1" outlineLevel="2">
      <c r="B138" s="8" t="s">
        <v>124</v>
      </c>
      <c r="C138" s="120"/>
      <c r="D138" s="68">
        <f t="shared" ref="D138:M138" si="464">(D134/1000)/D137</f>
        <v>4.2835985154484682E-2</v>
      </c>
      <c r="E138" s="68">
        <f t="shared" si="464"/>
        <v>5.7333649521834847E-2</v>
      </c>
      <c r="F138" s="68">
        <f t="shared" si="464"/>
        <v>6.1701207759724909E-2</v>
      </c>
      <c r="G138" s="68">
        <f t="shared" si="464"/>
        <v>5.7689213013263366E-2</v>
      </c>
      <c r="H138" s="68">
        <f t="shared" si="464"/>
        <v>6.6445727785798672E-2</v>
      </c>
      <c r="I138" s="68">
        <f t="shared" si="464"/>
        <v>8.0673206790298199E-2</v>
      </c>
      <c r="J138" s="68">
        <f t="shared" si="464"/>
        <v>8.4508332420851887E-2</v>
      </c>
      <c r="K138" s="68">
        <f t="shared" si="464"/>
        <v>8.0959489591657857E-2</v>
      </c>
      <c r="L138" s="68">
        <f t="shared" si="464"/>
        <v>7.8109152582650013E-2</v>
      </c>
      <c r="M138" s="68">
        <f t="shared" si="464"/>
        <v>8.2704515033714426E-2</v>
      </c>
      <c r="O138" s="59"/>
      <c r="P138" s="59"/>
      <c r="Q138" s="59"/>
      <c r="R138" s="59"/>
      <c r="S138" s="59"/>
      <c r="T138" s="59"/>
      <c r="U138" s="68">
        <f>(U134/1000)/U137</f>
        <v>4.6131069877615484E-2</v>
      </c>
      <c r="V138" s="68">
        <f t="shared" ref="V138:BF138" si="465">(V134/1000)/V137</f>
        <v>4.9849910100394329E-2</v>
      </c>
      <c r="W138" s="68">
        <f t="shared" si="465"/>
        <v>5.2202787752422875E-2</v>
      </c>
      <c r="X138" s="68">
        <f t="shared" si="465"/>
        <v>5.9164413940463283E-2</v>
      </c>
      <c r="Y138" s="68">
        <f t="shared" si="465"/>
        <v>5.5904360540122128E-2</v>
      </c>
      <c r="Z138" s="68">
        <f t="shared" si="465"/>
        <v>6.2972292191435769E-2</v>
      </c>
      <c r="AA138" s="68">
        <f t="shared" si="465"/>
        <v>6.3576258202045099E-2</v>
      </c>
      <c r="AB138" s="68">
        <f t="shared" si="465"/>
        <v>6.0870605118392727E-2</v>
      </c>
      <c r="AC138" s="68">
        <f t="shared" si="465"/>
        <v>6.0391058801195954E-2</v>
      </c>
      <c r="AD138" s="68">
        <f t="shared" si="465"/>
        <v>6.2064088182217231E-2</v>
      </c>
      <c r="AE138" s="68">
        <f t="shared" si="465"/>
        <v>5.7915936554172445E-2</v>
      </c>
      <c r="AF138" s="68">
        <f t="shared" si="465"/>
        <v>5.7030934961691343E-2</v>
      </c>
      <c r="AG138" s="68">
        <f t="shared" si="465"/>
        <v>5.3712394541952639E-2</v>
      </c>
      <c r="AH138" s="68">
        <f t="shared" si="465"/>
        <v>6.156387731059268E-2</v>
      </c>
      <c r="AI138" s="68">
        <f t="shared" si="465"/>
        <v>5.988156756636874E-2</v>
      </c>
      <c r="AJ138" s="68">
        <f t="shared" si="465"/>
        <v>7.2973901098901103E-2</v>
      </c>
      <c r="AK138" s="68">
        <f t="shared" si="465"/>
        <v>7.0837555710785996E-2</v>
      </c>
      <c r="AL138" s="68">
        <f t="shared" si="465"/>
        <v>6.35862653666808E-2</v>
      </c>
      <c r="AM138" s="68">
        <f t="shared" si="465"/>
        <v>8.2153017602044701E-2</v>
      </c>
      <c r="AN138" s="68">
        <f t="shared" si="465"/>
        <v>8.545454545454545E-2</v>
      </c>
      <c r="AO138" s="68">
        <f t="shared" si="465"/>
        <v>8.0704706629805792E-2</v>
      </c>
      <c r="AP138" s="68">
        <f t="shared" si="465"/>
        <v>7.5373942569446475E-2</v>
      </c>
      <c r="AQ138" s="68">
        <f t="shared" si="465"/>
        <v>6.0772548416587767E-2</v>
      </c>
      <c r="AR138" s="68">
        <f t="shared" si="465"/>
        <v>7.784518730658388E-2</v>
      </c>
      <c r="AS138" s="68">
        <f t="shared" si="465"/>
        <v>9.4733004970790916E-2</v>
      </c>
      <c r="AT138" s="68">
        <f t="shared" si="465"/>
        <v>9.8382123067980567E-2</v>
      </c>
      <c r="AU138" s="68">
        <f t="shared" si="465"/>
        <v>9.8820485593233628E-2</v>
      </c>
      <c r="AV138" s="68">
        <f t="shared" si="465"/>
        <v>8.2105587784966197E-2</v>
      </c>
      <c r="AW138" s="68">
        <f t="shared" si="465"/>
        <v>7.5216782064219903E-2</v>
      </c>
      <c r="AX138" s="68">
        <f t="shared" si="465"/>
        <v>7.3655883199310074E-2</v>
      </c>
      <c r="AY138" s="68">
        <f t="shared" si="465"/>
        <v>7.3532574015148067E-2</v>
      </c>
      <c r="AZ138" s="68">
        <f t="shared" si="465"/>
        <v>7.6311295850075442E-2</v>
      </c>
      <c r="BA138" s="68">
        <f t="shared" si="465"/>
        <v>8.0615404884930186E-2</v>
      </c>
      <c r="BB138" s="68">
        <f t="shared" si="465"/>
        <v>8.1835928993930204E-2</v>
      </c>
      <c r="BC138" s="68">
        <f t="shared" si="465"/>
        <v>8.2145809353978694E-2</v>
      </c>
      <c r="BD138" s="68">
        <f t="shared" si="465"/>
        <v>8.2723957168072904E-2</v>
      </c>
      <c r="BE138" s="68">
        <f t="shared" si="465"/>
        <v>8.3267666631644782E-2</v>
      </c>
      <c r="BF138" s="68">
        <f t="shared" si="465"/>
        <v>8.268824340559669E-2</v>
      </c>
      <c r="BI138">
        <f t="shared" ref="BI138:BI201" si="466">+BI137+1</f>
        <v>131</v>
      </c>
    </row>
    <row r="139" spans="1:61" hidden="1" outlineLevel="2">
      <c r="BI139">
        <f t="shared" si="466"/>
        <v>132</v>
      </c>
    </row>
    <row r="140" spans="1:61" hidden="1" outlineLevel="2">
      <c r="B140" s="8" t="s">
        <v>137</v>
      </c>
      <c r="BI140">
        <f t="shared" si="466"/>
        <v>133</v>
      </c>
    </row>
    <row r="141" spans="1:61" hidden="1" outlineLevel="2">
      <c r="B141" s="19" t="s">
        <v>138</v>
      </c>
      <c r="C141" s="55">
        <f>C149*1000/C134</f>
        <v>809.11094444123921</v>
      </c>
      <c r="D141" s="55">
        <f t="shared" ref="D141:M141" si="467">D149*1000/D$134</f>
        <v>1541.1511217401205</v>
      </c>
      <c r="E141" s="55">
        <f t="shared" si="467"/>
        <v>1232.4612005856516</v>
      </c>
      <c r="F141" s="55">
        <f t="shared" si="467"/>
        <v>1282.3916175507532</v>
      </c>
      <c r="G141" s="55">
        <f t="shared" si="467"/>
        <v>1531.8666317240477</v>
      </c>
      <c r="H141" s="55">
        <f t="shared" si="467"/>
        <v>1005.2261022927692</v>
      </c>
      <c r="I141" s="55">
        <f t="shared" si="467"/>
        <v>709.91478696741854</v>
      </c>
      <c r="J141" s="55">
        <f t="shared" si="467"/>
        <v>1285.4736278447122</v>
      </c>
      <c r="K141" s="55">
        <f t="shared" si="467"/>
        <v>1342.8275957655278</v>
      </c>
      <c r="L141" s="55">
        <f t="shared" si="467"/>
        <v>1415.1517484708572</v>
      </c>
      <c r="M141" s="55">
        <f t="shared" si="467"/>
        <v>1415.151748470857</v>
      </c>
      <c r="O141" s="55">
        <f>O149*4*1000/O134</f>
        <v>513.01360057265572</v>
      </c>
      <c r="P141" s="55">
        <f t="shared" ref="P141:AS141" si="468">P149*4*1000/P$134</f>
        <v>553.38149615474242</v>
      </c>
      <c r="Q141" s="55">
        <f t="shared" si="468"/>
        <v>738.82031427920742</v>
      </c>
      <c r="R141" s="55">
        <f t="shared" si="468"/>
        <v>1402.5919282511211</v>
      </c>
      <c r="S141" s="55">
        <f t="shared" si="468"/>
        <v>1572.5076586433261</v>
      </c>
      <c r="T141" s="55">
        <f t="shared" si="468"/>
        <v>1575.8346456692914</v>
      </c>
      <c r="U141" s="55">
        <f t="shared" si="468"/>
        <v>1541.5592640136929</v>
      </c>
      <c r="V141" s="55">
        <f t="shared" si="468"/>
        <v>1491.3250773993809</v>
      </c>
      <c r="W141" s="55">
        <f t="shared" si="468"/>
        <v>1430.3076923076924</v>
      </c>
      <c r="X141" s="55">
        <f t="shared" si="468"/>
        <v>1128.1696306429549</v>
      </c>
      <c r="Y141" s="55">
        <f t="shared" si="468"/>
        <v>1119.7723076923078</v>
      </c>
      <c r="Z141" s="55">
        <f t="shared" si="468"/>
        <v>1255.7807407407408</v>
      </c>
      <c r="AA141" s="55">
        <f t="shared" si="468"/>
        <v>1211.0543549443353</v>
      </c>
      <c r="AB141" s="55">
        <f t="shared" si="468"/>
        <v>1333.9620170268499</v>
      </c>
      <c r="AC141" s="55">
        <f t="shared" si="468"/>
        <v>1358.0039292730844</v>
      </c>
      <c r="AD141" s="55">
        <f t="shared" si="468"/>
        <v>1226.5461689587426</v>
      </c>
      <c r="AE141" s="55">
        <f t="shared" si="468"/>
        <v>1258.7347740667976</v>
      </c>
      <c r="AF141" s="55">
        <f t="shared" si="468"/>
        <v>1548.3686868686868</v>
      </c>
      <c r="AG141" s="55">
        <f t="shared" si="468"/>
        <v>1761.0707070707072</v>
      </c>
      <c r="AH141" s="55">
        <f t="shared" si="468"/>
        <v>1545.4046519308574</v>
      </c>
      <c r="AI141" s="55">
        <f t="shared" si="468"/>
        <v>1233.1901234567902</v>
      </c>
      <c r="AJ141" s="55">
        <f t="shared" si="468"/>
        <v>923.52418300653596</v>
      </c>
      <c r="AK141" s="55">
        <f t="shared" si="468"/>
        <v>857.81666666666672</v>
      </c>
      <c r="AL141" s="55">
        <f t="shared" si="468"/>
        <v>975.57037037037037</v>
      </c>
      <c r="AM141" s="55">
        <f t="shared" si="468"/>
        <v>713.42962962962963</v>
      </c>
      <c r="AN141" s="55">
        <f t="shared" si="468"/>
        <v>629.36170212765956</v>
      </c>
      <c r="AO141" s="55">
        <f t="shared" si="468"/>
        <v>665.23404255319144</v>
      </c>
      <c r="AP141" s="55">
        <f t="shared" si="468"/>
        <v>820.52038834951452</v>
      </c>
      <c r="AQ141" s="55">
        <f t="shared" si="468"/>
        <v>1008.3857142857142</v>
      </c>
      <c r="AR141" s="55">
        <f t="shared" si="468"/>
        <v>1364.9129411764707</v>
      </c>
      <c r="AS141" s="55">
        <f t="shared" si="468"/>
        <v>1317.9672727272728</v>
      </c>
      <c r="AT141" s="55">
        <f t="shared" ref="AT141" si="469">AT149*4*1000/AT$134</f>
        <v>1327.8432653061225</v>
      </c>
      <c r="AU141" s="55">
        <f t="shared" ref="AU141:BF141" si="470">AT141*(1+AU142)</f>
        <v>1234.8942367346938</v>
      </c>
      <c r="AV141" s="55">
        <f t="shared" si="470"/>
        <v>1321.3368333061223</v>
      </c>
      <c r="AW141" s="55">
        <f t="shared" si="470"/>
        <v>1387.4036749714285</v>
      </c>
      <c r="AX141" s="55">
        <f t="shared" si="470"/>
        <v>1415.151748470857</v>
      </c>
      <c r="AY141" s="55">
        <f t="shared" si="470"/>
        <v>1415.151748470857</v>
      </c>
      <c r="AZ141" s="55">
        <f t="shared" si="470"/>
        <v>1415.151748470857</v>
      </c>
      <c r="BA141" s="55">
        <f t="shared" si="470"/>
        <v>1415.151748470857</v>
      </c>
      <c r="BB141" s="55">
        <f t="shared" si="470"/>
        <v>1415.151748470857</v>
      </c>
      <c r="BC141" s="55">
        <f t="shared" si="470"/>
        <v>1415.151748470857</v>
      </c>
      <c r="BD141" s="55">
        <f t="shared" si="470"/>
        <v>1415.151748470857</v>
      </c>
      <c r="BE141" s="55">
        <f t="shared" si="470"/>
        <v>1415.151748470857</v>
      </c>
      <c r="BF141" s="55">
        <f t="shared" si="470"/>
        <v>1415.151748470857</v>
      </c>
      <c r="BI141">
        <f t="shared" si="466"/>
        <v>134</v>
      </c>
    </row>
    <row r="142" spans="1:61" hidden="1" outlineLevel="2">
      <c r="B142" s="25" t="s">
        <v>136</v>
      </c>
      <c r="C142" s="68"/>
      <c r="D142" s="68">
        <f t="shared" ref="D142" si="471">D141/C141-1</f>
        <v>0.90474635441301321</v>
      </c>
      <c r="E142" s="68">
        <f t="shared" ref="E142" si="472">E141/D141-1</f>
        <v>-0.20029828145985173</v>
      </c>
      <c r="F142" s="68">
        <f t="shared" ref="F142" si="473">F141/E141-1</f>
        <v>4.0512769847339092E-2</v>
      </c>
      <c r="G142" s="68">
        <f t="shared" ref="G142" si="474">G141/F141-1</f>
        <v>0.19453886843846369</v>
      </c>
      <c r="H142" s="68">
        <f t="shared" ref="H142" si="475">H141/G141-1</f>
        <v>-0.34379006535220891</v>
      </c>
      <c r="I142" s="68">
        <f t="shared" ref="I142" si="476">I141/H141-1</f>
        <v>-0.29377601183633217</v>
      </c>
      <c r="J142" s="68">
        <f t="shared" ref="J142" si="477">J141/I141-1</f>
        <v>0.81074355886562044</v>
      </c>
      <c r="K142" s="68">
        <f t="shared" ref="K142" si="478">K141/J141-1</f>
        <v>4.4616993051018961E-2</v>
      </c>
      <c r="L142" s="68">
        <f t="shared" ref="L142" si="479">L141/K141-1</f>
        <v>5.3859596670039034E-2</v>
      </c>
      <c r="M142" s="68">
        <f t="shared" ref="M142" si="480">M141/L141-1</f>
        <v>0</v>
      </c>
      <c r="O142" s="68"/>
      <c r="P142" s="68">
        <f t="shared" ref="P142:AR142" si="481">P141/O141-1</f>
        <v>7.86877687784997E-2</v>
      </c>
      <c r="Q142" s="68">
        <f t="shared" si="481"/>
        <v>0.33510122657337749</v>
      </c>
      <c r="R142" s="68">
        <f t="shared" si="481"/>
        <v>0.89842090308451894</v>
      </c>
      <c r="S142" s="68">
        <f t="shared" si="481"/>
        <v>0.12114409542059135</v>
      </c>
      <c r="T142" s="68">
        <f t="shared" si="481"/>
        <v>2.1157207137774137E-3</v>
      </c>
      <c r="U142" s="68">
        <f t="shared" si="481"/>
        <v>-2.1750620694749978E-2</v>
      </c>
      <c r="V142" s="68">
        <f t="shared" si="481"/>
        <v>-3.2586607461019268E-2</v>
      </c>
      <c r="W142" s="68">
        <f t="shared" si="481"/>
        <v>-4.0914879000152338E-2</v>
      </c>
      <c r="X142" s="68">
        <f t="shared" si="481"/>
        <v>-0.21123990543409632</v>
      </c>
      <c r="Y142" s="68">
        <f t="shared" si="481"/>
        <v>-7.4433159008733263E-3</v>
      </c>
      <c r="Z142" s="68">
        <f t="shared" si="481"/>
        <v>0.12146079351500227</v>
      </c>
      <c r="AA142" s="68">
        <f t="shared" si="481"/>
        <v>-3.5616397309950032E-2</v>
      </c>
      <c r="AB142" s="68">
        <f t="shared" si="481"/>
        <v>0.10148814673818984</v>
      </c>
      <c r="AC142" s="68">
        <f t="shared" si="481"/>
        <v>1.8022936140130508E-2</v>
      </c>
      <c r="AD142" s="68">
        <f t="shared" si="481"/>
        <v>-9.6802194368251104E-2</v>
      </c>
      <c r="AE142" s="68">
        <f t="shared" si="481"/>
        <v>2.6243288612104232E-2</v>
      </c>
      <c r="AF142" s="68">
        <f t="shared" si="481"/>
        <v>0.23009923835354296</v>
      </c>
      <c r="AG142" s="68">
        <f t="shared" si="481"/>
        <v>0.13737168802617306</v>
      </c>
      <c r="AH142" s="68">
        <f t="shared" si="481"/>
        <v>-0.12246303017473947</v>
      </c>
      <c r="AI142" s="68">
        <f t="shared" si="481"/>
        <v>-0.20202768775413005</v>
      </c>
      <c r="AJ142" s="68">
        <f t="shared" si="481"/>
        <v>-0.25110965013425568</v>
      </c>
      <c r="AK142" s="68">
        <f t="shared" si="481"/>
        <v>-7.114866892381555E-2</v>
      </c>
      <c r="AL142" s="68">
        <f t="shared" si="481"/>
        <v>0.13727141040669566</v>
      </c>
      <c r="AM142" s="68">
        <f t="shared" si="481"/>
        <v>-0.26870510698394856</v>
      </c>
      <c r="AN142" s="68">
        <f t="shared" si="481"/>
        <v>-0.11783632752344919</v>
      </c>
      <c r="AO142" s="68">
        <f t="shared" si="481"/>
        <v>5.6997971602434028E-2</v>
      </c>
      <c r="AP142" s="68">
        <f t="shared" si="481"/>
        <v>0.23343114733023684</v>
      </c>
      <c r="AQ142" s="68">
        <f t="shared" si="481"/>
        <v>0.22895875422924328</v>
      </c>
      <c r="AR142" s="68">
        <f t="shared" si="481"/>
        <v>0.35356235400786185</v>
      </c>
      <c r="AS142" s="68">
        <f>AS141/AR141-1</f>
        <v>-3.439462476539612E-2</v>
      </c>
      <c r="AT142" s="68">
        <f>AT141/AS141-1</f>
        <v>7.4933519088173917E-3</v>
      </c>
      <c r="AU142" s="81">
        <v>-7.0000000000000007E-2</v>
      </c>
      <c r="AV142" s="81">
        <v>7.0000000000000007E-2</v>
      </c>
      <c r="AW142" s="81">
        <v>0.05</v>
      </c>
      <c r="AX142" s="81">
        <v>0.02</v>
      </c>
      <c r="AY142" s="81">
        <v>0</v>
      </c>
      <c r="AZ142" s="81">
        <v>0</v>
      </c>
      <c r="BA142" s="81">
        <v>0</v>
      </c>
      <c r="BB142" s="81">
        <v>0</v>
      </c>
      <c r="BC142" s="81">
        <v>0</v>
      </c>
      <c r="BD142" s="81">
        <v>0</v>
      </c>
      <c r="BE142" s="81">
        <v>0</v>
      </c>
      <c r="BF142" s="81">
        <v>0</v>
      </c>
      <c r="BI142">
        <f t="shared" si="466"/>
        <v>135</v>
      </c>
    </row>
    <row r="143" spans="1:61" hidden="1" outlineLevel="2">
      <c r="B143" s="19" t="s">
        <v>139</v>
      </c>
      <c r="C143" s="55">
        <f t="shared" ref="C143:M143" si="482">C151*1000/C$134</f>
        <v>266.56204927017831</v>
      </c>
      <c r="D143" s="55">
        <f t="shared" si="482"/>
        <v>518.21888167634665</v>
      </c>
      <c r="E143" s="55">
        <f t="shared" si="482"/>
        <v>381.98096632503666</v>
      </c>
      <c r="F143" s="55">
        <f t="shared" si="482"/>
        <v>307.61362148002615</v>
      </c>
      <c r="G143" s="55">
        <f t="shared" si="482"/>
        <v>304.36205290845476</v>
      </c>
      <c r="H143" s="55">
        <f t="shared" si="482"/>
        <v>141.70440917107584</v>
      </c>
      <c r="I143" s="55">
        <f t="shared" si="482"/>
        <v>39.061654135338344</v>
      </c>
      <c r="J143" s="55">
        <f t="shared" si="482"/>
        <v>250.04123159303873</v>
      </c>
      <c r="K143" s="55">
        <f t="shared" si="482"/>
        <v>287.08600799729714</v>
      </c>
      <c r="L143" s="55">
        <f t="shared" si="482"/>
        <v>325.48490214829712</v>
      </c>
      <c r="M143" s="55">
        <f t="shared" si="482"/>
        <v>325.48490214829707</v>
      </c>
      <c r="O143" s="55">
        <f t="shared" ref="O143:BF143" si="483">O151*4*1000/O$134</f>
        <v>139.53710331663086</v>
      </c>
      <c r="P143" s="55">
        <f t="shared" si="483"/>
        <v>162.19063155441614</v>
      </c>
      <c r="Q143" s="55">
        <f t="shared" si="483"/>
        <v>271.45524937371897</v>
      </c>
      <c r="R143" s="55">
        <f t="shared" si="483"/>
        <v>481.52466367713015</v>
      </c>
      <c r="S143" s="55">
        <f t="shared" si="483"/>
        <v>534.65207877461694</v>
      </c>
      <c r="T143" s="55">
        <f t="shared" si="483"/>
        <v>561.14173228346442</v>
      </c>
      <c r="U143" s="55">
        <f t="shared" si="483"/>
        <v>517.49764655541287</v>
      </c>
      <c r="V143" s="55">
        <f t="shared" si="483"/>
        <v>473.49226006191952</v>
      </c>
      <c r="W143" s="55">
        <f t="shared" si="483"/>
        <v>442.98816568047346</v>
      </c>
      <c r="X143" s="55">
        <f t="shared" si="483"/>
        <v>372.76060191518474</v>
      </c>
      <c r="Y143" s="55">
        <f t="shared" si="483"/>
        <v>325.07076923076914</v>
      </c>
      <c r="Z143" s="55">
        <f t="shared" si="483"/>
        <v>385.67111111111126</v>
      </c>
      <c r="AA143" s="55">
        <f t="shared" si="483"/>
        <v>330.07989521938435</v>
      </c>
      <c r="AB143" s="55">
        <f t="shared" si="483"/>
        <v>347.55730189914868</v>
      </c>
      <c r="AC143" s="55">
        <f t="shared" si="483"/>
        <v>288.97969875573017</v>
      </c>
      <c r="AD143" s="55">
        <f t="shared" si="483"/>
        <v>263.83759004584147</v>
      </c>
      <c r="AE143" s="55">
        <f t="shared" si="483"/>
        <v>211.93451211525868</v>
      </c>
      <c r="AF143" s="55">
        <f t="shared" si="483"/>
        <v>326.26262626262621</v>
      </c>
      <c r="AG143" s="55">
        <f t="shared" si="483"/>
        <v>341.79797979797974</v>
      </c>
      <c r="AH143" s="55">
        <f t="shared" si="483"/>
        <v>327.26124734692291</v>
      </c>
      <c r="AI143" s="55">
        <f t="shared" si="483"/>
        <v>182.69629629629634</v>
      </c>
      <c r="AJ143" s="55">
        <f t="shared" si="483"/>
        <v>177.08758169934637</v>
      </c>
      <c r="AK143" s="55">
        <f t="shared" si="483"/>
        <v>87.833333333333343</v>
      </c>
      <c r="AL143" s="55">
        <f t="shared" si="483"/>
        <v>101.91851851851852</v>
      </c>
      <c r="AM143" s="55">
        <f t="shared" si="483"/>
        <v>62.962962962962962</v>
      </c>
      <c r="AN143" s="55">
        <f t="shared" si="483"/>
        <v>37.480851063829753</v>
      </c>
      <c r="AO143" s="55">
        <f t="shared" si="483"/>
        <v>8.0340425531915116</v>
      </c>
      <c r="AP143" s="55">
        <f t="shared" si="483"/>
        <v>43.759223300970874</v>
      </c>
      <c r="AQ143" s="55">
        <f t="shared" si="483"/>
        <v>158.29285714285714</v>
      </c>
      <c r="AR143" s="55">
        <f t="shared" si="483"/>
        <v>264.20705882352934</v>
      </c>
      <c r="AS143" s="55">
        <f t="shared" si="483"/>
        <v>262.27636363636356</v>
      </c>
      <c r="AT143" s="55">
        <f t="shared" ref="AT143" si="484">AT151*4*1000/AT$134</f>
        <v>271.16734693877538</v>
      </c>
      <c r="AU143" s="55">
        <f t="shared" si="483"/>
        <v>240.80437616326529</v>
      </c>
      <c r="AV143" s="55">
        <f t="shared" si="483"/>
        <v>270.87405082775507</v>
      </c>
      <c r="AW143" s="55">
        <f t="shared" si="483"/>
        <v>305.22880849371427</v>
      </c>
      <c r="AX143" s="55">
        <f t="shared" si="483"/>
        <v>325.48490214829712</v>
      </c>
      <c r="AY143" s="55">
        <f t="shared" si="483"/>
        <v>325.48490214829718</v>
      </c>
      <c r="AZ143" s="55">
        <f t="shared" si="483"/>
        <v>325.48490214829712</v>
      </c>
      <c r="BA143" s="55">
        <f t="shared" si="483"/>
        <v>325.48490214829707</v>
      </c>
      <c r="BB143" s="55">
        <f t="shared" si="483"/>
        <v>325.48490214829712</v>
      </c>
      <c r="BC143" s="55">
        <f t="shared" si="483"/>
        <v>325.48490214829707</v>
      </c>
      <c r="BD143" s="55">
        <f t="shared" si="483"/>
        <v>325.48490214829707</v>
      </c>
      <c r="BE143" s="55">
        <f t="shared" si="483"/>
        <v>325.48490214829707</v>
      </c>
      <c r="BF143" s="55">
        <f t="shared" si="483"/>
        <v>325.48490214829707</v>
      </c>
      <c r="BI143">
        <f t="shared" si="466"/>
        <v>136</v>
      </c>
    </row>
    <row r="144" spans="1:61" hidden="1" outlineLevel="2">
      <c r="B144" s="19" t="s">
        <v>140</v>
      </c>
      <c r="C144" s="55">
        <f t="shared" ref="C144:M144" si="485">C153*1000/C$134</f>
        <v>242.58466508971324</v>
      </c>
      <c r="D144" s="55">
        <f t="shared" si="485"/>
        <v>485.99293930076288</v>
      </c>
      <c r="E144" s="55">
        <f t="shared" si="485"/>
        <v>357.0430453879942</v>
      </c>
      <c r="F144" s="55">
        <f t="shared" si="485"/>
        <v>284.43745907007201</v>
      </c>
      <c r="G144" s="55">
        <f t="shared" si="485"/>
        <v>280.34166774011572</v>
      </c>
      <c r="H144" s="55">
        <f t="shared" si="485"/>
        <v>118.68077601410934</v>
      </c>
      <c r="I144" s="55">
        <f t="shared" si="485"/>
        <v>16.529323308270676</v>
      </c>
      <c r="J144" s="55">
        <f t="shared" si="485"/>
        <v>234.57456492637209</v>
      </c>
      <c r="K144" s="55">
        <f t="shared" si="485"/>
        <v>275.88723953957594</v>
      </c>
      <c r="L144" s="55">
        <f t="shared" si="485"/>
        <v>315.2460585810914</v>
      </c>
      <c r="M144" s="55">
        <f t="shared" si="485"/>
        <v>315.27608770864435</v>
      </c>
      <c r="O144" s="55">
        <f t="shared" ref="O144:BF144" si="486">O153*4*1000/O$134</f>
        <v>115.28513481269383</v>
      </c>
      <c r="P144" s="55">
        <f t="shared" si="486"/>
        <v>136.04288044744808</v>
      </c>
      <c r="Q144" s="55">
        <f t="shared" si="486"/>
        <v>247.15099066271918</v>
      </c>
      <c r="R144" s="55">
        <f t="shared" si="486"/>
        <v>460.21524663677144</v>
      </c>
      <c r="S144" s="55">
        <f t="shared" si="486"/>
        <v>496.67396061269142</v>
      </c>
      <c r="T144" s="55">
        <f t="shared" si="486"/>
        <v>526.05511811023609</v>
      </c>
      <c r="U144" s="55">
        <f t="shared" si="486"/>
        <v>486.99700470688907</v>
      </c>
      <c r="V144" s="55">
        <f t="shared" si="486"/>
        <v>446.02476780185748</v>
      </c>
      <c r="W144" s="55">
        <f t="shared" si="486"/>
        <v>417.69230769230768</v>
      </c>
      <c r="X144" s="55">
        <f t="shared" si="486"/>
        <v>348.99042407660744</v>
      </c>
      <c r="Y144" s="55">
        <f t="shared" si="486"/>
        <v>299.27999999999986</v>
      </c>
      <c r="Z144" s="55">
        <f t="shared" si="486"/>
        <v>360.64829629629645</v>
      </c>
      <c r="AA144" s="55">
        <f t="shared" si="486"/>
        <v>307.79829731499666</v>
      </c>
      <c r="AB144" s="55">
        <f t="shared" si="486"/>
        <v>325.04518664047157</v>
      </c>
      <c r="AC144" s="55">
        <f t="shared" si="486"/>
        <v>265.49836280288145</v>
      </c>
      <c r="AD144" s="55">
        <f t="shared" si="486"/>
        <v>239.40798952193836</v>
      </c>
      <c r="AE144" s="55">
        <f t="shared" si="486"/>
        <v>186.4309102815979</v>
      </c>
      <c r="AF144" s="55">
        <f t="shared" si="486"/>
        <v>300.67171717171715</v>
      </c>
      <c r="AG144" s="55">
        <f t="shared" si="486"/>
        <v>317.14646464646455</v>
      </c>
      <c r="AH144" s="55">
        <f t="shared" si="486"/>
        <v>306.03468792042469</v>
      </c>
      <c r="AI144" s="55">
        <f t="shared" si="486"/>
        <v>157.54567901234574</v>
      </c>
      <c r="AJ144" s="55">
        <f t="shared" si="486"/>
        <v>154.33725490196076</v>
      </c>
      <c r="AK144" s="55">
        <f t="shared" si="486"/>
        <v>65.50555555555556</v>
      </c>
      <c r="AL144" s="55">
        <f t="shared" si="486"/>
        <v>80.770370370370372</v>
      </c>
      <c r="AM144" s="55">
        <f t="shared" si="486"/>
        <v>41.56296296296297</v>
      </c>
      <c r="AN144" s="55">
        <f t="shared" si="486"/>
        <v>11.702127659574437</v>
      </c>
      <c r="AO144" s="55">
        <f t="shared" si="486"/>
        <v>-16.868085106382956</v>
      </c>
      <c r="AP144" s="55">
        <f t="shared" si="486"/>
        <v>25.16504854368932</v>
      </c>
      <c r="AQ144" s="55">
        <f t="shared" si="486"/>
        <v>138.27857142857144</v>
      </c>
      <c r="AR144" s="55">
        <f t="shared" si="486"/>
        <v>246.78117647058809</v>
      </c>
      <c r="AS144" s="55">
        <f t="shared" si="486"/>
        <v>247.69090909090903</v>
      </c>
      <c r="AT144" s="55">
        <f t="shared" ref="AT144" si="487">AT153*4*1000/AT$134</f>
        <v>258.34775510204065</v>
      </c>
      <c r="AU144" s="55">
        <f t="shared" si="486"/>
        <v>229.21871622090219</v>
      </c>
      <c r="AV144" s="55">
        <f t="shared" si="486"/>
        <v>259.5547278955612</v>
      </c>
      <c r="AW144" s="55">
        <f t="shared" si="486"/>
        <v>294.15002117382954</v>
      </c>
      <c r="AX144" s="55">
        <f t="shared" si="486"/>
        <v>314.62377580897271</v>
      </c>
      <c r="AY144" s="55">
        <f t="shared" si="486"/>
        <v>314.82104932819715</v>
      </c>
      <c r="AZ144" s="55">
        <f t="shared" si="486"/>
        <v>315.00006220176738</v>
      </c>
      <c r="BA144" s="55">
        <f t="shared" si="486"/>
        <v>315.48007521006082</v>
      </c>
      <c r="BB144" s="55">
        <f t="shared" si="486"/>
        <v>315.61305136671729</v>
      </c>
      <c r="BC144" s="55">
        <f t="shared" si="486"/>
        <v>315.57729866960358</v>
      </c>
      <c r="BD144" s="55">
        <f t="shared" si="486"/>
        <v>315.37914660002969</v>
      </c>
      <c r="BE144" s="55">
        <f t="shared" si="486"/>
        <v>315.17703148906429</v>
      </c>
      <c r="BF144" s="55">
        <f t="shared" si="486"/>
        <v>314.97087407587975</v>
      </c>
      <c r="BI144">
        <f t="shared" si="466"/>
        <v>137</v>
      </c>
    </row>
    <row r="145" spans="1:67" s="91" customFormat="1" hidden="1" outlineLevel="2">
      <c r="A145" s="88"/>
      <c r="B145" s="92" t="s">
        <v>141</v>
      </c>
      <c r="C145" s="96">
        <f t="shared" ref="C145:M145" si="488">C173*1000/C$134</f>
        <v>163.81491463343562</v>
      </c>
      <c r="D145" s="96">
        <f t="shared" si="488"/>
        <v>396.90665726512731</v>
      </c>
      <c r="E145" s="96">
        <f t="shared" si="488"/>
        <v>268.61728307674986</v>
      </c>
      <c r="F145" s="96">
        <f t="shared" si="488"/>
        <v>185.03853475063011</v>
      </c>
      <c r="G145" s="96">
        <f t="shared" si="488"/>
        <v>179.69152591446576</v>
      </c>
      <c r="H145" s="96">
        <f t="shared" si="488"/>
        <v>9.2544945597679167</v>
      </c>
      <c r="I145" s="96">
        <f t="shared" si="488"/>
        <v>-103.52815126697249</v>
      </c>
      <c r="J145" s="96">
        <f t="shared" si="488"/>
        <v>96.215824034097324</v>
      </c>
      <c r="K145" s="96">
        <f t="shared" si="488"/>
        <v>118.28529958225626</v>
      </c>
      <c r="L145" s="96">
        <f t="shared" si="488"/>
        <v>160.05558254218857</v>
      </c>
      <c r="M145" s="96">
        <f t="shared" si="488"/>
        <v>160.69219800174784</v>
      </c>
      <c r="O145" s="96">
        <f>O173*4*1000/O$134</f>
        <v>40.759716406064463</v>
      </c>
      <c r="P145" s="96">
        <f t="shared" ref="P145:BF145" si="489">P173*4*1000/P$134</f>
        <v>60.508137737991269</v>
      </c>
      <c r="Q145" s="96">
        <f t="shared" si="489"/>
        <v>168.90208226804256</v>
      </c>
      <c r="R145" s="96">
        <f t="shared" si="489"/>
        <v>373.83194654951302</v>
      </c>
      <c r="S145" s="96">
        <f t="shared" si="489"/>
        <v>402.98712235526443</v>
      </c>
      <c r="T145" s="96">
        <f t="shared" si="489"/>
        <v>432.20728924085353</v>
      </c>
      <c r="U145" s="96">
        <f t="shared" si="489"/>
        <v>400.80773696601926</v>
      </c>
      <c r="V145" s="96">
        <f t="shared" si="489"/>
        <v>361.31733930056447</v>
      </c>
      <c r="W145" s="96">
        <f t="shared" si="489"/>
        <v>331.85946397912011</v>
      </c>
      <c r="X145" s="96">
        <f t="shared" si="489"/>
        <v>260.62299987295268</v>
      </c>
      <c r="Y145" s="96">
        <f t="shared" si="489"/>
        <v>210.44694933778933</v>
      </c>
      <c r="Z145" s="96">
        <f t="shared" si="489"/>
        <v>269.95479961348724</v>
      </c>
      <c r="AA145" s="96">
        <f t="shared" si="489"/>
        <v>212.29509310896614</v>
      </c>
      <c r="AB145" s="96">
        <f t="shared" si="489"/>
        <v>225.47684494581065</v>
      </c>
      <c r="AC145" s="96">
        <f t="shared" si="489"/>
        <v>161.46449827858106</v>
      </c>
      <c r="AD145" s="96">
        <f t="shared" si="489"/>
        <v>140.91770266916262</v>
      </c>
      <c r="AE145" s="96">
        <f t="shared" si="489"/>
        <v>87.010451896069753</v>
      </c>
      <c r="AF145" s="96">
        <f t="shared" si="489"/>
        <v>199.31610524985857</v>
      </c>
      <c r="AG145" s="96">
        <f t="shared" si="489"/>
        <v>215.48553668296384</v>
      </c>
      <c r="AH145" s="96">
        <f t="shared" si="489"/>
        <v>205.79292484572008</v>
      </c>
      <c r="AI145" s="96">
        <f t="shared" si="489"/>
        <v>50.561330122597134</v>
      </c>
      <c r="AJ145" s="96">
        <f t="shared" si="489"/>
        <v>47.176620813482359</v>
      </c>
      <c r="AK145" s="96">
        <f t="shared" si="489"/>
        <v>-43.15659211916752</v>
      </c>
      <c r="AL145" s="96">
        <f t="shared" si="489"/>
        <v>-36.547322071990777</v>
      </c>
      <c r="AM145" s="96">
        <f t="shared" si="489"/>
        <v>-76.136659165639642</v>
      </c>
      <c r="AN145" s="96">
        <f t="shared" si="489"/>
        <v>-110.29917136775795</v>
      </c>
      <c r="AO145" s="96">
        <f t="shared" si="489"/>
        <v>-137.05913273227094</v>
      </c>
      <c r="AP145" s="96">
        <f t="shared" si="489"/>
        <v>-95.468860002235246</v>
      </c>
      <c r="AQ145" s="96">
        <f t="shared" si="489"/>
        <v>-3.365354702805158</v>
      </c>
      <c r="AR145" s="96">
        <f t="shared" si="489"/>
        <v>110.08647147589069</v>
      </c>
      <c r="AS145" s="96">
        <f t="shared" si="489"/>
        <v>109.10367096804069</v>
      </c>
      <c r="AT145" s="96">
        <f t="shared" ref="AT145" si="490">AT173*4*1000/AT$134</f>
        <v>120.541357209447</v>
      </c>
      <c r="AU145" s="96">
        <f t="shared" si="489"/>
        <v>71.371495569223541</v>
      </c>
      <c r="AV145" s="96">
        <f t="shared" si="489"/>
        <v>101.78179485411613</v>
      </c>
      <c r="AW145" s="96">
        <f t="shared" si="489"/>
        <v>136.48066852019457</v>
      </c>
      <c r="AX145" s="96">
        <f t="shared" si="489"/>
        <v>157.4610076606433</v>
      </c>
      <c r="AY145" s="96">
        <f t="shared" si="489"/>
        <v>158.20225999287175</v>
      </c>
      <c r="AZ145" s="96">
        <f t="shared" si="489"/>
        <v>159.30499491244331</v>
      </c>
      <c r="BA145" s="96">
        <f t="shared" si="489"/>
        <v>160.94039917095881</v>
      </c>
      <c r="BB145" s="96">
        <f t="shared" si="489"/>
        <v>161.49562820738942</v>
      </c>
      <c r="BC145" s="96">
        <f t="shared" si="489"/>
        <v>161.45339361843514</v>
      </c>
      <c r="BD145" s="96">
        <f t="shared" si="489"/>
        <v>160.90453738318703</v>
      </c>
      <c r="BE145" s="96">
        <f t="shared" si="489"/>
        <v>160.4826734675583</v>
      </c>
      <c r="BF145" s="96">
        <f t="shared" si="489"/>
        <v>159.92818753781086</v>
      </c>
      <c r="BI145">
        <f t="shared" si="466"/>
        <v>138</v>
      </c>
      <c r="BJ145"/>
      <c r="BK145"/>
      <c r="BL145"/>
      <c r="BM145"/>
      <c r="BN145"/>
      <c r="BO145"/>
    </row>
    <row r="146" spans="1:67" hidden="1" outlineLevel="2">
      <c r="B146" s="19" t="s">
        <v>135</v>
      </c>
      <c r="C146" s="55">
        <f t="shared" ref="C146:M146" si="491">C155*1000/C$134</f>
        <v>148.6043962383892</v>
      </c>
      <c r="D146" s="55">
        <f t="shared" si="491"/>
        <v>352.47010591048843</v>
      </c>
      <c r="E146" s="55">
        <f t="shared" si="491"/>
        <v>194.43396778916548</v>
      </c>
      <c r="F146" s="55">
        <f t="shared" si="491"/>
        <v>116.77144728225275</v>
      </c>
      <c r="G146" s="55">
        <f t="shared" si="491"/>
        <v>105.51604769371312</v>
      </c>
      <c r="H146" s="55">
        <f t="shared" si="491"/>
        <v>-152.92980599647265</v>
      </c>
      <c r="I146" s="55">
        <f t="shared" si="491"/>
        <v>-354.14135338345864</v>
      </c>
      <c r="J146" s="55">
        <f t="shared" si="491"/>
        <v>22.519946452476479</v>
      </c>
      <c r="K146" s="55">
        <f t="shared" si="491"/>
        <v>109.81825137521065</v>
      </c>
      <c r="L146" s="55">
        <f t="shared" si="491"/>
        <v>169.06376845832699</v>
      </c>
      <c r="M146" s="55">
        <f t="shared" si="491"/>
        <v>179.52779345177143</v>
      </c>
      <c r="O146" s="55">
        <f t="shared" ref="O146:BF146" si="492">O155*4*1000/O$134</f>
        <v>42.729658792650881</v>
      </c>
      <c r="P146" s="55">
        <f t="shared" si="492"/>
        <v>62.512234910277272</v>
      </c>
      <c r="Q146" s="55">
        <f t="shared" si="492"/>
        <v>160.20040992940105</v>
      </c>
      <c r="R146" s="55">
        <f t="shared" si="492"/>
        <v>319.50672645739922</v>
      </c>
      <c r="S146" s="55">
        <f t="shared" si="492"/>
        <v>362.17067833698019</v>
      </c>
      <c r="T146" s="55">
        <f t="shared" si="492"/>
        <v>396.37795275590537</v>
      </c>
      <c r="U146" s="55">
        <f t="shared" si="492"/>
        <v>345.23577235772348</v>
      </c>
      <c r="V146" s="55">
        <f t="shared" si="492"/>
        <v>317.6222910216718</v>
      </c>
      <c r="W146" s="55">
        <f t="shared" si="492"/>
        <v>276.84615384615387</v>
      </c>
      <c r="X146" s="55">
        <f t="shared" si="492"/>
        <v>201.61969904240775</v>
      </c>
      <c r="Y146" s="55">
        <f t="shared" si="492"/>
        <v>92.36307692307679</v>
      </c>
      <c r="Z146" s="55">
        <f t="shared" si="492"/>
        <v>202.40829629629638</v>
      </c>
      <c r="AA146" s="55">
        <f t="shared" si="492"/>
        <v>149.39096267190564</v>
      </c>
      <c r="AB146" s="55">
        <f t="shared" si="492"/>
        <v>158.50163719711855</v>
      </c>
      <c r="AC146" s="55">
        <f t="shared" si="492"/>
        <v>98.954813359528444</v>
      </c>
      <c r="AD146" s="55">
        <f t="shared" si="492"/>
        <v>60.238375900458365</v>
      </c>
      <c r="AE146" s="55">
        <f t="shared" si="492"/>
        <v>8.0838244924688905</v>
      </c>
      <c r="AF146" s="55">
        <f t="shared" si="492"/>
        <v>125.80808080808079</v>
      </c>
      <c r="AG146" s="55">
        <f t="shared" si="492"/>
        <v>127.31313131313124</v>
      </c>
      <c r="AH146" s="55">
        <f t="shared" si="492"/>
        <v>145.39590952582168</v>
      </c>
      <c r="AI146" s="55">
        <f t="shared" si="492"/>
        <v>-74.153086419753024</v>
      </c>
      <c r="AJ146" s="55">
        <f t="shared" si="492"/>
        <v>-98.007843137254937</v>
      </c>
      <c r="AK146" s="55">
        <f t="shared" si="492"/>
        <v>-204.75</v>
      </c>
      <c r="AL146" s="55">
        <f t="shared" si="492"/>
        <v>-279.80740740740742</v>
      </c>
      <c r="AM146" s="55">
        <f t="shared" si="492"/>
        <v>-325.62222222222221</v>
      </c>
      <c r="AN146" s="55">
        <f t="shared" si="492"/>
        <v>-391.70212765957456</v>
      </c>
      <c r="AO146" s="55">
        <f t="shared" si="492"/>
        <v>-396.33191489361701</v>
      </c>
      <c r="AP146" s="55">
        <f t="shared" si="492"/>
        <v>-311.26213592233006</v>
      </c>
      <c r="AQ146" s="55">
        <f t="shared" si="492"/>
        <v>-163.50714285714287</v>
      </c>
      <c r="AR146" s="55">
        <f t="shared" si="492"/>
        <v>21.816470588235173</v>
      </c>
      <c r="AS146" s="55">
        <f t="shared" si="492"/>
        <v>61.239999999999924</v>
      </c>
      <c r="AT146" s="55">
        <f t="shared" ref="AT146" si="493">AT155*4*1000/AT$134</f>
        <v>73.279999999999859</v>
      </c>
      <c r="AU146" s="55">
        <f t="shared" si="492"/>
        <v>53.138168374306836</v>
      </c>
      <c r="AV146" s="55">
        <f t="shared" si="492"/>
        <v>90.327834369192431</v>
      </c>
      <c r="AW146" s="55">
        <f t="shared" si="492"/>
        <v>131.16740206708545</v>
      </c>
      <c r="AX146" s="55">
        <f t="shared" si="492"/>
        <v>157.34493194272574</v>
      </c>
      <c r="AY146" s="55">
        <f t="shared" si="492"/>
        <v>160.88315485587538</v>
      </c>
      <c r="AZ146" s="55">
        <f t="shared" si="492"/>
        <v>165.07368438015843</v>
      </c>
      <c r="BA146" s="55">
        <f t="shared" si="492"/>
        <v>173.8079819866106</v>
      </c>
      <c r="BB146" s="55">
        <f t="shared" si="492"/>
        <v>175.22156958699358</v>
      </c>
      <c r="BC146" s="55">
        <f t="shared" si="492"/>
        <v>177.33751172848662</v>
      </c>
      <c r="BD146" s="55">
        <f t="shared" si="492"/>
        <v>178.87408001046461</v>
      </c>
      <c r="BE146" s="55">
        <f t="shared" si="492"/>
        <v>180.2986136886729</v>
      </c>
      <c r="BF146" s="55">
        <f t="shared" si="492"/>
        <v>181.60096837946153</v>
      </c>
      <c r="BI146">
        <f t="shared" si="466"/>
        <v>139</v>
      </c>
    </row>
    <row r="147" spans="1:67" hidden="1" outlineLevel="2">
      <c r="BI147">
        <f t="shared" si="466"/>
        <v>140</v>
      </c>
    </row>
    <row r="148" spans="1:67" hidden="1" outlineLevel="2">
      <c r="B148" s="24" t="s">
        <v>129</v>
      </c>
      <c r="BI148">
        <f t="shared" si="466"/>
        <v>141</v>
      </c>
    </row>
    <row r="149" spans="1:67" hidden="1" outlineLevel="2">
      <c r="B149" s="19" t="s">
        <v>114</v>
      </c>
      <c r="C149" s="54">
        <f t="shared" ref="C149:M155" si="494">SUMIFS($O149:$BG149,$O$5:$BG$5,C$5)</f>
        <v>350.608</v>
      </c>
      <c r="D149" s="54">
        <f t="shared" si="494"/>
        <v>845.80299999999988</v>
      </c>
      <c r="E149" s="54">
        <f t="shared" si="494"/>
        <v>841.77099999999996</v>
      </c>
      <c r="F149" s="54">
        <f t="shared" si="494"/>
        <v>979.10599999999999</v>
      </c>
      <c r="G149" s="54">
        <f t="shared" si="494"/>
        <v>1293.2649999999999</v>
      </c>
      <c r="H149" s="54">
        <f t="shared" si="494"/>
        <v>712.45400000000006</v>
      </c>
      <c r="I149" s="54">
        <f t="shared" si="494"/>
        <v>354.07</v>
      </c>
      <c r="J149" s="54">
        <f t="shared" si="494"/>
        <v>1200.3109999999999</v>
      </c>
      <c r="K149" s="54">
        <f t="shared" si="494"/>
        <v>1789.3177713575656</v>
      </c>
      <c r="L149" s="54">
        <f t="shared" si="494"/>
        <v>2232.493868076428</v>
      </c>
      <c r="M149" s="54">
        <f t="shared" si="494"/>
        <v>2423.6313389836437</v>
      </c>
      <c r="O149" s="61">
        <v>53.750999999999998</v>
      </c>
      <c r="P149" s="61">
        <v>59.363999999999997</v>
      </c>
      <c r="Q149" s="61">
        <v>81.103999999999999</v>
      </c>
      <c r="R149" s="61">
        <v>156.38900000000001</v>
      </c>
      <c r="S149" s="61">
        <v>179.65899999999999</v>
      </c>
      <c r="T149" s="61">
        <v>200.131</v>
      </c>
      <c r="U149" s="61">
        <v>225.16399999999999</v>
      </c>
      <c r="V149" s="61">
        <v>240.84899999999999</v>
      </c>
      <c r="W149" s="61">
        <v>241.72200000000001</v>
      </c>
      <c r="X149" s="61">
        <v>206.173</v>
      </c>
      <c r="Y149" s="61">
        <v>181.96299999999999</v>
      </c>
      <c r="Z149" s="61">
        <v>211.91300000000001</v>
      </c>
      <c r="AA149" s="61">
        <v>231.16</v>
      </c>
      <c r="AB149" s="61">
        <v>254.62</v>
      </c>
      <c r="AC149" s="61">
        <v>259.209</v>
      </c>
      <c r="AD149" s="61">
        <v>234.11699999999999</v>
      </c>
      <c r="AE149" s="61">
        <v>240.261</v>
      </c>
      <c r="AF149" s="61">
        <v>306.577</v>
      </c>
      <c r="AG149" s="61">
        <v>348.69200000000001</v>
      </c>
      <c r="AH149" s="61">
        <v>397.73500000000001</v>
      </c>
      <c r="AI149" s="61">
        <v>249.721</v>
      </c>
      <c r="AJ149" s="61">
        <v>176.624</v>
      </c>
      <c r="AK149" s="61">
        <v>154.40700000000001</v>
      </c>
      <c r="AL149" s="61">
        <v>131.702</v>
      </c>
      <c r="AM149" s="61">
        <v>96.313000000000002</v>
      </c>
      <c r="AN149" s="61">
        <v>73.95</v>
      </c>
      <c r="AO149" s="61">
        <v>78.165000000000006</v>
      </c>
      <c r="AP149" s="61">
        <v>105.642</v>
      </c>
      <c r="AQ149" s="61">
        <v>141.17400000000001</v>
      </c>
      <c r="AR149" s="61">
        <v>290.04399999999998</v>
      </c>
      <c r="AS149" s="61">
        <v>362.44099999999997</v>
      </c>
      <c r="AT149" s="61">
        <v>406.65199999999999</v>
      </c>
      <c r="AU149" s="54">
        <f t="shared" ref="AU149:BF149" si="495">(AU141*AU134/4)/1000</f>
        <v>385.90444897959185</v>
      </c>
      <c r="AV149" s="54">
        <f t="shared" si="495"/>
        <v>431.08614186612243</v>
      </c>
      <c r="AW149" s="54">
        <f t="shared" si="495"/>
        <v>471.71724949028572</v>
      </c>
      <c r="AX149" s="54">
        <f t="shared" si="495"/>
        <v>500.60993102156567</v>
      </c>
      <c r="AY149" s="54">
        <f t="shared" si="495"/>
        <v>520.06826756303997</v>
      </c>
      <c r="AZ149" s="54">
        <f t="shared" si="495"/>
        <v>539.52660410451426</v>
      </c>
      <c r="BA149" s="54">
        <f t="shared" si="495"/>
        <v>576.72032993369953</v>
      </c>
      <c r="BB149" s="54">
        <f t="shared" si="495"/>
        <v>596.17866647517394</v>
      </c>
      <c r="BC149" s="54">
        <f t="shared" si="495"/>
        <v>605.90783474591092</v>
      </c>
      <c r="BD149" s="54">
        <f t="shared" si="495"/>
        <v>605.90783474591092</v>
      </c>
      <c r="BE149" s="54">
        <f t="shared" si="495"/>
        <v>605.90783474591092</v>
      </c>
      <c r="BF149" s="54">
        <f t="shared" si="495"/>
        <v>605.90783474591092</v>
      </c>
      <c r="BI149">
        <f t="shared" si="466"/>
        <v>142</v>
      </c>
    </row>
    <row r="150" spans="1:67" hidden="1" outlineLevel="2">
      <c r="B150" s="25" t="s">
        <v>115</v>
      </c>
      <c r="C150" s="54">
        <f t="shared" si="494"/>
        <v>-235.10000000000002</v>
      </c>
      <c r="D150" s="54">
        <f t="shared" si="494"/>
        <v>-561.39800000000002</v>
      </c>
      <c r="E150" s="54">
        <f t="shared" si="494"/>
        <v>-580.87800000000004</v>
      </c>
      <c r="F150" s="54">
        <f t="shared" si="494"/>
        <v>-744.24300000000017</v>
      </c>
      <c r="G150" s="54">
        <f t="shared" si="494"/>
        <v>-1036.31</v>
      </c>
      <c r="H150" s="54">
        <f t="shared" si="494"/>
        <v>-612.02099999999996</v>
      </c>
      <c r="I150" s="54">
        <f t="shared" si="494"/>
        <v>-334.58800000000002</v>
      </c>
      <c r="J150" s="54">
        <f t="shared" si="494"/>
        <v>-966.83500000000004</v>
      </c>
      <c r="K150" s="54">
        <f t="shared" si="494"/>
        <v>-1406.7756657011673</v>
      </c>
      <c r="L150" s="54">
        <f t="shared" si="494"/>
        <v>-1719.0202784188496</v>
      </c>
      <c r="M150" s="54">
        <f t="shared" si="494"/>
        <v>-1866.1961310174056</v>
      </c>
      <c r="O150" s="61">
        <v>-39.131</v>
      </c>
      <c r="P150" s="61">
        <v>-41.965000000000003</v>
      </c>
      <c r="Q150" s="61">
        <v>-51.305</v>
      </c>
      <c r="R150" s="61">
        <v>-102.699</v>
      </c>
      <c r="S150" s="61">
        <v>-118.575</v>
      </c>
      <c r="T150" s="61">
        <v>-128.86600000000001</v>
      </c>
      <c r="U150" s="61">
        <v>-149.577</v>
      </c>
      <c r="V150" s="61">
        <v>-164.38</v>
      </c>
      <c r="W150" s="61">
        <v>-166.857</v>
      </c>
      <c r="X150" s="61">
        <v>-138.05099999999999</v>
      </c>
      <c r="Y150" s="61">
        <v>-129.13900000000001</v>
      </c>
      <c r="Z150" s="61">
        <v>-146.83099999999999</v>
      </c>
      <c r="AA150" s="61">
        <v>-168.15600000000001</v>
      </c>
      <c r="AB150" s="61">
        <v>-188.28</v>
      </c>
      <c r="AC150" s="61">
        <v>-204.05</v>
      </c>
      <c r="AD150" s="61">
        <v>-183.75700000000001</v>
      </c>
      <c r="AE150" s="61">
        <v>-199.80799999999999</v>
      </c>
      <c r="AF150" s="61">
        <v>-241.977</v>
      </c>
      <c r="AG150" s="61">
        <v>-281.01600000000002</v>
      </c>
      <c r="AH150" s="61">
        <v>-313.50900000000001</v>
      </c>
      <c r="AI150" s="61">
        <v>-212.72499999999999</v>
      </c>
      <c r="AJ150" s="61">
        <v>-142.756</v>
      </c>
      <c r="AK150" s="61">
        <v>-138.59700000000001</v>
      </c>
      <c r="AL150" s="61">
        <v>-117.943</v>
      </c>
      <c r="AM150" s="61">
        <v>-87.813000000000002</v>
      </c>
      <c r="AN150" s="61">
        <v>-69.546000000000006</v>
      </c>
      <c r="AO150" s="61">
        <v>-77.221000000000004</v>
      </c>
      <c r="AP150" s="61">
        <v>-100.008</v>
      </c>
      <c r="AQ150" s="61">
        <v>-119.01300000000001</v>
      </c>
      <c r="AR150" s="61">
        <v>-233.9</v>
      </c>
      <c r="AS150" s="61">
        <v>-290.315</v>
      </c>
      <c r="AT150" s="61">
        <v>-323.60700000000003</v>
      </c>
      <c r="AU150" s="54">
        <f t="shared" ref="AU150:BF150" si="496">AU151-AU149</f>
        <v>-310.65308142857145</v>
      </c>
      <c r="AV150" s="54">
        <f t="shared" si="496"/>
        <v>-342.71348278356731</v>
      </c>
      <c r="AW150" s="54">
        <f t="shared" si="496"/>
        <v>-367.93945460242287</v>
      </c>
      <c r="AX150" s="54">
        <f t="shared" si="496"/>
        <v>-385.46964688660557</v>
      </c>
      <c r="AY150" s="54">
        <f t="shared" si="496"/>
        <v>-400.45256602354078</v>
      </c>
      <c r="AZ150" s="54">
        <f t="shared" si="496"/>
        <v>-415.43548516047599</v>
      </c>
      <c r="BA150" s="54">
        <f t="shared" si="496"/>
        <v>-444.07465404894867</v>
      </c>
      <c r="BB150" s="54">
        <f t="shared" si="496"/>
        <v>-459.05757318588394</v>
      </c>
      <c r="BC150" s="54">
        <f t="shared" si="496"/>
        <v>-466.5490327543514</v>
      </c>
      <c r="BD150" s="54">
        <f t="shared" si="496"/>
        <v>-466.5490327543514</v>
      </c>
      <c r="BE150" s="54">
        <f t="shared" si="496"/>
        <v>-466.5490327543514</v>
      </c>
      <c r="BF150" s="54">
        <f t="shared" si="496"/>
        <v>-466.5490327543514</v>
      </c>
      <c r="BI150">
        <f t="shared" si="466"/>
        <v>143</v>
      </c>
    </row>
    <row r="151" spans="1:67" hidden="1" outlineLevel="2">
      <c r="B151" s="19" t="s">
        <v>116</v>
      </c>
      <c r="C151" s="54">
        <f t="shared" si="494"/>
        <v>115.50800000000001</v>
      </c>
      <c r="D151" s="54">
        <f t="shared" si="494"/>
        <v>284.40499999999997</v>
      </c>
      <c r="E151" s="54">
        <f t="shared" si="494"/>
        <v>260.89300000000003</v>
      </c>
      <c r="F151" s="54">
        <f t="shared" si="494"/>
        <v>234.86299999999997</v>
      </c>
      <c r="G151" s="54">
        <f t="shared" si="494"/>
        <v>256.95499999999998</v>
      </c>
      <c r="H151" s="54">
        <f t="shared" si="494"/>
        <v>100.43300000000001</v>
      </c>
      <c r="I151" s="54">
        <f t="shared" si="494"/>
        <v>19.481999999999999</v>
      </c>
      <c r="J151" s="54">
        <f t="shared" si="494"/>
        <v>233.47599999999991</v>
      </c>
      <c r="K151" s="54">
        <f t="shared" si="494"/>
        <v>382.54210565639846</v>
      </c>
      <c r="L151" s="54">
        <f t="shared" si="494"/>
        <v>513.47358965757837</v>
      </c>
      <c r="M151" s="54">
        <f t="shared" si="494"/>
        <v>557.43520796623807</v>
      </c>
      <c r="O151" s="54">
        <f>O149+O150</f>
        <v>14.619999999999997</v>
      </c>
      <c r="P151" s="54">
        <f t="shared" ref="P151:AT151" si="497">P149+P150</f>
        <v>17.398999999999994</v>
      </c>
      <c r="Q151" s="54">
        <f t="shared" si="497"/>
        <v>29.798999999999999</v>
      </c>
      <c r="R151" s="54">
        <f t="shared" si="497"/>
        <v>53.690000000000012</v>
      </c>
      <c r="S151" s="54">
        <f t="shared" si="497"/>
        <v>61.083999999999989</v>
      </c>
      <c r="T151" s="54">
        <f t="shared" si="497"/>
        <v>71.264999999999986</v>
      </c>
      <c r="U151" s="54">
        <f t="shared" si="497"/>
        <v>75.586999999999989</v>
      </c>
      <c r="V151" s="54">
        <f t="shared" si="497"/>
        <v>76.468999999999994</v>
      </c>
      <c r="W151" s="54">
        <f t="shared" si="497"/>
        <v>74.865000000000009</v>
      </c>
      <c r="X151" s="54">
        <f t="shared" si="497"/>
        <v>68.122000000000014</v>
      </c>
      <c r="Y151" s="54">
        <f t="shared" si="497"/>
        <v>52.823999999999984</v>
      </c>
      <c r="Z151" s="54">
        <f t="shared" si="497"/>
        <v>65.082000000000022</v>
      </c>
      <c r="AA151" s="54">
        <f t="shared" si="497"/>
        <v>63.003999999999991</v>
      </c>
      <c r="AB151" s="54">
        <f t="shared" si="497"/>
        <v>66.34</v>
      </c>
      <c r="AC151" s="54">
        <f t="shared" si="497"/>
        <v>55.158999999999992</v>
      </c>
      <c r="AD151" s="54">
        <f t="shared" si="497"/>
        <v>50.359999999999985</v>
      </c>
      <c r="AE151" s="54">
        <f t="shared" si="497"/>
        <v>40.453000000000003</v>
      </c>
      <c r="AF151" s="54">
        <f t="shared" si="497"/>
        <v>64.599999999999994</v>
      </c>
      <c r="AG151" s="54">
        <f t="shared" si="497"/>
        <v>67.675999999999988</v>
      </c>
      <c r="AH151" s="54">
        <f t="shared" si="497"/>
        <v>84.225999999999999</v>
      </c>
      <c r="AI151" s="54">
        <f t="shared" si="497"/>
        <v>36.996000000000009</v>
      </c>
      <c r="AJ151" s="54">
        <f t="shared" si="497"/>
        <v>33.867999999999995</v>
      </c>
      <c r="AK151" s="54">
        <f t="shared" si="497"/>
        <v>15.810000000000002</v>
      </c>
      <c r="AL151" s="54">
        <f t="shared" si="497"/>
        <v>13.759</v>
      </c>
      <c r="AM151" s="54">
        <f t="shared" si="497"/>
        <v>8.5</v>
      </c>
      <c r="AN151" s="54">
        <f t="shared" si="497"/>
        <v>4.4039999999999964</v>
      </c>
      <c r="AO151" s="54">
        <f t="shared" si="497"/>
        <v>0.94400000000000261</v>
      </c>
      <c r="AP151" s="54">
        <f t="shared" si="497"/>
        <v>5.6340000000000003</v>
      </c>
      <c r="AQ151" s="54">
        <f t="shared" si="497"/>
        <v>22.161000000000001</v>
      </c>
      <c r="AR151" s="54">
        <f t="shared" si="497"/>
        <v>56.143999999999977</v>
      </c>
      <c r="AS151" s="54">
        <f t="shared" si="497"/>
        <v>72.125999999999976</v>
      </c>
      <c r="AT151" s="54">
        <f t="shared" si="497"/>
        <v>83.044999999999959</v>
      </c>
      <c r="AU151" s="54">
        <f t="shared" ref="AU151:BF151" si="498">AU158*AU149</f>
        <v>75.251367551020408</v>
      </c>
      <c r="AV151" s="54">
        <f t="shared" si="498"/>
        <v>88.372659082555089</v>
      </c>
      <c r="AW151" s="54">
        <f t="shared" si="498"/>
        <v>103.77779488786285</v>
      </c>
      <c r="AX151" s="54">
        <f t="shared" si="498"/>
        <v>115.14028413496011</v>
      </c>
      <c r="AY151" s="54">
        <f t="shared" si="498"/>
        <v>119.6157015394992</v>
      </c>
      <c r="AZ151" s="54">
        <f t="shared" si="498"/>
        <v>124.09111894403829</v>
      </c>
      <c r="BA151" s="54">
        <f t="shared" si="498"/>
        <v>132.64567588475089</v>
      </c>
      <c r="BB151" s="54">
        <f t="shared" si="498"/>
        <v>137.12109328929</v>
      </c>
      <c r="BC151" s="54">
        <f t="shared" si="498"/>
        <v>139.35880199155952</v>
      </c>
      <c r="BD151" s="54">
        <f t="shared" si="498"/>
        <v>139.35880199155952</v>
      </c>
      <c r="BE151" s="54">
        <f t="shared" si="498"/>
        <v>139.35880199155952</v>
      </c>
      <c r="BF151" s="54">
        <f t="shared" si="498"/>
        <v>139.35880199155952</v>
      </c>
      <c r="BI151">
        <f t="shared" si="466"/>
        <v>144</v>
      </c>
    </row>
    <row r="152" spans="1:67" hidden="1" outlineLevel="2">
      <c r="B152" s="25" t="s">
        <v>55</v>
      </c>
      <c r="C152" s="54">
        <f t="shared" si="494"/>
        <v>-10.389999999999999</v>
      </c>
      <c r="D152" s="54">
        <f t="shared" si="494"/>
        <v>-17.686</v>
      </c>
      <c r="E152" s="54">
        <f t="shared" si="494"/>
        <v>-17.032599999999999</v>
      </c>
      <c r="F152" s="54">
        <f t="shared" si="494"/>
        <v>-17.695</v>
      </c>
      <c r="G152" s="54">
        <f t="shared" si="494"/>
        <v>-20.279</v>
      </c>
      <c r="H152" s="54">
        <f t="shared" si="494"/>
        <v>-16.317999999999998</v>
      </c>
      <c r="I152" s="54">
        <f t="shared" si="494"/>
        <v>-11.238</v>
      </c>
      <c r="J152" s="54">
        <f t="shared" si="494"/>
        <v>-14.442</v>
      </c>
      <c r="K152" s="54">
        <f t="shared" si="494"/>
        <v>-14.922358969913544</v>
      </c>
      <c r="L152" s="54">
        <f t="shared" si="494"/>
        <v>-16.152441252098892</v>
      </c>
      <c r="M152" s="54">
        <f t="shared" si="494"/>
        <v>-17.483921873782514</v>
      </c>
      <c r="O152" s="61">
        <v>-2.5409999999999999</v>
      </c>
      <c r="P152" s="61">
        <v>-2.8050000000000002</v>
      </c>
      <c r="Q152" s="61">
        <v>-2.6680000000000001</v>
      </c>
      <c r="R152" s="61">
        <v>-2.3759999999999994</v>
      </c>
      <c r="S152" s="61">
        <v>-4.3390000000000004</v>
      </c>
      <c r="T152" s="61">
        <v>-4.4560000000000004</v>
      </c>
      <c r="U152" s="61">
        <v>-4.4550000000000001</v>
      </c>
      <c r="V152" s="61">
        <v>-4.4359999999999999</v>
      </c>
      <c r="W152" s="61">
        <v>-4.2750000000000004</v>
      </c>
      <c r="X152" s="61">
        <v>-4.3440000000000003</v>
      </c>
      <c r="Y152" s="61">
        <v>-4.1909999999999998</v>
      </c>
      <c r="Z152" s="61">
        <v>-4.2225999999999999</v>
      </c>
      <c r="AA152" s="61">
        <v>-4.2530000000000001</v>
      </c>
      <c r="AB152" s="61">
        <v>-4.2969999999999997</v>
      </c>
      <c r="AC152" s="61">
        <v>-4.4820000000000002</v>
      </c>
      <c r="AD152" s="61">
        <v>-4.6630000000000003</v>
      </c>
      <c r="AE152" s="61">
        <v>-4.8680000000000003</v>
      </c>
      <c r="AF152" s="61">
        <v>-5.0670000000000002</v>
      </c>
      <c r="AG152" s="61">
        <v>-4.8810000000000002</v>
      </c>
      <c r="AH152" s="61">
        <v>-5.4630000000000001</v>
      </c>
      <c r="AI152" s="61">
        <v>-5.093</v>
      </c>
      <c r="AJ152" s="61">
        <v>-4.351</v>
      </c>
      <c r="AK152" s="61">
        <v>-4.0190000000000001</v>
      </c>
      <c r="AL152" s="61">
        <v>-2.855</v>
      </c>
      <c r="AM152" s="61">
        <v>-2.8889999999999998</v>
      </c>
      <c r="AN152" s="61">
        <v>-3.0289999999999999</v>
      </c>
      <c r="AO152" s="61">
        <v>-2.9260000000000002</v>
      </c>
      <c r="AP152" s="61">
        <v>-2.3940000000000001</v>
      </c>
      <c r="AQ152" s="61">
        <v>-2.802</v>
      </c>
      <c r="AR152" s="61">
        <v>-3.7029999999999998</v>
      </c>
      <c r="AS152" s="61">
        <v>-4.0110000000000001</v>
      </c>
      <c r="AT152" s="61">
        <v>-3.9260000000000002</v>
      </c>
      <c r="AU152" s="87">
        <f t="shared" ref="AU152:BF152" si="499">AU229</f>
        <v>-3.6205187319884726</v>
      </c>
      <c r="AV152" s="87">
        <f t="shared" si="499"/>
        <v>-3.6929291066282421</v>
      </c>
      <c r="AW152" s="87">
        <f t="shared" si="499"/>
        <v>-3.7667876887608069</v>
      </c>
      <c r="AX152" s="87">
        <f t="shared" si="499"/>
        <v>-3.8421234425360229</v>
      </c>
      <c r="AY152" s="87">
        <f t="shared" si="499"/>
        <v>-3.9189659113867434</v>
      </c>
      <c r="AZ152" s="87">
        <f t="shared" si="499"/>
        <v>-3.9973452296144782</v>
      </c>
      <c r="BA152" s="87">
        <f t="shared" si="499"/>
        <v>-4.0772921342067683</v>
      </c>
      <c r="BB152" s="87">
        <f t="shared" si="499"/>
        <v>-4.1588379768909034</v>
      </c>
      <c r="BC152" s="87">
        <f t="shared" si="499"/>
        <v>-4.2420147364287217</v>
      </c>
      <c r="BD152" s="87">
        <f t="shared" si="499"/>
        <v>-4.3268550311572964</v>
      </c>
      <c r="BE152" s="87">
        <f t="shared" si="499"/>
        <v>-4.4133921317804425</v>
      </c>
      <c r="BF152" s="87">
        <f t="shared" si="499"/>
        <v>-4.501659974416051</v>
      </c>
      <c r="BI152">
        <f t="shared" si="466"/>
        <v>145</v>
      </c>
    </row>
    <row r="153" spans="1:67" hidden="1" outlineLevel="2">
      <c r="B153" s="19" t="s">
        <v>56</v>
      </c>
      <c r="C153" s="54">
        <f t="shared" si="494"/>
        <v>105.11799999999999</v>
      </c>
      <c r="D153" s="54">
        <f t="shared" si="494"/>
        <v>266.71899999999994</v>
      </c>
      <c r="E153" s="54">
        <f t="shared" si="494"/>
        <v>243.86040000000003</v>
      </c>
      <c r="F153" s="54">
        <f t="shared" si="494"/>
        <v>217.16800000000001</v>
      </c>
      <c r="G153" s="54">
        <f t="shared" si="494"/>
        <v>236.67599999999999</v>
      </c>
      <c r="H153" s="54">
        <f t="shared" si="494"/>
        <v>84.114999999999995</v>
      </c>
      <c r="I153" s="54">
        <f t="shared" si="494"/>
        <v>8.2439999999999998</v>
      </c>
      <c r="J153" s="54">
        <f t="shared" si="494"/>
        <v>219.03399999999993</v>
      </c>
      <c r="K153" s="54">
        <f t="shared" si="494"/>
        <v>367.61974668648497</v>
      </c>
      <c r="L153" s="54">
        <f t="shared" si="494"/>
        <v>497.32114840547945</v>
      </c>
      <c r="M153" s="54">
        <f t="shared" si="494"/>
        <v>539.95128609245558</v>
      </c>
      <c r="O153" s="54">
        <f>O151+O152</f>
        <v>12.078999999999997</v>
      </c>
      <c r="P153" s="54">
        <f t="shared" ref="P153:AT153" si="500">P151+P152</f>
        <v>14.593999999999994</v>
      </c>
      <c r="Q153" s="54">
        <f t="shared" si="500"/>
        <v>27.131</v>
      </c>
      <c r="R153" s="54">
        <f t="shared" si="500"/>
        <v>51.314000000000014</v>
      </c>
      <c r="S153" s="54">
        <f t="shared" si="500"/>
        <v>56.74499999999999</v>
      </c>
      <c r="T153" s="54">
        <f t="shared" si="500"/>
        <v>66.808999999999983</v>
      </c>
      <c r="U153" s="54">
        <f t="shared" si="500"/>
        <v>71.131999999999991</v>
      </c>
      <c r="V153" s="54">
        <f t="shared" si="500"/>
        <v>72.032999999999987</v>
      </c>
      <c r="W153" s="54">
        <f t="shared" si="500"/>
        <v>70.59</v>
      </c>
      <c r="X153" s="54">
        <f t="shared" si="500"/>
        <v>63.778000000000013</v>
      </c>
      <c r="Y153" s="54">
        <f t="shared" si="500"/>
        <v>48.632999999999981</v>
      </c>
      <c r="Z153" s="54">
        <f t="shared" si="500"/>
        <v>60.859400000000022</v>
      </c>
      <c r="AA153" s="54">
        <f t="shared" si="500"/>
        <v>58.750999999999991</v>
      </c>
      <c r="AB153" s="54">
        <f t="shared" si="500"/>
        <v>62.043000000000006</v>
      </c>
      <c r="AC153" s="54">
        <f t="shared" si="500"/>
        <v>50.676999999999992</v>
      </c>
      <c r="AD153" s="54">
        <f t="shared" si="500"/>
        <v>45.696999999999989</v>
      </c>
      <c r="AE153" s="54">
        <f t="shared" si="500"/>
        <v>35.585000000000001</v>
      </c>
      <c r="AF153" s="54">
        <f t="shared" si="500"/>
        <v>59.532999999999994</v>
      </c>
      <c r="AG153" s="54">
        <f t="shared" si="500"/>
        <v>62.794999999999987</v>
      </c>
      <c r="AH153" s="54">
        <f t="shared" si="500"/>
        <v>78.763000000000005</v>
      </c>
      <c r="AI153" s="54">
        <f t="shared" si="500"/>
        <v>31.903000000000009</v>
      </c>
      <c r="AJ153" s="54">
        <f t="shared" si="500"/>
        <v>29.516999999999996</v>
      </c>
      <c r="AK153" s="54">
        <f t="shared" si="500"/>
        <v>11.791000000000002</v>
      </c>
      <c r="AL153" s="54">
        <f t="shared" si="500"/>
        <v>10.904</v>
      </c>
      <c r="AM153" s="54">
        <f t="shared" si="500"/>
        <v>5.6110000000000007</v>
      </c>
      <c r="AN153" s="54">
        <f t="shared" si="500"/>
        <v>1.3749999999999964</v>
      </c>
      <c r="AO153" s="54">
        <f t="shared" si="500"/>
        <v>-1.9819999999999975</v>
      </c>
      <c r="AP153" s="54">
        <f t="shared" si="500"/>
        <v>3.24</v>
      </c>
      <c r="AQ153" s="54">
        <f t="shared" si="500"/>
        <v>19.359000000000002</v>
      </c>
      <c r="AR153" s="54">
        <f t="shared" si="500"/>
        <v>52.440999999999974</v>
      </c>
      <c r="AS153" s="54">
        <f t="shared" si="500"/>
        <v>68.114999999999981</v>
      </c>
      <c r="AT153" s="54">
        <f t="shared" si="500"/>
        <v>79.118999999999957</v>
      </c>
      <c r="AU153" s="54">
        <f t="shared" ref="AU153" si="501">AU151+AU152</f>
        <v>71.630848819031939</v>
      </c>
      <c r="AV153" s="54">
        <f t="shared" ref="AV153" si="502">AV151+AV152</f>
        <v>84.679729975926847</v>
      </c>
      <c r="AW153" s="54">
        <f t="shared" ref="AW153" si="503">AW151+AW152</f>
        <v>100.01100719910205</v>
      </c>
      <c r="AX153" s="54">
        <f t="shared" ref="AX153" si="504">AX151+AX152</f>
        <v>111.29816069242409</v>
      </c>
      <c r="AY153" s="54">
        <f t="shared" ref="AY153" si="505">AY151+AY152</f>
        <v>115.69673562811245</v>
      </c>
      <c r="AZ153" s="54">
        <f t="shared" ref="AZ153" si="506">AZ151+AZ152</f>
        <v>120.0937737144238</v>
      </c>
      <c r="BA153" s="54">
        <f t="shared" ref="BA153" si="507">BA151+BA152</f>
        <v>128.56838375054411</v>
      </c>
      <c r="BB153" s="54">
        <f t="shared" ref="BB153" si="508">BB151+BB152</f>
        <v>132.96225531239909</v>
      </c>
      <c r="BC153" s="54">
        <f t="shared" ref="BC153" si="509">BC151+BC152</f>
        <v>135.11678725513079</v>
      </c>
      <c r="BD153" s="54">
        <f t="shared" ref="BD153" si="510">BD151+BD152</f>
        <v>135.03194696040222</v>
      </c>
      <c r="BE153" s="54">
        <f t="shared" ref="BE153" si="511">BE151+BE152</f>
        <v>134.94540985977906</v>
      </c>
      <c r="BF153" s="54">
        <f t="shared" ref="BF153" si="512">BF151+BF152</f>
        <v>134.85714201714347</v>
      </c>
      <c r="BI153">
        <f t="shared" si="466"/>
        <v>146</v>
      </c>
    </row>
    <row r="154" spans="1:67" hidden="1" outlineLevel="2">
      <c r="B154" s="25" t="s">
        <v>58</v>
      </c>
      <c r="C154" s="54">
        <f t="shared" si="494"/>
        <v>-40.724000000000004</v>
      </c>
      <c r="D154" s="54">
        <f t="shared" si="494"/>
        <v>-73.278999999999996</v>
      </c>
      <c r="E154" s="54">
        <f t="shared" si="494"/>
        <v>-111.06200000000001</v>
      </c>
      <c r="F154" s="54">
        <f t="shared" si="494"/>
        <v>-128.01300000000001</v>
      </c>
      <c r="G154" s="54">
        <f t="shared" si="494"/>
        <v>-147.595</v>
      </c>
      <c r="H154" s="54">
        <f t="shared" si="494"/>
        <v>-192.50400000000002</v>
      </c>
      <c r="I154" s="54">
        <f t="shared" si="494"/>
        <v>-184.87200000000001</v>
      </c>
      <c r="J154" s="54">
        <f t="shared" si="494"/>
        <v>-198.006</v>
      </c>
      <c r="K154" s="54">
        <f t="shared" si="494"/>
        <v>-221.28692672901673</v>
      </c>
      <c r="L154" s="54">
        <f t="shared" si="494"/>
        <v>-230.61206451751886</v>
      </c>
      <c r="M154" s="54">
        <f t="shared" si="494"/>
        <v>-232.48660119314826</v>
      </c>
      <c r="O154" s="61">
        <v>-7.6020000000000003</v>
      </c>
      <c r="P154" s="61">
        <v>-7.8879999999999999</v>
      </c>
      <c r="Q154" s="61">
        <v>-9.5449999999999999</v>
      </c>
      <c r="R154" s="61">
        <v>-15.689</v>
      </c>
      <c r="S154" s="61">
        <v>-15.367000000000001</v>
      </c>
      <c r="T154" s="61">
        <v>-16.469000000000001</v>
      </c>
      <c r="U154" s="61">
        <v>-20.706</v>
      </c>
      <c r="V154" s="61">
        <v>-20.736999999999998</v>
      </c>
      <c r="W154" s="61">
        <v>-23.803000000000001</v>
      </c>
      <c r="X154" s="61">
        <v>-26.931999999999999</v>
      </c>
      <c r="Y154" s="61">
        <v>-33.624000000000002</v>
      </c>
      <c r="Z154" s="61">
        <v>-26.702999999999999</v>
      </c>
      <c r="AA154" s="61">
        <v>-30.236000000000001</v>
      </c>
      <c r="AB154" s="61">
        <v>-31.789000000000001</v>
      </c>
      <c r="AC154" s="61">
        <v>-31.789000000000001</v>
      </c>
      <c r="AD154" s="61">
        <v>-34.198999999999998</v>
      </c>
      <c r="AE154" s="61">
        <v>-34.042000000000002</v>
      </c>
      <c r="AF154" s="61">
        <v>-34.622999999999998</v>
      </c>
      <c r="AG154" s="61">
        <v>-37.587000000000003</v>
      </c>
      <c r="AH154" s="61">
        <v>-41.343000000000004</v>
      </c>
      <c r="AI154" s="61">
        <v>-46.918999999999997</v>
      </c>
      <c r="AJ154" s="61">
        <v>-48.261000000000003</v>
      </c>
      <c r="AK154" s="61">
        <v>-48.646000000000001</v>
      </c>
      <c r="AL154" s="61">
        <v>-48.677999999999997</v>
      </c>
      <c r="AM154" s="61">
        <v>-49.57</v>
      </c>
      <c r="AN154" s="61">
        <v>-47.4</v>
      </c>
      <c r="AO154" s="61">
        <v>-44.587000000000003</v>
      </c>
      <c r="AP154" s="61">
        <v>-43.314999999999998</v>
      </c>
      <c r="AQ154" s="61">
        <v>-42.25</v>
      </c>
      <c r="AR154" s="61">
        <v>-47.805</v>
      </c>
      <c r="AS154" s="61">
        <v>-51.274000000000001</v>
      </c>
      <c r="AT154" s="61">
        <v>-56.677</v>
      </c>
      <c r="AU154" s="87">
        <f t="shared" ref="AU154:BF154" si="513">AU245</f>
        <v>-55.025171202061053</v>
      </c>
      <c r="AV154" s="87">
        <f t="shared" si="513"/>
        <v>-55.21027401297782</v>
      </c>
      <c r="AW154" s="87">
        <f t="shared" si="513"/>
        <v>-55.414090496292999</v>
      </c>
      <c r="AX154" s="87">
        <f t="shared" si="513"/>
        <v>-55.637391017684863</v>
      </c>
      <c r="AY154" s="87">
        <f t="shared" si="513"/>
        <v>-56.57217621857825</v>
      </c>
      <c r="AZ154" s="87">
        <f t="shared" si="513"/>
        <v>-57.159431544488406</v>
      </c>
      <c r="BA154" s="87">
        <f t="shared" si="513"/>
        <v>-57.735982331585731</v>
      </c>
      <c r="BB154" s="87">
        <f t="shared" si="513"/>
        <v>-59.144474422866459</v>
      </c>
      <c r="BC154" s="87">
        <f t="shared" si="513"/>
        <v>-59.188401577241287</v>
      </c>
      <c r="BD154" s="87">
        <f t="shared" si="513"/>
        <v>-58.445668048321707</v>
      </c>
      <c r="BE154" s="87">
        <f t="shared" si="513"/>
        <v>-57.749206169371092</v>
      </c>
      <c r="BF154" s="87">
        <f t="shared" si="513"/>
        <v>-57.103325398214174</v>
      </c>
      <c r="BI154">
        <f t="shared" si="466"/>
        <v>147</v>
      </c>
    </row>
    <row r="155" spans="1:67" hidden="1" outlineLevel="2">
      <c r="B155" s="19" t="s">
        <v>59</v>
      </c>
      <c r="C155" s="54">
        <f t="shared" si="494"/>
        <v>64.394000000000005</v>
      </c>
      <c r="D155" s="54">
        <f t="shared" si="494"/>
        <v>193.43999999999994</v>
      </c>
      <c r="E155" s="54">
        <f t="shared" si="494"/>
        <v>132.79840000000002</v>
      </c>
      <c r="F155" s="54">
        <f t="shared" si="494"/>
        <v>89.154999999999973</v>
      </c>
      <c r="G155" s="54">
        <f t="shared" si="494"/>
        <v>89.080999999999989</v>
      </c>
      <c r="H155" s="54">
        <f t="shared" si="494"/>
        <v>-108.38899999999998</v>
      </c>
      <c r="I155" s="54">
        <f t="shared" si="494"/>
        <v>-176.62799999999999</v>
      </c>
      <c r="J155" s="54">
        <f t="shared" si="494"/>
        <v>21.027999999999913</v>
      </c>
      <c r="K155" s="54">
        <f t="shared" si="494"/>
        <v>146.33281995746819</v>
      </c>
      <c r="L155" s="54">
        <f t="shared" si="494"/>
        <v>266.70908388796062</v>
      </c>
      <c r="M155" s="54">
        <f t="shared" si="494"/>
        <v>307.46468489930731</v>
      </c>
      <c r="O155" s="54">
        <f>O153+O154</f>
        <v>4.4769999999999968</v>
      </c>
      <c r="P155" s="54">
        <f t="shared" ref="P155:AT155" si="514">P153+P154</f>
        <v>6.7059999999999942</v>
      </c>
      <c r="Q155" s="54">
        <f t="shared" si="514"/>
        <v>17.585999999999999</v>
      </c>
      <c r="R155" s="54">
        <f t="shared" si="514"/>
        <v>35.625000000000014</v>
      </c>
      <c r="S155" s="54">
        <f t="shared" si="514"/>
        <v>41.377999999999986</v>
      </c>
      <c r="T155" s="54">
        <f t="shared" si="514"/>
        <v>50.339999999999982</v>
      </c>
      <c r="U155" s="54">
        <f t="shared" si="514"/>
        <v>50.425999999999988</v>
      </c>
      <c r="V155" s="54">
        <f t="shared" si="514"/>
        <v>51.295999999999992</v>
      </c>
      <c r="W155" s="54">
        <f t="shared" si="514"/>
        <v>46.787000000000006</v>
      </c>
      <c r="X155" s="54">
        <f t="shared" si="514"/>
        <v>36.846000000000018</v>
      </c>
      <c r="Y155" s="54">
        <f t="shared" si="514"/>
        <v>15.008999999999979</v>
      </c>
      <c r="Z155" s="54">
        <f t="shared" si="514"/>
        <v>34.156400000000019</v>
      </c>
      <c r="AA155" s="54">
        <f t="shared" si="514"/>
        <v>28.51499999999999</v>
      </c>
      <c r="AB155" s="54">
        <f t="shared" si="514"/>
        <v>30.254000000000005</v>
      </c>
      <c r="AC155" s="54">
        <f t="shared" si="514"/>
        <v>18.887999999999991</v>
      </c>
      <c r="AD155" s="54">
        <f t="shared" si="514"/>
        <v>11.49799999999999</v>
      </c>
      <c r="AE155" s="54">
        <f t="shared" si="514"/>
        <v>1.5429999999999993</v>
      </c>
      <c r="AF155" s="54">
        <f t="shared" si="514"/>
        <v>24.909999999999997</v>
      </c>
      <c r="AG155" s="54">
        <f t="shared" si="514"/>
        <v>25.207999999999984</v>
      </c>
      <c r="AH155" s="54">
        <f t="shared" si="514"/>
        <v>37.42</v>
      </c>
      <c r="AI155" s="54">
        <f t="shared" si="514"/>
        <v>-15.015999999999988</v>
      </c>
      <c r="AJ155" s="54">
        <f t="shared" si="514"/>
        <v>-18.744000000000007</v>
      </c>
      <c r="AK155" s="54">
        <f t="shared" si="514"/>
        <v>-36.854999999999997</v>
      </c>
      <c r="AL155" s="54">
        <f t="shared" si="514"/>
        <v>-37.774000000000001</v>
      </c>
      <c r="AM155" s="54">
        <f t="shared" si="514"/>
        <v>-43.959000000000003</v>
      </c>
      <c r="AN155" s="54">
        <f t="shared" si="514"/>
        <v>-46.025000000000006</v>
      </c>
      <c r="AO155" s="54">
        <f t="shared" si="514"/>
        <v>-46.569000000000003</v>
      </c>
      <c r="AP155" s="54">
        <f t="shared" si="514"/>
        <v>-40.074999999999996</v>
      </c>
      <c r="AQ155" s="54">
        <f t="shared" si="514"/>
        <v>-22.890999999999998</v>
      </c>
      <c r="AR155" s="54">
        <f t="shared" si="514"/>
        <v>4.6359999999999744</v>
      </c>
      <c r="AS155" s="54">
        <f t="shared" si="514"/>
        <v>16.84099999999998</v>
      </c>
      <c r="AT155" s="54">
        <f t="shared" si="514"/>
        <v>22.441999999999958</v>
      </c>
      <c r="AU155" s="54">
        <f t="shared" ref="AU155" si="515">AU153+AU154</f>
        <v>16.605677616970887</v>
      </c>
      <c r="AV155" s="54">
        <f t="shared" ref="AV155" si="516">AV153+AV154</f>
        <v>29.469455962949027</v>
      </c>
      <c r="AW155" s="54">
        <f t="shared" ref="AW155" si="517">AW153+AW154</f>
        <v>44.596916702809054</v>
      </c>
      <c r="AX155" s="54">
        <f t="shared" ref="AX155" si="518">AX153+AX154</f>
        <v>55.660769674739228</v>
      </c>
      <c r="AY155" s="54">
        <f t="shared" ref="AY155" si="519">AY153+AY154</f>
        <v>59.1245594095342</v>
      </c>
      <c r="AZ155" s="54">
        <f t="shared" ref="AZ155" si="520">AZ153+AZ154</f>
        <v>62.934342169935398</v>
      </c>
      <c r="BA155" s="54">
        <f t="shared" ref="BA155" si="521">BA153+BA154</f>
        <v>70.832401418958383</v>
      </c>
      <c r="BB155" s="54">
        <f t="shared" ref="BB155" si="522">BB153+BB154</f>
        <v>73.817780889532628</v>
      </c>
      <c r="BC155" s="54">
        <f t="shared" ref="BC155" si="523">BC153+BC154</f>
        <v>75.928385677889509</v>
      </c>
      <c r="BD155" s="54">
        <f t="shared" ref="BD155" si="524">BD153+BD154</f>
        <v>76.586278912080516</v>
      </c>
      <c r="BE155" s="54">
        <f t="shared" ref="BE155" si="525">BE153+BE154</f>
        <v>77.19620369040797</v>
      </c>
      <c r="BF155" s="54">
        <f t="shared" ref="BF155" si="526">BF153+BF154</f>
        <v>77.753816618929307</v>
      </c>
      <c r="BI155">
        <f t="shared" si="466"/>
        <v>148</v>
      </c>
    </row>
    <row r="156" spans="1:67" hidden="1" outlineLevel="2">
      <c r="BI156">
        <f t="shared" si="466"/>
        <v>149</v>
      </c>
    </row>
    <row r="157" spans="1:67" hidden="1" outlineLevel="2">
      <c r="B157" s="19" t="s">
        <v>85</v>
      </c>
      <c r="C157" s="68"/>
      <c r="D157" s="68">
        <f t="shared" ref="D157" si="527">D149/C149-1</f>
        <v>1.4123893350978869</v>
      </c>
      <c r="E157" s="68">
        <f t="shared" ref="E157" si="528">E149/D149-1</f>
        <v>-4.7670675086277647E-3</v>
      </c>
      <c r="F157" s="68">
        <f t="shared" ref="F157" si="529">F149/E149-1</f>
        <v>0.16315007288205474</v>
      </c>
      <c r="G157" s="68">
        <f t="shared" ref="G157" si="530">G149/F149-1</f>
        <v>0.32086311390186539</v>
      </c>
      <c r="H157" s="68">
        <f t="shared" ref="H157" si="531">H149/G149-1</f>
        <v>-0.44910439855714013</v>
      </c>
      <c r="I157" s="68">
        <f t="shared" ref="I157" si="532">I149/H149-1</f>
        <v>-0.50302756388482628</v>
      </c>
      <c r="J157" s="68">
        <f t="shared" ref="J157" si="533">J149/I149-1</f>
        <v>2.3900386929138304</v>
      </c>
      <c r="K157" s="68">
        <f t="shared" ref="K157" si="534">K149/J149-1</f>
        <v>0.49071179998980741</v>
      </c>
      <c r="L157" s="68">
        <f t="shared" ref="L157" si="535">L149/K149-1</f>
        <v>0.24767881022196647</v>
      </c>
      <c r="M157" s="68">
        <f t="shared" ref="M157" si="536">M149/L149-1</f>
        <v>8.5616123582863191E-2</v>
      </c>
      <c r="O157" s="68"/>
      <c r="P157" s="68">
        <f t="shared" ref="P157:AR157" si="537">P149/O149-1</f>
        <v>0.10442596416810845</v>
      </c>
      <c r="Q157" s="68">
        <f t="shared" si="537"/>
        <v>0.36621521460818007</v>
      </c>
      <c r="R157" s="68">
        <f t="shared" si="537"/>
        <v>0.92825261392779645</v>
      </c>
      <c r="S157" s="68">
        <f t="shared" si="537"/>
        <v>0.14879563140630081</v>
      </c>
      <c r="T157" s="68">
        <f t="shared" si="537"/>
        <v>0.11394920376936302</v>
      </c>
      <c r="U157" s="68">
        <f t="shared" si="537"/>
        <v>0.12508307058876422</v>
      </c>
      <c r="V157" s="68">
        <f t="shared" si="537"/>
        <v>6.9660336465865003E-2</v>
      </c>
      <c r="W157" s="68">
        <f t="shared" si="537"/>
        <v>3.6246777026269772E-3</v>
      </c>
      <c r="X157" s="68">
        <f t="shared" si="537"/>
        <v>-0.14706563738509526</v>
      </c>
      <c r="Y157" s="68">
        <f t="shared" si="537"/>
        <v>-0.11742565709379993</v>
      </c>
      <c r="Z157" s="68">
        <f t="shared" si="537"/>
        <v>0.16459390095788717</v>
      </c>
      <c r="AA157" s="68">
        <f t="shared" si="537"/>
        <v>9.0825008376078875E-2</v>
      </c>
      <c r="AB157" s="68">
        <f t="shared" si="537"/>
        <v>0.10148814673819007</v>
      </c>
      <c r="AC157" s="68">
        <f t="shared" si="537"/>
        <v>1.8022936140130286E-2</v>
      </c>
      <c r="AD157" s="68">
        <f t="shared" si="537"/>
        <v>-9.6802194368251104E-2</v>
      </c>
      <c r="AE157" s="68">
        <f t="shared" si="537"/>
        <v>2.6243288612104232E-2</v>
      </c>
      <c r="AF157" s="68">
        <f t="shared" si="537"/>
        <v>0.27601649872430389</v>
      </c>
      <c r="AG157" s="68">
        <f t="shared" si="537"/>
        <v>0.13737168802617283</v>
      </c>
      <c r="AH157" s="68">
        <f t="shared" si="537"/>
        <v>0.14064848060752766</v>
      </c>
      <c r="AI157" s="68">
        <f t="shared" si="537"/>
        <v>-0.37214225552189273</v>
      </c>
      <c r="AJ157" s="68">
        <f t="shared" si="537"/>
        <v>-0.29271466957124148</v>
      </c>
      <c r="AK157" s="68">
        <f t="shared" si="537"/>
        <v>-0.1257869825165322</v>
      </c>
      <c r="AL157" s="68">
        <f t="shared" si="537"/>
        <v>-0.14704644219497831</v>
      </c>
      <c r="AM157" s="68">
        <f t="shared" si="537"/>
        <v>-0.26870510698394856</v>
      </c>
      <c r="AN157" s="68">
        <f t="shared" si="537"/>
        <v>-0.23219087765929836</v>
      </c>
      <c r="AO157" s="68">
        <f t="shared" si="537"/>
        <v>5.6997971602434028E-2</v>
      </c>
      <c r="AP157" s="68">
        <f t="shared" si="537"/>
        <v>0.35152561888313172</v>
      </c>
      <c r="AQ157" s="68">
        <f t="shared" si="537"/>
        <v>0.3363434997444199</v>
      </c>
      <c r="AR157" s="68">
        <f t="shared" si="537"/>
        <v>1.0545142873333613</v>
      </c>
      <c r="AS157" s="68">
        <f>AS149/AR149-1</f>
        <v>0.24960695618595796</v>
      </c>
      <c r="AT157" s="68">
        <f>AT149/AS149-1</f>
        <v>0.12198123280754669</v>
      </c>
      <c r="AU157" s="68">
        <f t="shared" ref="AU157:BF157" si="538">AU149/AT149-1</f>
        <v>-5.1020408163265252E-2</v>
      </c>
      <c r="AV157" s="68">
        <f t="shared" si="538"/>
        <v>0.11707999999999985</v>
      </c>
      <c r="AW157" s="68">
        <f t="shared" si="538"/>
        <v>9.4252873563218431E-2</v>
      </c>
      <c r="AX157" s="68">
        <f t="shared" si="538"/>
        <v>6.1249999999999805E-2</v>
      </c>
      <c r="AY157" s="68">
        <f t="shared" si="538"/>
        <v>3.8869257950530089E-2</v>
      </c>
      <c r="AZ157" s="68">
        <f t="shared" si="538"/>
        <v>3.7414965986394488E-2</v>
      </c>
      <c r="BA157" s="68">
        <f t="shared" si="538"/>
        <v>6.8937704918032638E-2</v>
      </c>
      <c r="BB157" s="68">
        <f t="shared" si="538"/>
        <v>3.3739640396778459E-2</v>
      </c>
      <c r="BC157" s="68">
        <f t="shared" si="538"/>
        <v>1.6319215728163083E-2</v>
      </c>
      <c r="BD157" s="68">
        <f t="shared" si="538"/>
        <v>0</v>
      </c>
      <c r="BE157" s="68">
        <f t="shared" si="538"/>
        <v>0</v>
      </c>
      <c r="BF157" s="68">
        <f t="shared" si="538"/>
        <v>0</v>
      </c>
      <c r="BI157">
        <f t="shared" si="466"/>
        <v>150</v>
      </c>
    </row>
    <row r="158" spans="1:67" hidden="1" outlineLevel="2">
      <c r="B158" s="19" t="s">
        <v>87</v>
      </c>
      <c r="C158" s="68">
        <f t="shared" ref="C158:M158" si="539">C151/C149</f>
        <v>0.32945055446538585</v>
      </c>
      <c r="D158" s="68">
        <f t="shared" si="539"/>
        <v>0.33625442331133848</v>
      </c>
      <c r="E158" s="68">
        <f t="shared" si="539"/>
        <v>0.30993346171345892</v>
      </c>
      <c r="F158" s="68">
        <f t="shared" si="539"/>
        <v>0.23987494714566143</v>
      </c>
      <c r="G158" s="68">
        <f t="shared" si="539"/>
        <v>0.1986870440319656</v>
      </c>
      <c r="H158" s="68">
        <f t="shared" si="539"/>
        <v>0.14096769756363217</v>
      </c>
      <c r="I158" s="68">
        <f t="shared" si="539"/>
        <v>5.5023018047278785E-2</v>
      </c>
      <c r="J158" s="68">
        <f t="shared" si="539"/>
        <v>0.19451292206769741</v>
      </c>
      <c r="K158" s="68">
        <f t="shared" si="539"/>
        <v>0.21379215686555306</v>
      </c>
      <c r="L158" s="68">
        <f t="shared" si="539"/>
        <v>0.22999999999999995</v>
      </c>
      <c r="M158" s="68">
        <f t="shared" si="539"/>
        <v>0.23</v>
      </c>
      <c r="O158" s="68">
        <f t="shared" ref="O158:AR158" si="540">O151/O149</f>
        <v>0.2719949396290301</v>
      </c>
      <c r="P158" s="68">
        <f t="shared" si="540"/>
        <v>0.29309008826898447</v>
      </c>
      <c r="Q158" s="68">
        <f t="shared" si="540"/>
        <v>0.36741714342079307</v>
      </c>
      <c r="R158" s="68">
        <f t="shared" si="540"/>
        <v>0.34331059089833688</v>
      </c>
      <c r="S158" s="68">
        <f t="shared" si="540"/>
        <v>0.33999966603398657</v>
      </c>
      <c r="T158" s="68">
        <f t="shared" si="540"/>
        <v>0.35609175989726721</v>
      </c>
      <c r="U158" s="68">
        <f t="shared" si="540"/>
        <v>0.33569753601819113</v>
      </c>
      <c r="V158" s="68">
        <f t="shared" si="540"/>
        <v>0.31749768527168476</v>
      </c>
      <c r="W158" s="68">
        <f t="shared" si="540"/>
        <v>0.30971529277434412</v>
      </c>
      <c r="X158" s="68">
        <f t="shared" si="540"/>
        <v>0.33041183860156281</v>
      </c>
      <c r="Y158" s="68">
        <f t="shared" si="540"/>
        <v>0.29030077543236804</v>
      </c>
      <c r="Z158" s="68">
        <f t="shared" si="540"/>
        <v>0.30711659973668448</v>
      </c>
      <c r="AA158" s="68">
        <f t="shared" si="540"/>
        <v>0.2725558055026821</v>
      </c>
      <c r="AB158" s="68">
        <f t="shared" si="540"/>
        <v>0.26054512607022229</v>
      </c>
      <c r="AC158" s="68">
        <f t="shared" si="540"/>
        <v>0.21279739515217447</v>
      </c>
      <c r="AD158" s="68">
        <f t="shared" si="540"/>
        <v>0.21510612215259886</v>
      </c>
      <c r="AE158" s="68">
        <f t="shared" si="540"/>
        <v>0.16837106313550682</v>
      </c>
      <c r="AF158" s="68">
        <f t="shared" si="540"/>
        <v>0.21071378479142269</v>
      </c>
      <c r="AG158" s="68">
        <f t="shared" si="540"/>
        <v>0.19408532458444697</v>
      </c>
      <c r="AH158" s="68">
        <f t="shared" si="540"/>
        <v>0.21176411429720793</v>
      </c>
      <c r="AI158" s="68">
        <f t="shared" si="540"/>
        <v>0.14814933465747779</v>
      </c>
      <c r="AJ158" s="68">
        <f t="shared" si="540"/>
        <v>0.19175197028716368</v>
      </c>
      <c r="AK158" s="68">
        <f t="shared" si="540"/>
        <v>0.10239173094484059</v>
      </c>
      <c r="AL158" s="68">
        <f t="shared" si="540"/>
        <v>0.10447069900229305</v>
      </c>
      <c r="AM158" s="68">
        <f t="shared" si="540"/>
        <v>8.8253922108126631E-2</v>
      </c>
      <c r="AN158" s="68">
        <f t="shared" si="540"/>
        <v>5.9553752535496905E-2</v>
      </c>
      <c r="AO158" s="68">
        <f t="shared" si="540"/>
        <v>1.2077016567517463E-2</v>
      </c>
      <c r="AP158" s="68">
        <f t="shared" si="540"/>
        <v>5.3331061509626861E-2</v>
      </c>
      <c r="AQ158" s="68">
        <f t="shared" si="540"/>
        <v>0.15697649708869904</v>
      </c>
      <c r="AR158" s="68">
        <f t="shared" si="540"/>
        <v>0.19357063066293384</v>
      </c>
      <c r="AS158" s="68">
        <f>AS151/AS149</f>
        <v>0.1990006649358102</v>
      </c>
      <c r="AT158" s="68">
        <f>AT151/AT149</f>
        <v>0.20421638157441735</v>
      </c>
      <c r="AU158" s="81">
        <v>0.19500000000000001</v>
      </c>
      <c r="AV158" s="81">
        <v>0.20499999999999999</v>
      </c>
      <c r="AW158" s="81">
        <v>0.22</v>
      </c>
      <c r="AX158" s="81">
        <v>0.23</v>
      </c>
      <c r="AY158" s="81">
        <f>AX158</f>
        <v>0.23</v>
      </c>
      <c r="AZ158" s="81">
        <f t="shared" ref="AZ158:BF158" si="541">AY158</f>
        <v>0.23</v>
      </c>
      <c r="BA158" s="81">
        <f t="shared" si="541"/>
        <v>0.23</v>
      </c>
      <c r="BB158" s="81">
        <f t="shared" si="541"/>
        <v>0.23</v>
      </c>
      <c r="BC158" s="81">
        <f t="shared" si="541"/>
        <v>0.23</v>
      </c>
      <c r="BD158" s="81">
        <f t="shared" si="541"/>
        <v>0.23</v>
      </c>
      <c r="BE158" s="81">
        <f t="shared" si="541"/>
        <v>0.23</v>
      </c>
      <c r="BF158" s="81">
        <f t="shared" si="541"/>
        <v>0.23</v>
      </c>
      <c r="BI158">
        <f t="shared" si="466"/>
        <v>151</v>
      </c>
    </row>
    <row r="159" spans="1:67" hidden="1" outlineLevel="2">
      <c r="B159" s="19" t="s">
        <v>128</v>
      </c>
      <c r="C159" s="68"/>
      <c r="D159" s="68">
        <f t="shared" ref="D159" si="542">IFERROR((D151-C151)/(D149-C149),"NM")</f>
        <v>0.34107169902765577</v>
      </c>
      <c r="E159" s="68">
        <f t="shared" ref="E159" si="543">IFERROR((E151-D151)/(E149-D149),"NM")</f>
        <v>5.8313492063493007</v>
      </c>
      <c r="F159" s="68">
        <f t="shared" ref="F159" si="544">IFERROR((F151-E151)/(F149-E149),"NM")</f>
        <v>-0.18953653475079224</v>
      </c>
      <c r="G159" s="68">
        <f t="shared" ref="G159" si="545">IFERROR((G151-F151)/(G149-F149),"NM")</f>
        <v>7.0321079453397869E-2</v>
      </c>
      <c r="H159" s="68">
        <f t="shared" ref="H159" si="546">IFERROR((H151-G151)/(H149-G149),"NM")</f>
        <v>0.26948869770028466</v>
      </c>
      <c r="I159" s="68">
        <f t="shared" ref="I159" si="547">IFERROR((I151-H151)/(I149-H149),"NM")</f>
        <v>0.22587782936738246</v>
      </c>
      <c r="J159" s="68">
        <f t="shared" ref="J159" si="548">IFERROR((J151-I151)/(J149-I149),"NM")</f>
        <v>0.25287595377676092</v>
      </c>
      <c r="K159" s="68">
        <f t="shared" ref="K159" si="549">IFERROR((K151-J151)/(K149-J149),"NM")</f>
        <v>0.25308046172852172</v>
      </c>
      <c r="L159" s="68">
        <f t="shared" ref="L159" si="550">IFERROR((L151-K151)/(L149-K149),"NM")</f>
        <v>0.2954389574946748</v>
      </c>
      <c r="M159" s="68">
        <f t="shared" ref="M159" si="551">IFERROR((M151-L151)/(M149-L149),"NM")</f>
        <v>0.23000000000000051</v>
      </c>
      <c r="O159" s="68"/>
      <c r="P159" s="68">
        <f t="shared" ref="P159:AR159" si="552">IFERROR((P151-O151)/(P149-O149),"NM")</f>
        <v>0.49510065918403645</v>
      </c>
      <c r="Q159" s="68">
        <f t="shared" si="552"/>
        <v>0.5703771849126037</v>
      </c>
      <c r="R159" s="68">
        <f t="shared" si="552"/>
        <v>0.31734077173407732</v>
      </c>
      <c r="S159" s="68">
        <f t="shared" si="552"/>
        <v>0.31774817361409469</v>
      </c>
      <c r="T159" s="68">
        <f t="shared" si="552"/>
        <v>0.49731340367330956</v>
      </c>
      <c r="U159" s="68">
        <f t="shared" si="552"/>
        <v>0.17265209922901789</v>
      </c>
      <c r="V159" s="68">
        <f t="shared" si="552"/>
        <v>5.6232068855594827E-2</v>
      </c>
      <c r="W159" s="68">
        <f t="shared" si="552"/>
        <v>-1.8373424971362546</v>
      </c>
      <c r="X159" s="68">
        <f t="shared" si="552"/>
        <v>0.18968184759064935</v>
      </c>
      <c r="Y159" s="68">
        <f t="shared" si="552"/>
        <v>0.6318876497315169</v>
      </c>
      <c r="Z159" s="68">
        <f t="shared" si="552"/>
        <v>0.40928213689482573</v>
      </c>
      <c r="AA159" s="68">
        <f t="shared" si="552"/>
        <v>-0.10796487764327078</v>
      </c>
      <c r="AB159" s="68">
        <f t="shared" si="552"/>
        <v>0.14219948849104908</v>
      </c>
      <c r="AC159" s="68">
        <f t="shared" si="552"/>
        <v>-2.4364785356286807</v>
      </c>
      <c r="AD159" s="68">
        <f t="shared" si="552"/>
        <v>0.1912561772676552</v>
      </c>
      <c r="AE159" s="68">
        <f t="shared" si="552"/>
        <v>-1.6124674479166623</v>
      </c>
      <c r="AF159" s="68">
        <f t="shared" si="552"/>
        <v>0.364120272634055</v>
      </c>
      <c r="AG159" s="68">
        <f t="shared" si="552"/>
        <v>7.3038109937076878E-2</v>
      </c>
      <c r="AH159" s="68">
        <f t="shared" si="552"/>
        <v>0.33745896458210162</v>
      </c>
      <c r="AI159" s="68">
        <f t="shared" si="552"/>
        <v>0.31909143729647188</v>
      </c>
      <c r="AJ159" s="68">
        <f t="shared" si="552"/>
        <v>4.2792453862675814E-2</v>
      </c>
      <c r="AK159" s="68">
        <f t="shared" si="552"/>
        <v>0.81280100823693591</v>
      </c>
      <c r="AL159" s="68">
        <f t="shared" si="552"/>
        <v>9.033252587535788E-2</v>
      </c>
      <c r="AM159" s="68">
        <f t="shared" si="552"/>
        <v>0.14860549888383398</v>
      </c>
      <c r="AN159" s="68">
        <f t="shared" si="552"/>
        <v>0.18315968340562552</v>
      </c>
      <c r="AO159" s="68">
        <f t="shared" si="552"/>
        <v>-0.82087781731909626</v>
      </c>
      <c r="AP159" s="68">
        <f t="shared" si="552"/>
        <v>0.17068821195909303</v>
      </c>
      <c r="AQ159" s="68">
        <f t="shared" si="552"/>
        <v>0.4651300236406618</v>
      </c>
      <c r="AR159" s="68">
        <f t="shared" si="552"/>
        <v>0.22827298985692202</v>
      </c>
      <c r="AS159" s="68">
        <f t="shared" ref="AS159:BF159" si="553">IFERROR((AS151-AR151)/(AS149-AR149),"NM")</f>
        <v>0.22075500366037268</v>
      </c>
      <c r="AT159" s="68">
        <f t="shared" si="553"/>
        <v>0.24697473479450768</v>
      </c>
      <c r="AU159" s="68">
        <f t="shared" si="553"/>
        <v>0.37564107885858028</v>
      </c>
      <c r="AV159" s="68">
        <f t="shared" si="553"/>
        <v>0.29041168431841463</v>
      </c>
      <c r="AW159" s="68">
        <f t="shared" si="553"/>
        <v>0.37914634146341464</v>
      </c>
      <c r="AX159" s="68">
        <f t="shared" si="553"/>
        <v>0.39326530612244975</v>
      </c>
      <c r="AY159" s="68">
        <f t="shared" si="553"/>
        <v>0.22999999999999995</v>
      </c>
      <c r="AZ159" s="68">
        <f t="shared" si="553"/>
        <v>0.22999999999999995</v>
      </c>
      <c r="BA159" s="68">
        <f t="shared" si="553"/>
        <v>0.2299999999999997</v>
      </c>
      <c r="BB159" s="68">
        <f t="shared" si="553"/>
        <v>0.23000000000000007</v>
      </c>
      <c r="BC159" s="68">
        <f t="shared" si="553"/>
        <v>0.23000000000000106</v>
      </c>
      <c r="BD159" s="68" t="str">
        <f t="shared" si="553"/>
        <v>NM</v>
      </c>
      <c r="BE159" s="68" t="str">
        <f t="shared" si="553"/>
        <v>NM</v>
      </c>
      <c r="BF159" s="68" t="str">
        <f t="shared" si="553"/>
        <v>NM</v>
      </c>
      <c r="BI159">
        <f t="shared" si="466"/>
        <v>152</v>
      </c>
    </row>
    <row r="160" spans="1:67" hidden="1" outlineLevel="2">
      <c r="B160" s="19" t="s">
        <v>126</v>
      </c>
      <c r="C160" s="68">
        <f t="shared" ref="C160:M160" si="554">C153/C149</f>
        <v>0.29981631907999817</v>
      </c>
      <c r="D160" s="68">
        <f t="shared" si="554"/>
        <v>0.31534411677423702</v>
      </c>
      <c r="E160" s="68">
        <f t="shared" si="554"/>
        <v>0.28969921748313976</v>
      </c>
      <c r="F160" s="68">
        <f t="shared" si="554"/>
        <v>0.22180233805124266</v>
      </c>
      <c r="G160" s="68">
        <f t="shared" si="554"/>
        <v>0.18300657637839113</v>
      </c>
      <c r="H160" s="68">
        <f t="shared" si="554"/>
        <v>0.11806376271310146</v>
      </c>
      <c r="I160" s="68">
        <f t="shared" si="554"/>
        <v>2.3283531505069618E-2</v>
      </c>
      <c r="J160" s="68">
        <f t="shared" si="554"/>
        <v>0.18248104033038101</v>
      </c>
      <c r="K160" s="68">
        <f t="shared" si="554"/>
        <v>0.2054524649400703</v>
      </c>
      <c r="L160" s="68">
        <f t="shared" si="554"/>
        <v>0.22276484406829913</v>
      </c>
      <c r="M160" s="68">
        <f t="shared" si="554"/>
        <v>0.22278606379090873</v>
      </c>
      <c r="O160" s="68">
        <f t="shared" ref="O160:AR160" si="555">O153/O149</f>
        <v>0.22472140053208309</v>
      </c>
      <c r="P160" s="68">
        <f t="shared" si="555"/>
        <v>0.24583922916245526</v>
      </c>
      <c r="Q160" s="68">
        <f t="shared" si="555"/>
        <v>0.33452110869994084</v>
      </c>
      <c r="R160" s="68">
        <f t="shared" si="555"/>
        <v>0.32811770648830807</v>
      </c>
      <c r="S160" s="68">
        <f t="shared" si="555"/>
        <v>0.31584835716551907</v>
      </c>
      <c r="T160" s="68">
        <f t="shared" si="555"/>
        <v>0.33382634374484704</v>
      </c>
      <c r="U160" s="68">
        <f t="shared" si="555"/>
        <v>0.31591195750652856</v>
      </c>
      <c r="V160" s="68">
        <f t="shared" si="555"/>
        <v>0.29907950624665242</v>
      </c>
      <c r="W160" s="68">
        <f t="shared" si="555"/>
        <v>0.29202968699580512</v>
      </c>
      <c r="X160" s="68">
        <f t="shared" si="555"/>
        <v>0.30934215440431101</v>
      </c>
      <c r="Y160" s="68">
        <f t="shared" si="555"/>
        <v>0.26726862054373685</v>
      </c>
      <c r="Z160" s="68">
        <f t="shared" si="555"/>
        <v>0.28719049798738172</v>
      </c>
      <c r="AA160" s="68">
        <f t="shared" si="555"/>
        <v>0.2541572936494203</v>
      </c>
      <c r="AB160" s="68">
        <f t="shared" si="555"/>
        <v>0.24366899693661145</v>
      </c>
      <c r="AC160" s="68">
        <f t="shared" si="555"/>
        <v>0.19550632886975372</v>
      </c>
      <c r="AD160" s="68">
        <f t="shared" si="555"/>
        <v>0.19518873042111418</v>
      </c>
      <c r="AE160" s="68">
        <f t="shared" si="555"/>
        <v>0.14810976396502137</v>
      </c>
      <c r="AF160" s="68">
        <f t="shared" si="555"/>
        <v>0.19418612616080136</v>
      </c>
      <c r="AG160" s="68">
        <f t="shared" si="555"/>
        <v>0.18008729767244441</v>
      </c>
      <c r="AH160" s="68">
        <f t="shared" si="555"/>
        <v>0.19802883829685594</v>
      </c>
      <c r="AI160" s="68">
        <f t="shared" si="555"/>
        <v>0.12775457410470087</v>
      </c>
      <c r="AJ160" s="68">
        <f t="shared" si="555"/>
        <v>0.16711771899628589</v>
      </c>
      <c r="AK160" s="68">
        <f t="shared" si="555"/>
        <v>7.636311825241085E-2</v>
      </c>
      <c r="AL160" s="68">
        <f t="shared" si="555"/>
        <v>8.2792972012573837E-2</v>
      </c>
      <c r="AM160" s="68">
        <f t="shared" si="555"/>
        <v>5.8257971405729241E-2</v>
      </c>
      <c r="AN160" s="68">
        <f t="shared" si="555"/>
        <v>1.8593644354293393E-2</v>
      </c>
      <c r="AO160" s="68">
        <f t="shared" si="555"/>
        <v>-2.5356617411885083E-2</v>
      </c>
      <c r="AP160" s="68">
        <f t="shared" si="555"/>
        <v>3.0669620037485093E-2</v>
      </c>
      <c r="AQ160" s="68">
        <f t="shared" si="555"/>
        <v>0.13712864975137065</v>
      </c>
      <c r="AR160" s="68">
        <f t="shared" si="555"/>
        <v>0.18080360221207809</v>
      </c>
      <c r="AS160" s="68">
        <f>AS153/AS149</f>
        <v>0.18793403616036813</v>
      </c>
      <c r="AT160" s="68">
        <f>AT153/AT149</f>
        <v>0.1945619350206072</v>
      </c>
      <c r="AU160" s="68">
        <f t="shared" ref="AU160:BF160" si="556">AU153/AU149</f>
        <v>0.18561809538199975</v>
      </c>
      <c r="AV160" s="68">
        <f t="shared" si="556"/>
        <v>0.19643343116843889</v>
      </c>
      <c r="AW160" s="68">
        <f t="shared" si="556"/>
        <v>0.21201473405343771</v>
      </c>
      <c r="AX160" s="68">
        <f t="shared" si="556"/>
        <v>0.22232511541531824</v>
      </c>
      <c r="AY160" s="68">
        <f t="shared" si="556"/>
        <v>0.22246451638022366</v>
      </c>
      <c r="AZ160" s="68">
        <f t="shared" si="556"/>
        <v>0.22259101367902123</v>
      </c>
      <c r="BA160" s="68">
        <f t="shared" si="556"/>
        <v>0.22293020911075651</v>
      </c>
      <c r="BB160" s="68">
        <f t="shared" si="556"/>
        <v>0.22302417511602773</v>
      </c>
      <c r="BC160" s="68">
        <f t="shared" si="556"/>
        <v>0.22299891090167595</v>
      </c>
      <c r="BD160" s="68">
        <f t="shared" si="556"/>
        <v>0.2228588891197095</v>
      </c>
      <c r="BE160" s="68">
        <f t="shared" si="556"/>
        <v>0.22271606690210366</v>
      </c>
      <c r="BF160" s="68">
        <f t="shared" si="556"/>
        <v>0.22257038824014577</v>
      </c>
      <c r="BI160">
        <f t="shared" si="466"/>
        <v>153</v>
      </c>
    </row>
    <row r="161" spans="1:67" hidden="1" outlineLevel="2">
      <c r="B161" s="19" t="s">
        <v>127</v>
      </c>
      <c r="C161" s="68">
        <f t="shared" ref="C161:M161" si="557">C155/C149</f>
        <v>0.1836638068726327</v>
      </c>
      <c r="D161" s="68">
        <f t="shared" si="557"/>
        <v>0.22870573880679068</v>
      </c>
      <c r="E161" s="68">
        <f t="shared" si="557"/>
        <v>0.15776072114625</v>
      </c>
      <c r="F161" s="68">
        <f t="shared" si="557"/>
        <v>9.1057556587335761E-2</v>
      </c>
      <c r="G161" s="68">
        <f t="shared" si="557"/>
        <v>6.8880701171067024E-2</v>
      </c>
      <c r="H161" s="68">
        <f t="shared" si="557"/>
        <v>-0.15213473431267138</v>
      </c>
      <c r="I161" s="68">
        <f t="shared" si="557"/>
        <v>-0.49885050978620044</v>
      </c>
      <c r="J161" s="68">
        <f t="shared" si="557"/>
        <v>1.7518793046135472E-2</v>
      </c>
      <c r="K161" s="68">
        <f t="shared" si="557"/>
        <v>8.1781348343980653E-2</v>
      </c>
      <c r="L161" s="68">
        <f t="shared" si="557"/>
        <v>0.11946688306820021</v>
      </c>
      <c r="M161" s="68">
        <f t="shared" si="557"/>
        <v>0.12686116075237888</v>
      </c>
      <c r="O161" s="68">
        <f t="shared" ref="O161:AR161" si="558">O155/O149</f>
        <v>8.329147364700186E-2</v>
      </c>
      <c r="P161" s="68">
        <f t="shared" si="558"/>
        <v>0.11296408597803373</v>
      </c>
      <c r="Q161" s="68">
        <f t="shared" si="558"/>
        <v>0.21683270862102977</v>
      </c>
      <c r="R161" s="68">
        <f t="shared" si="558"/>
        <v>0.22779735147612692</v>
      </c>
      <c r="S161" s="68">
        <f t="shared" si="558"/>
        <v>0.23031409503559513</v>
      </c>
      <c r="T161" s="68">
        <f t="shared" si="558"/>
        <v>0.25153524441490815</v>
      </c>
      <c r="U161" s="68">
        <f t="shared" si="558"/>
        <v>0.22395231919845088</v>
      </c>
      <c r="V161" s="68">
        <f t="shared" si="558"/>
        <v>0.21297991687737958</v>
      </c>
      <c r="W161" s="68">
        <f t="shared" si="558"/>
        <v>0.19355706141766163</v>
      </c>
      <c r="X161" s="68">
        <f t="shared" si="558"/>
        <v>0.17871399261785015</v>
      </c>
      <c r="Y161" s="68">
        <f t="shared" si="558"/>
        <v>8.2483801651984087E-2</v>
      </c>
      <c r="Z161" s="68">
        <f t="shared" si="558"/>
        <v>0.16118123947091503</v>
      </c>
      <c r="AA161" s="68">
        <f t="shared" si="558"/>
        <v>0.1233561169752552</v>
      </c>
      <c r="AB161" s="68">
        <f t="shared" si="558"/>
        <v>0.11882020265493679</v>
      </c>
      <c r="AC161" s="68">
        <f t="shared" si="558"/>
        <v>7.2867840237028775E-2</v>
      </c>
      <c r="AD161" s="68">
        <f t="shared" si="558"/>
        <v>4.9112196038732729E-2</v>
      </c>
      <c r="AE161" s="68">
        <f t="shared" si="558"/>
        <v>6.4221825431509871E-3</v>
      </c>
      <c r="AF161" s="68">
        <f t="shared" si="558"/>
        <v>8.1252018253163139E-2</v>
      </c>
      <c r="AG161" s="68">
        <f t="shared" si="558"/>
        <v>7.2293026510502054E-2</v>
      </c>
      <c r="AH161" s="68">
        <f t="shared" si="558"/>
        <v>9.4082743535268465E-2</v>
      </c>
      <c r="AI161" s="68">
        <f t="shared" si="558"/>
        <v>-6.0131106314647097E-2</v>
      </c>
      <c r="AJ161" s="68">
        <f t="shared" si="558"/>
        <v>-0.10612374309267147</v>
      </c>
      <c r="AK161" s="68">
        <f t="shared" si="558"/>
        <v>-0.23868736521012646</v>
      </c>
      <c r="AL161" s="68">
        <f t="shared" si="558"/>
        <v>-0.28681417138691895</v>
      </c>
      <c r="AM161" s="68">
        <f t="shared" si="558"/>
        <v>-0.45641813670013398</v>
      </c>
      <c r="AN161" s="68">
        <f t="shared" si="558"/>
        <v>-0.6223799864773496</v>
      </c>
      <c r="AO161" s="68">
        <f t="shared" si="558"/>
        <v>-0.59577816158127039</v>
      </c>
      <c r="AP161" s="68">
        <f t="shared" si="558"/>
        <v>-0.37934722932167125</v>
      </c>
      <c r="AQ161" s="68">
        <f t="shared" si="558"/>
        <v>-0.16214742091319928</v>
      </c>
      <c r="AR161" s="68">
        <f t="shared" si="558"/>
        <v>1.5983781771041549E-2</v>
      </c>
      <c r="AS161" s="68">
        <f>AS155/AS149</f>
        <v>4.6465493694146029E-2</v>
      </c>
      <c r="AT161" s="68">
        <f>AT155/AT149</f>
        <v>5.5187236260979801E-2</v>
      </c>
      <c r="AU161" s="68">
        <f t="shared" ref="AU161:BF161" si="559">AU155/AU149</f>
        <v>4.3030542044486926E-2</v>
      </c>
      <c r="AV161" s="68">
        <f t="shared" si="559"/>
        <v>6.8360944834318108E-2</v>
      </c>
      <c r="AW161" s="68">
        <f t="shared" si="559"/>
        <v>9.4541627958270064E-2</v>
      </c>
      <c r="AX161" s="68">
        <f t="shared" si="559"/>
        <v>0.11118590788072366</v>
      </c>
      <c r="AY161" s="68">
        <f t="shared" si="559"/>
        <v>0.11368615064053572</v>
      </c>
      <c r="AZ161" s="68">
        <f t="shared" si="559"/>
        <v>0.11664733803885617</v>
      </c>
      <c r="BA161" s="68">
        <f t="shared" si="559"/>
        <v>0.12281932462325607</v>
      </c>
      <c r="BB161" s="68">
        <f t="shared" si="559"/>
        <v>0.12381821933678089</v>
      </c>
      <c r="BC161" s="68">
        <f t="shared" si="559"/>
        <v>0.12531342445791327</v>
      </c>
      <c r="BD161" s="68">
        <f t="shared" si="559"/>
        <v>0.12639922199421166</v>
      </c>
      <c r="BE161" s="68">
        <f t="shared" si="559"/>
        <v>0.12740585162226925</v>
      </c>
      <c r="BF161" s="68">
        <f t="shared" si="559"/>
        <v>0.12832614493512132</v>
      </c>
      <c r="BI161">
        <f t="shared" si="466"/>
        <v>154</v>
      </c>
    </row>
    <row r="162" spans="1:67" hidden="1" outlineLevel="2">
      <c r="BI162">
        <f t="shared" si="466"/>
        <v>155</v>
      </c>
    </row>
    <row r="163" spans="1:67" s="91" customFormat="1" hidden="1" outlineLevel="2">
      <c r="A163" s="88"/>
      <c r="B163" s="89" t="s">
        <v>142</v>
      </c>
      <c r="C163" s="90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I163">
        <f t="shared" si="466"/>
        <v>156</v>
      </c>
      <c r="BJ163"/>
      <c r="BK163"/>
      <c r="BL163"/>
      <c r="BM163"/>
      <c r="BN163"/>
      <c r="BO163"/>
    </row>
    <row r="164" spans="1:67" s="91" customFormat="1" hidden="1" outlineLevel="2">
      <c r="A164" s="88"/>
      <c r="B164" s="92" t="s">
        <v>130</v>
      </c>
      <c r="C164" s="86">
        <f t="shared" ref="C164:M164" si="560">C149/C16</f>
        <v>0.23966133741099205</v>
      </c>
      <c r="D164" s="86">
        <f t="shared" si="560"/>
        <v>0.32962657393402728</v>
      </c>
      <c r="E164" s="86">
        <f t="shared" si="560"/>
        <v>0.309086683111712</v>
      </c>
      <c r="F164" s="86">
        <f t="shared" si="560"/>
        <v>0.36936175991821352</v>
      </c>
      <c r="G164" s="86">
        <f t="shared" si="560"/>
        <v>0.4063943240891546</v>
      </c>
      <c r="H164" s="86">
        <f t="shared" si="560"/>
        <v>0.39106932116960608</v>
      </c>
      <c r="I164" s="86">
        <f t="shared" si="560"/>
        <v>0.39724541210551173</v>
      </c>
      <c r="J164" s="86">
        <f t="shared" si="560"/>
        <v>0.50932199650016707</v>
      </c>
      <c r="K164" s="86">
        <f t="shared" si="560"/>
        <v>0.51035688916350486</v>
      </c>
      <c r="L164" s="86">
        <f t="shared" si="560"/>
        <v>0.51639551168535103</v>
      </c>
      <c r="M164" s="86">
        <f t="shared" si="560"/>
        <v>0.50758122519909021</v>
      </c>
      <c r="O164" s="86">
        <f t="shared" ref="O164:BF164" si="561">O149/O16</f>
        <v>0.19790646470150741</v>
      </c>
      <c r="P164" s="86">
        <f t="shared" si="561"/>
        <v>0.19337311721478084</v>
      </c>
      <c r="Q164" s="86">
        <f t="shared" si="561"/>
        <v>0.21418517256769209</v>
      </c>
      <c r="R164" s="86">
        <f t="shared" si="561"/>
        <v>0.30926597558129881</v>
      </c>
      <c r="S164" s="86">
        <f t="shared" si="561"/>
        <v>0.3166332983200682</v>
      </c>
      <c r="T164" s="86">
        <f t="shared" si="561"/>
        <v>0.33351609161689422</v>
      </c>
      <c r="U164" s="86">
        <f t="shared" si="561"/>
        <v>0.33415649097395772</v>
      </c>
      <c r="V164" s="86">
        <f t="shared" si="561"/>
        <v>0.33236734575593357</v>
      </c>
      <c r="W164" s="86">
        <f t="shared" si="561"/>
        <v>0.32405844586759186</v>
      </c>
      <c r="X164" s="86">
        <f t="shared" si="561"/>
        <v>0.30270058375127729</v>
      </c>
      <c r="Y164" s="86">
        <f t="shared" si="561"/>
        <v>0.28271323164981177</v>
      </c>
      <c r="Z164" s="86">
        <f t="shared" si="561"/>
        <v>0.32464649559555725</v>
      </c>
      <c r="AA164" s="86">
        <f t="shared" si="561"/>
        <v>0.3465464538055496</v>
      </c>
      <c r="AB164" s="86">
        <f t="shared" si="561"/>
        <v>0.38618811010198456</v>
      </c>
      <c r="AC164" s="86">
        <f t="shared" si="561"/>
        <v>0.38797527940883725</v>
      </c>
      <c r="AD164" s="86">
        <f t="shared" si="561"/>
        <v>0.35669916491834303</v>
      </c>
      <c r="AE164" s="86">
        <f t="shared" si="561"/>
        <v>0.35427947057366316</v>
      </c>
      <c r="AF164" s="86">
        <f t="shared" si="561"/>
        <v>0.40484182781442957</v>
      </c>
      <c r="AG164" s="86">
        <f t="shared" si="561"/>
        <v>0.41234680024786313</v>
      </c>
      <c r="AH164" s="86">
        <f t="shared" si="561"/>
        <v>0.4413300207829618</v>
      </c>
      <c r="AI164" s="86">
        <f t="shared" si="561"/>
        <v>0.3890310871546413</v>
      </c>
      <c r="AJ164" s="86">
        <f t="shared" si="561"/>
        <v>0.38634966674760096</v>
      </c>
      <c r="AK164" s="86">
        <f t="shared" si="561"/>
        <v>0.3925425383436168</v>
      </c>
      <c r="AL164" s="86">
        <f t="shared" si="561"/>
        <v>0.39983241902529798</v>
      </c>
      <c r="AM164" s="86">
        <f t="shared" si="561"/>
        <v>0.38194739117158349</v>
      </c>
      <c r="AN164" s="86">
        <f t="shared" si="561"/>
        <v>0.39233266839268277</v>
      </c>
      <c r="AO164" s="86">
        <f t="shared" si="561"/>
        <v>0.38130384303930848</v>
      </c>
      <c r="AP164" s="86">
        <f t="shared" si="561"/>
        <v>0.43001937574287247</v>
      </c>
      <c r="AQ164" s="86">
        <f t="shared" si="561"/>
        <v>0.4626001474563774</v>
      </c>
      <c r="AR164" s="86">
        <f t="shared" si="561"/>
        <v>0.50077867904265649</v>
      </c>
      <c r="AS164" s="86">
        <f t="shared" si="561"/>
        <v>0.52911944571372682</v>
      </c>
      <c r="AT164" s="86">
        <f t="shared" ref="AT164" si="562">AT149/AT16</f>
        <v>0.51649236537479637</v>
      </c>
      <c r="AU164" s="86">
        <f t="shared" si="561"/>
        <v>0.49653590040711376</v>
      </c>
      <c r="AV164" s="86">
        <f t="shared" si="561"/>
        <v>0.5070697045527881</v>
      </c>
      <c r="AW164" s="86">
        <f t="shared" si="561"/>
        <v>0.51644146823365933</v>
      </c>
      <c r="AX164" s="86">
        <f t="shared" si="561"/>
        <v>0.51862250430355294</v>
      </c>
      <c r="AY164" s="86">
        <f t="shared" si="561"/>
        <v>0.51928275240536148</v>
      </c>
      <c r="AZ164" s="86">
        <f t="shared" si="561"/>
        <v>0.51271920829675433</v>
      </c>
      <c r="BA164" s="86">
        <f t="shared" si="561"/>
        <v>0.51709334789880057</v>
      </c>
      <c r="BB164" s="86">
        <f t="shared" si="561"/>
        <v>0.51656759565791921</v>
      </c>
      <c r="BC164" s="86">
        <f t="shared" si="561"/>
        <v>0.51481808286498676</v>
      </c>
      <c r="BD164" s="86">
        <f t="shared" si="561"/>
        <v>0.51080139014129866</v>
      </c>
      <c r="BE164" s="86">
        <f t="shared" si="561"/>
        <v>0.50451929875887136</v>
      </c>
      <c r="BF164" s="86">
        <f t="shared" si="561"/>
        <v>0.50042896357887245</v>
      </c>
      <c r="BI164">
        <f t="shared" si="466"/>
        <v>157</v>
      </c>
      <c r="BJ164"/>
      <c r="BK164"/>
      <c r="BL164"/>
      <c r="BM164"/>
      <c r="BN164"/>
      <c r="BO164"/>
    </row>
    <row r="165" spans="1:67" s="91" customFormat="1" hidden="1" outlineLevel="2">
      <c r="A165" s="88"/>
      <c r="B165" s="92" t="s">
        <v>131</v>
      </c>
      <c r="C165" s="87">
        <f>C222</f>
        <v>-35.173000000000002</v>
      </c>
      <c r="D165" s="87">
        <f t="shared" ref="D165:M165" si="563">D222</f>
        <v>-40.173999999999999</v>
      </c>
      <c r="E165" s="87">
        <f t="shared" si="563"/>
        <v>-40.927399999999999</v>
      </c>
      <c r="F165" s="87">
        <f t="shared" si="563"/>
        <v>-50.29</v>
      </c>
      <c r="G165" s="87">
        <f t="shared" si="563"/>
        <v>-53.569000000000003</v>
      </c>
      <c r="H165" s="87">
        <f t="shared" si="563"/>
        <v>-53.234000000000002</v>
      </c>
      <c r="I165" s="87">
        <f t="shared" si="563"/>
        <v>-50.454999999999998</v>
      </c>
      <c r="J165" s="87">
        <f t="shared" si="563"/>
        <v>-70.646000000000001</v>
      </c>
      <c r="K165" s="87">
        <f t="shared" si="563"/>
        <v>-85.204921301210376</v>
      </c>
      <c r="L165" s="87">
        <f t="shared" si="563"/>
        <v>-92.228547006699145</v>
      </c>
      <c r="M165" s="87">
        <f t="shared" si="563"/>
        <v>-99.83114535012291</v>
      </c>
      <c r="O165" s="87">
        <f>O222</f>
        <v>-7.69</v>
      </c>
      <c r="P165" s="87">
        <f t="shared" ref="P165:BF165" si="564">P222</f>
        <v>-8.6180000000000003</v>
      </c>
      <c r="Q165" s="87">
        <f t="shared" si="564"/>
        <v>-9.3529999999999998</v>
      </c>
      <c r="R165" s="87">
        <f t="shared" si="564"/>
        <v>-9.5120000000000005</v>
      </c>
      <c r="S165" s="87">
        <f t="shared" si="564"/>
        <v>-10.351000000000001</v>
      </c>
      <c r="T165" s="87">
        <f t="shared" si="564"/>
        <v>-10.984999999999999</v>
      </c>
      <c r="U165" s="87">
        <f t="shared" si="564"/>
        <v>-9.2620000000000005</v>
      </c>
      <c r="V165" s="87">
        <f t="shared" si="564"/>
        <v>-9.5760000000000005</v>
      </c>
      <c r="W165" s="87">
        <f t="shared" si="564"/>
        <v>-8.2569999999999997</v>
      </c>
      <c r="X165" s="87">
        <f t="shared" si="564"/>
        <v>-11.089</v>
      </c>
      <c r="Y165" s="87">
        <f t="shared" si="564"/>
        <v>-10.824999999999999</v>
      </c>
      <c r="Z165" s="87">
        <f t="shared" si="564"/>
        <v>-10.756400000000001</v>
      </c>
      <c r="AA165" s="87">
        <f t="shared" si="564"/>
        <v>-11.292999999999999</v>
      </c>
      <c r="AB165" s="87">
        <f t="shared" si="564"/>
        <v>-12.143000000000001</v>
      </c>
      <c r="AC165" s="87">
        <f t="shared" si="564"/>
        <v>-14.284000000000001</v>
      </c>
      <c r="AD165" s="87">
        <f t="shared" si="564"/>
        <v>-12.57</v>
      </c>
      <c r="AE165" s="87">
        <f t="shared" si="564"/>
        <v>-13.157</v>
      </c>
      <c r="AF165" s="87">
        <f t="shared" si="564"/>
        <v>-12.89</v>
      </c>
      <c r="AG165" s="87">
        <f t="shared" si="564"/>
        <v>-12.802</v>
      </c>
      <c r="AH165" s="87">
        <f t="shared" si="564"/>
        <v>-14.72</v>
      </c>
      <c r="AI165" s="87">
        <f t="shared" si="564"/>
        <v>-14.045999999999999</v>
      </c>
      <c r="AJ165" s="87">
        <f t="shared" si="564"/>
        <v>-13.445</v>
      </c>
      <c r="AK165" s="87">
        <f t="shared" si="564"/>
        <v>-13.143000000000001</v>
      </c>
      <c r="AL165" s="87">
        <f t="shared" si="564"/>
        <v>-12.6</v>
      </c>
      <c r="AM165" s="87">
        <f t="shared" si="564"/>
        <v>-13.324999999999999</v>
      </c>
      <c r="AN165" s="87">
        <f t="shared" si="564"/>
        <v>-12.579000000000001</v>
      </c>
      <c r="AO165" s="87">
        <f t="shared" si="564"/>
        <v>-12.385</v>
      </c>
      <c r="AP165" s="87">
        <f t="shared" si="564"/>
        <v>-12.166</v>
      </c>
      <c r="AQ165" s="87">
        <f t="shared" si="564"/>
        <v>-12.603</v>
      </c>
      <c r="AR165" s="87">
        <f t="shared" si="564"/>
        <v>-15.571</v>
      </c>
      <c r="AS165" s="87">
        <f t="shared" si="564"/>
        <v>-20.055</v>
      </c>
      <c r="AT165" s="87">
        <f t="shared" ref="AT165" si="565">AT222</f>
        <v>-22.417000000000002</v>
      </c>
      <c r="AU165" s="87">
        <f t="shared" si="564"/>
        <v>-20.672737752161382</v>
      </c>
      <c r="AV165" s="87">
        <f t="shared" si="564"/>
        <v>-21.086192507204611</v>
      </c>
      <c r="AW165" s="87">
        <f t="shared" si="564"/>
        <v>-21.507916357348702</v>
      </c>
      <c r="AX165" s="87">
        <f t="shared" si="564"/>
        <v>-21.938074684495675</v>
      </c>
      <c r="AY165" s="87">
        <f t="shared" si="564"/>
        <v>-22.376836178185588</v>
      </c>
      <c r="AZ165" s="87">
        <f t="shared" si="564"/>
        <v>-22.8243729017493</v>
      </c>
      <c r="BA165" s="87">
        <f t="shared" si="564"/>
        <v>-23.280860359784288</v>
      </c>
      <c r="BB165" s="87">
        <f t="shared" si="564"/>
        <v>-23.746477566979973</v>
      </c>
      <c r="BC165" s="87">
        <f t="shared" si="564"/>
        <v>-24.221407118319576</v>
      </c>
      <c r="BD165" s="87">
        <f t="shared" si="564"/>
        <v>-24.705835260685966</v>
      </c>
      <c r="BE165" s="87">
        <f t="shared" si="564"/>
        <v>-25.199951965899686</v>
      </c>
      <c r="BF165" s="87">
        <f t="shared" si="564"/>
        <v>-25.703951005217679</v>
      </c>
      <c r="BI165">
        <f t="shared" si="466"/>
        <v>158</v>
      </c>
      <c r="BJ165"/>
      <c r="BK165"/>
      <c r="BL165"/>
      <c r="BM165"/>
      <c r="BN165"/>
      <c r="BO165"/>
    </row>
    <row r="166" spans="1:67" s="91" customFormat="1" hidden="1" outlineLevel="2">
      <c r="A166" s="88"/>
      <c r="B166" s="92" t="s">
        <v>132</v>
      </c>
      <c r="C166" s="87">
        <f>+C164*C165</f>
        <v>-8.4296082207568244</v>
      </c>
      <c r="D166" s="87">
        <f t="shared" ref="D166:M166" si="566">+D164*D165</f>
        <v>-13.242417981225612</v>
      </c>
      <c r="E166" s="87">
        <f t="shared" si="566"/>
        <v>-12.650114314386281</v>
      </c>
      <c r="F166" s="87">
        <f t="shared" si="566"/>
        <v>-18.575202906286957</v>
      </c>
      <c r="G166" s="87">
        <f t="shared" si="566"/>
        <v>-21.770137547131924</v>
      </c>
      <c r="H166" s="87">
        <f t="shared" si="566"/>
        <v>-20.818184243142809</v>
      </c>
      <c r="I166" s="87">
        <f t="shared" si="566"/>
        <v>-20.043017267783593</v>
      </c>
      <c r="J166" s="87">
        <f t="shared" si="566"/>
        <v>-35.981561764750801</v>
      </c>
      <c r="K166" s="87">
        <f t="shared" si="566"/>
        <v>-43.484918576706981</v>
      </c>
      <c r="L166" s="87">
        <f t="shared" si="566"/>
        <v>-47.626407723520856</v>
      </c>
      <c r="M166" s="87">
        <f t="shared" si="566"/>
        <v>-50.672415069843844</v>
      </c>
      <c r="O166" s="87">
        <f>+O164*O165</f>
        <v>-1.5219007135545921</v>
      </c>
      <c r="P166" s="87">
        <f t="shared" ref="P166:BF166" si="567">+P164*P165</f>
        <v>-1.6664895241569813</v>
      </c>
      <c r="Q166" s="87">
        <f t="shared" si="567"/>
        <v>-2.0032739190256241</v>
      </c>
      <c r="R166" s="87">
        <f t="shared" si="567"/>
        <v>-2.9417379597293145</v>
      </c>
      <c r="S166" s="87">
        <f t="shared" si="567"/>
        <v>-3.2774712709110263</v>
      </c>
      <c r="T166" s="87">
        <f t="shared" si="567"/>
        <v>-3.6636742664115829</v>
      </c>
      <c r="U166" s="87">
        <f t="shared" si="567"/>
        <v>-3.0949574194007967</v>
      </c>
      <c r="V166" s="87">
        <f t="shared" si="567"/>
        <v>-3.1827497029588199</v>
      </c>
      <c r="W166" s="87">
        <f t="shared" si="567"/>
        <v>-2.675750587528706</v>
      </c>
      <c r="X166" s="87">
        <f t="shared" si="567"/>
        <v>-3.3566467732179142</v>
      </c>
      <c r="Y166" s="87">
        <f t="shared" si="567"/>
        <v>-3.0603707326092122</v>
      </c>
      <c r="Z166" s="87">
        <f t="shared" si="567"/>
        <v>-3.4920275652240522</v>
      </c>
      <c r="AA166" s="87">
        <f t="shared" si="567"/>
        <v>-3.9135491028260714</v>
      </c>
      <c r="AB166" s="87">
        <f t="shared" si="567"/>
        <v>-4.6894822209683991</v>
      </c>
      <c r="AC166" s="87">
        <f t="shared" si="567"/>
        <v>-5.5418388910758312</v>
      </c>
      <c r="AD166" s="87">
        <f t="shared" si="567"/>
        <v>-4.4837085030235722</v>
      </c>
      <c r="AE166" s="87">
        <f t="shared" si="567"/>
        <v>-4.6612549943376864</v>
      </c>
      <c r="AF166" s="87">
        <f t="shared" si="567"/>
        <v>-5.2184111605279977</v>
      </c>
      <c r="AG166" s="87">
        <f t="shared" si="567"/>
        <v>-5.2788637367731432</v>
      </c>
      <c r="AH166" s="87">
        <f t="shared" si="567"/>
        <v>-6.4963779059251978</v>
      </c>
      <c r="AI166" s="87">
        <f t="shared" si="567"/>
        <v>-5.4643306501740918</v>
      </c>
      <c r="AJ166" s="87">
        <f t="shared" si="567"/>
        <v>-5.194471269421495</v>
      </c>
      <c r="AK166" s="87">
        <f t="shared" si="567"/>
        <v>-5.1591865814501556</v>
      </c>
      <c r="AL166" s="87">
        <f t="shared" si="567"/>
        <v>-5.0378884797187542</v>
      </c>
      <c r="AM166" s="87">
        <f t="shared" si="567"/>
        <v>-5.08944898736135</v>
      </c>
      <c r="AN166" s="87">
        <f t="shared" si="567"/>
        <v>-4.9351526357115567</v>
      </c>
      <c r="AO166" s="87">
        <f t="shared" si="567"/>
        <v>-4.7224480960418358</v>
      </c>
      <c r="AP166" s="87">
        <f t="shared" si="567"/>
        <v>-5.2316157252877868</v>
      </c>
      <c r="AQ166" s="87">
        <f t="shared" si="567"/>
        <v>-5.8301496583927239</v>
      </c>
      <c r="AR166" s="87">
        <f t="shared" si="567"/>
        <v>-7.7976248113732041</v>
      </c>
      <c r="AS166" s="87">
        <f t="shared" si="567"/>
        <v>-10.611490483788792</v>
      </c>
      <c r="AT166" s="87">
        <f t="shared" ref="AT166" si="568">+AT164*AT165</f>
        <v>-11.578209354606811</v>
      </c>
      <c r="AU166" s="87">
        <f t="shared" si="567"/>
        <v>-10.264756453649584</v>
      </c>
      <c r="AV166" s="87">
        <f t="shared" si="567"/>
        <v>-10.692169404771457</v>
      </c>
      <c r="AW166" s="87">
        <f t="shared" si="567"/>
        <v>-11.107579902235901</v>
      </c>
      <c r="AX166" s="87">
        <f t="shared" si="567"/>
        <v>-11.377579232471524</v>
      </c>
      <c r="AY166" s="87">
        <f t="shared" si="567"/>
        <v>-11.619905080732082</v>
      </c>
      <c r="AZ166" s="87">
        <f t="shared" si="567"/>
        <v>-11.702494404054795</v>
      </c>
      <c r="BA166" s="87">
        <f t="shared" si="567"/>
        <v>-12.038378025405333</v>
      </c>
      <c r="BB166" s="87">
        <f t="shared" si="567"/>
        <v>-12.26666082211956</v>
      </c>
      <c r="BC166" s="87">
        <f t="shared" si="567"/>
        <v>-12.469618376945627</v>
      </c>
      <c r="BD166" s="87">
        <f t="shared" si="567"/>
        <v>-12.619774995760306</v>
      </c>
      <c r="BE166" s="87">
        <f t="shared" si="567"/>
        <v>-12.713862094592951</v>
      </c>
      <c r="BF166" s="87">
        <f t="shared" si="567"/>
        <v>-12.8630015614232</v>
      </c>
      <c r="BI166">
        <f t="shared" si="466"/>
        <v>159</v>
      </c>
      <c r="BJ166"/>
      <c r="BK166"/>
      <c r="BL166"/>
      <c r="BM166"/>
      <c r="BN166"/>
      <c r="BO166"/>
    </row>
    <row r="167" spans="1:67" s="91" customFormat="1" hidden="1" outlineLevel="2">
      <c r="A167" s="88"/>
      <c r="B167" s="92" t="s">
        <v>282</v>
      </c>
      <c r="C167" s="87">
        <f t="shared" ref="C167:M167" si="569">+C166*1000/C134</f>
        <v>-19.453316150134022</v>
      </c>
      <c r="D167" s="87">
        <f t="shared" si="569"/>
        <v>-24.129220783465414</v>
      </c>
      <c r="E167" s="87">
        <f t="shared" si="569"/>
        <v>-18.521397239218565</v>
      </c>
      <c r="F167" s="87">
        <f t="shared" si="569"/>
        <v>-24.329014939472113</v>
      </c>
      <c r="G167" s="87">
        <f t="shared" si="569"/>
        <v>-25.786630950728743</v>
      </c>
      <c r="H167" s="87">
        <f t="shared" si="569"/>
        <v>-29.37309946122442</v>
      </c>
      <c r="I167" s="87">
        <f t="shared" si="569"/>
        <v>-40.186500787536026</v>
      </c>
      <c r="J167" s="87">
        <f t="shared" si="569"/>
        <v>-38.534470430790677</v>
      </c>
      <c r="K167" s="87">
        <f t="shared" si="569"/>
        <v>-32.634085235802608</v>
      </c>
      <c r="L167" s="87">
        <f t="shared" si="569"/>
        <v>-30.189822748045788</v>
      </c>
      <c r="M167" s="87">
        <f t="shared" si="569"/>
        <v>-29.587485370362451</v>
      </c>
      <c r="O167" s="87">
        <f>+O166*4*1000/O134</f>
        <v>-14.525418406629369</v>
      </c>
      <c r="P167" s="87">
        <f t="shared" ref="P167:BF167" si="570">+P166*4*1000/P134</f>
        <v>-15.534742709456829</v>
      </c>
      <c r="Q167" s="87">
        <f t="shared" si="570"/>
        <v>-18.248908394676601</v>
      </c>
      <c r="R167" s="87">
        <f t="shared" si="570"/>
        <v>-26.383300087258423</v>
      </c>
      <c r="S167" s="87">
        <f t="shared" si="570"/>
        <v>-28.686838257426928</v>
      </c>
      <c r="T167" s="87">
        <f t="shared" si="570"/>
        <v>-28.847828869382543</v>
      </c>
      <c r="U167" s="87">
        <f t="shared" si="570"/>
        <v>-21.189267740869813</v>
      </c>
      <c r="V167" s="87">
        <f t="shared" si="570"/>
        <v>-19.707428501293002</v>
      </c>
      <c r="W167" s="87">
        <f t="shared" si="570"/>
        <v>-15.832843713187611</v>
      </c>
      <c r="X167" s="87">
        <f t="shared" si="570"/>
        <v>-18.367424203654796</v>
      </c>
      <c r="Y167" s="87">
        <f t="shared" si="570"/>
        <v>-18.833050662210535</v>
      </c>
      <c r="Z167" s="87">
        <f t="shared" si="570"/>
        <v>-20.693496682809197</v>
      </c>
      <c r="AA167" s="87">
        <f t="shared" si="570"/>
        <v>-20.503204206030496</v>
      </c>
      <c r="AB167" s="87">
        <f t="shared" si="570"/>
        <v>-24.568341694660898</v>
      </c>
      <c r="AC167" s="87">
        <f t="shared" si="570"/>
        <v>-29.033864524300359</v>
      </c>
      <c r="AD167" s="87">
        <f t="shared" si="570"/>
        <v>-23.490286852775753</v>
      </c>
      <c r="AE167" s="87">
        <f t="shared" si="570"/>
        <v>-24.420458385528153</v>
      </c>
      <c r="AF167" s="87">
        <f t="shared" si="570"/>
        <v>-26.355611921858575</v>
      </c>
      <c r="AG167" s="87">
        <f t="shared" si="570"/>
        <v>-26.660927963500725</v>
      </c>
      <c r="AH167" s="87">
        <f t="shared" si="570"/>
        <v>-25.241763074704622</v>
      </c>
      <c r="AI167" s="87">
        <f t="shared" si="570"/>
        <v>-26.984348889748603</v>
      </c>
      <c r="AJ167" s="87">
        <f t="shared" si="570"/>
        <v>-27.160634088478407</v>
      </c>
      <c r="AK167" s="87">
        <f t="shared" si="570"/>
        <v>-28.662147674723084</v>
      </c>
      <c r="AL167" s="87">
        <f t="shared" si="570"/>
        <v>-37.317692442361142</v>
      </c>
      <c r="AM167" s="87">
        <f t="shared" si="570"/>
        <v>-37.699622128602591</v>
      </c>
      <c r="AN167" s="87">
        <f t="shared" si="570"/>
        <v>-42.001299027332394</v>
      </c>
      <c r="AO167" s="87">
        <f t="shared" si="570"/>
        <v>-40.191047625887968</v>
      </c>
      <c r="AP167" s="87">
        <f t="shared" si="570"/>
        <v>-40.633908545924555</v>
      </c>
      <c r="AQ167" s="87">
        <f t="shared" si="570"/>
        <v>-41.643926131376595</v>
      </c>
      <c r="AR167" s="87">
        <f t="shared" si="570"/>
        <v>-36.694704994697432</v>
      </c>
      <c r="AS167" s="87">
        <f t="shared" si="570"/>
        <v>-38.587238122868335</v>
      </c>
      <c r="AT167" s="87">
        <f t="shared" ref="AT167" si="571">+AT166*4*1000/AT134</f>
        <v>-37.806397892593665</v>
      </c>
      <c r="AU167" s="87">
        <f t="shared" si="570"/>
        <v>-32.847220651678668</v>
      </c>
      <c r="AV167" s="87">
        <f t="shared" si="570"/>
        <v>-32.772933041445079</v>
      </c>
      <c r="AW167" s="87">
        <f t="shared" si="570"/>
        <v>-32.669352653635002</v>
      </c>
      <c r="AX167" s="87">
        <f t="shared" si="570"/>
        <v>-32.162768148329398</v>
      </c>
      <c r="AY167" s="87">
        <f t="shared" si="570"/>
        <v>-31.618789335325392</v>
      </c>
      <c r="AZ167" s="87">
        <f t="shared" si="570"/>
        <v>-30.695067289324051</v>
      </c>
      <c r="BA167" s="87">
        <f t="shared" si="570"/>
        <v>-29.539676039101991</v>
      </c>
      <c r="BB167" s="87">
        <f t="shared" si="570"/>
        <v>-29.11742315932791</v>
      </c>
      <c r="BC167" s="87">
        <f t="shared" si="570"/>
        <v>-29.123905051168382</v>
      </c>
      <c r="BD167" s="87">
        <f t="shared" si="570"/>
        <v>-29.474609216842648</v>
      </c>
      <c r="BE167" s="87">
        <f t="shared" si="570"/>
        <v>-29.694358021505987</v>
      </c>
      <c r="BF167" s="87">
        <f t="shared" si="570"/>
        <v>-30.042686538068814</v>
      </c>
      <c r="BI167">
        <f t="shared" si="466"/>
        <v>160</v>
      </c>
      <c r="BJ167"/>
      <c r="BK167"/>
      <c r="BL167"/>
      <c r="BM167"/>
      <c r="BN167"/>
      <c r="BO167"/>
    </row>
    <row r="168" spans="1:67" s="91" customFormat="1" hidden="1" outlineLevel="2">
      <c r="A168" s="88"/>
      <c r="B168" s="92"/>
      <c r="C168" s="90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I168">
        <f t="shared" si="466"/>
        <v>161</v>
      </c>
      <c r="BJ168"/>
      <c r="BK168"/>
      <c r="BL168"/>
      <c r="BM168"/>
      <c r="BN168"/>
      <c r="BO168"/>
    </row>
    <row r="169" spans="1:67" s="91" customFormat="1" hidden="1" outlineLevel="2">
      <c r="A169" s="88"/>
      <c r="B169" s="92" t="s">
        <v>283</v>
      </c>
      <c r="C169" s="55">
        <f t="shared" ref="C169:M169" si="572">AVERAGEIFS($O169:$BG169,$O$5:$BG$5,C$5)</f>
        <v>60</v>
      </c>
      <c r="D169" s="55">
        <f t="shared" si="572"/>
        <v>65</v>
      </c>
      <c r="E169" s="55">
        <f t="shared" si="572"/>
        <v>70</v>
      </c>
      <c r="F169" s="55">
        <f t="shared" si="572"/>
        <v>75</v>
      </c>
      <c r="G169" s="55">
        <f t="shared" si="572"/>
        <v>75</v>
      </c>
      <c r="H169" s="55">
        <f t="shared" si="572"/>
        <v>80</v>
      </c>
      <c r="I169" s="55">
        <f t="shared" si="572"/>
        <v>80</v>
      </c>
      <c r="J169" s="55">
        <f t="shared" si="572"/>
        <v>100</v>
      </c>
      <c r="K169" s="55">
        <f t="shared" si="572"/>
        <v>125</v>
      </c>
      <c r="L169" s="55">
        <f t="shared" si="572"/>
        <v>125</v>
      </c>
      <c r="M169" s="55">
        <f t="shared" si="572"/>
        <v>125</v>
      </c>
      <c r="O169" s="95">
        <v>60</v>
      </c>
      <c r="P169" s="95">
        <v>60</v>
      </c>
      <c r="Q169" s="95">
        <v>60</v>
      </c>
      <c r="R169" s="95">
        <v>60</v>
      </c>
      <c r="S169" s="95">
        <v>65</v>
      </c>
      <c r="T169" s="95">
        <v>65</v>
      </c>
      <c r="U169" s="95">
        <v>65</v>
      </c>
      <c r="V169" s="95">
        <v>65</v>
      </c>
      <c r="W169" s="95">
        <v>70</v>
      </c>
      <c r="X169" s="95">
        <v>70</v>
      </c>
      <c r="Y169" s="95">
        <v>70</v>
      </c>
      <c r="Z169" s="95">
        <v>70</v>
      </c>
      <c r="AA169" s="95">
        <v>75</v>
      </c>
      <c r="AB169" s="95">
        <v>75</v>
      </c>
      <c r="AC169" s="95">
        <v>75</v>
      </c>
      <c r="AD169" s="95">
        <v>75</v>
      </c>
      <c r="AE169" s="95">
        <v>75</v>
      </c>
      <c r="AF169" s="95">
        <v>75</v>
      </c>
      <c r="AG169" s="95">
        <v>75</v>
      </c>
      <c r="AH169" s="95">
        <v>75</v>
      </c>
      <c r="AI169" s="95">
        <v>80</v>
      </c>
      <c r="AJ169" s="95">
        <v>80</v>
      </c>
      <c r="AK169" s="95">
        <v>80</v>
      </c>
      <c r="AL169" s="95">
        <v>80</v>
      </c>
      <c r="AM169" s="95">
        <v>80</v>
      </c>
      <c r="AN169" s="95">
        <v>80</v>
      </c>
      <c r="AO169" s="95">
        <v>80</v>
      </c>
      <c r="AP169" s="95">
        <v>80</v>
      </c>
      <c r="AQ169" s="95">
        <v>100</v>
      </c>
      <c r="AR169" s="95">
        <v>100</v>
      </c>
      <c r="AS169" s="95">
        <v>100</v>
      </c>
      <c r="AT169" s="95">
        <v>100</v>
      </c>
      <c r="AU169" s="95">
        <v>125</v>
      </c>
      <c r="AV169" s="95">
        <v>125</v>
      </c>
      <c r="AW169" s="95">
        <v>125</v>
      </c>
      <c r="AX169" s="95">
        <v>125</v>
      </c>
      <c r="AY169" s="95">
        <v>125</v>
      </c>
      <c r="AZ169" s="95">
        <v>125</v>
      </c>
      <c r="BA169" s="95">
        <v>125</v>
      </c>
      <c r="BB169" s="95">
        <v>125</v>
      </c>
      <c r="BC169" s="95">
        <v>125</v>
      </c>
      <c r="BD169" s="95">
        <v>125</v>
      </c>
      <c r="BE169" s="95">
        <v>125</v>
      </c>
      <c r="BF169" s="95">
        <v>125</v>
      </c>
      <c r="BI169">
        <f t="shared" si="466"/>
        <v>162</v>
      </c>
      <c r="BJ169"/>
      <c r="BK169"/>
      <c r="BL169"/>
      <c r="BM169"/>
      <c r="BN169"/>
      <c r="BO169"/>
    </row>
    <row r="170" spans="1:67" s="91" customFormat="1" hidden="1" outlineLevel="2">
      <c r="A170" s="88"/>
      <c r="B170" s="92" t="s">
        <v>133</v>
      </c>
      <c r="C170" s="54">
        <f t="shared" ref="C170:M171" si="573">SUMIFS($O170:$BG170,$O$5:$BG$5,C$5)</f>
        <v>-25.999500000000001</v>
      </c>
      <c r="D170" s="54">
        <f t="shared" si="573"/>
        <v>-35.672812499999999</v>
      </c>
      <c r="E170" s="54">
        <f t="shared" si="573"/>
        <v>-47.81</v>
      </c>
      <c r="F170" s="54">
        <f t="shared" si="573"/>
        <v>-57.262500000000003</v>
      </c>
      <c r="G170" s="54">
        <f t="shared" si="573"/>
        <v>-63.318093750000003</v>
      </c>
      <c r="H170" s="54">
        <f t="shared" si="573"/>
        <v>-56.7</v>
      </c>
      <c r="I170" s="54">
        <f t="shared" si="573"/>
        <v>-39.900000000000006</v>
      </c>
      <c r="J170" s="54">
        <f t="shared" si="573"/>
        <v>-93.375</v>
      </c>
      <c r="K170" s="54">
        <f t="shared" si="573"/>
        <v>-166.5625</v>
      </c>
      <c r="L170" s="54">
        <f t="shared" si="573"/>
        <v>-197.19562500000001</v>
      </c>
      <c r="M170" s="54">
        <f t="shared" si="573"/>
        <v>-214.07875000000001</v>
      </c>
      <c r="O170" s="87">
        <f>-O169/4*O134/1000</f>
        <v>-6.2865000000000002</v>
      </c>
      <c r="P170" s="87">
        <f t="shared" ref="P170:BF170" si="574">-P169/4*P134/1000</f>
        <v>-6.4364999999999997</v>
      </c>
      <c r="Q170" s="87">
        <f t="shared" si="574"/>
        <v>-6.5865</v>
      </c>
      <c r="R170" s="87">
        <f t="shared" si="574"/>
        <v>-6.69</v>
      </c>
      <c r="S170" s="87">
        <f t="shared" si="574"/>
        <v>-7.4262499999999996</v>
      </c>
      <c r="T170" s="87">
        <f t="shared" si="574"/>
        <v>-8.2550000000000008</v>
      </c>
      <c r="U170" s="87">
        <f t="shared" si="574"/>
        <v>-9.4940625000000001</v>
      </c>
      <c r="V170" s="87">
        <f t="shared" si="574"/>
        <v>-10.4975</v>
      </c>
      <c r="W170" s="87">
        <f t="shared" si="574"/>
        <v>-11.83</v>
      </c>
      <c r="X170" s="87">
        <f t="shared" si="574"/>
        <v>-12.7925</v>
      </c>
      <c r="Y170" s="87">
        <f t="shared" si="574"/>
        <v>-11.375</v>
      </c>
      <c r="Z170" s="87">
        <f t="shared" si="574"/>
        <v>-11.8125</v>
      </c>
      <c r="AA170" s="87">
        <f t="shared" si="574"/>
        <v>-14.315625000000001</v>
      </c>
      <c r="AB170" s="87">
        <f t="shared" si="574"/>
        <v>-14.315625000000001</v>
      </c>
      <c r="AC170" s="87">
        <f t="shared" si="574"/>
        <v>-14.315625000000001</v>
      </c>
      <c r="AD170" s="87">
        <f t="shared" si="574"/>
        <v>-14.315625000000001</v>
      </c>
      <c r="AE170" s="87">
        <f t="shared" si="574"/>
        <v>-14.315625000000001</v>
      </c>
      <c r="AF170" s="87">
        <f t="shared" si="574"/>
        <v>-14.85</v>
      </c>
      <c r="AG170" s="87">
        <f t="shared" si="574"/>
        <v>-14.85</v>
      </c>
      <c r="AH170" s="87">
        <f t="shared" si="574"/>
        <v>-19.302468749999999</v>
      </c>
      <c r="AI170" s="87">
        <f t="shared" si="574"/>
        <v>-16.2</v>
      </c>
      <c r="AJ170" s="87">
        <f t="shared" si="574"/>
        <v>-15.3</v>
      </c>
      <c r="AK170" s="87">
        <f t="shared" si="574"/>
        <v>-14.4</v>
      </c>
      <c r="AL170" s="87">
        <f t="shared" si="574"/>
        <v>-10.8</v>
      </c>
      <c r="AM170" s="87">
        <f t="shared" si="574"/>
        <v>-10.8</v>
      </c>
      <c r="AN170" s="87">
        <f t="shared" si="574"/>
        <v>-9.4</v>
      </c>
      <c r="AO170" s="87">
        <f t="shared" si="574"/>
        <v>-9.4</v>
      </c>
      <c r="AP170" s="87">
        <f t="shared" si="574"/>
        <v>-10.3</v>
      </c>
      <c r="AQ170" s="87">
        <f t="shared" si="574"/>
        <v>-14</v>
      </c>
      <c r="AR170" s="87">
        <f t="shared" si="574"/>
        <v>-21.25</v>
      </c>
      <c r="AS170" s="87">
        <f t="shared" si="574"/>
        <v>-27.5</v>
      </c>
      <c r="AT170" s="87">
        <f t="shared" ref="AT170" si="575">-AT169/4*AT134/1000</f>
        <v>-30.625</v>
      </c>
      <c r="AU170" s="87">
        <f t="shared" si="574"/>
        <v>-39.0625</v>
      </c>
      <c r="AV170" s="87">
        <f t="shared" si="574"/>
        <v>-40.78125</v>
      </c>
      <c r="AW170" s="87">
        <f t="shared" si="574"/>
        <v>-42.5</v>
      </c>
      <c r="AX170" s="87">
        <f t="shared" si="574"/>
        <v>-44.21875</v>
      </c>
      <c r="AY170" s="87">
        <f t="shared" si="574"/>
        <v>-45.9375</v>
      </c>
      <c r="AZ170" s="87">
        <f t="shared" si="574"/>
        <v>-47.65625</v>
      </c>
      <c r="BA170" s="87">
        <f t="shared" si="574"/>
        <v>-50.941562500000003</v>
      </c>
      <c r="BB170" s="87">
        <f t="shared" si="574"/>
        <v>-52.660312500000003</v>
      </c>
      <c r="BC170" s="87">
        <f t="shared" si="574"/>
        <v>-53.519687500000003</v>
      </c>
      <c r="BD170" s="87">
        <f t="shared" si="574"/>
        <v>-53.519687500000003</v>
      </c>
      <c r="BE170" s="87">
        <f t="shared" si="574"/>
        <v>-53.519687500000003</v>
      </c>
      <c r="BF170" s="87">
        <f t="shared" si="574"/>
        <v>-53.519687500000003</v>
      </c>
      <c r="BI170">
        <f t="shared" si="466"/>
        <v>163</v>
      </c>
      <c r="BJ170"/>
      <c r="BK170"/>
      <c r="BL170"/>
      <c r="BM170"/>
      <c r="BN170"/>
      <c r="BO170"/>
    </row>
    <row r="171" spans="1:67" s="91" customFormat="1" hidden="1" outlineLevel="2">
      <c r="A171" s="88"/>
      <c r="B171" s="92" t="s">
        <v>134</v>
      </c>
      <c r="C171" s="54">
        <f t="shared" si="573"/>
        <v>-25.064500000000002</v>
      </c>
      <c r="D171" s="54">
        <f t="shared" si="573"/>
        <v>-162.38818750000002</v>
      </c>
      <c r="E171" s="54">
        <f t="shared" si="573"/>
        <v>-146.30700000000002</v>
      </c>
      <c r="F171" s="54">
        <f t="shared" si="573"/>
        <v>-65.519499999999994</v>
      </c>
      <c r="G171" s="54">
        <f t="shared" si="573"/>
        <v>-214.04190625000001</v>
      </c>
      <c r="H171" s="54">
        <f t="shared" si="573"/>
        <v>-140.87700000000001</v>
      </c>
      <c r="I171" s="54">
        <f t="shared" si="573"/>
        <v>0.3160000000000025</v>
      </c>
      <c r="J171" s="54">
        <f t="shared" si="573"/>
        <v>-78.061000000000007</v>
      </c>
      <c r="K171" s="54">
        <f t="shared" si="573"/>
        <v>-93.412499999999994</v>
      </c>
      <c r="L171" s="54">
        <f t="shared" si="573"/>
        <v>-165.214775</v>
      </c>
      <c r="M171" s="54">
        <f t="shared" si="573"/>
        <v>-59.942050000000052</v>
      </c>
      <c r="O171" s="87">
        <f t="shared" ref="O171:BF171" si="576">O261-O170</f>
        <v>-3.1265000000000001</v>
      </c>
      <c r="P171" s="87">
        <f t="shared" si="576"/>
        <v>-4.9615</v>
      </c>
      <c r="Q171" s="87">
        <f t="shared" si="576"/>
        <v>-8.9445000000000014</v>
      </c>
      <c r="R171" s="87">
        <f t="shared" si="576"/>
        <v>-8.032</v>
      </c>
      <c r="S171" s="87">
        <f t="shared" si="576"/>
        <v>-33.754750000000001</v>
      </c>
      <c r="T171" s="87">
        <f t="shared" si="576"/>
        <v>-33.18</v>
      </c>
      <c r="U171" s="87">
        <f t="shared" si="576"/>
        <v>-43.331937500000002</v>
      </c>
      <c r="V171" s="87">
        <f t="shared" si="576"/>
        <v>-52.121500000000012</v>
      </c>
      <c r="W171" s="87">
        <f t="shared" si="576"/>
        <v>-42.744</v>
      </c>
      <c r="X171" s="87">
        <f t="shared" si="576"/>
        <v>-44.732500000000002</v>
      </c>
      <c r="Y171" s="87">
        <f t="shared" si="576"/>
        <v>-29.058</v>
      </c>
      <c r="Z171" s="87">
        <f t="shared" si="576"/>
        <v>-29.772500000000001</v>
      </c>
      <c r="AA171" s="87">
        <f t="shared" si="576"/>
        <v>-15.918375000000001</v>
      </c>
      <c r="AB171" s="87">
        <f t="shared" si="576"/>
        <v>-19.886374999999997</v>
      </c>
      <c r="AC171" s="87">
        <f t="shared" si="576"/>
        <v>-15.178374999999999</v>
      </c>
      <c r="AD171" s="87">
        <f t="shared" si="576"/>
        <v>-14.536375</v>
      </c>
      <c r="AE171" s="87">
        <f t="shared" si="576"/>
        <v>-21.981374999999996</v>
      </c>
      <c r="AF171" s="87">
        <f t="shared" si="576"/>
        <v>-81.336000000000013</v>
      </c>
      <c r="AG171" s="87">
        <f t="shared" si="576"/>
        <v>-50.77</v>
      </c>
      <c r="AH171" s="87">
        <f t="shared" si="576"/>
        <v>-59.954531250000002</v>
      </c>
      <c r="AI171" s="87">
        <f t="shared" si="576"/>
        <v>-59.61</v>
      </c>
      <c r="AJ171" s="87">
        <f t="shared" si="576"/>
        <v>-48.709000000000003</v>
      </c>
      <c r="AK171" s="87">
        <f t="shared" si="576"/>
        <v>-15.008999999999999</v>
      </c>
      <c r="AL171" s="87">
        <f t="shared" si="576"/>
        <v>-17.548999999999999</v>
      </c>
      <c r="AM171" s="87">
        <f t="shared" si="576"/>
        <v>3.2480000000000011</v>
      </c>
      <c r="AN171" s="87">
        <f t="shared" si="576"/>
        <v>-2.379999999999999</v>
      </c>
      <c r="AO171" s="87">
        <f t="shared" si="576"/>
        <v>1.0700000000000003</v>
      </c>
      <c r="AP171" s="87">
        <f t="shared" si="576"/>
        <v>-1.6219999999999999</v>
      </c>
      <c r="AQ171" s="87">
        <f t="shared" si="576"/>
        <v>-5.4130000000000003</v>
      </c>
      <c r="AR171" s="87">
        <f t="shared" si="576"/>
        <v>-17.53</v>
      </c>
      <c r="AS171" s="87">
        <f t="shared" si="576"/>
        <v>0.26999999999999957</v>
      </c>
      <c r="AT171" s="87">
        <f t="shared" ref="AT171" si="577">AT261-AT170</f>
        <v>-55.388000000000005</v>
      </c>
      <c r="AU171" s="87">
        <f t="shared" si="576"/>
        <v>-22.912500000000001</v>
      </c>
      <c r="AV171" s="87">
        <f t="shared" si="576"/>
        <v>-23.15625</v>
      </c>
      <c r="AW171" s="87">
        <f t="shared" si="576"/>
        <v>-23.5</v>
      </c>
      <c r="AX171" s="87">
        <f t="shared" si="576"/>
        <v>-23.84375</v>
      </c>
      <c r="AY171" s="87">
        <f t="shared" si="576"/>
        <v>-12.862499999999997</v>
      </c>
      <c r="AZ171" s="87">
        <f t="shared" si="576"/>
        <v>-13.34375</v>
      </c>
      <c r="BA171" s="87">
        <f t="shared" si="576"/>
        <v>-69.263637500000002</v>
      </c>
      <c r="BB171" s="87">
        <f t="shared" si="576"/>
        <v>-69.744887500000004</v>
      </c>
      <c r="BC171" s="87">
        <f t="shared" si="576"/>
        <v>-14.985512500000013</v>
      </c>
      <c r="BD171" s="87">
        <f t="shared" si="576"/>
        <v>-14.985512500000013</v>
      </c>
      <c r="BE171" s="87">
        <f t="shared" si="576"/>
        <v>-14.985512500000013</v>
      </c>
      <c r="BF171" s="87">
        <f t="shared" si="576"/>
        <v>-14.985512500000013</v>
      </c>
      <c r="BI171">
        <f t="shared" si="466"/>
        <v>164</v>
      </c>
      <c r="BJ171"/>
      <c r="BK171"/>
      <c r="BL171"/>
      <c r="BM171"/>
      <c r="BN171"/>
      <c r="BO171"/>
    </row>
    <row r="172" spans="1:67" s="91" customFormat="1" hidden="1" outlineLevel="2">
      <c r="A172" s="88"/>
      <c r="B172" s="92"/>
      <c r="C172" s="90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I172">
        <f t="shared" si="466"/>
        <v>165</v>
      </c>
      <c r="BJ172"/>
      <c r="BK172"/>
      <c r="BL172"/>
      <c r="BM172"/>
      <c r="BN172"/>
      <c r="BO172"/>
    </row>
    <row r="173" spans="1:67" s="91" customFormat="1" hidden="1" outlineLevel="2">
      <c r="A173" s="88"/>
      <c r="B173" s="92" t="s">
        <v>284</v>
      </c>
      <c r="C173" s="54">
        <f t="shared" ref="C173:M173" si="578">SUMIFS($O173:$BG173,$O$5:$BG$5,C$5)</f>
        <v>70.985097883533498</v>
      </c>
      <c r="D173" s="54">
        <f t="shared" si="578"/>
        <v>217.82733484031769</v>
      </c>
      <c r="E173" s="54">
        <f t="shared" si="578"/>
        <v>183.46560434142015</v>
      </c>
      <c r="F173" s="54">
        <f t="shared" si="578"/>
        <v>141.27692128210609</v>
      </c>
      <c r="G173" s="54">
        <f t="shared" si="578"/>
        <v>151.70299845243596</v>
      </c>
      <c r="H173" s="54">
        <f t="shared" si="578"/>
        <v>6.5591230192355106</v>
      </c>
      <c r="I173" s="54">
        <f t="shared" si="578"/>
        <v>-51.634665444402529</v>
      </c>
      <c r="J173" s="54">
        <f t="shared" si="578"/>
        <v>89.841525691838385</v>
      </c>
      <c r="K173" s="54">
        <f t="shared" si="578"/>
        <v>157.61516169335647</v>
      </c>
      <c r="L173" s="54">
        <f t="shared" si="578"/>
        <v>252.49808507316772</v>
      </c>
      <c r="M173" s="54">
        <f t="shared" si="578"/>
        <v>275.2062790637334</v>
      </c>
      <c r="O173" s="87">
        <f>+O153+O166+O170</f>
        <v>4.270599286445405</v>
      </c>
      <c r="P173" s="87">
        <f t="shared" ref="P173:BF173" si="579">+P153+P166+P170</f>
        <v>6.4910104758430132</v>
      </c>
      <c r="Q173" s="87">
        <f t="shared" si="579"/>
        <v>18.541226080974376</v>
      </c>
      <c r="R173" s="87">
        <f t="shared" si="579"/>
        <v>41.6822620402707</v>
      </c>
      <c r="S173" s="87">
        <f t="shared" si="579"/>
        <v>46.041278729088958</v>
      </c>
      <c r="T173" s="87">
        <f t="shared" si="579"/>
        <v>54.890325733588398</v>
      </c>
      <c r="U173" s="87">
        <f t="shared" si="579"/>
        <v>58.542980080599193</v>
      </c>
      <c r="V173" s="87">
        <f t="shared" si="579"/>
        <v>58.352750297041169</v>
      </c>
      <c r="W173" s="87">
        <f t="shared" si="579"/>
        <v>56.084249412471294</v>
      </c>
      <c r="X173" s="87">
        <f t="shared" si="579"/>
        <v>47.628853226782098</v>
      </c>
      <c r="Y173" s="87">
        <f t="shared" si="579"/>
        <v>34.197629267390766</v>
      </c>
      <c r="Z173" s="87">
        <f t="shared" si="579"/>
        <v>45.554872434775973</v>
      </c>
      <c r="AA173" s="87">
        <f t="shared" si="579"/>
        <v>40.521825897173912</v>
      </c>
      <c r="AB173" s="87">
        <f t="shared" si="579"/>
        <v>43.037892779031608</v>
      </c>
      <c r="AC173" s="87">
        <f t="shared" si="579"/>
        <v>30.819536108924158</v>
      </c>
      <c r="AD173" s="87">
        <f t="shared" si="579"/>
        <v>26.897666496976417</v>
      </c>
      <c r="AE173" s="87">
        <f t="shared" si="579"/>
        <v>16.608120005662315</v>
      </c>
      <c r="AF173" s="87">
        <f t="shared" si="579"/>
        <v>39.464588839471993</v>
      </c>
      <c r="AG173" s="87">
        <f t="shared" si="579"/>
        <v>42.666136263226839</v>
      </c>
      <c r="AH173" s="87">
        <f t="shared" si="579"/>
        <v>52.964153344074802</v>
      </c>
      <c r="AI173" s="87">
        <f t="shared" si="579"/>
        <v>10.238669349825919</v>
      </c>
      <c r="AJ173" s="87">
        <f t="shared" si="579"/>
        <v>9.0225287305785002</v>
      </c>
      <c r="AK173" s="87">
        <f t="shared" si="579"/>
        <v>-7.7681865814501538</v>
      </c>
      <c r="AL173" s="87">
        <f t="shared" si="579"/>
        <v>-4.933888479718755</v>
      </c>
      <c r="AM173" s="87">
        <f t="shared" si="579"/>
        <v>-10.278448987361351</v>
      </c>
      <c r="AN173" s="87">
        <f t="shared" si="579"/>
        <v>-12.960152635711561</v>
      </c>
      <c r="AO173" s="87">
        <f t="shared" si="579"/>
        <v>-16.104448096041835</v>
      </c>
      <c r="AP173" s="87">
        <f t="shared" si="579"/>
        <v>-12.291615725287787</v>
      </c>
      <c r="AQ173" s="87">
        <f t="shared" si="579"/>
        <v>-0.47114965839272216</v>
      </c>
      <c r="AR173" s="87">
        <f t="shared" si="579"/>
        <v>23.39337518862677</v>
      </c>
      <c r="AS173" s="87">
        <f t="shared" si="579"/>
        <v>30.003509516211189</v>
      </c>
      <c r="AT173" s="87">
        <f t="shared" si="579"/>
        <v>36.915790645393145</v>
      </c>
      <c r="AU173" s="87">
        <f t="shared" si="579"/>
        <v>22.303592365382357</v>
      </c>
      <c r="AV173" s="87">
        <f t="shared" si="579"/>
        <v>33.206310571155385</v>
      </c>
      <c r="AW173" s="87">
        <f t="shared" si="579"/>
        <v>46.403427296866155</v>
      </c>
      <c r="AX173" s="87">
        <f t="shared" si="579"/>
        <v>55.701831459952572</v>
      </c>
      <c r="AY173" s="87">
        <f t="shared" si="579"/>
        <v>58.139330547380368</v>
      </c>
      <c r="AZ173" s="87">
        <f t="shared" si="579"/>
        <v>60.735029310369015</v>
      </c>
      <c r="BA173" s="87">
        <f t="shared" si="579"/>
        <v>65.588443225138775</v>
      </c>
      <c r="BB173" s="87">
        <f t="shared" si="579"/>
        <v>68.035281990279529</v>
      </c>
      <c r="BC173" s="87">
        <f t="shared" si="579"/>
        <v>69.127481378185152</v>
      </c>
      <c r="BD173" s="87">
        <f t="shared" si="579"/>
        <v>68.89248446464191</v>
      </c>
      <c r="BE173" s="87">
        <f t="shared" si="579"/>
        <v>68.711860265186104</v>
      </c>
      <c r="BF173" s="87">
        <f t="shared" si="579"/>
        <v>68.474452955720267</v>
      </c>
      <c r="BI173">
        <f t="shared" si="466"/>
        <v>166</v>
      </c>
      <c r="BJ173"/>
      <c r="BK173"/>
      <c r="BL173"/>
      <c r="BM173"/>
      <c r="BN173"/>
      <c r="BO173"/>
    </row>
    <row r="174" spans="1:67" hidden="1" outlineLevel="2">
      <c r="BI174">
        <f t="shared" si="466"/>
        <v>167</v>
      </c>
    </row>
    <row r="175" spans="1:67" hidden="1" outlineLevel="2">
      <c r="B175" s="8" t="s">
        <v>278</v>
      </c>
      <c r="BI175">
        <f t="shared" si="466"/>
        <v>168</v>
      </c>
    </row>
    <row r="176" spans="1:67" hidden="1" outlineLevel="2">
      <c r="B176" s="19" t="s">
        <v>270</v>
      </c>
      <c r="C176" s="54">
        <f>AVERAGEIFS($O176:$BG176,$O$5:$BG$5,C$5)</f>
        <v>40</v>
      </c>
      <c r="D176" s="54">
        <f t="shared" ref="D176:M176" si="580">AVERAGEIFS($O176:$BG176,$O$5:$BG$5,D$5)</f>
        <v>42.15625</v>
      </c>
      <c r="E176" s="54">
        <f t="shared" si="580"/>
        <v>44</v>
      </c>
      <c r="F176" s="54">
        <f t="shared" si="580"/>
        <v>45</v>
      </c>
      <c r="G176" s="54">
        <f t="shared" si="580"/>
        <v>45</v>
      </c>
      <c r="H176" s="54">
        <f t="shared" si="580"/>
        <v>45.625</v>
      </c>
      <c r="I176" s="54">
        <f t="shared" si="580"/>
        <v>51.75</v>
      </c>
      <c r="J176" s="54">
        <f t="shared" si="580"/>
        <v>55</v>
      </c>
      <c r="K176" s="54">
        <f t="shared" si="580"/>
        <v>52.25</v>
      </c>
      <c r="L176" s="54">
        <f t="shared" si="580"/>
        <v>52</v>
      </c>
      <c r="M176" s="54">
        <f t="shared" si="580"/>
        <v>52</v>
      </c>
      <c r="O176" s="57">
        <v>40</v>
      </c>
      <c r="P176" s="57">
        <v>40</v>
      </c>
      <c r="Q176" s="57">
        <v>40</v>
      </c>
      <c r="R176" s="57">
        <v>40</v>
      </c>
      <c r="S176" s="57">
        <v>40.375</v>
      </c>
      <c r="T176" s="57">
        <v>42.25</v>
      </c>
      <c r="U176" s="57">
        <v>43</v>
      </c>
      <c r="V176" s="57">
        <v>43</v>
      </c>
      <c r="W176" s="57">
        <v>43</v>
      </c>
      <c r="X176" s="57">
        <v>43</v>
      </c>
      <c r="Y176" s="57">
        <v>45</v>
      </c>
      <c r="Z176" s="57">
        <v>45</v>
      </c>
      <c r="AA176" s="57">
        <v>45</v>
      </c>
      <c r="AB176" s="57">
        <v>45</v>
      </c>
      <c r="AC176" s="57">
        <v>45</v>
      </c>
      <c r="AD176" s="57">
        <v>45</v>
      </c>
      <c r="AE176" s="57">
        <v>45</v>
      </c>
      <c r="AF176" s="57">
        <v>45</v>
      </c>
      <c r="AG176" s="57">
        <v>45</v>
      </c>
      <c r="AH176" s="57">
        <v>45</v>
      </c>
      <c r="AI176" s="57">
        <v>45</v>
      </c>
      <c r="AJ176" s="57">
        <v>45</v>
      </c>
      <c r="AK176" s="57">
        <v>45</v>
      </c>
      <c r="AL176" s="57">
        <v>47.5</v>
      </c>
      <c r="AM176" s="57">
        <v>50</v>
      </c>
      <c r="AN176" s="57">
        <v>50</v>
      </c>
      <c r="AO176" s="57">
        <v>52</v>
      </c>
      <c r="AP176" s="57">
        <v>55</v>
      </c>
      <c r="AQ176" s="57">
        <v>55</v>
      </c>
      <c r="AR176" s="57">
        <v>55</v>
      </c>
      <c r="AS176" s="57">
        <v>55</v>
      </c>
      <c r="AT176" s="95">
        <v>55</v>
      </c>
      <c r="AU176" s="95">
        <v>53</v>
      </c>
      <c r="AV176" s="95">
        <v>52</v>
      </c>
      <c r="AW176" s="95">
        <v>52</v>
      </c>
      <c r="AX176" s="95">
        <f t="shared" ref="AX176:BF176" si="581">AW176</f>
        <v>52</v>
      </c>
      <c r="AY176" s="95">
        <f t="shared" si="581"/>
        <v>52</v>
      </c>
      <c r="AZ176" s="95">
        <f t="shared" si="581"/>
        <v>52</v>
      </c>
      <c r="BA176" s="95">
        <f t="shared" si="581"/>
        <v>52</v>
      </c>
      <c r="BB176" s="95">
        <f t="shared" si="581"/>
        <v>52</v>
      </c>
      <c r="BC176" s="95">
        <f t="shared" si="581"/>
        <v>52</v>
      </c>
      <c r="BD176" s="95">
        <f t="shared" si="581"/>
        <v>52</v>
      </c>
      <c r="BE176" s="95">
        <f t="shared" si="581"/>
        <v>52</v>
      </c>
      <c r="BF176" s="95">
        <f t="shared" si="581"/>
        <v>52</v>
      </c>
      <c r="BI176">
        <f t="shared" si="466"/>
        <v>169</v>
      </c>
    </row>
    <row r="177" spans="1:67" hidden="1" outlineLevel="2">
      <c r="B177" s="19" t="s">
        <v>271</v>
      </c>
      <c r="C177" s="55">
        <f t="shared" ref="C177:D177" si="582">INT(C134/C176)</f>
        <v>10</v>
      </c>
      <c r="D177" s="55">
        <f t="shared" si="582"/>
        <v>13</v>
      </c>
      <c r="E177" s="55">
        <f t="shared" ref="E177:M177" si="583">INT(E134/E176)</f>
        <v>15</v>
      </c>
      <c r="F177" s="55">
        <f t="shared" si="583"/>
        <v>16</v>
      </c>
      <c r="G177" s="55">
        <f t="shared" si="583"/>
        <v>18</v>
      </c>
      <c r="H177" s="55">
        <f t="shared" si="583"/>
        <v>15</v>
      </c>
      <c r="I177" s="55">
        <f t="shared" si="583"/>
        <v>9</v>
      </c>
      <c r="J177" s="55">
        <f t="shared" si="583"/>
        <v>16</v>
      </c>
      <c r="K177" s="55">
        <f t="shared" si="583"/>
        <v>25</v>
      </c>
      <c r="L177" s="55">
        <f t="shared" si="583"/>
        <v>30</v>
      </c>
      <c r="M177" s="55">
        <f t="shared" si="583"/>
        <v>32</v>
      </c>
      <c r="O177" s="55">
        <f t="shared" ref="O177:BF177" si="584">INT(O134/O176)</f>
        <v>10</v>
      </c>
      <c r="P177" s="55">
        <f t="shared" si="584"/>
        <v>10</v>
      </c>
      <c r="Q177" s="55">
        <f t="shared" si="584"/>
        <v>10</v>
      </c>
      <c r="R177" s="55">
        <f t="shared" si="584"/>
        <v>11</v>
      </c>
      <c r="S177" s="55">
        <f t="shared" si="584"/>
        <v>11</v>
      </c>
      <c r="T177" s="55">
        <f t="shared" si="584"/>
        <v>12</v>
      </c>
      <c r="U177" s="55">
        <f t="shared" si="584"/>
        <v>13</v>
      </c>
      <c r="V177" s="55">
        <f t="shared" si="584"/>
        <v>15</v>
      </c>
      <c r="W177" s="55">
        <f t="shared" si="584"/>
        <v>15</v>
      </c>
      <c r="X177" s="55">
        <f t="shared" si="584"/>
        <v>17</v>
      </c>
      <c r="Y177" s="55">
        <f t="shared" si="584"/>
        <v>14</v>
      </c>
      <c r="Z177" s="55">
        <f t="shared" si="584"/>
        <v>15</v>
      </c>
      <c r="AA177" s="55">
        <f t="shared" si="584"/>
        <v>16</v>
      </c>
      <c r="AB177" s="55">
        <f t="shared" si="584"/>
        <v>16</v>
      </c>
      <c r="AC177" s="55">
        <f t="shared" si="584"/>
        <v>16</v>
      </c>
      <c r="AD177" s="55">
        <f t="shared" si="584"/>
        <v>16</v>
      </c>
      <c r="AE177" s="55">
        <f t="shared" si="584"/>
        <v>16</v>
      </c>
      <c r="AF177" s="55">
        <f t="shared" si="584"/>
        <v>17</v>
      </c>
      <c r="AG177" s="55">
        <f t="shared" si="584"/>
        <v>17</v>
      </c>
      <c r="AH177" s="55">
        <f t="shared" si="584"/>
        <v>22</v>
      </c>
      <c r="AI177" s="55">
        <f t="shared" si="584"/>
        <v>18</v>
      </c>
      <c r="AJ177" s="55">
        <f t="shared" si="584"/>
        <v>17</v>
      </c>
      <c r="AK177" s="55">
        <f t="shared" si="584"/>
        <v>16</v>
      </c>
      <c r="AL177" s="55">
        <f t="shared" si="584"/>
        <v>11</v>
      </c>
      <c r="AM177" s="55">
        <f t="shared" si="584"/>
        <v>10</v>
      </c>
      <c r="AN177" s="55">
        <f t="shared" si="584"/>
        <v>9</v>
      </c>
      <c r="AO177" s="55">
        <f t="shared" si="584"/>
        <v>9</v>
      </c>
      <c r="AP177" s="55">
        <f t="shared" si="584"/>
        <v>9</v>
      </c>
      <c r="AQ177" s="55">
        <f t="shared" si="584"/>
        <v>10</v>
      </c>
      <c r="AR177" s="55">
        <f t="shared" si="584"/>
        <v>15</v>
      </c>
      <c r="AS177" s="55">
        <f t="shared" si="584"/>
        <v>20</v>
      </c>
      <c r="AT177" s="55">
        <f t="shared" ref="AT177" si="585">INT(AT134/AT176)</f>
        <v>22</v>
      </c>
      <c r="AU177" s="55">
        <f t="shared" si="584"/>
        <v>23</v>
      </c>
      <c r="AV177" s="55">
        <f t="shared" si="584"/>
        <v>25</v>
      </c>
      <c r="AW177" s="55">
        <f t="shared" si="584"/>
        <v>26</v>
      </c>
      <c r="AX177" s="55">
        <f t="shared" si="584"/>
        <v>27</v>
      </c>
      <c r="AY177" s="55">
        <f t="shared" si="584"/>
        <v>28</v>
      </c>
      <c r="AZ177" s="55">
        <f t="shared" si="584"/>
        <v>29</v>
      </c>
      <c r="BA177" s="55">
        <f t="shared" si="584"/>
        <v>31</v>
      </c>
      <c r="BB177" s="55">
        <f t="shared" si="584"/>
        <v>32</v>
      </c>
      <c r="BC177" s="55">
        <f t="shared" si="584"/>
        <v>32</v>
      </c>
      <c r="BD177" s="55">
        <f t="shared" si="584"/>
        <v>32</v>
      </c>
      <c r="BE177" s="55">
        <f t="shared" si="584"/>
        <v>32</v>
      </c>
      <c r="BF177" s="55">
        <f t="shared" si="584"/>
        <v>32</v>
      </c>
      <c r="BI177">
        <f t="shared" si="466"/>
        <v>170</v>
      </c>
    </row>
    <row r="178" spans="1:67" hidden="1" outlineLevel="2">
      <c r="B178" s="19" t="s">
        <v>273</v>
      </c>
      <c r="C178" s="54">
        <f>C149/C$177</f>
        <v>35.0608</v>
      </c>
      <c r="D178" s="54">
        <f>D149/D$177</f>
        <v>65.061769230769215</v>
      </c>
      <c r="E178" s="54">
        <f t="shared" ref="E178:M178" si="586">E149/E$177</f>
        <v>56.118066666666664</v>
      </c>
      <c r="F178" s="54">
        <f t="shared" si="586"/>
        <v>61.194125</v>
      </c>
      <c r="G178" s="54">
        <f t="shared" si="586"/>
        <v>71.848055555555547</v>
      </c>
      <c r="H178" s="54">
        <f t="shared" si="586"/>
        <v>47.496933333333338</v>
      </c>
      <c r="I178" s="54">
        <f t="shared" si="586"/>
        <v>39.341111111111111</v>
      </c>
      <c r="J178" s="54">
        <f t="shared" si="586"/>
        <v>75.019437499999995</v>
      </c>
      <c r="K178" s="54">
        <f t="shared" si="586"/>
        <v>71.572710854302628</v>
      </c>
      <c r="L178" s="54">
        <f t="shared" si="586"/>
        <v>74.416462269214264</v>
      </c>
      <c r="M178" s="54">
        <f t="shared" si="586"/>
        <v>75.738479343238865</v>
      </c>
      <c r="O178" s="54">
        <f>O149*4/O$177</f>
        <v>21.500399999999999</v>
      </c>
      <c r="P178" s="54">
        <f t="shared" ref="P178:BF178" si="587">P149*4/P$177</f>
        <v>23.7456</v>
      </c>
      <c r="Q178" s="54">
        <f t="shared" si="587"/>
        <v>32.441600000000001</v>
      </c>
      <c r="R178" s="54">
        <f t="shared" si="587"/>
        <v>56.868727272727277</v>
      </c>
      <c r="S178" s="54">
        <f t="shared" si="587"/>
        <v>65.330545454545458</v>
      </c>
      <c r="T178" s="54">
        <f t="shared" si="587"/>
        <v>66.710333333333338</v>
      </c>
      <c r="U178" s="54">
        <f t="shared" si="587"/>
        <v>69.28123076923076</v>
      </c>
      <c r="V178" s="54">
        <f t="shared" si="587"/>
        <v>64.226399999999998</v>
      </c>
      <c r="W178" s="54">
        <f t="shared" si="587"/>
        <v>64.459199999999996</v>
      </c>
      <c r="X178" s="54">
        <f t="shared" si="587"/>
        <v>48.511294117647061</v>
      </c>
      <c r="Y178" s="54">
        <f t="shared" si="587"/>
        <v>51.989428571428569</v>
      </c>
      <c r="Z178" s="54">
        <f t="shared" si="587"/>
        <v>56.510133333333336</v>
      </c>
      <c r="AA178" s="54">
        <f t="shared" si="587"/>
        <v>57.79</v>
      </c>
      <c r="AB178" s="54">
        <f t="shared" si="587"/>
        <v>63.655000000000001</v>
      </c>
      <c r="AC178" s="54">
        <f t="shared" si="587"/>
        <v>64.802250000000001</v>
      </c>
      <c r="AD178" s="54">
        <f t="shared" si="587"/>
        <v>58.529249999999998</v>
      </c>
      <c r="AE178" s="54">
        <f t="shared" si="587"/>
        <v>60.065249999999999</v>
      </c>
      <c r="AF178" s="54">
        <f t="shared" si="587"/>
        <v>72.135764705882352</v>
      </c>
      <c r="AG178" s="54">
        <f t="shared" si="587"/>
        <v>82.045176470588231</v>
      </c>
      <c r="AH178" s="54">
        <f t="shared" si="587"/>
        <v>72.315454545454543</v>
      </c>
      <c r="AI178" s="54">
        <f t="shared" si="587"/>
        <v>55.49355555555556</v>
      </c>
      <c r="AJ178" s="54">
        <f t="shared" si="587"/>
        <v>41.558588235294117</v>
      </c>
      <c r="AK178" s="54">
        <f t="shared" si="587"/>
        <v>38.601750000000003</v>
      </c>
      <c r="AL178" s="54">
        <f t="shared" si="587"/>
        <v>47.891636363636366</v>
      </c>
      <c r="AM178" s="54">
        <f t="shared" si="587"/>
        <v>38.525199999999998</v>
      </c>
      <c r="AN178" s="54">
        <f t="shared" si="587"/>
        <v>32.866666666666667</v>
      </c>
      <c r="AO178" s="54">
        <f t="shared" si="587"/>
        <v>34.74</v>
      </c>
      <c r="AP178" s="54">
        <f t="shared" si="587"/>
        <v>46.951999999999998</v>
      </c>
      <c r="AQ178" s="54">
        <f t="shared" si="587"/>
        <v>56.4696</v>
      </c>
      <c r="AR178" s="54">
        <f t="shared" si="587"/>
        <v>77.345066666666668</v>
      </c>
      <c r="AS178" s="54">
        <f t="shared" si="587"/>
        <v>72.488199999999992</v>
      </c>
      <c r="AT178" s="54">
        <f t="shared" ref="AT178" si="588">AT149*4/AT$177</f>
        <v>73.936727272727268</v>
      </c>
      <c r="AU178" s="54">
        <f t="shared" si="587"/>
        <v>67.113817213842054</v>
      </c>
      <c r="AV178" s="54">
        <f t="shared" si="587"/>
        <v>68.973782698579583</v>
      </c>
      <c r="AW178" s="54">
        <f t="shared" si="587"/>
        <v>72.571884536967033</v>
      </c>
      <c r="AX178" s="54">
        <f t="shared" si="587"/>
        <v>74.164434225417139</v>
      </c>
      <c r="AY178" s="54">
        <f t="shared" si="587"/>
        <v>74.295466794719999</v>
      </c>
      <c r="AZ178" s="54">
        <f t="shared" si="587"/>
        <v>74.417462635105409</v>
      </c>
      <c r="BA178" s="54">
        <f t="shared" si="587"/>
        <v>74.415526443057999</v>
      </c>
      <c r="BB178" s="54">
        <f t="shared" si="587"/>
        <v>74.522333309396743</v>
      </c>
      <c r="BC178" s="54">
        <f t="shared" si="587"/>
        <v>75.738479343238865</v>
      </c>
      <c r="BD178" s="54">
        <f t="shared" si="587"/>
        <v>75.738479343238865</v>
      </c>
      <c r="BE178" s="54">
        <f t="shared" si="587"/>
        <v>75.738479343238865</v>
      </c>
      <c r="BF178" s="54">
        <f t="shared" si="587"/>
        <v>75.738479343238865</v>
      </c>
      <c r="BI178">
        <f t="shared" si="466"/>
        <v>171</v>
      </c>
    </row>
    <row r="179" spans="1:67" hidden="1" outlineLevel="2">
      <c r="B179" s="25" t="s">
        <v>136</v>
      </c>
      <c r="D179" s="68">
        <f>D178/C178-1</f>
        <v>0.85568410392145111</v>
      </c>
      <c r="E179" s="68">
        <f t="shared" ref="E179:M179" si="589">E178/D178-1</f>
        <v>-0.13746479184081073</v>
      </c>
      <c r="F179" s="68">
        <f t="shared" si="589"/>
        <v>9.0453193326926362E-2</v>
      </c>
      <c r="G179" s="68">
        <f t="shared" si="589"/>
        <v>0.17410054569054711</v>
      </c>
      <c r="H179" s="68">
        <f t="shared" si="589"/>
        <v>-0.33892527826856822</v>
      </c>
      <c r="I179" s="68">
        <f t="shared" si="589"/>
        <v>-0.17171260647471054</v>
      </c>
      <c r="J179" s="68">
        <f t="shared" si="589"/>
        <v>0.90689676476402958</v>
      </c>
      <c r="K179" s="68">
        <f t="shared" si="589"/>
        <v>-4.5944448006523197E-2</v>
      </c>
      <c r="L179" s="68">
        <f t="shared" si="589"/>
        <v>3.9732341851638653E-2</v>
      </c>
      <c r="M179" s="68">
        <f t="shared" si="589"/>
        <v>1.7765115858934255E-2</v>
      </c>
      <c r="P179" s="68">
        <f>P178/O178-1</f>
        <v>0.10442596416810845</v>
      </c>
      <c r="Q179" s="68">
        <f t="shared" ref="Q179:BF179" si="590">Q178/P178-1</f>
        <v>0.36621521460818007</v>
      </c>
      <c r="R179" s="68">
        <f t="shared" si="590"/>
        <v>0.75295692175254225</v>
      </c>
      <c r="S179" s="68">
        <f t="shared" si="590"/>
        <v>0.14879563140630103</v>
      </c>
      <c r="T179" s="68">
        <f t="shared" si="590"/>
        <v>2.1120103455249506E-2</v>
      </c>
      <c r="U179" s="68">
        <f t="shared" si="590"/>
        <v>3.8538219005012975E-2</v>
      </c>
      <c r="V179" s="68">
        <f t="shared" si="590"/>
        <v>-7.296104172958362E-2</v>
      </c>
      <c r="W179" s="68">
        <f t="shared" si="590"/>
        <v>3.6246777026269772E-3</v>
      </c>
      <c r="X179" s="68">
        <f t="shared" si="590"/>
        <v>-0.24741085651626049</v>
      </c>
      <c r="Y179" s="68">
        <f t="shared" si="590"/>
        <v>7.1697416386099944E-2</v>
      </c>
      <c r="Z179" s="68">
        <f t="shared" si="590"/>
        <v>8.6954307560694666E-2</v>
      </c>
      <c r="AA179" s="68">
        <f t="shared" si="590"/>
        <v>2.2648445352573932E-2</v>
      </c>
      <c r="AB179" s="68">
        <f t="shared" si="590"/>
        <v>0.10148814673819007</v>
      </c>
      <c r="AC179" s="68">
        <f t="shared" si="590"/>
        <v>1.8022936140130286E-2</v>
      </c>
      <c r="AD179" s="68">
        <f t="shared" si="590"/>
        <v>-9.6802194368251104E-2</v>
      </c>
      <c r="AE179" s="68">
        <f t="shared" si="590"/>
        <v>2.6243288612104232E-2</v>
      </c>
      <c r="AF179" s="68">
        <f t="shared" si="590"/>
        <v>0.2009567046816978</v>
      </c>
      <c r="AG179" s="68">
        <f t="shared" si="590"/>
        <v>0.13737168802617283</v>
      </c>
      <c r="AH179" s="68">
        <f t="shared" si="590"/>
        <v>-0.11858981043963779</v>
      </c>
      <c r="AI179" s="68">
        <f t="shared" si="590"/>
        <v>-0.23261831230453545</v>
      </c>
      <c r="AJ179" s="68">
        <f t="shared" si="590"/>
        <v>-0.25110965013425579</v>
      </c>
      <c r="AK179" s="68">
        <f t="shared" si="590"/>
        <v>-7.1148668923815439E-2</v>
      </c>
      <c r="AL179" s="68">
        <f t="shared" si="590"/>
        <v>0.24065972044366801</v>
      </c>
      <c r="AM179" s="68">
        <f t="shared" si="590"/>
        <v>-0.19557561768234355</v>
      </c>
      <c r="AN179" s="68">
        <f t="shared" si="590"/>
        <v>-0.14687875295477582</v>
      </c>
      <c r="AO179" s="68">
        <f t="shared" si="590"/>
        <v>5.6997971602434028E-2</v>
      </c>
      <c r="AP179" s="68">
        <f t="shared" si="590"/>
        <v>0.35152561888313172</v>
      </c>
      <c r="AQ179" s="68">
        <f t="shared" si="590"/>
        <v>0.20270914976997778</v>
      </c>
      <c r="AR179" s="68">
        <f t="shared" si="590"/>
        <v>0.36967619155557441</v>
      </c>
      <c r="AS179" s="68">
        <f t="shared" si="590"/>
        <v>-6.2794782860531639E-2</v>
      </c>
      <c r="AT179" s="68">
        <f t="shared" si="590"/>
        <v>1.9982938915951598E-2</v>
      </c>
      <c r="AU179" s="68">
        <f t="shared" si="590"/>
        <v>-9.2280390417036395E-2</v>
      </c>
      <c r="AV179" s="68">
        <f t="shared" si="590"/>
        <v>2.7713600000000005E-2</v>
      </c>
      <c r="AW179" s="68">
        <f t="shared" si="590"/>
        <v>5.216622458001785E-2</v>
      </c>
      <c r="AX179" s="68">
        <f t="shared" si="590"/>
        <v>2.1944444444444322E-2</v>
      </c>
      <c r="AY179" s="68">
        <f t="shared" si="590"/>
        <v>1.7667844522968323E-3</v>
      </c>
      <c r="AZ179" s="68">
        <f t="shared" si="590"/>
        <v>1.6420361247946325E-3</v>
      </c>
      <c r="BA179" s="68">
        <f t="shared" si="590"/>
        <v>-2.601797990486876E-5</v>
      </c>
      <c r="BB179" s="68">
        <f t="shared" si="590"/>
        <v>1.4352766343790346E-3</v>
      </c>
      <c r="BC179" s="68">
        <f t="shared" si="590"/>
        <v>1.6319215728163083E-2</v>
      </c>
      <c r="BD179" s="68">
        <f t="shared" si="590"/>
        <v>0</v>
      </c>
      <c r="BE179" s="68">
        <f t="shared" si="590"/>
        <v>0</v>
      </c>
      <c r="BF179" s="68">
        <f t="shared" si="590"/>
        <v>0</v>
      </c>
      <c r="BI179">
        <f t="shared" si="466"/>
        <v>172</v>
      </c>
    </row>
    <row r="180" spans="1:67" hidden="1" outlineLevel="2">
      <c r="B180" s="19" t="s">
        <v>274</v>
      </c>
      <c r="C180" s="54">
        <f>C151/C$177</f>
        <v>11.550800000000001</v>
      </c>
      <c r="D180" s="54">
        <f>D151/D$177</f>
        <v>21.877307692307689</v>
      </c>
      <c r="E180" s="54">
        <f t="shared" ref="E180:M180" si="591">E151/E$177</f>
        <v>17.39286666666667</v>
      </c>
      <c r="F180" s="54">
        <f t="shared" si="591"/>
        <v>14.678937499999998</v>
      </c>
      <c r="G180" s="54">
        <f t="shared" si="591"/>
        <v>14.275277777777777</v>
      </c>
      <c r="H180" s="54">
        <f t="shared" si="591"/>
        <v>6.6955333333333336</v>
      </c>
      <c r="I180" s="54">
        <f t="shared" si="591"/>
        <v>2.1646666666666667</v>
      </c>
      <c r="J180" s="54">
        <f t="shared" si="591"/>
        <v>14.592249999999995</v>
      </c>
      <c r="K180" s="54">
        <f t="shared" si="591"/>
        <v>15.301684226255938</v>
      </c>
      <c r="L180" s="54">
        <f t="shared" si="591"/>
        <v>17.115786321919281</v>
      </c>
      <c r="M180" s="54">
        <f t="shared" si="591"/>
        <v>17.41985024894494</v>
      </c>
      <c r="O180" s="54">
        <f>O151*4/O$177</f>
        <v>5.847999999999999</v>
      </c>
      <c r="P180" s="54">
        <f t="shared" ref="P180:BF180" si="592">P151*4/P$177</f>
        <v>6.9595999999999973</v>
      </c>
      <c r="Q180" s="54">
        <f t="shared" si="592"/>
        <v>11.919599999999999</v>
      </c>
      <c r="R180" s="54">
        <f t="shared" si="592"/>
        <v>19.523636363636367</v>
      </c>
      <c r="S180" s="54">
        <f t="shared" si="592"/>
        <v>22.212363636363634</v>
      </c>
      <c r="T180" s="54">
        <f t="shared" si="592"/>
        <v>23.754999999999995</v>
      </c>
      <c r="U180" s="54">
        <f t="shared" si="592"/>
        <v>23.257538461538459</v>
      </c>
      <c r="V180" s="54">
        <f t="shared" si="592"/>
        <v>20.391733333333331</v>
      </c>
      <c r="W180" s="54">
        <f t="shared" si="592"/>
        <v>19.964000000000002</v>
      </c>
      <c r="X180" s="54">
        <f t="shared" si="592"/>
        <v>16.028705882352945</v>
      </c>
      <c r="Y180" s="54">
        <f t="shared" si="592"/>
        <v>15.092571428571423</v>
      </c>
      <c r="Z180" s="54">
        <f t="shared" si="592"/>
        <v>17.355200000000007</v>
      </c>
      <c r="AA180" s="54">
        <f t="shared" si="592"/>
        <v>15.750999999999998</v>
      </c>
      <c r="AB180" s="54">
        <f t="shared" si="592"/>
        <v>16.585000000000001</v>
      </c>
      <c r="AC180" s="54">
        <f t="shared" si="592"/>
        <v>13.789749999999998</v>
      </c>
      <c r="AD180" s="54">
        <f t="shared" si="592"/>
        <v>12.589999999999996</v>
      </c>
      <c r="AE180" s="54">
        <f t="shared" si="592"/>
        <v>10.113250000000001</v>
      </c>
      <c r="AF180" s="54">
        <f t="shared" si="592"/>
        <v>15.2</v>
      </c>
      <c r="AG180" s="54">
        <f t="shared" si="592"/>
        <v>15.92376470588235</v>
      </c>
      <c r="AH180" s="54">
        <f t="shared" si="592"/>
        <v>15.313818181818181</v>
      </c>
      <c r="AI180" s="54">
        <f t="shared" si="592"/>
        <v>8.2213333333333356</v>
      </c>
      <c r="AJ180" s="54">
        <f t="shared" si="592"/>
        <v>7.9689411764705866</v>
      </c>
      <c r="AK180" s="54">
        <f t="shared" si="592"/>
        <v>3.9525000000000006</v>
      </c>
      <c r="AL180" s="54">
        <f t="shared" si="592"/>
        <v>5.0032727272727273</v>
      </c>
      <c r="AM180" s="54">
        <f t="shared" si="592"/>
        <v>3.4</v>
      </c>
      <c r="AN180" s="54">
        <f t="shared" si="592"/>
        <v>1.9573333333333318</v>
      </c>
      <c r="AO180" s="54">
        <f t="shared" si="592"/>
        <v>0.41955555555555674</v>
      </c>
      <c r="AP180" s="54">
        <f t="shared" si="592"/>
        <v>2.504</v>
      </c>
      <c r="AQ180" s="54">
        <f t="shared" si="592"/>
        <v>8.8643999999999998</v>
      </c>
      <c r="AR180" s="54">
        <f t="shared" si="592"/>
        <v>14.971733333333328</v>
      </c>
      <c r="AS180" s="54">
        <f t="shared" si="592"/>
        <v>14.425199999999995</v>
      </c>
      <c r="AT180" s="54">
        <f t="shared" ref="AT180" si="593">AT151*4/AT$177</f>
        <v>15.099090909090902</v>
      </c>
      <c r="AU180" s="54">
        <f t="shared" si="592"/>
        <v>13.087194356699202</v>
      </c>
      <c r="AV180" s="54">
        <f t="shared" si="592"/>
        <v>14.139625453208815</v>
      </c>
      <c r="AW180" s="54">
        <f t="shared" si="592"/>
        <v>15.965814598132747</v>
      </c>
      <c r="AX180" s="54">
        <f t="shared" si="592"/>
        <v>17.057819871845943</v>
      </c>
      <c r="AY180" s="54">
        <f t="shared" si="592"/>
        <v>17.087957362785598</v>
      </c>
      <c r="AZ180" s="54">
        <f t="shared" si="592"/>
        <v>17.116016406074245</v>
      </c>
      <c r="BA180" s="54">
        <f t="shared" si="592"/>
        <v>17.11557108190334</v>
      </c>
      <c r="BB180" s="54">
        <f t="shared" si="592"/>
        <v>17.14013666116125</v>
      </c>
      <c r="BC180" s="54">
        <f t="shared" si="592"/>
        <v>17.41985024894494</v>
      </c>
      <c r="BD180" s="54">
        <f t="shared" si="592"/>
        <v>17.41985024894494</v>
      </c>
      <c r="BE180" s="54">
        <f t="shared" si="592"/>
        <v>17.41985024894494</v>
      </c>
      <c r="BF180" s="54">
        <f t="shared" si="592"/>
        <v>17.41985024894494</v>
      </c>
      <c r="BI180">
        <f t="shared" si="466"/>
        <v>173</v>
      </c>
    </row>
    <row r="181" spans="1:67" hidden="1" outlineLevel="2">
      <c r="B181" s="19" t="s">
        <v>275</v>
      </c>
      <c r="C181" s="54">
        <f>C153/C$177</f>
        <v>10.511799999999999</v>
      </c>
      <c r="D181" s="54">
        <f>D153/D$177</f>
        <v>20.516846153846149</v>
      </c>
      <c r="E181" s="54">
        <f t="shared" ref="E181:M181" si="594">E153/E$177</f>
        <v>16.257360000000002</v>
      </c>
      <c r="F181" s="54">
        <f t="shared" si="594"/>
        <v>13.573</v>
      </c>
      <c r="G181" s="54">
        <f t="shared" si="594"/>
        <v>13.148666666666665</v>
      </c>
      <c r="H181" s="54">
        <f t="shared" si="594"/>
        <v>5.6076666666666659</v>
      </c>
      <c r="I181" s="54">
        <f t="shared" si="594"/>
        <v>0.91599999999999993</v>
      </c>
      <c r="J181" s="54">
        <f t="shared" si="594"/>
        <v>13.689624999999996</v>
      </c>
      <c r="K181" s="54">
        <f t="shared" si="594"/>
        <v>14.704789867459398</v>
      </c>
      <c r="L181" s="54">
        <f t="shared" si="594"/>
        <v>16.577371613515982</v>
      </c>
      <c r="M181" s="54">
        <f t="shared" si="594"/>
        <v>16.873477690389237</v>
      </c>
      <c r="O181" s="54">
        <f>O153*4/O$177</f>
        <v>4.831599999999999</v>
      </c>
      <c r="P181" s="54">
        <f t="shared" ref="P181:BF181" si="595">P153*4/P$177</f>
        <v>5.8375999999999975</v>
      </c>
      <c r="Q181" s="54">
        <f t="shared" si="595"/>
        <v>10.852399999999999</v>
      </c>
      <c r="R181" s="54">
        <f t="shared" si="595"/>
        <v>18.65963636363637</v>
      </c>
      <c r="S181" s="54">
        <f t="shared" si="595"/>
        <v>20.634545454545449</v>
      </c>
      <c r="T181" s="54">
        <f t="shared" si="595"/>
        <v>22.269666666666662</v>
      </c>
      <c r="U181" s="54">
        <f t="shared" si="595"/>
        <v>21.886769230769229</v>
      </c>
      <c r="V181" s="54">
        <f t="shared" si="595"/>
        <v>19.208799999999997</v>
      </c>
      <c r="W181" s="54">
        <f t="shared" si="595"/>
        <v>18.824000000000002</v>
      </c>
      <c r="X181" s="54">
        <f t="shared" si="595"/>
        <v>15.006588235294121</v>
      </c>
      <c r="Y181" s="54">
        <f t="shared" si="595"/>
        <v>13.895142857142853</v>
      </c>
      <c r="Z181" s="54">
        <f t="shared" si="595"/>
        <v>16.229173333333339</v>
      </c>
      <c r="AA181" s="54">
        <f t="shared" si="595"/>
        <v>14.687749999999998</v>
      </c>
      <c r="AB181" s="54">
        <f t="shared" si="595"/>
        <v>15.510750000000002</v>
      </c>
      <c r="AC181" s="54">
        <f t="shared" si="595"/>
        <v>12.669249999999998</v>
      </c>
      <c r="AD181" s="54">
        <f t="shared" si="595"/>
        <v>11.424249999999997</v>
      </c>
      <c r="AE181" s="54">
        <f t="shared" si="595"/>
        <v>8.8962500000000002</v>
      </c>
      <c r="AF181" s="54">
        <f t="shared" si="595"/>
        <v>14.007764705882352</v>
      </c>
      <c r="AG181" s="54">
        <f t="shared" si="595"/>
        <v>14.775294117647055</v>
      </c>
      <c r="AH181" s="54">
        <f t="shared" si="595"/>
        <v>14.320545454545455</v>
      </c>
      <c r="AI181" s="54">
        <f t="shared" si="595"/>
        <v>7.0895555555555578</v>
      </c>
      <c r="AJ181" s="54">
        <f t="shared" si="595"/>
        <v>6.9451764705882342</v>
      </c>
      <c r="AK181" s="54">
        <f t="shared" si="595"/>
        <v>2.9477500000000005</v>
      </c>
      <c r="AL181" s="54">
        <f t="shared" si="595"/>
        <v>3.9650909090909092</v>
      </c>
      <c r="AM181" s="54">
        <f t="shared" si="595"/>
        <v>2.2444000000000002</v>
      </c>
      <c r="AN181" s="54">
        <f t="shared" si="595"/>
        <v>0.6111111111111095</v>
      </c>
      <c r="AO181" s="54">
        <f t="shared" si="595"/>
        <v>-0.88088888888888783</v>
      </c>
      <c r="AP181" s="54">
        <f t="shared" si="595"/>
        <v>1.4400000000000002</v>
      </c>
      <c r="AQ181" s="54">
        <f t="shared" si="595"/>
        <v>7.7436000000000007</v>
      </c>
      <c r="AR181" s="54">
        <f t="shared" si="595"/>
        <v>13.98426666666666</v>
      </c>
      <c r="AS181" s="54">
        <f t="shared" si="595"/>
        <v>13.622999999999996</v>
      </c>
      <c r="AT181" s="54">
        <f t="shared" ref="AT181" si="596">AT153*4/AT$177</f>
        <v>14.385272727272719</v>
      </c>
      <c r="AU181" s="54">
        <f t="shared" si="595"/>
        <v>12.457538925049032</v>
      </c>
      <c r="AV181" s="54">
        <f t="shared" si="595"/>
        <v>13.548756796148295</v>
      </c>
      <c r="AW181" s="54">
        <f t="shared" si="595"/>
        <v>15.386308799861855</v>
      </c>
      <c r="AX181" s="54">
        <f t="shared" si="595"/>
        <v>16.488616398877642</v>
      </c>
      <c r="AY181" s="54">
        <f t="shared" si="595"/>
        <v>16.528105089730349</v>
      </c>
      <c r="AZ181" s="54">
        <f t="shared" si="595"/>
        <v>16.564658443368799</v>
      </c>
      <c r="BA181" s="54">
        <f t="shared" si="595"/>
        <v>16.589468871037951</v>
      </c>
      <c r="BB181" s="54">
        <f t="shared" si="595"/>
        <v>16.620281914049887</v>
      </c>
      <c r="BC181" s="54">
        <f t="shared" si="595"/>
        <v>16.889598406891349</v>
      </c>
      <c r="BD181" s="54">
        <f t="shared" si="595"/>
        <v>16.878993370050278</v>
      </c>
      <c r="BE181" s="54">
        <f t="shared" si="595"/>
        <v>16.868176232472383</v>
      </c>
      <c r="BF181" s="54">
        <f t="shared" si="595"/>
        <v>16.857142752142934</v>
      </c>
      <c r="BI181">
        <f t="shared" si="466"/>
        <v>174</v>
      </c>
    </row>
    <row r="182" spans="1:67" s="91" customFormat="1" hidden="1" outlineLevel="2">
      <c r="A182" s="88"/>
      <c r="B182" s="92" t="s">
        <v>276</v>
      </c>
      <c r="C182" s="87">
        <f>C173/C$177</f>
        <v>7.0985097883533497</v>
      </c>
      <c r="D182" s="87">
        <f>D173/D$177</f>
        <v>16.75594883387059</v>
      </c>
      <c r="E182" s="87">
        <f t="shared" ref="E182:M182" si="597">E173/E$177</f>
        <v>12.231040289428011</v>
      </c>
      <c r="F182" s="87">
        <f t="shared" si="597"/>
        <v>8.8298075801316305</v>
      </c>
      <c r="G182" s="87">
        <f t="shared" si="597"/>
        <v>8.4279443584686646</v>
      </c>
      <c r="H182" s="87">
        <f t="shared" si="597"/>
        <v>0.43727486794903403</v>
      </c>
      <c r="I182" s="87">
        <f t="shared" si="597"/>
        <v>-5.7371850493780592</v>
      </c>
      <c r="J182" s="87">
        <f t="shared" si="597"/>
        <v>5.615095355739899</v>
      </c>
      <c r="K182" s="87">
        <f t="shared" si="597"/>
        <v>6.304606467734259</v>
      </c>
      <c r="L182" s="87">
        <f t="shared" si="597"/>
        <v>8.4166028357722578</v>
      </c>
      <c r="M182" s="87">
        <f t="shared" si="597"/>
        <v>8.6001962207416689</v>
      </c>
      <c r="O182" s="87">
        <f>O173*4/O$177</f>
        <v>1.708239714578162</v>
      </c>
      <c r="P182" s="87">
        <f t="shared" ref="P182:BF182" si="598">P173*4/P$177</f>
        <v>2.5964041903372053</v>
      </c>
      <c r="Q182" s="87">
        <f t="shared" si="598"/>
        <v>7.4164904323897503</v>
      </c>
      <c r="R182" s="87">
        <f t="shared" si="598"/>
        <v>15.157186196462073</v>
      </c>
      <c r="S182" s="87">
        <f t="shared" si="598"/>
        <v>16.742283174214165</v>
      </c>
      <c r="T182" s="87">
        <f t="shared" si="598"/>
        <v>18.296775244529467</v>
      </c>
      <c r="U182" s="87">
        <f t="shared" si="598"/>
        <v>18.013224640184369</v>
      </c>
      <c r="V182" s="87">
        <f t="shared" si="598"/>
        <v>15.560733412544312</v>
      </c>
      <c r="W182" s="87">
        <f t="shared" si="598"/>
        <v>14.955799843325678</v>
      </c>
      <c r="X182" s="87">
        <f t="shared" si="598"/>
        <v>11.206788994536964</v>
      </c>
      <c r="Y182" s="87">
        <f t="shared" si="598"/>
        <v>9.770751219254505</v>
      </c>
      <c r="Z182" s="87">
        <f t="shared" si="598"/>
        <v>12.147965982606927</v>
      </c>
      <c r="AA182" s="87">
        <f t="shared" si="598"/>
        <v>10.130456474293478</v>
      </c>
      <c r="AB182" s="87">
        <f t="shared" si="598"/>
        <v>10.759473194757902</v>
      </c>
      <c r="AC182" s="87">
        <f t="shared" si="598"/>
        <v>7.7048840272310395</v>
      </c>
      <c r="AD182" s="87">
        <f t="shared" si="598"/>
        <v>6.7244166242441041</v>
      </c>
      <c r="AE182" s="87">
        <f t="shared" si="598"/>
        <v>4.1520300014155787</v>
      </c>
      <c r="AF182" s="87">
        <f t="shared" si="598"/>
        <v>9.2857856092875277</v>
      </c>
      <c r="AG182" s="87">
        <f t="shared" si="598"/>
        <v>10.039090885465139</v>
      </c>
      <c r="AH182" s="87">
        <f t="shared" si="598"/>
        <v>9.6298460625590554</v>
      </c>
      <c r="AI182" s="87">
        <f t="shared" si="598"/>
        <v>2.2752598555168708</v>
      </c>
      <c r="AJ182" s="87">
        <f t="shared" si="598"/>
        <v>2.1229479366067059</v>
      </c>
      <c r="AK182" s="87">
        <f t="shared" si="598"/>
        <v>-1.9420466453625385</v>
      </c>
      <c r="AL182" s="87">
        <f t="shared" si="598"/>
        <v>-1.7941412653522746</v>
      </c>
      <c r="AM182" s="87">
        <f t="shared" si="598"/>
        <v>-4.1113795949445402</v>
      </c>
      <c r="AN182" s="87">
        <f t="shared" si="598"/>
        <v>-5.7600678380940273</v>
      </c>
      <c r="AO182" s="87">
        <f t="shared" si="598"/>
        <v>-7.1575324871297044</v>
      </c>
      <c r="AP182" s="87">
        <f t="shared" si="598"/>
        <v>-5.4629403223501276</v>
      </c>
      <c r="AQ182" s="87">
        <f t="shared" si="598"/>
        <v>-0.18845986335708886</v>
      </c>
      <c r="AR182" s="87">
        <f t="shared" si="598"/>
        <v>6.2382333836338058</v>
      </c>
      <c r="AS182" s="87">
        <f t="shared" si="598"/>
        <v>6.0007019032422377</v>
      </c>
      <c r="AT182" s="87">
        <f t="shared" ref="AT182" si="599">AT173*4/AT$177</f>
        <v>6.711961935526026</v>
      </c>
      <c r="AU182" s="87">
        <f t="shared" si="598"/>
        <v>3.8788856287621489</v>
      </c>
      <c r="AV182" s="87">
        <f t="shared" si="598"/>
        <v>5.3130096913848615</v>
      </c>
      <c r="AW182" s="87">
        <f t="shared" si="598"/>
        <v>7.1389888149024854</v>
      </c>
      <c r="AX182" s="87">
        <f t="shared" si="598"/>
        <v>8.2521231792522336</v>
      </c>
      <c r="AY182" s="87">
        <f t="shared" si="598"/>
        <v>8.3056186496257673</v>
      </c>
      <c r="AZ182" s="87">
        <f t="shared" si="598"/>
        <v>8.3772454221198647</v>
      </c>
      <c r="BA182" s="87">
        <f t="shared" si="598"/>
        <v>8.463024932275971</v>
      </c>
      <c r="BB182" s="87">
        <f t="shared" si="598"/>
        <v>8.5044102487849411</v>
      </c>
      <c r="BC182" s="87">
        <f t="shared" si="598"/>
        <v>8.640935172273144</v>
      </c>
      <c r="BD182" s="87">
        <f t="shared" si="598"/>
        <v>8.6115605580802388</v>
      </c>
      <c r="BE182" s="87">
        <f t="shared" si="598"/>
        <v>8.588982533148263</v>
      </c>
      <c r="BF182" s="87">
        <f t="shared" si="598"/>
        <v>8.5593066194650334</v>
      </c>
      <c r="BI182">
        <f t="shared" si="466"/>
        <v>175</v>
      </c>
      <c r="BJ182"/>
      <c r="BK182"/>
      <c r="BL182"/>
      <c r="BM182"/>
      <c r="BN182"/>
      <c r="BO182"/>
    </row>
    <row r="183" spans="1:67" hidden="1" outlineLevel="2">
      <c r="B183" s="19" t="s">
        <v>277</v>
      </c>
      <c r="C183" s="54">
        <f>C155/C$177</f>
        <v>6.4394000000000009</v>
      </c>
      <c r="D183" s="54">
        <f>D155/D$177</f>
        <v>14.879999999999995</v>
      </c>
      <c r="E183" s="54">
        <f t="shared" ref="E183:M183" si="600">E155/E$177</f>
        <v>8.8532266666666679</v>
      </c>
      <c r="F183" s="54">
        <f t="shared" si="600"/>
        <v>5.5721874999999983</v>
      </c>
      <c r="G183" s="54">
        <f t="shared" si="600"/>
        <v>4.9489444444444439</v>
      </c>
      <c r="H183" s="54">
        <f t="shared" si="600"/>
        <v>-7.225933333333332</v>
      </c>
      <c r="I183" s="54">
        <f t="shared" si="600"/>
        <v>-19.62533333333333</v>
      </c>
      <c r="J183" s="54">
        <f t="shared" si="600"/>
        <v>1.3142499999999946</v>
      </c>
      <c r="K183" s="54">
        <f t="shared" si="600"/>
        <v>5.8533127982987274</v>
      </c>
      <c r="L183" s="54">
        <f t="shared" si="600"/>
        <v>8.8903027962653542</v>
      </c>
      <c r="M183" s="54">
        <f t="shared" si="600"/>
        <v>9.6082714031033536</v>
      </c>
      <c r="O183" s="54">
        <f>O155*4/O$177</f>
        <v>1.7907999999999986</v>
      </c>
      <c r="P183" s="54">
        <f t="shared" ref="P183:BF183" si="601">P155*4/P$177</f>
        <v>2.6823999999999977</v>
      </c>
      <c r="Q183" s="54">
        <f t="shared" si="601"/>
        <v>7.0343999999999998</v>
      </c>
      <c r="R183" s="54">
        <f t="shared" si="601"/>
        <v>12.95454545454546</v>
      </c>
      <c r="S183" s="54">
        <f t="shared" si="601"/>
        <v>15.04654545454545</v>
      </c>
      <c r="T183" s="54">
        <f t="shared" si="601"/>
        <v>16.779999999999994</v>
      </c>
      <c r="U183" s="54">
        <f t="shared" si="601"/>
        <v>15.515692307692303</v>
      </c>
      <c r="V183" s="54">
        <f t="shared" si="601"/>
        <v>13.678933333333331</v>
      </c>
      <c r="W183" s="54">
        <f t="shared" si="601"/>
        <v>12.476533333333334</v>
      </c>
      <c r="X183" s="54">
        <f t="shared" si="601"/>
        <v>8.6696470588235339</v>
      </c>
      <c r="Y183" s="54">
        <f t="shared" si="601"/>
        <v>4.288285714285708</v>
      </c>
      <c r="Z183" s="54">
        <f t="shared" si="601"/>
        <v>9.1083733333333381</v>
      </c>
      <c r="AA183" s="54">
        <f t="shared" si="601"/>
        <v>7.1287499999999975</v>
      </c>
      <c r="AB183" s="54">
        <f t="shared" si="601"/>
        <v>7.5635000000000012</v>
      </c>
      <c r="AC183" s="54">
        <f t="shared" si="601"/>
        <v>4.7219999999999978</v>
      </c>
      <c r="AD183" s="54">
        <f t="shared" si="601"/>
        <v>2.8744999999999976</v>
      </c>
      <c r="AE183" s="54">
        <f t="shared" si="601"/>
        <v>0.38574999999999982</v>
      </c>
      <c r="AF183" s="54">
        <f t="shared" si="601"/>
        <v>5.8611764705882345</v>
      </c>
      <c r="AG183" s="54">
        <f t="shared" si="601"/>
        <v>5.9312941176470551</v>
      </c>
      <c r="AH183" s="54">
        <f t="shared" si="601"/>
        <v>6.8036363636363637</v>
      </c>
      <c r="AI183" s="54">
        <f t="shared" si="601"/>
        <v>-3.3368888888888861</v>
      </c>
      <c r="AJ183" s="54">
        <f t="shared" si="601"/>
        <v>-4.4103529411764724</v>
      </c>
      <c r="AK183" s="54">
        <f t="shared" si="601"/>
        <v>-9.2137499999999992</v>
      </c>
      <c r="AL183" s="54">
        <f t="shared" si="601"/>
        <v>-13.736000000000001</v>
      </c>
      <c r="AM183" s="54">
        <f t="shared" si="601"/>
        <v>-17.583600000000001</v>
      </c>
      <c r="AN183" s="54">
        <f t="shared" si="601"/>
        <v>-20.455555555555559</v>
      </c>
      <c r="AO183" s="54">
        <f t="shared" si="601"/>
        <v>-20.697333333333333</v>
      </c>
      <c r="AP183" s="54">
        <f t="shared" si="601"/>
        <v>-17.81111111111111</v>
      </c>
      <c r="AQ183" s="54">
        <f t="shared" si="601"/>
        <v>-9.1563999999999997</v>
      </c>
      <c r="AR183" s="54">
        <f t="shared" si="601"/>
        <v>1.2362666666666597</v>
      </c>
      <c r="AS183" s="54">
        <f t="shared" si="601"/>
        <v>3.3681999999999959</v>
      </c>
      <c r="AT183" s="54">
        <f t="shared" ref="AT183" si="602">AT155*4/AT$177</f>
        <v>4.0803636363636286</v>
      </c>
      <c r="AU183" s="54">
        <f t="shared" si="601"/>
        <v>2.8879439333862411</v>
      </c>
      <c r="AV183" s="54">
        <f t="shared" si="601"/>
        <v>4.7151129540718442</v>
      </c>
      <c r="AW183" s="54">
        <f t="shared" si="601"/>
        <v>6.8610641081244701</v>
      </c>
      <c r="AX183" s="54">
        <f t="shared" si="601"/>
        <v>8.2460399518132181</v>
      </c>
      <c r="AY183" s="54">
        <f t="shared" si="601"/>
        <v>8.4463656299334566</v>
      </c>
      <c r="AZ183" s="54">
        <f t="shared" si="601"/>
        <v>8.6805989199910893</v>
      </c>
      <c r="BA183" s="54">
        <f t="shared" si="601"/>
        <v>9.139664699220436</v>
      </c>
      <c r="BB183" s="54">
        <f t="shared" si="601"/>
        <v>9.2272226111915785</v>
      </c>
      <c r="BC183" s="54">
        <f t="shared" si="601"/>
        <v>9.4910482097361886</v>
      </c>
      <c r="BD183" s="54">
        <f t="shared" si="601"/>
        <v>9.5732848640100645</v>
      </c>
      <c r="BE183" s="54">
        <f t="shared" si="601"/>
        <v>9.6495254613009962</v>
      </c>
      <c r="BF183" s="54">
        <f t="shared" si="601"/>
        <v>9.7192270773661633</v>
      </c>
      <c r="BI183">
        <f t="shared" si="466"/>
        <v>176</v>
      </c>
    </row>
    <row r="184" spans="1:67" hidden="1" outlineLevel="2">
      <c r="BI184">
        <f t="shared" si="466"/>
        <v>177</v>
      </c>
    </row>
    <row r="185" spans="1:67" hidden="1" outlineLevel="2">
      <c r="BI185">
        <f t="shared" si="466"/>
        <v>178</v>
      </c>
    </row>
    <row r="186" spans="1:67" outlineLevel="1" collapsed="1">
      <c r="A186" s="11" t="s">
        <v>65</v>
      </c>
      <c r="B186" s="10" t="s">
        <v>317</v>
      </c>
      <c r="BI186">
        <f t="shared" si="466"/>
        <v>179</v>
      </c>
    </row>
    <row r="187" spans="1:67" hidden="1" outlineLevel="2">
      <c r="B187" s="24" t="s">
        <v>143</v>
      </c>
      <c r="BI187">
        <f t="shared" si="466"/>
        <v>180</v>
      </c>
    </row>
    <row r="188" spans="1:67" hidden="1" outlineLevel="2">
      <c r="B188" s="19" t="s">
        <v>114</v>
      </c>
      <c r="C188" s="59"/>
      <c r="D188" s="59"/>
      <c r="E188" s="59"/>
      <c r="F188" s="59"/>
      <c r="G188" s="59"/>
      <c r="H188" s="59"/>
      <c r="I188" s="59"/>
      <c r="J188" s="54">
        <f t="shared" ref="J188:M194" si="603">SUMIFS($O188:$BG188,$O$5:$BG$5,J$5)</f>
        <v>45.58</v>
      </c>
      <c r="K188" s="54">
        <f t="shared" si="603"/>
        <v>202.575875</v>
      </c>
      <c r="L188" s="54">
        <f t="shared" si="603"/>
        <v>246.23224216171877</v>
      </c>
      <c r="M188" s="54">
        <f t="shared" si="603"/>
        <v>299.29682929908279</v>
      </c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94">
        <v>45.58</v>
      </c>
      <c r="AU188" s="54">
        <f t="shared" ref="AU188:BF188" si="604">AU14</f>
        <v>47</v>
      </c>
      <c r="AV188" s="54">
        <f t="shared" si="604"/>
        <v>49.35</v>
      </c>
      <c r="AW188" s="54">
        <f t="shared" si="604"/>
        <v>51.817500000000003</v>
      </c>
      <c r="AX188" s="54">
        <f t="shared" si="604"/>
        <v>54.408375000000007</v>
      </c>
      <c r="AY188" s="54">
        <f t="shared" si="604"/>
        <v>57.128793750000007</v>
      </c>
      <c r="AZ188" s="54">
        <f t="shared" si="604"/>
        <v>59.985233437500007</v>
      </c>
      <c r="BA188" s="54">
        <f t="shared" si="604"/>
        <v>62.984495109375011</v>
      </c>
      <c r="BB188" s="54">
        <f t="shared" si="604"/>
        <v>66.133719864843769</v>
      </c>
      <c r="BC188" s="54">
        <f t="shared" si="604"/>
        <v>69.440405858085967</v>
      </c>
      <c r="BD188" s="54">
        <f t="shared" si="604"/>
        <v>72.912426150990271</v>
      </c>
      <c r="BE188" s="54">
        <f t="shared" si="604"/>
        <v>76.558047458539789</v>
      </c>
      <c r="BF188" s="54">
        <f t="shared" si="604"/>
        <v>80.385949831466789</v>
      </c>
      <c r="BI188">
        <f t="shared" si="466"/>
        <v>181</v>
      </c>
    </row>
    <row r="189" spans="1:67" hidden="1" outlineLevel="2">
      <c r="B189" s="25" t="s">
        <v>115</v>
      </c>
      <c r="C189" s="59"/>
      <c r="D189" s="59"/>
      <c r="E189" s="59"/>
      <c r="F189" s="59"/>
      <c r="G189" s="59"/>
      <c r="H189" s="59"/>
      <c r="I189" s="59"/>
      <c r="J189" s="54">
        <f t="shared" si="603"/>
        <v>-32.171999999999997</v>
      </c>
      <c r="K189" s="54">
        <f t="shared" si="603"/>
        <v>-143.23661250000001</v>
      </c>
      <c r="L189" s="54">
        <f t="shared" si="603"/>
        <v>-172.36256951320314</v>
      </c>
      <c r="M189" s="54">
        <f t="shared" si="603"/>
        <v>-209.50778050935799</v>
      </c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94">
        <v>-32.171999999999997</v>
      </c>
      <c r="AU189" s="54">
        <f t="shared" ref="AU189:BF189" si="605">AU21</f>
        <v>-33.839999999999996</v>
      </c>
      <c r="AV189" s="54">
        <f t="shared" si="605"/>
        <v>-35.038499999999999</v>
      </c>
      <c r="AW189" s="54">
        <f t="shared" si="605"/>
        <v>-36.27225</v>
      </c>
      <c r="AX189" s="54">
        <f t="shared" si="605"/>
        <v>-38.085862500000005</v>
      </c>
      <c r="AY189" s="54">
        <f t="shared" si="605"/>
        <v>-39.990155625000007</v>
      </c>
      <c r="AZ189" s="54">
        <f t="shared" si="605"/>
        <v>-41.989663406250003</v>
      </c>
      <c r="BA189" s="54">
        <f t="shared" si="605"/>
        <v>-44.089146576562513</v>
      </c>
      <c r="BB189" s="54">
        <f t="shared" si="605"/>
        <v>-46.29360390539064</v>
      </c>
      <c r="BC189" s="54">
        <f t="shared" si="605"/>
        <v>-48.608284100660178</v>
      </c>
      <c r="BD189" s="54">
        <f t="shared" si="605"/>
        <v>-51.038698305693188</v>
      </c>
      <c r="BE189" s="54">
        <f t="shared" si="605"/>
        <v>-53.59063322097785</v>
      </c>
      <c r="BF189" s="54">
        <f t="shared" si="605"/>
        <v>-56.270164882026748</v>
      </c>
      <c r="BI189">
        <f t="shared" si="466"/>
        <v>182</v>
      </c>
    </row>
    <row r="190" spans="1:67" hidden="1" outlineLevel="2">
      <c r="B190" s="19" t="s">
        <v>116</v>
      </c>
      <c r="C190" s="59"/>
      <c r="D190" s="59"/>
      <c r="E190" s="59"/>
      <c r="F190" s="59"/>
      <c r="G190" s="59"/>
      <c r="H190" s="59"/>
      <c r="I190" s="59"/>
      <c r="J190" s="54">
        <f t="shared" si="603"/>
        <v>13.408000000000001</v>
      </c>
      <c r="K190" s="54">
        <f t="shared" si="603"/>
        <v>59.339262500000011</v>
      </c>
      <c r="L190" s="54">
        <f t="shared" si="603"/>
        <v>73.869672648515632</v>
      </c>
      <c r="M190" s="54">
        <f t="shared" si="603"/>
        <v>89.789048789724859</v>
      </c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87">
        <f>+AT188+AT189</f>
        <v>13.408000000000001</v>
      </c>
      <c r="AU190" s="54">
        <f t="shared" ref="AU190:BF190" si="606">+AU188+AU189</f>
        <v>13.160000000000004</v>
      </c>
      <c r="AV190" s="54">
        <f t="shared" si="606"/>
        <v>14.311500000000002</v>
      </c>
      <c r="AW190" s="54">
        <f t="shared" si="606"/>
        <v>15.545250000000003</v>
      </c>
      <c r="AX190" s="54">
        <f t="shared" si="606"/>
        <v>16.322512500000002</v>
      </c>
      <c r="AY190" s="54">
        <f t="shared" si="606"/>
        <v>17.138638125</v>
      </c>
      <c r="AZ190" s="54">
        <f t="shared" si="606"/>
        <v>17.995570031250004</v>
      </c>
      <c r="BA190" s="54">
        <f t="shared" si="606"/>
        <v>18.895348532812498</v>
      </c>
      <c r="BB190" s="54">
        <f t="shared" si="606"/>
        <v>19.840115959453129</v>
      </c>
      <c r="BC190" s="54">
        <f t="shared" si="606"/>
        <v>20.832121757425789</v>
      </c>
      <c r="BD190" s="54">
        <f t="shared" si="606"/>
        <v>21.873727845297083</v>
      </c>
      <c r="BE190" s="54">
        <f t="shared" si="606"/>
        <v>22.96741423756194</v>
      </c>
      <c r="BF190" s="54">
        <f t="shared" si="606"/>
        <v>24.115784949440041</v>
      </c>
      <c r="BI190">
        <f t="shared" si="466"/>
        <v>183</v>
      </c>
    </row>
    <row r="191" spans="1:67" hidden="1" outlineLevel="2">
      <c r="B191" s="25" t="s">
        <v>55</v>
      </c>
      <c r="C191" s="59"/>
      <c r="D191" s="59"/>
      <c r="E191" s="59"/>
      <c r="F191" s="59"/>
      <c r="G191" s="59"/>
      <c r="H191" s="59"/>
      <c r="I191" s="59"/>
      <c r="J191" s="54">
        <f t="shared" si="603"/>
        <v>-4.0819999999999999</v>
      </c>
      <c r="K191" s="54">
        <f t="shared" si="603"/>
        <v>-15.515300385936596</v>
      </c>
      <c r="L191" s="54">
        <f t="shared" si="603"/>
        <v>-16.794260109798184</v>
      </c>
      <c r="M191" s="54">
        <f t="shared" si="603"/>
        <v>-18.178647246250691</v>
      </c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94">
        <v>-4.0819999999999999</v>
      </c>
      <c r="AU191" s="87">
        <f t="shared" ref="AU191:BF191" si="607">AU230</f>
        <v>-3.7643804034582127</v>
      </c>
      <c r="AV191" s="87">
        <f t="shared" si="607"/>
        <v>-3.8396680115273769</v>
      </c>
      <c r="AW191" s="87">
        <f t="shared" si="607"/>
        <v>-3.9164613717579244</v>
      </c>
      <c r="AX191" s="87">
        <f t="shared" si="607"/>
        <v>-3.9947905991930828</v>
      </c>
      <c r="AY191" s="87">
        <f t="shared" si="607"/>
        <v>-4.0746864111769447</v>
      </c>
      <c r="AZ191" s="87">
        <f t="shared" si="607"/>
        <v>-4.1561801394004831</v>
      </c>
      <c r="BA191" s="87">
        <f t="shared" si="607"/>
        <v>-4.2393037421884934</v>
      </c>
      <c r="BB191" s="87">
        <f t="shared" si="607"/>
        <v>-4.324089817032263</v>
      </c>
      <c r="BC191" s="87">
        <f t="shared" si="607"/>
        <v>-4.4105716133729089</v>
      </c>
      <c r="BD191" s="87">
        <f t="shared" si="607"/>
        <v>-4.4987830456403675</v>
      </c>
      <c r="BE191" s="87">
        <f t="shared" si="607"/>
        <v>-4.5887587065531754</v>
      </c>
      <c r="BF191" s="87">
        <f t="shared" si="607"/>
        <v>-4.6805338806842389</v>
      </c>
      <c r="BI191">
        <f t="shared" si="466"/>
        <v>184</v>
      </c>
    </row>
    <row r="192" spans="1:67" hidden="1" outlineLevel="2">
      <c r="B192" s="19" t="s">
        <v>56</v>
      </c>
      <c r="C192" s="59"/>
      <c r="D192" s="59"/>
      <c r="E192" s="59"/>
      <c r="F192" s="59"/>
      <c r="G192" s="59"/>
      <c r="H192" s="59"/>
      <c r="I192" s="59"/>
      <c r="J192" s="54">
        <f t="shared" si="603"/>
        <v>9.3260000000000005</v>
      </c>
      <c r="K192" s="54">
        <f t="shared" si="603"/>
        <v>43.82396211406342</v>
      </c>
      <c r="L192" s="54">
        <f t="shared" si="603"/>
        <v>57.075412538717444</v>
      </c>
      <c r="M192" s="54">
        <f t="shared" si="603"/>
        <v>71.610401543474168</v>
      </c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87">
        <f>+AT190+AT191</f>
        <v>9.3260000000000005</v>
      </c>
      <c r="AU192" s="54">
        <f t="shared" ref="AU192:BF192" si="608">+AU190+AU191</f>
        <v>9.3956195965417919</v>
      </c>
      <c r="AV192" s="54">
        <f t="shared" si="608"/>
        <v>10.471831988472626</v>
      </c>
      <c r="AW192" s="54">
        <f t="shared" si="608"/>
        <v>11.628788628242079</v>
      </c>
      <c r="AX192" s="54">
        <f t="shared" si="608"/>
        <v>12.327721900806919</v>
      </c>
      <c r="AY192" s="54">
        <f t="shared" si="608"/>
        <v>13.063951713823055</v>
      </c>
      <c r="AZ192" s="54">
        <f t="shared" si="608"/>
        <v>13.839389891849521</v>
      </c>
      <c r="BA192" s="54">
        <f t="shared" si="608"/>
        <v>14.656044790624005</v>
      </c>
      <c r="BB192" s="54">
        <f t="shared" si="608"/>
        <v>15.516026142420866</v>
      </c>
      <c r="BC192" s="54">
        <f t="shared" si="608"/>
        <v>16.42155014405288</v>
      </c>
      <c r="BD192" s="54">
        <f t="shared" si="608"/>
        <v>17.374944799656717</v>
      </c>
      <c r="BE192" s="54">
        <f t="shared" si="608"/>
        <v>18.378655531008764</v>
      </c>
      <c r="BF192" s="54">
        <f t="shared" si="608"/>
        <v>19.435251068755804</v>
      </c>
      <c r="BI192">
        <f t="shared" si="466"/>
        <v>185</v>
      </c>
    </row>
    <row r="193" spans="1:61" hidden="1" outlineLevel="2">
      <c r="B193" s="25" t="s">
        <v>58</v>
      </c>
      <c r="C193" s="59"/>
      <c r="D193" s="59"/>
      <c r="E193" s="59"/>
      <c r="F193" s="59"/>
      <c r="G193" s="59"/>
      <c r="H193" s="59"/>
      <c r="I193" s="59"/>
      <c r="J193" s="54">
        <f t="shared" si="603"/>
        <v>-9.3469999999999995</v>
      </c>
      <c r="K193" s="54">
        <f t="shared" si="603"/>
        <v>-36.493972936748939</v>
      </c>
      <c r="L193" s="54">
        <f t="shared" si="603"/>
        <v>-38.03184655230956</v>
      </c>
      <c r="M193" s="54">
        <f t="shared" si="603"/>
        <v>-38.340989490487452</v>
      </c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94">
        <v>-9.3469999999999995</v>
      </c>
      <c r="AU193" s="87">
        <f t="shared" ref="AU193:BF193" si="609">AU246</f>
        <v>-9.0745853737082882</v>
      </c>
      <c r="AV193" s="87">
        <f t="shared" si="609"/>
        <v>-9.1051119713341162</v>
      </c>
      <c r="AW193" s="87">
        <f t="shared" si="609"/>
        <v>-9.1387247714037567</v>
      </c>
      <c r="AX193" s="87">
        <f t="shared" si="609"/>
        <v>-9.1755508203027762</v>
      </c>
      <c r="AY193" s="87">
        <f t="shared" si="609"/>
        <v>-9.3297127779355105</v>
      </c>
      <c r="AZ193" s="87">
        <f t="shared" si="609"/>
        <v>-9.4265611561362324</v>
      </c>
      <c r="BA193" s="87">
        <f t="shared" si="609"/>
        <v>-9.5216441740623523</v>
      </c>
      <c r="BB193" s="87">
        <f t="shared" si="609"/>
        <v>-9.7539284441754663</v>
      </c>
      <c r="BC193" s="87">
        <f t="shared" si="609"/>
        <v>-9.7611727780664896</v>
      </c>
      <c r="BD193" s="87">
        <f t="shared" si="609"/>
        <v>-9.6386834032793391</v>
      </c>
      <c r="BE193" s="87">
        <f t="shared" si="609"/>
        <v>-9.5238250095296451</v>
      </c>
      <c r="BF193" s="87">
        <f t="shared" si="609"/>
        <v>-9.4173082996119764</v>
      </c>
      <c r="BI193">
        <f t="shared" si="466"/>
        <v>186</v>
      </c>
    </row>
    <row r="194" spans="1:61" hidden="1" outlineLevel="2">
      <c r="B194" s="19" t="s">
        <v>59</v>
      </c>
      <c r="C194" s="59"/>
      <c r="D194" s="59"/>
      <c r="E194" s="59"/>
      <c r="F194" s="59"/>
      <c r="G194" s="59"/>
      <c r="H194" s="59"/>
      <c r="I194" s="59"/>
      <c r="J194" s="54">
        <f t="shared" si="603"/>
        <v>-2.0999999999999019E-2</v>
      </c>
      <c r="K194" s="54">
        <f t="shared" si="603"/>
        <v>7.329989177314479</v>
      </c>
      <c r="L194" s="54">
        <f t="shared" si="603"/>
        <v>19.043565986407884</v>
      </c>
      <c r="M194" s="54">
        <f t="shared" si="603"/>
        <v>33.269412052986716</v>
      </c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87">
        <f>+AT192+AT193</f>
        <v>-2.0999999999999019E-2</v>
      </c>
      <c r="AU194" s="54">
        <f t="shared" ref="AU194:BF194" si="610">+AU192+AU193</f>
        <v>0.32103422283350369</v>
      </c>
      <c r="AV194" s="54">
        <f t="shared" si="610"/>
        <v>1.3667200171385101</v>
      </c>
      <c r="AW194" s="54">
        <f t="shared" si="610"/>
        <v>2.4900638568383222</v>
      </c>
      <c r="AX194" s="54">
        <f t="shared" si="610"/>
        <v>3.152171080504143</v>
      </c>
      <c r="AY194" s="54">
        <f t="shared" si="610"/>
        <v>3.7342389358875447</v>
      </c>
      <c r="AZ194" s="54">
        <f t="shared" si="610"/>
        <v>4.4128287357132887</v>
      </c>
      <c r="BA194" s="54">
        <f t="shared" si="610"/>
        <v>5.1344006165616527</v>
      </c>
      <c r="BB194" s="54">
        <f t="shared" si="610"/>
        <v>5.7620976982454</v>
      </c>
      <c r="BC194" s="54">
        <f t="shared" si="610"/>
        <v>6.6603773659863901</v>
      </c>
      <c r="BD194" s="54">
        <f t="shared" si="610"/>
        <v>7.7362613963773779</v>
      </c>
      <c r="BE194" s="54">
        <f t="shared" si="610"/>
        <v>8.8548305214791192</v>
      </c>
      <c r="BF194" s="54">
        <f t="shared" si="610"/>
        <v>10.017942769143827</v>
      </c>
      <c r="BI194">
        <f t="shared" si="466"/>
        <v>187</v>
      </c>
    </row>
    <row r="195" spans="1:61" hidden="1" outlineLevel="2">
      <c r="BI195">
        <f t="shared" si="466"/>
        <v>188</v>
      </c>
    </row>
    <row r="196" spans="1:61" hidden="1" outlineLevel="2">
      <c r="B196" s="19" t="s">
        <v>85</v>
      </c>
      <c r="C196" s="59"/>
      <c r="D196" s="59"/>
      <c r="E196" s="59"/>
      <c r="F196" s="59"/>
      <c r="G196" s="59"/>
      <c r="H196" s="59"/>
      <c r="I196" s="59"/>
      <c r="J196" s="59"/>
      <c r="K196" s="68">
        <f t="shared" ref="K196" si="611">K188/J188-1</f>
        <v>3.4444026985519969</v>
      </c>
      <c r="L196" s="68">
        <f t="shared" ref="L196" si="612">L188/K188-1</f>
        <v>0.21550625000000023</v>
      </c>
      <c r="M196" s="68">
        <f t="shared" ref="M196" si="613">M188/L188-1</f>
        <v>0.21550625000000045</v>
      </c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86"/>
      <c r="AU196" s="68">
        <f t="shared" ref="AU196:BF196" si="614">AU188/AT188-1</f>
        <v>3.115401491882408E-2</v>
      </c>
      <c r="AV196" s="68">
        <f t="shared" si="614"/>
        <v>5.0000000000000044E-2</v>
      </c>
      <c r="AW196" s="68">
        <f t="shared" si="614"/>
        <v>5.0000000000000044E-2</v>
      </c>
      <c r="AX196" s="68">
        <f t="shared" si="614"/>
        <v>5.0000000000000044E-2</v>
      </c>
      <c r="AY196" s="68">
        <f t="shared" si="614"/>
        <v>5.0000000000000044E-2</v>
      </c>
      <c r="AZ196" s="68">
        <f t="shared" si="614"/>
        <v>5.0000000000000044E-2</v>
      </c>
      <c r="BA196" s="68">
        <f t="shared" si="614"/>
        <v>5.0000000000000044E-2</v>
      </c>
      <c r="BB196" s="68">
        <f t="shared" si="614"/>
        <v>5.0000000000000044E-2</v>
      </c>
      <c r="BC196" s="68">
        <f t="shared" si="614"/>
        <v>5.0000000000000044E-2</v>
      </c>
      <c r="BD196" s="68">
        <f t="shared" si="614"/>
        <v>5.0000000000000044E-2</v>
      </c>
      <c r="BE196" s="68">
        <f t="shared" si="614"/>
        <v>5.0000000000000044E-2</v>
      </c>
      <c r="BF196" s="68">
        <f t="shared" si="614"/>
        <v>5.0000000000000044E-2</v>
      </c>
      <c r="BI196">
        <f t="shared" si="466"/>
        <v>189</v>
      </c>
    </row>
    <row r="197" spans="1:61" hidden="1" outlineLevel="2">
      <c r="B197" s="19" t="s">
        <v>87</v>
      </c>
      <c r="C197" s="59"/>
      <c r="D197" s="59"/>
      <c r="E197" s="59"/>
      <c r="F197" s="59"/>
      <c r="G197" s="59"/>
      <c r="H197" s="59"/>
      <c r="I197" s="59"/>
      <c r="J197" s="68">
        <f t="shared" ref="J197:M197" si="615">J190/J188</f>
        <v>0.29416410706450202</v>
      </c>
      <c r="K197" s="68">
        <f t="shared" si="615"/>
        <v>0.29292363910559444</v>
      </c>
      <c r="L197" s="68">
        <f t="shared" si="615"/>
        <v>0.3</v>
      </c>
      <c r="M197" s="68">
        <f t="shared" si="615"/>
        <v>0.3000000000000001</v>
      </c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86">
        <f>AT190/AT188</f>
        <v>0.29416410706450202</v>
      </c>
      <c r="AU197" s="68">
        <f t="shared" ref="AU197:BF197" si="616">AU190/AU188</f>
        <v>0.28000000000000008</v>
      </c>
      <c r="AV197" s="68">
        <f t="shared" si="616"/>
        <v>0.29000000000000004</v>
      </c>
      <c r="AW197" s="68">
        <f t="shared" si="616"/>
        <v>0.30000000000000004</v>
      </c>
      <c r="AX197" s="68">
        <f t="shared" si="616"/>
        <v>0.3</v>
      </c>
      <c r="AY197" s="68">
        <f t="shared" si="616"/>
        <v>0.3</v>
      </c>
      <c r="AZ197" s="68">
        <f t="shared" si="616"/>
        <v>0.30000000000000004</v>
      </c>
      <c r="BA197" s="68">
        <f t="shared" si="616"/>
        <v>0.29999999999999993</v>
      </c>
      <c r="BB197" s="68">
        <f t="shared" si="616"/>
        <v>0.3</v>
      </c>
      <c r="BC197" s="68">
        <f t="shared" si="616"/>
        <v>0.3</v>
      </c>
      <c r="BD197" s="68">
        <f t="shared" si="616"/>
        <v>0.30000000000000004</v>
      </c>
      <c r="BE197" s="68">
        <f t="shared" si="616"/>
        <v>0.30000000000000004</v>
      </c>
      <c r="BF197" s="68">
        <f t="shared" si="616"/>
        <v>0.30000000000000004</v>
      </c>
      <c r="BI197">
        <f t="shared" si="466"/>
        <v>190</v>
      </c>
    </row>
    <row r="198" spans="1:61" hidden="1" outlineLevel="2">
      <c r="B198" s="19" t="s">
        <v>128</v>
      </c>
      <c r="C198" s="59"/>
      <c r="D198" s="59"/>
      <c r="E198" s="59"/>
      <c r="F198" s="59"/>
      <c r="G198" s="59"/>
      <c r="H198" s="59"/>
      <c r="I198" s="59"/>
      <c r="J198" s="68">
        <f t="shared" ref="J198" si="617">IFERROR((J190-I190)/(J188-I188),"NM")</f>
        <v>0.29416410706450202</v>
      </c>
      <c r="K198" s="68">
        <f t="shared" ref="K198" si="618">IFERROR((K190-J190)/(K188-J188),"NM")</f>
        <v>0.29256349888173816</v>
      </c>
      <c r="L198" s="68">
        <f t="shared" ref="L198" si="619">IFERROR((L190-K190)/(L188-K188),"NM")</f>
        <v>0.33283598918549023</v>
      </c>
      <c r="M198" s="68">
        <f t="shared" ref="M198" si="620">IFERROR((M190-L190)/(M188-L188),"NM")</f>
        <v>0.30000000000000043</v>
      </c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86">
        <f t="shared" ref="AT198" si="621">IFERROR((AT190-AS190)/(AT188-AS188),"NM")</f>
        <v>0.29416410706450202</v>
      </c>
      <c r="AU198" s="68">
        <f t="shared" ref="AU198" si="622">IFERROR((AU190-AT190)/(AU188-AT188),"NM")</f>
        <v>-0.17464788732394174</v>
      </c>
      <c r="AV198" s="68">
        <f t="shared" ref="AV198" si="623">IFERROR((AV190-AU190)/(AV188-AU188),"NM")</f>
        <v>0.4899999999999991</v>
      </c>
      <c r="AW198" s="68">
        <f t="shared" ref="AW198" si="624">IFERROR((AW190-AV190)/(AW188-AV188),"NM")</f>
        <v>0.5</v>
      </c>
      <c r="AX198" s="68">
        <f t="shared" ref="AX198" si="625">IFERROR((AX190-AW190)/(AX188-AW188),"NM")</f>
        <v>0.29999999999999916</v>
      </c>
      <c r="AY198" s="68">
        <f t="shared" ref="AY198" si="626">IFERROR((AY190-AX190)/(AY188-AX188),"NM")</f>
        <v>0.29999999999999921</v>
      </c>
      <c r="AZ198" s="68">
        <f t="shared" ref="AZ198" si="627">IFERROR((AZ190-AY190)/(AZ188-AY188),"NM")</f>
        <v>0.30000000000000149</v>
      </c>
      <c r="BA198" s="68">
        <f t="shared" ref="BA198" si="628">IFERROR((BA190-AZ190)/(BA188-AZ188),"NM")</f>
        <v>0.29999999999999766</v>
      </c>
      <c r="BB198" s="68">
        <f t="shared" ref="BB198" si="629">IFERROR((BB190-BA190)/(BB188-BA188),"NM")</f>
        <v>0.30000000000000115</v>
      </c>
      <c r="BC198" s="68">
        <f t="shared" ref="BC198" si="630">IFERROR((BC190-BB190)/(BC188-BB188),"NM")</f>
        <v>0.3</v>
      </c>
      <c r="BD198" s="68">
        <f t="shared" ref="BD198" si="631">IFERROR((BD190-BC190)/(BD188-BC188),"NM")</f>
        <v>0.30000000000000082</v>
      </c>
      <c r="BE198" s="68">
        <f t="shared" ref="BE198" si="632">IFERROR((BE190-BD190)/(BE188-BD188),"NM")</f>
        <v>0.30000000000000038</v>
      </c>
      <c r="BF198" s="68">
        <f t="shared" ref="BF198" si="633">IFERROR((BF190-BE190)/(BF188-BE188),"NM")</f>
        <v>0.30000000000000038</v>
      </c>
      <c r="BI198">
        <f t="shared" si="466"/>
        <v>191</v>
      </c>
    </row>
    <row r="199" spans="1:61" hidden="1" outlineLevel="2">
      <c r="B199" s="19" t="s">
        <v>126</v>
      </c>
      <c r="C199" s="59"/>
      <c r="D199" s="59"/>
      <c r="E199" s="59"/>
      <c r="F199" s="59"/>
      <c r="G199" s="59"/>
      <c r="H199" s="59"/>
      <c r="I199" s="59"/>
      <c r="J199" s="68">
        <f t="shared" ref="J199:M199" si="634">J192/J188</f>
        <v>0.20460728389644584</v>
      </c>
      <c r="K199" s="68">
        <f t="shared" si="634"/>
        <v>0.21633356940486334</v>
      </c>
      <c r="L199" s="68">
        <f t="shared" si="634"/>
        <v>0.23179504047740357</v>
      </c>
      <c r="M199" s="68">
        <f t="shared" si="634"/>
        <v>0.23926214558028269</v>
      </c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86">
        <f>AT192/AT188</f>
        <v>0.20460728389644584</v>
      </c>
      <c r="AU199" s="68">
        <f t="shared" ref="AU199:BF199" si="635">AU192/AU188</f>
        <v>0.1999067999264211</v>
      </c>
      <c r="AV199" s="68">
        <f t="shared" si="635"/>
        <v>0.21219517707138047</v>
      </c>
      <c r="AW199" s="68">
        <f t="shared" si="635"/>
        <v>0.22441817201219816</v>
      </c>
      <c r="AX199" s="68">
        <f t="shared" si="635"/>
        <v>0.22657765281184961</v>
      </c>
      <c r="AY199" s="68">
        <f t="shared" si="635"/>
        <v>0.22867543416008243</v>
      </c>
      <c r="AZ199" s="68">
        <f t="shared" si="635"/>
        <v>0.23071327889836588</v>
      </c>
      <c r="BA199" s="68">
        <f t="shared" si="635"/>
        <v>0.23269289950126959</v>
      </c>
      <c r="BB199" s="68">
        <f t="shared" si="635"/>
        <v>0.23461595951551908</v>
      </c>
      <c r="BC199" s="68">
        <f t="shared" si="635"/>
        <v>0.23648407495793283</v>
      </c>
      <c r="BD199" s="68">
        <f t="shared" si="635"/>
        <v>0.23829881567342054</v>
      </c>
      <c r="BE199" s="68">
        <f t="shared" si="635"/>
        <v>0.24006170665417992</v>
      </c>
      <c r="BF199" s="68">
        <f t="shared" si="635"/>
        <v>0.2417742293212034</v>
      </c>
      <c r="BI199">
        <f t="shared" si="466"/>
        <v>192</v>
      </c>
    </row>
    <row r="200" spans="1:61" hidden="1" outlineLevel="2">
      <c r="B200" s="19" t="s">
        <v>127</v>
      </c>
      <c r="C200" s="59"/>
      <c r="D200" s="59"/>
      <c r="E200" s="59"/>
      <c r="F200" s="59"/>
      <c r="G200" s="59"/>
      <c r="H200" s="59"/>
      <c r="I200" s="59"/>
      <c r="J200" s="68">
        <f t="shared" ref="J200:M200" si="636">J194/J188</f>
        <v>-4.6072838964455944E-4</v>
      </c>
      <c r="K200" s="68">
        <f t="shared" si="636"/>
        <v>3.618391961685704E-2</v>
      </c>
      <c r="L200" s="68">
        <f t="shared" si="636"/>
        <v>7.7339855330158497E-2</v>
      </c>
      <c r="M200" s="68">
        <f t="shared" si="636"/>
        <v>0.11115858504381647</v>
      </c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86">
        <f>AT194/AT188</f>
        <v>-4.6072838964455944E-4</v>
      </c>
      <c r="AU200" s="68">
        <f t="shared" ref="AU200:BF200" si="637">AU194/AU188</f>
        <v>6.8305153794362486E-3</v>
      </c>
      <c r="AV200" s="68">
        <f t="shared" si="637"/>
        <v>2.7694427905542249E-2</v>
      </c>
      <c r="AW200" s="68">
        <f t="shared" si="637"/>
        <v>4.8054496199900071E-2</v>
      </c>
      <c r="AX200" s="68">
        <f t="shared" si="637"/>
        <v>5.793540204985248E-2</v>
      </c>
      <c r="AY200" s="68">
        <f t="shared" si="637"/>
        <v>6.5365268383380568E-2</v>
      </c>
      <c r="AZ200" s="68">
        <f t="shared" si="637"/>
        <v>7.3565250693091264E-2</v>
      </c>
      <c r="BA200" s="68">
        <f t="shared" si="637"/>
        <v>8.1518484948487208E-2</v>
      </c>
      <c r="BB200" s="68">
        <f t="shared" si="637"/>
        <v>8.7127984181462795E-2</v>
      </c>
      <c r="BC200" s="68">
        <f t="shared" si="637"/>
        <v>9.5915012069458183E-2</v>
      </c>
      <c r="BD200" s="68">
        <f t="shared" si="637"/>
        <v>0.10610346966588091</v>
      </c>
      <c r="BE200" s="68">
        <f t="shared" si="637"/>
        <v>0.1156616556381545</v>
      </c>
      <c r="BF200" s="68">
        <f t="shared" si="637"/>
        <v>0.12462305651854523</v>
      </c>
      <c r="BI200">
        <f t="shared" si="466"/>
        <v>193</v>
      </c>
    </row>
    <row r="201" spans="1:61" hidden="1" outlineLevel="2">
      <c r="AT201" s="90"/>
      <c r="BI201">
        <f t="shared" si="466"/>
        <v>194</v>
      </c>
    </row>
    <row r="202" spans="1:61" hidden="1" outlineLevel="2">
      <c r="A202" s="11" t="s">
        <v>65</v>
      </c>
      <c r="B202" s="24" t="s">
        <v>280</v>
      </c>
      <c r="AT202" s="90"/>
      <c r="BI202">
        <f t="shared" ref="BI202:BI281" si="638">+BI201+1</f>
        <v>195</v>
      </c>
    </row>
    <row r="203" spans="1:61" hidden="1" outlineLevel="2">
      <c r="B203" s="19" t="s">
        <v>114</v>
      </c>
      <c r="C203" s="54">
        <f t="shared" ref="C203:M209" si="639">SUMIFS($O203:$BG203,$O$5:$BG$5,C$5)</f>
        <v>30.425000000000001</v>
      </c>
      <c r="D203" s="54">
        <f t="shared" si="639"/>
        <v>50.558999999999997</v>
      </c>
      <c r="E203" s="54">
        <f t="shared" si="639"/>
        <v>59.929999999999964</v>
      </c>
      <c r="F203" s="54">
        <f t="shared" si="639"/>
        <v>57.257000000000005</v>
      </c>
      <c r="G203" s="54">
        <f t="shared" si="639"/>
        <v>50.195999999999998</v>
      </c>
      <c r="H203" s="54">
        <f t="shared" si="639"/>
        <v>24.931000000000001</v>
      </c>
      <c r="I203" s="54">
        <f t="shared" si="639"/>
        <v>18.132999999999999</v>
      </c>
      <c r="J203" s="54">
        <f t="shared" si="639"/>
        <v>70.759999999999991</v>
      </c>
      <c r="K203" s="54">
        <f t="shared" si="639"/>
        <v>90.512625</v>
      </c>
      <c r="L203" s="54">
        <f t="shared" si="639"/>
        <v>110.01866139140628</v>
      </c>
      <c r="M203" s="54">
        <f t="shared" si="639"/>
        <v>133.72837053788805</v>
      </c>
      <c r="O203" s="61">
        <v>7.1020000000000003</v>
      </c>
      <c r="P203" s="61">
        <v>7.6619999999999999</v>
      </c>
      <c r="Q203" s="61">
        <v>6.8</v>
      </c>
      <c r="R203" s="61">
        <v>8.8610000000000007</v>
      </c>
      <c r="S203" s="61">
        <v>10.387</v>
      </c>
      <c r="T203" s="61">
        <v>13.454000000000001</v>
      </c>
      <c r="U203" s="61">
        <v>11.837</v>
      </c>
      <c r="V203" s="61">
        <v>14.881</v>
      </c>
      <c r="W203" s="61">
        <v>14.717000000000001</v>
      </c>
      <c r="X203" s="61">
        <v>14.69</v>
      </c>
      <c r="Y203" s="61">
        <v>14.932999999999993</v>
      </c>
      <c r="Z203" s="61">
        <v>15.589999999999975</v>
      </c>
      <c r="AA203" s="61">
        <v>16.785</v>
      </c>
      <c r="AB203" s="61">
        <v>14.717000000000001</v>
      </c>
      <c r="AC203" s="61">
        <v>13.827</v>
      </c>
      <c r="AD203" s="61">
        <v>11.928000000000001</v>
      </c>
      <c r="AE203" s="61">
        <v>12.004</v>
      </c>
      <c r="AF203" s="61">
        <v>12.116</v>
      </c>
      <c r="AG203" s="61">
        <v>14.724</v>
      </c>
      <c r="AH203" s="61">
        <v>11.352</v>
      </c>
      <c r="AI203" s="61">
        <v>6.5</v>
      </c>
      <c r="AJ203" s="61">
        <v>7.8159999999999998</v>
      </c>
      <c r="AK203" s="61">
        <v>6.0270000000000001</v>
      </c>
      <c r="AL203" s="61">
        <v>4.5880000000000001</v>
      </c>
      <c r="AM203" s="61">
        <v>3.9670000000000001</v>
      </c>
      <c r="AN203" s="61">
        <v>4.7220000000000004</v>
      </c>
      <c r="AO203" s="61">
        <v>4.2839999999999998</v>
      </c>
      <c r="AP203" s="61">
        <v>5.16</v>
      </c>
      <c r="AQ203" s="61">
        <v>5.2729999999999997</v>
      </c>
      <c r="AR203" s="61">
        <v>19.030999999999999</v>
      </c>
      <c r="AS203" s="61">
        <v>20.934000000000001</v>
      </c>
      <c r="AT203" s="61">
        <v>25.521999999999998</v>
      </c>
      <c r="AU203" s="54">
        <f t="shared" ref="AU203:BF203" si="640">AU15</f>
        <v>21</v>
      </c>
      <c r="AV203" s="54">
        <f t="shared" si="640"/>
        <v>22.05</v>
      </c>
      <c r="AW203" s="54">
        <f t="shared" si="640"/>
        <v>23.152500000000003</v>
      </c>
      <c r="AX203" s="54">
        <f t="shared" si="640"/>
        <v>24.310125000000003</v>
      </c>
      <c r="AY203" s="54">
        <f t="shared" si="640"/>
        <v>25.525631250000004</v>
      </c>
      <c r="AZ203" s="54">
        <f t="shared" si="640"/>
        <v>26.801912812500007</v>
      </c>
      <c r="BA203" s="54">
        <f t="shared" si="640"/>
        <v>28.142008453125008</v>
      </c>
      <c r="BB203" s="54">
        <f t="shared" si="640"/>
        <v>29.549108875781261</v>
      </c>
      <c r="BC203" s="54">
        <f t="shared" si="640"/>
        <v>31.026564319570326</v>
      </c>
      <c r="BD203" s="54">
        <f t="shared" si="640"/>
        <v>32.577892535548841</v>
      </c>
      <c r="BE203" s="54">
        <f t="shared" si="640"/>
        <v>34.206787162326286</v>
      </c>
      <c r="BF203" s="54">
        <f t="shared" si="640"/>
        <v>35.917126520442601</v>
      </c>
      <c r="BI203">
        <f t="shared" si="638"/>
        <v>196</v>
      </c>
    </row>
    <row r="204" spans="1:61" hidden="1" outlineLevel="2">
      <c r="B204" s="25" t="s">
        <v>115</v>
      </c>
      <c r="C204" s="54">
        <f t="shared" si="639"/>
        <v>-7.02</v>
      </c>
      <c r="D204" s="54">
        <f t="shared" si="639"/>
        <v>-9.6150000000000002</v>
      </c>
      <c r="E204" s="54">
        <f t="shared" si="639"/>
        <v>-11.303000000000001</v>
      </c>
      <c r="F204" s="54">
        <f t="shared" si="639"/>
        <v>-12.908999999999999</v>
      </c>
      <c r="G204" s="54">
        <f t="shared" si="639"/>
        <v>-13.102</v>
      </c>
      <c r="H204" s="54">
        <f t="shared" si="639"/>
        <v>-11.5</v>
      </c>
      <c r="I204" s="54">
        <f t="shared" si="639"/>
        <v>-8.3840000000000003</v>
      </c>
      <c r="J204" s="54">
        <f t="shared" si="639"/>
        <v>-51.427999999999997</v>
      </c>
      <c r="K204" s="54">
        <f t="shared" si="639"/>
        <v>-74.430352499999998</v>
      </c>
      <c r="L204" s="54">
        <f t="shared" si="639"/>
        <v>-90.215302340953144</v>
      </c>
      <c r="M204" s="54">
        <f t="shared" si="639"/>
        <v>-109.65726384106821</v>
      </c>
      <c r="O204" s="83">
        <v>-2.0619999999999998</v>
      </c>
      <c r="P204" s="83">
        <v>-1.78</v>
      </c>
      <c r="Q204" s="83">
        <v>-1.484</v>
      </c>
      <c r="R204" s="83">
        <v>-1.694</v>
      </c>
      <c r="S204" s="83">
        <v>-1.9970000000000001</v>
      </c>
      <c r="T204" s="83">
        <v>-2.1030000000000002</v>
      </c>
      <c r="U204" s="83">
        <v>-2.306</v>
      </c>
      <c r="V204" s="83">
        <v>-3.2090000000000001</v>
      </c>
      <c r="W204" s="83">
        <v>-2.73</v>
      </c>
      <c r="X204" s="83">
        <v>-2.5830000000000002</v>
      </c>
      <c r="Y204" s="83">
        <v>-2.7040000000000002</v>
      </c>
      <c r="Z204" s="83">
        <v>-3.286</v>
      </c>
      <c r="AA204" s="83">
        <v>-2.9220000000000002</v>
      </c>
      <c r="AB204" s="83">
        <v>-3.214</v>
      </c>
      <c r="AC204" s="83">
        <v>-3.6019999999999999</v>
      </c>
      <c r="AD204" s="83">
        <v>-3.1709999999999998</v>
      </c>
      <c r="AE204" s="83">
        <v>-3.274</v>
      </c>
      <c r="AF204" s="83">
        <v>-2.8719999999999999</v>
      </c>
      <c r="AG204" s="83">
        <v>-3.2749999999999999</v>
      </c>
      <c r="AH204" s="83">
        <v>-3.681</v>
      </c>
      <c r="AI204" s="83">
        <v>-2.798</v>
      </c>
      <c r="AJ204" s="83">
        <v>-2.7789999999999999</v>
      </c>
      <c r="AK204" s="83">
        <v>-2.5190000000000001</v>
      </c>
      <c r="AL204" s="83">
        <v>-3.4039999999999999</v>
      </c>
      <c r="AM204" s="83">
        <v>-2.09</v>
      </c>
      <c r="AN204" s="83">
        <v>-1.65</v>
      </c>
      <c r="AO204" s="83">
        <v>-1.8460000000000001</v>
      </c>
      <c r="AP204" s="83">
        <v>-2.798</v>
      </c>
      <c r="AQ204" s="83">
        <v>-3.2589999999999999</v>
      </c>
      <c r="AR204" s="83">
        <v>-12.670999999999999</v>
      </c>
      <c r="AS204" s="83">
        <v>-14.616</v>
      </c>
      <c r="AT204" s="83">
        <v>-20.882000000000001</v>
      </c>
      <c r="AU204" s="54">
        <f t="shared" ref="AU204:BF204" si="641">AU22</f>
        <v>-17.43</v>
      </c>
      <c r="AV204" s="54">
        <f t="shared" si="641"/>
        <v>-18.081</v>
      </c>
      <c r="AW204" s="54">
        <f t="shared" si="641"/>
        <v>-18.985050000000001</v>
      </c>
      <c r="AX204" s="54">
        <f t="shared" si="641"/>
        <v>-19.934302500000001</v>
      </c>
      <c r="AY204" s="54">
        <f t="shared" si="641"/>
        <v>-20.931017625000003</v>
      </c>
      <c r="AZ204" s="54">
        <f t="shared" si="641"/>
        <v>-21.977568506250005</v>
      </c>
      <c r="BA204" s="54">
        <f t="shared" si="641"/>
        <v>-23.076446931562508</v>
      </c>
      <c r="BB204" s="54">
        <f t="shared" si="641"/>
        <v>-24.230269278140636</v>
      </c>
      <c r="BC204" s="54">
        <f t="shared" si="641"/>
        <v>-25.441782742047668</v>
      </c>
      <c r="BD204" s="54">
        <f t="shared" si="641"/>
        <v>-26.713871879150048</v>
      </c>
      <c r="BE204" s="54">
        <f t="shared" si="641"/>
        <v>-28.049565473107556</v>
      </c>
      <c r="BF204" s="54">
        <f t="shared" si="641"/>
        <v>-29.452043746762932</v>
      </c>
      <c r="BI204">
        <f t="shared" si="638"/>
        <v>197</v>
      </c>
    </row>
    <row r="205" spans="1:61" hidden="1" outlineLevel="2">
      <c r="B205" s="19" t="s">
        <v>116</v>
      </c>
      <c r="C205" s="54">
        <f t="shared" si="639"/>
        <v>23.405000000000001</v>
      </c>
      <c r="D205" s="54">
        <f t="shared" si="639"/>
        <v>40.944000000000003</v>
      </c>
      <c r="E205" s="54">
        <f t="shared" si="639"/>
        <v>48.626999999999967</v>
      </c>
      <c r="F205" s="54">
        <f t="shared" si="639"/>
        <v>44.347999999999999</v>
      </c>
      <c r="G205" s="54">
        <f t="shared" si="639"/>
        <v>37.094000000000001</v>
      </c>
      <c r="H205" s="54">
        <f t="shared" si="639"/>
        <v>13.431000000000001</v>
      </c>
      <c r="I205" s="54">
        <f t="shared" si="639"/>
        <v>9.7490000000000006</v>
      </c>
      <c r="J205" s="54">
        <f t="shared" si="639"/>
        <v>19.331999999999997</v>
      </c>
      <c r="K205" s="54">
        <f t="shared" si="639"/>
        <v>16.082272500000006</v>
      </c>
      <c r="L205" s="54">
        <f t="shared" si="639"/>
        <v>19.803359050453128</v>
      </c>
      <c r="M205" s="54">
        <f t="shared" si="639"/>
        <v>24.07110669681985</v>
      </c>
      <c r="O205" s="54">
        <f t="shared" ref="O205:AR205" si="642">+O203+O204</f>
        <v>5.0400000000000009</v>
      </c>
      <c r="P205" s="54">
        <f t="shared" si="642"/>
        <v>5.8819999999999997</v>
      </c>
      <c r="Q205" s="54">
        <f t="shared" si="642"/>
        <v>5.3159999999999998</v>
      </c>
      <c r="R205" s="54">
        <f t="shared" si="642"/>
        <v>7.1670000000000007</v>
      </c>
      <c r="S205" s="54">
        <f t="shared" si="642"/>
        <v>8.39</v>
      </c>
      <c r="T205" s="54">
        <f t="shared" si="642"/>
        <v>11.351000000000001</v>
      </c>
      <c r="U205" s="54">
        <f t="shared" si="642"/>
        <v>9.5309999999999988</v>
      </c>
      <c r="V205" s="54">
        <f t="shared" si="642"/>
        <v>11.672000000000001</v>
      </c>
      <c r="W205" s="54">
        <f t="shared" si="642"/>
        <v>11.987</v>
      </c>
      <c r="X205" s="54">
        <f t="shared" si="642"/>
        <v>12.106999999999999</v>
      </c>
      <c r="Y205" s="54">
        <f t="shared" si="642"/>
        <v>12.228999999999992</v>
      </c>
      <c r="Z205" s="54">
        <f t="shared" si="642"/>
        <v>12.303999999999975</v>
      </c>
      <c r="AA205" s="54">
        <f t="shared" si="642"/>
        <v>13.863</v>
      </c>
      <c r="AB205" s="54">
        <f t="shared" si="642"/>
        <v>11.503</v>
      </c>
      <c r="AC205" s="54">
        <f t="shared" si="642"/>
        <v>10.225</v>
      </c>
      <c r="AD205" s="54">
        <f t="shared" si="642"/>
        <v>8.7570000000000014</v>
      </c>
      <c r="AE205" s="54">
        <f t="shared" si="642"/>
        <v>8.73</v>
      </c>
      <c r="AF205" s="54">
        <f t="shared" si="642"/>
        <v>9.2439999999999998</v>
      </c>
      <c r="AG205" s="54">
        <f t="shared" si="642"/>
        <v>11.449</v>
      </c>
      <c r="AH205" s="54">
        <f t="shared" si="642"/>
        <v>7.6710000000000003</v>
      </c>
      <c r="AI205" s="54">
        <f t="shared" si="642"/>
        <v>3.702</v>
      </c>
      <c r="AJ205" s="54">
        <f t="shared" si="642"/>
        <v>5.0369999999999999</v>
      </c>
      <c r="AK205" s="54">
        <f t="shared" si="642"/>
        <v>3.508</v>
      </c>
      <c r="AL205" s="54">
        <f t="shared" si="642"/>
        <v>1.1840000000000002</v>
      </c>
      <c r="AM205" s="54">
        <f t="shared" si="642"/>
        <v>1.8770000000000002</v>
      </c>
      <c r="AN205" s="54">
        <f t="shared" si="642"/>
        <v>3.0720000000000005</v>
      </c>
      <c r="AO205" s="54">
        <f t="shared" si="642"/>
        <v>2.4379999999999997</v>
      </c>
      <c r="AP205" s="54">
        <f t="shared" si="642"/>
        <v>2.3620000000000001</v>
      </c>
      <c r="AQ205" s="54">
        <f t="shared" si="642"/>
        <v>2.0139999999999998</v>
      </c>
      <c r="AR205" s="54">
        <f t="shared" si="642"/>
        <v>6.3599999999999994</v>
      </c>
      <c r="AS205" s="54">
        <f>+AS203+AS204</f>
        <v>6.3180000000000014</v>
      </c>
      <c r="AT205" s="54">
        <f>+AT203+AT204</f>
        <v>4.639999999999997</v>
      </c>
      <c r="AU205" s="54">
        <f t="shared" ref="AU205:BF205" si="643">+AU203+AU204</f>
        <v>3.5700000000000003</v>
      </c>
      <c r="AV205" s="54">
        <f t="shared" si="643"/>
        <v>3.9690000000000012</v>
      </c>
      <c r="AW205" s="54">
        <f t="shared" si="643"/>
        <v>4.1674500000000023</v>
      </c>
      <c r="AX205" s="54">
        <f t="shared" si="643"/>
        <v>4.3758225000000017</v>
      </c>
      <c r="AY205" s="54">
        <f t="shared" si="643"/>
        <v>4.5946136250000009</v>
      </c>
      <c r="AZ205" s="54">
        <f t="shared" si="643"/>
        <v>4.8243443062500013</v>
      </c>
      <c r="BA205" s="54">
        <f t="shared" si="643"/>
        <v>5.0655615215625005</v>
      </c>
      <c r="BB205" s="54">
        <f t="shared" si="643"/>
        <v>5.3188395976406255</v>
      </c>
      <c r="BC205" s="54">
        <f t="shared" si="643"/>
        <v>5.5847815775226586</v>
      </c>
      <c r="BD205" s="54">
        <f t="shared" si="643"/>
        <v>5.8640206563987931</v>
      </c>
      <c r="BE205" s="54">
        <f t="shared" si="643"/>
        <v>6.1572216892187299</v>
      </c>
      <c r="BF205" s="54">
        <f t="shared" si="643"/>
        <v>6.4650827736796685</v>
      </c>
      <c r="BI205">
        <f t="shared" si="638"/>
        <v>198</v>
      </c>
    </row>
    <row r="206" spans="1:61" hidden="1" outlineLevel="2">
      <c r="B206" s="25" t="s">
        <v>55</v>
      </c>
      <c r="C206" s="54">
        <f t="shared" si="639"/>
        <v>0</v>
      </c>
      <c r="D206" s="54">
        <f t="shared" si="639"/>
        <v>0</v>
      </c>
      <c r="E206" s="54">
        <f t="shared" si="639"/>
        <v>0</v>
      </c>
      <c r="F206" s="54">
        <f t="shared" si="639"/>
        <v>0</v>
      </c>
      <c r="G206" s="54">
        <f t="shared" si="639"/>
        <v>0</v>
      </c>
      <c r="H206" s="54">
        <f t="shared" si="639"/>
        <v>0</v>
      </c>
      <c r="I206" s="54">
        <f t="shared" si="639"/>
        <v>-1.7689999999999984</v>
      </c>
      <c r="J206" s="54">
        <f t="shared" si="639"/>
        <v>-10.743</v>
      </c>
      <c r="K206" s="54">
        <f t="shared" si="639"/>
        <v>-10.821180842420748</v>
      </c>
      <c r="L206" s="54">
        <f t="shared" si="639"/>
        <v>-11.713194153012111</v>
      </c>
      <c r="M206" s="54">
        <f t="shared" si="639"/>
        <v>-12.678738047544272</v>
      </c>
      <c r="O206" s="61">
        <v>0</v>
      </c>
      <c r="P206" s="61">
        <v>0</v>
      </c>
      <c r="Q206" s="61">
        <v>0</v>
      </c>
      <c r="R206" s="61">
        <v>0</v>
      </c>
      <c r="S206" s="61">
        <v>0</v>
      </c>
      <c r="T206" s="61">
        <v>0</v>
      </c>
      <c r="U206" s="61">
        <v>0</v>
      </c>
      <c r="V206" s="61">
        <v>0</v>
      </c>
      <c r="W206" s="61">
        <v>0</v>
      </c>
      <c r="X206" s="61">
        <v>0</v>
      </c>
      <c r="Y206" s="61">
        <v>0</v>
      </c>
      <c r="Z206" s="61">
        <v>0</v>
      </c>
      <c r="AA206" s="61">
        <v>0</v>
      </c>
      <c r="AB206" s="61">
        <v>0</v>
      </c>
      <c r="AC206" s="61">
        <v>0</v>
      </c>
      <c r="AD206" s="61">
        <v>0</v>
      </c>
      <c r="AE206" s="61">
        <v>0</v>
      </c>
      <c r="AF206" s="61">
        <v>0</v>
      </c>
      <c r="AG206" s="61">
        <v>0</v>
      </c>
      <c r="AH206" s="61">
        <v>0</v>
      </c>
      <c r="AI206" s="61">
        <v>0</v>
      </c>
      <c r="AJ206" s="61">
        <v>0</v>
      </c>
      <c r="AK206" s="61">
        <v>0</v>
      </c>
      <c r="AL206" s="61">
        <v>0</v>
      </c>
      <c r="AM206" s="61">
        <v>0</v>
      </c>
      <c r="AN206" s="61">
        <v>0</v>
      </c>
      <c r="AO206" s="61">
        <v>0</v>
      </c>
      <c r="AP206" s="94">
        <v>-1.7689999999999984</v>
      </c>
      <c r="AQ206" s="94">
        <v>-1.7930000000000028</v>
      </c>
      <c r="AR206" s="94">
        <v>-2.8030000000000008</v>
      </c>
      <c r="AS206" s="94">
        <v>-3.2999999999999972</v>
      </c>
      <c r="AT206" s="94">
        <v>-2.847</v>
      </c>
      <c r="AU206" s="87">
        <f t="shared" ref="AU206:BF206" si="644">AU231</f>
        <v>-2.6254755043227664</v>
      </c>
      <c r="AV206" s="87">
        <f t="shared" si="644"/>
        <v>-2.6779850144092219</v>
      </c>
      <c r="AW206" s="87">
        <f t="shared" si="644"/>
        <v>-2.7315447146974061</v>
      </c>
      <c r="AX206" s="87">
        <f t="shared" si="644"/>
        <v>-2.7861756089913543</v>
      </c>
      <c r="AY206" s="87">
        <f t="shared" si="644"/>
        <v>-2.8418991211711813</v>
      </c>
      <c r="AZ206" s="87">
        <f t="shared" si="644"/>
        <v>-2.898737103594605</v>
      </c>
      <c r="BA206" s="87">
        <f t="shared" si="644"/>
        <v>-2.9567118456664971</v>
      </c>
      <c r="BB206" s="87">
        <f t="shared" si="644"/>
        <v>-3.0158460825798272</v>
      </c>
      <c r="BC206" s="87">
        <f t="shared" si="644"/>
        <v>-3.0761630042314239</v>
      </c>
      <c r="BD206" s="87">
        <f t="shared" si="644"/>
        <v>-3.1376862643160526</v>
      </c>
      <c r="BE206" s="87">
        <f t="shared" si="644"/>
        <v>-3.2004399896023736</v>
      </c>
      <c r="BF206" s="87">
        <f t="shared" si="644"/>
        <v>-3.2644487893944212</v>
      </c>
      <c r="BI206">
        <f t="shared" si="638"/>
        <v>199</v>
      </c>
    </row>
    <row r="207" spans="1:61" hidden="1" outlineLevel="2">
      <c r="B207" s="19" t="s">
        <v>56</v>
      </c>
      <c r="C207" s="54">
        <f t="shared" si="639"/>
        <v>23.405000000000001</v>
      </c>
      <c r="D207" s="54">
        <f t="shared" si="639"/>
        <v>40.944000000000003</v>
      </c>
      <c r="E207" s="54">
        <f t="shared" si="639"/>
        <v>48.626999999999967</v>
      </c>
      <c r="F207" s="54">
        <f t="shared" si="639"/>
        <v>44.347999999999999</v>
      </c>
      <c r="G207" s="54">
        <f t="shared" si="639"/>
        <v>37.094000000000001</v>
      </c>
      <c r="H207" s="54">
        <f t="shared" si="639"/>
        <v>13.431000000000001</v>
      </c>
      <c r="I207" s="54">
        <f t="shared" si="639"/>
        <v>7.9800000000000022</v>
      </c>
      <c r="J207" s="54">
        <f t="shared" si="639"/>
        <v>8.5889999999999969</v>
      </c>
      <c r="K207" s="54">
        <f t="shared" si="639"/>
        <v>5.2610916575792572</v>
      </c>
      <c r="L207" s="54">
        <f t="shared" si="639"/>
        <v>8.0901648974410172</v>
      </c>
      <c r="M207" s="54">
        <f t="shared" si="639"/>
        <v>11.392368649275578</v>
      </c>
      <c r="O207" s="54">
        <f t="shared" ref="O207" si="645">+O205+O206</f>
        <v>5.0400000000000009</v>
      </c>
      <c r="P207" s="54">
        <f t="shared" ref="P207" si="646">+P205+P206</f>
        <v>5.8819999999999997</v>
      </c>
      <c r="Q207" s="54">
        <f t="shared" ref="Q207" si="647">+Q205+Q206</f>
        <v>5.3159999999999998</v>
      </c>
      <c r="R207" s="54">
        <f t="shared" ref="R207" si="648">+R205+R206</f>
        <v>7.1670000000000007</v>
      </c>
      <c r="S207" s="54">
        <f t="shared" ref="S207" si="649">+S205+S206</f>
        <v>8.39</v>
      </c>
      <c r="T207" s="54">
        <f t="shared" ref="T207" si="650">+T205+T206</f>
        <v>11.351000000000001</v>
      </c>
      <c r="U207" s="54">
        <f t="shared" ref="U207" si="651">+U205+U206</f>
        <v>9.5309999999999988</v>
      </c>
      <c r="V207" s="54">
        <f t="shared" ref="V207" si="652">+V205+V206</f>
        <v>11.672000000000001</v>
      </c>
      <c r="W207" s="54">
        <f t="shared" ref="W207" si="653">+W205+W206</f>
        <v>11.987</v>
      </c>
      <c r="X207" s="54">
        <f t="shared" ref="X207" si="654">+X205+X206</f>
        <v>12.106999999999999</v>
      </c>
      <c r="Y207" s="54">
        <f t="shared" ref="Y207" si="655">+Y205+Y206</f>
        <v>12.228999999999992</v>
      </c>
      <c r="Z207" s="54">
        <f t="shared" ref="Z207" si="656">+Z205+Z206</f>
        <v>12.303999999999975</v>
      </c>
      <c r="AA207" s="54">
        <f t="shared" ref="AA207" si="657">+AA205+AA206</f>
        <v>13.863</v>
      </c>
      <c r="AB207" s="54">
        <f t="shared" ref="AB207" si="658">+AB205+AB206</f>
        <v>11.503</v>
      </c>
      <c r="AC207" s="54">
        <f t="shared" ref="AC207" si="659">+AC205+AC206</f>
        <v>10.225</v>
      </c>
      <c r="AD207" s="54">
        <f t="shared" ref="AD207" si="660">+AD205+AD206</f>
        <v>8.7570000000000014</v>
      </c>
      <c r="AE207" s="54">
        <f t="shared" ref="AE207" si="661">+AE205+AE206</f>
        <v>8.73</v>
      </c>
      <c r="AF207" s="54">
        <f t="shared" ref="AF207" si="662">+AF205+AF206</f>
        <v>9.2439999999999998</v>
      </c>
      <c r="AG207" s="54">
        <f t="shared" ref="AG207" si="663">+AG205+AG206</f>
        <v>11.449</v>
      </c>
      <c r="AH207" s="54">
        <f t="shared" ref="AH207" si="664">+AH205+AH206</f>
        <v>7.6710000000000003</v>
      </c>
      <c r="AI207" s="54">
        <f t="shared" ref="AI207" si="665">+AI205+AI206</f>
        <v>3.702</v>
      </c>
      <c r="AJ207" s="54">
        <f t="shared" ref="AJ207" si="666">+AJ205+AJ206</f>
        <v>5.0369999999999999</v>
      </c>
      <c r="AK207" s="54">
        <f t="shared" ref="AK207" si="667">+AK205+AK206</f>
        <v>3.508</v>
      </c>
      <c r="AL207" s="54">
        <f t="shared" ref="AL207" si="668">+AL205+AL206</f>
        <v>1.1840000000000002</v>
      </c>
      <c r="AM207" s="54">
        <f t="shared" ref="AM207" si="669">+AM205+AM206</f>
        <v>1.8770000000000002</v>
      </c>
      <c r="AN207" s="54">
        <f t="shared" ref="AN207" si="670">+AN205+AN206</f>
        <v>3.0720000000000005</v>
      </c>
      <c r="AO207" s="54">
        <f t="shared" ref="AO207" si="671">+AO205+AO206</f>
        <v>2.4379999999999997</v>
      </c>
      <c r="AP207" s="54">
        <f t="shared" ref="AP207" si="672">+AP205+AP206</f>
        <v>0.59300000000000175</v>
      </c>
      <c r="AQ207" s="54">
        <f t="shared" ref="AQ207" si="673">+AQ205+AQ206</f>
        <v>0.22099999999999698</v>
      </c>
      <c r="AR207" s="54">
        <f t="shared" ref="AR207" si="674">+AR205+AR206</f>
        <v>3.5569999999999986</v>
      </c>
      <c r="AS207" s="54">
        <f>+AS205+AS206</f>
        <v>3.0180000000000042</v>
      </c>
      <c r="AT207" s="54">
        <f>+AT205+AT206</f>
        <v>1.792999999999997</v>
      </c>
      <c r="AU207" s="54">
        <f t="shared" ref="AU207:BF207" si="675">+AU205+AU206</f>
        <v>0.94452449567723384</v>
      </c>
      <c r="AV207" s="54">
        <f t="shared" si="675"/>
        <v>1.2910149855907793</v>
      </c>
      <c r="AW207" s="54">
        <f t="shared" si="675"/>
        <v>1.4359052853025962</v>
      </c>
      <c r="AX207" s="54">
        <f t="shared" si="675"/>
        <v>1.5896468910086474</v>
      </c>
      <c r="AY207" s="54">
        <f t="shared" si="675"/>
        <v>1.7527145038288197</v>
      </c>
      <c r="AZ207" s="54">
        <f t="shared" si="675"/>
        <v>1.9256072026553963</v>
      </c>
      <c r="BA207" s="54">
        <f t="shared" si="675"/>
        <v>2.1088496758960034</v>
      </c>
      <c r="BB207" s="54">
        <f t="shared" si="675"/>
        <v>2.3029935150607983</v>
      </c>
      <c r="BC207" s="54">
        <f t="shared" si="675"/>
        <v>2.5086185732912347</v>
      </c>
      <c r="BD207" s="54">
        <f t="shared" si="675"/>
        <v>2.7263343920827405</v>
      </c>
      <c r="BE207" s="54">
        <f t="shared" si="675"/>
        <v>2.9567816996163563</v>
      </c>
      <c r="BF207" s="54">
        <f t="shared" si="675"/>
        <v>3.2006339842852474</v>
      </c>
      <c r="BI207">
        <f t="shared" si="638"/>
        <v>200</v>
      </c>
    </row>
    <row r="208" spans="1:61" hidden="1" outlineLevel="2">
      <c r="B208" s="25" t="s">
        <v>58</v>
      </c>
      <c r="C208" s="54">
        <f t="shared" si="639"/>
        <v>-10.949999999999974</v>
      </c>
      <c r="D208" s="54">
        <f t="shared" si="639"/>
        <v>-16.961999999999975</v>
      </c>
      <c r="E208" s="54">
        <f t="shared" si="639"/>
        <v>-8.9170000000000016</v>
      </c>
      <c r="F208" s="54">
        <f t="shared" si="639"/>
        <v>-23.084000000000003</v>
      </c>
      <c r="G208" s="54">
        <f t="shared" si="639"/>
        <v>-23.925999999999959</v>
      </c>
      <c r="H208" s="54">
        <f t="shared" si="639"/>
        <v>-15.533000000000072</v>
      </c>
      <c r="I208" s="54">
        <f t="shared" si="639"/>
        <v>-7.9130000000000109</v>
      </c>
      <c r="J208" s="54">
        <f t="shared" si="639"/>
        <v>-29.401999999999994</v>
      </c>
      <c r="K208" s="54">
        <f t="shared" si="639"/>
        <v>-37.388069417172119</v>
      </c>
      <c r="L208" s="54">
        <f t="shared" si="639"/>
        <v>-38.9636206895171</v>
      </c>
      <c r="M208" s="54">
        <f t="shared" si="639"/>
        <v>-39.280337580069308</v>
      </c>
      <c r="O208" s="61">
        <v>-2.222999999999999</v>
      </c>
      <c r="P208" s="61">
        <v>-2.9549999999999841</v>
      </c>
      <c r="Q208" s="61">
        <v>-2.8509999999999849</v>
      </c>
      <c r="R208" s="61">
        <v>-2.9210000000000065</v>
      </c>
      <c r="S208" s="61">
        <v>-3.5719999999999885</v>
      </c>
      <c r="T208" s="61">
        <v>-4.2219999999999942</v>
      </c>
      <c r="U208" s="61">
        <v>-4.7769999999999868</v>
      </c>
      <c r="V208" s="61">
        <v>-4.3910000000000053</v>
      </c>
      <c r="W208" s="61">
        <v>-4.4690000000000083</v>
      </c>
      <c r="X208" s="61">
        <v>-4.8830000000000098</v>
      </c>
      <c r="Y208" s="84">
        <v>5.7060000000000173</v>
      </c>
      <c r="Z208" s="61">
        <v>-5.2710000000000008</v>
      </c>
      <c r="AA208" s="61">
        <v>-7.6219999999999857</v>
      </c>
      <c r="AB208" s="61">
        <v>-5.4590000000000032</v>
      </c>
      <c r="AC208" s="61">
        <v>-5.4590000000000032</v>
      </c>
      <c r="AD208" s="61">
        <v>-4.5440000000000111</v>
      </c>
      <c r="AE208" s="61">
        <v>-4.9939999999999998</v>
      </c>
      <c r="AF208" s="61">
        <v>-4.8139999999999645</v>
      </c>
      <c r="AG208" s="61">
        <v>-8.4469999999999743</v>
      </c>
      <c r="AH208" s="61">
        <v>-5.6710000000000207</v>
      </c>
      <c r="AI208" s="61">
        <v>-4.9000000000000341</v>
      </c>
      <c r="AJ208" s="61">
        <v>-4.5680000000000121</v>
      </c>
      <c r="AK208" s="61">
        <v>-3.4340000000000259</v>
      </c>
      <c r="AL208" s="61">
        <v>-2.6310000000000002</v>
      </c>
      <c r="AM208" s="61">
        <v>-2.5310000000000059</v>
      </c>
      <c r="AN208" s="61">
        <v>-1.8050000000000068</v>
      </c>
      <c r="AO208" s="61">
        <v>-1.8559999999999945</v>
      </c>
      <c r="AP208" s="94">
        <v>-1.7210000000000036</v>
      </c>
      <c r="AQ208" s="94">
        <v>-2.1720000000000255</v>
      </c>
      <c r="AR208" s="94">
        <v>-8.1199999999999761</v>
      </c>
      <c r="AS208" s="94">
        <v>-9.5339999999999918</v>
      </c>
      <c r="AT208" s="94">
        <v>-9.5760000000000005</v>
      </c>
      <c r="AU208" s="87">
        <f>AU247</f>
        <v>-9.2969112590810496</v>
      </c>
      <c r="AV208" s="87">
        <f t="shared" ref="AV208:BF208" si="676">AV247</f>
        <v>-9.3281857534498229</v>
      </c>
      <c r="AW208" s="87">
        <f t="shared" si="676"/>
        <v>-9.3626220617270111</v>
      </c>
      <c r="AX208" s="87">
        <f t="shared" si="676"/>
        <v>-9.4003503429142388</v>
      </c>
      <c r="AY208" s="87">
        <f t="shared" si="676"/>
        <v>-9.5582892437691722</v>
      </c>
      <c r="AZ208" s="87">
        <f t="shared" si="676"/>
        <v>-9.657510391693652</v>
      </c>
      <c r="BA208" s="87">
        <f t="shared" si="676"/>
        <v>-9.7549229283001058</v>
      </c>
      <c r="BB208" s="87">
        <f t="shared" si="676"/>
        <v>-9.9928981257541754</v>
      </c>
      <c r="BC208" s="87">
        <f t="shared" si="676"/>
        <v>-10.000319944662962</v>
      </c>
      <c r="BD208" s="87">
        <f t="shared" si="676"/>
        <v>-9.8748295998505355</v>
      </c>
      <c r="BE208" s="87">
        <f t="shared" si="676"/>
        <v>-9.7571571938863677</v>
      </c>
      <c r="BF208" s="87">
        <f t="shared" si="676"/>
        <v>-9.648030841669442</v>
      </c>
      <c r="BI208">
        <f t="shared" si="638"/>
        <v>201</v>
      </c>
    </row>
    <row r="209" spans="1:61" hidden="1" outlineLevel="2">
      <c r="B209" s="19" t="s">
        <v>59</v>
      </c>
      <c r="C209" s="54">
        <f t="shared" si="639"/>
        <v>12.455000000000027</v>
      </c>
      <c r="D209" s="54">
        <f t="shared" si="639"/>
        <v>23.982000000000024</v>
      </c>
      <c r="E209" s="54">
        <f t="shared" si="639"/>
        <v>39.709999999999965</v>
      </c>
      <c r="F209" s="54">
        <f t="shared" si="639"/>
        <v>21.263999999999999</v>
      </c>
      <c r="G209" s="54">
        <f t="shared" si="639"/>
        <v>13.168000000000042</v>
      </c>
      <c r="H209" s="54">
        <f t="shared" si="639"/>
        <v>-2.1020000000000723</v>
      </c>
      <c r="I209" s="54">
        <f t="shared" si="639"/>
        <v>6.6999999999991289E-2</v>
      </c>
      <c r="J209" s="54">
        <f t="shared" si="639"/>
        <v>-20.812999999999995</v>
      </c>
      <c r="K209" s="54">
        <f t="shared" si="639"/>
        <v>-32.126977759592862</v>
      </c>
      <c r="L209" s="54">
        <f t="shared" si="639"/>
        <v>-30.873455792076086</v>
      </c>
      <c r="M209" s="54">
        <f t="shared" si="639"/>
        <v>-27.887968930793729</v>
      </c>
      <c r="O209" s="54">
        <f t="shared" ref="O209" si="677">+O207+O208</f>
        <v>2.8170000000000019</v>
      </c>
      <c r="P209" s="54">
        <f t="shared" ref="P209" si="678">+P207+P208</f>
        <v>2.9270000000000156</v>
      </c>
      <c r="Q209" s="54">
        <f t="shared" ref="Q209" si="679">+Q207+Q208</f>
        <v>2.465000000000015</v>
      </c>
      <c r="R209" s="54">
        <f t="shared" ref="R209" si="680">+R207+R208</f>
        <v>4.2459999999999942</v>
      </c>
      <c r="S209" s="54">
        <f t="shared" ref="S209" si="681">+S207+S208</f>
        <v>4.8180000000000121</v>
      </c>
      <c r="T209" s="54">
        <f t="shared" ref="T209" si="682">+T207+T208</f>
        <v>7.1290000000000067</v>
      </c>
      <c r="U209" s="54">
        <f t="shared" ref="U209" si="683">+U207+U208</f>
        <v>4.754000000000012</v>
      </c>
      <c r="V209" s="54">
        <f t="shared" ref="V209" si="684">+V207+V208</f>
        <v>7.2809999999999953</v>
      </c>
      <c r="W209" s="54">
        <f t="shared" ref="W209" si="685">+W207+W208</f>
        <v>7.5179999999999918</v>
      </c>
      <c r="X209" s="54">
        <f t="shared" ref="X209" si="686">+X207+X208</f>
        <v>7.2239999999999895</v>
      </c>
      <c r="Y209" s="54">
        <f t="shared" ref="Y209" si="687">+Y207+Y208</f>
        <v>17.935000000000009</v>
      </c>
      <c r="Z209" s="54">
        <f t="shared" ref="Z209" si="688">+Z207+Z208</f>
        <v>7.0329999999999746</v>
      </c>
      <c r="AA209" s="54">
        <f t="shared" ref="AA209" si="689">+AA207+AA208</f>
        <v>6.2410000000000139</v>
      </c>
      <c r="AB209" s="54">
        <f t="shared" ref="AB209" si="690">+AB207+AB208</f>
        <v>6.0439999999999969</v>
      </c>
      <c r="AC209" s="54">
        <f t="shared" ref="AC209" si="691">+AC207+AC208</f>
        <v>4.7659999999999965</v>
      </c>
      <c r="AD209" s="54">
        <f t="shared" ref="AD209" si="692">+AD207+AD208</f>
        <v>4.2129999999999903</v>
      </c>
      <c r="AE209" s="54">
        <f t="shared" ref="AE209" si="693">+AE207+AE208</f>
        <v>3.7360000000000007</v>
      </c>
      <c r="AF209" s="54">
        <f t="shared" ref="AF209" si="694">+AF207+AF208</f>
        <v>4.4300000000000352</v>
      </c>
      <c r="AG209" s="54">
        <f t="shared" ref="AG209" si="695">+AG207+AG208</f>
        <v>3.0020000000000255</v>
      </c>
      <c r="AH209" s="54">
        <f t="shared" ref="AH209" si="696">+AH207+AH208</f>
        <v>1.9999999999999796</v>
      </c>
      <c r="AI209" s="54">
        <f t="shared" ref="AI209" si="697">+AI207+AI208</f>
        <v>-1.1980000000000341</v>
      </c>
      <c r="AJ209" s="54">
        <f t="shared" ref="AJ209" si="698">+AJ207+AJ208</f>
        <v>0.46899999999998787</v>
      </c>
      <c r="AK209" s="54">
        <f t="shared" ref="AK209" si="699">+AK207+AK208</f>
        <v>7.3999999999974087E-2</v>
      </c>
      <c r="AL209" s="54">
        <f t="shared" ref="AL209" si="700">+AL207+AL208</f>
        <v>-1.4470000000000001</v>
      </c>
      <c r="AM209" s="54">
        <f t="shared" ref="AM209" si="701">+AM207+AM208</f>
        <v>-0.65400000000000569</v>
      </c>
      <c r="AN209" s="54">
        <f t="shared" ref="AN209" si="702">+AN207+AN208</f>
        <v>1.2669999999999937</v>
      </c>
      <c r="AO209" s="54">
        <f t="shared" ref="AO209" si="703">+AO207+AO208</f>
        <v>0.58200000000000518</v>
      </c>
      <c r="AP209" s="54">
        <f t="shared" ref="AP209" si="704">+AP207+AP208</f>
        <v>-1.1280000000000019</v>
      </c>
      <c r="AQ209" s="54">
        <f t="shared" ref="AQ209" si="705">+AQ207+AQ208</f>
        <v>-1.9510000000000285</v>
      </c>
      <c r="AR209" s="54">
        <f t="shared" ref="AR209" si="706">+AR207+AR208</f>
        <v>-4.5629999999999775</v>
      </c>
      <c r="AS209" s="54">
        <f>+AS207+AS208</f>
        <v>-6.5159999999999876</v>
      </c>
      <c r="AT209" s="54">
        <f>+AT207+AT208</f>
        <v>-7.783000000000003</v>
      </c>
      <c r="AU209" s="54">
        <f t="shared" ref="AU209:BF209" si="707">+AU207+AU208</f>
        <v>-8.3523867634038158</v>
      </c>
      <c r="AV209" s="54">
        <f t="shared" si="707"/>
        <v>-8.0371707678590436</v>
      </c>
      <c r="AW209" s="54">
        <f t="shared" si="707"/>
        <v>-7.9267167764244153</v>
      </c>
      <c r="AX209" s="54">
        <f t="shared" si="707"/>
        <v>-7.8107034519055913</v>
      </c>
      <c r="AY209" s="54">
        <f t="shared" si="707"/>
        <v>-7.8055747399403526</v>
      </c>
      <c r="AZ209" s="54">
        <f t="shared" si="707"/>
        <v>-7.7319031890382561</v>
      </c>
      <c r="BA209" s="54">
        <f t="shared" si="707"/>
        <v>-7.6460732524041024</v>
      </c>
      <c r="BB209" s="54">
        <f t="shared" si="707"/>
        <v>-7.6899046106933771</v>
      </c>
      <c r="BC209" s="54">
        <f t="shared" si="707"/>
        <v>-7.4917013713717271</v>
      </c>
      <c r="BD209" s="54">
        <f t="shared" si="707"/>
        <v>-7.1484952077677946</v>
      </c>
      <c r="BE209" s="54">
        <f t="shared" si="707"/>
        <v>-6.8003754942700114</v>
      </c>
      <c r="BF209" s="54">
        <f t="shared" si="707"/>
        <v>-6.4473968573841951</v>
      </c>
      <c r="BI209">
        <f t="shared" si="638"/>
        <v>202</v>
      </c>
    </row>
    <row r="210" spans="1:61" hidden="1" outlineLevel="2">
      <c r="BI210">
        <f t="shared" si="638"/>
        <v>203</v>
      </c>
    </row>
    <row r="211" spans="1:61" hidden="1" outlineLevel="2">
      <c r="B211" s="19" t="s">
        <v>85</v>
      </c>
      <c r="C211" s="68"/>
      <c r="D211" s="68">
        <f t="shared" ref="D211" si="708">D203/C203-1</f>
        <v>0.66175842235004101</v>
      </c>
      <c r="E211" s="68">
        <f t="shared" ref="E211" si="709">E203/D203-1</f>
        <v>0.18534781146778956</v>
      </c>
      <c r="F211" s="68">
        <f t="shared" ref="F211" si="710">F203/E203-1</f>
        <v>-4.4602035708325771E-2</v>
      </c>
      <c r="G211" s="68">
        <f t="shared" ref="G211" si="711">G203/F203-1</f>
        <v>-0.12332116597097309</v>
      </c>
      <c r="H211" s="68">
        <f t="shared" ref="H211" si="712">H203/G203-1</f>
        <v>-0.50332695832337238</v>
      </c>
      <c r="I211" s="68">
        <f t="shared" ref="I211" si="713">I203/H203-1</f>
        <v>-0.27267257631061737</v>
      </c>
      <c r="J211" s="68">
        <f t="shared" ref="J211" si="714">J203/I203-1</f>
        <v>2.9022776153973417</v>
      </c>
      <c r="K211" s="68">
        <f t="shared" ref="K211" si="715">K203/J203-1</f>
        <v>0.27914959016393448</v>
      </c>
      <c r="L211" s="68">
        <f t="shared" ref="L211" si="716">L203/K203-1</f>
        <v>0.21550625000000045</v>
      </c>
      <c r="M211" s="68">
        <f t="shared" ref="M211" si="717">M203/L203-1</f>
        <v>0.21550625000000023</v>
      </c>
      <c r="O211" s="68"/>
      <c r="P211" s="68">
        <f t="shared" ref="P211" si="718">P203/O203-1</f>
        <v>7.8851027879470514E-2</v>
      </c>
      <c r="Q211" s="68">
        <f t="shared" ref="Q211" si="719">Q203/P203-1</f>
        <v>-0.11250326285565126</v>
      </c>
      <c r="R211" s="68">
        <f t="shared" ref="R211" si="720">R203/Q203-1</f>
        <v>0.30308823529411777</v>
      </c>
      <c r="S211" s="68">
        <f t="shared" ref="S211" si="721">S203/R203-1</f>
        <v>0.17221532558401975</v>
      </c>
      <c r="T211" s="68">
        <f t="shared" ref="T211" si="722">T203/S203-1</f>
        <v>0.29527293732550297</v>
      </c>
      <c r="U211" s="68">
        <f t="shared" ref="U211" si="723">U203/T203-1</f>
        <v>-0.12018730489073892</v>
      </c>
      <c r="V211" s="68">
        <f t="shared" ref="V211" si="724">V203/U203-1</f>
        <v>0.25715975331587404</v>
      </c>
      <c r="W211" s="68">
        <f t="shared" ref="W211" si="725">W203/V203-1</f>
        <v>-1.1020764733552846E-2</v>
      </c>
      <c r="X211" s="68">
        <f t="shared" ref="X211" si="726">X203/W203-1</f>
        <v>-1.8346130325475052E-3</v>
      </c>
      <c r="Y211" s="68">
        <f t="shared" ref="Y211" si="727">Y203/X203-1</f>
        <v>1.6541865214431128E-2</v>
      </c>
      <c r="Z211" s="68">
        <f t="shared" ref="Z211" si="728">Z203/Y203-1</f>
        <v>4.3996517779413491E-2</v>
      </c>
      <c r="AA211" s="68">
        <f t="shared" ref="AA211" si="729">AA203/Z203-1</f>
        <v>7.6651699807570584E-2</v>
      </c>
      <c r="AB211" s="68">
        <f t="shared" ref="AB211" si="730">AB203/AA203-1</f>
        <v>-0.1232052427762883</v>
      </c>
      <c r="AC211" s="68">
        <f t="shared" ref="AC211" si="731">AC203/AB203-1</f>
        <v>-6.0474281443228972E-2</v>
      </c>
      <c r="AD211" s="68">
        <f t="shared" ref="AD211" si="732">AD203/AC203-1</f>
        <v>-0.13733998698199168</v>
      </c>
      <c r="AE211" s="68">
        <f t="shared" ref="AE211" si="733">AE203/AD203-1</f>
        <v>6.3715627095908278E-3</v>
      </c>
      <c r="AF211" s="68">
        <f t="shared" ref="AF211" si="734">AF203/AE203-1</f>
        <v>9.3302232589136391E-3</v>
      </c>
      <c r="AG211" s="68">
        <f t="shared" ref="AG211" si="735">AG203/AF203-1</f>
        <v>0.2152525586001981</v>
      </c>
      <c r="AH211" s="68">
        <f t="shared" ref="AH211" si="736">AH203/AG203-1</f>
        <v>-0.22901385493072535</v>
      </c>
      <c r="AI211" s="68">
        <f t="shared" ref="AI211" si="737">AI203/AH203-1</f>
        <v>-0.4274136715997181</v>
      </c>
      <c r="AJ211" s="68">
        <f t="shared" ref="AJ211" si="738">AJ203/AI203-1</f>
        <v>0.20246153846153847</v>
      </c>
      <c r="AK211" s="68">
        <f t="shared" ref="AK211" si="739">AK203/AJ203-1</f>
        <v>-0.22888945752302969</v>
      </c>
      <c r="AL211" s="68">
        <f t="shared" ref="AL211" si="740">AL203/AK203-1</f>
        <v>-0.23875891820142692</v>
      </c>
      <c r="AM211" s="68">
        <f t="shared" ref="AM211" si="741">AM203/AL203-1</f>
        <v>-0.1353530950305144</v>
      </c>
      <c r="AN211" s="68">
        <f t="shared" ref="AN211" si="742">AN203/AM203-1</f>
        <v>0.19032014116460805</v>
      </c>
      <c r="AO211" s="68">
        <f t="shared" ref="AO211" si="743">AO203/AN203-1</f>
        <v>-9.2757306226175507E-2</v>
      </c>
      <c r="AP211" s="68">
        <f t="shared" ref="AP211" si="744">AP203/AO203-1</f>
        <v>0.204481792717087</v>
      </c>
      <c r="AQ211" s="68">
        <f t="shared" ref="AQ211" si="745">AQ203/AP203-1</f>
        <v>2.1899224806201545E-2</v>
      </c>
      <c r="AR211" s="68">
        <f t="shared" ref="AR211" si="746">AR203/AQ203-1</f>
        <v>2.6091409065048361</v>
      </c>
      <c r="AS211" s="68">
        <f>AS203/AR203-1</f>
        <v>9.9994745415375119E-2</v>
      </c>
      <c r="AT211" s="68">
        <f>AT203/AS203-1</f>
        <v>0.2191649947453902</v>
      </c>
      <c r="AU211" s="68">
        <f t="shared" ref="AU211:BF211" si="747">AU203/AT203-1</f>
        <v>-0.17718047174986284</v>
      </c>
      <c r="AV211" s="68">
        <f t="shared" si="747"/>
        <v>5.0000000000000044E-2</v>
      </c>
      <c r="AW211" s="68">
        <f t="shared" si="747"/>
        <v>5.0000000000000044E-2</v>
      </c>
      <c r="AX211" s="68">
        <f t="shared" si="747"/>
        <v>5.0000000000000044E-2</v>
      </c>
      <c r="AY211" s="68">
        <f t="shared" si="747"/>
        <v>5.0000000000000044E-2</v>
      </c>
      <c r="AZ211" s="68">
        <f t="shared" si="747"/>
        <v>5.0000000000000044E-2</v>
      </c>
      <c r="BA211" s="68">
        <f t="shared" si="747"/>
        <v>5.0000000000000044E-2</v>
      </c>
      <c r="BB211" s="68">
        <f t="shared" si="747"/>
        <v>5.0000000000000044E-2</v>
      </c>
      <c r="BC211" s="68">
        <f t="shared" si="747"/>
        <v>5.0000000000000044E-2</v>
      </c>
      <c r="BD211" s="68">
        <f t="shared" si="747"/>
        <v>5.0000000000000044E-2</v>
      </c>
      <c r="BE211" s="68">
        <f t="shared" si="747"/>
        <v>5.0000000000000044E-2</v>
      </c>
      <c r="BF211" s="68">
        <f t="shared" si="747"/>
        <v>5.0000000000000044E-2</v>
      </c>
      <c r="BI211">
        <f t="shared" si="638"/>
        <v>204</v>
      </c>
    </row>
    <row r="212" spans="1:61" hidden="1" outlineLevel="2">
      <c r="B212" s="19" t="s">
        <v>87</v>
      </c>
      <c r="C212" s="68">
        <f t="shared" ref="C212:D212" si="748">C205/C203</f>
        <v>0.76926869350862781</v>
      </c>
      <c r="D212" s="68">
        <f t="shared" si="748"/>
        <v>0.80982614371328554</v>
      </c>
      <c r="E212" s="68">
        <f t="shared" ref="E212:M212" si="749">E205/E203</f>
        <v>0.81139662940096768</v>
      </c>
      <c r="F212" s="68">
        <f t="shared" si="749"/>
        <v>0.77454285065581496</v>
      </c>
      <c r="G212" s="68">
        <f t="shared" si="749"/>
        <v>0.73898318591122802</v>
      </c>
      <c r="H212" s="68">
        <f t="shared" si="749"/>
        <v>0.53872688620592835</v>
      </c>
      <c r="I212" s="68">
        <f t="shared" si="749"/>
        <v>0.53763855953234441</v>
      </c>
      <c r="J212" s="68">
        <f t="shared" si="749"/>
        <v>0.27320520067834936</v>
      </c>
      <c r="K212" s="68">
        <f t="shared" si="749"/>
        <v>0.17767988167396542</v>
      </c>
      <c r="L212" s="68">
        <f t="shared" si="749"/>
        <v>0.17999999999999997</v>
      </c>
      <c r="M212" s="68">
        <f t="shared" si="749"/>
        <v>0.18</v>
      </c>
      <c r="O212" s="68">
        <f t="shared" ref="O212:AR212" si="750">O205/O203</f>
        <v>0.7096592509152353</v>
      </c>
      <c r="P212" s="68">
        <f t="shared" si="750"/>
        <v>0.76768467762986159</v>
      </c>
      <c r="Q212" s="68">
        <f t="shared" si="750"/>
        <v>0.78176470588235292</v>
      </c>
      <c r="R212" s="68">
        <f t="shared" si="750"/>
        <v>0.80882518903058342</v>
      </c>
      <c r="S212" s="68">
        <f t="shared" si="750"/>
        <v>0.80774044478675266</v>
      </c>
      <c r="T212" s="68">
        <f t="shared" si="750"/>
        <v>0.84368960903820422</v>
      </c>
      <c r="U212" s="68">
        <f t="shared" si="750"/>
        <v>0.80518712511616108</v>
      </c>
      <c r="V212" s="68">
        <f t="shared" si="750"/>
        <v>0.78435589006115181</v>
      </c>
      <c r="W212" s="68">
        <f t="shared" si="750"/>
        <v>0.81450023782020786</v>
      </c>
      <c r="X212" s="68">
        <f t="shared" si="750"/>
        <v>0.82416609938733831</v>
      </c>
      <c r="Y212" s="68">
        <f t="shared" si="750"/>
        <v>0.81892452956539197</v>
      </c>
      <c r="Z212" s="68">
        <f t="shared" si="750"/>
        <v>0.78922386144964685</v>
      </c>
      <c r="AA212" s="68">
        <f t="shared" si="750"/>
        <v>0.82591599642537972</v>
      </c>
      <c r="AB212" s="68">
        <f t="shared" si="750"/>
        <v>0.78161310049602495</v>
      </c>
      <c r="AC212" s="68">
        <f t="shared" si="750"/>
        <v>0.73949519056917623</v>
      </c>
      <c r="AD212" s="68">
        <f t="shared" si="750"/>
        <v>0.73415492957746487</v>
      </c>
      <c r="AE212" s="68">
        <f t="shared" si="750"/>
        <v>0.72725758080639791</v>
      </c>
      <c r="AF212" s="68">
        <f t="shared" si="750"/>
        <v>0.76295807197094756</v>
      </c>
      <c r="AG212" s="68">
        <f t="shared" si="750"/>
        <v>0.77757402879652271</v>
      </c>
      <c r="AH212" s="68">
        <f t="shared" si="750"/>
        <v>0.67573995771670192</v>
      </c>
      <c r="AI212" s="68">
        <f t="shared" si="750"/>
        <v>0.56953846153846155</v>
      </c>
      <c r="AJ212" s="68">
        <f t="shared" si="750"/>
        <v>0.64444728761514847</v>
      </c>
      <c r="AK212" s="68">
        <f t="shared" si="750"/>
        <v>0.58204745312759254</v>
      </c>
      <c r="AL212" s="68">
        <f t="shared" si="750"/>
        <v>0.25806451612903231</v>
      </c>
      <c r="AM212" s="68">
        <f t="shared" si="750"/>
        <v>0.47315351651121756</v>
      </c>
      <c r="AN212" s="68">
        <f t="shared" si="750"/>
        <v>0.65057179161372303</v>
      </c>
      <c r="AO212" s="68">
        <f t="shared" si="750"/>
        <v>0.56909430438842201</v>
      </c>
      <c r="AP212" s="68">
        <f t="shared" si="750"/>
        <v>0.45775193798449615</v>
      </c>
      <c r="AQ212" s="68">
        <f t="shared" si="750"/>
        <v>0.38194576142613312</v>
      </c>
      <c r="AR212" s="68">
        <f t="shared" si="750"/>
        <v>0.3341915821554306</v>
      </c>
      <c r="AS212" s="68">
        <f>AS205/AS203</f>
        <v>0.30180567497850391</v>
      </c>
      <c r="AT212" s="68">
        <f>AT205/AT203</f>
        <v>0.18180393386098256</v>
      </c>
      <c r="AU212" s="68">
        <f t="shared" ref="AU212:BF212" si="751">AU205/AU203</f>
        <v>0.17</v>
      </c>
      <c r="AV212" s="68">
        <f t="shared" si="751"/>
        <v>0.18000000000000005</v>
      </c>
      <c r="AW212" s="68">
        <f t="shared" si="751"/>
        <v>0.18000000000000008</v>
      </c>
      <c r="AX212" s="68">
        <f t="shared" si="751"/>
        <v>0.18000000000000005</v>
      </c>
      <c r="AY212" s="68">
        <f t="shared" si="751"/>
        <v>0.18000000000000002</v>
      </c>
      <c r="AZ212" s="68">
        <f t="shared" si="751"/>
        <v>0.18</v>
      </c>
      <c r="BA212" s="68">
        <f t="shared" si="751"/>
        <v>0.17999999999999997</v>
      </c>
      <c r="BB212" s="68">
        <f t="shared" si="751"/>
        <v>0.17999999999999994</v>
      </c>
      <c r="BC212" s="68">
        <f t="shared" si="751"/>
        <v>0.18</v>
      </c>
      <c r="BD212" s="68">
        <f t="shared" si="751"/>
        <v>0.18000000000000005</v>
      </c>
      <c r="BE212" s="68">
        <f t="shared" si="751"/>
        <v>0.17999999999999997</v>
      </c>
      <c r="BF212" s="68">
        <f t="shared" si="751"/>
        <v>0.18000000000000002</v>
      </c>
      <c r="BI212">
        <f t="shared" si="638"/>
        <v>205</v>
      </c>
    </row>
    <row r="213" spans="1:61" hidden="1" outlineLevel="2">
      <c r="B213" s="19" t="s">
        <v>128</v>
      </c>
      <c r="C213" s="68"/>
      <c r="D213" s="68">
        <f t="shared" ref="D213" si="752">IFERROR((D205-C205)/(D203-C203),"NM")</f>
        <v>0.87111353928677882</v>
      </c>
      <c r="E213" s="68">
        <f t="shared" ref="E213" si="753">IFERROR((E205-D205)/(E203-D203),"NM")</f>
        <v>0.81986981111941004</v>
      </c>
      <c r="F213" s="68">
        <f t="shared" ref="F213" si="754">IFERROR((F205-E205)/(F203-E203),"NM")</f>
        <v>1.6008230452675021</v>
      </c>
      <c r="G213" s="68">
        <f t="shared" ref="G213" si="755">IFERROR((G205-F205)/(G203-F203),"NM")</f>
        <v>1.027333238917999</v>
      </c>
      <c r="H213" s="68">
        <f t="shared" ref="H213" si="756">IFERROR((H205-G205)/(H203-G203),"NM")</f>
        <v>0.93659212349099552</v>
      </c>
      <c r="I213" s="68">
        <f t="shared" ref="I213" si="757">IFERROR((I205-H205)/(I203-H203),"NM")</f>
        <v>0.54162989114445415</v>
      </c>
      <c r="J213" s="68">
        <f t="shared" ref="J213" si="758">IFERROR((J205-I205)/(J203-I203),"NM")</f>
        <v>0.18209284207726067</v>
      </c>
      <c r="K213" s="68">
        <f t="shared" ref="K213" si="759">IFERROR((K205-J205)/(K203-J203),"NM")</f>
        <v>-0.16452129780219035</v>
      </c>
      <c r="L213" s="68">
        <f t="shared" ref="L213" si="760">IFERROR((L205-K205)/(L203-K203),"NM")</f>
        <v>0.190765898093603</v>
      </c>
      <c r="M213" s="68">
        <f t="shared" ref="M213" si="761">IFERROR((M205-L205)/(M203-L203),"NM")</f>
        <v>0.18000000000000013</v>
      </c>
      <c r="O213" s="68"/>
      <c r="P213" s="68">
        <f t="shared" ref="P213" si="762">IFERROR((P205-O205)/(P203-O203),"NM")</f>
        <v>1.5035714285714274</v>
      </c>
      <c r="Q213" s="68">
        <f t="shared" ref="Q213" si="763">IFERROR((Q205-P205)/(Q203-P203),"NM")</f>
        <v>0.65661252900231992</v>
      </c>
      <c r="R213" s="68">
        <f t="shared" ref="R213" si="764">IFERROR((R205-Q205)/(R203-Q203),"NM")</f>
        <v>0.89810771470160122</v>
      </c>
      <c r="S213" s="68">
        <f t="shared" ref="S213" si="765">IFERROR((S205-R205)/(S203-R203),"NM")</f>
        <v>0.80144167758846663</v>
      </c>
      <c r="T213" s="68">
        <f t="shared" ref="T213" si="766">IFERROR((T205-S205)/(T203-S203),"NM")</f>
        <v>0.96543853928920775</v>
      </c>
      <c r="U213" s="68">
        <f t="shared" ref="U213" si="767">IFERROR((U205-T205)/(U203-T203),"NM")</f>
        <v>1.1255411255411263</v>
      </c>
      <c r="V213" s="68">
        <f t="shared" ref="V213" si="768">IFERROR((V205-U205)/(V203-U203),"NM")</f>
        <v>0.70335085413929088</v>
      </c>
      <c r="W213" s="68">
        <f t="shared" ref="W213" si="769">IFERROR((W205-V205)/(W203-V203),"NM")</f>
        <v>-1.9207317073170735</v>
      </c>
      <c r="X213" s="68">
        <f t="shared" ref="X213" si="770">IFERROR((X205-W205)/(X203-W203),"NM")</f>
        <v>-4.4444444444442475</v>
      </c>
      <c r="Y213" s="68">
        <f t="shared" ref="Y213" si="771">IFERROR((Y205-X205)/(Y203-X203),"NM")</f>
        <v>0.50205761316870856</v>
      </c>
      <c r="Z213" s="68">
        <f t="shared" ref="Z213" si="772">IFERROR((Z205-Y205)/(Z203-Y203),"NM")</f>
        <v>0.11415525114153018</v>
      </c>
      <c r="AA213" s="68">
        <f t="shared" ref="AA213" si="773">IFERROR((AA205-Z205)/(AA203-Z203),"NM")</f>
        <v>1.3046025104602439</v>
      </c>
      <c r="AB213" s="68">
        <f t="shared" ref="AB213" si="774">IFERROR((AB205-AA205)/(AB203-AA203),"NM")</f>
        <v>1.1411992263056092</v>
      </c>
      <c r="AC213" s="68">
        <f t="shared" ref="AC213" si="775">IFERROR((AC205-AB205)/(AC203-AB203),"NM")</f>
        <v>1.4359550561797749</v>
      </c>
      <c r="AD213" s="68">
        <f t="shared" ref="AD213" si="776">IFERROR((AD205-AC205)/(AD203-AC203),"NM")</f>
        <v>0.77303844128488619</v>
      </c>
      <c r="AE213" s="68">
        <f t="shared" ref="AE213" si="777">IFERROR((AE205-AD205)/(AE203-AD203),"NM")</f>
        <v>-0.35526315789475621</v>
      </c>
      <c r="AF213" s="68">
        <f t="shared" ref="AF213" si="778">IFERROR((AF205-AE205)/(AF203-AE203),"NM")</f>
        <v>4.5892857142857046</v>
      </c>
      <c r="AG213" s="68">
        <f t="shared" ref="AG213" si="779">IFERROR((AG205-AF205)/(AG203-AF203),"NM")</f>
        <v>0.84547546012269925</v>
      </c>
      <c r="AH213" s="68">
        <f t="shared" ref="AH213" si="780">IFERROR((AH205-AG205)/(AH203-AG203),"NM")</f>
        <v>1.120403321470937</v>
      </c>
      <c r="AI213" s="68">
        <f t="shared" ref="AI213" si="781">IFERROR((AI205-AH205)/(AI203-AH203),"NM")</f>
        <v>0.81801319043693321</v>
      </c>
      <c r="AJ213" s="68">
        <f t="shared" ref="AJ213" si="782">IFERROR((AJ205-AI205)/(AJ203-AI203),"NM")</f>
        <v>1.014437689969605</v>
      </c>
      <c r="AK213" s="68">
        <f t="shared" ref="AK213" si="783">IFERROR((AK205-AJ205)/(AK203-AJ203),"NM")</f>
        <v>0.85466741196199003</v>
      </c>
      <c r="AL213" s="68">
        <f t="shared" ref="AL213" si="784">IFERROR((AL205-AK205)/(AL203-AK203),"NM")</f>
        <v>1.6150104239054897</v>
      </c>
      <c r="AM213" s="68">
        <f t="shared" ref="AM213" si="785">IFERROR((AM205-AL205)/(AM203-AL203),"NM")</f>
        <v>-1.1159420289855073</v>
      </c>
      <c r="AN213" s="68">
        <f t="shared" ref="AN213" si="786">IFERROR((AN205-AM205)/(AN203-AM203),"NM")</f>
        <v>1.582781456953642</v>
      </c>
      <c r="AO213" s="68">
        <f t="shared" ref="AO213" si="787">IFERROR((AO205-AN205)/(AO203-AN203),"NM")</f>
        <v>1.4474885844748857</v>
      </c>
      <c r="AP213" s="68">
        <f t="shared" ref="AP213" si="788">IFERROR((AP205-AO205)/(AP203-AO203),"NM")</f>
        <v>-8.6757990867579446E-2</v>
      </c>
      <c r="AQ213" s="68">
        <f t="shared" ref="AQ213" si="789">IFERROR((AQ205-AP205)/(AQ203-AP203),"NM")</f>
        <v>-3.07964601769913</v>
      </c>
      <c r="AR213" s="68">
        <f t="shared" ref="AR213" si="790">IFERROR((AR205-AQ205)/(AR203-AQ203),"NM")</f>
        <v>0.31588893734554446</v>
      </c>
      <c r="AS213" s="68">
        <f t="shared" ref="AS213:AT213" si="791">IFERROR((AS205-AR205)/(AS203-AR203),"NM")</f>
        <v>-2.2070415133997892E-2</v>
      </c>
      <c r="AT213" s="68">
        <f t="shared" si="791"/>
        <v>-0.36573670444638301</v>
      </c>
      <c r="AU213" s="68">
        <f t="shared" ref="AU213" si="792">IFERROR((AU205-AT205)/(AU203-AT203),"NM")</f>
        <v>0.23662096417514311</v>
      </c>
      <c r="AV213" s="68">
        <f t="shared" ref="AV213" si="793">IFERROR((AV205-AU205)/(AV203-AU203),"NM")</f>
        <v>0.38000000000000062</v>
      </c>
      <c r="AW213" s="68">
        <f t="shared" ref="AW213" si="794">IFERROR((AW205-AV205)/(AW203-AV203),"NM")</f>
        <v>0.18000000000000058</v>
      </c>
      <c r="AX213" s="68">
        <f t="shared" ref="AX213" si="795">IFERROR((AX205-AW205)/(AX203-AW203),"NM")</f>
        <v>0.17999999999999958</v>
      </c>
      <c r="AY213" s="68">
        <f t="shared" ref="AY213" si="796">IFERROR((AY205-AX205)/(AY203-AX203),"NM")</f>
        <v>0.17999999999999924</v>
      </c>
      <c r="AZ213" s="68">
        <f t="shared" ref="AZ213" si="797">IFERROR((AZ205-AY205)/(AZ203-AY203),"NM")</f>
        <v>0.17999999999999988</v>
      </c>
      <c r="BA213" s="68">
        <f t="shared" ref="BA213" si="798">IFERROR((BA205-AZ205)/(BA203-AZ203),"NM")</f>
        <v>0.17999999999999916</v>
      </c>
      <c r="BB213" s="68">
        <f t="shared" ref="BB213" si="799">IFERROR((BB205-BA205)/(BB203-BA203),"NM")</f>
        <v>0.17999999999999966</v>
      </c>
      <c r="BC213" s="68">
        <f t="shared" ref="BC213" si="800">IFERROR((BC205-BB205)/(BC203-BB203),"NM")</f>
        <v>0.18000000000000091</v>
      </c>
      <c r="BD213" s="68">
        <f t="shared" ref="BD213" si="801">IFERROR((BD205-BC205)/(BD203-BC203),"NM")</f>
        <v>0.18000000000000119</v>
      </c>
      <c r="BE213" s="68">
        <f t="shared" ref="BE213" si="802">IFERROR((BE205-BD205)/(BE203-BD203),"NM")</f>
        <v>0.17999999999999799</v>
      </c>
      <c r="BF213" s="68">
        <f t="shared" ref="BF213" si="803">IFERROR((BF205-BE205)/(BF203-BE203),"NM")</f>
        <v>0.18000000000000116</v>
      </c>
      <c r="BI213">
        <f t="shared" si="638"/>
        <v>206</v>
      </c>
    </row>
    <row r="214" spans="1:61" hidden="1" outlineLevel="2">
      <c r="B214" s="19" t="s">
        <v>126</v>
      </c>
      <c r="C214" s="68">
        <f t="shared" ref="C214:D214" si="804">C207/C203</f>
        <v>0.76926869350862781</v>
      </c>
      <c r="D214" s="68">
        <f t="shared" si="804"/>
        <v>0.80982614371328554</v>
      </c>
      <c r="E214" s="68">
        <f t="shared" ref="E214:M214" si="805">E207/E203</f>
        <v>0.81139662940096768</v>
      </c>
      <c r="F214" s="68">
        <f t="shared" si="805"/>
        <v>0.77454285065581496</v>
      </c>
      <c r="G214" s="68">
        <f t="shared" si="805"/>
        <v>0.73898318591122802</v>
      </c>
      <c r="H214" s="68">
        <f t="shared" si="805"/>
        <v>0.53872688620592835</v>
      </c>
      <c r="I214" s="68">
        <f t="shared" si="805"/>
        <v>0.44008161914741095</v>
      </c>
      <c r="J214" s="68">
        <f t="shared" si="805"/>
        <v>0.12138213680045221</v>
      </c>
      <c r="K214" s="68">
        <f t="shared" si="805"/>
        <v>5.8125500808083486E-2</v>
      </c>
      <c r="L214" s="68">
        <f t="shared" si="805"/>
        <v>7.3534478561406602E-2</v>
      </c>
      <c r="M214" s="68">
        <f t="shared" si="805"/>
        <v>8.5190364643289218E-2</v>
      </c>
      <c r="O214" s="68">
        <f t="shared" ref="O214:AR214" si="806">O207/O203</f>
        <v>0.7096592509152353</v>
      </c>
      <c r="P214" s="68">
        <f t="shared" si="806"/>
        <v>0.76768467762986159</v>
      </c>
      <c r="Q214" s="68">
        <f t="shared" si="806"/>
        <v>0.78176470588235292</v>
      </c>
      <c r="R214" s="68">
        <f t="shared" si="806"/>
        <v>0.80882518903058342</v>
      </c>
      <c r="S214" s="68">
        <f t="shared" si="806"/>
        <v>0.80774044478675266</v>
      </c>
      <c r="T214" s="68">
        <f t="shared" si="806"/>
        <v>0.84368960903820422</v>
      </c>
      <c r="U214" s="68">
        <f t="shared" si="806"/>
        <v>0.80518712511616108</v>
      </c>
      <c r="V214" s="68">
        <f t="shared" si="806"/>
        <v>0.78435589006115181</v>
      </c>
      <c r="W214" s="68">
        <f t="shared" si="806"/>
        <v>0.81450023782020786</v>
      </c>
      <c r="X214" s="68">
        <f t="shared" si="806"/>
        <v>0.82416609938733831</v>
      </c>
      <c r="Y214" s="68">
        <f t="shared" si="806"/>
        <v>0.81892452956539197</v>
      </c>
      <c r="Z214" s="68">
        <f t="shared" si="806"/>
        <v>0.78922386144964685</v>
      </c>
      <c r="AA214" s="68">
        <f t="shared" si="806"/>
        <v>0.82591599642537972</v>
      </c>
      <c r="AB214" s="68">
        <f t="shared" si="806"/>
        <v>0.78161310049602495</v>
      </c>
      <c r="AC214" s="68">
        <f t="shared" si="806"/>
        <v>0.73949519056917623</v>
      </c>
      <c r="AD214" s="68">
        <f t="shared" si="806"/>
        <v>0.73415492957746487</v>
      </c>
      <c r="AE214" s="68">
        <f t="shared" si="806"/>
        <v>0.72725758080639791</v>
      </c>
      <c r="AF214" s="68">
        <f t="shared" si="806"/>
        <v>0.76295807197094756</v>
      </c>
      <c r="AG214" s="68">
        <f t="shared" si="806"/>
        <v>0.77757402879652271</v>
      </c>
      <c r="AH214" s="68">
        <f t="shared" si="806"/>
        <v>0.67573995771670192</v>
      </c>
      <c r="AI214" s="68">
        <f t="shared" si="806"/>
        <v>0.56953846153846155</v>
      </c>
      <c r="AJ214" s="68">
        <f t="shared" si="806"/>
        <v>0.64444728761514847</v>
      </c>
      <c r="AK214" s="68">
        <f t="shared" si="806"/>
        <v>0.58204745312759254</v>
      </c>
      <c r="AL214" s="68">
        <f t="shared" si="806"/>
        <v>0.25806451612903231</v>
      </c>
      <c r="AM214" s="68">
        <f t="shared" si="806"/>
        <v>0.47315351651121756</v>
      </c>
      <c r="AN214" s="68">
        <f t="shared" si="806"/>
        <v>0.65057179161372303</v>
      </c>
      <c r="AO214" s="68">
        <f t="shared" si="806"/>
        <v>0.56909430438842201</v>
      </c>
      <c r="AP214" s="68">
        <f t="shared" si="806"/>
        <v>0.11492248062015538</v>
      </c>
      <c r="AQ214" s="68">
        <f t="shared" si="806"/>
        <v>4.1911625260761802E-2</v>
      </c>
      <c r="AR214" s="68">
        <f t="shared" si="806"/>
        <v>0.18690557511428715</v>
      </c>
      <c r="AS214" s="68">
        <f>AS207/AS203</f>
        <v>0.14416738320435674</v>
      </c>
      <c r="AT214" s="68">
        <f>AT207/AT203</f>
        <v>7.0253114959642551E-2</v>
      </c>
      <c r="AU214" s="68">
        <f t="shared" ref="AU214:BF214" si="807">AU207/AU203</f>
        <v>4.4977356937011138E-2</v>
      </c>
      <c r="AV214" s="68">
        <f t="shared" si="807"/>
        <v>5.8549432453096566E-2</v>
      </c>
      <c r="AW214" s="68">
        <f t="shared" si="807"/>
        <v>6.2019448668722429E-2</v>
      </c>
      <c r="AX214" s="68">
        <f t="shared" si="807"/>
        <v>6.539032156390176E-2</v>
      </c>
      <c r="AY214" s="68">
        <f t="shared" si="807"/>
        <v>6.8664883804933102E-2</v>
      </c>
      <c r="AZ214" s="68">
        <f t="shared" si="807"/>
        <v>7.184588712479216E-2</v>
      </c>
      <c r="BA214" s="68">
        <f t="shared" si="807"/>
        <v>7.4936004635512352E-2</v>
      </c>
      <c r="BB214" s="68">
        <f t="shared" si="807"/>
        <v>7.7937833074497698E-2</v>
      </c>
      <c r="BC214" s="68">
        <f t="shared" si="807"/>
        <v>8.0853894986654962E-2</v>
      </c>
      <c r="BD214" s="68">
        <f t="shared" si="807"/>
        <v>8.368664084417915E-2</v>
      </c>
      <c r="BE214" s="68">
        <f t="shared" si="807"/>
        <v>8.6438451105773931E-2</v>
      </c>
      <c r="BF214" s="68">
        <f t="shared" si="807"/>
        <v>8.9111638217037589E-2</v>
      </c>
      <c r="BI214">
        <f t="shared" si="638"/>
        <v>207</v>
      </c>
    </row>
    <row r="215" spans="1:61" hidden="1" outlineLevel="2">
      <c r="B215" s="19" t="s">
        <v>127</v>
      </c>
      <c r="C215" s="68">
        <f t="shared" ref="C215:D215" si="808">C209/C203</f>
        <v>0.40936729663106086</v>
      </c>
      <c r="D215" s="68">
        <f t="shared" si="808"/>
        <v>0.47433691330920363</v>
      </c>
      <c r="E215" s="68">
        <f t="shared" ref="E215:M215" si="809">E209/E203</f>
        <v>0.66260637410312018</v>
      </c>
      <c r="F215" s="68">
        <f t="shared" si="809"/>
        <v>0.37137817210122775</v>
      </c>
      <c r="G215" s="68">
        <f t="shared" si="809"/>
        <v>0.26233165989321944</v>
      </c>
      <c r="H215" s="68">
        <f t="shared" si="809"/>
        <v>-8.4312703060449731E-2</v>
      </c>
      <c r="I215" s="68">
        <f t="shared" si="809"/>
        <v>3.6949208625153746E-3</v>
      </c>
      <c r="J215" s="68">
        <f t="shared" si="809"/>
        <v>-0.29413510457885811</v>
      </c>
      <c r="K215" s="68">
        <f t="shared" si="809"/>
        <v>-0.3549447136197062</v>
      </c>
      <c r="L215" s="68">
        <f t="shared" si="809"/>
        <v>-0.28062017299264885</v>
      </c>
      <c r="M215" s="68">
        <f t="shared" si="809"/>
        <v>-0.20854190340181017</v>
      </c>
      <c r="O215" s="68">
        <f t="shared" ref="O215:AR215" si="810">O209/O203</f>
        <v>0.39664883131512274</v>
      </c>
      <c r="P215" s="68">
        <f t="shared" si="810"/>
        <v>0.38201513965022393</v>
      </c>
      <c r="Q215" s="68">
        <f t="shared" si="810"/>
        <v>0.36250000000000221</v>
      </c>
      <c r="R215" s="68">
        <f t="shared" si="810"/>
        <v>0.47917842229996543</v>
      </c>
      <c r="S215" s="68">
        <f t="shared" si="810"/>
        <v>0.4638490420718217</v>
      </c>
      <c r="T215" s="68">
        <f t="shared" si="810"/>
        <v>0.5298795897130969</v>
      </c>
      <c r="U215" s="68">
        <f t="shared" si="810"/>
        <v>0.40162203260961493</v>
      </c>
      <c r="V215" s="68">
        <f t="shared" si="810"/>
        <v>0.48928163429876992</v>
      </c>
      <c r="W215" s="68">
        <f t="shared" si="810"/>
        <v>0.51083780661819611</v>
      </c>
      <c r="X215" s="68">
        <f t="shared" si="810"/>
        <v>0.49176310415248398</v>
      </c>
      <c r="Y215" s="68">
        <f t="shared" si="810"/>
        <v>1.2010312730194883</v>
      </c>
      <c r="Z215" s="68">
        <f t="shared" si="810"/>
        <v>0.45112251443232754</v>
      </c>
      <c r="AA215" s="68">
        <f t="shared" si="810"/>
        <v>0.37182007745010509</v>
      </c>
      <c r="AB215" s="68">
        <f t="shared" si="810"/>
        <v>0.41068152476727571</v>
      </c>
      <c r="AC215" s="68">
        <f t="shared" si="810"/>
        <v>0.34468792941346615</v>
      </c>
      <c r="AD215" s="68">
        <f t="shared" si="810"/>
        <v>0.35320254862508299</v>
      </c>
      <c r="AE215" s="68">
        <f t="shared" si="810"/>
        <v>0.31122959013662121</v>
      </c>
      <c r="AF215" s="68">
        <f t="shared" si="810"/>
        <v>0.36563222185540073</v>
      </c>
      <c r="AG215" s="68">
        <f t="shared" si="810"/>
        <v>0.20388481390926552</v>
      </c>
      <c r="AH215" s="68">
        <f t="shared" si="810"/>
        <v>0.17618040873854646</v>
      </c>
      <c r="AI215" s="68">
        <f t="shared" si="810"/>
        <v>-0.18430769230769756</v>
      </c>
      <c r="AJ215" s="68">
        <f t="shared" si="810"/>
        <v>6.0005117707265597E-2</v>
      </c>
      <c r="AK215" s="68">
        <f t="shared" si="810"/>
        <v>1.2278081964488815E-2</v>
      </c>
      <c r="AL215" s="68">
        <f t="shared" si="810"/>
        <v>-0.31538796861377505</v>
      </c>
      <c r="AM215" s="68">
        <f t="shared" si="810"/>
        <v>-0.16486009579027117</v>
      </c>
      <c r="AN215" s="68">
        <f t="shared" si="810"/>
        <v>0.2683185091063095</v>
      </c>
      <c r="AO215" s="68">
        <f t="shared" si="810"/>
        <v>0.13585434173669589</v>
      </c>
      <c r="AP215" s="68">
        <f t="shared" si="810"/>
        <v>-0.21860465116279107</v>
      </c>
      <c r="AQ215" s="68">
        <f t="shared" si="810"/>
        <v>-0.36999810354637369</v>
      </c>
      <c r="AR215" s="68">
        <f t="shared" si="810"/>
        <v>-0.23976669644264503</v>
      </c>
      <c r="AS215" s="68">
        <f>AS209/AS203</f>
        <v>-0.31126397248495208</v>
      </c>
      <c r="AT215" s="68">
        <f>AT209/AT203</f>
        <v>-0.30495258992242003</v>
      </c>
      <c r="AU215" s="68">
        <f t="shared" ref="AU215:BF215" si="811">AU209/AU203</f>
        <v>-0.39773270301922931</v>
      </c>
      <c r="AV215" s="68">
        <f t="shared" si="811"/>
        <v>-0.36449754049247363</v>
      </c>
      <c r="AW215" s="68">
        <f t="shared" si="811"/>
        <v>-0.34236979921928146</v>
      </c>
      <c r="AX215" s="68">
        <f t="shared" si="811"/>
        <v>-0.32129425298741121</v>
      </c>
      <c r="AY215" s="68">
        <f t="shared" si="811"/>
        <v>-0.30579360265342515</v>
      </c>
      <c r="AZ215" s="68">
        <f t="shared" si="811"/>
        <v>-0.28848326024820936</v>
      </c>
      <c r="BA215" s="68">
        <f t="shared" si="811"/>
        <v>-0.27169607546454455</v>
      </c>
      <c r="BB215" s="68">
        <f t="shared" si="811"/>
        <v>-0.2602415065381582</v>
      </c>
      <c r="BC215" s="68">
        <f t="shared" si="811"/>
        <v>-0.24146087508136566</v>
      </c>
      <c r="BD215" s="68">
        <f t="shared" si="811"/>
        <v>-0.21942779754606259</v>
      </c>
      <c r="BE215" s="68">
        <f t="shared" si="811"/>
        <v>-0.19880193547553096</v>
      </c>
      <c r="BF215" s="68">
        <f t="shared" si="811"/>
        <v>-0.17950759100159622</v>
      </c>
      <c r="BI215">
        <f t="shared" si="638"/>
        <v>208</v>
      </c>
    </row>
    <row r="216" spans="1:61" hidden="1" outlineLevel="2">
      <c r="BI216">
        <f t="shared" si="638"/>
        <v>209</v>
      </c>
    </row>
    <row r="217" spans="1:61" hidden="1" outlineLevel="2">
      <c r="A217" s="11" t="s">
        <v>65</v>
      </c>
      <c r="B217" s="24" t="s">
        <v>144</v>
      </c>
      <c r="BI217">
        <f t="shared" si="638"/>
        <v>210</v>
      </c>
    </row>
    <row r="218" spans="1:61" hidden="1" outlineLevel="2">
      <c r="B218" s="19" t="s">
        <v>114</v>
      </c>
      <c r="C218" s="54">
        <f t="shared" ref="C218:M224" si="812">SUMIFS($O218:$BG218,$O$5:$BG$5,C$5)</f>
        <v>0</v>
      </c>
      <c r="D218" s="54">
        <f t="shared" si="812"/>
        <v>0</v>
      </c>
      <c r="E218" s="54">
        <f t="shared" si="812"/>
        <v>0</v>
      </c>
      <c r="F218" s="54">
        <f t="shared" si="812"/>
        <v>0</v>
      </c>
      <c r="G218" s="54">
        <f t="shared" si="812"/>
        <v>0</v>
      </c>
      <c r="H218" s="54">
        <f t="shared" si="812"/>
        <v>0</v>
      </c>
      <c r="I218" s="54">
        <f t="shared" si="812"/>
        <v>0</v>
      </c>
      <c r="J218" s="54">
        <f t="shared" si="812"/>
        <v>0</v>
      </c>
      <c r="K218" s="54">
        <f t="shared" si="812"/>
        <v>0</v>
      </c>
      <c r="L218" s="54">
        <f t="shared" si="812"/>
        <v>0</v>
      </c>
      <c r="M218" s="54">
        <f t="shared" si="812"/>
        <v>0</v>
      </c>
      <c r="O218" s="61">
        <v>0</v>
      </c>
      <c r="P218" s="61">
        <v>0</v>
      </c>
      <c r="Q218" s="61">
        <v>0</v>
      </c>
      <c r="R218" s="61">
        <v>0</v>
      </c>
      <c r="S218" s="61">
        <v>0</v>
      </c>
      <c r="T218" s="61">
        <v>0</v>
      </c>
      <c r="U218" s="61">
        <v>0</v>
      </c>
      <c r="V218" s="61">
        <v>0</v>
      </c>
      <c r="W218" s="61">
        <v>0</v>
      </c>
      <c r="X218" s="61">
        <v>0</v>
      </c>
      <c r="Y218" s="61">
        <v>0</v>
      </c>
      <c r="Z218" s="61">
        <v>0</v>
      </c>
      <c r="AA218" s="61">
        <v>0</v>
      </c>
      <c r="AB218" s="61">
        <v>0</v>
      </c>
      <c r="AC218" s="61">
        <v>0</v>
      </c>
      <c r="AD218" s="61">
        <v>0</v>
      </c>
      <c r="AE218" s="61">
        <v>0</v>
      </c>
      <c r="AF218" s="61">
        <v>0</v>
      </c>
      <c r="AG218" s="61">
        <v>0</v>
      </c>
      <c r="AH218" s="61">
        <v>0</v>
      </c>
      <c r="AI218" s="61">
        <v>0</v>
      </c>
      <c r="AJ218" s="61">
        <v>0</v>
      </c>
      <c r="AK218" s="61">
        <v>0</v>
      </c>
      <c r="AL218" s="61">
        <v>0</v>
      </c>
      <c r="AM218" s="61">
        <v>0</v>
      </c>
      <c r="AN218" s="61">
        <v>0</v>
      </c>
      <c r="AO218" s="61">
        <v>0</v>
      </c>
      <c r="AP218" s="61">
        <v>0</v>
      </c>
      <c r="AQ218" s="61">
        <v>0</v>
      </c>
      <c r="AR218" s="61">
        <v>0</v>
      </c>
      <c r="AS218" s="61">
        <v>0</v>
      </c>
      <c r="AT218" s="94">
        <v>0</v>
      </c>
      <c r="AU218" s="61">
        <v>0</v>
      </c>
      <c r="AV218" s="61">
        <v>0</v>
      </c>
      <c r="AW218" s="61">
        <v>0</v>
      </c>
      <c r="AX218" s="61">
        <v>0</v>
      </c>
      <c r="AY218" s="61">
        <v>0</v>
      </c>
      <c r="AZ218" s="61">
        <v>0</v>
      </c>
      <c r="BA218" s="61">
        <v>0</v>
      </c>
      <c r="BB218" s="61">
        <v>0</v>
      </c>
      <c r="BC218" s="61">
        <v>0</v>
      </c>
      <c r="BD218" s="61">
        <v>0</v>
      </c>
      <c r="BE218" s="61">
        <v>0</v>
      </c>
      <c r="BF218" s="61">
        <v>0</v>
      </c>
      <c r="BI218">
        <f t="shared" si="638"/>
        <v>211</v>
      </c>
    </row>
    <row r="219" spans="1:61" hidden="1" outlineLevel="2">
      <c r="B219" s="25" t="s">
        <v>115</v>
      </c>
      <c r="C219" s="54">
        <f t="shared" si="812"/>
        <v>0</v>
      </c>
      <c r="D219" s="54">
        <f t="shared" si="812"/>
        <v>0</v>
      </c>
      <c r="E219" s="54">
        <f t="shared" si="812"/>
        <v>0</v>
      </c>
      <c r="F219" s="54">
        <f t="shared" si="812"/>
        <v>0</v>
      </c>
      <c r="G219" s="54">
        <f t="shared" si="812"/>
        <v>0</v>
      </c>
      <c r="H219" s="54">
        <f t="shared" si="812"/>
        <v>0</v>
      </c>
      <c r="I219" s="54">
        <f t="shared" si="812"/>
        <v>0</v>
      </c>
      <c r="J219" s="54">
        <f t="shared" si="812"/>
        <v>-1.266</v>
      </c>
      <c r="K219" s="54">
        <f t="shared" si="812"/>
        <v>0</v>
      </c>
      <c r="L219" s="54">
        <f t="shared" si="812"/>
        <v>0</v>
      </c>
      <c r="M219" s="54">
        <f t="shared" si="812"/>
        <v>0</v>
      </c>
      <c r="O219" s="61">
        <v>0</v>
      </c>
      <c r="P219" s="61">
        <v>0</v>
      </c>
      <c r="Q219" s="61">
        <v>0</v>
      </c>
      <c r="R219" s="61">
        <v>0</v>
      </c>
      <c r="S219" s="61">
        <v>0</v>
      </c>
      <c r="T219" s="61">
        <v>0</v>
      </c>
      <c r="U219" s="61">
        <v>0</v>
      </c>
      <c r="V219" s="61">
        <v>0</v>
      </c>
      <c r="W219" s="61">
        <v>0</v>
      </c>
      <c r="X219" s="61">
        <v>0</v>
      </c>
      <c r="Y219" s="61">
        <v>0</v>
      </c>
      <c r="Z219" s="61">
        <v>0</v>
      </c>
      <c r="AA219" s="61">
        <v>0</v>
      </c>
      <c r="AB219" s="61">
        <v>0</v>
      </c>
      <c r="AC219" s="61">
        <v>0</v>
      </c>
      <c r="AD219" s="61">
        <v>0</v>
      </c>
      <c r="AE219" s="61">
        <v>0</v>
      </c>
      <c r="AF219" s="61">
        <v>0</v>
      </c>
      <c r="AG219" s="61">
        <v>0</v>
      </c>
      <c r="AH219" s="61">
        <v>0</v>
      </c>
      <c r="AI219" s="61">
        <v>0</v>
      </c>
      <c r="AJ219" s="61">
        <v>0</v>
      </c>
      <c r="AK219" s="61">
        <v>0</v>
      </c>
      <c r="AL219" s="61">
        <v>0</v>
      </c>
      <c r="AM219" s="61">
        <v>0</v>
      </c>
      <c r="AN219" s="61">
        <v>0</v>
      </c>
      <c r="AO219" s="61">
        <v>0</v>
      </c>
      <c r="AP219" s="61">
        <v>0</v>
      </c>
      <c r="AQ219" s="61">
        <v>0</v>
      </c>
      <c r="AR219" s="61">
        <v>0</v>
      </c>
      <c r="AS219" s="61">
        <v>-1.266</v>
      </c>
      <c r="AT219" s="94">
        <v>0</v>
      </c>
      <c r="AU219" s="94">
        <v>0</v>
      </c>
      <c r="AV219" s="94">
        <v>0</v>
      </c>
      <c r="AW219" s="94">
        <v>0</v>
      </c>
      <c r="AX219" s="94">
        <v>0</v>
      </c>
      <c r="AY219" s="94">
        <v>0</v>
      </c>
      <c r="AZ219" s="94">
        <v>0</v>
      </c>
      <c r="BA219" s="94">
        <v>0</v>
      </c>
      <c r="BB219" s="94">
        <v>0</v>
      </c>
      <c r="BC219" s="94">
        <v>0</v>
      </c>
      <c r="BD219" s="94">
        <v>0</v>
      </c>
      <c r="BE219" s="94">
        <v>0</v>
      </c>
      <c r="BF219" s="94">
        <v>0</v>
      </c>
      <c r="BI219">
        <f t="shared" si="638"/>
        <v>212</v>
      </c>
    </row>
    <row r="220" spans="1:61" hidden="1" outlineLevel="2">
      <c r="B220" s="19" t="s">
        <v>116</v>
      </c>
      <c r="C220" s="54">
        <f t="shared" si="812"/>
        <v>0</v>
      </c>
      <c r="D220" s="54">
        <f t="shared" si="812"/>
        <v>0</v>
      </c>
      <c r="E220" s="54">
        <f t="shared" si="812"/>
        <v>0</v>
      </c>
      <c r="F220" s="54">
        <f t="shared" si="812"/>
        <v>0</v>
      </c>
      <c r="G220" s="54">
        <f t="shared" si="812"/>
        <v>0</v>
      </c>
      <c r="H220" s="54">
        <f t="shared" si="812"/>
        <v>0</v>
      </c>
      <c r="I220" s="54">
        <f t="shared" si="812"/>
        <v>0</v>
      </c>
      <c r="J220" s="54">
        <f t="shared" si="812"/>
        <v>-1.266</v>
      </c>
      <c r="K220" s="54">
        <f t="shared" si="812"/>
        <v>0</v>
      </c>
      <c r="L220" s="54">
        <f t="shared" si="812"/>
        <v>0</v>
      </c>
      <c r="M220" s="54">
        <f t="shared" si="812"/>
        <v>0</v>
      </c>
      <c r="O220" s="54">
        <f t="shared" ref="O220" si="813">+O218+O219</f>
        <v>0</v>
      </c>
      <c r="P220" s="54">
        <f t="shared" ref="P220" si="814">+P218+P219</f>
        <v>0</v>
      </c>
      <c r="Q220" s="54">
        <f t="shared" ref="Q220" si="815">+Q218+Q219</f>
        <v>0</v>
      </c>
      <c r="R220" s="54">
        <f t="shared" ref="R220" si="816">+R218+R219</f>
        <v>0</v>
      </c>
      <c r="S220" s="54">
        <f t="shared" ref="S220" si="817">+S218+S219</f>
        <v>0</v>
      </c>
      <c r="T220" s="54">
        <f t="shared" ref="T220" si="818">+T218+T219</f>
        <v>0</v>
      </c>
      <c r="U220" s="54">
        <f t="shared" ref="U220" si="819">+U218+U219</f>
        <v>0</v>
      </c>
      <c r="V220" s="54">
        <f t="shared" ref="V220" si="820">+V218+V219</f>
        <v>0</v>
      </c>
      <c r="W220" s="54">
        <f t="shared" ref="W220" si="821">+W218+W219</f>
        <v>0</v>
      </c>
      <c r="X220" s="54">
        <f t="shared" ref="X220" si="822">+X218+X219</f>
        <v>0</v>
      </c>
      <c r="Y220" s="54">
        <f t="shared" ref="Y220" si="823">+Y218+Y219</f>
        <v>0</v>
      </c>
      <c r="Z220" s="54">
        <f t="shared" ref="Z220" si="824">+Z218+Z219</f>
        <v>0</v>
      </c>
      <c r="AA220" s="54">
        <f t="shared" ref="AA220" si="825">+AA218+AA219</f>
        <v>0</v>
      </c>
      <c r="AB220" s="54">
        <f t="shared" ref="AB220" si="826">+AB218+AB219</f>
        <v>0</v>
      </c>
      <c r="AC220" s="54">
        <f t="shared" ref="AC220" si="827">+AC218+AC219</f>
        <v>0</v>
      </c>
      <c r="AD220" s="54">
        <f t="shared" ref="AD220" si="828">+AD218+AD219</f>
        <v>0</v>
      </c>
      <c r="AE220" s="54">
        <f t="shared" ref="AE220" si="829">+AE218+AE219</f>
        <v>0</v>
      </c>
      <c r="AF220" s="54">
        <f t="shared" ref="AF220" si="830">+AF218+AF219</f>
        <v>0</v>
      </c>
      <c r="AG220" s="54">
        <f t="shared" ref="AG220" si="831">+AG218+AG219</f>
        <v>0</v>
      </c>
      <c r="AH220" s="54">
        <f t="shared" ref="AH220" si="832">+AH218+AH219</f>
        <v>0</v>
      </c>
      <c r="AI220" s="54">
        <f t="shared" ref="AI220" si="833">+AI218+AI219</f>
        <v>0</v>
      </c>
      <c r="AJ220" s="54">
        <f t="shared" ref="AJ220" si="834">+AJ218+AJ219</f>
        <v>0</v>
      </c>
      <c r="AK220" s="54">
        <f t="shared" ref="AK220" si="835">+AK218+AK219</f>
        <v>0</v>
      </c>
      <c r="AL220" s="54">
        <f t="shared" ref="AL220" si="836">+AL218+AL219</f>
        <v>0</v>
      </c>
      <c r="AM220" s="54">
        <f t="shared" ref="AM220" si="837">+AM218+AM219</f>
        <v>0</v>
      </c>
      <c r="AN220" s="54">
        <f t="shared" ref="AN220" si="838">+AN218+AN219</f>
        <v>0</v>
      </c>
      <c r="AO220" s="54">
        <f t="shared" ref="AO220" si="839">+AO218+AO219</f>
        <v>0</v>
      </c>
      <c r="AP220" s="54">
        <f t="shared" ref="AP220" si="840">+AP218+AP219</f>
        <v>0</v>
      </c>
      <c r="AQ220" s="54">
        <f t="shared" ref="AQ220:AT220" si="841">+AQ218+AQ219</f>
        <v>0</v>
      </c>
      <c r="AR220" s="54">
        <f t="shared" si="841"/>
        <v>0</v>
      </c>
      <c r="AS220" s="54">
        <f t="shared" si="841"/>
        <v>-1.266</v>
      </c>
      <c r="AT220" s="54">
        <f t="shared" si="841"/>
        <v>0</v>
      </c>
      <c r="AU220" s="54">
        <f t="shared" ref="AU220" si="842">+AU218+AU219</f>
        <v>0</v>
      </c>
      <c r="AV220" s="54">
        <f t="shared" ref="AV220" si="843">+AV218+AV219</f>
        <v>0</v>
      </c>
      <c r="AW220" s="54">
        <f t="shared" ref="AW220" si="844">+AW218+AW219</f>
        <v>0</v>
      </c>
      <c r="AX220" s="54">
        <f t="shared" ref="AX220" si="845">+AX218+AX219</f>
        <v>0</v>
      </c>
      <c r="AY220" s="54">
        <f t="shared" ref="AY220" si="846">+AY218+AY219</f>
        <v>0</v>
      </c>
      <c r="AZ220" s="54">
        <f t="shared" ref="AZ220" si="847">+AZ218+AZ219</f>
        <v>0</v>
      </c>
      <c r="BA220" s="54">
        <f t="shared" ref="BA220" si="848">+BA218+BA219</f>
        <v>0</v>
      </c>
      <c r="BB220" s="54">
        <f t="shared" ref="BB220" si="849">+BB218+BB219</f>
        <v>0</v>
      </c>
      <c r="BC220" s="54">
        <f t="shared" ref="BC220" si="850">+BC218+BC219</f>
        <v>0</v>
      </c>
      <c r="BD220" s="54">
        <f t="shared" ref="BD220" si="851">+BD218+BD219</f>
        <v>0</v>
      </c>
      <c r="BE220" s="54">
        <f t="shared" ref="BE220" si="852">+BE218+BE219</f>
        <v>0</v>
      </c>
      <c r="BF220" s="54">
        <f t="shared" ref="BF220" si="853">+BF218+BF219</f>
        <v>0</v>
      </c>
      <c r="BI220">
        <f t="shared" si="638"/>
        <v>213</v>
      </c>
    </row>
    <row r="221" spans="1:61" hidden="1" outlineLevel="2">
      <c r="B221" s="25" t="s">
        <v>55</v>
      </c>
      <c r="C221" s="54">
        <f t="shared" si="812"/>
        <v>-35.173000000000002</v>
      </c>
      <c r="D221" s="54">
        <f t="shared" si="812"/>
        <v>-40.173999999999999</v>
      </c>
      <c r="E221" s="54">
        <f t="shared" si="812"/>
        <v>-40.927399999999999</v>
      </c>
      <c r="F221" s="54">
        <f t="shared" si="812"/>
        <v>-50.29</v>
      </c>
      <c r="G221" s="54">
        <f t="shared" si="812"/>
        <v>-53.569000000000003</v>
      </c>
      <c r="H221" s="54">
        <f t="shared" si="812"/>
        <v>-53.234000000000002</v>
      </c>
      <c r="I221" s="54">
        <f t="shared" si="812"/>
        <v>-50.454999999999998</v>
      </c>
      <c r="J221" s="54">
        <f t="shared" si="812"/>
        <v>-69.38</v>
      </c>
      <c r="K221" s="54">
        <f t="shared" si="812"/>
        <v>-85.204921301210376</v>
      </c>
      <c r="L221" s="54">
        <f t="shared" si="812"/>
        <v>-92.228547006699145</v>
      </c>
      <c r="M221" s="54">
        <f t="shared" si="812"/>
        <v>-99.83114535012291</v>
      </c>
      <c r="O221" s="61">
        <v>-7.69</v>
      </c>
      <c r="P221" s="61">
        <v>-8.6180000000000003</v>
      </c>
      <c r="Q221" s="61">
        <v>-9.3529999999999998</v>
      </c>
      <c r="R221" s="61">
        <v>-9.5120000000000005</v>
      </c>
      <c r="S221" s="61">
        <v>-10.351000000000001</v>
      </c>
      <c r="T221" s="61">
        <v>-10.984999999999999</v>
      </c>
      <c r="U221" s="61">
        <v>-9.2620000000000005</v>
      </c>
      <c r="V221" s="61">
        <v>-9.5760000000000005</v>
      </c>
      <c r="W221" s="61">
        <v>-8.2569999999999997</v>
      </c>
      <c r="X221" s="61">
        <v>-11.089</v>
      </c>
      <c r="Y221" s="61">
        <v>-10.824999999999999</v>
      </c>
      <c r="Z221" s="61">
        <v>-10.756400000000001</v>
      </c>
      <c r="AA221" s="61">
        <v>-11.292999999999999</v>
      </c>
      <c r="AB221" s="61">
        <v>-12.143000000000001</v>
      </c>
      <c r="AC221" s="61">
        <v>-14.284000000000001</v>
      </c>
      <c r="AD221" s="61">
        <v>-12.57</v>
      </c>
      <c r="AE221" s="61">
        <v>-13.157</v>
      </c>
      <c r="AF221" s="61">
        <v>-12.89</v>
      </c>
      <c r="AG221" s="61">
        <v>-12.802</v>
      </c>
      <c r="AH221" s="61">
        <v>-14.72</v>
      </c>
      <c r="AI221" s="61">
        <v>-14.045999999999999</v>
      </c>
      <c r="AJ221" s="61">
        <v>-13.445</v>
      </c>
      <c r="AK221" s="61">
        <v>-13.143000000000001</v>
      </c>
      <c r="AL221" s="61">
        <v>-12.6</v>
      </c>
      <c r="AM221" s="61">
        <v>-13.324999999999999</v>
      </c>
      <c r="AN221" s="61">
        <v>-12.579000000000001</v>
      </c>
      <c r="AO221" s="61">
        <v>-12.385</v>
      </c>
      <c r="AP221" s="61">
        <v>-12.166</v>
      </c>
      <c r="AQ221" s="61">
        <v>-12.603</v>
      </c>
      <c r="AR221" s="61">
        <v>-15.571</v>
      </c>
      <c r="AS221" s="61">
        <v>-18.789000000000001</v>
      </c>
      <c r="AT221" s="61">
        <f>-22.417</f>
        <v>-22.417000000000002</v>
      </c>
      <c r="AU221" s="87">
        <f t="shared" ref="AU221:BF221" si="854">AU232</f>
        <v>-20.672737752161382</v>
      </c>
      <c r="AV221" s="87">
        <f t="shared" si="854"/>
        <v>-21.086192507204611</v>
      </c>
      <c r="AW221" s="87">
        <f t="shared" si="854"/>
        <v>-21.507916357348702</v>
      </c>
      <c r="AX221" s="87">
        <f t="shared" si="854"/>
        <v>-21.938074684495675</v>
      </c>
      <c r="AY221" s="87">
        <f t="shared" si="854"/>
        <v>-22.376836178185588</v>
      </c>
      <c r="AZ221" s="87">
        <f t="shared" si="854"/>
        <v>-22.8243729017493</v>
      </c>
      <c r="BA221" s="87">
        <f t="shared" si="854"/>
        <v>-23.280860359784288</v>
      </c>
      <c r="BB221" s="87">
        <f t="shared" si="854"/>
        <v>-23.746477566979973</v>
      </c>
      <c r="BC221" s="87">
        <f t="shared" si="854"/>
        <v>-24.221407118319576</v>
      </c>
      <c r="BD221" s="87">
        <f t="shared" si="854"/>
        <v>-24.705835260685966</v>
      </c>
      <c r="BE221" s="87">
        <f t="shared" si="854"/>
        <v>-25.199951965899686</v>
      </c>
      <c r="BF221" s="87">
        <f t="shared" si="854"/>
        <v>-25.703951005217679</v>
      </c>
      <c r="BI221">
        <f t="shared" si="638"/>
        <v>214</v>
      </c>
    </row>
    <row r="222" spans="1:61" hidden="1" outlineLevel="2">
      <c r="B222" s="19" t="s">
        <v>56</v>
      </c>
      <c r="C222" s="54">
        <f t="shared" si="812"/>
        <v>-35.173000000000002</v>
      </c>
      <c r="D222" s="54">
        <f t="shared" si="812"/>
        <v>-40.173999999999999</v>
      </c>
      <c r="E222" s="54">
        <f t="shared" si="812"/>
        <v>-40.927399999999999</v>
      </c>
      <c r="F222" s="54">
        <f t="shared" si="812"/>
        <v>-50.29</v>
      </c>
      <c r="G222" s="54">
        <f t="shared" si="812"/>
        <v>-53.569000000000003</v>
      </c>
      <c r="H222" s="54">
        <f t="shared" si="812"/>
        <v>-53.234000000000002</v>
      </c>
      <c r="I222" s="54">
        <f t="shared" si="812"/>
        <v>-50.454999999999998</v>
      </c>
      <c r="J222" s="54">
        <f t="shared" si="812"/>
        <v>-70.646000000000001</v>
      </c>
      <c r="K222" s="54">
        <f t="shared" si="812"/>
        <v>-85.204921301210376</v>
      </c>
      <c r="L222" s="54">
        <f t="shared" si="812"/>
        <v>-92.228547006699145</v>
      </c>
      <c r="M222" s="54">
        <f t="shared" si="812"/>
        <v>-99.83114535012291</v>
      </c>
      <c r="O222" s="54">
        <f t="shared" ref="O222" si="855">+O220+O221</f>
        <v>-7.69</v>
      </c>
      <c r="P222" s="54">
        <f t="shared" ref="P222" si="856">+P220+P221</f>
        <v>-8.6180000000000003</v>
      </c>
      <c r="Q222" s="54">
        <f t="shared" ref="Q222" si="857">+Q220+Q221</f>
        <v>-9.3529999999999998</v>
      </c>
      <c r="R222" s="54">
        <f t="shared" ref="R222" si="858">+R220+R221</f>
        <v>-9.5120000000000005</v>
      </c>
      <c r="S222" s="54">
        <f t="shared" ref="S222" si="859">+S220+S221</f>
        <v>-10.351000000000001</v>
      </c>
      <c r="T222" s="54">
        <f t="shared" ref="T222" si="860">+T220+T221</f>
        <v>-10.984999999999999</v>
      </c>
      <c r="U222" s="54">
        <f t="shared" ref="U222" si="861">+U220+U221</f>
        <v>-9.2620000000000005</v>
      </c>
      <c r="V222" s="54">
        <f t="shared" ref="V222" si="862">+V220+V221</f>
        <v>-9.5760000000000005</v>
      </c>
      <c r="W222" s="54">
        <f t="shared" ref="W222" si="863">+W220+W221</f>
        <v>-8.2569999999999997</v>
      </c>
      <c r="X222" s="54">
        <f t="shared" ref="X222" si="864">+X220+X221</f>
        <v>-11.089</v>
      </c>
      <c r="Y222" s="54">
        <f t="shared" ref="Y222" si="865">+Y220+Y221</f>
        <v>-10.824999999999999</v>
      </c>
      <c r="Z222" s="54">
        <f t="shared" ref="Z222" si="866">+Z220+Z221</f>
        <v>-10.756400000000001</v>
      </c>
      <c r="AA222" s="54">
        <f t="shared" ref="AA222" si="867">+AA220+AA221</f>
        <v>-11.292999999999999</v>
      </c>
      <c r="AB222" s="54">
        <f t="shared" ref="AB222" si="868">+AB220+AB221</f>
        <v>-12.143000000000001</v>
      </c>
      <c r="AC222" s="54">
        <f t="shared" ref="AC222" si="869">+AC220+AC221</f>
        <v>-14.284000000000001</v>
      </c>
      <c r="AD222" s="54">
        <f t="shared" ref="AD222" si="870">+AD220+AD221</f>
        <v>-12.57</v>
      </c>
      <c r="AE222" s="54">
        <f t="shared" ref="AE222" si="871">+AE220+AE221</f>
        <v>-13.157</v>
      </c>
      <c r="AF222" s="54">
        <f t="shared" ref="AF222" si="872">+AF220+AF221</f>
        <v>-12.89</v>
      </c>
      <c r="AG222" s="54">
        <f t="shared" ref="AG222" si="873">+AG220+AG221</f>
        <v>-12.802</v>
      </c>
      <c r="AH222" s="54">
        <f t="shared" ref="AH222" si="874">+AH220+AH221</f>
        <v>-14.72</v>
      </c>
      <c r="AI222" s="54">
        <f t="shared" ref="AI222" si="875">+AI220+AI221</f>
        <v>-14.045999999999999</v>
      </c>
      <c r="AJ222" s="54">
        <f t="shared" ref="AJ222" si="876">+AJ220+AJ221</f>
        <v>-13.445</v>
      </c>
      <c r="AK222" s="54">
        <f t="shared" ref="AK222" si="877">+AK220+AK221</f>
        <v>-13.143000000000001</v>
      </c>
      <c r="AL222" s="54">
        <f t="shared" ref="AL222" si="878">+AL220+AL221</f>
        <v>-12.6</v>
      </c>
      <c r="AM222" s="54">
        <f t="shared" ref="AM222" si="879">+AM220+AM221</f>
        <v>-13.324999999999999</v>
      </c>
      <c r="AN222" s="54">
        <f t="shared" ref="AN222" si="880">+AN220+AN221</f>
        <v>-12.579000000000001</v>
      </c>
      <c r="AO222" s="54">
        <f t="shared" ref="AO222" si="881">+AO220+AO221</f>
        <v>-12.385</v>
      </c>
      <c r="AP222" s="54">
        <f t="shared" ref="AP222" si="882">+AP220+AP221</f>
        <v>-12.166</v>
      </c>
      <c r="AQ222" s="54">
        <f t="shared" ref="AQ222" si="883">+AQ220+AQ221</f>
        <v>-12.603</v>
      </c>
      <c r="AR222" s="54">
        <f t="shared" ref="AR222" si="884">+AR220+AR221</f>
        <v>-15.571</v>
      </c>
      <c r="AS222" s="54">
        <f>+AS220+AS221</f>
        <v>-20.055</v>
      </c>
      <c r="AT222" s="54">
        <f>+AT220+AT221</f>
        <v>-22.417000000000002</v>
      </c>
      <c r="AU222" s="54">
        <f t="shared" ref="AU222:BF222" si="885">+AU220+AU221</f>
        <v>-20.672737752161382</v>
      </c>
      <c r="AV222" s="54">
        <f t="shared" si="885"/>
        <v>-21.086192507204611</v>
      </c>
      <c r="AW222" s="54">
        <f t="shared" si="885"/>
        <v>-21.507916357348702</v>
      </c>
      <c r="AX222" s="54">
        <f t="shared" si="885"/>
        <v>-21.938074684495675</v>
      </c>
      <c r="AY222" s="54">
        <f t="shared" si="885"/>
        <v>-22.376836178185588</v>
      </c>
      <c r="AZ222" s="54">
        <f t="shared" si="885"/>
        <v>-22.8243729017493</v>
      </c>
      <c r="BA222" s="54">
        <f t="shared" si="885"/>
        <v>-23.280860359784288</v>
      </c>
      <c r="BB222" s="54">
        <f t="shared" si="885"/>
        <v>-23.746477566979973</v>
      </c>
      <c r="BC222" s="54">
        <f t="shared" si="885"/>
        <v>-24.221407118319576</v>
      </c>
      <c r="BD222" s="54">
        <f t="shared" si="885"/>
        <v>-24.705835260685966</v>
      </c>
      <c r="BE222" s="54">
        <f t="shared" si="885"/>
        <v>-25.199951965899686</v>
      </c>
      <c r="BF222" s="54">
        <f t="shared" si="885"/>
        <v>-25.703951005217679</v>
      </c>
      <c r="BI222">
        <f t="shared" si="638"/>
        <v>215</v>
      </c>
    </row>
    <row r="223" spans="1:61" hidden="1" outlineLevel="2">
      <c r="B223" s="25" t="s">
        <v>58</v>
      </c>
      <c r="C223" s="54">
        <f t="shared" si="812"/>
        <v>-1.361</v>
      </c>
      <c r="D223" s="54">
        <f t="shared" si="812"/>
        <v>-2.726</v>
      </c>
      <c r="E223" s="54">
        <f t="shared" si="812"/>
        <v>-3.819</v>
      </c>
      <c r="F223" s="54">
        <f t="shared" si="812"/>
        <v>-10.396999999999951</v>
      </c>
      <c r="G223" s="54">
        <f t="shared" si="812"/>
        <v>-6.3670000000000044</v>
      </c>
      <c r="H223" s="54">
        <f t="shared" si="812"/>
        <v>-5.4729999999999999</v>
      </c>
      <c r="I223" s="54">
        <f t="shared" si="812"/>
        <v>-5.4740000000000002</v>
      </c>
      <c r="J223" s="54">
        <f t="shared" si="812"/>
        <v>-7.6949999999999994</v>
      </c>
      <c r="K223" s="54">
        <f t="shared" si="812"/>
        <v>-8.7418428806441497</v>
      </c>
      <c r="L223" s="54">
        <f t="shared" si="812"/>
        <v>-9.1102283546187106</v>
      </c>
      <c r="M223" s="54">
        <f t="shared" si="812"/>
        <v>-9.1842811029422684</v>
      </c>
      <c r="O223" s="61">
        <v>-0.22500000000000001</v>
      </c>
      <c r="P223" s="61">
        <v>-0.29599999999999999</v>
      </c>
      <c r="Q223" s="61">
        <v>-0.41799999999999998</v>
      </c>
      <c r="R223" s="61">
        <v>-0.42199999999999999</v>
      </c>
      <c r="S223" s="61">
        <v>-0.42099999999999999</v>
      </c>
      <c r="T223" s="61">
        <v>-0.77600000000000002</v>
      </c>
      <c r="U223" s="61">
        <v>-0.76900000000000002</v>
      </c>
      <c r="V223" s="61">
        <v>-0.76</v>
      </c>
      <c r="W223" s="61">
        <v>-0.95499999999999996</v>
      </c>
      <c r="X223" s="61">
        <v>-0.95499999999999996</v>
      </c>
      <c r="Y223" s="61">
        <v>-0.95499999999999996</v>
      </c>
      <c r="Z223" s="61">
        <v>-0.95399999999999996</v>
      </c>
      <c r="AA223" s="61">
        <v>-0.95499999999999996</v>
      </c>
      <c r="AB223" s="61">
        <v>-1.650999999999982</v>
      </c>
      <c r="AC223" s="61">
        <v>-5.203000000000003</v>
      </c>
      <c r="AD223" s="61">
        <v>-2.5879999999999654</v>
      </c>
      <c r="AE223" s="61">
        <v>-2.1670000000000016</v>
      </c>
      <c r="AF223" s="61">
        <v>-1.9320000000000022</v>
      </c>
      <c r="AG223" s="61">
        <v>-1.1339999999999999</v>
      </c>
      <c r="AH223" s="61">
        <v>-1.1339999999999999</v>
      </c>
      <c r="AI223" s="61">
        <v>-1.367</v>
      </c>
      <c r="AJ223" s="61">
        <v>-1.3680000000000001</v>
      </c>
      <c r="AK223" s="61">
        <v>-1.369</v>
      </c>
      <c r="AL223" s="61">
        <v>-1.369</v>
      </c>
      <c r="AM223" s="61">
        <v>-1.369</v>
      </c>
      <c r="AN223" s="61">
        <v>-1.3680000000000001</v>
      </c>
      <c r="AO223" s="61">
        <v>-1.369</v>
      </c>
      <c r="AP223" s="61">
        <v>-1.3680000000000001</v>
      </c>
      <c r="AQ223" s="61">
        <v>-1.236</v>
      </c>
      <c r="AR223" s="61">
        <v>-1.9890000000000001</v>
      </c>
      <c r="AS223" s="61">
        <v>-2.2309999999999999</v>
      </c>
      <c r="AT223" s="61">
        <v>-2.2389999999999999</v>
      </c>
      <c r="AU223" s="87">
        <f t="shared" ref="AU223:BF223" si="886">AU248</f>
        <v>-2.173745228600926</v>
      </c>
      <c r="AV223" s="87">
        <f t="shared" si="886"/>
        <v>-2.1810576338736585</v>
      </c>
      <c r="AW223" s="87">
        <f t="shared" si="886"/>
        <v>-2.1891093145579341</v>
      </c>
      <c r="AX223" s="87">
        <f t="shared" si="886"/>
        <v>-2.1979307036116311</v>
      </c>
      <c r="AY223" s="87">
        <f t="shared" si="886"/>
        <v>-2.2348589825395964</v>
      </c>
      <c r="AZ223" s="87">
        <f t="shared" si="886"/>
        <v>-2.2580582463452465</v>
      </c>
      <c r="BA223" s="87">
        <f t="shared" si="886"/>
        <v>-2.2808346320451056</v>
      </c>
      <c r="BB223" s="87">
        <f t="shared" si="886"/>
        <v>-2.3364764936887625</v>
      </c>
      <c r="BC223" s="87">
        <f t="shared" si="886"/>
        <v>-2.3382118166353765</v>
      </c>
      <c r="BD223" s="87">
        <f t="shared" si="886"/>
        <v>-2.3088704546851861</v>
      </c>
      <c r="BE223" s="87">
        <f t="shared" si="886"/>
        <v>-2.2813570339506657</v>
      </c>
      <c r="BF223" s="87">
        <f t="shared" si="886"/>
        <v>-2.2558417976710401</v>
      </c>
      <c r="BI223">
        <f t="shared" si="638"/>
        <v>216</v>
      </c>
    </row>
    <row r="224" spans="1:61" hidden="1" outlineLevel="2">
      <c r="B224" s="19" t="s">
        <v>59</v>
      </c>
      <c r="C224" s="54">
        <f t="shared" si="812"/>
        <v>-36.534000000000006</v>
      </c>
      <c r="D224" s="54">
        <f t="shared" si="812"/>
        <v>-42.9</v>
      </c>
      <c r="E224" s="54">
        <f t="shared" si="812"/>
        <v>-44.746400000000001</v>
      </c>
      <c r="F224" s="54">
        <f t="shared" si="812"/>
        <v>-60.686999999999948</v>
      </c>
      <c r="G224" s="54">
        <f t="shared" si="812"/>
        <v>-59.936000000000007</v>
      </c>
      <c r="H224" s="54">
        <f t="shared" si="812"/>
        <v>-58.707000000000001</v>
      </c>
      <c r="I224" s="54">
        <f t="shared" si="812"/>
        <v>-55.928999999999995</v>
      </c>
      <c r="J224" s="54">
        <f t="shared" si="812"/>
        <v>-78.341000000000008</v>
      </c>
      <c r="K224" s="54">
        <f t="shared" si="812"/>
        <v>-93.946764181854533</v>
      </c>
      <c r="L224" s="54">
        <f t="shared" si="812"/>
        <v>-101.33877536131787</v>
      </c>
      <c r="M224" s="54">
        <f t="shared" si="812"/>
        <v>-109.01542645306517</v>
      </c>
      <c r="O224" s="54">
        <f t="shared" ref="O224" si="887">+O222+O223</f>
        <v>-7.915</v>
      </c>
      <c r="P224" s="54">
        <f t="shared" ref="P224" si="888">+P222+P223</f>
        <v>-8.9139999999999997</v>
      </c>
      <c r="Q224" s="54">
        <f t="shared" ref="Q224" si="889">+Q222+Q223</f>
        <v>-9.770999999999999</v>
      </c>
      <c r="R224" s="54">
        <f t="shared" ref="R224" si="890">+R222+R223</f>
        <v>-9.9340000000000011</v>
      </c>
      <c r="S224" s="54">
        <f t="shared" ref="S224" si="891">+S222+S223</f>
        <v>-10.772</v>
      </c>
      <c r="T224" s="54">
        <f t="shared" ref="T224" si="892">+T222+T223</f>
        <v>-11.760999999999999</v>
      </c>
      <c r="U224" s="54">
        <f t="shared" ref="U224" si="893">+U222+U223</f>
        <v>-10.031000000000001</v>
      </c>
      <c r="V224" s="54">
        <f t="shared" ref="V224" si="894">+V222+V223</f>
        <v>-10.336</v>
      </c>
      <c r="W224" s="54">
        <f t="shared" ref="W224" si="895">+W222+W223</f>
        <v>-9.2119999999999997</v>
      </c>
      <c r="X224" s="54">
        <f t="shared" ref="X224" si="896">+X222+X223</f>
        <v>-12.044</v>
      </c>
      <c r="Y224" s="54">
        <f t="shared" ref="Y224" si="897">+Y222+Y223</f>
        <v>-11.78</v>
      </c>
      <c r="Z224" s="54">
        <f t="shared" ref="Z224" si="898">+Z222+Z223</f>
        <v>-11.710400000000002</v>
      </c>
      <c r="AA224" s="54">
        <f t="shared" ref="AA224" si="899">+AA222+AA223</f>
        <v>-12.247999999999999</v>
      </c>
      <c r="AB224" s="54">
        <f t="shared" ref="AB224" si="900">+AB222+AB223</f>
        <v>-13.793999999999983</v>
      </c>
      <c r="AC224" s="54">
        <f t="shared" ref="AC224" si="901">+AC222+AC223</f>
        <v>-19.487000000000002</v>
      </c>
      <c r="AD224" s="54">
        <f t="shared" ref="AD224" si="902">+AD222+AD223</f>
        <v>-15.157999999999966</v>
      </c>
      <c r="AE224" s="54">
        <f t="shared" ref="AE224" si="903">+AE222+AE223</f>
        <v>-15.324000000000002</v>
      </c>
      <c r="AF224" s="54">
        <f t="shared" ref="AF224" si="904">+AF222+AF223</f>
        <v>-14.822000000000003</v>
      </c>
      <c r="AG224" s="54">
        <f t="shared" ref="AG224" si="905">+AG222+AG223</f>
        <v>-13.936</v>
      </c>
      <c r="AH224" s="54">
        <f t="shared" ref="AH224" si="906">+AH222+AH223</f>
        <v>-15.854000000000001</v>
      </c>
      <c r="AI224" s="54">
        <f t="shared" ref="AI224" si="907">+AI222+AI223</f>
        <v>-15.413</v>
      </c>
      <c r="AJ224" s="54">
        <f t="shared" ref="AJ224" si="908">+AJ222+AJ223</f>
        <v>-14.813000000000001</v>
      </c>
      <c r="AK224" s="54">
        <f t="shared" ref="AK224" si="909">+AK222+AK223</f>
        <v>-14.512</v>
      </c>
      <c r="AL224" s="54">
        <f t="shared" ref="AL224" si="910">+AL222+AL223</f>
        <v>-13.968999999999999</v>
      </c>
      <c r="AM224" s="54">
        <f t="shared" ref="AM224" si="911">+AM222+AM223</f>
        <v>-14.693999999999999</v>
      </c>
      <c r="AN224" s="54">
        <f t="shared" ref="AN224" si="912">+AN222+AN223</f>
        <v>-13.947000000000001</v>
      </c>
      <c r="AO224" s="54">
        <f t="shared" ref="AO224" si="913">+AO222+AO223</f>
        <v>-13.754</v>
      </c>
      <c r="AP224" s="54">
        <f t="shared" ref="AP224" si="914">+AP222+AP223</f>
        <v>-13.534000000000001</v>
      </c>
      <c r="AQ224" s="54">
        <f t="shared" ref="AQ224" si="915">+AQ222+AQ223</f>
        <v>-13.839</v>
      </c>
      <c r="AR224" s="54">
        <f t="shared" ref="AR224" si="916">+AR222+AR223</f>
        <v>-17.559999999999999</v>
      </c>
      <c r="AS224" s="54">
        <f>+AS222+AS223</f>
        <v>-22.286000000000001</v>
      </c>
      <c r="AT224" s="54">
        <f>+AT222+AT223</f>
        <v>-24.656000000000002</v>
      </c>
      <c r="AU224" s="54">
        <f t="shared" ref="AU224:BF224" si="917">+AU222+AU223</f>
        <v>-22.846482980762307</v>
      </c>
      <c r="AV224" s="54">
        <f t="shared" si="917"/>
        <v>-23.267250141078271</v>
      </c>
      <c r="AW224" s="54">
        <f t="shared" si="917"/>
        <v>-23.697025671906637</v>
      </c>
      <c r="AX224" s="54">
        <f t="shared" si="917"/>
        <v>-24.136005388107307</v>
      </c>
      <c r="AY224" s="54">
        <f t="shared" si="917"/>
        <v>-24.611695160725183</v>
      </c>
      <c r="AZ224" s="54">
        <f t="shared" si="917"/>
        <v>-25.082431148094546</v>
      </c>
      <c r="BA224" s="54">
        <f t="shared" si="917"/>
        <v>-25.561694991829395</v>
      </c>
      <c r="BB224" s="54">
        <f t="shared" si="917"/>
        <v>-26.082954060668737</v>
      </c>
      <c r="BC224" s="54">
        <f t="shared" si="917"/>
        <v>-26.559618934954951</v>
      </c>
      <c r="BD224" s="54">
        <f t="shared" si="917"/>
        <v>-27.01470571537115</v>
      </c>
      <c r="BE224" s="54">
        <f t="shared" si="917"/>
        <v>-27.481308999850352</v>
      </c>
      <c r="BF224" s="54">
        <f t="shared" si="917"/>
        <v>-27.959792802888717</v>
      </c>
      <c r="BI224">
        <f t="shared" si="638"/>
        <v>217</v>
      </c>
    </row>
    <row r="225" spans="1:61" hidden="1" outlineLevel="2">
      <c r="BI225">
        <f t="shared" si="638"/>
        <v>218</v>
      </c>
    </row>
    <row r="226" spans="1:61" outlineLevel="1" collapsed="1">
      <c r="A226" s="11" t="s">
        <v>65</v>
      </c>
      <c r="B226" s="14" t="s">
        <v>256</v>
      </c>
      <c r="BI226">
        <f t="shared" si="638"/>
        <v>219</v>
      </c>
    </row>
    <row r="227" spans="1:61" hidden="1" outlineLevel="2">
      <c r="B227" s="51" t="s">
        <v>262</v>
      </c>
      <c r="BI227">
        <f t="shared" si="638"/>
        <v>220</v>
      </c>
    </row>
    <row r="228" spans="1:61" hidden="1" outlineLevel="2">
      <c r="B228" s="16" t="s">
        <v>281</v>
      </c>
      <c r="C228" s="54">
        <f t="shared" ref="C228:M232" si="918">SUMIFS($O228:$BG228,$O$5:$BG$5,C$5)</f>
        <v>-5.2789999999999999</v>
      </c>
      <c r="D228" s="54">
        <f t="shared" si="918"/>
        <v>-6.4080000000000004</v>
      </c>
      <c r="E228" s="54">
        <f t="shared" si="918"/>
        <v>-6.5129999999999999</v>
      </c>
      <c r="F228" s="54">
        <f t="shared" si="918"/>
        <v>-5.8669999999999991</v>
      </c>
      <c r="G228" s="54">
        <f t="shared" si="918"/>
        <v>-6.2969999999999997</v>
      </c>
      <c r="H228" s="54">
        <f t="shared" si="918"/>
        <v>-5.3609999999999998</v>
      </c>
      <c r="I228" s="54">
        <f t="shared" si="918"/>
        <v>-5.7430000000000003</v>
      </c>
      <c r="J228" s="54">
        <f t="shared" si="918"/>
        <v>-5.9340000000000002</v>
      </c>
      <c r="K228" s="54">
        <f t="shared" si="918"/>
        <v>-5.4276945005187311</v>
      </c>
      <c r="L228" s="54">
        <f t="shared" si="918"/>
        <v>-5.8751110820166117</v>
      </c>
      <c r="M228" s="54">
        <f t="shared" si="918"/>
        <v>-6.3594091787471783</v>
      </c>
      <c r="O228" s="54">
        <f t="shared" ref="O228:AT228" si="919">O119</f>
        <v>-1.232</v>
      </c>
      <c r="P228" s="54">
        <f t="shared" si="919"/>
        <v>-0.92</v>
      </c>
      <c r="Q228" s="54">
        <f t="shared" si="919"/>
        <v>-1.6639999999999999</v>
      </c>
      <c r="R228" s="54">
        <f t="shared" si="919"/>
        <v>-1.4630000000000001</v>
      </c>
      <c r="S228" s="54">
        <f t="shared" si="919"/>
        <v>-1.2849999999999999</v>
      </c>
      <c r="T228" s="54">
        <f t="shared" si="919"/>
        <v>-1.3080000000000001</v>
      </c>
      <c r="U228" s="54">
        <f t="shared" si="919"/>
        <v>-2.2400000000000002</v>
      </c>
      <c r="V228" s="54">
        <f t="shared" si="919"/>
        <v>-1.575</v>
      </c>
      <c r="W228" s="54">
        <f t="shared" si="919"/>
        <v>-1.3360000000000001</v>
      </c>
      <c r="X228" s="54">
        <f t="shared" si="919"/>
        <v>-1.286</v>
      </c>
      <c r="Y228" s="54">
        <f t="shared" si="919"/>
        <v>-2.206</v>
      </c>
      <c r="Z228" s="54">
        <f t="shared" si="919"/>
        <v>-1.6850000000000001</v>
      </c>
      <c r="AA228" s="54">
        <f t="shared" si="919"/>
        <v>-1.851</v>
      </c>
      <c r="AB228" s="54">
        <f t="shared" si="919"/>
        <v>-1.879</v>
      </c>
      <c r="AC228" s="54">
        <f t="shared" si="919"/>
        <v>-0.81399999999999995</v>
      </c>
      <c r="AD228" s="54">
        <f t="shared" si="919"/>
        <v>-1.323</v>
      </c>
      <c r="AE228" s="54">
        <f t="shared" si="919"/>
        <v>-1.6479999999999999</v>
      </c>
      <c r="AF228" s="54">
        <f t="shared" si="919"/>
        <v>-1.591</v>
      </c>
      <c r="AG228" s="54">
        <f t="shared" si="919"/>
        <v>-1.2130000000000001</v>
      </c>
      <c r="AH228" s="54">
        <f t="shared" si="919"/>
        <v>-1.845</v>
      </c>
      <c r="AI228" s="54">
        <f t="shared" si="919"/>
        <v>-1.3979999999999997</v>
      </c>
      <c r="AJ228" s="54">
        <f t="shared" si="919"/>
        <v>-1.42</v>
      </c>
      <c r="AK228" s="54">
        <f t="shared" si="919"/>
        <v>-1.42</v>
      </c>
      <c r="AL228" s="54">
        <f t="shared" si="919"/>
        <v>-1.123</v>
      </c>
      <c r="AM228" s="54">
        <f t="shared" si="919"/>
        <v>-1.758</v>
      </c>
      <c r="AN228" s="54">
        <f t="shared" si="919"/>
        <v>-1.4790000000000001</v>
      </c>
      <c r="AO228" s="54">
        <f t="shared" si="919"/>
        <v>-1.3009999999999999</v>
      </c>
      <c r="AP228" s="54">
        <f t="shared" si="919"/>
        <v>-1.2050000000000001</v>
      </c>
      <c r="AQ228" s="54">
        <f t="shared" si="919"/>
        <v>-1.6539999999999999</v>
      </c>
      <c r="AR228" s="54">
        <f t="shared" si="919"/>
        <v>-1.401</v>
      </c>
      <c r="AS228" s="54">
        <f t="shared" si="919"/>
        <v>-1.4510000000000001</v>
      </c>
      <c r="AT228" s="54">
        <f t="shared" si="919"/>
        <v>-1.4279999999999999</v>
      </c>
      <c r="AU228" s="87">
        <f>AT228/AT$233*AU$233</f>
        <v>-1.3168876080691641</v>
      </c>
      <c r="AV228" s="87">
        <f t="shared" ref="AV228:BF228" si="920">AU228/AU$233*AV$233</f>
        <v>-1.3432253602305473</v>
      </c>
      <c r="AW228" s="87">
        <f t="shared" si="920"/>
        <v>-1.3700898674351583</v>
      </c>
      <c r="AX228" s="87">
        <f t="shared" si="920"/>
        <v>-1.3974916647838613</v>
      </c>
      <c r="AY228" s="87">
        <f t="shared" si="920"/>
        <v>-1.4254414980795387</v>
      </c>
      <c r="AZ228" s="87">
        <f t="shared" si="920"/>
        <v>-1.4539503280411294</v>
      </c>
      <c r="BA228" s="87">
        <f t="shared" si="920"/>
        <v>-1.4830293346019521</v>
      </c>
      <c r="BB228" s="87">
        <f t="shared" si="920"/>
        <v>-1.512689921293991</v>
      </c>
      <c r="BC228" s="87">
        <f t="shared" si="920"/>
        <v>-1.542943719719871</v>
      </c>
      <c r="BD228" s="87">
        <f t="shared" si="920"/>
        <v>-1.5738025941142686</v>
      </c>
      <c r="BE228" s="87">
        <f t="shared" si="920"/>
        <v>-1.605278645996554</v>
      </c>
      <c r="BF228" s="87">
        <f t="shared" si="920"/>
        <v>-1.6373842189164851</v>
      </c>
      <c r="BI228">
        <f t="shared" si="638"/>
        <v>221</v>
      </c>
    </row>
    <row r="229" spans="1:61" hidden="1" outlineLevel="2">
      <c r="B229" s="16" t="s">
        <v>48</v>
      </c>
      <c r="C229" s="54">
        <f t="shared" si="918"/>
        <v>-10.389999999999999</v>
      </c>
      <c r="D229" s="54">
        <f t="shared" si="918"/>
        <v>-17.686</v>
      </c>
      <c r="E229" s="54">
        <f t="shared" si="918"/>
        <v>-17.032599999999999</v>
      </c>
      <c r="F229" s="54">
        <f t="shared" si="918"/>
        <v>-17.695</v>
      </c>
      <c r="G229" s="54">
        <f t="shared" si="918"/>
        <v>-20.279</v>
      </c>
      <c r="H229" s="54">
        <f t="shared" si="918"/>
        <v>-16.317999999999998</v>
      </c>
      <c r="I229" s="54">
        <f t="shared" si="918"/>
        <v>-11.238</v>
      </c>
      <c r="J229" s="54">
        <f t="shared" si="918"/>
        <v>-14.442</v>
      </c>
      <c r="K229" s="54">
        <f t="shared" si="918"/>
        <v>-14.922358969913544</v>
      </c>
      <c r="L229" s="54">
        <f t="shared" si="918"/>
        <v>-16.152441252098892</v>
      </c>
      <c r="M229" s="54">
        <f t="shared" si="918"/>
        <v>-17.483921873782514</v>
      </c>
      <c r="O229" s="54">
        <f t="shared" ref="O229:AT229" si="921">O152</f>
        <v>-2.5409999999999999</v>
      </c>
      <c r="P229" s="54">
        <f t="shared" si="921"/>
        <v>-2.8050000000000002</v>
      </c>
      <c r="Q229" s="54">
        <f t="shared" si="921"/>
        <v>-2.6680000000000001</v>
      </c>
      <c r="R229" s="54">
        <f t="shared" si="921"/>
        <v>-2.3759999999999994</v>
      </c>
      <c r="S229" s="54">
        <f t="shared" si="921"/>
        <v>-4.3390000000000004</v>
      </c>
      <c r="T229" s="54">
        <f t="shared" si="921"/>
        <v>-4.4560000000000004</v>
      </c>
      <c r="U229" s="54">
        <f t="shared" si="921"/>
        <v>-4.4550000000000001</v>
      </c>
      <c r="V229" s="54">
        <f t="shared" si="921"/>
        <v>-4.4359999999999999</v>
      </c>
      <c r="W229" s="54">
        <f t="shared" si="921"/>
        <v>-4.2750000000000004</v>
      </c>
      <c r="X229" s="54">
        <f t="shared" si="921"/>
        <v>-4.3440000000000003</v>
      </c>
      <c r="Y229" s="54">
        <f t="shared" si="921"/>
        <v>-4.1909999999999998</v>
      </c>
      <c r="Z229" s="54">
        <f t="shared" si="921"/>
        <v>-4.2225999999999999</v>
      </c>
      <c r="AA229" s="54">
        <f t="shared" si="921"/>
        <v>-4.2530000000000001</v>
      </c>
      <c r="AB229" s="54">
        <f t="shared" si="921"/>
        <v>-4.2969999999999997</v>
      </c>
      <c r="AC229" s="54">
        <f t="shared" si="921"/>
        <v>-4.4820000000000002</v>
      </c>
      <c r="AD229" s="54">
        <f t="shared" si="921"/>
        <v>-4.6630000000000003</v>
      </c>
      <c r="AE229" s="54">
        <f t="shared" si="921"/>
        <v>-4.8680000000000003</v>
      </c>
      <c r="AF229" s="54">
        <f t="shared" si="921"/>
        <v>-5.0670000000000002</v>
      </c>
      <c r="AG229" s="54">
        <f t="shared" si="921"/>
        <v>-4.8810000000000002</v>
      </c>
      <c r="AH229" s="54">
        <f t="shared" si="921"/>
        <v>-5.4630000000000001</v>
      </c>
      <c r="AI229" s="54">
        <f t="shared" si="921"/>
        <v>-5.093</v>
      </c>
      <c r="AJ229" s="54">
        <f t="shared" si="921"/>
        <v>-4.351</v>
      </c>
      <c r="AK229" s="54">
        <f t="shared" si="921"/>
        <v>-4.0190000000000001</v>
      </c>
      <c r="AL229" s="54">
        <f t="shared" si="921"/>
        <v>-2.855</v>
      </c>
      <c r="AM229" s="54">
        <f t="shared" si="921"/>
        <v>-2.8889999999999998</v>
      </c>
      <c r="AN229" s="54">
        <f t="shared" si="921"/>
        <v>-3.0289999999999999</v>
      </c>
      <c r="AO229" s="54">
        <f t="shared" si="921"/>
        <v>-2.9260000000000002</v>
      </c>
      <c r="AP229" s="54">
        <f t="shared" si="921"/>
        <v>-2.3940000000000001</v>
      </c>
      <c r="AQ229" s="54">
        <f t="shared" si="921"/>
        <v>-2.802</v>
      </c>
      <c r="AR229" s="54">
        <f t="shared" si="921"/>
        <v>-3.7029999999999998</v>
      </c>
      <c r="AS229" s="54">
        <f t="shared" si="921"/>
        <v>-4.0110000000000001</v>
      </c>
      <c r="AT229" s="54">
        <f t="shared" si="921"/>
        <v>-3.9260000000000002</v>
      </c>
      <c r="AU229" s="87">
        <f t="shared" ref="AU229:BF232" si="922">AT229/AT$233*AU$233</f>
        <v>-3.6205187319884726</v>
      </c>
      <c r="AV229" s="87">
        <f t="shared" si="922"/>
        <v>-3.6929291066282421</v>
      </c>
      <c r="AW229" s="87">
        <f t="shared" si="922"/>
        <v>-3.7667876887608069</v>
      </c>
      <c r="AX229" s="87">
        <f t="shared" si="922"/>
        <v>-3.8421234425360229</v>
      </c>
      <c r="AY229" s="87">
        <f t="shared" si="922"/>
        <v>-3.9189659113867434</v>
      </c>
      <c r="AZ229" s="87">
        <f t="shared" si="922"/>
        <v>-3.9973452296144782</v>
      </c>
      <c r="BA229" s="87">
        <f t="shared" si="922"/>
        <v>-4.0772921342067683</v>
      </c>
      <c r="BB229" s="87">
        <f t="shared" si="922"/>
        <v>-4.1588379768909034</v>
      </c>
      <c r="BC229" s="87">
        <f t="shared" si="922"/>
        <v>-4.2420147364287217</v>
      </c>
      <c r="BD229" s="87">
        <f t="shared" si="922"/>
        <v>-4.3268550311572964</v>
      </c>
      <c r="BE229" s="87">
        <f t="shared" si="922"/>
        <v>-4.4133921317804425</v>
      </c>
      <c r="BF229" s="87">
        <f t="shared" si="922"/>
        <v>-4.501659974416051</v>
      </c>
      <c r="BI229">
        <f t="shared" si="638"/>
        <v>222</v>
      </c>
    </row>
    <row r="230" spans="1:61" hidden="1" outlineLevel="2">
      <c r="B230" s="16" t="s">
        <v>49</v>
      </c>
      <c r="C230" s="54">
        <f t="shared" si="918"/>
        <v>0</v>
      </c>
      <c r="D230" s="54">
        <f t="shared" si="918"/>
        <v>0</v>
      </c>
      <c r="E230" s="54">
        <f t="shared" si="918"/>
        <v>0</v>
      </c>
      <c r="F230" s="54">
        <f t="shared" si="918"/>
        <v>0</v>
      </c>
      <c r="G230" s="54">
        <f t="shared" si="918"/>
        <v>0</v>
      </c>
      <c r="H230" s="54">
        <f t="shared" si="918"/>
        <v>0</v>
      </c>
      <c r="I230" s="54">
        <f t="shared" si="918"/>
        <v>0</v>
      </c>
      <c r="J230" s="54">
        <f t="shared" si="918"/>
        <v>-4.0819999999999999</v>
      </c>
      <c r="K230" s="54">
        <f t="shared" si="918"/>
        <v>-15.515300385936596</v>
      </c>
      <c r="L230" s="54">
        <f t="shared" si="918"/>
        <v>-16.794260109798184</v>
      </c>
      <c r="M230" s="54">
        <f t="shared" si="918"/>
        <v>-18.178647246250691</v>
      </c>
      <c r="O230" s="54">
        <f t="shared" ref="O230:AT230" si="923">O191</f>
        <v>0</v>
      </c>
      <c r="P230" s="54">
        <f t="shared" si="923"/>
        <v>0</v>
      </c>
      <c r="Q230" s="54">
        <f t="shared" si="923"/>
        <v>0</v>
      </c>
      <c r="R230" s="54">
        <f t="shared" si="923"/>
        <v>0</v>
      </c>
      <c r="S230" s="54">
        <f t="shared" si="923"/>
        <v>0</v>
      </c>
      <c r="T230" s="54">
        <f t="shared" si="923"/>
        <v>0</v>
      </c>
      <c r="U230" s="54">
        <f t="shared" si="923"/>
        <v>0</v>
      </c>
      <c r="V230" s="54">
        <f t="shared" si="923"/>
        <v>0</v>
      </c>
      <c r="W230" s="54">
        <f t="shared" si="923"/>
        <v>0</v>
      </c>
      <c r="X230" s="54">
        <f t="shared" si="923"/>
        <v>0</v>
      </c>
      <c r="Y230" s="54">
        <f t="shared" si="923"/>
        <v>0</v>
      </c>
      <c r="Z230" s="54">
        <f t="shared" si="923"/>
        <v>0</v>
      </c>
      <c r="AA230" s="54">
        <f t="shared" si="923"/>
        <v>0</v>
      </c>
      <c r="AB230" s="54">
        <f t="shared" si="923"/>
        <v>0</v>
      </c>
      <c r="AC230" s="54">
        <f t="shared" si="923"/>
        <v>0</v>
      </c>
      <c r="AD230" s="54">
        <f t="shared" si="923"/>
        <v>0</v>
      </c>
      <c r="AE230" s="54">
        <f t="shared" si="923"/>
        <v>0</v>
      </c>
      <c r="AF230" s="54">
        <f t="shared" si="923"/>
        <v>0</v>
      </c>
      <c r="AG230" s="54">
        <f t="shared" si="923"/>
        <v>0</v>
      </c>
      <c r="AH230" s="54">
        <f t="shared" si="923"/>
        <v>0</v>
      </c>
      <c r="AI230" s="54">
        <f t="shared" si="923"/>
        <v>0</v>
      </c>
      <c r="AJ230" s="54">
        <f t="shared" si="923"/>
        <v>0</v>
      </c>
      <c r="AK230" s="54">
        <f t="shared" si="923"/>
        <v>0</v>
      </c>
      <c r="AL230" s="54">
        <f t="shared" si="923"/>
        <v>0</v>
      </c>
      <c r="AM230" s="54">
        <f t="shared" si="923"/>
        <v>0</v>
      </c>
      <c r="AN230" s="54">
        <f t="shared" si="923"/>
        <v>0</v>
      </c>
      <c r="AO230" s="54">
        <f t="shared" si="923"/>
        <v>0</v>
      </c>
      <c r="AP230" s="54">
        <f t="shared" si="923"/>
        <v>0</v>
      </c>
      <c r="AQ230" s="54">
        <f t="shared" si="923"/>
        <v>0</v>
      </c>
      <c r="AR230" s="54">
        <f t="shared" si="923"/>
        <v>0</v>
      </c>
      <c r="AS230" s="54">
        <f t="shared" si="923"/>
        <v>0</v>
      </c>
      <c r="AT230" s="54">
        <f t="shared" si="923"/>
        <v>-4.0819999999999999</v>
      </c>
      <c r="AU230" s="87">
        <f t="shared" si="922"/>
        <v>-3.7643804034582127</v>
      </c>
      <c r="AV230" s="87">
        <f t="shared" si="922"/>
        <v>-3.8396680115273769</v>
      </c>
      <c r="AW230" s="87">
        <f t="shared" si="922"/>
        <v>-3.9164613717579244</v>
      </c>
      <c r="AX230" s="87">
        <f t="shared" si="922"/>
        <v>-3.9947905991930828</v>
      </c>
      <c r="AY230" s="87">
        <f t="shared" si="922"/>
        <v>-4.0746864111769447</v>
      </c>
      <c r="AZ230" s="87">
        <f t="shared" si="922"/>
        <v>-4.1561801394004831</v>
      </c>
      <c r="BA230" s="87">
        <f t="shared" si="922"/>
        <v>-4.2393037421884934</v>
      </c>
      <c r="BB230" s="87">
        <f t="shared" si="922"/>
        <v>-4.324089817032263</v>
      </c>
      <c r="BC230" s="87">
        <f t="shared" si="922"/>
        <v>-4.4105716133729089</v>
      </c>
      <c r="BD230" s="87">
        <f t="shared" si="922"/>
        <v>-4.4987830456403675</v>
      </c>
      <c r="BE230" s="87">
        <f t="shared" si="922"/>
        <v>-4.5887587065531754</v>
      </c>
      <c r="BF230" s="87">
        <f t="shared" si="922"/>
        <v>-4.6805338806842389</v>
      </c>
      <c r="BI230">
        <f t="shared" si="638"/>
        <v>223</v>
      </c>
    </row>
    <row r="231" spans="1:61" hidden="1" outlineLevel="2">
      <c r="B231" s="16" t="s">
        <v>279</v>
      </c>
      <c r="C231" s="54">
        <f t="shared" si="918"/>
        <v>0</v>
      </c>
      <c r="D231" s="54">
        <f t="shared" si="918"/>
        <v>-3.0000000000001098E-3</v>
      </c>
      <c r="E231" s="54">
        <f t="shared" si="918"/>
        <v>0</v>
      </c>
      <c r="F231" s="54">
        <f t="shared" si="918"/>
        <v>0</v>
      </c>
      <c r="G231" s="54">
        <f t="shared" si="918"/>
        <v>0</v>
      </c>
      <c r="H231" s="54">
        <f t="shared" si="918"/>
        <v>0</v>
      </c>
      <c r="I231" s="54">
        <f t="shared" si="918"/>
        <v>-1.7689999999999984</v>
      </c>
      <c r="J231" s="54">
        <f t="shared" si="918"/>
        <v>-10.743</v>
      </c>
      <c r="K231" s="54">
        <f t="shared" si="918"/>
        <v>-10.821180842420748</v>
      </c>
      <c r="L231" s="54">
        <f t="shared" si="918"/>
        <v>-11.713194153012111</v>
      </c>
      <c r="M231" s="54">
        <f t="shared" si="918"/>
        <v>-12.678738047544272</v>
      </c>
      <c r="O231" s="54">
        <f>O206</f>
        <v>0</v>
      </c>
      <c r="P231" s="54">
        <f t="shared" ref="P231:AT231" si="924">P206</f>
        <v>0</v>
      </c>
      <c r="Q231" s="54">
        <f t="shared" si="924"/>
        <v>0</v>
      </c>
      <c r="R231" s="54">
        <f t="shared" si="924"/>
        <v>0</v>
      </c>
      <c r="S231" s="54">
        <f t="shared" si="924"/>
        <v>0</v>
      </c>
      <c r="T231" s="54">
        <f t="shared" si="924"/>
        <v>0</v>
      </c>
      <c r="U231" s="54">
        <f t="shared" si="924"/>
        <v>0</v>
      </c>
      <c r="V231" s="54">
        <v>-3.0000000000001098E-3</v>
      </c>
      <c r="W231" s="54">
        <f t="shared" si="924"/>
        <v>0</v>
      </c>
      <c r="X231" s="54">
        <f t="shared" si="924"/>
        <v>0</v>
      </c>
      <c r="Y231" s="54">
        <f t="shared" si="924"/>
        <v>0</v>
      </c>
      <c r="Z231" s="54">
        <f t="shared" si="924"/>
        <v>0</v>
      </c>
      <c r="AA231" s="54">
        <f t="shared" si="924"/>
        <v>0</v>
      </c>
      <c r="AB231" s="54">
        <f t="shared" si="924"/>
        <v>0</v>
      </c>
      <c r="AC231" s="54">
        <f t="shared" si="924"/>
        <v>0</v>
      </c>
      <c r="AD231" s="54">
        <f t="shared" si="924"/>
        <v>0</v>
      </c>
      <c r="AE231" s="54">
        <f t="shared" si="924"/>
        <v>0</v>
      </c>
      <c r="AF231" s="54">
        <f t="shared" si="924"/>
        <v>0</v>
      </c>
      <c r="AG231" s="54">
        <f t="shared" si="924"/>
        <v>0</v>
      </c>
      <c r="AH231" s="54">
        <f t="shared" si="924"/>
        <v>0</v>
      </c>
      <c r="AI231" s="54">
        <f t="shared" si="924"/>
        <v>0</v>
      </c>
      <c r="AJ231" s="54">
        <f t="shared" si="924"/>
        <v>0</v>
      </c>
      <c r="AK231" s="54">
        <f t="shared" si="924"/>
        <v>0</v>
      </c>
      <c r="AL231" s="54">
        <f t="shared" si="924"/>
        <v>0</v>
      </c>
      <c r="AM231" s="54">
        <f t="shared" si="924"/>
        <v>0</v>
      </c>
      <c r="AN231" s="54">
        <f t="shared" si="924"/>
        <v>0</v>
      </c>
      <c r="AO231" s="54">
        <f t="shared" si="924"/>
        <v>0</v>
      </c>
      <c r="AP231" s="54">
        <f t="shared" si="924"/>
        <v>-1.7689999999999984</v>
      </c>
      <c r="AQ231" s="54">
        <f t="shared" si="924"/>
        <v>-1.7930000000000028</v>
      </c>
      <c r="AR231" s="54">
        <f t="shared" si="924"/>
        <v>-2.8030000000000008</v>
      </c>
      <c r="AS231" s="54">
        <f t="shared" si="924"/>
        <v>-3.2999999999999972</v>
      </c>
      <c r="AT231" s="54">
        <f t="shared" si="924"/>
        <v>-2.847</v>
      </c>
      <c r="AU231" s="87">
        <f t="shared" si="922"/>
        <v>-2.6254755043227664</v>
      </c>
      <c r="AV231" s="87">
        <f t="shared" si="922"/>
        <v>-2.6779850144092219</v>
      </c>
      <c r="AW231" s="87">
        <f t="shared" si="922"/>
        <v>-2.7315447146974061</v>
      </c>
      <c r="AX231" s="87">
        <f t="shared" si="922"/>
        <v>-2.7861756089913543</v>
      </c>
      <c r="AY231" s="87">
        <f t="shared" si="922"/>
        <v>-2.8418991211711813</v>
      </c>
      <c r="AZ231" s="87">
        <f t="shared" si="922"/>
        <v>-2.898737103594605</v>
      </c>
      <c r="BA231" s="87">
        <f t="shared" si="922"/>
        <v>-2.9567118456664971</v>
      </c>
      <c r="BB231" s="87">
        <f t="shared" si="922"/>
        <v>-3.0158460825798272</v>
      </c>
      <c r="BC231" s="87">
        <f t="shared" si="922"/>
        <v>-3.0761630042314239</v>
      </c>
      <c r="BD231" s="87">
        <f t="shared" si="922"/>
        <v>-3.1376862643160526</v>
      </c>
      <c r="BE231" s="87">
        <f t="shared" si="922"/>
        <v>-3.2004399896023736</v>
      </c>
      <c r="BF231" s="87">
        <f t="shared" si="922"/>
        <v>-3.2644487893944212</v>
      </c>
      <c r="BI231">
        <f t="shared" si="638"/>
        <v>224</v>
      </c>
    </row>
    <row r="232" spans="1:61" hidden="1" outlineLevel="2">
      <c r="B232" s="16" t="s">
        <v>254</v>
      </c>
      <c r="C232" s="54">
        <f t="shared" si="918"/>
        <v>-35.173000000000002</v>
      </c>
      <c r="D232" s="54">
        <f t="shared" si="918"/>
        <v>-40.173999999999999</v>
      </c>
      <c r="E232" s="54">
        <f t="shared" si="918"/>
        <v>-40.927399999999999</v>
      </c>
      <c r="F232" s="54">
        <f t="shared" si="918"/>
        <v>-50.29</v>
      </c>
      <c r="G232" s="54">
        <f t="shared" si="918"/>
        <v>-53.569000000000003</v>
      </c>
      <c r="H232" s="54">
        <f t="shared" si="918"/>
        <v>-53.234000000000002</v>
      </c>
      <c r="I232" s="54">
        <f t="shared" si="918"/>
        <v>-50.454999999999998</v>
      </c>
      <c r="J232" s="54">
        <f t="shared" si="918"/>
        <v>-69.38</v>
      </c>
      <c r="K232" s="54">
        <f t="shared" si="918"/>
        <v>-85.204921301210376</v>
      </c>
      <c r="L232" s="54">
        <f t="shared" si="918"/>
        <v>-92.228547006699145</v>
      </c>
      <c r="M232" s="54">
        <f t="shared" si="918"/>
        <v>-99.83114535012291</v>
      </c>
      <c r="O232" s="54">
        <f>O221</f>
        <v>-7.69</v>
      </c>
      <c r="P232" s="54">
        <f t="shared" ref="P232:AT232" si="925">P221</f>
        <v>-8.6180000000000003</v>
      </c>
      <c r="Q232" s="54">
        <f t="shared" si="925"/>
        <v>-9.3529999999999998</v>
      </c>
      <c r="R232" s="54">
        <f t="shared" si="925"/>
        <v>-9.5120000000000005</v>
      </c>
      <c r="S232" s="54">
        <f t="shared" si="925"/>
        <v>-10.351000000000001</v>
      </c>
      <c r="T232" s="54">
        <f t="shared" si="925"/>
        <v>-10.984999999999999</v>
      </c>
      <c r="U232" s="54">
        <f t="shared" si="925"/>
        <v>-9.2620000000000005</v>
      </c>
      <c r="V232" s="54">
        <f t="shared" si="925"/>
        <v>-9.5760000000000005</v>
      </c>
      <c r="W232" s="54">
        <f t="shared" si="925"/>
        <v>-8.2569999999999997</v>
      </c>
      <c r="X232" s="54">
        <f t="shared" si="925"/>
        <v>-11.089</v>
      </c>
      <c r="Y232" s="54">
        <f t="shared" si="925"/>
        <v>-10.824999999999999</v>
      </c>
      <c r="Z232" s="54">
        <f t="shared" si="925"/>
        <v>-10.756400000000001</v>
      </c>
      <c r="AA232" s="54">
        <f t="shared" si="925"/>
        <v>-11.292999999999999</v>
      </c>
      <c r="AB232" s="54">
        <f t="shared" si="925"/>
        <v>-12.143000000000001</v>
      </c>
      <c r="AC232" s="54">
        <f t="shared" si="925"/>
        <v>-14.284000000000001</v>
      </c>
      <c r="AD232" s="54">
        <f t="shared" si="925"/>
        <v>-12.57</v>
      </c>
      <c r="AE232" s="54">
        <f t="shared" si="925"/>
        <v>-13.157</v>
      </c>
      <c r="AF232" s="54">
        <f t="shared" si="925"/>
        <v>-12.89</v>
      </c>
      <c r="AG232" s="54">
        <f t="shared" si="925"/>
        <v>-12.802</v>
      </c>
      <c r="AH232" s="54">
        <f t="shared" si="925"/>
        <v>-14.72</v>
      </c>
      <c r="AI232" s="54">
        <f t="shared" si="925"/>
        <v>-14.045999999999999</v>
      </c>
      <c r="AJ232" s="54">
        <f t="shared" si="925"/>
        <v>-13.445</v>
      </c>
      <c r="AK232" s="54">
        <f t="shared" si="925"/>
        <v>-13.143000000000001</v>
      </c>
      <c r="AL232" s="54">
        <f t="shared" si="925"/>
        <v>-12.6</v>
      </c>
      <c r="AM232" s="54">
        <f t="shared" si="925"/>
        <v>-13.324999999999999</v>
      </c>
      <c r="AN232" s="54">
        <f t="shared" si="925"/>
        <v>-12.579000000000001</v>
      </c>
      <c r="AO232" s="54">
        <f t="shared" si="925"/>
        <v>-12.385</v>
      </c>
      <c r="AP232" s="54">
        <f t="shared" si="925"/>
        <v>-12.166</v>
      </c>
      <c r="AQ232" s="54">
        <f t="shared" si="925"/>
        <v>-12.603</v>
      </c>
      <c r="AR232" s="54">
        <f t="shared" si="925"/>
        <v>-15.571</v>
      </c>
      <c r="AS232" s="54">
        <f t="shared" si="925"/>
        <v>-18.789000000000001</v>
      </c>
      <c r="AT232" s="54">
        <f t="shared" si="925"/>
        <v>-22.417000000000002</v>
      </c>
      <c r="AU232" s="87">
        <f t="shared" si="922"/>
        <v>-20.672737752161382</v>
      </c>
      <c r="AV232" s="87">
        <f t="shared" si="922"/>
        <v>-21.086192507204611</v>
      </c>
      <c r="AW232" s="87">
        <f t="shared" si="922"/>
        <v>-21.507916357348702</v>
      </c>
      <c r="AX232" s="87">
        <f t="shared" si="922"/>
        <v>-21.938074684495675</v>
      </c>
      <c r="AY232" s="87">
        <f t="shared" si="922"/>
        <v>-22.376836178185588</v>
      </c>
      <c r="AZ232" s="87">
        <f t="shared" si="922"/>
        <v>-22.8243729017493</v>
      </c>
      <c r="BA232" s="87">
        <f t="shared" si="922"/>
        <v>-23.280860359784288</v>
      </c>
      <c r="BB232" s="87">
        <f t="shared" si="922"/>
        <v>-23.746477566979973</v>
      </c>
      <c r="BC232" s="87">
        <f t="shared" si="922"/>
        <v>-24.221407118319576</v>
      </c>
      <c r="BD232" s="87">
        <f t="shared" si="922"/>
        <v>-24.705835260685966</v>
      </c>
      <c r="BE232" s="87">
        <f t="shared" si="922"/>
        <v>-25.199951965899686</v>
      </c>
      <c r="BF232" s="87">
        <f t="shared" si="922"/>
        <v>-25.703951005217679</v>
      </c>
      <c r="BI232">
        <f t="shared" si="638"/>
        <v>225</v>
      </c>
    </row>
    <row r="233" spans="1:61" hidden="1" outlineLevel="2">
      <c r="B233" s="50" t="s">
        <v>255</v>
      </c>
      <c r="C233" s="21">
        <f>SUM(C228:C232)</f>
        <v>-50.841999999999999</v>
      </c>
      <c r="D233" s="21">
        <f t="shared" ref="D233:O233" si="926">SUM(D228:D232)</f>
        <v>-64.271000000000001</v>
      </c>
      <c r="E233" s="21">
        <f t="shared" si="926"/>
        <v>-64.472999999999999</v>
      </c>
      <c r="F233" s="21">
        <f t="shared" si="926"/>
        <v>-73.852000000000004</v>
      </c>
      <c r="G233" s="21">
        <f t="shared" si="926"/>
        <v>-80.14500000000001</v>
      </c>
      <c r="H233" s="21">
        <f t="shared" si="926"/>
        <v>-74.912999999999997</v>
      </c>
      <c r="I233" s="21">
        <f t="shared" si="926"/>
        <v>-69.204999999999998</v>
      </c>
      <c r="J233" s="21">
        <f t="shared" si="926"/>
        <v>-104.58099999999999</v>
      </c>
      <c r="K233" s="21">
        <f t="shared" si="926"/>
        <v>-131.89145600000001</v>
      </c>
      <c r="L233" s="21">
        <f t="shared" si="926"/>
        <v>-142.76355360362493</v>
      </c>
      <c r="M233" s="21">
        <f t="shared" si="926"/>
        <v>-154.53186169644755</v>
      </c>
      <c r="O233" s="21">
        <f t="shared" si="926"/>
        <v>-11.463000000000001</v>
      </c>
      <c r="P233" s="21">
        <f t="shared" ref="P233:AT233" si="927">SUM(P228:P232)</f>
        <v>-12.343</v>
      </c>
      <c r="Q233" s="21">
        <f t="shared" si="927"/>
        <v>-13.684999999999999</v>
      </c>
      <c r="R233" s="21">
        <f t="shared" si="927"/>
        <v>-13.350999999999999</v>
      </c>
      <c r="S233" s="21">
        <f t="shared" si="927"/>
        <v>-15.975000000000001</v>
      </c>
      <c r="T233" s="21">
        <f t="shared" si="927"/>
        <v>-16.748999999999999</v>
      </c>
      <c r="U233" s="21">
        <f t="shared" si="927"/>
        <v>-15.957000000000001</v>
      </c>
      <c r="V233" s="21">
        <f t="shared" si="927"/>
        <v>-15.59</v>
      </c>
      <c r="W233" s="21">
        <f t="shared" si="927"/>
        <v>-13.868</v>
      </c>
      <c r="X233" s="21">
        <f t="shared" si="927"/>
        <v>-16.719000000000001</v>
      </c>
      <c r="Y233" s="21">
        <f t="shared" si="927"/>
        <v>-17.222000000000001</v>
      </c>
      <c r="Z233" s="21">
        <f t="shared" si="927"/>
        <v>-16.664000000000001</v>
      </c>
      <c r="AA233" s="21">
        <f t="shared" si="927"/>
        <v>-17.396999999999998</v>
      </c>
      <c r="AB233" s="21">
        <f t="shared" si="927"/>
        <v>-18.319000000000003</v>
      </c>
      <c r="AC233" s="21">
        <f t="shared" si="927"/>
        <v>-19.580000000000002</v>
      </c>
      <c r="AD233" s="21">
        <f t="shared" si="927"/>
        <v>-18.556000000000001</v>
      </c>
      <c r="AE233" s="21">
        <f t="shared" si="927"/>
        <v>-19.673000000000002</v>
      </c>
      <c r="AF233" s="21">
        <f t="shared" si="927"/>
        <v>-19.548000000000002</v>
      </c>
      <c r="AG233" s="21">
        <f t="shared" si="927"/>
        <v>-18.896000000000001</v>
      </c>
      <c r="AH233" s="21">
        <f t="shared" si="927"/>
        <v>-22.027999999999999</v>
      </c>
      <c r="AI233" s="21">
        <f t="shared" si="927"/>
        <v>-20.536999999999999</v>
      </c>
      <c r="AJ233" s="21">
        <f t="shared" si="927"/>
        <v>-19.216000000000001</v>
      </c>
      <c r="AK233" s="21">
        <f t="shared" si="927"/>
        <v>-18.582000000000001</v>
      </c>
      <c r="AL233" s="21">
        <f t="shared" si="927"/>
        <v>-16.577999999999999</v>
      </c>
      <c r="AM233" s="21">
        <f t="shared" si="927"/>
        <v>-17.972000000000001</v>
      </c>
      <c r="AN233" s="21">
        <f t="shared" si="927"/>
        <v>-17.087</v>
      </c>
      <c r="AO233" s="21">
        <f t="shared" si="927"/>
        <v>-16.612000000000002</v>
      </c>
      <c r="AP233" s="21">
        <f t="shared" si="927"/>
        <v>-17.533999999999999</v>
      </c>
      <c r="AQ233" s="21">
        <f t="shared" si="927"/>
        <v>-18.852000000000004</v>
      </c>
      <c r="AR233" s="21">
        <f t="shared" si="927"/>
        <v>-23.478000000000002</v>
      </c>
      <c r="AS233" s="21">
        <f t="shared" si="927"/>
        <v>-27.550999999999998</v>
      </c>
      <c r="AT233" s="21">
        <f t="shared" si="927"/>
        <v>-34.700000000000003</v>
      </c>
      <c r="AU233" s="100">
        <f t="shared" ref="AU233:BF233" si="928">AU31</f>
        <v>-32</v>
      </c>
      <c r="AV233" s="100">
        <f t="shared" si="928"/>
        <v>-32.64</v>
      </c>
      <c r="AW233" s="100">
        <f t="shared" si="928"/>
        <v>-33.2928</v>
      </c>
      <c r="AX233" s="100">
        <f t="shared" si="928"/>
        <v>-33.958655999999998</v>
      </c>
      <c r="AY233" s="100">
        <f t="shared" si="928"/>
        <v>-34.637829119999999</v>
      </c>
      <c r="AZ233" s="100">
        <f t="shared" si="928"/>
        <v>-35.330585702400001</v>
      </c>
      <c r="BA233" s="100">
        <f t="shared" si="928"/>
        <v>-36.037197416448002</v>
      </c>
      <c r="BB233" s="100">
        <f t="shared" si="928"/>
        <v>-36.757941364776961</v>
      </c>
      <c r="BC233" s="100">
        <f t="shared" si="928"/>
        <v>-37.493100192072504</v>
      </c>
      <c r="BD233" s="100">
        <f t="shared" si="928"/>
        <v>-38.242962195913954</v>
      </c>
      <c r="BE233" s="100">
        <f t="shared" si="928"/>
        <v>-39.007821439832234</v>
      </c>
      <c r="BF233" s="100">
        <f t="shared" si="928"/>
        <v>-39.787977868628879</v>
      </c>
      <c r="BI233">
        <f t="shared" si="638"/>
        <v>226</v>
      </c>
    </row>
    <row r="234" spans="1:61" hidden="1" outlineLevel="2">
      <c r="B234" s="50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O234" s="93">
        <f t="shared" ref="O234:BF234" si="929">+O233-O31</f>
        <v>0</v>
      </c>
      <c r="P234" s="93">
        <f t="shared" si="929"/>
        <v>0</v>
      </c>
      <c r="Q234" s="93">
        <f t="shared" si="929"/>
        <v>0</v>
      </c>
      <c r="R234" s="93">
        <f t="shared" si="929"/>
        <v>0</v>
      </c>
      <c r="S234" s="93">
        <f t="shared" si="929"/>
        <v>0</v>
      </c>
      <c r="T234" s="93">
        <f t="shared" si="929"/>
        <v>0</v>
      </c>
      <c r="U234" s="93">
        <f t="shared" si="929"/>
        <v>0</v>
      </c>
      <c r="V234" s="93">
        <f t="shared" si="929"/>
        <v>0</v>
      </c>
      <c r="W234" s="93">
        <f t="shared" si="929"/>
        <v>0</v>
      </c>
      <c r="X234" s="93">
        <f t="shared" si="929"/>
        <v>0</v>
      </c>
      <c r="Y234" s="93">
        <f t="shared" si="929"/>
        <v>0</v>
      </c>
      <c r="Z234" s="93">
        <f t="shared" si="929"/>
        <v>0</v>
      </c>
      <c r="AA234" s="93">
        <f t="shared" si="929"/>
        <v>0</v>
      </c>
      <c r="AB234" s="93">
        <f t="shared" si="929"/>
        <v>0</v>
      </c>
      <c r="AC234" s="93">
        <f t="shared" si="929"/>
        <v>0</v>
      </c>
      <c r="AD234" s="93">
        <f t="shared" si="929"/>
        <v>0</v>
      </c>
      <c r="AE234" s="93">
        <f t="shared" si="929"/>
        <v>0</v>
      </c>
      <c r="AF234" s="93">
        <f t="shared" si="929"/>
        <v>0</v>
      </c>
      <c r="AG234" s="93">
        <f t="shared" si="929"/>
        <v>0</v>
      </c>
      <c r="AH234" s="93">
        <f t="shared" si="929"/>
        <v>0</v>
      </c>
      <c r="AI234" s="93">
        <f t="shared" si="929"/>
        <v>0</v>
      </c>
      <c r="AJ234" s="93">
        <f t="shared" si="929"/>
        <v>0</v>
      </c>
      <c r="AK234" s="93">
        <f t="shared" si="929"/>
        <v>0</v>
      </c>
      <c r="AL234" s="93">
        <f t="shared" si="929"/>
        <v>0</v>
      </c>
      <c r="AM234" s="93">
        <f t="shared" si="929"/>
        <v>0</v>
      </c>
      <c r="AN234" s="93">
        <f t="shared" si="929"/>
        <v>0</v>
      </c>
      <c r="AO234" s="93">
        <f t="shared" si="929"/>
        <v>0</v>
      </c>
      <c r="AP234" s="93">
        <f t="shared" si="929"/>
        <v>0</v>
      </c>
      <c r="AQ234" s="93">
        <f t="shared" si="929"/>
        <v>0</v>
      </c>
      <c r="AR234" s="93">
        <f t="shared" si="929"/>
        <v>0</v>
      </c>
      <c r="AS234" s="93">
        <f t="shared" si="929"/>
        <v>0</v>
      </c>
      <c r="AT234" s="93">
        <f t="shared" si="929"/>
        <v>0</v>
      </c>
      <c r="AU234" s="101">
        <f t="shared" si="929"/>
        <v>0</v>
      </c>
      <c r="AV234" s="101">
        <f t="shared" si="929"/>
        <v>0</v>
      </c>
      <c r="AW234" s="101">
        <f t="shared" si="929"/>
        <v>0</v>
      </c>
      <c r="AX234" s="101">
        <f t="shared" si="929"/>
        <v>0</v>
      </c>
      <c r="AY234" s="101">
        <f t="shared" si="929"/>
        <v>0</v>
      </c>
      <c r="AZ234" s="101">
        <f t="shared" si="929"/>
        <v>0</v>
      </c>
      <c r="BA234" s="101">
        <f t="shared" si="929"/>
        <v>0</v>
      </c>
      <c r="BB234" s="101">
        <f t="shared" si="929"/>
        <v>0</v>
      </c>
      <c r="BC234" s="101">
        <f t="shared" si="929"/>
        <v>0</v>
      </c>
      <c r="BD234" s="101">
        <f t="shared" si="929"/>
        <v>0</v>
      </c>
      <c r="BE234" s="101">
        <f t="shared" si="929"/>
        <v>0</v>
      </c>
      <c r="BF234" s="101">
        <f t="shared" si="929"/>
        <v>0</v>
      </c>
      <c r="BI234">
        <f t="shared" si="638"/>
        <v>227</v>
      </c>
    </row>
    <row r="235" spans="1:61" hidden="1" outlineLevel="2">
      <c r="B235" s="51" t="s">
        <v>56</v>
      </c>
      <c r="BI235">
        <f t="shared" si="638"/>
        <v>228</v>
      </c>
    </row>
    <row r="236" spans="1:61" hidden="1" outlineLevel="2">
      <c r="B236" s="16" t="s">
        <v>281</v>
      </c>
      <c r="C236" s="54">
        <f>+C26+C228</f>
        <v>420.94100000000003</v>
      </c>
      <c r="D236" s="54">
        <f t="shared" ref="D236:M236" si="930">+D26+D228</f>
        <v>694.69500000000005</v>
      </c>
      <c r="E236" s="54">
        <f t="shared" si="930"/>
        <v>739.70900000000006</v>
      </c>
      <c r="F236" s="54">
        <f t="shared" si="930"/>
        <v>639.82099999999991</v>
      </c>
      <c r="G236" s="54">
        <f t="shared" si="930"/>
        <v>765.87400000000002</v>
      </c>
      <c r="H236" s="54">
        <f t="shared" si="930"/>
        <v>470.21600000000007</v>
      </c>
      <c r="I236" s="54">
        <f t="shared" si="930"/>
        <v>207.56300000000005</v>
      </c>
      <c r="J236" s="54">
        <f t="shared" si="930"/>
        <v>366.99399999999997</v>
      </c>
      <c r="K236" s="54">
        <f t="shared" si="930"/>
        <v>539.12370549948128</v>
      </c>
      <c r="L236" s="54">
        <f t="shared" si="930"/>
        <v>715.05938891798348</v>
      </c>
      <c r="M236" s="54">
        <f t="shared" si="930"/>
        <v>791.56059082125284</v>
      </c>
      <c r="O236" s="54">
        <f t="shared" ref="O236:BF236" si="931">+O26+O228</f>
        <v>74.367000000000019</v>
      </c>
      <c r="P236" s="54">
        <f t="shared" si="931"/>
        <v>89.743000000000009</v>
      </c>
      <c r="Q236" s="54">
        <f t="shared" si="931"/>
        <v>114.09600000000002</v>
      </c>
      <c r="R236" s="54">
        <f t="shared" si="931"/>
        <v>142.73500000000001</v>
      </c>
      <c r="S236" s="54">
        <f t="shared" si="931"/>
        <v>157.374</v>
      </c>
      <c r="T236" s="54">
        <f t="shared" si="931"/>
        <v>166.417</v>
      </c>
      <c r="U236" s="54">
        <f t="shared" si="931"/>
        <v>174.46899999999999</v>
      </c>
      <c r="V236" s="54">
        <f t="shared" si="931"/>
        <v>196.435</v>
      </c>
      <c r="W236" s="54">
        <f t="shared" si="931"/>
        <v>205.49700000000001</v>
      </c>
      <c r="X236" s="54">
        <f t="shared" si="931"/>
        <v>186.24299999999999</v>
      </c>
      <c r="Y236" s="54">
        <f t="shared" si="931"/>
        <v>178.98700000000005</v>
      </c>
      <c r="Z236" s="54">
        <f t="shared" si="931"/>
        <v>168.982</v>
      </c>
      <c r="AA236" s="54">
        <f t="shared" si="931"/>
        <v>170.17099999999999</v>
      </c>
      <c r="AB236" s="54">
        <f t="shared" si="931"/>
        <v>145.352</v>
      </c>
      <c r="AC236" s="54">
        <f t="shared" si="931"/>
        <v>154.48899999999998</v>
      </c>
      <c r="AD236" s="54">
        <f t="shared" si="931"/>
        <v>169.80899999999994</v>
      </c>
      <c r="AE236" s="54">
        <f t="shared" si="931"/>
        <v>173.19600000000003</v>
      </c>
      <c r="AF236" s="54">
        <f t="shared" si="931"/>
        <v>181.67400000000001</v>
      </c>
      <c r="AG236" s="54">
        <f t="shared" si="931"/>
        <v>202.804</v>
      </c>
      <c r="AH236" s="54">
        <f t="shared" si="931"/>
        <v>208.20000000000002</v>
      </c>
      <c r="AI236" s="54">
        <f t="shared" si="931"/>
        <v>171.47600000000003</v>
      </c>
      <c r="AJ236" s="54">
        <f t="shared" si="931"/>
        <v>117.45299999999999</v>
      </c>
      <c r="AK236" s="54">
        <f t="shared" si="931"/>
        <v>94.779000000000011</v>
      </c>
      <c r="AL236" s="54">
        <f t="shared" si="931"/>
        <v>86.50800000000001</v>
      </c>
      <c r="AM236" s="54">
        <f t="shared" si="931"/>
        <v>69.22699999999999</v>
      </c>
      <c r="AN236" s="54">
        <f t="shared" si="931"/>
        <v>44.534000000000006</v>
      </c>
      <c r="AO236" s="54">
        <f t="shared" si="931"/>
        <v>46.727000000000004</v>
      </c>
      <c r="AP236" s="54">
        <f t="shared" si="931"/>
        <v>47.075000000000017</v>
      </c>
      <c r="AQ236" s="54">
        <f t="shared" si="931"/>
        <v>48.853000000000009</v>
      </c>
      <c r="AR236" s="54">
        <f t="shared" si="931"/>
        <v>88.052000000000007</v>
      </c>
      <c r="AS236" s="54">
        <f t="shared" si="931"/>
        <v>113.20599999999999</v>
      </c>
      <c r="AT236" s="54">
        <f t="shared" si="931"/>
        <v>116.88299999999998</v>
      </c>
      <c r="AU236" s="54">
        <f t="shared" si="931"/>
        <v>115.87661239193083</v>
      </c>
      <c r="AV236" s="54">
        <f t="shared" si="931"/>
        <v>128.04967463976945</v>
      </c>
      <c r="AW236" s="54">
        <f t="shared" si="931"/>
        <v>142.26491013256486</v>
      </c>
      <c r="AX236" s="54">
        <f t="shared" si="931"/>
        <v>152.93250833521617</v>
      </c>
      <c r="AY236" s="54">
        <f t="shared" si="931"/>
        <v>161.24955850192049</v>
      </c>
      <c r="AZ236" s="54">
        <f t="shared" si="931"/>
        <v>176.13254967195891</v>
      </c>
      <c r="BA236" s="54">
        <f t="shared" si="931"/>
        <v>186.33497066539806</v>
      </c>
      <c r="BB236" s="54">
        <f t="shared" si="931"/>
        <v>191.34231007870602</v>
      </c>
      <c r="BC236" s="54">
        <f t="shared" si="931"/>
        <v>194.10705628028012</v>
      </c>
      <c r="BD236" s="54">
        <f t="shared" si="931"/>
        <v>195.89619740588574</v>
      </c>
      <c r="BE236" s="54">
        <f t="shared" si="931"/>
        <v>199.87472135400344</v>
      </c>
      <c r="BF236" s="54">
        <f t="shared" si="931"/>
        <v>201.68261578108351</v>
      </c>
      <c r="BI236">
        <f t="shared" si="638"/>
        <v>229</v>
      </c>
    </row>
    <row r="237" spans="1:61" hidden="1" outlineLevel="2">
      <c r="B237" s="16" t="s">
        <v>48</v>
      </c>
      <c r="C237" s="54">
        <f t="shared" ref="C237:M237" si="932">+C27+C229</f>
        <v>105.11800000000001</v>
      </c>
      <c r="D237" s="54">
        <f t="shared" si="932"/>
        <v>266.71899999999999</v>
      </c>
      <c r="E237" s="54">
        <f t="shared" si="932"/>
        <v>243.86040000000003</v>
      </c>
      <c r="F237" s="54">
        <f t="shared" si="932"/>
        <v>217.16799999999998</v>
      </c>
      <c r="G237" s="54">
        <f t="shared" si="932"/>
        <v>236.67599999999999</v>
      </c>
      <c r="H237" s="54">
        <f t="shared" si="932"/>
        <v>84.115000000000009</v>
      </c>
      <c r="I237" s="54">
        <f t="shared" si="932"/>
        <v>8.2439999999999998</v>
      </c>
      <c r="J237" s="54">
        <f t="shared" si="932"/>
        <v>219.03399999999991</v>
      </c>
      <c r="K237" s="54">
        <f t="shared" si="932"/>
        <v>367.61974668648492</v>
      </c>
      <c r="L237" s="54">
        <f t="shared" si="932"/>
        <v>497.32114840547951</v>
      </c>
      <c r="M237" s="54">
        <f t="shared" si="932"/>
        <v>539.95128609245558</v>
      </c>
      <c r="O237" s="54">
        <f t="shared" ref="O237:BF237" si="933">+O27+O229</f>
        <v>12.078999999999997</v>
      </c>
      <c r="P237" s="54">
        <f t="shared" si="933"/>
        <v>14.593999999999994</v>
      </c>
      <c r="Q237" s="54">
        <f t="shared" si="933"/>
        <v>27.131</v>
      </c>
      <c r="R237" s="54">
        <f t="shared" si="933"/>
        <v>51.314000000000014</v>
      </c>
      <c r="S237" s="54">
        <f t="shared" si="933"/>
        <v>56.74499999999999</v>
      </c>
      <c r="T237" s="54">
        <f t="shared" si="933"/>
        <v>66.808999999999983</v>
      </c>
      <c r="U237" s="54">
        <f t="shared" si="933"/>
        <v>71.131999999999991</v>
      </c>
      <c r="V237" s="54">
        <f t="shared" si="933"/>
        <v>72.032999999999987</v>
      </c>
      <c r="W237" s="54">
        <f t="shared" si="933"/>
        <v>70.59</v>
      </c>
      <c r="X237" s="54">
        <f t="shared" si="933"/>
        <v>63.778000000000013</v>
      </c>
      <c r="Y237" s="54">
        <f t="shared" si="933"/>
        <v>48.632999999999981</v>
      </c>
      <c r="Z237" s="54">
        <f t="shared" si="933"/>
        <v>60.859400000000022</v>
      </c>
      <c r="AA237" s="54">
        <f t="shared" si="933"/>
        <v>58.750999999999991</v>
      </c>
      <c r="AB237" s="54">
        <f t="shared" si="933"/>
        <v>62.043000000000006</v>
      </c>
      <c r="AC237" s="54">
        <f t="shared" si="933"/>
        <v>50.676999999999992</v>
      </c>
      <c r="AD237" s="54">
        <f t="shared" si="933"/>
        <v>45.696999999999989</v>
      </c>
      <c r="AE237" s="54">
        <f t="shared" si="933"/>
        <v>35.585000000000001</v>
      </c>
      <c r="AF237" s="54">
        <f t="shared" si="933"/>
        <v>59.532999999999994</v>
      </c>
      <c r="AG237" s="54">
        <f t="shared" si="933"/>
        <v>62.794999999999987</v>
      </c>
      <c r="AH237" s="54">
        <f t="shared" si="933"/>
        <v>78.763000000000005</v>
      </c>
      <c r="AI237" s="54">
        <f t="shared" si="933"/>
        <v>31.903000000000009</v>
      </c>
      <c r="AJ237" s="54">
        <f t="shared" si="933"/>
        <v>29.516999999999996</v>
      </c>
      <c r="AK237" s="54">
        <f t="shared" si="933"/>
        <v>11.791000000000002</v>
      </c>
      <c r="AL237" s="54">
        <f t="shared" si="933"/>
        <v>10.904</v>
      </c>
      <c r="AM237" s="54">
        <f t="shared" si="933"/>
        <v>5.6110000000000007</v>
      </c>
      <c r="AN237" s="54">
        <f t="shared" si="933"/>
        <v>1.3749999999999964</v>
      </c>
      <c r="AO237" s="54">
        <f t="shared" si="933"/>
        <v>-1.9819999999999975</v>
      </c>
      <c r="AP237" s="54">
        <f t="shared" si="933"/>
        <v>3.24</v>
      </c>
      <c r="AQ237" s="54">
        <f t="shared" si="933"/>
        <v>19.359000000000002</v>
      </c>
      <c r="AR237" s="54">
        <f t="shared" si="933"/>
        <v>52.440999999999974</v>
      </c>
      <c r="AS237" s="54">
        <f t="shared" si="933"/>
        <v>68.114999999999981</v>
      </c>
      <c r="AT237" s="54">
        <f t="shared" si="933"/>
        <v>79.118999999999957</v>
      </c>
      <c r="AU237" s="54">
        <f t="shared" si="933"/>
        <v>71.630848819031939</v>
      </c>
      <c r="AV237" s="54">
        <f t="shared" si="933"/>
        <v>84.679729975926847</v>
      </c>
      <c r="AW237" s="54">
        <f t="shared" si="933"/>
        <v>100.01100719910205</v>
      </c>
      <c r="AX237" s="54">
        <f t="shared" si="933"/>
        <v>111.29816069242408</v>
      </c>
      <c r="AY237" s="54">
        <f t="shared" si="933"/>
        <v>115.69673562811245</v>
      </c>
      <c r="AZ237" s="54">
        <f t="shared" si="933"/>
        <v>120.0937737144238</v>
      </c>
      <c r="BA237" s="54">
        <f t="shared" si="933"/>
        <v>128.56838375054411</v>
      </c>
      <c r="BB237" s="54">
        <f t="shared" si="933"/>
        <v>132.96225531239909</v>
      </c>
      <c r="BC237" s="54">
        <f t="shared" si="933"/>
        <v>135.11678725513079</v>
      </c>
      <c r="BD237" s="54">
        <f t="shared" si="933"/>
        <v>135.03194696040222</v>
      </c>
      <c r="BE237" s="54">
        <f t="shared" si="933"/>
        <v>134.94540985977906</v>
      </c>
      <c r="BF237" s="54">
        <f t="shared" si="933"/>
        <v>134.85714201714347</v>
      </c>
      <c r="BI237">
        <f t="shared" si="638"/>
        <v>230</v>
      </c>
    </row>
    <row r="238" spans="1:61" hidden="1" outlineLevel="2">
      <c r="B238" s="16" t="s">
        <v>49</v>
      </c>
      <c r="C238" s="54">
        <f t="shared" ref="C238:M238" si="934">+C28+C230</f>
        <v>0</v>
      </c>
      <c r="D238" s="54">
        <f t="shared" si="934"/>
        <v>0</v>
      </c>
      <c r="E238" s="54">
        <f t="shared" si="934"/>
        <v>0</v>
      </c>
      <c r="F238" s="54">
        <f t="shared" si="934"/>
        <v>0</v>
      </c>
      <c r="G238" s="54">
        <f t="shared" si="934"/>
        <v>0</v>
      </c>
      <c r="H238" s="54">
        <f t="shared" si="934"/>
        <v>0</v>
      </c>
      <c r="I238" s="54">
        <f t="shared" si="934"/>
        <v>0</v>
      </c>
      <c r="J238" s="54">
        <f t="shared" si="934"/>
        <v>9.3260000000000005</v>
      </c>
      <c r="K238" s="54">
        <f t="shared" si="934"/>
        <v>43.823962114063406</v>
      </c>
      <c r="L238" s="54">
        <f t="shared" si="934"/>
        <v>57.075412538717444</v>
      </c>
      <c r="M238" s="54">
        <f t="shared" si="934"/>
        <v>71.610401543474154</v>
      </c>
      <c r="O238" s="54">
        <f t="shared" ref="O238:BF238" si="935">+O28+O230</f>
        <v>0</v>
      </c>
      <c r="P238" s="54">
        <f t="shared" si="935"/>
        <v>0</v>
      </c>
      <c r="Q238" s="54">
        <f t="shared" si="935"/>
        <v>0</v>
      </c>
      <c r="R238" s="54">
        <f t="shared" si="935"/>
        <v>0</v>
      </c>
      <c r="S238" s="54">
        <f t="shared" si="935"/>
        <v>0</v>
      </c>
      <c r="T238" s="54">
        <f t="shared" si="935"/>
        <v>0</v>
      </c>
      <c r="U238" s="54">
        <f t="shared" si="935"/>
        <v>0</v>
      </c>
      <c r="V238" s="54">
        <f t="shared" si="935"/>
        <v>0</v>
      </c>
      <c r="W238" s="54">
        <f t="shared" si="935"/>
        <v>0</v>
      </c>
      <c r="X238" s="54">
        <f t="shared" si="935"/>
        <v>0</v>
      </c>
      <c r="Y238" s="54">
        <f t="shared" si="935"/>
        <v>0</v>
      </c>
      <c r="Z238" s="54">
        <f t="shared" si="935"/>
        <v>0</v>
      </c>
      <c r="AA238" s="54">
        <f t="shared" si="935"/>
        <v>0</v>
      </c>
      <c r="AB238" s="54">
        <f t="shared" si="935"/>
        <v>0</v>
      </c>
      <c r="AC238" s="54">
        <f t="shared" si="935"/>
        <v>0</v>
      </c>
      <c r="AD238" s="54">
        <f t="shared" si="935"/>
        <v>0</v>
      </c>
      <c r="AE238" s="54">
        <f t="shared" si="935"/>
        <v>0</v>
      </c>
      <c r="AF238" s="54">
        <f t="shared" si="935"/>
        <v>0</v>
      </c>
      <c r="AG238" s="54">
        <f t="shared" si="935"/>
        <v>0</v>
      </c>
      <c r="AH238" s="54">
        <f t="shared" si="935"/>
        <v>0</v>
      </c>
      <c r="AI238" s="54">
        <f t="shared" si="935"/>
        <v>0</v>
      </c>
      <c r="AJ238" s="54">
        <f t="shared" si="935"/>
        <v>0</v>
      </c>
      <c r="AK238" s="54">
        <f t="shared" si="935"/>
        <v>0</v>
      </c>
      <c r="AL238" s="54">
        <f t="shared" si="935"/>
        <v>0</v>
      </c>
      <c r="AM238" s="54">
        <f t="shared" si="935"/>
        <v>0</v>
      </c>
      <c r="AN238" s="54">
        <f t="shared" si="935"/>
        <v>0</v>
      </c>
      <c r="AO238" s="54">
        <f t="shared" si="935"/>
        <v>0</v>
      </c>
      <c r="AP238" s="54">
        <f t="shared" si="935"/>
        <v>0</v>
      </c>
      <c r="AQ238" s="54">
        <f t="shared" si="935"/>
        <v>0</v>
      </c>
      <c r="AR238" s="54">
        <f t="shared" si="935"/>
        <v>0</v>
      </c>
      <c r="AS238" s="54">
        <f t="shared" si="935"/>
        <v>0</v>
      </c>
      <c r="AT238" s="54">
        <f t="shared" si="935"/>
        <v>9.3260000000000005</v>
      </c>
      <c r="AU238" s="54">
        <f t="shared" si="935"/>
        <v>9.3956195965417884</v>
      </c>
      <c r="AV238" s="54">
        <f t="shared" si="935"/>
        <v>10.471831988472623</v>
      </c>
      <c r="AW238" s="54">
        <f t="shared" si="935"/>
        <v>11.628788628242075</v>
      </c>
      <c r="AX238" s="54">
        <f t="shared" si="935"/>
        <v>12.327721900806919</v>
      </c>
      <c r="AY238" s="54">
        <f t="shared" si="935"/>
        <v>13.063951713823055</v>
      </c>
      <c r="AZ238" s="54">
        <f t="shared" si="935"/>
        <v>13.839389891849518</v>
      </c>
      <c r="BA238" s="54">
        <f t="shared" si="935"/>
        <v>14.656044790624009</v>
      </c>
      <c r="BB238" s="54">
        <f t="shared" si="935"/>
        <v>15.516026142420866</v>
      </c>
      <c r="BC238" s="54">
        <f t="shared" si="935"/>
        <v>16.42155014405288</v>
      </c>
      <c r="BD238" s="54">
        <f t="shared" si="935"/>
        <v>17.37494479965671</v>
      </c>
      <c r="BE238" s="54">
        <f t="shared" si="935"/>
        <v>18.378655531008761</v>
      </c>
      <c r="BF238" s="54">
        <f t="shared" si="935"/>
        <v>19.435251068755797</v>
      </c>
      <c r="BI238">
        <f t="shared" si="638"/>
        <v>231</v>
      </c>
    </row>
    <row r="239" spans="1:61" hidden="1" outlineLevel="2">
      <c r="B239" s="16" t="s">
        <v>279</v>
      </c>
      <c r="C239" s="54">
        <f t="shared" ref="C239:M239" si="936">+C29+C231</f>
        <v>23.405000000000001</v>
      </c>
      <c r="D239" s="54">
        <f t="shared" si="936"/>
        <v>40.941000000000003</v>
      </c>
      <c r="E239" s="54">
        <f t="shared" si="936"/>
        <v>48.626999999999967</v>
      </c>
      <c r="F239" s="54">
        <f t="shared" si="936"/>
        <v>44.347999999999999</v>
      </c>
      <c r="G239" s="54">
        <f t="shared" si="936"/>
        <v>37.094000000000001</v>
      </c>
      <c r="H239" s="54">
        <f t="shared" si="936"/>
        <v>13.431000000000001</v>
      </c>
      <c r="I239" s="54">
        <f t="shared" si="936"/>
        <v>7.9800000000000022</v>
      </c>
      <c r="J239" s="54">
        <f t="shared" si="936"/>
        <v>7.3229999999999951</v>
      </c>
      <c r="K239" s="54">
        <f t="shared" si="936"/>
        <v>5.2610916575792537</v>
      </c>
      <c r="L239" s="54">
        <f t="shared" si="936"/>
        <v>8.0901648974410172</v>
      </c>
      <c r="M239" s="54">
        <f t="shared" si="936"/>
        <v>11.392368649275578</v>
      </c>
      <c r="O239" s="54">
        <f t="shared" ref="O239:BF239" si="937">+O29+O231</f>
        <v>5.0400000000000009</v>
      </c>
      <c r="P239" s="54">
        <f t="shared" si="937"/>
        <v>5.8819999999999997</v>
      </c>
      <c r="Q239" s="54">
        <f t="shared" si="937"/>
        <v>5.3159999999999998</v>
      </c>
      <c r="R239" s="54">
        <f t="shared" si="937"/>
        <v>7.1670000000000007</v>
      </c>
      <c r="S239" s="54">
        <f t="shared" si="937"/>
        <v>8.39</v>
      </c>
      <c r="T239" s="54">
        <f t="shared" si="937"/>
        <v>11.351000000000001</v>
      </c>
      <c r="U239" s="54">
        <f t="shared" si="937"/>
        <v>9.5309999999999988</v>
      </c>
      <c r="V239" s="54">
        <f t="shared" si="937"/>
        <v>11.669</v>
      </c>
      <c r="W239" s="54">
        <f t="shared" si="937"/>
        <v>11.987</v>
      </c>
      <c r="X239" s="54">
        <f t="shared" si="937"/>
        <v>12.106999999999999</v>
      </c>
      <c r="Y239" s="54">
        <f t="shared" si="937"/>
        <v>12.228999999999992</v>
      </c>
      <c r="Z239" s="54">
        <f t="shared" si="937"/>
        <v>12.303999999999975</v>
      </c>
      <c r="AA239" s="54">
        <f t="shared" si="937"/>
        <v>13.863</v>
      </c>
      <c r="AB239" s="54">
        <f t="shared" si="937"/>
        <v>11.503</v>
      </c>
      <c r="AC239" s="54">
        <f t="shared" si="937"/>
        <v>10.225</v>
      </c>
      <c r="AD239" s="54">
        <f t="shared" si="937"/>
        <v>8.7570000000000014</v>
      </c>
      <c r="AE239" s="54">
        <f t="shared" si="937"/>
        <v>8.73</v>
      </c>
      <c r="AF239" s="54">
        <f t="shared" si="937"/>
        <v>9.2439999999999998</v>
      </c>
      <c r="AG239" s="54">
        <f t="shared" si="937"/>
        <v>11.449</v>
      </c>
      <c r="AH239" s="54">
        <f t="shared" si="937"/>
        <v>7.6710000000000003</v>
      </c>
      <c r="AI239" s="54">
        <f t="shared" si="937"/>
        <v>3.702</v>
      </c>
      <c r="AJ239" s="54">
        <f t="shared" si="937"/>
        <v>5.0369999999999999</v>
      </c>
      <c r="AK239" s="54">
        <f t="shared" si="937"/>
        <v>3.508</v>
      </c>
      <c r="AL239" s="54">
        <f t="shared" si="937"/>
        <v>1.1840000000000002</v>
      </c>
      <c r="AM239" s="54">
        <f t="shared" si="937"/>
        <v>1.8770000000000002</v>
      </c>
      <c r="AN239" s="54">
        <f t="shared" si="937"/>
        <v>3.0720000000000005</v>
      </c>
      <c r="AO239" s="54">
        <f t="shared" si="937"/>
        <v>2.4379999999999997</v>
      </c>
      <c r="AP239" s="54">
        <f t="shared" si="937"/>
        <v>0.59300000000000175</v>
      </c>
      <c r="AQ239" s="54">
        <f t="shared" si="937"/>
        <v>0.22099999999999698</v>
      </c>
      <c r="AR239" s="54">
        <f t="shared" si="937"/>
        <v>3.5569999999999986</v>
      </c>
      <c r="AS239" s="54">
        <f t="shared" si="937"/>
        <v>1.7520000000000042</v>
      </c>
      <c r="AT239" s="54">
        <f t="shared" si="937"/>
        <v>1.792999999999997</v>
      </c>
      <c r="AU239" s="54">
        <f t="shared" si="937"/>
        <v>0.94452449567723384</v>
      </c>
      <c r="AV239" s="54">
        <f t="shared" si="937"/>
        <v>1.291014985590778</v>
      </c>
      <c r="AW239" s="54">
        <f t="shared" si="937"/>
        <v>1.4359052853025944</v>
      </c>
      <c r="AX239" s="54">
        <f t="shared" si="937"/>
        <v>1.5896468910086456</v>
      </c>
      <c r="AY239" s="54">
        <f t="shared" si="937"/>
        <v>1.7527145038288188</v>
      </c>
      <c r="AZ239" s="54">
        <f t="shared" si="937"/>
        <v>1.9256072026553963</v>
      </c>
      <c r="BA239" s="54">
        <f t="shared" si="937"/>
        <v>2.1088496758960042</v>
      </c>
      <c r="BB239" s="54">
        <f t="shared" si="937"/>
        <v>2.3029935150607992</v>
      </c>
      <c r="BC239" s="54">
        <f t="shared" si="937"/>
        <v>2.5086185732912347</v>
      </c>
      <c r="BD239" s="54">
        <f t="shared" si="937"/>
        <v>2.7263343920827388</v>
      </c>
      <c r="BE239" s="54">
        <f t="shared" si="937"/>
        <v>2.9567816996163581</v>
      </c>
      <c r="BF239" s="54">
        <f t="shared" si="937"/>
        <v>3.2006339842852465</v>
      </c>
      <c r="BI239">
        <f t="shared" si="638"/>
        <v>232</v>
      </c>
    </row>
    <row r="240" spans="1:61" hidden="1" outlineLevel="2">
      <c r="B240" s="16" t="s">
        <v>254</v>
      </c>
      <c r="C240" s="54">
        <f t="shared" ref="C240:M240" si="938">C232</f>
        <v>-35.173000000000002</v>
      </c>
      <c r="D240" s="54">
        <f t="shared" si="938"/>
        <v>-40.173999999999999</v>
      </c>
      <c r="E240" s="54">
        <f t="shared" si="938"/>
        <v>-40.927399999999999</v>
      </c>
      <c r="F240" s="54">
        <f t="shared" si="938"/>
        <v>-50.29</v>
      </c>
      <c r="G240" s="54">
        <f t="shared" si="938"/>
        <v>-53.569000000000003</v>
      </c>
      <c r="H240" s="54">
        <f t="shared" si="938"/>
        <v>-53.234000000000002</v>
      </c>
      <c r="I240" s="54">
        <f t="shared" si="938"/>
        <v>-50.454999999999998</v>
      </c>
      <c r="J240" s="54">
        <f t="shared" si="938"/>
        <v>-69.38</v>
      </c>
      <c r="K240" s="54">
        <f t="shared" si="938"/>
        <v>-85.204921301210376</v>
      </c>
      <c r="L240" s="54">
        <f t="shared" si="938"/>
        <v>-92.228547006699145</v>
      </c>
      <c r="M240" s="54">
        <f t="shared" si="938"/>
        <v>-99.83114535012291</v>
      </c>
      <c r="O240" s="54">
        <f t="shared" ref="O240:BF240" si="939">O232</f>
        <v>-7.69</v>
      </c>
      <c r="P240" s="54">
        <f t="shared" si="939"/>
        <v>-8.6180000000000003</v>
      </c>
      <c r="Q240" s="54">
        <f t="shared" si="939"/>
        <v>-9.3529999999999998</v>
      </c>
      <c r="R240" s="54">
        <f t="shared" si="939"/>
        <v>-9.5120000000000005</v>
      </c>
      <c r="S240" s="54">
        <f t="shared" si="939"/>
        <v>-10.351000000000001</v>
      </c>
      <c r="T240" s="54">
        <f t="shared" si="939"/>
        <v>-10.984999999999999</v>
      </c>
      <c r="U240" s="54">
        <f t="shared" si="939"/>
        <v>-9.2620000000000005</v>
      </c>
      <c r="V240" s="54">
        <f t="shared" si="939"/>
        <v>-9.5760000000000005</v>
      </c>
      <c r="W240" s="54">
        <f t="shared" si="939"/>
        <v>-8.2569999999999997</v>
      </c>
      <c r="X240" s="54">
        <f t="shared" si="939"/>
        <v>-11.089</v>
      </c>
      <c r="Y240" s="54">
        <f t="shared" si="939"/>
        <v>-10.824999999999999</v>
      </c>
      <c r="Z240" s="54">
        <f t="shared" si="939"/>
        <v>-10.756400000000001</v>
      </c>
      <c r="AA240" s="54">
        <f t="shared" si="939"/>
        <v>-11.292999999999999</v>
      </c>
      <c r="AB240" s="54">
        <f t="shared" si="939"/>
        <v>-12.143000000000001</v>
      </c>
      <c r="AC240" s="54">
        <f t="shared" si="939"/>
        <v>-14.284000000000001</v>
      </c>
      <c r="AD240" s="54">
        <f t="shared" si="939"/>
        <v>-12.57</v>
      </c>
      <c r="AE240" s="54">
        <f t="shared" si="939"/>
        <v>-13.157</v>
      </c>
      <c r="AF240" s="54">
        <f t="shared" si="939"/>
        <v>-12.89</v>
      </c>
      <c r="AG240" s="54">
        <f t="shared" si="939"/>
        <v>-12.802</v>
      </c>
      <c r="AH240" s="54">
        <f t="shared" si="939"/>
        <v>-14.72</v>
      </c>
      <c r="AI240" s="54">
        <f t="shared" si="939"/>
        <v>-14.045999999999999</v>
      </c>
      <c r="AJ240" s="54">
        <f t="shared" si="939"/>
        <v>-13.445</v>
      </c>
      <c r="AK240" s="54">
        <f t="shared" si="939"/>
        <v>-13.143000000000001</v>
      </c>
      <c r="AL240" s="54">
        <f t="shared" si="939"/>
        <v>-12.6</v>
      </c>
      <c r="AM240" s="54">
        <f t="shared" si="939"/>
        <v>-13.324999999999999</v>
      </c>
      <c r="AN240" s="54">
        <f t="shared" si="939"/>
        <v>-12.579000000000001</v>
      </c>
      <c r="AO240" s="54">
        <f t="shared" si="939"/>
        <v>-12.385</v>
      </c>
      <c r="AP240" s="54">
        <f t="shared" si="939"/>
        <v>-12.166</v>
      </c>
      <c r="AQ240" s="54">
        <f t="shared" si="939"/>
        <v>-12.603</v>
      </c>
      <c r="AR240" s="54">
        <f t="shared" si="939"/>
        <v>-15.571</v>
      </c>
      <c r="AS240" s="54">
        <f t="shared" si="939"/>
        <v>-18.789000000000001</v>
      </c>
      <c r="AT240" s="54">
        <f t="shared" si="939"/>
        <v>-22.417000000000002</v>
      </c>
      <c r="AU240" s="54">
        <f t="shared" si="939"/>
        <v>-20.672737752161382</v>
      </c>
      <c r="AV240" s="54">
        <f t="shared" si="939"/>
        <v>-21.086192507204611</v>
      </c>
      <c r="AW240" s="54">
        <f t="shared" si="939"/>
        <v>-21.507916357348702</v>
      </c>
      <c r="AX240" s="54">
        <f t="shared" si="939"/>
        <v>-21.938074684495675</v>
      </c>
      <c r="AY240" s="54">
        <f t="shared" si="939"/>
        <v>-22.376836178185588</v>
      </c>
      <c r="AZ240" s="54">
        <f t="shared" si="939"/>
        <v>-22.8243729017493</v>
      </c>
      <c r="BA240" s="54">
        <f t="shared" si="939"/>
        <v>-23.280860359784288</v>
      </c>
      <c r="BB240" s="54">
        <f t="shared" si="939"/>
        <v>-23.746477566979973</v>
      </c>
      <c r="BC240" s="54">
        <f t="shared" si="939"/>
        <v>-24.221407118319576</v>
      </c>
      <c r="BD240" s="54">
        <f t="shared" si="939"/>
        <v>-24.705835260685966</v>
      </c>
      <c r="BE240" s="54">
        <f t="shared" si="939"/>
        <v>-25.199951965899686</v>
      </c>
      <c r="BF240" s="54">
        <f t="shared" si="939"/>
        <v>-25.703951005217679</v>
      </c>
      <c r="BI240">
        <f t="shared" si="638"/>
        <v>233</v>
      </c>
    </row>
    <row r="241" spans="2:61" hidden="1" outlineLevel="2">
      <c r="B241" s="50" t="s">
        <v>320</v>
      </c>
      <c r="C241" s="21">
        <f>SUM(C236:C240)</f>
        <v>514.29100000000005</v>
      </c>
      <c r="D241" s="21">
        <f t="shared" ref="D241:O241" si="940">SUM(D236:D240)</f>
        <v>962.18100000000004</v>
      </c>
      <c r="E241" s="21">
        <f t="shared" si="940"/>
        <v>991.26900000000001</v>
      </c>
      <c r="F241" s="21">
        <f t="shared" si="940"/>
        <v>851.04699999999991</v>
      </c>
      <c r="G241" s="21">
        <f t="shared" si="940"/>
        <v>986.07500000000005</v>
      </c>
      <c r="H241" s="21">
        <f t="shared" si="940"/>
        <v>514.52800000000013</v>
      </c>
      <c r="I241" s="21">
        <f t="shared" si="940"/>
        <v>173.33200000000005</v>
      </c>
      <c r="J241" s="21">
        <f t="shared" si="940"/>
        <v>533.29699999999991</v>
      </c>
      <c r="K241" s="21">
        <f t="shared" si="940"/>
        <v>870.62358465639852</v>
      </c>
      <c r="L241" s="21">
        <f t="shared" si="940"/>
        <v>1185.3175677529225</v>
      </c>
      <c r="M241" s="21">
        <f t="shared" si="940"/>
        <v>1314.6835017563353</v>
      </c>
      <c r="O241" s="21">
        <f t="shared" si="940"/>
        <v>83.796000000000021</v>
      </c>
      <c r="P241" s="21">
        <f t="shared" ref="P241" si="941">SUM(P236:P240)</f>
        <v>101.60100000000001</v>
      </c>
      <c r="Q241" s="21">
        <f t="shared" ref="Q241" si="942">SUM(Q236:Q240)</f>
        <v>137.19000000000003</v>
      </c>
      <c r="R241" s="21">
        <f t="shared" ref="R241" si="943">SUM(R236:R240)</f>
        <v>191.70400000000004</v>
      </c>
      <c r="S241" s="21">
        <f t="shared" ref="S241" si="944">SUM(S236:S240)</f>
        <v>212.15799999999996</v>
      </c>
      <c r="T241" s="21">
        <f t="shared" ref="T241" si="945">SUM(T236:T240)</f>
        <v>233.59199999999998</v>
      </c>
      <c r="U241" s="21">
        <f t="shared" ref="U241" si="946">SUM(U236:U240)</f>
        <v>245.87</v>
      </c>
      <c r="V241" s="21">
        <f t="shared" ref="V241" si="947">SUM(V236:V240)</f>
        <v>270.56099999999992</v>
      </c>
      <c r="W241" s="21">
        <f t="shared" ref="W241" si="948">SUM(W236:W240)</f>
        <v>279.81700000000001</v>
      </c>
      <c r="X241" s="21">
        <f t="shared" ref="X241" si="949">SUM(X236:X240)</f>
        <v>251.03900000000004</v>
      </c>
      <c r="Y241" s="21">
        <f t="shared" ref="Y241" si="950">SUM(Y236:Y240)</f>
        <v>229.02400000000003</v>
      </c>
      <c r="Z241" s="21">
        <f t="shared" ref="Z241" si="951">SUM(Z236:Z240)</f>
        <v>231.38899999999998</v>
      </c>
      <c r="AA241" s="21">
        <f t="shared" ref="AA241" si="952">SUM(AA236:AA240)</f>
        <v>231.49199999999996</v>
      </c>
      <c r="AB241" s="21">
        <f t="shared" ref="AB241" si="953">SUM(AB236:AB240)</f>
        <v>206.75500000000002</v>
      </c>
      <c r="AC241" s="21">
        <f t="shared" ref="AC241" si="954">SUM(AC236:AC240)</f>
        <v>201.10699999999997</v>
      </c>
      <c r="AD241" s="21">
        <f t="shared" ref="AD241" si="955">SUM(AD236:AD240)</f>
        <v>211.69299999999993</v>
      </c>
      <c r="AE241" s="21">
        <f t="shared" ref="AE241" si="956">SUM(AE236:AE240)</f>
        <v>204.35400000000001</v>
      </c>
      <c r="AF241" s="21">
        <f t="shared" ref="AF241" si="957">SUM(AF236:AF240)</f>
        <v>237.56099999999998</v>
      </c>
      <c r="AG241" s="21">
        <f t="shared" ref="AG241" si="958">SUM(AG236:AG240)</f>
        <v>264.24599999999998</v>
      </c>
      <c r="AH241" s="21">
        <f t="shared" ref="AH241" si="959">SUM(AH236:AH240)</f>
        <v>279.91399999999999</v>
      </c>
      <c r="AI241" s="21">
        <f t="shared" ref="AI241" si="960">SUM(AI236:AI240)</f>
        <v>193.03500000000005</v>
      </c>
      <c r="AJ241" s="21">
        <f t="shared" ref="AJ241" si="961">SUM(AJ236:AJ240)</f>
        <v>138.56199999999998</v>
      </c>
      <c r="AK241" s="21">
        <f t="shared" ref="AK241" si="962">SUM(AK236:AK240)</f>
        <v>96.935000000000002</v>
      </c>
      <c r="AL241" s="21">
        <f t="shared" ref="AL241" si="963">SUM(AL236:AL240)</f>
        <v>85.996000000000009</v>
      </c>
      <c r="AM241" s="21">
        <f t="shared" ref="AM241" si="964">SUM(AM236:AM240)</f>
        <v>63.389999999999986</v>
      </c>
      <c r="AN241" s="21">
        <f t="shared" ref="AN241" si="965">SUM(AN236:AN240)</f>
        <v>36.402000000000008</v>
      </c>
      <c r="AO241" s="21">
        <f t="shared" ref="AO241" si="966">SUM(AO236:AO240)</f>
        <v>34.798000000000009</v>
      </c>
      <c r="AP241" s="21">
        <f t="shared" ref="AP241" si="967">SUM(AP236:AP240)</f>
        <v>38.742000000000019</v>
      </c>
      <c r="AQ241" s="21">
        <f t="shared" ref="AQ241" si="968">SUM(AQ236:AQ240)</f>
        <v>55.83000000000002</v>
      </c>
      <c r="AR241" s="21">
        <f t="shared" ref="AR241" si="969">SUM(AR236:AR240)</f>
        <v>128.47899999999998</v>
      </c>
      <c r="AS241" s="21">
        <f t="shared" ref="AS241" si="970">SUM(AS236:AS240)</f>
        <v>164.28399999999999</v>
      </c>
      <c r="AT241" s="21">
        <f t="shared" ref="AT241" si="971">SUM(AT236:AT240)</f>
        <v>184.70399999999995</v>
      </c>
      <c r="AU241" s="21">
        <f t="shared" ref="AU241" si="972">SUM(AU236:AU240)</f>
        <v>177.17486755102044</v>
      </c>
      <c r="AV241" s="21">
        <f t="shared" ref="AV241" si="973">SUM(AV236:AV240)</f>
        <v>203.40605908255509</v>
      </c>
      <c r="AW241" s="21">
        <f t="shared" ref="AW241" si="974">SUM(AW236:AW240)</f>
        <v>233.83269488786286</v>
      </c>
      <c r="AX241" s="21">
        <f t="shared" ref="AX241" si="975">SUM(AX236:AX240)</f>
        <v>256.20996313496016</v>
      </c>
      <c r="AY241" s="21">
        <f t="shared" ref="AY241" si="976">SUM(AY236:AY240)</f>
        <v>269.38612416949917</v>
      </c>
      <c r="AZ241" s="21">
        <f t="shared" ref="AZ241" si="977">SUM(AZ236:AZ240)</f>
        <v>289.16694757913831</v>
      </c>
      <c r="BA241" s="21">
        <f t="shared" ref="BA241" si="978">SUM(BA236:BA240)</f>
        <v>308.38738852267795</v>
      </c>
      <c r="BB241" s="21">
        <f t="shared" ref="BB241" si="979">SUM(BB236:BB240)</f>
        <v>318.3771074816068</v>
      </c>
      <c r="BC241" s="21">
        <f t="shared" ref="BC241" si="980">SUM(BC236:BC240)</f>
        <v>323.93260513443545</v>
      </c>
      <c r="BD241" s="21">
        <f t="shared" ref="BD241" si="981">SUM(BD236:BD240)</f>
        <v>326.32358829734142</v>
      </c>
      <c r="BE241" s="21">
        <f t="shared" ref="BE241" si="982">SUM(BE236:BE240)</f>
        <v>330.95561647850792</v>
      </c>
      <c r="BF241" s="21">
        <f t="shared" ref="BF241" si="983">SUM(BF236:BF240)</f>
        <v>333.47169184605036</v>
      </c>
      <c r="BI241">
        <f t="shared" si="638"/>
        <v>234</v>
      </c>
    </row>
    <row r="242" spans="2:61" hidden="1" outlineLevel="2">
      <c r="B242" s="50"/>
      <c r="C242" s="22">
        <f>C241-C32</f>
        <v>0</v>
      </c>
      <c r="D242" s="22">
        <f t="shared" ref="D242:O242" si="984">D241-D32</f>
        <v>0</v>
      </c>
      <c r="E242" s="22">
        <f t="shared" si="984"/>
        <v>0</v>
      </c>
      <c r="F242" s="22">
        <f t="shared" si="984"/>
        <v>0</v>
      </c>
      <c r="G242" s="22">
        <f t="shared" si="984"/>
        <v>0</v>
      </c>
      <c r="H242" s="22">
        <f t="shared" si="984"/>
        <v>0</v>
      </c>
      <c r="I242" s="22">
        <f t="shared" si="984"/>
        <v>0</v>
      </c>
      <c r="J242" s="22">
        <f t="shared" si="984"/>
        <v>0</v>
      </c>
      <c r="K242" s="22">
        <f t="shared" si="984"/>
        <v>0</v>
      </c>
      <c r="L242" s="22">
        <f t="shared" si="984"/>
        <v>0</v>
      </c>
      <c r="M242" s="22">
        <f t="shared" si="984"/>
        <v>0</v>
      </c>
      <c r="O242" s="22">
        <f t="shared" si="984"/>
        <v>0</v>
      </c>
      <c r="P242" s="22">
        <f t="shared" ref="P242" si="985">P241-P32</f>
        <v>0</v>
      </c>
      <c r="Q242" s="22">
        <f t="shared" ref="Q242" si="986">Q241-Q32</f>
        <v>0</v>
      </c>
      <c r="R242" s="22">
        <f t="shared" ref="R242" si="987">R241-R32</f>
        <v>0</v>
      </c>
      <c r="S242" s="22">
        <f t="shared" ref="S242" si="988">S241-S32</f>
        <v>0</v>
      </c>
      <c r="T242" s="22">
        <f t="shared" ref="T242" si="989">T241-T32</f>
        <v>0</v>
      </c>
      <c r="U242" s="22">
        <f t="shared" ref="U242" si="990">U241-U32</f>
        <v>0</v>
      </c>
      <c r="V242" s="22">
        <f t="shared" ref="V242" si="991">V241-V32</f>
        <v>0</v>
      </c>
      <c r="W242" s="22">
        <f t="shared" ref="W242" si="992">W241-W32</f>
        <v>0</v>
      </c>
      <c r="X242" s="22">
        <f t="shared" ref="X242" si="993">X241-X32</f>
        <v>0</v>
      </c>
      <c r="Y242" s="22">
        <f t="shared" ref="Y242" si="994">Y241-Y32</f>
        <v>0</v>
      </c>
      <c r="Z242" s="22">
        <f t="shared" ref="Z242" si="995">Z241-Z32</f>
        <v>0</v>
      </c>
      <c r="AA242" s="22">
        <f t="shared" ref="AA242" si="996">AA241-AA32</f>
        <v>0</v>
      </c>
      <c r="AB242" s="22">
        <f t="shared" ref="AB242" si="997">AB241-AB32</f>
        <v>0</v>
      </c>
      <c r="AC242" s="22">
        <f t="shared" ref="AC242" si="998">AC241-AC32</f>
        <v>0</v>
      </c>
      <c r="AD242" s="22">
        <f t="shared" ref="AD242" si="999">AD241-AD32</f>
        <v>0</v>
      </c>
      <c r="AE242" s="22">
        <f t="shared" ref="AE242" si="1000">AE241-AE32</f>
        <v>0</v>
      </c>
      <c r="AF242" s="22">
        <f t="shared" ref="AF242" si="1001">AF241-AF32</f>
        <v>0</v>
      </c>
      <c r="AG242" s="22">
        <f t="shared" ref="AG242" si="1002">AG241-AG32</f>
        <v>0</v>
      </c>
      <c r="AH242" s="22">
        <f t="shared" ref="AH242" si="1003">AH241-AH32</f>
        <v>0</v>
      </c>
      <c r="AI242" s="22">
        <f t="shared" ref="AI242" si="1004">AI241-AI32</f>
        <v>0</v>
      </c>
      <c r="AJ242" s="22">
        <f t="shared" ref="AJ242" si="1005">AJ241-AJ32</f>
        <v>0</v>
      </c>
      <c r="AK242" s="22">
        <f t="shared" ref="AK242" si="1006">AK241-AK32</f>
        <v>0</v>
      </c>
      <c r="AL242" s="22">
        <f t="shared" ref="AL242" si="1007">AL241-AL32</f>
        <v>0</v>
      </c>
      <c r="AM242" s="22">
        <f t="shared" ref="AM242" si="1008">AM241-AM32</f>
        <v>0</v>
      </c>
      <c r="AN242" s="22">
        <f t="shared" ref="AN242" si="1009">AN241-AN32</f>
        <v>0</v>
      </c>
      <c r="AO242" s="22">
        <f t="shared" ref="AO242" si="1010">AO241-AO32</f>
        <v>0</v>
      </c>
      <c r="AP242" s="22">
        <f t="shared" ref="AP242" si="1011">AP241-AP32</f>
        <v>0</v>
      </c>
      <c r="AQ242" s="22">
        <f t="shared" ref="AQ242" si="1012">AQ241-AQ32</f>
        <v>0</v>
      </c>
      <c r="AR242" s="22">
        <f t="shared" ref="AR242" si="1013">AR241-AR32</f>
        <v>0</v>
      </c>
      <c r="AS242" s="22">
        <f t="shared" ref="AS242" si="1014">AS241-AS32</f>
        <v>0</v>
      </c>
      <c r="AT242" s="22">
        <f t="shared" ref="AT242" si="1015">AT241-AT32</f>
        <v>0</v>
      </c>
      <c r="AU242" s="22">
        <f t="shared" ref="AU242" si="1016">AU241-AU32</f>
        <v>0</v>
      </c>
      <c r="AV242" s="22">
        <f t="shared" ref="AV242" si="1017">AV241-AV32</f>
        <v>0</v>
      </c>
      <c r="AW242" s="22">
        <f t="shared" ref="AW242" si="1018">AW241-AW32</f>
        <v>0</v>
      </c>
      <c r="AX242" s="22">
        <f t="shared" ref="AX242" si="1019">AX241-AX32</f>
        <v>0</v>
      </c>
      <c r="AY242" s="22">
        <f t="shared" ref="AY242" si="1020">AY241-AY32</f>
        <v>0</v>
      </c>
      <c r="AZ242" s="22">
        <f t="shared" ref="AZ242" si="1021">AZ241-AZ32</f>
        <v>0</v>
      </c>
      <c r="BA242" s="22">
        <f t="shared" ref="BA242" si="1022">BA241-BA32</f>
        <v>0</v>
      </c>
      <c r="BB242" s="22">
        <f t="shared" ref="BB242" si="1023">BB241-BB32</f>
        <v>0</v>
      </c>
      <c r="BC242" s="22">
        <f t="shared" ref="BC242" si="1024">BC241-BC32</f>
        <v>0</v>
      </c>
      <c r="BD242" s="22">
        <f t="shared" ref="BD242" si="1025">BD241-BD32</f>
        <v>0</v>
      </c>
      <c r="BE242" s="22">
        <f t="shared" ref="BE242" si="1026">BE241-BE32</f>
        <v>0</v>
      </c>
      <c r="BF242" s="22">
        <f t="shared" ref="BF242" si="1027">BF241-BF32</f>
        <v>0</v>
      </c>
      <c r="BI242">
        <f t="shared" si="638"/>
        <v>235</v>
      </c>
    </row>
    <row r="243" spans="2:61" hidden="1" outlineLevel="2">
      <c r="B243" s="51" t="s">
        <v>147</v>
      </c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I243">
        <f t="shared" si="638"/>
        <v>236</v>
      </c>
    </row>
    <row r="244" spans="2:61" hidden="1" outlineLevel="2">
      <c r="B244" s="16" t="s">
        <v>281</v>
      </c>
      <c r="C244" s="54">
        <f t="shared" ref="C244:M248" si="1028">SUMIFS($O244:$BG244,$O$5:$BG$5,C$5)</f>
        <v>-280.45800000000003</v>
      </c>
      <c r="D244" s="54">
        <f t="shared" si="1028"/>
        <v>-333.012</v>
      </c>
      <c r="E244" s="54">
        <f t="shared" si="1028"/>
        <v>-390.31599999999997</v>
      </c>
      <c r="F244" s="54">
        <f t="shared" si="1028"/>
        <v>-398.17500000000001</v>
      </c>
      <c r="G244" s="54">
        <f t="shared" si="1028"/>
        <v>-446.14400000000001</v>
      </c>
      <c r="H244" s="54">
        <f t="shared" si="1028"/>
        <v>-487.37200000000001</v>
      </c>
      <c r="I244" s="54">
        <f t="shared" si="1028"/>
        <v>-467.97400000000005</v>
      </c>
      <c r="J244" s="54">
        <f t="shared" si="1028"/>
        <v>-509.91199999999998</v>
      </c>
      <c r="K244" s="54">
        <f t="shared" si="1028"/>
        <v>-520.50861260968054</v>
      </c>
      <c r="L244" s="54">
        <f t="shared" si="1028"/>
        <v>-542.4430965145126</v>
      </c>
      <c r="M244" s="54">
        <f t="shared" si="1028"/>
        <v>-546.85236053539461</v>
      </c>
      <c r="O244" s="54">
        <f t="shared" ref="O244:AT244" si="1029">O121</f>
        <v>-65.665999999999997</v>
      </c>
      <c r="P244" s="54">
        <f t="shared" si="1029"/>
        <v>-67.644000000000005</v>
      </c>
      <c r="Q244" s="54">
        <f t="shared" si="1029"/>
        <v>-72.617000000000004</v>
      </c>
      <c r="R244" s="54">
        <f t="shared" si="1029"/>
        <v>-74.531000000000006</v>
      </c>
      <c r="S244" s="54">
        <f t="shared" si="1029"/>
        <v>-76.855000000000004</v>
      </c>
      <c r="T244" s="54">
        <f t="shared" si="1029"/>
        <v>-81.281999999999996</v>
      </c>
      <c r="U244" s="54">
        <f t="shared" si="1029"/>
        <v>-84.460999999999999</v>
      </c>
      <c r="V244" s="54">
        <f t="shared" si="1029"/>
        <v>-90.414000000000001</v>
      </c>
      <c r="W244" s="54">
        <f t="shared" si="1029"/>
        <v>-93.725999999999999</v>
      </c>
      <c r="X244" s="54">
        <f t="shared" si="1029"/>
        <v>-95.706999999999994</v>
      </c>
      <c r="Y244" s="54">
        <f t="shared" si="1029"/>
        <v>-101.02</v>
      </c>
      <c r="Z244" s="54">
        <f t="shared" si="1029"/>
        <v>-99.863</v>
      </c>
      <c r="AA244" s="54">
        <f t="shared" si="1029"/>
        <v>-97.622</v>
      </c>
      <c r="AB244" s="54">
        <f t="shared" si="1029"/>
        <v>-98.283000000000001</v>
      </c>
      <c r="AC244" s="54">
        <f t="shared" si="1029"/>
        <v>-98.283000000000001</v>
      </c>
      <c r="AD244" s="54">
        <f t="shared" si="1029"/>
        <v>-103.98700000000001</v>
      </c>
      <c r="AE244" s="54">
        <f t="shared" si="1029"/>
        <v>-106.119</v>
      </c>
      <c r="AF244" s="54">
        <f t="shared" si="1029"/>
        <v>-112.057</v>
      </c>
      <c r="AG244" s="54">
        <f t="shared" si="1029"/>
        <v>-112.77800000000001</v>
      </c>
      <c r="AH244" s="54">
        <f t="shared" si="1029"/>
        <v>-115.19</v>
      </c>
      <c r="AI244" s="54">
        <f t="shared" si="1029"/>
        <v>-118.83199999999999</v>
      </c>
      <c r="AJ244" s="54">
        <f t="shared" si="1029"/>
        <v>-123.627</v>
      </c>
      <c r="AK244" s="54">
        <f t="shared" si="1029"/>
        <v>-123.69399999999999</v>
      </c>
      <c r="AL244" s="54">
        <f t="shared" si="1029"/>
        <v>-121.21899999999999</v>
      </c>
      <c r="AM244" s="54">
        <f t="shared" si="1029"/>
        <v>-121.099</v>
      </c>
      <c r="AN244" s="54">
        <f t="shared" si="1029"/>
        <v>-120.402</v>
      </c>
      <c r="AO244" s="54">
        <f t="shared" si="1029"/>
        <v>-115.652</v>
      </c>
      <c r="AP244" s="54">
        <f t="shared" si="1029"/>
        <v>-110.821</v>
      </c>
      <c r="AQ244" s="54">
        <f t="shared" si="1029"/>
        <v>-110.559</v>
      </c>
      <c r="AR244" s="54">
        <f t="shared" si="1029"/>
        <v>-132.435</v>
      </c>
      <c r="AS244" s="54">
        <f t="shared" si="1029"/>
        <v>-133.60300000000001</v>
      </c>
      <c r="AT244" s="54">
        <f t="shared" si="1029"/>
        <v>-133.315</v>
      </c>
      <c r="AU244" s="87">
        <f t="shared" ref="AU244:BF244" si="1030">AT244/AT$249*AU$249</f>
        <v>-129.42958693654867</v>
      </c>
      <c r="AV244" s="87">
        <f t="shared" si="1030"/>
        <v>-129.86498368015486</v>
      </c>
      <c r="AW244" s="87">
        <f t="shared" si="1030"/>
        <v>-130.34439851285887</v>
      </c>
      <c r="AX244" s="87">
        <f t="shared" si="1030"/>
        <v>-130.86964348011819</v>
      </c>
      <c r="AY244" s="87">
        <f t="shared" si="1030"/>
        <v>-133.06843468390636</v>
      </c>
      <c r="AZ244" s="87">
        <f t="shared" si="1030"/>
        <v>-134.44977003640761</v>
      </c>
      <c r="BA244" s="87">
        <f t="shared" si="1030"/>
        <v>-135.80592629347626</v>
      </c>
      <c r="BB244" s="87">
        <f t="shared" si="1030"/>
        <v>-139.1189655007224</v>
      </c>
      <c r="BC244" s="87">
        <f t="shared" si="1030"/>
        <v>-139.22229045767989</v>
      </c>
      <c r="BD244" s="87">
        <f t="shared" si="1030"/>
        <v>-137.47524103008291</v>
      </c>
      <c r="BE244" s="87">
        <f t="shared" si="1030"/>
        <v>-135.83703125553058</v>
      </c>
      <c r="BF244" s="87">
        <f t="shared" si="1030"/>
        <v>-134.31779779210126</v>
      </c>
      <c r="BI244">
        <f t="shared" si="638"/>
        <v>237</v>
      </c>
    </row>
    <row r="245" spans="2:61" hidden="1" outlineLevel="2">
      <c r="B245" s="16" t="s">
        <v>48</v>
      </c>
      <c r="C245" s="54">
        <f t="shared" si="1028"/>
        <v>-40.724000000000004</v>
      </c>
      <c r="D245" s="54">
        <f t="shared" si="1028"/>
        <v>-73.278999999999996</v>
      </c>
      <c r="E245" s="54">
        <f t="shared" si="1028"/>
        <v>-111.06200000000001</v>
      </c>
      <c r="F245" s="54">
        <f t="shared" si="1028"/>
        <v>-128.01300000000001</v>
      </c>
      <c r="G245" s="54">
        <f t="shared" si="1028"/>
        <v>-147.595</v>
      </c>
      <c r="H245" s="54">
        <f t="shared" si="1028"/>
        <v>-192.50400000000002</v>
      </c>
      <c r="I245" s="54">
        <f t="shared" si="1028"/>
        <v>-184.87200000000001</v>
      </c>
      <c r="J245" s="54">
        <f t="shared" si="1028"/>
        <v>-198.006</v>
      </c>
      <c r="K245" s="54">
        <f t="shared" si="1028"/>
        <v>-221.28692672901673</v>
      </c>
      <c r="L245" s="54">
        <f t="shared" si="1028"/>
        <v>-230.61206451751886</v>
      </c>
      <c r="M245" s="54">
        <f t="shared" si="1028"/>
        <v>-232.48660119314826</v>
      </c>
      <c r="O245" s="54">
        <f t="shared" ref="O245:AT245" si="1031">O154</f>
        <v>-7.6020000000000003</v>
      </c>
      <c r="P245" s="54">
        <f t="shared" si="1031"/>
        <v>-7.8879999999999999</v>
      </c>
      <c r="Q245" s="54">
        <f t="shared" si="1031"/>
        <v>-9.5449999999999999</v>
      </c>
      <c r="R245" s="54">
        <f t="shared" si="1031"/>
        <v>-15.689</v>
      </c>
      <c r="S245" s="54">
        <f t="shared" si="1031"/>
        <v>-15.367000000000001</v>
      </c>
      <c r="T245" s="54">
        <f t="shared" si="1031"/>
        <v>-16.469000000000001</v>
      </c>
      <c r="U245" s="54">
        <f t="shared" si="1031"/>
        <v>-20.706</v>
      </c>
      <c r="V245" s="54">
        <f t="shared" si="1031"/>
        <v>-20.736999999999998</v>
      </c>
      <c r="W245" s="54">
        <f t="shared" si="1031"/>
        <v>-23.803000000000001</v>
      </c>
      <c r="X245" s="54">
        <f t="shared" si="1031"/>
        <v>-26.931999999999999</v>
      </c>
      <c r="Y245" s="54">
        <f t="shared" si="1031"/>
        <v>-33.624000000000002</v>
      </c>
      <c r="Z245" s="54">
        <f t="shared" si="1031"/>
        <v>-26.702999999999999</v>
      </c>
      <c r="AA245" s="54">
        <f t="shared" si="1031"/>
        <v>-30.236000000000001</v>
      </c>
      <c r="AB245" s="54">
        <f t="shared" si="1031"/>
        <v>-31.789000000000001</v>
      </c>
      <c r="AC245" s="54">
        <f t="shared" si="1031"/>
        <v>-31.789000000000001</v>
      </c>
      <c r="AD245" s="54">
        <f t="shared" si="1031"/>
        <v>-34.198999999999998</v>
      </c>
      <c r="AE245" s="54">
        <f t="shared" si="1031"/>
        <v>-34.042000000000002</v>
      </c>
      <c r="AF245" s="54">
        <f t="shared" si="1031"/>
        <v>-34.622999999999998</v>
      </c>
      <c r="AG245" s="54">
        <f t="shared" si="1031"/>
        <v>-37.587000000000003</v>
      </c>
      <c r="AH245" s="54">
        <f t="shared" si="1031"/>
        <v>-41.343000000000004</v>
      </c>
      <c r="AI245" s="54">
        <f t="shared" si="1031"/>
        <v>-46.918999999999997</v>
      </c>
      <c r="AJ245" s="54">
        <f t="shared" si="1031"/>
        <v>-48.261000000000003</v>
      </c>
      <c r="AK245" s="54">
        <f t="shared" si="1031"/>
        <v>-48.646000000000001</v>
      </c>
      <c r="AL245" s="54">
        <f t="shared" si="1031"/>
        <v>-48.677999999999997</v>
      </c>
      <c r="AM245" s="54">
        <f t="shared" si="1031"/>
        <v>-49.57</v>
      </c>
      <c r="AN245" s="54">
        <f t="shared" si="1031"/>
        <v>-47.4</v>
      </c>
      <c r="AO245" s="54">
        <f t="shared" si="1031"/>
        <v>-44.587000000000003</v>
      </c>
      <c r="AP245" s="54">
        <f t="shared" si="1031"/>
        <v>-43.314999999999998</v>
      </c>
      <c r="AQ245" s="54">
        <f t="shared" si="1031"/>
        <v>-42.25</v>
      </c>
      <c r="AR245" s="54">
        <f t="shared" si="1031"/>
        <v>-47.805</v>
      </c>
      <c r="AS245" s="54">
        <f t="shared" si="1031"/>
        <v>-51.274000000000001</v>
      </c>
      <c r="AT245" s="54">
        <f t="shared" si="1031"/>
        <v>-56.677</v>
      </c>
      <c r="AU245" s="87">
        <f t="shared" ref="AU245:BF245" si="1032">AT245/AT$249*AU$249</f>
        <v>-55.025171202061053</v>
      </c>
      <c r="AV245" s="87">
        <f t="shared" si="1032"/>
        <v>-55.21027401297782</v>
      </c>
      <c r="AW245" s="87">
        <f t="shared" si="1032"/>
        <v>-55.414090496292999</v>
      </c>
      <c r="AX245" s="87">
        <f t="shared" si="1032"/>
        <v>-55.637391017684863</v>
      </c>
      <c r="AY245" s="87">
        <f t="shared" si="1032"/>
        <v>-56.57217621857825</v>
      </c>
      <c r="AZ245" s="87">
        <f t="shared" si="1032"/>
        <v>-57.159431544488406</v>
      </c>
      <c r="BA245" s="87">
        <f t="shared" si="1032"/>
        <v>-57.735982331585731</v>
      </c>
      <c r="BB245" s="87">
        <f t="shared" si="1032"/>
        <v>-59.144474422866459</v>
      </c>
      <c r="BC245" s="87">
        <f t="shared" si="1032"/>
        <v>-59.188401577241287</v>
      </c>
      <c r="BD245" s="87">
        <f t="shared" si="1032"/>
        <v>-58.445668048321707</v>
      </c>
      <c r="BE245" s="87">
        <f t="shared" si="1032"/>
        <v>-57.749206169371092</v>
      </c>
      <c r="BF245" s="87">
        <f t="shared" si="1032"/>
        <v>-57.103325398214174</v>
      </c>
      <c r="BI245">
        <f t="shared" si="638"/>
        <v>238</v>
      </c>
    </row>
    <row r="246" spans="2:61" hidden="1" outlineLevel="2">
      <c r="B246" s="16" t="s">
        <v>49</v>
      </c>
      <c r="C246" s="54">
        <f t="shared" si="1028"/>
        <v>0</v>
      </c>
      <c r="D246" s="54">
        <f t="shared" si="1028"/>
        <v>0</v>
      </c>
      <c r="E246" s="54">
        <f t="shared" si="1028"/>
        <v>0</v>
      </c>
      <c r="F246" s="54">
        <f t="shared" si="1028"/>
        <v>0</v>
      </c>
      <c r="G246" s="54">
        <f t="shared" si="1028"/>
        <v>0</v>
      </c>
      <c r="H246" s="54">
        <f t="shared" si="1028"/>
        <v>0</v>
      </c>
      <c r="I246" s="54">
        <f t="shared" si="1028"/>
        <v>0</v>
      </c>
      <c r="J246" s="54">
        <f t="shared" si="1028"/>
        <v>-9.3469999999999995</v>
      </c>
      <c r="K246" s="54">
        <f t="shared" si="1028"/>
        <v>-36.493972936748939</v>
      </c>
      <c r="L246" s="54">
        <f t="shared" si="1028"/>
        <v>-38.03184655230956</v>
      </c>
      <c r="M246" s="54">
        <f t="shared" si="1028"/>
        <v>-38.340989490487452</v>
      </c>
      <c r="O246" s="54">
        <f t="shared" ref="O246:AT246" si="1033">O193</f>
        <v>0</v>
      </c>
      <c r="P246" s="54">
        <f t="shared" si="1033"/>
        <v>0</v>
      </c>
      <c r="Q246" s="54">
        <f t="shared" si="1033"/>
        <v>0</v>
      </c>
      <c r="R246" s="54">
        <f t="shared" si="1033"/>
        <v>0</v>
      </c>
      <c r="S246" s="54">
        <f t="shared" si="1033"/>
        <v>0</v>
      </c>
      <c r="T246" s="54">
        <f t="shared" si="1033"/>
        <v>0</v>
      </c>
      <c r="U246" s="54">
        <f t="shared" si="1033"/>
        <v>0</v>
      </c>
      <c r="V246" s="54">
        <f t="shared" si="1033"/>
        <v>0</v>
      </c>
      <c r="W246" s="54">
        <f t="shared" si="1033"/>
        <v>0</v>
      </c>
      <c r="X246" s="54">
        <f t="shared" si="1033"/>
        <v>0</v>
      </c>
      <c r="Y246" s="54">
        <f t="shared" si="1033"/>
        <v>0</v>
      </c>
      <c r="Z246" s="54">
        <f t="shared" si="1033"/>
        <v>0</v>
      </c>
      <c r="AA246" s="54">
        <f t="shared" si="1033"/>
        <v>0</v>
      </c>
      <c r="AB246" s="54">
        <f t="shared" si="1033"/>
        <v>0</v>
      </c>
      <c r="AC246" s="54">
        <f t="shared" si="1033"/>
        <v>0</v>
      </c>
      <c r="AD246" s="54">
        <f t="shared" si="1033"/>
        <v>0</v>
      </c>
      <c r="AE246" s="54">
        <f t="shared" si="1033"/>
        <v>0</v>
      </c>
      <c r="AF246" s="54">
        <f t="shared" si="1033"/>
        <v>0</v>
      </c>
      <c r="AG246" s="54">
        <f t="shared" si="1033"/>
        <v>0</v>
      </c>
      <c r="AH246" s="54">
        <f t="shared" si="1033"/>
        <v>0</v>
      </c>
      <c r="AI246" s="54">
        <f t="shared" si="1033"/>
        <v>0</v>
      </c>
      <c r="AJ246" s="54">
        <f t="shared" si="1033"/>
        <v>0</v>
      </c>
      <c r="AK246" s="54">
        <f t="shared" si="1033"/>
        <v>0</v>
      </c>
      <c r="AL246" s="54">
        <f t="shared" si="1033"/>
        <v>0</v>
      </c>
      <c r="AM246" s="54">
        <f t="shared" si="1033"/>
        <v>0</v>
      </c>
      <c r="AN246" s="54">
        <f t="shared" si="1033"/>
        <v>0</v>
      </c>
      <c r="AO246" s="54">
        <f t="shared" si="1033"/>
        <v>0</v>
      </c>
      <c r="AP246" s="54">
        <f t="shared" si="1033"/>
        <v>0</v>
      </c>
      <c r="AQ246" s="54">
        <f t="shared" si="1033"/>
        <v>0</v>
      </c>
      <c r="AR246" s="54">
        <f t="shared" si="1033"/>
        <v>0</v>
      </c>
      <c r="AS246" s="54">
        <f t="shared" si="1033"/>
        <v>0</v>
      </c>
      <c r="AT246" s="54">
        <f t="shared" si="1033"/>
        <v>-9.3469999999999995</v>
      </c>
      <c r="AU246" s="87">
        <f t="shared" ref="AU246:BF246" si="1034">AT246/AT$249*AU$249</f>
        <v>-9.0745853737082882</v>
      </c>
      <c r="AV246" s="87">
        <f t="shared" si="1034"/>
        <v>-9.1051119713341162</v>
      </c>
      <c r="AW246" s="87">
        <f t="shared" si="1034"/>
        <v>-9.1387247714037567</v>
      </c>
      <c r="AX246" s="87">
        <f t="shared" si="1034"/>
        <v>-9.1755508203027762</v>
      </c>
      <c r="AY246" s="87">
        <f t="shared" si="1034"/>
        <v>-9.3297127779355105</v>
      </c>
      <c r="AZ246" s="87">
        <f t="shared" si="1034"/>
        <v>-9.4265611561362324</v>
      </c>
      <c r="BA246" s="87">
        <f t="shared" si="1034"/>
        <v>-9.5216441740623523</v>
      </c>
      <c r="BB246" s="87">
        <f t="shared" si="1034"/>
        <v>-9.7539284441754663</v>
      </c>
      <c r="BC246" s="87">
        <f t="shared" si="1034"/>
        <v>-9.7611727780664896</v>
      </c>
      <c r="BD246" s="87">
        <f t="shared" si="1034"/>
        <v>-9.6386834032793391</v>
      </c>
      <c r="BE246" s="87">
        <f t="shared" si="1034"/>
        <v>-9.5238250095296451</v>
      </c>
      <c r="BF246" s="87">
        <f t="shared" si="1034"/>
        <v>-9.4173082996119764</v>
      </c>
      <c r="BI246">
        <f t="shared" si="638"/>
        <v>239</v>
      </c>
    </row>
    <row r="247" spans="2:61" hidden="1" outlineLevel="2">
      <c r="B247" s="16" t="s">
        <v>279</v>
      </c>
      <c r="C247" s="54">
        <f t="shared" si="1028"/>
        <v>-10.949999999999974</v>
      </c>
      <c r="D247" s="54">
        <f t="shared" si="1028"/>
        <v>-16.961999999999975</v>
      </c>
      <c r="E247" s="54">
        <f t="shared" si="1028"/>
        <v>-8.9170000000000016</v>
      </c>
      <c r="F247" s="54">
        <f t="shared" si="1028"/>
        <v>-23.084000000000003</v>
      </c>
      <c r="G247" s="54">
        <f t="shared" si="1028"/>
        <v>-23.925999999999959</v>
      </c>
      <c r="H247" s="54">
        <f t="shared" si="1028"/>
        <v>-15.533000000000072</v>
      </c>
      <c r="I247" s="54">
        <f t="shared" si="1028"/>
        <v>-7.9130000000000109</v>
      </c>
      <c r="J247" s="54">
        <f t="shared" si="1028"/>
        <v>-29.401999999999994</v>
      </c>
      <c r="K247" s="54">
        <f t="shared" si="1028"/>
        <v>-37.388069417172119</v>
      </c>
      <c r="L247" s="54">
        <f t="shared" si="1028"/>
        <v>-38.9636206895171</v>
      </c>
      <c r="M247" s="54">
        <f t="shared" si="1028"/>
        <v>-39.280337580069308</v>
      </c>
      <c r="O247" s="54">
        <f>O208</f>
        <v>-2.222999999999999</v>
      </c>
      <c r="P247" s="54">
        <f t="shared" ref="P247:AT247" si="1035">P208</f>
        <v>-2.9549999999999841</v>
      </c>
      <c r="Q247" s="54">
        <f t="shared" si="1035"/>
        <v>-2.8509999999999849</v>
      </c>
      <c r="R247" s="54">
        <f t="shared" si="1035"/>
        <v>-2.9210000000000065</v>
      </c>
      <c r="S247" s="54">
        <f t="shared" si="1035"/>
        <v>-3.5719999999999885</v>
      </c>
      <c r="T247" s="54">
        <f t="shared" si="1035"/>
        <v>-4.2219999999999942</v>
      </c>
      <c r="U247" s="54">
        <f t="shared" si="1035"/>
        <v>-4.7769999999999868</v>
      </c>
      <c r="V247" s="54">
        <f t="shared" si="1035"/>
        <v>-4.3910000000000053</v>
      </c>
      <c r="W247" s="54">
        <f t="shared" si="1035"/>
        <v>-4.4690000000000083</v>
      </c>
      <c r="X247" s="54">
        <f t="shared" si="1035"/>
        <v>-4.8830000000000098</v>
      </c>
      <c r="Y247" s="54">
        <f t="shared" si="1035"/>
        <v>5.7060000000000173</v>
      </c>
      <c r="Z247" s="54">
        <f t="shared" si="1035"/>
        <v>-5.2710000000000008</v>
      </c>
      <c r="AA247" s="54">
        <f t="shared" si="1035"/>
        <v>-7.6219999999999857</v>
      </c>
      <c r="AB247" s="54">
        <f t="shared" si="1035"/>
        <v>-5.4590000000000032</v>
      </c>
      <c r="AC247" s="54">
        <f t="shared" si="1035"/>
        <v>-5.4590000000000032</v>
      </c>
      <c r="AD247" s="54">
        <f t="shared" si="1035"/>
        <v>-4.5440000000000111</v>
      </c>
      <c r="AE247" s="54">
        <f t="shared" si="1035"/>
        <v>-4.9939999999999998</v>
      </c>
      <c r="AF247" s="54">
        <f t="shared" si="1035"/>
        <v>-4.8139999999999645</v>
      </c>
      <c r="AG247" s="54">
        <f t="shared" si="1035"/>
        <v>-8.4469999999999743</v>
      </c>
      <c r="AH247" s="54">
        <f t="shared" si="1035"/>
        <v>-5.6710000000000207</v>
      </c>
      <c r="AI247" s="54">
        <f t="shared" si="1035"/>
        <v>-4.9000000000000341</v>
      </c>
      <c r="AJ247" s="54">
        <f t="shared" si="1035"/>
        <v>-4.5680000000000121</v>
      </c>
      <c r="AK247" s="54">
        <f t="shared" si="1035"/>
        <v>-3.4340000000000259</v>
      </c>
      <c r="AL247" s="54">
        <f t="shared" si="1035"/>
        <v>-2.6310000000000002</v>
      </c>
      <c r="AM247" s="54">
        <f t="shared" si="1035"/>
        <v>-2.5310000000000059</v>
      </c>
      <c r="AN247" s="54">
        <f t="shared" si="1035"/>
        <v>-1.8050000000000068</v>
      </c>
      <c r="AO247" s="54">
        <f t="shared" si="1035"/>
        <v>-1.8559999999999945</v>
      </c>
      <c r="AP247" s="54">
        <f t="shared" si="1035"/>
        <v>-1.7210000000000036</v>
      </c>
      <c r="AQ247" s="54">
        <f t="shared" si="1035"/>
        <v>-2.1720000000000255</v>
      </c>
      <c r="AR247" s="54">
        <f t="shared" si="1035"/>
        <v>-8.1199999999999761</v>
      </c>
      <c r="AS247" s="54">
        <f t="shared" si="1035"/>
        <v>-9.5339999999999918</v>
      </c>
      <c r="AT247" s="54">
        <f t="shared" si="1035"/>
        <v>-9.5760000000000005</v>
      </c>
      <c r="AU247" s="87">
        <f t="shared" ref="AU247:BF247" si="1036">AT247/AT$249*AU$249</f>
        <v>-9.2969112590810496</v>
      </c>
      <c r="AV247" s="87">
        <f t="shared" si="1036"/>
        <v>-9.3281857534498229</v>
      </c>
      <c r="AW247" s="87">
        <f t="shared" si="1036"/>
        <v>-9.3626220617270111</v>
      </c>
      <c r="AX247" s="87">
        <f t="shared" si="1036"/>
        <v>-9.4003503429142388</v>
      </c>
      <c r="AY247" s="87">
        <f t="shared" si="1036"/>
        <v>-9.5582892437691722</v>
      </c>
      <c r="AZ247" s="87">
        <f t="shared" si="1036"/>
        <v>-9.657510391693652</v>
      </c>
      <c r="BA247" s="87">
        <f t="shared" si="1036"/>
        <v>-9.7549229283001058</v>
      </c>
      <c r="BB247" s="87">
        <f t="shared" si="1036"/>
        <v>-9.9928981257541754</v>
      </c>
      <c r="BC247" s="87">
        <f t="shared" si="1036"/>
        <v>-10.000319944662962</v>
      </c>
      <c r="BD247" s="87">
        <f t="shared" si="1036"/>
        <v>-9.8748295998505355</v>
      </c>
      <c r="BE247" s="87">
        <f t="shared" si="1036"/>
        <v>-9.7571571938863677</v>
      </c>
      <c r="BF247" s="87">
        <f t="shared" si="1036"/>
        <v>-9.648030841669442</v>
      </c>
      <c r="BI247">
        <f t="shared" si="638"/>
        <v>240</v>
      </c>
    </row>
    <row r="248" spans="2:61" hidden="1" outlineLevel="2">
      <c r="B248" s="16" t="s">
        <v>254</v>
      </c>
      <c r="C248" s="54">
        <f t="shared" si="1028"/>
        <v>-1.361</v>
      </c>
      <c r="D248" s="54">
        <f t="shared" si="1028"/>
        <v>-2.726</v>
      </c>
      <c r="E248" s="54">
        <f t="shared" si="1028"/>
        <v>-3.819</v>
      </c>
      <c r="F248" s="54">
        <f t="shared" si="1028"/>
        <v>-10.396999999999951</v>
      </c>
      <c r="G248" s="54">
        <f t="shared" si="1028"/>
        <v>-6.3670000000000044</v>
      </c>
      <c r="H248" s="54">
        <f t="shared" si="1028"/>
        <v>-5.4729999999999999</v>
      </c>
      <c r="I248" s="54">
        <f t="shared" si="1028"/>
        <v>-5.4740000000000002</v>
      </c>
      <c r="J248" s="54">
        <f t="shared" si="1028"/>
        <v>-7.6949999999999994</v>
      </c>
      <c r="K248" s="54">
        <f t="shared" si="1028"/>
        <v>-8.7418428806441497</v>
      </c>
      <c r="L248" s="54">
        <f t="shared" si="1028"/>
        <v>-9.1102283546187106</v>
      </c>
      <c r="M248" s="54">
        <f t="shared" si="1028"/>
        <v>-9.1842811029422684</v>
      </c>
      <c r="O248" s="54">
        <f t="shared" ref="O248:AT248" si="1037">O223</f>
        <v>-0.22500000000000001</v>
      </c>
      <c r="P248" s="54">
        <f t="shared" si="1037"/>
        <v>-0.29599999999999999</v>
      </c>
      <c r="Q248" s="54">
        <f t="shared" si="1037"/>
        <v>-0.41799999999999998</v>
      </c>
      <c r="R248" s="54">
        <f t="shared" si="1037"/>
        <v>-0.42199999999999999</v>
      </c>
      <c r="S248" s="54">
        <f t="shared" si="1037"/>
        <v>-0.42099999999999999</v>
      </c>
      <c r="T248" s="54">
        <f t="shared" si="1037"/>
        <v>-0.77600000000000002</v>
      </c>
      <c r="U248" s="54">
        <f t="shared" si="1037"/>
        <v>-0.76900000000000002</v>
      </c>
      <c r="V248" s="54">
        <f t="shared" si="1037"/>
        <v>-0.76</v>
      </c>
      <c r="W248" s="54">
        <f t="shared" si="1037"/>
        <v>-0.95499999999999996</v>
      </c>
      <c r="X248" s="54">
        <f t="shared" si="1037"/>
        <v>-0.95499999999999996</v>
      </c>
      <c r="Y248" s="54">
        <f t="shared" si="1037"/>
        <v>-0.95499999999999996</v>
      </c>
      <c r="Z248" s="54">
        <f t="shared" si="1037"/>
        <v>-0.95399999999999996</v>
      </c>
      <c r="AA248" s="54">
        <f t="shared" si="1037"/>
        <v>-0.95499999999999996</v>
      </c>
      <c r="AB248" s="54">
        <f t="shared" si="1037"/>
        <v>-1.650999999999982</v>
      </c>
      <c r="AC248" s="54">
        <f t="shared" si="1037"/>
        <v>-5.203000000000003</v>
      </c>
      <c r="AD248" s="54">
        <f t="shared" si="1037"/>
        <v>-2.5879999999999654</v>
      </c>
      <c r="AE248" s="54">
        <f t="shared" si="1037"/>
        <v>-2.1670000000000016</v>
      </c>
      <c r="AF248" s="54">
        <f t="shared" si="1037"/>
        <v>-1.9320000000000022</v>
      </c>
      <c r="AG248" s="54">
        <f t="shared" si="1037"/>
        <v>-1.1339999999999999</v>
      </c>
      <c r="AH248" s="54">
        <f t="shared" si="1037"/>
        <v>-1.1339999999999999</v>
      </c>
      <c r="AI248" s="54">
        <f t="shared" si="1037"/>
        <v>-1.367</v>
      </c>
      <c r="AJ248" s="54">
        <f t="shared" si="1037"/>
        <v>-1.3680000000000001</v>
      </c>
      <c r="AK248" s="54">
        <f t="shared" si="1037"/>
        <v>-1.369</v>
      </c>
      <c r="AL248" s="54">
        <f t="shared" si="1037"/>
        <v>-1.369</v>
      </c>
      <c r="AM248" s="54">
        <f t="shared" si="1037"/>
        <v>-1.369</v>
      </c>
      <c r="AN248" s="54">
        <f t="shared" si="1037"/>
        <v>-1.3680000000000001</v>
      </c>
      <c r="AO248" s="54">
        <f t="shared" si="1037"/>
        <v>-1.369</v>
      </c>
      <c r="AP248" s="54">
        <f t="shared" si="1037"/>
        <v>-1.3680000000000001</v>
      </c>
      <c r="AQ248" s="54">
        <f t="shared" si="1037"/>
        <v>-1.236</v>
      </c>
      <c r="AR248" s="54">
        <f t="shared" si="1037"/>
        <v>-1.9890000000000001</v>
      </c>
      <c r="AS248" s="54">
        <f t="shared" si="1037"/>
        <v>-2.2309999999999999</v>
      </c>
      <c r="AT248" s="54">
        <f t="shared" si="1037"/>
        <v>-2.2389999999999999</v>
      </c>
      <c r="AU248" s="87">
        <f t="shared" ref="AU248:BF248" si="1038">AT248/AT$249*AU$249</f>
        <v>-2.173745228600926</v>
      </c>
      <c r="AV248" s="87">
        <f t="shared" si="1038"/>
        <v>-2.1810576338736585</v>
      </c>
      <c r="AW248" s="87">
        <f t="shared" si="1038"/>
        <v>-2.1891093145579341</v>
      </c>
      <c r="AX248" s="87">
        <f t="shared" si="1038"/>
        <v>-2.1979307036116311</v>
      </c>
      <c r="AY248" s="87">
        <f t="shared" si="1038"/>
        <v>-2.2348589825395964</v>
      </c>
      <c r="AZ248" s="87">
        <f t="shared" si="1038"/>
        <v>-2.2580582463452465</v>
      </c>
      <c r="BA248" s="87">
        <f t="shared" si="1038"/>
        <v>-2.2808346320451056</v>
      </c>
      <c r="BB248" s="87">
        <f t="shared" si="1038"/>
        <v>-2.3364764936887625</v>
      </c>
      <c r="BC248" s="87">
        <f t="shared" si="1038"/>
        <v>-2.3382118166353765</v>
      </c>
      <c r="BD248" s="87">
        <f t="shared" si="1038"/>
        <v>-2.3088704546851861</v>
      </c>
      <c r="BE248" s="87">
        <f t="shared" si="1038"/>
        <v>-2.2813570339506657</v>
      </c>
      <c r="BF248" s="87">
        <f t="shared" si="1038"/>
        <v>-2.2558417976710401</v>
      </c>
      <c r="BI248">
        <f t="shared" si="638"/>
        <v>241</v>
      </c>
    </row>
    <row r="249" spans="2:61" hidden="1" outlineLevel="2">
      <c r="B249" s="50" t="s">
        <v>257</v>
      </c>
      <c r="C249" s="21">
        <f>SUM(C244:C248)</f>
        <v>-333.49299999999999</v>
      </c>
      <c r="D249" s="21">
        <f t="shared" ref="D249" si="1039">SUM(D244:D248)</f>
        <v>-425.97899999999998</v>
      </c>
      <c r="E249" s="21">
        <f t="shared" ref="E249" si="1040">SUM(E244:E248)</f>
        <v>-514.11399999999992</v>
      </c>
      <c r="F249" s="21">
        <f t="shared" ref="F249" si="1041">SUM(F244:F248)</f>
        <v>-559.66899999999987</v>
      </c>
      <c r="G249" s="21">
        <f t="shared" ref="G249" si="1042">SUM(G244:G248)</f>
        <v>-624.03199999999993</v>
      </c>
      <c r="H249" s="21">
        <f t="shared" ref="H249" si="1043">SUM(H244:H248)</f>
        <v>-700.88200000000006</v>
      </c>
      <c r="I249" s="21">
        <f t="shared" ref="I249" si="1044">SUM(I244:I248)</f>
        <v>-666.23300000000006</v>
      </c>
      <c r="J249" s="21">
        <f t="shared" ref="J249" si="1045">SUM(J244:J248)</f>
        <v>-754.36200000000008</v>
      </c>
      <c r="K249" s="21">
        <f t="shared" ref="K249" si="1046">SUM(K244:K248)</f>
        <v>-824.41942457326252</v>
      </c>
      <c r="L249" s="21">
        <f t="shared" ref="L249" si="1047">SUM(L244:L248)</f>
        <v>-859.16085662847695</v>
      </c>
      <c r="M249" s="21">
        <f t="shared" ref="M249" si="1048">SUM(M244:M248)</f>
        <v>-866.14456990204189</v>
      </c>
      <c r="O249" s="21">
        <f t="shared" ref="O249" si="1049">SUM(O244:O248)</f>
        <v>-75.715999999999994</v>
      </c>
      <c r="P249" s="21">
        <f t="shared" ref="P249" si="1050">SUM(P244:P248)</f>
        <v>-78.783000000000001</v>
      </c>
      <c r="Q249" s="21">
        <f t="shared" ref="Q249" si="1051">SUM(Q244:Q248)</f>
        <v>-85.430999999999997</v>
      </c>
      <c r="R249" s="21">
        <f t="shared" ref="R249" si="1052">SUM(R244:R248)</f>
        <v>-93.563000000000002</v>
      </c>
      <c r="S249" s="21">
        <f t="shared" ref="S249" si="1053">SUM(S244:S248)</f>
        <v>-96.215000000000003</v>
      </c>
      <c r="T249" s="21">
        <f t="shared" ref="T249" si="1054">SUM(T244:T248)</f>
        <v>-102.749</v>
      </c>
      <c r="U249" s="21">
        <f t="shared" ref="U249" si="1055">SUM(U244:U248)</f>
        <v>-110.71299999999999</v>
      </c>
      <c r="V249" s="21">
        <f t="shared" ref="V249" si="1056">SUM(V244:V248)</f>
        <v>-116.30200000000001</v>
      </c>
      <c r="W249" s="21">
        <f t="shared" ref="W249" si="1057">SUM(W244:W248)</f>
        <v>-122.953</v>
      </c>
      <c r="X249" s="21">
        <f t="shared" ref="X249" si="1058">SUM(X244:X248)</f>
        <v>-128.477</v>
      </c>
      <c r="Y249" s="21">
        <f t="shared" ref="Y249" si="1059">SUM(Y244:Y248)</f>
        <v>-129.893</v>
      </c>
      <c r="Z249" s="21">
        <f t="shared" ref="Z249" si="1060">SUM(Z244:Z248)</f>
        <v>-132.791</v>
      </c>
      <c r="AA249" s="21">
        <f t="shared" ref="AA249" si="1061">SUM(AA244:AA248)</f>
        <v>-136.435</v>
      </c>
      <c r="AB249" s="21">
        <f t="shared" ref="AB249" si="1062">SUM(AB244:AB248)</f>
        <v>-137.18199999999999</v>
      </c>
      <c r="AC249" s="21">
        <f t="shared" ref="AC249" si="1063">SUM(AC244:AC248)</f>
        <v>-140.73400000000001</v>
      </c>
      <c r="AD249" s="21">
        <f t="shared" ref="AD249" si="1064">SUM(AD244:AD248)</f>
        <v>-145.31799999999998</v>
      </c>
      <c r="AE249" s="21">
        <f t="shared" ref="AE249" si="1065">SUM(AE244:AE248)</f>
        <v>-147.322</v>
      </c>
      <c r="AF249" s="21">
        <f t="shared" ref="AF249" si="1066">SUM(AF244:AF248)</f>
        <v>-153.42599999999999</v>
      </c>
      <c r="AG249" s="21">
        <f t="shared" ref="AG249" si="1067">SUM(AG244:AG248)</f>
        <v>-159.94599999999997</v>
      </c>
      <c r="AH249" s="21">
        <f t="shared" ref="AH249" si="1068">SUM(AH244:AH248)</f>
        <v>-163.33800000000002</v>
      </c>
      <c r="AI249" s="21">
        <f t="shared" ref="AI249" si="1069">SUM(AI244:AI248)</f>
        <v>-172.018</v>
      </c>
      <c r="AJ249" s="21">
        <f t="shared" ref="AJ249" si="1070">SUM(AJ244:AJ248)</f>
        <v>-177.82400000000001</v>
      </c>
      <c r="AK249" s="21">
        <f t="shared" ref="AK249" si="1071">SUM(AK244:AK248)</f>
        <v>-177.143</v>
      </c>
      <c r="AL249" s="21">
        <f t="shared" ref="AL249" si="1072">SUM(AL244:AL248)</f>
        <v>-173.89699999999999</v>
      </c>
      <c r="AM249" s="21">
        <f t="shared" ref="AM249" si="1073">SUM(AM244:AM248)</f>
        <v>-174.56900000000002</v>
      </c>
      <c r="AN249" s="21">
        <f t="shared" ref="AN249" si="1074">SUM(AN244:AN248)</f>
        <v>-170.97499999999999</v>
      </c>
      <c r="AO249" s="21">
        <f t="shared" ref="AO249" si="1075">SUM(AO244:AO248)</f>
        <v>-163.464</v>
      </c>
      <c r="AP249" s="21">
        <f t="shared" ref="AP249" si="1076">SUM(AP244:AP248)</f>
        <v>-157.22499999999999</v>
      </c>
      <c r="AQ249" s="21">
        <f t="shared" ref="AQ249" si="1077">SUM(AQ244:AQ248)</f>
        <v>-156.21700000000001</v>
      </c>
      <c r="AR249" s="21">
        <f t="shared" ref="AR249" si="1078">SUM(AR244:AR248)</f>
        <v>-190.34899999999999</v>
      </c>
      <c r="AS249" s="21">
        <f t="shared" ref="AS249:AT249" si="1079">SUM(AS244:AS248)</f>
        <v>-196.642</v>
      </c>
      <c r="AT249" s="21">
        <f t="shared" si="1079"/>
        <v>-211.154</v>
      </c>
      <c r="AU249" s="100">
        <f t="shared" ref="AU249:BF249" si="1080">AU33</f>
        <v>-205</v>
      </c>
      <c r="AV249" s="100">
        <f t="shared" si="1080"/>
        <v>-205.6896130517903</v>
      </c>
      <c r="AW249" s="100">
        <f t="shared" si="1080"/>
        <v>-206.44894515684058</v>
      </c>
      <c r="AX249" s="100">
        <f t="shared" si="1080"/>
        <v>-207.28086636463169</v>
      </c>
      <c r="AY249" s="100">
        <f t="shared" si="1080"/>
        <v>-210.76347190672888</v>
      </c>
      <c r="AZ249" s="100">
        <f t="shared" si="1080"/>
        <v>-212.95133137507113</v>
      </c>
      <c r="BA249" s="100">
        <f t="shared" si="1080"/>
        <v>-215.09931035946954</v>
      </c>
      <c r="BB249" s="100">
        <f t="shared" si="1080"/>
        <v>-220.34674298720725</v>
      </c>
      <c r="BC249" s="100">
        <f t="shared" si="1080"/>
        <v>-220.51039657428601</v>
      </c>
      <c r="BD249" s="100">
        <f t="shared" si="1080"/>
        <v>-217.74329253621968</v>
      </c>
      <c r="BE249" s="100">
        <f t="shared" si="1080"/>
        <v>-215.14857666226837</v>
      </c>
      <c r="BF249" s="100">
        <f t="shared" si="1080"/>
        <v>-212.74230412926789</v>
      </c>
      <c r="BI249">
        <f t="shared" si="638"/>
        <v>242</v>
      </c>
    </row>
    <row r="250" spans="2:61" hidden="1" outlineLevel="2">
      <c r="B250" s="50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O250" s="93">
        <f t="shared" ref="O250:BF250" si="1081">+O249-O33</f>
        <v>0</v>
      </c>
      <c r="P250" s="93">
        <f t="shared" si="1081"/>
        <v>0</v>
      </c>
      <c r="Q250" s="93">
        <f t="shared" si="1081"/>
        <v>0</v>
      </c>
      <c r="R250" s="93">
        <f t="shared" si="1081"/>
        <v>0</v>
      </c>
      <c r="S250" s="93">
        <f t="shared" si="1081"/>
        <v>0</v>
      </c>
      <c r="T250" s="93">
        <f t="shared" si="1081"/>
        <v>0</v>
      </c>
      <c r="U250" s="93">
        <f t="shared" si="1081"/>
        <v>0</v>
      </c>
      <c r="V250" s="93">
        <f t="shared" si="1081"/>
        <v>0</v>
      </c>
      <c r="W250" s="93">
        <f t="shared" si="1081"/>
        <v>0</v>
      </c>
      <c r="X250" s="93">
        <f t="shared" si="1081"/>
        <v>0</v>
      </c>
      <c r="Y250" s="93">
        <f t="shared" si="1081"/>
        <v>0</v>
      </c>
      <c r="Z250" s="93">
        <f t="shared" si="1081"/>
        <v>0</v>
      </c>
      <c r="AA250" s="93">
        <f t="shared" si="1081"/>
        <v>0</v>
      </c>
      <c r="AB250" s="93">
        <f t="shared" si="1081"/>
        <v>0</v>
      </c>
      <c r="AC250" s="93">
        <f t="shared" si="1081"/>
        <v>0</v>
      </c>
      <c r="AD250" s="93">
        <f t="shared" si="1081"/>
        <v>0</v>
      </c>
      <c r="AE250" s="93">
        <f t="shared" si="1081"/>
        <v>0</v>
      </c>
      <c r="AF250" s="93">
        <f t="shared" si="1081"/>
        <v>0</v>
      </c>
      <c r="AG250" s="93">
        <f t="shared" si="1081"/>
        <v>0</v>
      </c>
      <c r="AH250" s="93">
        <f t="shared" si="1081"/>
        <v>0</v>
      </c>
      <c r="AI250" s="93">
        <f t="shared" si="1081"/>
        <v>0</v>
      </c>
      <c r="AJ250" s="93">
        <f t="shared" si="1081"/>
        <v>0</v>
      </c>
      <c r="AK250" s="93">
        <f t="shared" si="1081"/>
        <v>0</v>
      </c>
      <c r="AL250" s="93">
        <f t="shared" si="1081"/>
        <v>0</v>
      </c>
      <c r="AM250" s="93">
        <f t="shared" si="1081"/>
        <v>0</v>
      </c>
      <c r="AN250" s="93">
        <f t="shared" si="1081"/>
        <v>0</v>
      </c>
      <c r="AO250" s="93">
        <f t="shared" si="1081"/>
        <v>0</v>
      </c>
      <c r="AP250" s="93">
        <f t="shared" si="1081"/>
        <v>0</v>
      </c>
      <c r="AQ250" s="93">
        <f t="shared" si="1081"/>
        <v>0</v>
      </c>
      <c r="AR250" s="93">
        <f t="shared" si="1081"/>
        <v>0</v>
      </c>
      <c r="AS250" s="93">
        <f t="shared" si="1081"/>
        <v>0</v>
      </c>
      <c r="AT250" s="93">
        <f t="shared" si="1081"/>
        <v>0</v>
      </c>
      <c r="AU250" s="101">
        <f t="shared" si="1081"/>
        <v>0</v>
      </c>
      <c r="AV250" s="101">
        <f t="shared" si="1081"/>
        <v>0</v>
      </c>
      <c r="AW250" s="101">
        <f t="shared" si="1081"/>
        <v>0</v>
      </c>
      <c r="AX250" s="101">
        <f t="shared" si="1081"/>
        <v>0</v>
      </c>
      <c r="AY250" s="101">
        <f t="shared" si="1081"/>
        <v>0</v>
      </c>
      <c r="AZ250" s="101">
        <f t="shared" si="1081"/>
        <v>0</v>
      </c>
      <c r="BA250" s="101">
        <f t="shared" si="1081"/>
        <v>0</v>
      </c>
      <c r="BB250" s="101">
        <f t="shared" si="1081"/>
        <v>0</v>
      </c>
      <c r="BC250" s="101">
        <f t="shared" si="1081"/>
        <v>0</v>
      </c>
      <c r="BD250" s="101">
        <f t="shared" si="1081"/>
        <v>0</v>
      </c>
      <c r="BE250" s="101">
        <f t="shared" si="1081"/>
        <v>0</v>
      </c>
      <c r="BF250" s="101">
        <f t="shared" si="1081"/>
        <v>0</v>
      </c>
      <c r="BI250">
        <f t="shared" si="638"/>
        <v>243</v>
      </c>
    </row>
    <row r="251" spans="2:61" hidden="1" outlineLevel="2">
      <c r="B251" s="51" t="s">
        <v>59</v>
      </c>
      <c r="BI251">
        <f t="shared" si="638"/>
        <v>244</v>
      </c>
    </row>
    <row r="252" spans="2:61" hidden="1" outlineLevel="2">
      <c r="B252" s="16" t="s">
        <v>281</v>
      </c>
      <c r="C252" s="54">
        <f>+C236+C244</f>
        <v>140.483</v>
      </c>
      <c r="D252" s="54">
        <f t="shared" ref="D252:M252" si="1082">+D236+D244</f>
        <v>361.68300000000005</v>
      </c>
      <c r="E252" s="54">
        <f t="shared" si="1082"/>
        <v>349.39300000000009</v>
      </c>
      <c r="F252" s="54">
        <f t="shared" si="1082"/>
        <v>241.6459999999999</v>
      </c>
      <c r="G252" s="54">
        <f t="shared" si="1082"/>
        <v>319.73</v>
      </c>
      <c r="H252" s="54">
        <f t="shared" si="1082"/>
        <v>-17.155999999999949</v>
      </c>
      <c r="I252" s="54">
        <f t="shared" si="1082"/>
        <v>-260.411</v>
      </c>
      <c r="J252" s="54">
        <f t="shared" si="1082"/>
        <v>-142.91800000000001</v>
      </c>
      <c r="K252" s="54">
        <f t="shared" si="1082"/>
        <v>18.615092889800735</v>
      </c>
      <c r="L252" s="54">
        <f t="shared" si="1082"/>
        <v>172.61629240347088</v>
      </c>
      <c r="M252" s="54">
        <f t="shared" si="1082"/>
        <v>244.70823028585824</v>
      </c>
      <c r="O252" s="54">
        <f t="shared" ref="O252:BF252" si="1083">+O236+O244</f>
        <v>8.7010000000000218</v>
      </c>
      <c r="P252" s="54">
        <f t="shared" si="1083"/>
        <v>22.099000000000004</v>
      </c>
      <c r="Q252" s="54">
        <f t="shared" si="1083"/>
        <v>41.479000000000013</v>
      </c>
      <c r="R252" s="54">
        <f t="shared" si="1083"/>
        <v>68.204000000000008</v>
      </c>
      <c r="S252" s="54">
        <f t="shared" si="1083"/>
        <v>80.518999999999991</v>
      </c>
      <c r="T252" s="54">
        <f t="shared" si="1083"/>
        <v>85.135000000000005</v>
      </c>
      <c r="U252" s="54">
        <f t="shared" si="1083"/>
        <v>90.007999999999996</v>
      </c>
      <c r="V252" s="54">
        <f t="shared" si="1083"/>
        <v>106.021</v>
      </c>
      <c r="W252" s="54">
        <f t="shared" si="1083"/>
        <v>111.77100000000002</v>
      </c>
      <c r="X252" s="54">
        <f t="shared" si="1083"/>
        <v>90.536000000000001</v>
      </c>
      <c r="Y252" s="54">
        <f t="shared" si="1083"/>
        <v>77.967000000000056</v>
      </c>
      <c r="Z252" s="54">
        <f t="shared" si="1083"/>
        <v>69.119</v>
      </c>
      <c r="AA252" s="54">
        <f t="shared" si="1083"/>
        <v>72.548999999999992</v>
      </c>
      <c r="AB252" s="54">
        <f t="shared" si="1083"/>
        <v>47.069000000000003</v>
      </c>
      <c r="AC252" s="54">
        <f t="shared" si="1083"/>
        <v>56.205999999999975</v>
      </c>
      <c r="AD252" s="54">
        <f t="shared" si="1083"/>
        <v>65.821999999999932</v>
      </c>
      <c r="AE252" s="54">
        <f t="shared" si="1083"/>
        <v>67.077000000000027</v>
      </c>
      <c r="AF252" s="54">
        <f t="shared" si="1083"/>
        <v>69.617000000000004</v>
      </c>
      <c r="AG252" s="54">
        <f t="shared" si="1083"/>
        <v>90.025999999999996</v>
      </c>
      <c r="AH252" s="54">
        <f t="shared" si="1083"/>
        <v>93.010000000000019</v>
      </c>
      <c r="AI252" s="54">
        <f t="shared" si="1083"/>
        <v>52.644000000000034</v>
      </c>
      <c r="AJ252" s="54">
        <f t="shared" si="1083"/>
        <v>-6.1740000000000066</v>
      </c>
      <c r="AK252" s="54">
        <f t="shared" si="1083"/>
        <v>-28.914999999999978</v>
      </c>
      <c r="AL252" s="54">
        <f t="shared" si="1083"/>
        <v>-34.710999999999984</v>
      </c>
      <c r="AM252" s="54">
        <f t="shared" si="1083"/>
        <v>-51.872000000000014</v>
      </c>
      <c r="AN252" s="54">
        <f t="shared" si="1083"/>
        <v>-75.867999999999995</v>
      </c>
      <c r="AO252" s="54">
        <f t="shared" si="1083"/>
        <v>-68.924999999999997</v>
      </c>
      <c r="AP252" s="54">
        <f t="shared" si="1083"/>
        <v>-63.745999999999981</v>
      </c>
      <c r="AQ252" s="54">
        <f t="shared" si="1083"/>
        <v>-61.705999999999989</v>
      </c>
      <c r="AR252" s="54">
        <f t="shared" si="1083"/>
        <v>-44.382999999999996</v>
      </c>
      <c r="AS252" s="54">
        <f t="shared" si="1083"/>
        <v>-20.39700000000002</v>
      </c>
      <c r="AT252" s="54">
        <f t="shared" si="1083"/>
        <v>-16.432000000000016</v>
      </c>
      <c r="AU252" s="54">
        <f t="shared" si="1083"/>
        <v>-13.55297454461784</v>
      </c>
      <c r="AV252" s="54">
        <f t="shared" si="1083"/>
        <v>-1.8153090403854151</v>
      </c>
      <c r="AW252" s="54">
        <f t="shared" si="1083"/>
        <v>11.920511619705991</v>
      </c>
      <c r="AX252" s="54">
        <f t="shared" si="1083"/>
        <v>22.062864855097985</v>
      </c>
      <c r="AY252" s="54">
        <f t="shared" si="1083"/>
        <v>28.181123818014129</v>
      </c>
      <c r="AZ252" s="54">
        <f t="shared" si="1083"/>
        <v>41.682779635551299</v>
      </c>
      <c r="BA252" s="54">
        <f t="shared" si="1083"/>
        <v>50.529044371921799</v>
      </c>
      <c r="BB252" s="54">
        <f t="shared" si="1083"/>
        <v>52.223344577983625</v>
      </c>
      <c r="BC252" s="54">
        <f t="shared" si="1083"/>
        <v>54.88476582260023</v>
      </c>
      <c r="BD252" s="54">
        <f t="shared" si="1083"/>
        <v>58.420956375802831</v>
      </c>
      <c r="BE252" s="54">
        <f t="shared" si="1083"/>
        <v>64.037690098472865</v>
      </c>
      <c r="BF252" s="54">
        <f t="shared" si="1083"/>
        <v>67.364817988982253</v>
      </c>
      <c r="BI252">
        <f t="shared" si="638"/>
        <v>245</v>
      </c>
    </row>
    <row r="253" spans="2:61" hidden="1" outlineLevel="2">
      <c r="B253" s="16" t="s">
        <v>48</v>
      </c>
      <c r="C253" s="54">
        <f t="shared" ref="C253:M257" si="1084">+C237+C245</f>
        <v>64.394000000000005</v>
      </c>
      <c r="D253" s="54">
        <f t="shared" si="1084"/>
        <v>193.44</v>
      </c>
      <c r="E253" s="54">
        <f t="shared" si="1084"/>
        <v>132.79840000000002</v>
      </c>
      <c r="F253" s="54">
        <f t="shared" si="1084"/>
        <v>89.154999999999973</v>
      </c>
      <c r="G253" s="54">
        <f t="shared" si="1084"/>
        <v>89.080999999999989</v>
      </c>
      <c r="H253" s="54">
        <f t="shared" si="1084"/>
        <v>-108.38900000000001</v>
      </c>
      <c r="I253" s="54">
        <f t="shared" si="1084"/>
        <v>-176.62800000000001</v>
      </c>
      <c r="J253" s="54">
        <f t="shared" si="1084"/>
        <v>21.027999999999906</v>
      </c>
      <c r="K253" s="54">
        <f t="shared" si="1084"/>
        <v>146.33281995746819</v>
      </c>
      <c r="L253" s="54">
        <f t="shared" si="1084"/>
        <v>266.70908388796067</v>
      </c>
      <c r="M253" s="54">
        <f t="shared" si="1084"/>
        <v>307.46468489930731</v>
      </c>
      <c r="O253" s="54">
        <f t="shared" ref="O253:BF253" si="1085">+O237+O245</f>
        <v>4.4769999999999968</v>
      </c>
      <c r="P253" s="54">
        <f t="shared" si="1085"/>
        <v>6.7059999999999942</v>
      </c>
      <c r="Q253" s="54">
        <f t="shared" si="1085"/>
        <v>17.585999999999999</v>
      </c>
      <c r="R253" s="54">
        <f t="shared" si="1085"/>
        <v>35.625000000000014</v>
      </c>
      <c r="S253" s="54">
        <f t="shared" si="1085"/>
        <v>41.377999999999986</v>
      </c>
      <c r="T253" s="54">
        <f t="shared" si="1085"/>
        <v>50.339999999999982</v>
      </c>
      <c r="U253" s="54">
        <f t="shared" si="1085"/>
        <v>50.425999999999988</v>
      </c>
      <c r="V253" s="54">
        <f t="shared" si="1085"/>
        <v>51.295999999999992</v>
      </c>
      <c r="W253" s="54">
        <f t="shared" si="1085"/>
        <v>46.787000000000006</v>
      </c>
      <c r="X253" s="54">
        <f t="shared" si="1085"/>
        <v>36.846000000000018</v>
      </c>
      <c r="Y253" s="54">
        <f t="shared" si="1085"/>
        <v>15.008999999999979</v>
      </c>
      <c r="Z253" s="54">
        <f t="shared" si="1085"/>
        <v>34.156400000000019</v>
      </c>
      <c r="AA253" s="54">
        <f t="shared" si="1085"/>
        <v>28.51499999999999</v>
      </c>
      <c r="AB253" s="54">
        <f t="shared" si="1085"/>
        <v>30.254000000000005</v>
      </c>
      <c r="AC253" s="54">
        <f t="shared" si="1085"/>
        <v>18.887999999999991</v>
      </c>
      <c r="AD253" s="54">
        <f t="shared" si="1085"/>
        <v>11.49799999999999</v>
      </c>
      <c r="AE253" s="54">
        <f t="shared" si="1085"/>
        <v>1.5429999999999993</v>
      </c>
      <c r="AF253" s="54">
        <f t="shared" si="1085"/>
        <v>24.909999999999997</v>
      </c>
      <c r="AG253" s="54">
        <f t="shared" si="1085"/>
        <v>25.207999999999984</v>
      </c>
      <c r="AH253" s="54">
        <f t="shared" si="1085"/>
        <v>37.42</v>
      </c>
      <c r="AI253" s="54">
        <f t="shared" si="1085"/>
        <v>-15.015999999999988</v>
      </c>
      <c r="AJ253" s="54">
        <f t="shared" si="1085"/>
        <v>-18.744000000000007</v>
      </c>
      <c r="AK253" s="54">
        <f t="shared" si="1085"/>
        <v>-36.854999999999997</v>
      </c>
      <c r="AL253" s="54">
        <f t="shared" si="1085"/>
        <v>-37.774000000000001</v>
      </c>
      <c r="AM253" s="54">
        <f t="shared" si="1085"/>
        <v>-43.959000000000003</v>
      </c>
      <c r="AN253" s="54">
        <f t="shared" si="1085"/>
        <v>-46.025000000000006</v>
      </c>
      <c r="AO253" s="54">
        <f t="shared" si="1085"/>
        <v>-46.569000000000003</v>
      </c>
      <c r="AP253" s="54">
        <f t="shared" si="1085"/>
        <v>-40.074999999999996</v>
      </c>
      <c r="AQ253" s="54">
        <f t="shared" si="1085"/>
        <v>-22.890999999999998</v>
      </c>
      <c r="AR253" s="54">
        <f t="shared" si="1085"/>
        <v>4.6359999999999744</v>
      </c>
      <c r="AS253" s="54">
        <f t="shared" si="1085"/>
        <v>16.84099999999998</v>
      </c>
      <c r="AT253" s="54">
        <f t="shared" si="1085"/>
        <v>22.441999999999958</v>
      </c>
      <c r="AU253" s="54">
        <f t="shared" si="1085"/>
        <v>16.605677616970887</v>
      </c>
      <c r="AV253" s="54">
        <f t="shared" si="1085"/>
        <v>29.469455962949027</v>
      </c>
      <c r="AW253" s="54">
        <f t="shared" si="1085"/>
        <v>44.596916702809054</v>
      </c>
      <c r="AX253" s="54">
        <f t="shared" si="1085"/>
        <v>55.660769674739214</v>
      </c>
      <c r="AY253" s="54">
        <f t="shared" si="1085"/>
        <v>59.1245594095342</v>
      </c>
      <c r="AZ253" s="54">
        <f t="shared" si="1085"/>
        <v>62.934342169935398</v>
      </c>
      <c r="BA253" s="54">
        <f t="shared" si="1085"/>
        <v>70.832401418958383</v>
      </c>
      <c r="BB253" s="54">
        <f t="shared" si="1085"/>
        <v>73.817780889532628</v>
      </c>
      <c r="BC253" s="54">
        <f t="shared" si="1085"/>
        <v>75.928385677889509</v>
      </c>
      <c r="BD253" s="54">
        <f t="shared" si="1085"/>
        <v>76.586278912080516</v>
      </c>
      <c r="BE253" s="54">
        <f t="shared" si="1085"/>
        <v>77.19620369040797</v>
      </c>
      <c r="BF253" s="54">
        <f t="shared" si="1085"/>
        <v>77.753816618929307</v>
      </c>
      <c r="BI253">
        <f t="shared" si="638"/>
        <v>246</v>
      </c>
    </row>
    <row r="254" spans="2:61" hidden="1" outlineLevel="2">
      <c r="B254" s="16" t="s">
        <v>49</v>
      </c>
      <c r="C254" s="54">
        <f t="shared" si="1084"/>
        <v>0</v>
      </c>
      <c r="D254" s="54">
        <f t="shared" si="1084"/>
        <v>0</v>
      </c>
      <c r="E254" s="54">
        <f t="shared" si="1084"/>
        <v>0</v>
      </c>
      <c r="F254" s="54">
        <f t="shared" si="1084"/>
        <v>0</v>
      </c>
      <c r="G254" s="54">
        <f t="shared" si="1084"/>
        <v>0</v>
      </c>
      <c r="H254" s="54">
        <f t="shared" si="1084"/>
        <v>0</v>
      </c>
      <c r="I254" s="54">
        <f t="shared" si="1084"/>
        <v>0</v>
      </c>
      <c r="J254" s="54">
        <f t="shared" si="1084"/>
        <v>-2.0999999999999019E-2</v>
      </c>
      <c r="K254" s="54">
        <f t="shared" si="1084"/>
        <v>7.3299891773144665</v>
      </c>
      <c r="L254" s="54">
        <f t="shared" si="1084"/>
        <v>19.043565986407884</v>
      </c>
      <c r="M254" s="54">
        <f t="shared" si="1084"/>
        <v>33.269412052986702</v>
      </c>
      <c r="O254" s="54">
        <f t="shared" ref="O254:BF254" si="1086">+O238+O246</f>
        <v>0</v>
      </c>
      <c r="P254" s="54">
        <f t="shared" si="1086"/>
        <v>0</v>
      </c>
      <c r="Q254" s="54">
        <f t="shared" si="1086"/>
        <v>0</v>
      </c>
      <c r="R254" s="54">
        <f t="shared" si="1086"/>
        <v>0</v>
      </c>
      <c r="S254" s="54">
        <f t="shared" si="1086"/>
        <v>0</v>
      </c>
      <c r="T254" s="54">
        <f t="shared" si="1086"/>
        <v>0</v>
      </c>
      <c r="U254" s="54">
        <f t="shared" si="1086"/>
        <v>0</v>
      </c>
      <c r="V254" s="54">
        <f t="shared" si="1086"/>
        <v>0</v>
      </c>
      <c r="W254" s="54">
        <f t="shared" si="1086"/>
        <v>0</v>
      </c>
      <c r="X254" s="54">
        <f t="shared" si="1086"/>
        <v>0</v>
      </c>
      <c r="Y254" s="54">
        <f t="shared" si="1086"/>
        <v>0</v>
      </c>
      <c r="Z254" s="54">
        <f t="shared" si="1086"/>
        <v>0</v>
      </c>
      <c r="AA254" s="54">
        <f t="shared" si="1086"/>
        <v>0</v>
      </c>
      <c r="AB254" s="54">
        <f t="shared" si="1086"/>
        <v>0</v>
      </c>
      <c r="AC254" s="54">
        <f t="shared" si="1086"/>
        <v>0</v>
      </c>
      <c r="AD254" s="54">
        <f t="shared" si="1086"/>
        <v>0</v>
      </c>
      <c r="AE254" s="54">
        <f t="shared" si="1086"/>
        <v>0</v>
      </c>
      <c r="AF254" s="54">
        <f t="shared" si="1086"/>
        <v>0</v>
      </c>
      <c r="AG254" s="54">
        <f t="shared" si="1086"/>
        <v>0</v>
      </c>
      <c r="AH254" s="54">
        <f t="shared" si="1086"/>
        <v>0</v>
      </c>
      <c r="AI254" s="54">
        <f t="shared" si="1086"/>
        <v>0</v>
      </c>
      <c r="AJ254" s="54">
        <f t="shared" si="1086"/>
        <v>0</v>
      </c>
      <c r="AK254" s="54">
        <f t="shared" si="1086"/>
        <v>0</v>
      </c>
      <c r="AL254" s="54">
        <f t="shared" si="1086"/>
        <v>0</v>
      </c>
      <c r="AM254" s="54">
        <f t="shared" si="1086"/>
        <v>0</v>
      </c>
      <c r="AN254" s="54">
        <f t="shared" si="1086"/>
        <v>0</v>
      </c>
      <c r="AO254" s="54">
        <f t="shared" si="1086"/>
        <v>0</v>
      </c>
      <c r="AP254" s="54">
        <f t="shared" si="1086"/>
        <v>0</v>
      </c>
      <c r="AQ254" s="54">
        <f t="shared" si="1086"/>
        <v>0</v>
      </c>
      <c r="AR254" s="54">
        <f t="shared" si="1086"/>
        <v>0</v>
      </c>
      <c r="AS254" s="54">
        <f t="shared" si="1086"/>
        <v>0</v>
      </c>
      <c r="AT254" s="54">
        <f t="shared" si="1086"/>
        <v>-2.0999999999999019E-2</v>
      </c>
      <c r="AU254" s="54">
        <f t="shared" si="1086"/>
        <v>0.32103422283350014</v>
      </c>
      <c r="AV254" s="54">
        <f t="shared" si="1086"/>
        <v>1.3667200171385065</v>
      </c>
      <c r="AW254" s="54">
        <f t="shared" si="1086"/>
        <v>2.4900638568383187</v>
      </c>
      <c r="AX254" s="54">
        <f t="shared" si="1086"/>
        <v>3.152171080504143</v>
      </c>
      <c r="AY254" s="54">
        <f t="shared" si="1086"/>
        <v>3.7342389358875447</v>
      </c>
      <c r="AZ254" s="54">
        <f t="shared" si="1086"/>
        <v>4.4128287357132852</v>
      </c>
      <c r="BA254" s="54">
        <f t="shared" si="1086"/>
        <v>5.1344006165616562</v>
      </c>
      <c r="BB254" s="54">
        <f t="shared" si="1086"/>
        <v>5.7620976982454</v>
      </c>
      <c r="BC254" s="54">
        <f t="shared" si="1086"/>
        <v>6.6603773659863901</v>
      </c>
      <c r="BD254" s="54">
        <f t="shared" si="1086"/>
        <v>7.7362613963773708</v>
      </c>
      <c r="BE254" s="54">
        <f t="shared" si="1086"/>
        <v>8.8548305214791156</v>
      </c>
      <c r="BF254" s="54">
        <f t="shared" si="1086"/>
        <v>10.01794276914382</v>
      </c>
      <c r="BI254">
        <f t="shared" si="638"/>
        <v>247</v>
      </c>
    </row>
    <row r="255" spans="2:61" hidden="1" outlineLevel="2">
      <c r="B255" s="16" t="s">
        <v>279</v>
      </c>
      <c r="C255" s="54">
        <f t="shared" si="1084"/>
        <v>12.455000000000027</v>
      </c>
      <c r="D255" s="54">
        <f t="shared" si="1084"/>
        <v>23.979000000000028</v>
      </c>
      <c r="E255" s="54">
        <f t="shared" si="1084"/>
        <v>39.709999999999965</v>
      </c>
      <c r="F255" s="54">
        <f t="shared" si="1084"/>
        <v>21.263999999999996</v>
      </c>
      <c r="G255" s="54">
        <f t="shared" si="1084"/>
        <v>13.168000000000042</v>
      </c>
      <c r="H255" s="54">
        <f t="shared" si="1084"/>
        <v>-2.1020000000000714</v>
      </c>
      <c r="I255" s="54">
        <f t="shared" si="1084"/>
        <v>6.6999999999991289E-2</v>
      </c>
      <c r="J255" s="54">
        <f t="shared" si="1084"/>
        <v>-22.079000000000001</v>
      </c>
      <c r="K255" s="54">
        <f t="shared" si="1084"/>
        <v>-32.126977759592862</v>
      </c>
      <c r="L255" s="54">
        <f t="shared" si="1084"/>
        <v>-30.873455792076083</v>
      </c>
      <c r="M255" s="54">
        <f t="shared" si="1084"/>
        <v>-27.887968930793729</v>
      </c>
      <c r="O255" s="54">
        <f t="shared" ref="O255:BF255" si="1087">+O239+O247</f>
        <v>2.8170000000000019</v>
      </c>
      <c r="P255" s="54">
        <f t="shared" si="1087"/>
        <v>2.9270000000000156</v>
      </c>
      <c r="Q255" s="54">
        <f t="shared" si="1087"/>
        <v>2.465000000000015</v>
      </c>
      <c r="R255" s="54">
        <f t="shared" si="1087"/>
        <v>4.2459999999999942</v>
      </c>
      <c r="S255" s="54">
        <f t="shared" si="1087"/>
        <v>4.8180000000000121</v>
      </c>
      <c r="T255" s="54">
        <f t="shared" si="1087"/>
        <v>7.1290000000000067</v>
      </c>
      <c r="U255" s="54">
        <f t="shared" si="1087"/>
        <v>4.754000000000012</v>
      </c>
      <c r="V255" s="54">
        <f t="shared" si="1087"/>
        <v>7.2779999999999951</v>
      </c>
      <c r="W255" s="54">
        <f t="shared" si="1087"/>
        <v>7.5179999999999918</v>
      </c>
      <c r="X255" s="54">
        <f t="shared" si="1087"/>
        <v>7.2239999999999895</v>
      </c>
      <c r="Y255" s="54">
        <f t="shared" si="1087"/>
        <v>17.935000000000009</v>
      </c>
      <c r="Z255" s="54">
        <f t="shared" si="1087"/>
        <v>7.0329999999999746</v>
      </c>
      <c r="AA255" s="54">
        <f t="shared" si="1087"/>
        <v>6.2410000000000139</v>
      </c>
      <c r="AB255" s="54">
        <f t="shared" si="1087"/>
        <v>6.0439999999999969</v>
      </c>
      <c r="AC255" s="54">
        <f t="shared" si="1087"/>
        <v>4.7659999999999965</v>
      </c>
      <c r="AD255" s="54">
        <f t="shared" si="1087"/>
        <v>4.2129999999999903</v>
      </c>
      <c r="AE255" s="54">
        <f t="shared" si="1087"/>
        <v>3.7360000000000007</v>
      </c>
      <c r="AF255" s="54">
        <f t="shared" si="1087"/>
        <v>4.4300000000000352</v>
      </c>
      <c r="AG255" s="54">
        <f t="shared" si="1087"/>
        <v>3.0020000000000255</v>
      </c>
      <c r="AH255" s="54">
        <f t="shared" si="1087"/>
        <v>1.9999999999999796</v>
      </c>
      <c r="AI255" s="54">
        <f t="shared" si="1087"/>
        <v>-1.1980000000000341</v>
      </c>
      <c r="AJ255" s="54">
        <f t="shared" si="1087"/>
        <v>0.46899999999998787</v>
      </c>
      <c r="AK255" s="54">
        <f t="shared" si="1087"/>
        <v>7.3999999999974087E-2</v>
      </c>
      <c r="AL255" s="54">
        <f t="shared" si="1087"/>
        <v>-1.4470000000000001</v>
      </c>
      <c r="AM255" s="54">
        <f t="shared" si="1087"/>
        <v>-0.65400000000000569</v>
      </c>
      <c r="AN255" s="54">
        <f t="shared" si="1087"/>
        <v>1.2669999999999937</v>
      </c>
      <c r="AO255" s="54">
        <f t="shared" si="1087"/>
        <v>0.58200000000000518</v>
      </c>
      <c r="AP255" s="54">
        <f t="shared" si="1087"/>
        <v>-1.1280000000000019</v>
      </c>
      <c r="AQ255" s="54">
        <f t="shared" si="1087"/>
        <v>-1.9510000000000285</v>
      </c>
      <c r="AR255" s="54">
        <f t="shared" si="1087"/>
        <v>-4.5629999999999775</v>
      </c>
      <c r="AS255" s="54">
        <f t="shared" si="1087"/>
        <v>-7.7819999999999876</v>
      </c>
      <c r="AT255" s="54">
        <f t="shared" si="1087"/>
        <v>-7.783000000000003</v>
      </c>
      <c r="AU255" s="54">
        <f t="shared" si="1087"/>
        <v>-8.3523867634038158</v>
      </c>
      <c r="AV255" s="54">
        <f t="shared" si="1087"/>
        <v>-8.0371707678590454</v>
      </c>
      <c r="AW255" s="54">
        <f t="shared" si="1087"/>
        <v>-7.9267167764244171</v>
      </c>
      <c r="AX255" s="54">
        <f t="shared" si="1087"/>
        <v>-7.8107034519055931</v>
      </c>
      <c r="AY255" s="54">
        <f t="shared" si="1087"/>
        <v>-7.8055747399403534</v>
      </c>
      <c r="AZ255" s="54">
        <f t="shared" si="1087"/>
        <v>-7.7319031890382561</v>
      </c>
      <c r="BA255" s="54">
        <f t="shared" si="1087"/>
        <v>-7.6460732524041015</v>
      </c>
      <c r="BB255" s="54">
        <f t="shared" si="1087"/>
        <v>-7.6899046106933762</v>
      </c>
      <c r="BC255" s="54">
        <f t="shared" si="1087"/>
        <v>-7.4917013713717271</v>
      </c>
      <c r="BD255" s="54">
        <f t="shared" si="1087"/>
        <v>-7.1484952077677963</v>
      </c>
      <c r="BE255" s="54">
        <f t="shared" si="1087"/>
        <v>-6.8003754942700096</v>
      </c>
      <c r="BF255" s="54">
        <f t="shared" si="1087"/>
        <v>-6.4473968573841951</v>
      </c>
      <c r="BI255">
        <f t="shared" si="638"/>
        <v>248</v>
      </c>
    </row>
    <row r="256" spans="2:61" hidden="1" outlineLevel="2">
      <c r="B256" s="16" t="s">
        <v>254</v>
      </c>
      <c r="C256" s="54">
        <f t="shared" si="1084"/>
        <v>-36.533999999999999</v>
      </c>
      <c r="D256" s="54">
        <f t="shared" si="1084"/>
        <v>-42.9</v>
      </c>
      <c r="E256" s="54">
        <f t="shared" si="1084"/>
        <v>-44.746400000000001</v>
      </c>
      <c r="F256" s="54">
        <f t="shared" si="1084"/>
        <v>-60.686999999999948</v>
      </c>
      <c r="G256" s="54">
        <f t="shared" si="1084"/>
        <v>-59.936000000000007</v>
      </c>
      <c r="H256" s="54">
        <f t="shared" si="1084"/>
        <v>-58.707000000000001</v>
      </c>
      <c r="I256" s="54">
        <f t="shared" si="1084"/>
        <v>-55.929000000000002</v>
      </c>
      <c r="J256" s="54">
        <f t="shared" si="1084"/>
        <v>-77.074999999999989</v>
      </c>
      <c r="K256" s="54">
        <f t="shared" si="1084"/>
        <v>-93.946764181854519</v>
      </c>
      <c r="L256" s="54">
        <f t="shared" si="1084"/>
        <v>-101.33877536131786</v>
      </c>
      <c r="M256" s="54">
        <f t="shared" si="1084"/>
        <v>-109.01542645306517</v>
      </c>
      <c r="O256" s="54">
        <f t="shared" ref="O256:BF256" si="1088">+O240+O248</f>
        <v>-7.915</v>
      </c>
      <c r="P256" s="54">
        <f t="shared" si="1088"/>
        <v>-8.9139999999999997</v>
      </c>
      <c r="Q256" s="54">
        <f t="shared" si="1088"/>
        <v>-9.770999999999999</v>
      </c>
      <c r="R256" s="54">
        <f t="shared" si="1088"/>
        <v>-9.9340000000000011</v>
      </c>
      <c r="S256" s="54">
        <f t="shared" si="1088"/>
        <v>-10.772</v>
      </c>
      <c r="T256" s="54">
        <f t="shared" si="1088"/>
        <v>-11.760999999999999</v>
      </c>
      <c r="U256" s="54">
        <f t="shared" si="1088"/>
        <v>-10.031000000000001</v>
      </c>
      <c r="V256" s="54">
        <f t="shared" si="1088"/>
        <v>-10.336</v>
      </c>
      <c r="W256" s="54">
        <f t="shared" si="1088"/>
        <v>-9.2119999999999997</v>
      </c>
      <c r="X256" s="54">
        <f t="shared" si="1088"/>
        <v>-12.044</v>
      </c>
      <c r="Y256" s="54">
        <f t="shared" si="1088"/>
        <v>-11.78</v>
      </c>
      <c r="Z256" s="54">
        <f t="shared" si="1088"/>
        <v>-11.710400000000002</v>
      </c>
      <c r="AA256" s="54">
        <f t="shared" si="1088"/>
        <v>-12.247999999999999</v>
      </c>
      <c r="AB256" s="54">
        <f t="shared" si="1088"/>
        <v>-13.793999999999983</v>
      </c>
      <c r="AC256" s="54">
        <f t="shared" si="1088"/>
        <v>-19.487000000000002</v>
      </c>
      <c r="AD256" s="54">
        <f t="shared" si="1088"/>
        <v>-15.157999999999966</v>
      </c>
      <c r="AE256" s="54">
        <f t="shared" si="1088"/>
        <v>-15.324000000000002</v>
      </c>
      <c r="AF256" s="54">
        <f t="shared" si="1088"/>
        <v>-14.822000000000003</v>
      </c>
      <c r="AG256" s="54">
        <f t="shared" si="1088"/>
        <v>-13.936</v>
      </c>
      <c r="AH256" s="54">
        <f t="shared" si="1088"/>
        <v>-15.854000000000001</v>
      </c>
      <c r="AI256" s="54">
        <f t="shared" si="1088"/>
        <v>-15.413</v>
      </c>
      <c r="AJ256" s="54">
        <f t="shared" si="1088"/>
        <v>-14.813000000000001</v>
      </c>
      <c r="AK256" s="54">
        <f t="shared" si="1088"/>
        <v>-14.512</v>
      </c>
      <c r="AL256" s="54">
        <f t="shared" si="1088"/>
        <v>-13.968999999999999</v>
      </c>
      <c r="AM256" s="54">
        <f t="shared" si="1088"/>
        <v>-14.693999999999999</v>
      </c>
      <c r="AN256" s="54">
        <f t="shared" si="1088"/>
        <v>-13.947000000000001</v>
      </c>
      <c r="AO256" s="54">
        <f t="shared" si="1088"/>
        <v>-13.754</v>
      </c>
      <c r="AP256" s="54">
        <f t="shared" si="1088"/>
        <v>-13.534000000000001</v>
      </c>
      <c r="AQ256" s="54">
        <f t="shared" si="1088"/>
        <v>-13.839</v>
      </c>
      <c r="AR256" s="54">
        <f t="shared" si="1088"/>
        <v>-17.559999999999999</v>
      </c>
      <c r="AS256" s="54">
        <f t="shared" si="1088"/>
        <v>-21.020000000000003</v>
      </c>
      <c r="AT256" s="54">
        <f t="shared" si="1088"/>
        <v>-24.656000000000002</v>
      </c>
      <c r="AU256" s="54">
        <f t="shared" si="1088"/>
        <v>-22.846482980762307</v>
      </c>
      <c r="AV256" s="54">
        <f t="shared" si="1088"/>
        <v>-23.267250141078271</v>
      </c>
      <c r="AW256" s="54">
        <f t="shared" si="1088"/>
        <v>-23.697025671906637</v>
      </c>
      <c r="AX256" s="54">
        <f t="shared" si="1088"/>
        <v>-24.136005388107307</v>
      </c>
      <c r="AY256" s="54">
        <f t="shared" si="1088"/>
        <v>-24.611695160725183</v>
      </c>
      <c r="AZ256" s="54">
        <f t="shared" si="1088"/>
        <v>-25.082431148094546</v>
      </c>
      <c r="BA256" s="54">
        <f t="shared" si="1088"/>
        <v>-25.561694991829395</v>
      </c>
      <c r="BB256" s="54">
        <f t="shared" si="1088"/>
        <v>-26.082954060668737</v>
      </c>
      <c r="BC256" s="54">
        <f t="shared" si="1088"/>
        <v>-26.559618934954951</v>
      </c>
      <c r="BD256" s="54">
        <f t="shared" si="1088"/>
        <v>-27.01470571537115</v>
      </c>
      <c r="BE256" s="54">
        <f t="shared" si="1088"/>
        <v>-27.481308999850352</v>
      </c>
      <c r="BF256" s="54">
        <f t="shared" si="1088"/>
        <v>-27.959792802888717</v>
      </c>
      <c r="BI256">
        <f t="shared" si="638"/>
        <v>249</v>
      </c>
    </row>
    <row r="257" spans="1:61" hidden="1" outlineLevel="2">
      <c r="B257" s="50" t="s">
        <v>321</v>
      </c>
      <c r="C257" s="21">
        <f t="shared" si="1084"/>
        <v>180.79800000000006</v>
      </c>
      <c r="D257" s="21">
        <f t="shared" si="1084"/>
        <v>536.202</v>
      </c>
      <c r="E257" s="21">
        <f t="shared" si="1084"/>
        <v>477.15500000000009</v>
      </c>
      <c r="F257" s="21">
        <f t="shared" si="1084"/>
        <v>291.37800000000004</v>
      </c>
      <c r="G257" s="21">
        <f t="shared" si="1084"/>
        <v>362.04300000000012</v>
      </c>
      <c r="H257" s="21">
        <f t="shared" si="1084"/>
        <v>-186.35399999999993</v>
      </c>
      <c r="I257" s="21">
        <f t="shared" si="1084"/>
        <v>-492.90100000000001</v>
      </c>
      <c r="J257" s="21">
        <f t="shared" si="1084"/>
        <v>-221.06500000000017</v>
      </c>
      <c r="K257" s="21">
        <f t="shared" si="1084"/>
        <v>46.204160083136003</v>
      </c>
      <c r="L257" s="21">
        <f t="shared" si="1084"/>
        <v>326.15671112444556</v>
      </c>
      <c r="M257" s="21">
        <f t="shared" si="1084"/>
        <v>448.53893185429342</v>
      </c>
      <c r="O257" s="21">
        <f t="shared" ref="O257:BF257" si="1089">+O241+O249</f>
        <v>8.0800000000000267</v>
      </c>
      <c r="P257" s="21">
        <f t="shared" si="1089"/>
        <v>22.818000000000012</v>
      </c>
      <c r="Q257" s="21">
        <f t="shared" si="1089"/>
        <v>51.759000000000029</v>
      </c>
      <c r="R257" s="21">
        <f t="shared" si="1089"/>
        <v>98.141000000000034</v>
      </c>
      <c r="S257" s="21">
        <f t="shared" si="1089"/>
        <v>115.94299999999996</v>
      </c>
      <c r="T257" s="21">
        <f t="shared" si="1089"/>
        <v>130.84299999999999</v>
      </c>
      <c r="U257" s="21">
        <f t="shared" si="1089"/>
        <v>135.15700000000001</v>
      </c>
      <c r="V257" s="21">
        <f t="shared" si="1089"/>
        <v>154.2589999999999</v>
      </c>
      <c r="W257" s="21">
        <f t="shared" si="1089"/>
        <v>156.864</v>
      </c>
      <c r="X257" s="21">
        <f t="shared" si="1089"/>
        <v>122.56200000000004</v>
      </c>
      <c r="Y257" s="21">
        <f t="shared" si="1089"/>
        <v>99.131000000000029</v>
      </c>
      <c r="Z257" s="21">
        <f t="shared" si="1089"/>
        <v>98.597999999999985</v>
      </c>
      <c r="AA257" s="21">
        <f t="shared" si="1089"/>
        <v>95.05699999999996</v>
      </c>
      <c r="AB257" s="21">
        <f t="shared" si="1089"/>
        <v>69.573000000000036</v>
      </c>
      <c r="AC257" s="21">
        <f t="shared" si="1089"/>
        <v>60.372999999999962</v>
      </c>
      <c r="AD257" s="21">
        <f t="shared" si="1089"/>
        <v>66.374999999999943</v>
      </c>
      <c r="AE257" s="21">
        <f t="shared" si="1089"/>
        <v>57.032000000000011</v>
      </c>
      <c r="AF257" s="21">
        <f t="shared" si="1089"/>
        <v>84.134999999999991</v>
      </c>
      <c r="AG257" s="21">
        <f t="shared" si="1089"/>
        <v>104.30000000000001</v>
      </c>
      <c r="AH257" s="21">
        <f t="shared" si="1089"/>
        <v>116.57599999999996</v>
      </c>
      <c r="AI257" s="21">
        <f t="shared" si="1089"/>
        <v>21.017000000000053</v>
      </c>
      <c r="AJ257" s="21">
        <f t="shared" si="1089"/>
        <v>-39.262000000000029</v>
      </c>
      <c r="AK257" s="21">
        <f t="shared" si="1089"/>
        <v>-80.207999999999998</v>
      </c>
      <c r="AL257" s="21">
        <f t="shared" si="1089"/>
        <v>-87.900999999999982</v>
      </c>
      <c r="AM257" s="21">
        <f t="shared" si="1089"/>
        <v>-111.17900000000003</v>
      </c>
      <c r="AN257" s="21">
        <f t="shared" si="1089"/>
        <v>-134.57299999999998</v>
      </c>
      <c r="AO257" s="21">
        <f t="shared" si="1089"/>
        <v>-128.666</v>
      </c>
      <c r="AP257" s="21">
        <f t="shared" si="1089"/>
        <v>-118.48299999999998</v>
      </c>
      <c r="AQ257" s="21">
        <f t="shared" si="1089"/>
        <v>-100.387</v>
      </c>
      <c r="AR257" s="21">
        <f t="shared" si="1089"/>
        <v>-61.870000000000005</v>
      </c>
      <c r="AS257" s="21">
        <f t="shared" si="1089"/>
        <v>-32.358000000000004</v>
      </c>
      <c r="AT257" s="21">
        <f t="shared" si="1089"/>
        <v>-26.450000000000045</v>
      </c>
      <c r="AU257" s="21">
        <f t="shared" si="1089"/>
        <v>-27.825132448979559</v>
      </c>
      <c r="AV257" s="21">
        <f t="shared" si="1089"/>
        <v>-2.2835539692352143</v>
      </c>
      <c r="AW257" s="21">
        <f t="shared" si="1089"/>
        <v>27.383749731022277</v>
      </c>
      <c r="AX257" s="21">
        <f t="shared" si="1089"/>
        <v>48.929096770328471</v>
      </c>
      <c r="AY257" s="21">
        <f t="shared" si="1089"/>
        <v>58.622652262770288</v>
      </c>
      <c r="AZ257" s="21">
        <f t="shared" si="1089"/>
        <v>76.215616204067175</v>
      </c>
      <c r="BA257" s="21">
        <f t="shared" si="1089"/>
        <v>93.288078163208411</v>
      </c>
      <c r="BB257" s="21">
        <f t="shared" si="1089"/>
        <v>98.030364494399549</v>
      </c>
      <c r="BC257" s="21">
        <f t="shared" si="1089"/>
        <v>103.42220856014944</v>
      </c>
      <c r="BD257" s="21">
        <f t="shared" si="1089"/>
        <v>108.58029576112173</v>
      </c>
      <c r="BE257" s="21">
        <f t="shared" si="1089"/>
        <v>115.80703981623955</v>
      </c>
      <c r="BF257" s="21">
        <f t="shared" si="1089"/>
        <v>120.72938771678247</v>
      </c>
      <c r="BI257">
        <f t="shared" si="638"/>
        <v>250</v>
      </c>
    </row>
    <row r="258" spans="1:61" hidden="1" outlineLevel="2">
      <c r="B258" s="50"/>
      <c r="C258" s="22">
        <f>ROUND(C257-C35+C34,3)</f>
        <v>0</v>
      </c>
      <c r="D258" s="22">
        <f t="shared" ref="D258:O258" si="1090">ROUND(D257-D35+D34,3)</f>
        <v>0</v>
      </c>
      <c r="E258" s="22">
        <f t="shared" si="1090"/>
        <v>0</v>
      </c>
      <c r="F258" s="22">
        <f t="shared" si="1090"/>
        <v>0</v>
      </c>
      <c r="G258" s="22">
        <f t="shared" si="1090"/>
        <v>0</v>
      </c>
      <c r="H258" s="22">
        <f t="shared" si="1090"/>
        <v>0</v>
      </c>
      <c r="I258" s="22">
        <f t="shared" si="1090"/>
        <v>0</v>
      </c>
      <c r="J258" s="22">
        <f t="shared" si="1090"/>
        <v>0</v>
      </c>
      <c r="K258" s="22">
        <f t="shared" si="1090"/>
        <v>0</v>
      </c>
      <c r="L258" s="22">
        <f t="shared" si="1090"/>
        <v>0</v>
      </c>
      <c r="M258" s="22">
        <f t="shared" si="1090"/>
        <v>0</v>
      </c>
      <c r="O258" s="22">
        <f t="shared" si="1090"/>
        <v>0</v>
      </c>
      <c r="P258" s="22">
        <f t="shared" ref="P258" si="1091">ROUND(P257-P35+P34,3)</f>
        <v>0</v>
      </c>
      <c r="Q258" s="22">
        <f t="shared" ref="Q258" si="1092">ROUND(Q257-Q35+Q34,3)</f>
        <v>0</v>
      </c>
      <c r="R258" s="22">
        <f t="shared" ref="R258" si="1093">ROUND(R257-R35+R34,3)</f>
        <v>0</v>
      </c>
      <c r="S258" s="22">
        <f t="shared" ref="S258" si="1094">ROUND(S257-S35+S34,3)</f>
        <v>0</v>
      </c>
      <c r="T258" s="22">
        <f t="shared" ref="T258" si="1095">ROUND(T257-T35+T34,3)</f>
        <v>0</v>
      </c>
      <c r="U258" s="22">
        <f t="shared" ref="U258" si="1096">ROUND(U257-U35+U34,3)</f>
        <v>0</v>
      </c>
      <c r="V258" s="22">
        <f t="shared" ref="V258" si="1097">ROUND(V257-V35+V34,3)</f>
        <v>0</v>
      </c>
      <c r="W258" s="22">
        <f t="shared" ref="W258" si="1098">ROUND(W257-W35+W34,3)</f>
        <v>0</v>
      </c>
      <c r="X258" s="22">
        <f t="shared" ref="X258" si="1099">ROUND(X257-X35+X34,3)</f>
        <v>0</v>
      </c>
      <c r="Y258" s="22">
        <f t="shared" ref="Y258" si="1100">ROUND(Y257-Y35+Y34,3)</f>
        <v>0</v>
      </c>
      <c r="Z258" s="22">
        <f t="shared" ref="Z258" si="1101">ROUND(Z257-Z35+Z34,3)</f>
        <v>0</v>
      </c>
      <c r="AA258" s="22">
        <f t="shared" ref="AA258" si="1102">ROUND(AA257-AA35+AA34,3)</f>
        <v>0</v>
      </c>
      <c r="AB258" s="22">
        <f t="shared" ref="AB258" si="1103">ROUND(AB257-AB35+AB34,3)</f>
        <v>0</v>
      </c>
      <c r="AC258" s="22">
        <f t="shared" ref="AC258" si="1104">ROUND(AC257-AC35+AC34,3)</f>
        <v>0</v>
      </c>
      <c r="AD258" s="22">
        <f t="shared" ref="AD258" si="1105">ROUND(AD257-AD35+AD34,3)</f>
        <v>0</v>
      </c>
      <c r="AE258" s="22">
        <f t="shared" ref="AE258" si="1106">ROUND(AE257-AE35+AE34,3)</f>
        <v>0</v>
      </c>
      <c r="AF258" s="22">
        <f t="shared" ref="AF258" si="1107">ROUND(AF257-AF35+AF34,3)</f>
        <v>0</v>
      </c>
      <c r="AG258" s="22">
        <f t="shared" ref="AG258" si="1108">ROUND(AG257-AG35+AG34,3)</f>
        <v>0</v>
      </c>
      <c r="AH258" s="22">
        <f t="shared" ref="AH258" si="1109">ROUND(AH257-AH35+AH34,3)</f>
        <v>0</v>
      </c>
      <c r="AI258" s="22">
        <f t="shared" ref="AI258" si="1110">ROUND(AI257-AI35+AI34,3)</f>
        <v>0</v>
      </c>
      <c r="AJ258" s="22">
        <f t="shared" ref="AJ258" si="1111">ROUND(AJ257-AJ35+AJ34,3)</f>
        <v>0</v>
      </c>
      <c r="AK258" s="22">
        <f t="shared" ref="AK258" si="1112">ROUND(AK257-AK35+AK34,3)</f>
        <v>0</v>
      </c>
      <c r="AL258" s="22">
        <f t="shared" ref="AL258" si="1113">ROUND(AL257-AL35+AL34,3)</f>
        <v>0</v>
      </c>
      <c r="AM258" s="22">
        <f t="shared" ref="AM258" si="1114">ROUND(AM257-AM35+AM34,3)</f>
        <v>0</v>
      </c>
      <c r="AN258" s="22">
        <f t="shared" ref="AN258" si="1115">ROUND(AN257-AN35+AN34,3)</f>
        <v>0</v>
      </c>
      <c r="AO258" s="22">
        <f t="shared" ref="AO258" si="1116">ROUND(AO257-AO35+AO34,3)</f>
        <v>0</v>
      </c>
      <c r="AP258" s="22">
        <f t="shared" ref="AP258" si="1117">ROUND(AP257-AP35+AP34,3)</f>
        <v>0</v>
      </c>
      <c r="AQ258" s="22">
        <f t="shared" ref="AQ258" si="1118">ROUND(AQ257-AQ35+AQ34,3)</f>
        <v>0</v>
      </c>
      <c r="AR258" s="22">
        <f t="shared" ref="AR258" si="1119">ROUND(AR257-AR35+AR34,3)</f>
        <v>0</v>
      </c>
      <c r="AS258" s="22">
        <f t="shared" ref="AS258" si="1120">ROUND(AS257-AS35+AS34,3)</f>
        <v>0</v>
      </c>
      <c r="AT258" s="22">
        <f t="shared" ref="AT258" si="1121">ROUND(AT257-AT35+AT34,3)</f>
        <v>0</v>
      </c>
      <c r="AU258" s="22">
        <f t="shared" ref="AU258" si="1122">ROUND(AU257-AU35+AU34,3)</f>
        <v>0</v>
      </c>
      <c r="AV258" s="22">
        <f t="shared" ref="AV258" si="1123">ROUND(AV257-AV35+AV34,3)</f>
        <v>0</v>
      </c>
      <c r="AW258" s="22">
        <f t="shared" ref="AW258" si="1124">ROUND(AW257-AW35+AW34,3)</f>
        <v>0</v>
      </c>
      <c r="AX258" s="22">
        <f t="shared" ref="AX258" si="1125">ROUND(AX257-AX35+AX34,3)</f>
        <v>0</v>
      </c>
      <c r="AY258" s="22">
        <f t="shared" ref="AY258" si="1126">ROUND(AY257-AY35+AY34,3)</f>
        <v>0</v>
      </c>
      <c r="AZ258" s="22">
        <f t="shared" ref="AZ258" si="1127">ROUND(AZ257-AZ35+AZ34,3)</f>
        <v>0</v>
      </c>
      <c r="BA258" s="22">
        <f t="shared" ref="BA258" si="1128">ROUND(BA257-BA35+BA34,3)</f>
        <v>0</v>
      </c>
      <c r="BB258" s="22">
        <f t="shared" ref="BB258" si="1129">ROUND(BB257-BB35+BB34,3)</f>
        <v>0</v>
      </c>
      <c r="BC258" s="22">
        <f t="shared" ref="BC258" si="1130">ROUND(BC257-BC35+BC34,3)</f>
        <v>0</v>
      </c>
      <c r="BD258" s="22">
        <f t="shared" ref="BD258" si="1131">ROUND(BD257-BD35+BD34,3)</f>
        <v>0</v>
      </c>
      <c r="BE258" s="22">
        <f t="shared" ref="BE258" si="1132">ROUND(BE257-BE35+BE34,3)</f>
        <v>0</v>
      </c>
      <c r="BF258" s="22">
        <f t="shared" ref="BF258" si="1133">ROUND(BF257-BF35+BF34,3)</f>
        <v>0</v>
      </c>
      <c r="BI258">
        <f t="shared" si="638"/>
        <v>251</v>
      </c>
    </row>
    <row r="259" spans="1:61" hidden="1" outlineLevel="2">
      <c r="B259" s="51" t="s">
        <v>263</v>
      </c>
      <c r="BI259">
        <f t="shared" si="638"/>
        <v>252</v>
      </c>
    </row>
    <row r="260" spans="1:61" hidden="1" outlineLevel="2">
      <c r="B260" s="16" t="s">
        <v>281</v>
      </c>
      <c r="C260" s="54">
        <f t="shared" ref="C260:M264" si="1134">SUMIFS($O260:$BG260,$O$5:$BG$5,C$5)</f>
        <v>-655.55000000000007</v>
      </c>
      <c r="D260" s="54">
        <f t="shared" si="1134"/>
        <v>-784.68600000000004</v>
      </c>
      <c r="E260" s="54">
        <f t="shared" si="1134"/>
        <v>-744.94900000000007</v>
      </c>
      <c r="F260" s="54">
        <f t="shared" si="1134"/>
        <v>-504.50800000000004</v>
      </c>
      <c r="G260" s="54">
        <f t="shared" si="1134"/>
        <v>-771.59300000000007</v>
      </c>
      <c r="H260" s="54">
        <f t="shared" si="1134"/>
        <v>-526.96199999999999</v>
      </c>
      <c r="I260" s="54">
        <f t="shared" si="1134"/>
        <v>-72.50800000000001</v>
      </c>
      <c r="J260" s="54">
        <f t="shared" si="1134"/>
        <v>-354.42499999999995</v>
      </c>
      <c r="K260" s="54">
        <f t="shared" si="1134"/>
        <v>-332.63</v>
      </c>
      <c r="L260" s="54">
        <f t="shared" si="1134"/>
        <v>-352.988</v>
      </c>
      <c r="M260" s="54">
        <f t="shared" si="1134"/>
        <v>-369.09999999999997</v>
      </c>
      <c r="O260" s="61">
        <v>-91.974000000000004</v>
      </c>
      <c r="P260" s="61">
        <v>-171.501</v>
      </c>
      <c r="Q260" s="61">
        <v>-192.233</v>
      </c>
      <c r="R260" s="61">
        <v>-199.84200000000001</v>
      </c>
      <c r="S260" s="61">
        <v>-135.249</v>
      </c>
      <c r="T260" s="61">
        <v>-196.726</v>
      </c>
      <c r="U260" s="61">
        <v>-224.28800000000001</v>
      </c>
      <c r="V260" s="61">
        <v>-228.42300000000003</v>
      </c>
      <c r="W260" s="61">
        <v>-200.607</v>
      </c>
      <c r="X260" s="61">
        <v>-181.685</v>
      </c>
      <c r="Y260" s="61">
        <v>-183.06</v>
      </c>
      <c r="Z260" s="61">
        <v>-179.59700000000001</v>
      </c>
      <c r="AA260" s="61">
        <v>-134.38300000000001</v>
      </c>
      <c r="AB260" s="61">
        <v>-117.794</v>
      </c>
      <c r="AC260" s="61">
        <v>-111.65900000000001</v>
      </c>
      <c r="AD260" s="61">
        <v>-140.672</v>
      </c>
      <c r="AE260" s="61">
        <v>-124.923</v>
      </c>
      <c r="AF260" s="61">
        <v>-211.917</v>
      </c>
      <c r="AG260" s="61">
        <v>-209.76900000000001</v>
      </c>
      <c r="AH260" s="61">
        <v>-224.98400000000001</v>
      </c>
      <c r="AI260" s="61">
        <v>-157.422</v>
      </c>
      <c r="AJ260" s="61">
        <v>-153.84800000000001</v>
      </c>
      <c r="AK260" s="61">
        <v>-111.514</v>
      </c>
      <c r="AL260" s="61">
        <v>-104.178</v>
      </c>
      <c r="AM260" s="61">
        <v>-11.88</v>
      </c>
      <c r="AN260" s="61">
        <v>-16.57</v>
      </c>
      <c r="AO260" s="61">
        <v>-17.550999999999998</v>
      </c>
      <c r="AP260" s="61">
        <v>-26.507000000000001</v>
      </c>
      <c r="AQ260" s="61">
        <v>-44.220999999999997</v>
      </c>
      <c r="AR260" s="61">
        <v>-71.325999999999993</v>
      </c>
      <c r="AS260" s="61">
        <v>-106.879</v>
      </c>
      <c r="AT260" s="61">
        <v>-131.999</v>
      </c>
      <c r="AU260" s="94">
        <f>-2000*AU86/1000000-25*MAX(AU81-AT81,0)-51</f>
        <v>-81.42</v>
      </c>
      <c r="AV260" s="94">
        <f t="shared" ref="AV260:AX260" si="1135">-2000*AV86/1000000-25*MAX(AV81-AU81,0)-50</f>
        <v>-82.578000000000003</v>
      </c>
      <c r="AW260" s="94">
        <f t="shared" si="1135"/>
        <v>-83.671999999999997</v>
      </c>
      <c r="AX260" s="134">
        <f t="shared" si="1135"/>
        <v>-84.960000000000008</v>
      </c>
      <c r="AY260" s="94">
        <f>-2000*AY86/1000000-25*MAX(AY81-AX81,0)</f>
        <v>-85.64</v>
      </c>
      <c r="AZ260" s="94">
        <f t="shared" ref="AZ260:BF260" si="1136">-2000*AZ86/1000000-25*MAX(AZ81-AY81,0)</f>
        <v>-87.49199999999999</v>
      </c>
      <c r="BA260" s="94">
        <f t="shared" si="1136"/>
        <v>-89.192000000000007</v>
      </c>
      <c r="BB260" s="94">
        <f t="shared" si="1136"/>
        <v>-90.664000000000001</v>
      </c>
      <c r="BC260" s="94">
        <f t="shared" si="1136"/>
        <v>-91.496000000000009</v>
      </c>
      <c r="BD260" s="94">
        <f t="shared" si="1136"/>
        <v>-91.86</v>
      </c>
      <c r="BE260" s="94">
        <f t="shared" si="1136"/>
        <v>-92.688000000000002</v>
      </c>
      <c r="BF260" s="94">
        <f t="shared" si="1136"/>
        <v>-93.055999999999997</v>
      </c>
      <c r="BI260">
        <f t="shared" si="638"/>
        <v>253</v>
      </c>
    </row>
    <row r="261" spans="1:61" hidden="1" outlineLevel="2">
      <c r="B261" s="16" t="s">
        <v>48</v>
      </c>
      <c r="C261" s="54">
        <f t="shared" si="1134"/>
        <v>-51.064</v>
      </c>
      <c r="D261" s="54">
        <f t="shared" si="1134"/>
        <v>-198.06100000000004</v>
      </c>
      <c r="E261" s="54">
        <f t="shared" si="1134"/>
        <v>-194.11699999999999</v>
      </c>
      <c r="F261" s="54">
        <f t="shared" si="1134"/>
        <v>-122.78200000000001</v>
      </c>
      <c r="G261" s="54">
        <f t="shared" si="1134"/>
        <v>-277.36</v>
      </c>
      <c r="H261" s="54">
        <f t="shared" si="1134"/>
        <v>-197.577</v>
      </c>
      <c r="I261" s="54">
        <f t="shared" si="1134"/>
        <v>-39.584000000000003</v>
      </c>
      <c r="J261" s="54">
        <f t="shared" si="1134"/>
        <v>-171.43600000000001</v>
      </c>
      <c r="K261" s="54">
        <f t="shared" si="1134"/>
        <v>-259.97500000000002</v>
      </c>
      <c r="L261" s="54">
        <f t="shared" si="1134"/>
        <v>-362.41039999999998</v>
      </c>
      <c r="M261" s="54">
        <f t="shared" si="1134"/>
        <v>-274.02080000000007</v>
      </c>
      <c r="O261" s="61">
        <v>-9.4130000000000003</v>
      </c>
      <c r="P261" s="61">
        <v>-11.398</v>
      </c>
      <c r="Q261" s="61">
        <v>-15.531000000000001</v>
      </c>
      <c r="R261" s="61">
        <v>-14.722</v>
      </c>
      <c r="S261" s="61">
        <v>-41.180999999999997</v>
      </c>
      <c r="T261" s="61">
        <v>-41.435000000000002</v>
      </c>
      <c r="U261" s="61">
        <v>-52.826000000000001</v>
      </c>
      <c r="V261" s="61">
        <v>-62.619000000000014</v>
      </c>
      <c r="W261" s="61">
        <v>-54.573999999999998</v>
      </c>
      <c r="X261" s="61">
        <v>-57.524999999999999</v>
      </c>
      <c r="Y261" s="61">
        <v>-40.433</v>
      </c>
      <c r="Z261" s="61">
        <v>-41.585000000000001</v>
      </c>
      <c r="AA261" s="61">
        <v>-30.234000000000002</v>
      </c>
      <c r="AB261" s="61">
        <v>-34.201999999999998</v>
      </c>
      <c r="AC261" s="61">
        <v>-29.494</v>
      </c>
      <c r="AD261" s="61">
        <v>-28.852</v>
      </c>
      <c r="AE261" s="61">
        <v>-36.296999999999997</v>
      </c>
      <c r="AF261" s="61">
        <v>-96.186000000000007</v>
      </c>
      <c r="AG261" s="61">
        <v>-65.62</v>
      </c>
      <c r="AH261" s="61">
        <v>-79.257000000000005</v>
      </c>
      <c r="AI261" s="61">
        <v>-75.81</v>
      </c>
      <c r="AJ261" s="61">
        <v>-64.009</v>
      </c>
      <c r="AK261" s="61">
        <v>-29.408999999999999</v>
      </c>
      <c r="AL261" s="61">
        <v>-28.349</v>
      </c>
      <c r="AM261" s="61">
        <v>-7.5519999999999996</v>
      </c>
      <c r="AN261" s="61">
        <v>-11.78</v>
      </c>
      <c r="AO261" s="61">
        <v>-8.33</v>
      </c>
      <c r="AP261" s="61">
        <v>-11.922000000000001</v>
      </c>
      <c r="AQ261" s="61">
        <v>-19.413</v>
      </c>
      <c r="AR261" s="61">
        <v>-38.78</v>
      </c>
      <c r="AS261" s="61">
        <v>-27.23</v>
      </c>
      <c r="AT261" s="61">
        <v>-86.013000000000005</v>
      </c>
      <c r="AU261" s="94">
        <f>-150/4*AU134/1000-MAX(AU133-AT133)-60/4-0.1</f>
        <v>-61.975000000000001</v>
      </c>
      <c r="AV261" s="94">
        <f t="shared" ref="AV261:AX261" si="1137">-150/4*AV134/1000-MAX(AV133-AU133)-60/4</f>
        <v>-63.9375</v>
      </c>
      <c r="AW261" s="94">
        <f t="shared" si="1137"/>
        <v>-66</v>
      </c>
      <c r="AX261" s="94">
        <f t="shared" si="1137"/>
        <v>-68.0625</v>
      </c>
      <c r="AY261" s="135">
        <f>-40*AY134/1000-MAX(AY133-AX133)</f>
        <v>-58.8</v>
      </c>
      <c r="AZ261" s="94">
        <f t="shared" ref="AZ261:BF261" si="1138">-40*AZ134/1000-MAX(AZ133-AY133)</f>
        <v>-61</v>
      </c>
      <c r="BA261" s="94">
        <f t="shared" si="1138"/>
        <v>-120.2052</v>
      </c>
      <c r="BB261" s="94">
        <f t="shared" si="1138"/>
        <v>-122.40520000000001</v>
      </c>
      <c r="BC261" s="94">
        <f t="shared" si="1138"/>
        <v>-68.505200000000016</v>
      </c>
      <c r="BD261" s="94">
        <f t="shared" si="1138"/>
        <v>-68.505200000000016</v>
      </c>
      <c r="BE261" s="94">
        <f t="shared" si="1138"/>
        <v>-68.505200000000016</v>
      </c>
      <c r="BF261" s="94">
        <f t="shared" si="1138"/>
        <v>-68.505200000000016</v>
      </c>
      <c r="BI261">
        <f t="shared" si="638"/>
        <v>254</v>
      </c>
    </row>
    <row r="262" spans="1:61" hidden="1" outlineLevel="2">
      <c r="B262" s="16" t="s">
        <v>49</v>
      </c>
      <c r="C262" s="54">
        <f t="shared" si="1134"/>
        <v>0</v>
      </c>
      <c r="D262" s="54">
        <f t="shared" si="1134"/>
        <v>0</v>
      </c>
      <c r="E262" s="54">
        <f t="shared" si="1134"/>
        <v>0</v>
      </c>
      <c r="F262" s="54">
        <f t="shared" si="1134"/>
        <v>0</v>
      </c>
      <c r="G262" s="54">
        <f t="shared" si="1134"/>
        <v>0</v>
      </c>
      <c r="H262" s="54">
        <f t="shared" si="1134"/>
        <v>0</v>
      </c>
      <c r="I262" s="54">
        <f t="shared" si="1134"/>
        <v>0</v>
      </c>
      <c r="J262" s="54">
        <f t="shared" si="1134"/>
        <v>-7.7949999999999999</v>
      </c>
      <c r="K262" s="54">
        <f t="shared" si="1134"/>
        <v>-40</v>
      </c>
      <c r="L262" s="54">
        <f t="shared" si="1134"/>
        <v>-20</v>
      </c>
      <c r="M262" s="54">
        <f t="shared" si="1134"/>
        <v>-20</v>
      </c>
      <c r="O262" s="61">
        <v>0</v>
      </c>
      <c r="P262" s="61">
        <v>0</v>
      </c>
      <c r="Q262" s="61">
        <v>0</v>
      </c>
      <c r="R262" s="61">
        <v>0</v>
      </c>
      <c r="S262" s="61">
        <v>0</v>
      </c>
      <c r="T262" s="61">
        <v>0</v>
      </c>
      <c r="U262" s="61">
        <v>0</v>
      </c>
      <c r="V262" s="61">
        <v>0</v>
      </c>
      <c r="W262" s="61">
        <v>0</v>
      </c>
      <c r="X262" s="61">
        <v>0</v>
      </c>
      <c r="Y262" s="61">
        <v>0</v>
      </c>
      <c r="Z262" s="61">
        <v>0</v>
      </c>
      <c r="AA262" s="61">
        <v>0</v>
      </c>
      <c r="AB262" s="61">
        <v>0</v>
      </c>
      <c r="AC262" s="61">
        <v>0</v>
      </c>
      <c r="AD262" s="61">
        <v>0</v>
      </c>
      <c r="AE262" s="61">
        <v>0</v>
      </c>
      <c r="AF262" s="61">
        <v>0</v>
      </c>
      <c r="AG262" s="61">
        <v>0</v>
      </c>
      <c r="AH262" s="61">
        <v>0</v>
      </c>
      <c r="AI262" s="61">
        <v>0</v>
      </c>
      <c r="AJ262" s="61">
        <v>0</v>
      </c>
      <c r="AK262" s="61">
        <v>0</v>
      </c>
      <c r="AL262" s="61">
        <v>0</v>
      </c>
      <c r="AM262" s="61">
        <v>0</v>
      </c>
      <c r="AN262" s="61">
        <v>0</v>
      </c>
      <c r="AO262" s="61">
        <v>0</v>
      </c>
      <c r="AP262" s="61">
        <v>0</v>
      </c>
      <c r="AQ262" s="61">
        <v>0</v>
      </c>
      <c r="AR262" s="61">
        <v>0</v>
      </c>
      <c r="AS262" s="61">
        <v>0</v>
      </c>
      <c r="AT262" s="61">
        <v>-7.7949999999999999</v>
      </c>
      <c r="AU262" s="94">
        <v>-10</v>
      </c>
      <c r="AV262" s="94">
        <v>-10</v>
      </c>
      <c r="AW262" s="94">
        <v>-10</v>
      </c>
      <c r="AX262" s="94">
        <v>-10</v>
      </c>
      <c r="AY262" s="94">
        <v>-5</v>
      </c>
      <c r="AZ262" s="94">
        <v>-5</v>
      </c>
      <c r="BA262" s="94">
        <v>-5</v>
      </c>
      <c r="BB262" s="94">
        <v>-5</v>
      </c>
      <c r="BC262" s="94">
        <v>-5</v>
      </c>
      <c r="BD262" s="94">
        <v>-5</v>
      </c>
      <c r="BE262" s="94">
        <v>-5</v>
      </c>
      <c r="BF262" s="94">
        <v>-5</v>
      </c>
      <c r="BI262">
        <f t="shared" si="638"/>
        <v>255</v>
      </c>
    </row>
    <row r="263" spans="1:61" hidden="1" outlineLevel="2">
      <c r="B263" s="16" t="s">
        <v>279</v>
      </c>
      <c r="C263" s="54">
        <f t="shared" si="1134"/>
        <v>-31.452000000000012</v>
      </c>
      <c r="D263" s="54">
        <f t="shared" si="1134"/>
        <v>-22.883999999999901</v>
      </c>
      <c r="E263" s="54">
        <f t="shared" si="1134"/>
        <v>-29.888000000000034</v>
      </c>
      <c r="F263" s="54">
        <f t="shared" si="1134"/>
        <v>-31.245000000000005</v>
      </c>
      <c r="G263" s="54">
        <f t="shared" si="1134"/>
        <v>-0.68199999999990268</v>
      </c>
      <c r="H263" s="54">
        <f t="shared" si="1134"/>
        <v>-16.716999999999899</v>
      </c>
      <c r="I263" s="54">
        <f t="shared" si="1134"/>
        <v>-6.1160000000000068</v>
      </c>
      <c r="J263" s="54">
        <f t="shared" si="1134"/>
        <v>-31.54699999999999</v>
      </c>
      <c r="K263" s="54">
        <f t="shared" si="1134"/>
        <v>-44</v>
      </c>
      <c r="L263" s="54">
        <f t="shared" si="1134"/>
        <v>-20</v>
      </c>
      <c r="M263" s="54">
        <f t="shared" si="1134"/>
        <v>-20</v>
      </c>
      <c r="O263" s="61">
        <v>-7.5450000000000017</v>
      </c>
      <c r="P263" s="61">
        <v>-7.002000000000038</v>
      </c>
      <c r="Q263" s="61">
        <v>-7.0639999999999361</v>
      </c>
      <c r="R263" s="61">
        <v>-9.8410000000000366</v>
      </c>
      <c r="S263" s="61">
        <v>-4.6679999999999779</v>
      </c>
      <c r="T263" s="61">
        <v>-5.078000000000003</v>
      </c>
      <c r="U263" s="61">
        <v>-5.4669999999999845</v>
      </c>
      <c r="V263" s="61">
        <v>-7.6709999999999354</v>
      </c>
      <c r="W263" s="61">
        <v>-7.4290000000000305</v>
      </c>
      <c r="X263" s="61">
        <v>-7.8750000000000284</v>
      </c>
      <c r="Y263" s="61">
        <v>-7.3199999999999932</v>
      </c>
      <c r="Z263" s="61">
        <v>-7.2639999999999816</v>
      </c>
      <c r="AA263" s="61">
        <v>-8.6639999999999873</v>
      </c>
      <c r="AB263" s="61">
        <v>-5.438000000000045</v>
      </c>
      <c r="AC263" s="61">
        <v>-8.8229999999999791</v>
      </c>
      <c r="AD263" s="61">
        <v>-8.3199999999999932</v>
      </c>
      <c r="AE263" s="61">
        <v>-8.6840000000000259</v>
      </c>
      <c r="AF263" s="61">
        <v>-8.7419999999999618</v>
      </c>
      <c r="AG263" s="61">
        <v>-9.4890000000000327</v>
      </c>
      <c r="AH263" s="61">
        <v>26.233000000000118</v>
      </c>
      <c r="AI263" s="61">
        <v>-7.592000000000013</v>
      </c>
      <c r="AJ263" s="61">
        <v>-3.7039999999999509</v>
      </c>
      <c r="AK263" s="61">
        <v>-2.8900000000000432</v>
      </c>
      <c r="AL263" s="61">
        <v>-2.5309999999998922</v>
      </c>
      <c r="AM263" s="61">
        <v>-1.5279999999999951</v>
      </c>
      <c r="AN263" s="61">
        <v>-1.6920000000000037</v>
      </c>
      <c r="AO263" s="61">
        <v>-2.4009999999999962</v>
      </c>
      <c r="AP263" s="61">
        <v>-0.49500000000001165</v>
      </c>
      <c r="AQ263" s="61">
        <v>-4.3520000000000039</v>
      </c>
      <c r="AR263" s="61">
        <v>-8.0169999999999959</v>
      </c>
      <c r="AS263" s="61">
        <v>-8.6469999999999914</v>
      </c>
      <c r="AT263" s="61">
        <v>-10.531000000000001</v>
      </c>
      <c r="AU263" s="94">
        <v>-11</v>
      </c>
      <c r="AV263" s="94">
        <v>-11</v>
      </c>
      <c r="AW263" s="94">
        <v>-11</v>
      </c>
      <c r="AX263" s="94">
        <v>-11</v>
      </c>
      <c r="AY263" s="94">
        <v>-5</v>
      </c>
      <c r="AZ263" s="94">
        <v>-5</v>
      </c>
      <c r="BA263" s="94">
        <v>-5</v>
      </c>
      <c r="BB263" s="94">
        <v>-5</v>
      </c>
      <c r="BC263" s="94">
        <v>-5</v>
      </c>
      <c r="BD263" s="94">
        <v>-5</v>
      </c>
      <c r="BE263" s="94">
        <v>-5</v>
      </c>
      <c r="BF263" s="94">
        <v>-5</v>
      </c>
      <c r="BI263">
        <f t="shared" si="638"/>
        <v>256</v>
      </c>
    </row>
    <row r="264" spans="1:61" hidden="1" outlineLevel="2">
      <c r="B264" s="16" t="s">
        <v>254</v>
      </c>
      <c r="C264" s="54">
        <f t="shared" si="1134"/>
        <v>-2.4000000000000909E-2</v>
      </c>
      <c r="D264" s="54">
        <f t="shared" si="1134"/>
        <v>-5.9470000000000001</v>
      </c>
      <c r="E264" s="54">
        <f t="shared" si="1134"/>
        <v>-5.0339999999999998</v>
      </c>
      <c r="F264" s="54">
        <f t="shared" si="1134"/>
        <v>-3.9260000000000002</v>
      </c>
      <c r="G264" s="54">
        <f t="shared" si="1134"/>
        <v>-2.7059999999999995</v>
      </c>
      <c r="H264" s="54">
        <f t="shared" si="1134"/>
        <v>-2.5200000000000005</v>
      </c>
      <c r="I264" s="54">
        <f t="shared" si="1134"/>
        <v>-1.5910000000000002</v>
      </c>
      <c r="J264" s="54">
        <f t="shared" si="1134"/>
        <v>-1.8839999999999999</v>
      </c>
      <c r="K264" s="54">
        <f t="shared" si="1134"/>
        <v>-1</v>
      </c>
      <c r="L264" s="54">
        <f t="shared" si="1134"/>
        <v>-1</v>
      </c>
      <c r="M264" s="54">
        <f t="shared" si="1134"/>
        <v>-1</v>
      </c>
      <c r="O264" s="61">
        <v>-6.0000000000002274E-3</v>
      </c>
      <c r="P264" s="61">
        <v>-6.0000000000002274E-3</v>
      </c>
      <c r="Q264" s="61">
        <v>-6.0000000000002274E-3</v>
      </c>
      <c r="R264" s="61">
        <v>-6.0000000000002274E-3</v>
      </c>
      <c r="S264" s="61">
        <v>-1.454</v>
      </c>
      <c r="T264" s="61">
        <v>-1.827</v>
      </c>
      <c r="U264" s="61">
        <v>-1.2370000000000001</v>
      </c>
      <c r="V264" s="61">
        <v>-1.429</v>
      </c>
      <c r="W264" s="61">
        <v>-0.79300000000000004</v>
      </c>
      <c r="X264" s="61">
        <v>-1.577</v>
      </c>
      <c r="Y264" s="61">
        <v>-1.47</v>
      </c>
      <c r="Z264" s="61">
        <v>-1.194</v>
      </c>
      <c r="AA264" s="61">
        <v>-0.88</v>
      </c>
      <c r="AB264" s="61">
        <v>-1.0029999999999999</v>
      </c>
      <c r="AC264" s="61">
        <v>-0.755</v>
      </c>
      <c r="AD264" s="61">
        <v>-1.288</v>
      </c>
      <c r="AE264" s="61">
        <v>-0.46800000000000003</v>
      </c>
      <c r="AF264" s="61">
        <v>-0.82099999999999995</v>
      </c>
      <c r="AG264" s="61">
        <v>-0.875</v>
      </c>
      <c r="AH264" s="61">
        <v>-0.54200000000000004</v>
      </c>
      <c r="AI264" s="61">
        <v>-0.64200000000000002</v>
      </c>
      <c r="AJ264" s="61">
        <v>-0.60599999999999998</v>
      </c>
      <c r="AK264" s="61">
        <v>-0.77400000000000002</v>
      </c>
      <c r="AL264" s="61">
        <v>-0.498</v>
      </c>
      <c r="AM264" s="61">
        <v>-0.34100000000000003</v>
      </c>
      <c r="AN264" s="61">
        <v>-0.49099999999999999</v>
      </c>
      <c r="AO264" s="61">
        <v>-0.39500000000000002</v>
      </c>
      <c r="AP264" s="61">
        <v>-0.36399999999999999</v>
      </c>
      <c r="AQ264" s="61">
        <v>-0.45400000000000001</v>
      </c>
      <c r="AR264" s="61">
        <v>-0.22700000000000001</v>
      </c>
      <c r="AS264" s="61">
        <v>-0.30499999999999999</v>
      </c>
      <c r="AT264" s="61">
        <v>-0.89800000000000002</v>
      </c>
      <c r="AU264" s="94">
        <v>-0.25</v>
      </c>
      <c r="AV264" s="94">
        <v>-0.25</v>
      </c>
      <c r="AW264" s="94">
        <v>-0.25</v>
      </c>
      <c r="AX264" s="94">
        <v>-0.25</v>
      </c>
      <c r="AY264" s="94">
        <v>-0.25</v>
      </c>
      <c r="AZ264" s="94">
        <v>-0.25</v>
      </c>
      <c r="BA264" s="94">
        <v>-0.25</v>
      </c>
      <c r="BB264" s="94">
        <v>-0.25</v>
      </c>
      <c r="BC264" s="94">
        <v>-0.25</v>
      </c>
      <c r="BD264" s="94">
        <v>-0.25</v>
      </c>
      <c r="BE264" s="94">
        <v>-0.25</v>
      </c>
      <c r="BF264" s="94">
        <v>-0.25</v>
      </c>
      <c r="BI264">
        <f t="shared" si="638"/>
        <v>257</v>
      </c>
    </row>
    <row r="265" spans="1:61" hidden="1" outlineLevel="2">
      <c r="B265" s="50" t="s">
        <v>258</v>
      </c>
      <c r="C265" s="21">
        <f>SUM(C260:C264)</f>
        <v>-738.09</v>
      </c>
      <c r="D265" s="21">
        <f t="shared" ref="D265" si="1139">SUM(D260:D264)</f>
        <v>-1011.578</v>
      </c>
      <c r="E265" s="21">
        <f t="shared" ref="E265" si="1140">SUM(E260:E264)</f>
        <v>-973.98800000000006</v>
      </c>
      <c r="F265" s="21">
        <f t="shared" ref="F265" si="1141">SUM(F260:F264)</f>
        <v>-662.46100000000013</v>
      </c>
      <c r="G265" s="21">
        <f t="shared" ref="G265" si="1142">SUM(G260:G264)</f>
        <v>-1052.3409999999997</v>
      </c>
      <c r="H265" s="21">
        <f t="shared" ref="H265" si="1143">SUM(H260:H264)</f>
        <v>-743.77599999999984</v>
      </c>
      <c r="I265" s="21">
        <f t="shared" ref="I265" si="1144">SUM(I260:I264)</f>
        <v>-119.79900000000002</v>
      </c>
      <c r="J265" s="21">
        <f t="shared" ref="J265" si="1145">SUM(J260:J264)</f>
        <v>-567.08699999999999</v>
      </c>
      <c r="K265" s="21">
        <f t="shared" ref="K265" si="1146">SUM(K260:K264)</f>
        <v>-677.60500000000002</v>
      </c>
      <c r="L265" s="21">
        <f t="shared" ref="L265" si="1147">SUM(L260:L264)</f>
        <v>-756.39840000000004</v>
      </c>
      <c r="M265" s="21">
        <f t="shared" ref="M265" si="1148">SUM(M260:M264)</f>
        <v>-684.12080000000003</v>
      </c>
      <c r="O265" s="21">
        <f t="shared" ref="O265" si="1149">SUM(O260:O264)</f>
        <v>-108.938</v>
      </c>
      <c r="P265" s="21">
        <f t="shared" ref="P265" si="1150">SUM(P260:P264)</f>
        <v>-189.90700000000004</v>
      </c>
      <c r="Q265" s="21">
        <f t="shared" ref="Q265" si="1151">SUM(Q260:Q264)</f>
        <v>-214.83399999999995</v>
      </c>
      <c r="R265" s="21">
        <f t="shared" ref="R265" si="1152">SUM(R260:R264)</f>
        <v>-224.41100000000006</v>
      </c>
      <c r="S265" s="21">
        <f t="shared" ref="S265" si="1153">SUM(S260:S264)</f>
        <v>-182.55199999999999</v>
      </c>
      <c r="T265" s="21">
        <f t="shared" ref="T265" si="1154">SUM(T260:T264)</f>
        <v>-245.066</v>
      </c>
      <c r="U265" s="21">
        <f t="shared" ref="U265" si="1155">SUM(U260:U264)</f>
        <v>-283.81800000000004</v>
      </c>
      <c r="V265" s="21">
        <f t="shared" ref="V265" si="1156">SUM(V260:V264)</f>
        <v>-300.14199999999994</v>
      </c>
      <c r="W265" s="21">
        <f t="shared" ref="W265" si="1157">SUM(W260:W264)</f>
        <v>-263.40300000000002</v>
      </c>
      <c r="X265" s="21">
        <f t="shared" ref="X265" si="1158">SUM(X260:X264)</f>
        <v>-248.66200000000003</v>
      </c>
      <c r="Y265" s="21">
        <f t="shared" ref="Y265" si="1159">SUM(Y260:Y264)</f>
        <v>-232.28299999999999</v>
      </c>
      <c r="Z265" s="21">
        <f t="shared" ref="Z265" si="1160">SUM(Z260:Z264)</f>
        <v>-229.64</v>
      </c>
      <c r="AA265" s="21">
        <f t="shared" ref="AA265" si="1161">SUM(AA260:AA264)</f>
        <v>-174.161</v>
      </c>
      <c r="AB265" s="21">
        <f t="shared" ref="AB265" si="1162">SUM(AB260:AB264)</f>
        <v>-158.43700000000001</v>
      </c>
      <c r="AC265" s="21">
        <f t="shared" ref="AC265" si="1163">SUM(AC260:AC264)</f>
        <v>-150.73099999999999</v>
      </c>
      <c r="AD265" s="21">
        <f t="shared" ref="AD265" si="1164">SUM(AD260:AD264)</f>
        <v>-179.13200000000001</v>
      </c>
      <c r="AE265" s="21">
        <f t="shared" ref="AE265" si="1165">SUM(AE260:AE264)</f>
        <v>-170.37200000000001</v>
      </c>
      <c r="AF265" s="21">
        <f t="shared" ref="AF265" si="1166">SUM(AF260:AF264)</f>
        <v>-317.666</v>
      </c>
      <c r="AG265" s="21">
        <f t="shared" ref="AG265" si="1167">SUM(AG260:AG264)</f>
        <v>-285.75300000000004</v>
      </c>
      <c r="AH265" s="21">
        <f t="shared" ref="AH265" si="1168">SUM(AH260:AH264)</f>
        <v>-278.54999999999984</v>
      </c>
      <c r="AI265" s="21">
        <f t="shared" ref="AI265" si="1169">SUM(AI260:AI264)</f>
        <v>-241.46600000000001</v>
      </c>
      <c r="AJ265" s="21">
        <f t="shared" ref="AJ265" si="1170">SUM(AJ260:AJ264)</f>
        <v>-222.16699999999997</v>
      </c>
      <c r="AK265" s="21">
        <f t="shared" ref="AK265" si="1171">SUM(AK260:AK264)</f>
        <v>-144.58700000000005</v>
      </c>
      <c r="AL265" s="21">
        <f t="shared" ref="AL265" si="1172">SUM(AL260:AL264)</f>
        <v>-135.55599999999987</v>
      </c>
      <c r="AM265" s="21">
        <f t="shared" ref="AM265" si="1173">SUM(AM260:AM264)</f>
        <v>-21.300999999999998</v>
      </c>
      <c r="AN265" s="21">
        <f t="shared" ref="AN265" si="1174">SUM(AN260:AN264)</f>
        <v>-30.533000000000005</v>
      </c>
      <c r="AO265" s="21">
        <f t="shared" ref="AO265" si="1175">SUM(AO260:AO264)</f>
        <v>-28.676999999999996</v>
      </c>
      <c r="AP265" s="21">
        <f t="shared" ref="AP265" si="1176">SUM(AP260:AP264)</f>
        <v>-39.288000000000011</v>
      </c>
      <c r="AQ265" s="21">
        <f t="shared" ref="AQ265" si="1177">SUM(AQ260:AQ264)</f>
        <v>-68.44</v>
      </c>
      <c r="AR265" s="21">
        <f t="shared" ref="AR265" si="1178">SUM(AR260:AR264)</f>
        <v>-118.35</v>
      </c>
      <c r="AS265" s="21">
        <f t="shared" ref="AS265:AT265" si="1179">SUM(AS260:AS264)</f>
        <v>-143.06100000000001</v>
      </c>
      <c r="AT265" s="21">
        <f t="shared" si="1179"/>
        <v>-237.23599999999999</v>
      </c>
      <c r="AU265" s="100">
        <f t="shared" ref="AU265:BF265" si="1180">SUM(AU260:AU264)</f>
        <v>-164.64500000000001</v>
      </c>
      <c r="AV265" s="100">
        <f t="shared" si="1180"/>
        <v>-167.7655</v>
      </c>
      <c r="AW265" s="100">
        <f t="shared" si="1180"/>
        <v>-170.922</v>
      </c>
      <c r="AX265" s="100">
        <f t="shared" si="1180"/>
        <v>-174.27250000000001</v>
      </c>
      <c r="AY265" s="100">
        <f t="shared" si="1180"/>
        <v>-154.69</v>
      </c>
      <c r="AZ265" s="100">
        <f t="shared" si="1180"/>
        <v>-158.74199999999999</v>
      </c>
      <c r="BA265" s="100">
        <f t="shared" si="1180"/>
        <v>-219.6472</v>
      </c>
      <c r="BB265" s="100">
        <f t="shared" si="1180"/>
        <v>-223.31920000000002</v>
      </c>
      <c r="BC265" s="100">
        <f t="shared" si="1180"/>
        <v>-170.25120000000004</v>
      </c>
      <c r="BD265" s="100">
        <f t="shared" si="1180"/>
        <v>-170.61520000000002</v>
      </c>
      <c r="BE265" s="100">
        <f t="shared" si="1180"/>
        <v>-171.44320000000002</v>
      </c>
      <c r="BF265" s="100">
        <f t="shared" si="1180"/>
        <v>-171.81120000000001</v>
      </c>
      <c r="BI265">
        <f t="shared" si="638"/>
        <v>258</v>
      </c>
    </row>
    <row r="266" spans="1:61" outlineLevel="1" collapsed="1">
      <c r="B266" s="4"/>
      <c r="O266" s="93">
        <f>+O282-O265</f>
        <v>0</v>
      </c>
      <c r="P266" s="93">
        <f t="shared" ref="P266:BF266" si="1181">+P282-P265</f>
        <v>0</v>
      </c>
      <c r="Q266" s="93">
        <f t="shared" si="1181"/>
        <v>0</v>
      </c>
      <c r="R266" s="93">
        <f t="shared" si="1181"/>
        <v>0</v>
      </c>
      <c r="S266" s="93">
        <f t="shared" si="1181"/>
        <v>0</v>
      </c>
      <c r="T266" s="93">
        <f t="shared" si="1181"/>
        <v>0</v>
      </c>
      <c r="U266" s="93">
        <f t="shared" si="1181"/>
        <v>0</v>
      </c>
      <c r="V266" s="93">
        <f t="shared" si="1181"/>
        <v>0</v>
      </c>
      <c r="W266" s="93">
        <f t="shared" si="1181"/>
        <v>0</v>
      </c>
      <c r="X266" s="93">
        <f t="shared" si="1181"/>
        <v>0</v>
      </c>
      <c r="Y266" s="93">
        <f t="shared" si="1181"/>
        <v>0</v>
      </c>
      <c r="Z266" s="93">
        <f t="shared" si="1181"/>
        <v>0</v>
      </c>
      <c r="AA266" s="93">
        <f t="shared" si="1181"/>
        <v>0</v>
      </c>
      <c r="AB266" s="93">
        <f t="shared" si="1181"/>
        <v>0</v>
      </c>
      <c r="AC266" s="93">
        <f t="shared" si="1181"/>
        <v>0</v>
      </c>
      <c r="AD266" s="93">
        <f t="shared" si="1181"/>
        <v>0</v>
      </c>
      <c r="AE266" s="93">
        <f t="shared" si="1181"/>
        <v>0</v>
      </c>
      <c r="AF266" s="93">
        <f t="shared" si="1181"/>
        <v>0</v>
      </c>
      <c r="AG266" s="93">
        <f t="shared" si="1181"/>
        <v>0</v>
      </c>
      <c r="AH266" s="93">
        <f t="shared" si="1181"/>
        <v>0</v>
      </c>
      <c r="AI266" s="93">
        <f t="shared" si="1181"/>
        <v>0</v>
      </c>
      <c r="AJ266" s="93">
        <f t="shared" si="1181"/>
        <v>0</v>
      </c>
      <c r="AK266" s="93">
        <f t="shared" si="1181"/>
        <v>0</v>
      </c>
      <c r="AL266" s="93">
        <f t="shared" si="1181"/>
        <v>0</v>
      </c>
      <c r="AM266" s="93">
        <f t="shared" si="1181"/>
        <v>0</v>
      </c>
      <c r="AN266" s="93">
        <f t="shared" si="1181"/>
        <v>0</v>
      </c>
      <c r="AO266" s="93">
        <f t="shared" si="1181"/>
        <v>0</v>
      </c>
      <c r="AP266" s="93">
        <f t="shared" si="1181"/>
        <v>0</v>
      </c>
      <c r="AQ266" s="93">
        <f t="shared" si="1181"/>
        <v>0</v>
      </c>
      <c r="AR266" s="93">
        <f t="shared" si="1181"/>
        <v>0</v>
      </c>
      <c r="AS266" s="93">
        <f t="shared" si="1181"/>
        <v>0</v>
      </c>
      <c r="AT266" s="129">
        <f t="shared" si="1181"/>
        <v>0</v>
      </c>
      <c r="AU266" s="93">
        <f t="shared" si="1181"/>
        <v>0</v>
      </c>
      <c r="AV266" s="93">
        <f t="shared" si="1181"/>
        <v>0</v>
      </c>
      <c r="AW266" s="93">
        <f t="shared" si="1181"/>
        <v>0</v>
      </c>
      <c r="AX266" s="93">
        <f t="shared" si="1181"/>
        <v>0</v>
      </c>
      <c r="AY266" s="93">
        <f t="shared" si="1181"/>
        <v>0</v>
      </c>
      <c r="AZ266" s="93">
        <f t="shared" si="1181"/>
        <v>0</v>
      </c>
      <c r="BA266" s="93">
        <f t="shared" si="1181"/>
        <v>0</v>
      </c>
      <c r="BB266" s="93">
        <f t="shared" si="1181"/>
        <v>0</v>
      </c>
      <c r="BC266" s="93">
        <f t="shared" si="1181"/>
        <v>0</v>
      </c>
      <c r="BD266" s="93">
        <f t="shared" si="1181"/>
        <v>0</v>
      </c>
      <c r="BE266" s="93">
        <f t="shared" si="1181"/>
        <v>0</v>
      </c>
      <c r="BF266" s="93">
        <f t="shared" si="1181"/>
        <v>0</v>
      </c>
      <c r="BI266">
        <f t="shared" si="638"/>
        <v>259</v>
      </c>
    </row>
    <row r="267" spans="1:61">
      <c r="A267" s="11" t="s">
        <v>65</v>
      </c>
      <c r="B267" s="26" t="s">
        <v>145</v>
      </c>
      <c r="BI267">
        <f t="shared" si="638"/>
        <v>260</v>
      </c>
    </row>
    <row r="268" spans="1:61" outlineLevel="1">
      <c r="B268" s="27" t="s">
        <v>63</v>
      </c>
      <c r="C268" s="7">
        <f>C$8</f>
        <v>2010</v>
      </c>
      <c r="D268" s="7">
        <f t="shared" ref="D268:BF268" si="1182">D$8</f>
        <v>2011</v>
      </c>
      <c r="E268" s="7">
        <f t="shared" si="1182"/>
        <v>2012</v>
      </c>
      <c r="F268" s="7">
        <f t="shared" si="1182"/>
        <v>2013</v>
      </c>
      <c r="G268" s="7">
        <f t="shared" si="1182"/>
        <v>2014</v>
      </c>
      <c r="H268" s="7">
        <f t="shared" si="1182"/>
        <v>2015</v>
      </c>
      <c r="I268" s="7">
        <f t="shared" si="1182"/>
        <v>2016</v>
      </c>
      <c r="J268" s="7">
        <f t="shared" si="1182"/>
        <v>2017</v>
      </c>
      <c r="K268" s="7" t="str">
        <f t="shared" si="1182"/>
        <v>2018E</v>
      </c>
      <c r="L268" s="7" t="str">
        <f t="shared" si="1182"/>
        <v>2019E</v>
      </c>
      <c r="M268" s="7" t="str">
        <f t="shared" si="1182"/>
        <v>2020E</v>
      </c>
      <c r="N268" s="12"/>
      <c r="O268" s="7" t="str">
        <f t="shared" si="1182"/>
        <v>1Q10</v>
      </c>
      <c r="P268" s="7" t="str">
        <f t="shared" si="1182"/>
        <v>2Q10</v>
      </c>
      <c r="Q268" s="7" t="str">
        <f t="shared" si="1182"/>
        <v>3Q10</v>
      </c>
      <c r="R268" s="7" t="str">
        <f t="shared" si="1182"/>
        <v>4Q10</v>
      </c>
      <c r="S268" s="7" t="str">
        <f t="shared" si="1182"/>
        <v>1Q11</v>
      </c>
      <c r="T268" s="7" t="str">
        <f t="shared" si="1182"/>
        <v>2Q11</v>
      </c>
      <c r="U268" s="7" t="str">
        <f t="shared" si="1182"/>
        <v>3Q11</v>
      </c>
      <c r="V268" s="7" t="str">
        <f t="shared" si="1182"/>
        <v>4Q11</v>
      </c>
      <c r="W268" s="7" t="str">
        <f t="shared" si="1182"/>
        <v>1Q12</v>
      </c>
      <c r="X268" s="7" t="str">
        <f t="shared" si="1182"/>
        <v>2Q12</v>
      </c>
      <c r="Y268" s="7" t="str">
        <f t="shared" si="1182"/>
        <v>3Q12</v>
      </c>
      <c r="Z268" s="7" t="str">
        <f t="shared" si="1182"/>
        <v>4Q12</v>
      </c>
      <c r="AA268" s="7" t="str">
        <f t="shared" si="1182"/>
        <v>1Q13</v>
      </c>
      <c r="AB268" s="7" t="str">
        <f t="shared" si="1182"/>
        <v>2Q13</v>
      </c>
      <c r="AC268" s="7" t="str">
        <f t="shared" si="1182"/>
        <v>3Q13</v>
      </c>
      <c r="AD268" s="7" t="str">
        <f t="shared" si="1182"/>
        <v>4Q13</v>
      </c>
      <c r="AE268" s="7" t="str">
        <f t="shared" si="1182"/>
        <v>1Q14</v>
      </c>
      <c r="AF268" s="7" t="str">
        <f t="shared" si="1182"/>
        <v>2Q14</v>
      </c>
      <c r="AG268" s="7" t="str">
        <f t="shared" si="1182"/>
        <v>3Q14</v>
      </c>
      <c r="AH268" s="7" t="str">
        <f t="shared" si="1182"/>
        <v>4Q14</v>
      </c>
      <c r="AI268" s="7" t="str">
        <f t="shared" si="1182"/>
        <v>1Q15</v>
      </c>
      <c r="AJ268" s="7" t="str">
        <f t="shared" si="1182"/>
        <v>2Q15</v>
      </c>
      <c r="AK268" s="7" t="str">
        <f t="shared" si="1182"/>
        <v>3Q15</v>
      </c>
      <c r="AL268" s="7" t="str">
        <f t="shared" si="1182"/>
        <v>4Q15</v>
      </c>
      <c r="AM268" s="7" t="str">
        <f t="shared" si="1182"/>
        <v>1Q16</v>
      </c>
      <c r="AN268" s="7" t="str">
        <f t="shared" si="1182"/>
        <v>2Q16</v>
      </c>
      <c r="AO268" s="7" t="str">
        <f t="shared" si="1182"/>
        <v>3Q16</v>
      </c>
      <c r="AP268" s="7" t="str">
        <f t="shared" si="1182"/>
        <v>4Q16</v>
      </c>
      <c r="AQ268" s="7" t="str">
        <f t="shared" si="1182"/>
        <v>1Q17</v>
      </c>
      <c r="AR268" s="7" t="str">
        <f t="shared" si="1182"/>
        <v>2Q17</v>
      </c>
      <c r="AS268" s="7" t="str">
        <f t="shared" si="1182"/>
        <v>3Q17</v>
      </c>
      <c r="AT268" s="7" t="str">
        <f t="shared" si="1182"/>
        <v>4Q17</v>
      </c>
      <c r="AU268" s="7" t="str">
        <f t="shared" si="1182"/>
        <v>1Q18E</v>
      </c>
      <c r="AV268" s="7" t="str">
        <f t="shared" si="1182"/>
        <v>2Q18E</v>
      </c>
      <c r="AW268" s="7" t="str">
        <f t="shared" si="1182"/>
        <v>3Q18E</v>
      </c>
      <c r="AX268" s="7" t="str">
        <f t="shared" si="1182"/>
        <v>4Q18E</v>
      </c>
      <c r="AY268" s="7" t="str">
        <f t="shared" si="1182"/>
        <v>1Q19E</v>
      </c>
      <c r="AZ268" s="7" t="str">
        <f t="shared" si="1182"/>
        <v>2Q19E</v>
      </c>
      <c r="BA268" s="7" t="str">
        <f t="shared" si="1182"/>
        <v>3Q19E</v>
      </c>
      <c r="BB268" s="7" t="str">
        <f t="shared" si="1182"/>
        <v>4Q19E</v>
      </c>
      <c r="BC268" s="7" t="str">
        <f t="shared" si="1182"/>
        <v>1Q20E</v>
      </c>
      <c r="BD268" s="7" t="str">
        <f t="shared" si="1182"/>
        <v>2Q20E</v>
      </c>
      <c r="BE268" s="7" t="str">
        <f t="shared" si="1182"/>
        <v>3Q20E</v>
      </c>
      <c r="BF268" s="7" t="str">
        <f t="shared" si="1182"/>
        <v>4Q20E</v>
      </c>
      <c r="BI268">
        <f t="shared" si="638"/>
        <v>261</v>
      </c>
    </row>
    <row r="269" spans="1:61" outlineLevel="1">
      <c r="B269" s="28" t="s">
        <v>146</v>
      </c>
      <c r="BI269">
        <f t="shared" si="638"/>
        <v>262</v>
      </c>
    </row>
    <row r="270" spans="1:61" outlineLevel="1">
      <c r="B270" s="29" t="s">
        <v>259</v>
      </c>
      <c r="C270" s="54">
        <f t="shared" ref="C270:M282" si="1183">SUMIFS($O270:$BG270,$O$5:$BG$5,C$5)</f>
        <v>116.94200000000012</v>
      </c>
      <c r="D270" s="54">
        <f t="shared" si="1183"/>
        <v>322.41300000000001</v>
      </c>
      <c r="E270" s="54">
        <f t="shared" si="1183"/>
        <v>299.47290000000015</v>
      </c>
      <c r="F270" s="54">
        <f t="shared" si="1183"/>
        <v>185.57999999999993</v>
      </c>
      <c r="G270" s="54">
        <f t="shared" si="1183"/>
        <v>163.382541</v>
      </c>
      <c r="H270" s="54">
        <f t="shared" si="1183"/>
        <v>-294.48599999999999</v>
      </c>
      <c r="I270" s="54">
        <f t="shared" si="1183"/>
        <v>-318.63400000000001</v>
      </c>
      <c r="J270" s="54">
        <f t="shared" si="1183"/>
        <v>5.9099999999999113</v>
      </c>
      <c r="K270" s="54">
        <f t="shared" si="1183"/>
        <v>2.9643296098578631</v>
      </c>
      <c r="L270" s="54">
        <f t="shared" si="1183"/>
        <v>203.50297340960071</v>
      </c>
      <c r="M270" s="54">
        <f t="shared" si="1183"/>
        <v>294.18317233509106</v>
      </c>
      <c r="O270" s="54">
        <f t="shared" ref="O270:BF270" si="1184">O48</f>
        <v>4.1860000000000426</v>
      </c>
      <c r="P270" s="54">
        <f t="shared" si="1184"/>
        <v>29.528000000000013</v>
      </c>
      <c r="Q270" s="54">
        <f t="shared" si="1184"/>
        <v>29.374000000000027</v>
      </c>
      <c r="R270" s="54">
        <f t="shared" si="1184"/>
        <v>53.854000000000049</v>
      </c>
      <c r="S270" s="54">
        <f t="shared" si="1184"/>
        <v>71.251999999999995</v>
      </c>
      <c r="T270" s="54">
        <f t="shared" si="1184"/>
        <v>81.637999999999963</v>
      </c>
      <c r="U270" s="54">
        <f t="shared" si="1184"/>
        <v>81.928000000000011</v>
      </c>
      <c r="V270" s="54">
        <f t="shared" si="1184"/>
        <v>87.595000000000013</v>
      </c>
      <c r="W270" s="54">
        <f t="shared" si="1184"/>
        <v>97.274000000000086</v>
      </c>
      <c r="X270" s="54">
        <f t="shared" si="1184"/>
        <v>92.538000000000025</v>
      </c>
      <c r="Y270" s="54">
        <f t="shared" si="1184"/>
        <v>50.801899999999996</v>
      </c>
      <c r="Z270" s="54">
        <f t="shared" si="1184"/>
        <v>58.859000000000016</v>
      </c>
      <c r="AA270" s="54">
        <f t="shared" si="1184"/>
        <v>56.22999999999999</v>
      </c>
      <c r="AB270" s="54">
        <f t="shared" si="1184"/>
        <v>40.768000000000036</v>
      </c>
      <c r="AC270" s="54">
        <f t="shared" si="1184"/>
        <v>74.419999999999959</v>
      </c>
      <c r="AD270" s="54">
        <f t="shared" si="1184"/>
        <v>14.161999999999942</v>
      </c>
      <c r="AE270" s="54">
        <f t="shared" si="1184"/>
        <v>35.532700000000013</v>
      </c>
      <c r="AF270" s="54">
        <f t="shared" si="1184"/>
        <v>54.283000000000044</v>
      </c>
      <c r="AG270" s="54">
        <f t="shared" si="1184"/>
        <v>15.983841000000012</v>
      </c>
      <c r="AH270" s="54">
        <f t="shared" si="1184"/>
        <v>57.582999999999956</v>
      </c>
      <c r="AI270" s="54">
        <f t="shared" si="1184"/>
        <v>9.1250000000000249</v>
      </c>
      <c r="AJ270" s="54">
        <f t="shared" si="1184"/>
        <v>-18.975000000000033</v>
      </c>
      <c r="AK270" s="54">
        <f t="shared" si="1184"/>
        <v>-225.97800000000004</v>
      </c>
      <c r="AL270" s="54">
        <f t="shared" si="1184"/>
        <v>-58.657999999999973</v>
      </c>
      <c r="AM270" s="54">
        <f t="shared" si="1184"/>
        <v>-70.503000000000029</v>
      </c>
      <c r="AN270" s="54">
        <f t="shared" si="1184"/>
        <v>-85.865999999999971</v>
      </c>
      <c r="AO270" s="54">
        <f t="shared" si="1184"/>
        <v>-84.143000000000015</v>
      </c>
      <c r="AP270" s="54">
        <f t="shared" si="1184"/>
        <v>-78.121999999999986</v>
      </c>
      <c r="AQ270" s="54">
        <f t="shared" si="1184"/>
        <v>-63.539000000000001</v>
      </c>
      <c r="AR270" s="54">
        <f t="shared" si="1184"/>
        <v>-92.184000000000012</v>
      </c>
      <c r="AS270" s="54">
        <f t="shared" si="1184"/>
        <v>-33.769000000000034</v>
      </c>
      <c r="AT270" s="54">
        <f t="shared" si="1184"/>
        <v>195.40199999999996</v>
      </c>
      <c r="AU270" s="54">
        <f t="shared" si="1184"/>
        <v>-26.8393670632653</v>
      </c>
      <c r="AV270" s="54">
        <f t="shared" si="1184"/>
        <v>-9.4766235078493537</v>
      </c>
      <c r="AW270" s="54">
        <f t="shared" si="1184"/>
        <v>11.883835156336019</v>
      </c>
      <c r="AX270" s="54">
        <f t="shared" si="1184"/>
        <v>27.396485024636497</v>
      </c>
      <c r="AY270" s="54">
        <f t="shared" si="1184"/>
        <v>34.375844979194689</v>
      </c>
      <c r="AZ270" s="54">
        <f t="shared" si="1184"/>
        <v>47.042779016928364</v>
      </c>
      <c r="BA270" s="54">
        <f t="shared" si="1184"/>
        <v>59.334951627510016</v>
      </c>
      <c r="BB270" s="54">
        <f t="shared" si="1184"/>
        <v>62.749397785967673</v>
      </c>
      <c r="BC270" s="54">
        <f t="shared" si="1184"/>
        <v>66.631525513307594</v>
      </c>
      <c r="BD270" s="54">
        <f t="shared" si="1184"/>
        <v>70.345348298007679</v>
      </c>
      <c r="BE270" s="54">
        <f t="shared" si="1184"/>
        <v>75.548604017692469</v>
      </c>
      <c r="BF270" s="54">
        <f t="shared" si="1184"/>
        <v>81.657694506083317</v>
      </c>
      <c r="BI270">
        <f t="shared" si="638"/>
        <v>263</v>
      </c>
    </row>
    <row r="271" spans="1:61" outlineLevel="1">
      <c r="B271" s="29" t="s">
        <v>147</v>
      </c>
      <c r="C271" s="54">
        <f t="shared" si="1183"/>
        <v>333.49299999999999</v>
      </c>
      <c r="D271" s="54">
        <f t="shared" si="1183"/>
        <v>425.97900000000004</v>
      </c>
      <c r="E271" s="54">
        <f t="shared" si="1183"/>
        <v>514.11400000000003</v>
      </c>
      <c r="F271" s="54">
        <f t="shared" si="1183"/>
        <v>559.66899999999998</v>
      </c>
      <c r="G271" s="54">
        <f t="shared" si="1183"/>
        <v>624.03199999999993</v>
      </c>
      <c r="H271" s="54">
        <f t="shared" si="1183"/>
        <v>700.88200000000006</v>
      </c>
      <c r="I271" s="54">
        <f t="shared" si="1183"/>
        <v>666.23299999999995</v>
      </c>
      <c r="J271" s="54">
        <f t="shared" si="1183"/>
        <v>754.36200000000008</v>
      </c>
      <c r="K271" s="54">
        <f t="shared" si="1183"/>
        <v>824.41942457326263</v>
      </c>
      <c r="L271" s="54">
        <f t="shared" si="1183"/>
        <v>859.16085662847684</v>
      </c>
      <c r="M271" s="54">
        <f t="shared" si="1183"/>
        <v>866.14456990204189</v>
      </c>
      <c r="O271" s="54">
        <f t="shared" ref="O271:BF271" si="1185">-O33</f>
        <v>75.715999999999994</v>
      </c>
      <c r="P271" s="54">
        <f t="shared" si="1185"/>
        <v>78.783000000000001</v>
      </c>
      <c r="Q271" s="54">
        <f t="shared" si="1185"/>
        <v>85.430999999999997</v>
      </c>
      <c r="R271" s="54">
        <f t="shared" si="1185"/>
        <v>93.563000000000002</v>
      </c>
      <c r="S271" s="54">
        <f t="shared" si="1185"/>
        <v>96.215000000000003</v>
      </c>
      <c r="T271" s="54">
        <f t="shared" si="1185"/>
        <v>102.749</v>
      </c>
      <c r="U271" s="54">
        <f t="shared" si="1185"/>
        <v>110.71299999999999</v>
      </c>
      <c r="V271" s="54">
        <f t="shared" si="1185"/>
        <v>116.30200000000001</v>
      </c>
      <c r="W271" s="54">
        <f t="shared" si="1185"/>
        <v>122.953</v>
      </c>
      <c r="X271" s="54">
        <f t="shared" si="1185"/>
        <v>128.477</v>
      </c>
      <c r="Y271" s="54">
        <f t="shared" si="1185"/>
        <v>129.893</v>
      </c>
      <c r="Z271" s="54">
        <f t="shared" si="1185"/>
        <v>132.791</v>
      </c>
      <c r="AA271" s="54">
        <f t="shared" si="1185"/>
        <v>136.435</v>
      </c>
      <c r="AB271" s="54">
        <f t="shared" si="1185"/>
        <v>137.18199999999999</v>
      </c>
      <c r="AC271" s="54">
        <f t="shared" si="1185"/>
        <v>140.73400000000001</v>
      </c>
      <c r="AD271" s="54">
        <f t="shared" si="1185"/>
        <v>145.31799999999998</v>
      </c>
      <c r="AE271" s="54">
        <f t="shared" si="1185"/>
        <v>147.322</v>
      </c>
      <c r="AF271" s="54">
        <f t="shared" si="1185"/>
        <v>153.42599999999999</v>
      </c>
      <c r="AG271" s="54">
        <f t="shared" si="1185"/>
        <v>159.94599999999997</v>
      </c>
      <c r="AH271" s="54">
        <f t="shared" si="1185"/>
        <v>163.33800000000002</v>
      </c>
      <c r="AI271" s="54">
        <f t="shared" si="1185"/>
        <v>172.018</v>
      </c>
      <c r="AJ271" s="54">
        <f t="shared" si="1185"/>
        <v>177.82400000000001</v>
      </c>
      <c r="AK271" s="54">
        <f t="shared" si="1185"/>
        <v>177.143</v>
      </c>
      <c r="AL271" s="54">
        <f t="shared" si="1185"/>
        <v>173.89699999999999</v>
      </c>
      <c r="AM271" s="54">
        <f t="shared" si="1185"/>
        <v>174.56900000000002</v>
      </c>
      <c r="AN271" s="54">
        <f t="shared" si="1185"/>
        <v>170.97499999999999</v>
      </c>
      <c r="AO271" s="54">
        <f t="shared" si="1185"/>
        <v>163.464</v>
      </c>
      <c r="AP271" s="54">
        <f t="shared" si="1185"/>
        <v>157.22499999999999</v>
      </c>
      <c r="AQ271" s="54">
        <f t="shared" si="1185"/>
        <v>156.21700000000001</v>
      </c>
      <c r="AR271" s="54">
        <f t="shared" si="1185"/>
        <v>190.34899999999999</v>
      </c>
      <c r="AS271" s="54">
        <f t="shared" si="1185"/>
        <v>196.642</v>
      </c>
      <c r="AT271" s="54">
        <f t="shared" si="1185"/>
        <v>211.154</v>
      </c>
      <c r="AU271" s="54">
        <f t="shared" si="1185"/>
        <v>205</v>
      </c>
      <c r="AV271" s="54">
        <f t="shared" si="1185"/>
        <v>205.6896130517903</v>
      </c>
      <c r="AW271" s="54">
        <f t="shared" si="1185"/>
        <v>206.44894515684058</v>
      </c>
      <c r="AX271" s="54">
        <f t="shared" si="1185"/>
        <v>207.28086636463169</v>
      </c>
      <c r="AY271" s="54">
        <f t="shared" si="1185"/>
        <v>210.76347190672888</v>
      </c>
      <c r="AZ271" s="54">
        <f t="shared" si="1185"/>
        <v>212.95133137507113</v>
      </c>
      <c r="BA271" s="54">
        <f t="shared" si="1185"/>
        <v>215.09931035946954</v>
      </c>
      <c r="BB271" s="54">
        <f t="shared" si="1185"/>
        <v>220.34674298720725</v>
      </c>
      <c r="BC271" s="54">
        <f t="shared" si="1185"/>
        <v>220.51039657428601</v>
      </c>
      <c r="BD271" s="54">
        <f t="shared" si="1185"/>
        <v>217.74329253621968</v>
      </c>
      <c r="BE271" s="54">
        <f t="shared" si="1185"/>
        <v>215.14857666226837</v>
      </c>
      <c r="BF271" s="54">
        <f t="shared" si="1185"/>
        <v>212.74230412926789</v>
      </c>
      <c r="BI271">
        <f t="shared" si="638"/>
        <v>264</v>
      </c>
    </row>
    <row r="272" spans="1:61" outlineLevel="1">
      <c r="B272" s="29" t="s">
        <v>148</v>
      </c>
      <c r="C272" s="54">
        <f t="shared" si="1183"/>
        <v>147.49</v>
      </c>
      <c r="D272" s="54">
        <f t="shared" si="1183"/>
        <v>158.96700000000001</v>
      </c>
      <c r="E272" s="54">
        <f t="shared" si="1183"/>
        <v>160.43600000000001</v>
      </c>
      <c r="F272" s="54">
        <f t="shared" si="1183"/>
        <v>50.569000000000003</v>
      </c>
      <c r="G272" s="54">
        <f t="shared" si="1183"/>
        <v>43.673000000000002</v>
      </c>
      <c r="H272" s="54">
        <f t="shared" si="1183"/>
        <v>-99.87299999999999</v>
      </c>
      <c r="I272" s="54">
        <f t="shared" si="1183"/>
        <v>-152.16</v>
      </c>
      <c r="J272" s="54">
        <f t="shared" si="1183"/>
        <v>-330.346</v>
      </c>
      <c r="K272" s="54">
        <f t="shared" si="1183"/>
        <v>-1.6631760887273686</v>
      </c>
      <c r="L272" s="54">
        <f t="shared" si="1183"/>
        <v>-8.7348088134205</v>
      </c>
      <c r="M272" s="54">
        <f t="shared" si="1183"/>
        <v>-15.472020441673465</v>
      </c>
      <c r="O272" s="61">
        <v>6.923</v>
      </c>
      <c r="P272" s="61">
        <v>14.465000000000002</v>
      </c>
      <c r="Q272" s="61">
        <v>18.98</v>
      </c>
      <c r="R272" s="61">
        <v>107.12200000000001</v>
      </c>
      <c r="S272" s="61">
        <v>38.619</v>
      </c>
      <c r="T272" s="61">
        <v>31.382000000000005</v>
      </c>
      <c r="U272" s="61">
        <v>40.158000000000001</v>
      </c>
      <c r="V272" s="61">
        <v>48.808000000000007</v>
      </c>
      <c r="W272" s="61">
        <v>48.406999999999996</v>
      </c>
      <c r="X272" s="61">
        <v>54.168999999999997</v>
      </c>
      <c r="Y272" s="61">
        <v>29.155000000000001</v>
      </c>
      <c r="Z272" s="61">
        <v>28.705000000000013</v>
      </c>
      <c r="AA272" s="61">
        <v>24.555</v>
      </c>
      <c r="AB272" s="61">
        <v>21.192999999999998</v>
      </c>
      <c r="AC272" s="61">
        <v>17.385000000000005</v>
      </c>
      <c r="AD272" s="61">
        <v>-12.564</v>
      </c>
      <c r="AE272" s="61">
        <v>-9.9930000000000003</v>
      </c>
      <c r="AF272" s="61">
        <v>0.22499999999999964</v>
      </c>
      <c r="AG272" s="61">
        <v>-41.061999999999998</v>
      </c>
      <c r="AH272" s="61">
        <v>94.503</v>
      </c>
      <c r="AI272" s="61">
        <v>-23.799999999999955</v>
      </c>
      <c r="AJ272" s="61">
        <v>-16.425000000000047</v>
      </c>
      <c r="AK272" s="61">
        <v>-70.006</v>
      </c>
      <c r="AL272" s="61">
        <v>10.357999999999997</v>
      </c>
      <c r="AM272" s="61">
        <v>-11.615999999999943</v>
      </c>
      <c r="AN272" s="61">
        <v>-47.027000000000058</v>
      </c>
      <c r="AO272" s="61">
        <v>-50.402000000000001</v>
      </c>
      <c r="AP272" s="61">
        <v>-43.114999999999995</v>
      </c>
      <c r="AQ272" s="61">
        <v>-36.947000000000003</v>
      </c>
      <c r="AR272" s="61">
        <v>-53.736999999999995</v>
      </c>
      <c r="AS272" s="61">
        <v>-49.506</v>
      </c>
      <c r="AT272" s="94">
        <f>-330.346-AS272-AR272-AQ272</f>
        <v>-190.15600000000003</v>
      </c>
      <c r="AU272" s="87">
        <f>-(AU304-AT304)+(AU321-AT321)</f>
        <v>7.3858750000001123</v>
      </c>
      <c r="AV272" s="87">
        <f t="shared" ref="AV272:BF272" si="1186">-(AV304-AU304)+(AV321-AU321)</f>
        <v>-3.2235496094022551</v>
      </c>
      <c r="AW272" s="87">
        <f t="shared" si="1186"/>
        <v>-3.019790338331461</v>
      </c>
      <c r="AX272" s="87">
        <f t="shared" si="1186"/>
        <v>-2.8057111409937647</v>
      </c>
      <c r="AY272" s="87">
        <f t="shared" si="1186"/>
        <v>-4.7662451120719425</v>
      </c>
      <c r="AZ272" s="87">
        <f t="shared" si="1186"/>
        <v>-4.6077931668810379</v>
      </c>
      <c r="BA272" s="87">
        <f t="shared" si="1186"/>
        <v>0.38657061944508087</v>
      </c>
      <c r="BB272" s="87">
        <f t="shared" si="1186"/>
        <v>0.25265884608739952</v>
      </c>
      <c r="BC272" s="87">
        <f t="shared" si="1186"/>
        <v>-4.272031708814211</v>
      </c>
      <c r="BD272" s="87">
        <f t="shared" si="1186"/>
        <v>-4.0058878655786998</v>
      </c>
      <c r="BE272" s="87">
        <f t="shared" si="1186"/>
        <v>-3.7149570162928285</v>
      </c>
      <c r="BF272" s="87">
        <f t="shared" si="1186"/>
        <v>-3.4791438509877253</v>
      </c>
      <c r="BI272">
        <f t="shared" si="638"/>
        <v>265</v>
      </c>
    </row>
    <row r="273" spans="2:61" outlineLevel="1">
      <c r="B273" s="29" t="s">
        <v>260</v>
      </c>
      <c r="C273" s="87">
        <f t="shared" si="1183"/>
        <v>16.779</v>
      </c>
      <c r="D273" s="87">
        <f t="shared" si="1183"/>
        <v>20.904000000000003</v>
      </c>
      <c r="E273" s="87">
        <f t="shared" si="1183"/>
        <v>23.184999999999999</v>
      </c>
      <c r="F273" s="87">
        <f t="shared" si="1183"/>
        <v>25.890999999999998</v>
      </c>
      <c r="G273" s="87">
        <f t="shared" si="1183"/>
        <v>27.032</v>
      </c>
      <c r="H273" s="87">
        <f t="shared" si="1183"/>
        <v>28.51</v>
      </c>
      <c r="I273" s="87">
        <f t="shared" si="1183"/>
        <v>28.324000000000002</v>
      </c>
      <c r="J273" s="87">
        <f t="shared" si="1183"/>
        <v>44.482999999999997</v>
      </c>
      <c r="K273" s="87">
        <f t="shared" si="1183"/>
        <v>40</v>
      </c>
      <c r="L273" s="87">
        <f t="shared" si="1183"/>
        <v>40</v>
      </c>
      <c r="M273" s="54">
        <f t="shared" si="1183"/>
        <v>40</v>
      </c>
      <c r="O273" s="94">
        <v>4.1260000000000003</v>
      </c>
      <c r="P273" s="94">
        <f>7.987-O273</f>
        <v>3.8609999999999998</v>
      </c>
      <c r="Q273" s="94">
        <f>11.881-P273-O273</f>
        <v>3.8939999999999992</v>
      </c>
      <c r="R273" s="94">
        <f>16.779-Q273-P273-O273</f>
        <v>4.8980000000000006</v>
      </c>
      <c r="S273" s="94">
        <v>4.3070000000000004</v>
      </c>
      <c r="T273" s="94">
        <f>9.85-S273</f>
        <v>5.5429999999999993</v>
      </c>
      <c r="U273" s="94">
        <f>15.366-T273</f>
        <v>9.8230000000000004</v>
      </c>
      <c r="V273" s="94">
        <f>20.904-U273-T273-S273</f>
        <v>1.2309999999999999</v>
      </c>
      <c r="W273" s="94">
        <v>5.4379999999999997</v>
      </c>
      <c r="X273" s="94">
        <f>11.24-W273</f>
        <v>5.8020000000000005</v>
      </c>
      <c r="Y273" s="94">
        <f>17.203-X273-W273</f>
        <v>5.9630000000000001</v>
      </c>
      <c r="Z273" s="94">
        <f>23.185-Y273-X273-W273</f>
        <v>5.9819999999999984</v>
      </c>
      <c r="AA273" s="94">
        <v>5.9029999999999996</v>
      </c>
      <c r="AB273" s="94">
        <f>12.119-AA273</f>
        <v>6.2160000000000002</v>
      </c>
      <c r="AC273" s="94">
        <f>19.028-AB273-AA273</f>
        <v>6.908999999999998</v>
      </c>
      <c r="AD273" s="94">
        <f>25.891-AC273-AB273-AA273</f>
        <v>6.8629999999999987</v>
      </c>
      <c r="AE273" s="94">
        <v>6.7110000000000003</v>
      </c>
      <c r="AF273" s="94">
        <f>12.959-AE273</f>
        <v>6.2479999999999993</v>
      </c>
      <c r="AG273" s="94">
        <f>19.945-AF273-AE273</f>
        <v>6.9860000000000007</v>
      </c>
      <c r="AH273" s="94">
        <f>27.032-AG273-AF273-AE273</f>
        <v>7.0869999999999997</v>
      </c>
      <c r="AI273" s="94">
        <v>6.8550000000000004</v>
      </c>
      <c r="AJ273" s="94">
        <f>13.831-AI273</f>
        <v>6.9759999999999991</v>
      </c>
      <c r="AK273" s="94">
        <f>21.186-AJ273-AI273</f>
        <v>7.3550000000000004</v>
      </c>
      <c r="AL273" s="94">
        <f>28.51-AK273-AJ273-AI273</f>
        <v>7.3240000000000016</v>
      </c>
      <c r="AM273" s="94">
        <v>7.2110000000000003</v>
      </c>
      <c r="AN273" s="94">
        <f>14.192-AM273</f>
        <v>6.9809999999999999</v>
      </c>
      <c r="AO273" s="94">
        <f>21.13-AN273-AM273</f>
        <v>6.9379999999999988</v>
      </c>
      <c r="AP273" s="94">
        <f>28.324-AO273-AN273-AM273</f>
        <v>7.1940000000000026</v>
      </c>
      <c r="AQ273" s="94">
        <v>7.1310000000000002</v>
      </c>
      <c r="AR273" s="94">
        <f>22.17-AQ273</f>
        <v>15.039000000000001</v>
      </c>
      <c r="AS273" s="94">
        <f>35.101-AR273-AQ273</f>
        <v>12.930999999999997</v>
      </c>
      <c r="AT273" s="94">
        <f>44.483-AS273-AR273-AQ273</f>
        <v>9.3819999999999979</v>
      </c>
      <c r="AU273" s="94">
        <v>10</v>
      </c>
      <c r="AV273" s="94">
        <v>10</v>
      </c>
      <c r="AW273" s="94">
        <v>10</v>
      </c>
      <c r="AX273" s="94">
        <v>10</v>
      </c>
      <c r="AY273" s="94">
        <v>10</v>
      </c>
      <c r="AZ273" s="94">
        <v>10</v>
      </c>
      <c r="BA273" s="94">
        <v>10</v>
      </c>
      <c r="BB273" s="94">
        <v>10</v>
      </c>
      <c r="BC273" s="94">
        <v>10</v>
      </c>
      <c r="BD273" s="94">
        <v>10</v>
      </c>
      <c r="BE273" s="94">
        <v>10</v>
      </c>
      <c r="BF273" s="94">
        <v>10</v>
      </c>
      <c r="BI273">
        <f t="shared" si="638"/>
        <v>266</v>
      </c>
    </row>
    <row r="274" spans="2:61" outlineLevel="1">
      <c r="B274" s="29" t="s">
        <v>50</v>
      </c>
      <c r="C274" s="54">
        <f t="shared" si="1183"/>
        <v>-16.194000000000244</v>
      </c>
      <c r="D274" s="54">
        <f t="shared" si="1183"/>
        <v>-4.1250000000000853</v>
      </c>
      <c r="E274" s="54">
        <f t="shared" si="1183"/>
        <v>-21.177900000000022</v>
      </c>
      <c r="F274" s="54">
        <f t="shared" si="1183"/>
        <v>36.934000000000196</v>
      </c>
      <c r="G274" s="54">
        <f t="shared" si="1183"/>
        <v>78.748459000000025</v>
      </c>
      <c r="H274" s="54">
        <f t="shared" si="1183"/>
        <v>267.3839999999999</v>
      </c>
      <c r="I274" s="54">
        <f t="shared" si="1183"/>
        <v>-14.550000000000033</v>
      </c>
      <c r="J274" s="54">
        <f t="shared" si="1183"/>
        <v>-16.445999999999842</v>
      </c>
      <c r="K274" s="54">
        <f t="shared" si="1183"/>
        <v>0</v>
      </c>
      <c r="L274" s="54">
        <f t="shared" si="1183"/>
        <v>0</v>
      </c>
      <c r="M274" s="54">
        <f t="shared" si="1183"/>
        <v>0</v>
      </c>
      <c r="O274" s="54">
        <f t="shared" ref="O274:AR274" si="1187">O281-SUM(O270:O273,O276:O280)</f>
        <v>11.052999999999912</v>
      </c>
      <c r="P274" s="54">
        <f t="shared" si="1187"/>
        <v>19.325999999999965</v>
      </c>
      <c r="Q274" s="54">
        <f t="shared" si="1187"/>
        <v>-45.188000000000045</v>
      </c>
      <c r="R274" s="54">
        <f t="shared" si="1187"/>
        <v>-1.3850000000000762</v>
      </c>
      <c r="S274" s="54">
        <f t="shared" si="1187"/>
        <v>-1.8950000000000102</v>
      </c>
      <c r="T274" s="54">
        <f t="shared" si="1187"/>
        <v>-0.91500000000002046</v>
      </c>
      <c r="U274" s="54">
        <f t="shared" si="1187"/>
        <v>-5.6730000000000018</v>
      </c>
      <c r="V274" s="54">
        <f t="shared" si="1187"/>
        <v>4.3579999999999472</v>
      </c>
      <c r="W274" s="54">
        <f t="shared" si="1187"/>
        <v>-0.72399999999998954</v>
      </c>
      <c r="X274" s="54">
        <f t="shared" si="1187"/>
        <v>-29.531000000000006</v>
      </c>
      <c r="Y274" s="54">
        <f t="shared" si="1187"/>
        <v>2.5451000000001045</v>
      </c>
      <c r="Z274" s="54">
        <f t="shared" si="1187"/>
        <v>6.5319999999998686</v>
      </c>
      <c r="AA274" s="54">
        <f t="shared" si="1187"/>
        <v>0.13500000000004775</v>
      </c>
      <c r="AB274" s="54">
        <f t="shared" si="1187"/>
        <v>-1.02800000000002</v>
      </c>
      <c r="AC274" s="54">
        <f t="shared" si="1187"/>
        <v>-1.3389999999998849</v>
      </c>
      <c r="AD274" s="54">
        <f t="shared" si="1187"/>
        <v>39.166000000000054</v>
      </c>
      <c r="AE274" s="54">
        <f t="shared" si="1187"/>
        <v>-2.1717000000000439</v>
      </c>
      <c r="AF274" s="54">
        <f t="shared" si="1187"/>
        <v>-3.0529999999999404</v>
      </c>
      <c r="AG274" s="54">
        <f t="shared" si="1187"/>
        <v>76.31115899999989</v>
      </c>
      <c r="AH274" s="54">
        <f t="shared" si="1187"/>
        <v>7.6620000000001198</v>
      </c>
      <c r="AI274" s="54">
        <f t="shared" si="1187"/>
        <v>0.45999999999997954</v>
      </c>
      <c r="AJ274" s="54">
        <f t="shared" si="1187"/>
        <v>-7.1060000000000514</v>
      </c>
      <c r="AK274" s="54">
        <f t="shared" si="1187"/>
        <v>293.83600000000007</v>
      </c>
      <c r="AL274" s="54">
        <f t="shared" si="1187"/>
        <v>-19.806000000000068</v>
      </c>
      <c r="AM274" s="54">
        <f t="shared" si="1187"/>
        <v>-0.83300000000005525</v>
      </c>
      <c r="AN274" s="54">
        <f t="shared" si="1187"/>
        <v>-7.5929999999999751</v>
      </c>
      <c r="AO274" s="54">
        <f t="shared" si="1187"/>
        <v>-9.5079999999999956</v>
      </c>
      <c r="AP274" s="54">
        <f t="shared" si="1187"/>
        <v>3.3839999999999932</v>
      </c>
      <c r="AQ274" s="54">
        <f t="shared" si="1187"/>
        <v>-13.473000000000008</v>
      </c>
      <c r="AR274" s="54">
        <f t="shared" si="1187"/>
        <v>27.286000000000026</v>
      </c>
      <c r="AS274" s="54">
        <f>AS281-SUM(AS270:AS273,AS276:AS280)</f>
        <v>32.790000000000035</v>
      </c>
      <c r="AT274" s="54">
        <f>AT281-SUM(AT270:AT273,AT276:AT280)</f>
        <v>-63.048999999999893</v>
      </c>
      <c r="AU274" s="61">
        <v>0</v>
      </c>
      <c r="AV274" s="61">
        <v>0</v>
      </c>
      <c r="AW274" s="61">
        <v>0</v>
      </c>
      <c r="AX274" s="61">
        <v>0</v>
      </c>
      <c r="AY274" s="61">
        <v>0</v>
      </c>
      <c r="AZ274" s="61">
        <v>0</v>
      </c>
      <c r="BA274" s="61">
        <v>0</v>
      </c>
      <c r="BB274" s="61">
        <v>0</v>
      </c>
      <c r="BC274" s="61">
        <v>0</v>
      </c>
      <c r="BD274" s="61">
        <v>0</v>
      </c>
      <c r="BE274" s="61">
        <v>0</v>
      </c>
      <c r="BF274" s="61">
        <v>0</v>
      </c>
      <c r="BI274">
        <f t="shared" si="638"/>
        <v>267</v>
      </c>
    </row>
    <row r="275" spans="2:61" outlineLevel="1">
      <c r="B275" s="28" t="s">
        <v>149</v>
      </c>
      <c r="AT275" s="90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I275">
        <f t="shared" si="638"/>
        <v>268</v>
      </c>
    </row>
    <row r="276" spans="2:61" outlineLevel="1">
      <c r="B276" s="29" t="s">
        <v>150</v>
      </c>
      <c r="C276" s="54">
        <f t="shared" si="1183"/>
        <v>-178.44399999999999</v>
      </c>
      <c r="D276" s="54">
        <f t="shared" si="1183"/>
        <v>-183.16499999999999</v>
      </c>
      <c r="E276" s="54">
        <f t="shared" si="1183"/>
        <v>52.612000000000002</v>
      </c>
      <c r="F276" s="54">
        <f t="shared" si="1183"/>
        <v>12.006999999999998</v>
      </c>
      <c r="G276" s="54">
        <f t="shared" si="1183"/>
        <v>-214.059</v>
      </c>
      <c r="H276" s="54">
        <f t="shared" si="1183"/>
        <v>440.88400000000001</v>
      </c>
      <c r="I276" s="54">
        <f t="shared" si="1183"/>
        <v>72.326999999999998</v>
      </c>
      <c r="J276" s="54">
        <f t="shared" si="1183"/>
        <v>-239.482</v>
      </c>
      <c r="K276" s="54">
        <f t="shared" si="1183"/>
        <v>-131.15775361039869</v>
      </c>
      <c r="L276" s="54">
        <f t="shared" si="1183"/>
        <v>-139.20159562952949</v>
      </c>
      <c r="M276" s="54">
        <f t="shared" si="1183"/>
        <v>-41.765857123907722</v>
      </c>
      <c r="O276" s="61">
        <v>-25.731999999999999</v>
      </c>
      <c r="P276" s="61">
        <v>-21.65</v>
      </c>
      <c r="Q276" s="61">
        <v>-50.073</v>
      </c>
      <c r="R276" s="61">
        <v>-80.98899999999999</v>
      </c>
      <c r="S276" s="61">
        <v>-48.152000000000001</v>
      </c>
      <c r="T276" s="61">
        <v>-23.263999999999996</v>
      </c>
      <c r="U276" s="61">
        <v>-61.955000000000013</v>
      </c>
      <c r="V276" s="61">
        <v>-49.793999999999983</v>
      </c>
      <c r="W276" s="61">
        <v>-38.109000000000002</v>
      </c>
      <c r="X276" s="61">
        <v>27.661000000000001</v>
      </c>
      <c r="Y276" s="61">
        <v>57.936999999999998</v>
      </c>
      <c r="Z276" s="61">
        <v>5.1230000000000047</v>
      </c>
      <c r="AA276" s="61">
        <v>-25.22</v>
      </c>
      <c r="AB276" s="61">
        <v>-10.805</v>
      </c>
      <c r="AC276" s="61">
        <v>12.363</v>
      </c>
      <c r="AD276" s="61">
        <v>35.668999999999997</v>
      </c>
      <c r="AE276" s="61">
        <v>-35.433999999999997</v>
      </c>
      <c r="AF276" s="61">
        <v>-21.529000000000003</v>
      </c>
      <c r="AG276" s="61">
        <v>-86.075999999999993</v>
      </c>
      <c r="AH276" s="61">
        <v>-71.02000000000001</v>
      </c>
      <c r="AI276" s="61">
        <v>176.672</v>
      </c>
      <c r="AJ276" s="61">
        <v>153.50399999999999</v>
      </c>
      <c r="AK276" s="61">
        <v>29.127999999999986</v>
      </c>
      <c r="AL276" s="61">
        <v>81.580000000000069</v>
      </c>
      <c r="AM276" s="61">
        <v>37.362000000000002</v>
      </c>
      <c r="AN276" s="61">
        <v>54.196999999999996</v>
      </c>
      <c r="AO276" s="61">
        <v>-16.816999999999993</v>
      </c>
      <c r="AP276" s="61">
        <v>-2.4150000000000063</v>
      </c>
      <c r="AQ276" s="61">
        <v>-62.290999999999997</v>
      </c>
      <c r="AR276" s="61">
        <v>-73.251000000000005</v>
      </c>
      <c r="AS276" s="61">
        <v>-110.86500000000001</v>
      </c>
      <c r="AT276" s="61">
        <f>-239.482-AS276-AR276-AQ276</f>
        <v>6.9250000000000114</v>
      </c>
      <c r="AU276" s="54">
        <f t="shared" ref="AU276:BF276" si="1188">-(AU301-AT301)</f>
        <v>-5.2559200847047123</v>
      </c>
      <c r="AV276" s="54">
        <f t="shared" si="1188"/>
        <v>-47.934118497474401</v>
      </c>
      <c r="AW276" s="54">
        <f t="shared" si="1188"/>
        <v>-39.734275371854778</v>
      </c>
      <c r="AX276" s="54">
        <f t="shared" si="1188"/>
        <v>-38.233439656364794</v>
      </c>
      <c r="AY276" s="54">
        <f t="shared" si="1188"/>
        <v>-43.121174170571408</v>
      </c>
      <c r="AZ276" s="54">
        <f t="shared" si="1188"/>
        <v>-29.543326957149475</v>
      </c>
      <c r="BA276" s="54">
        <f t="shared" si="1188"/>
        <v>-37.934417247153988</v>
      </c>
      <c r="BB276" s="54">
        <f t="shared" si="1188"/>
        <v>-28.602677254654623</v>
      </c>
      <c r="BC276" s="54">
        <f t="shared" si="1188"/>
        <v>-26.35448934770136</v>
      </c>
      <c r="BD276" s="54">
        <f t="shared" si="1188"/>
        <v>-6.8968332377897923</v>
      </c>
      <c r="BE276" s="54">
        <f t="shared" si="1188"/>
        <v>-1.2788567275026708</v>
      </c>
      <c r="BF276" s="54">
        <f t="shared" si="1188"/>
        <v>-7.2356778109138986</v>
      </c>
      <c r="BI276">
        <f t="shared" si="638"/>
        <v>269</v>
      </c>
    </row>
    <row r="277" spans="2:61" outlineLevel="1">
      <c r="B277" s="29" t="s">
        <v>151</v>
      </c>
      <c r="C277" s="54">
        <f t="shared" si="1183"/>
        <v>-8.7720000000000002</v>
      </c>
      <c r="D277" s="54">
        <f t="shared" si="1183"/>
        <v>-13.491000000000001</v>
      </c>
      <c r="E277" s="54">
        <f t="shared" si="1183"/>
        <v>5.2759999999999998</v>
      </c>
      <c r="F277" s="54">
        <f t="shared" si="1183"/>
        <v>0.56999999999999984</v>
      </c>
      <c r="G277" s="54">
        <f t="shared" si="1183"/>
        <v>-5.7370000000000019</v>
      </c>
      <c r="H277" s="54">
        <f t="shared" si="1183"/>
        <v>40.238</v>
      </c>
      <c r="I277" s="54">
        <f t="shared" si="1183"/>
        <v>5.6639999999999997</v>
      </c>
      <c r="J277" s="54">
        <f t="shared" si="1183"/>
        <v>-23.449000000000005</v>
      </c>
      <c r="K277" s="54">
        <f t="shared" si="1183"/>
        <v>-13.051985946790694</v>
      </c>
      <c r="L277" s="54">
        <f t="shared" si="1183"/>
        <v>-15.087161877823874</v>
      </c>
      <c r="M277" s="54">
        <f t="shared" si="1183"/>
        <v>-4.693315198553293</v>
      </c>
      <c r="O277" s="61">
        <v>-2.2480000000000002</v>
      </c>
      <c r="P277" s="61">
        <v>-11.035</v>
      </c>
      <c r="Q277" s="61">
        <v>6.4190000000000014</v>
      </c>
      <c r="R277" s="61">
        <v>-1.9080000000000004</v>
      </c>
      <c r="S277" s="61">
        <v>1.2050000000000001</v>
      </c>
      <c r="T277" s="61">
        <v>-14.923999999999999</v>
      </c>
      <c r="U277" s="61">
        <v>3.0939999999999994</v>
      </c>
      <c r="V277" s="61">
        <v>-2.8660000000000014</v>
      </c>
      <c r="W277" s="61">
        <v>5.3319999999999999</v>
      </c>
      <c r="X277" s="61">
        <v>0.7759999999999998</v>
      </c>
      <c r="Y277" s="61">
        <v>2.7489999999999997</v>
      </c>
      <c r="Z277" s="61">
        <v>-3.5809999999999995</v>
      </c>
      <c r="AA277" s="61">
        <v>6.6719999999999997</v>
      </c>
      <c r="AB277" s="61">
        <v>-19.477</v>
      </c>
      <c r="AC277" s="61">
        <v>15.895</v>
      </c>
      <c r="AD277" s="61">
        <v>-2.52</v>
      </c>
      <c r="AE277" s="61">
        <v>2.5129999999999999</v>
      </c>
      <c r="AF277" s="61">
        <v>-24.408999999999999</v>
      </c>
      <c r="AG277" s="61">
        <v>35.597000000000001</v>
      </c>
      <c r="AH277" s="61">
        <v>-19.438000000000002</v>
      </c>
      <c r="AI277" s="61">
        <v>9.7240000000000002</v>
      </c>
      <c r="AJ277" s="61">
        <v>2.3529999999999998</v>
      </c>
      <c r="AK277" s="61">
        <v>15.501999999999999</v>
      </c>
      <c r="AL277" s="61">
        <v>12.659000000000002</v>
      </c>
      <c r="AM277" s="61">
        <v>2.9729999999999999</v>
      </c>
      <c r="AN277" s="61">
        <v>0.82200000000000006</v>
      </c>
      <c r="AO277" s="61">
        <v>4.0810000000000004</v>
      </c>
      <c r="AP277" s="61">
        <v>-2.2120000000000006</v>
      </c>
      <c r="AQ277" s="61">
        <v>9.9309999999999992</v>
      </c>
      <c r="AR277" s="61">
        <v>-39.116999999999997</v>
      </c>
      <c r="AS277" s="61">
        <v>2.7879999999999985</v>
      </c>
      <c r="AT277" s="61">
        <f>-23.449-AS277-AR277-AQ277</f>
        <v>2.9489999999999963</v>
      </c>
      <c r="AU277" s="54">
        <f t="shared" ref="AU277:BF277" si="1189">-(AU303-AT303)</f>
        <v>-1.5480723268642294</v>
      </c>
      <c r="AV277" s="54">
        <f t="shared" si="1189"/>
        <v>-4.8974297881807587</v>
      </c>
      <c r="AW277" s="54">
        <f t="shared" si="1189"/>
        <v>-3.0958189537236649</v>
      </c>
      <c r="AX277" s="54">
        <f t="shared" si="1189"/>
        <v>-3.5106648780220411</v>
      </c>
      <c r="AY277" s="54">
        <f t="shared" si="1189"/>
        <v>-4.6143822871394633</v>
      </c>
      <c r="AZ277" s="54">
        <f t="shared" si="1189"/>
        <v>-2.776324354758728</v>
      </c>
      <c r="BA277" s="54">
        <f t="shared" si="1189"/>
        <v>-4.275043649544898</v>
      </c>
      <c r="BB277" s="54">
        <f t="shared" si="1189"/>
        <v>-3.4214115863807848</v>
      </c>
      <c r="BC277" s="54">
        <f t="shared" si="1189"/>
        <v>-3.1045321290235393</v>
      </c>
      <c r="BD277" s="54">
        <f t="shared" si="1189"/>
        <v>-0.752794150711253</v>
      </c>
      <c r="BE277" s="54">
        <f t="shared" si="1189"/>
        <v>-4.1930624391923743E-2</v>
      </c>
      <c r="BF277" s="54">
        <f t="shared" si="1189"/>
        <v>-0.79405829442657705</v>
      </c>
      <c r="BI277">
        <f t="shared" si="638"/>
        <v>270</v>
      </c>
    </row>
    <row r="278" spans="2:61" outlineLevel="1">
      <c r="B278" s="29" t="s">
        <v>167</v>
      </c>
      <c r="C278" s="54">
        <f t="shared" si="1183"/>
        <v>43.521999999999991</v>
      </c>
      <c r="D278" s="54">
        <f t="shared" si="1183"/>
        <v>77.617999999999995</v>
      </c>
      <c r="E278" s="54">
        <f t="shared" si="1183"/>
        <v>3.5060000000000002</v>
      </c>
      <c r="F278" s="54">
        <f t="shared" si="1183"/>
        <v>4.447000000000001</v>
      </c>
      <c r="G278" s="54">
        <f t="shared" si="1183"/>
        <v>-92.352000000000032</v>
      </c>
      <c r="H278" s="54">
        <f t="shared" si="1183"/>
        <v>49.894999999999996</v>
      </c>
      <c r="I278" s="54">
        <f t="shared" si="1183"/>
        <v>30.379000000000001</v>
      </c>
      <c r="J278" s="54">
        <f t="shared" si="1183"/>
        <v>0.99</v>
      </c>
      <c r="K278" s="54">
        <f t="shared" si="1183"/>
        <v>0</v>
      </c>
      <c r="L278" s="54">
        <f t="shared" si="1183"/>
        <v>0</v>
      </c>
      <c r="M278" s="54">
        <f t="shared" si="1183"/>
        <v>0</v>
      </c>
      <c r="O278" s="61">
        <v>-3.617</v>
      </c>
      <c r="P278" s="61">
        <v>117.307</v>
      </c>
      <c r="Q278" s="61">
        <v>0.51900000000000546</v>
      </c>
      <c r="R278" s="61">
        <v>-70.687000000000012</v>
      </c>
      <c r="S278" s="61">
        <v>2.3319999999999999</v>
      </c>
      <c r="T278" s="61">
        <v>71.417000000000002</v>
      </c>
      <c r="U278" s="61">
        <v>2.2690000000000055</v>
      </c>
      <c r="V278" s="61">
        <v>1.5999999999999881</v>
      </c>
      <c r="W278" s="61">
        <v>5.8070000000000004</v>
      </c>
      <c r="X278" s="61">
        <v>-10.265000000000001</v>
      </c>
      <c r="Y278" s="61">
        <v>1.1430000000000007</v>
      </c>
      <c r="Z278" s="61">
        <v>6.8209999999999997</v>
      </c>
      <c r="AA278" s="61">
        <v>1.2669999999999999</v>
      </c>
      <c r="AB278" s="61">
        <v>-9.7469999999999999</v>
      </c>
      <c r="AC278" s="61">
        <v>2.8939999999999997</v>
      </c>
      <c r="AD278" s="61">
        <v>10.033000000000001</v>
      </c>
      <c r="AE278" s="61">
        <v>14.18</v>
      </c>
      <c r="AF278" s="61">
        <v>-27.652999999999999</v>
      </c>
      <c r="AG278" s="61">
        <v>27.173999999999999</v>
      </c>
      <c r="AH278" s="61">
        <v>-106.05300000000003</v>
      </c>
      <c r="AI278" s="61">
        <v>112.711</v>
      </c>
      <c r="AJ278" s="61">
        <v>-19.183999999999997</v>
      </c>
      <c r="AK278" s="61">
        <v>-41.489999999999995</v>
      </c>
      <c r="AL278" s="61">
        <v>-2.1420000000000101</v>
      </c>
      <c r="AM278" s="61">
        <v>-3.3460000000000001</v>
      </c>
      <c r="AN278" s="61">
        <v>1.0169999999999999</v>
      </c>
      <c r="AO278" s="61">
        <v>30.853000000000002</v>
      </c>
      <c r="AP278" s="61">
        <v>1.855</v>
      </c>
      <c r="AQ278" s="61">
        <v>0.248</v>
      </c>
      <c r="AR278" s="61">
        <v>-1.389</v>
      </c>
      <c r="AS278" s="61">
        <v>2.6399999999999997</v>
      </c>
      <c r="AT278" s="61">
        <f>0.99-AS278-AR278-AQ278</f>
        <v>-0.50899999999999967</v>
      </c>
      <c r="AU278" s="54">
        <f t="shared" ref="AU278:BF278" si="1190">-(AU304-AT304)</f>
        <v>0</v>
      </c>
      <c r="AV278" s="54">
        <f t="shared" si="1190"/>
        <v>0</v>
      </c>
      <c r="AW278" s="54">
        <f t="shared" si="1190"/>
        <v>0</v>
      </c>
      <c r="AX278" s="54">
        <f t="shared" si="1190"/>
        <v>0</v>
      </c>
      <c r="AY278" s="54">
        <f t="shared" si="1190"/>
        <v>0</v>
      </c>
      <c r="AZ278" s="54">
        <f t="shared" si="1190"/>
        <v>0</v>
      </c>
      <c r="BA278" s="54">
        <f t="shared" si="1190"/>
        <v>0</v>
      </c>
      <c r="BB278" s="54">
        <f t="shared" si="1190"/>
        <v>0</v>
      </c>
      <c r="BC278" s="54">
        <f t="shared" si="1190"/>
        <v>0</v>
      </c>
      <c r="BD278" s="54">
        <f t="shared" si="1190"/>
        <v>0</v>
      </c>
      <c r="BE278" s="54">
        <f t="shared" si="1190"/>
        <v>0</v>
      </c>
      <c r="BF278" s="54">
        <f t="shared" si="1190"/>
        <v>0</v>
      </c>
      <c r="BI278">
        <f t="shared" si="638"/>
        <v>271</v>
      </c>
    </row>
    <row r="279" spans="2:61" outlineLevel="1">
      <c r="B279" s="29" t="s">
        <v>152</v>
      </c>
      <c r="C279" s="54">
        <f t="shared" si="1183"/>
        <v>49.576000000000001</v>
      </c>
      <c r="D279" s="54">
        <f t="shared" si="1183"/>
        <v>41.994999999999997</v>
      </c>
      <c r="E279" s="54">
        <f t="shared" si="1183"/>
        <v>-25.199000000000002</v>
      </c>
      <c r="F279" s="54">
        <f t="shared" si="1183"/>
        <v>11.331</v>
      </c>
      <c r="G279" s="54">
        <f t="shared" si="1183"/>
        <v>86.620999999999995</v>
      </c>
      <c r="H279" s="54">
        <f t="shared" si="1183"/>
        <v>-131.649</v>
      </c>
      <c r="I279" s="54">
        <f t="shared" si="1183"/>
        <v>12.024000000000001</v>
      </c>
      <c r="J279" s="54">
        <f t="shared" si="1183"/>
        <v>104.072</v>
      </c>
      <c r="K279" s="54">
        <f t="shared" si="1183"/>
        <v>60.313282349952885</v>
      </c>
      <c r="L279" s="54">
        <f t="shared" si="1183"/>
        <v>69.717838948515009</v>
      </c>
      <c r="M279" s="54">
        <f t="shared" si="1183"/>
        <v>21.687829413980694</v>
      </c>
      <c r="O279" s="61">
        <v>19.465</v>
      </c>
      <c r="P279" s="61">
        <v>-37.905999999999999</v>
      </c>
      <c r="Q279" s="61">
        <v>50.114999999999995</v>
      </c>
      <c r="R279" s="61">
        <v>17.902000000000005</v>
      </c>
      <c r="S279" s="61">
        <v>14.053000000000001</v>
      </c>
      <c r="T279" s="61">
        <v>-3.4040000000000017</v>
      </c>
      <c r="U279" s="61">
        <v>47.371000000000002</v>
      </c>
      <c r="V279" s="61">
        <v>-16.025000000000006</v>
      </c>
      <c r="W279" s="61">
        <v>30.417999999999999</v>
      </c>
      <c r="X279" s="61">
        <v>-38.884</v>
      </c>
      <c r="Y279" s="61">
        <v>-4.6359999999999992</v>
      </c>
      <c r="Z279" s="61">
        <v>-12.097000000000001</v>
      </c>
      <c r="AA279" s="61">
        <v>21.385000000000002</v>
      </c>
      <c r="AB279" s="61">
        <v>4.1169999999999973</v>
      </c>
      <c r="AC279" s="61">
        <v>-3.2949999999999982</v>
      </c>
      <c r="AD279" s="61">
        <v>-10.876000000000001</v>
      </c>
      <c r="AE279" s="61">
        <v>22.263999999999999</v>
      </c>
      <c r="AF279" s="61">
        <v>27.748000000000001</v>
      </c>
      <c r="AG279" s="61">
        <v>21.852999999999991</v>
      </c>
      <c r="AH279" s="61">
        <v>14.755999999999997</v>
      </c>
      <c r="AI279" s="61">
        <v>-65.195999999999998</v>
      </c>
      <c r="AJ279" s="61">
        <v>-43.228000000000009</v>
      </c>
      <c r="AK279" s="61">
        <v>-12.315999999999988</v>
      </c>
      <c r="AL279" s="61">
        <v>-10.909000000000006</v>
      </c>
      <c r="AM279" s="61">
        <v>-14.888</v>
      </c>
      <c r="AN279" s="61">
        <v>-10.85</v>
      </c>
      <c r="AO279" s="61">
        <v>6.0859999999999985</v>
      </c>
      <c r="AP279" s="61">
        <v>31.676000000000002</v>
      </c>
      <c r="AQ279" s="61">
        <v>11.252000000000001</v>
      </c>
      <c r="AR279" s="61">
        <v>47.12</v>
      </c>
      <c r="AS279" s="61">
        <v>33.126999999999995</v>
      </c>
      <c r="AT279" s="61">
        <f>104.072-AS279-AR279-AQ279</f>
        <v>12.573000000000009</v>
      </c>
      <c r="AU279" s="54">
        <f t="shared" ref="AU279:BF279" si="1191">+AU316-AT316</f>
        <v>7.1536487802661668</v>
      </c>
      <c r="AV279" s="54">
        <f t="shared" si="1191"/>
        <v>22.63104379730396</v>
      </c>
      <c r="AW279" s="54">
        <f t="shared" si="1191"/>
        <v>14.305792499430595</v>
      </c>
      <c r="AX279" s="54">
        <f t="shared" si="1191"/>
        <v>16.222797272952164</v>
      </c>
      <c r="AY279" s="54">
        <f t="shared" si="1191"/>
        <v>21.323080095967725</v>
      </c>
      <c r="AZ279" s="54">
        <f t="shared" si="1191"/>
        <v>12.829406604194787</v>
      </c>
      <c r="BA279" s="54">
        <f t="shared" si="1191"/>
        <v>19.754994814162615</v>
      </c>
      <c r="BB279" s="54">
        <f t="shared" si="1191"/>
        <v>15.810357434189882</v>
      </c>
      <c r="BC279" s="54">
        <f t="shared" si="1191"/>
        <v>14.346056119401339</v>
      </c>
      <c r="BD279" s="54">
        <f t="shared" si="1191"/>
        <v>3.478664959366256</v>
      </c>
      <c r="BE279" s="54">
        <f t="shared" si="1191"/>
        <v>0.19376159293841511</v>
      </c>
      <c r="BF279" s="54">
        <f t="shared" si="1191"/>
        <v>3.6693467422746835</v>
      </c>
      <c r="BI279">
        <f t="shared" si="638"/>
        <v>272</v>
      </c>
    </row>
    <row r="280" spans="2:61" outlineLevel="1">
      <c r="B280" s="29" t="s">
        <v>168</v>
      </c>
      <c r="C280" s="54">
        <f t="shared" si="1183"/>
        <v>21.305999999999997</v>
      </c>
      <c r="D280" s="54">
        <f t="shared" si="1183"/>
        <v>10.201999999999998</v>
      </c>
      <c r="E280" s="54">
        <f t="shared" si="1183"/>
        <v>-6.8849999999999998</v>
      </c>
      <c r="F280" s="54">
        <f t="shared" si="1183"/>
        <v>1.8730000000000002</v>
      </c>
      <c r="G280" s="54">
        <f t="shared" si="1183"/>
        <v>17.384999999999998</v>
      </c>
      <c r="H280" s="54">
        <f t="shared" si="1183"/>
        <v>-2.3479999999999999</v>
      </c>
      <c r="I280" s="54">
        <f t="shared" si="1183"/>
        <v>-24.573</v>
      </c>
      <c r="J280" s="54">
        <f t="shared" si="1183"/>
        <v>0.6169999999999991</v>
      </c>
      <c r="K280" s="54">
        <f t="shared" si="1183"/>
        <v>-4.841788166455359</v>
      </c>
      <c r="L280" s="54">
        <f t="shared" si="1183"/>
        <v>18.282398931816687</v>
      </c>
      <c r="M280" s="54">
        <f t="shared" si="1183"/>
        <v>19.789456565747997</v>
      </c>
      <c r="O280" s="61">
        <v>-2.1260000000000003</v>
      </c>
      <c r="P280" s="61">
        <v>17.274000000000001</v>
      </c>
      <c r="Q280" s="61">
        <v>5.2970000000000006</v>
      </c>
      <c r="R280" s="61">
        <v>0.8609999999999971</v>
      </c>
      <c r="S280" s="61">
        <v>-4.8290000000000006</v>
      </c>
      <c r="T280" s="61">
        <v>11.943999999999999</v>
      </c>
      <c r="U280" s="61">
        <v>-7.1039999999999983</v>
      </c>
      <c r="V280" s="61">
        <v>10.190999999999999</v>
      </c>
      <c r="W280" s="61">
        <v>-13.131</v>
      </c>
      <c r="X280" s="61">
        <v>1.0609999999999999</v>
      </c>
      <c r="Y280" s="61">
        <v>11.33</v>
      </c>
      <c r="Z280" s="61">
        <v>-6.1449999999999996</v>
      </c>
      <c r="AA280" s="61">
        <v>-17.645</v>
      </c>
      <c r="AB280" s="61">
        <v>5.2070000000000007</v>
      </c>
      <c r="AC280" s="61">
        <v>7.3909999999999982</v>
      </c>
      <c r="AD280" s="61">
        <v>6.9200000000000008</v>
      </c>
      <c r="AE280" s="61">
        <v>-1.4269999999999998</v>
      </c>
      <c r="AF280" s="61">
        <v>15.395999999999999</v>
      </c>
      <c r="AG280" s="61">
        <v>-10.558999999999999</v>
      </c>
      <c r="AH280" s="61">
        <v>13.974999999999996</v>
      </c>
      <c r="AI280" s="61">
        <v>6.4160000000000004</v>
      </c>
      <c r="AJ280" s="61">
        <v>-6.3E-2</v>
      </c>
      <c r="AK280" s="61">
        <v>-7.7960000000000003</v>
      </c>
      <c r="AL280" s="61">
        <v>-0.90500000000000025</v>
      </c>
      <c r="AM280" s="61">
        <v>-7.1959999999999997</v>
      </c>
      <c r="AN280" s="61">
        <v>-14.462000000000002</v>
      </c>
      <c r="AO280" s="61">
        <v>20.227000000000004</v>
      </c>
      <c r="AP280" s="61">
        <v>-23.142000000000003</v>
      </c>
      <c r="AQ280" s="61">
        <v>-2.972</v>
      </c>
      <c r="AR280" s="61">
        <v>-10.288000000000002</v>
      </c>
      <c r="AS280" s="61">
        <v>29.102000000000004</v>
      </c>
      <c r="AT280" s="61">
        <f>0.617-AS280-AR280-AQ280</f>
        <v>-15.225000000000003</v>
      </c>
      <c r="AU280" s="54">
        <f>-(AU302-AT302)-(AU305-AT305)+(AU318-AT318)</f>
        <v>-17.633956772334301</v>
      </c>
      <c r="AV280" s="54">
        <f t="shared" ref="AV280:BF280" si="1192">-(AV302-AU302)-(AV305-AU305)+(AV318-AU318)</f>
        <v>4.1799008645533036</v>
      </c>
      <c r="AW280" s="54">
        <f t="shared" si="1192"/>
        <v>4.2634988818443844</v>
      </c>
      <c r="AX280" s="54">
        <f t="shared" si="1192"/>
        <v>4.3487688594812539</v>
      </c>
      <c r="AY280" s="54">
        <f t="shared" si="1192"/>
        <v>4.4357442366708995</v>
      </c>
      <c r="AZ280" s="54">
        <f t="shared" si="1192"/>
        <v>4.5244591214043339</v>
      </c>
      <c r="BA280" s="54">
        <f t="shared" si="1192"/>
        <v>4.6149483038323922</v>
      </c>
      <c r="BB280" s="54">
        <f t="shared" si="1192"/>
        <v>4.7072472699090611</v>
      </c>
      <c r="BC280" s="54">
        <f t="shared" si="1192"/>
        <v>4.8013922153072315</v>
      </c>
      <c r="BD280" s="54">
        <f t="shared" si="1192"/>
        <v>4.8974200596133812</v>
      </c>
      <c r="BE280" s="54">
        <f t="shared" si="1192"/>
        <v>4.9953684608056506</v>
      </c>
      <c r="BF280" s="54">
        <f t="shared" si="1192"/>
        <v>5.095275830021734</v>
      </c>
      <c r="BI280">
        <f t="shared" si="638"/>
        <v>273</v>
      </c>
    </row>
    <row r="281" spans="2:61" outlineLevel="1">
      <c r="B281" s="30" t="s">
        <v>153</v>
      </c>
      <c r="C281" s="21">
        <f>SUM(C270:C280)</f>
        <v>525.69800000000009</v>
      </c>
      <c r="D281" s="21">
        <f t="shared" ref="D281:M281" si="1193">SUM(D270:D280)</f>
        <v>857.29699999999991</v>
      </c>
      <c r="E281" s="21">
        <f t="shared" si="1193"/>
        <v>1005.3400000000005</v>
      </c>
      <c r="F281" s="21">
        <f t="shared" si="1193"/>
        <v>888.87100000000009</v>
      </c>
      <c r="G281" s="21">
        <f t="shared" si="1193"/>
        <v>728.726</v>
      </c>
      <c r="H281" s="21">
        <f t="shared" si="1193"/>
        <v>999.43700000000001</v>
      </c>
      <c r="I281" s="21">
        <f t="shared" si="1193"/>
        <v>305.03399999999993</v>
      </c>
      <c r="J281" s="21">
        <f t="shared" si="1193"/>
        <v>300.71100000000007</v>
      </c>
      <c r="K281" s="21">
        <f t="shared" si="1193"/>
        <v>776.98233272070127</v>
      </c>
      <c r="L281" s="21">
        <f t="shared" si="1193"/>
        <v>1027.6405015976352</v>
      </c>
      <c r="M281" s="21">
        <f t="shared" si="1193"/>
        <v>1179.8738354527272</v>
      </c>
      <c r="O281" s="98">
        <v>87.745999999999967</v>
      </c>
      <c r="P281" s="98">
        <v>209.95299999999997</v>
      </c>
      <c r="Q281" s="98">
        <v>104.76799999999997</v>
      </c>
      <c r="R281" s="98">
        <v>123.23100000000002</v>
      </c>
      <c r="S281" s="98">
        <v>173.10699999999997</v>
      </c>
      <c r="T281" s="98">
        <v>262.16599999999994</v>
      </c>
      <c r="U281" s="98">
        <v>220.62400000000005</v>
      </c>
      <c r="V281" s="98">
        <v>201.39999999999998</v>
      </c>
      <c r="W281" s="98">
        <v>263.66500000000002</v>
      </c>
      <c r="X281" s="98">
        <v>231.80400000000003</v>
      </c>
      <c r="Y281" s="98">
        <v>286.88100000000003</v>
      </c>
      <c r="Z281" s="98">
        <v>222.9899999999999</v>
      </c>
      <c r="AA281" s="98">
        <v>209.71700000000001</v>
      </c>
      <c r="AB281" s="98">
        <v>173.626</v>
      </c>
      <c r="AC281" s="98">
        <v>273.35700000000008</v>
      </c>
      <c r="AD281" s="98">
        <v>232.17099999999994</v>
      </c>
      <c r="AE281" s="98">
        <v>179.49700000000001</v>
      </c>
      <c r="AF281" s="98">
        <v>180.68200000000007</v>
      </c>
      <c r="AG281" s="98">
        <v>206.15399999999988</v>
      </c>
      <c r="AH281" s="98">
        <v>162.39300000000003</v>
      </c>
      <c r="AI281" s="98">
        <v>404.98500000000001</v>
      </c>
      <c r="AJ281" s="98">
        <v>235.67599999999993</v>
      </c>
      <c r="AK281" s="98">
        <v>165.37800000000004</v>
      </c>
      <c r="AL281" s="98">
        <v>193.39800000000002</v>
      </c>
      <c r="AM281" s="98">
        <v>113.733</v>
      </c>
      <c r="AN281" s="98">
        <v>68.193999999999988</v>
      </c>
      <c r="AO281" s="98">
        <v>70.778999999999996</v>
      </c>
      <c r="AP281" s="98">
        <v>52.328000000000003</v>
      </c>
      <c r="AQ281" s="98">
        <v>5.5570000000000004</v>
      </c>
      <c r="AR281" s="98">
        <v>9.8279999999999994</v>
      </c>
      <c r="AS281" s="98">
        <v>115.87999999999998</v>
      </c>
      <c r="AT281" s="98">
        <f>300.711-AS281-AR281-AQ281</f>
        <v>169.44600000000003</v>
      </c>
      <c r="AU281" s="21">
        <f t="shared" ref="AU281" si="1194">SUM(AU270:AU280)</f>
        <v>178.26220753309775</v>
      </c>
      <c r="AV281" s="21">
        <f t="shared" ref="AV281" si="1195">SUM(AV270:AV280)</f>
        <v>176.96883631074081</v>
      </c>
      <c r="AW281" s="21">
        <f t="shared" ref="AW281" si="1196">SUM(AW270:AW280)</f>
        <v>201.05218703054169</v>
      </c>
      <c r="AX281" s="21">
        <f t="shared" ref="AX281" si="1197">SUM(AX270:AX280)</f>
        <v>220.69910184632101</v>
      </c>
      <c r="AY281" s="21">
        <f t="shared" ref="AY281" si="1198">SUM(AY270:AY280)</f>
        <v>228.39633964877939</v>
      </c>
      <c r="AZ281" s="21">
        <f t="shared" ref="AZ281" si="1199">SUM(AZ270:AZ280)</f>
        <v>250.42053163880934</v>
      </c>
      <c r="BA281" s="21">
        <f t="shared" ref="BA281" si="1200">SUM(BA270:BA280)</f>
        <v>266.98131482772078</v>
      </c>
      <c r="BB281" s="21">
        <f t="shared" ref="BB281" si="1201">SUM(BB270:BB280)</f>
        <v>281.84231548232583</v>
      </c>
      <c r="BC281" s="21">
        <f t="shared" ref="BC281" si="1202">SUM(BC270:BC280)</f>
        <v>282.55831723676306</v>
      </c>
      <c r="BD281" s="21">
        <f t="shared" ref="BD281" si="1203">SUM(BD270:BD280)</f>
        <v>294.80921059912725</v>
      </c>
      <c r="BE281" s="21">
        <f t="shared" ref="BE281" si="1204">SUM(BE270:BE280)</f>
        <v>300.85056636551752</v>
      </c>
      <c r="BF281" s="21">
        <f t="shared" ref="BF281" si="1205">SUM(BF270:BF280)</f>
        <v>301.65574125131945</v>
      </c>
      <c r="BI281">
        <f t="shared" si="638"/>
        <v>274</v>
      </c>
    </row>
    <row r="282" spans="2:61" outlineLevel="1">
      <c r="B282" s="29" t="s">
        <v>154</v>
      </c>
      <c r="C282" s="54">
        <f t="shared" si="1183"/>
        <v>-738.09</v>
      </c>
      <c r="D282" s="54">
        <f t="shared" si="1183"/>
        <v>-1011.578</v>
      </c>
      <c r="E282" s="54">
        <f t="shared" si="1183"/>
        <v>-973.98800000000006</v>
      </c>
      <c r="F282" s="54">
        <f t="shared" si="1183"/>
        <v>-662.46100000000001</v>
      </c>
      <c r="G282" s="54">
        <f t="shared" si="1183"/>
        <v>-1052.3409999999999</v>
      </c>
      <c r="H282" s="54">
        <f t="shared" si="1183"/>
        <v>-743.77599999999984</v>
      </c>
      <c r="I282" s="54">
        <f t="shared" si="1183"/>
        <v>-119.79900000000001</v>
      </c>
      <c r="J282" s="54">
        <f t="shared" si="1183"/>
        <v>-567.08699999999999</v>
      </c>
      <c r="K282" s="54">
        <f t="shared" si="1183"/>
        <v>-677.60500000000002</v>
      </c>
      <c r="L282" s="54">
        <f t="shared" si="1183"/>
        <v>-756.39840000000004</v>
      </c>
      <c r="M282" s="54">
        <f t="shared" si="1183"/>
        <v>-684.12080000000003</v>
      </c>
      <c r="O282" s="61">
        <v>-108.938</v>
      </c>
      <c r="P282" s="61">
        <v>-189.90700000000004</v>
      </c>
      <c r="Q282" s="61">
        <v>-214.83399999999995</v>
      </c>
      <c r="R282" s="61">
        <v>-224.41100000000006</v>
      </c>
      <c r="S282" s="61">
        <v>-182.55199999999999</v>
      </c>
      <c r="T282" s="61">
        <v>-245.066</v>
      </c>
      <c r="U282" s="61">
        <v>-283.81800000000004</v>
      </c>
      <c r="V282" s="61">
        <v>-300.14199999999994</v>
      </c>
      <c r="W282" s="61">
        <v>-263.40300000000002</v>
      </c>
      <c r="X282" s="61">
        <v>-248.66200000000003</v>
      </c>
      <c r="Y282" s="61">
        <v>-232.28299999999999</v>
      </c>
      <c r="Z282" s="61">
        <v>-229.64</v>
      </c>
      <c r="AA282" s="61">
        <v>-174.161</v>
      </c>
      <c r="AB282" s="61">
        <v>-158.43700000000001</v>
      </c>
      <c r="AC282" s="61">
        <v>-150.73099999999999</v>
      </c>
      <c r="AD282" s="61">
        <v>-179.13200000000001</v>
      </c>
      <c r="AE282" s="61">
        <v>-170.37200000000001</v>
      </c>
      <c r="AF282" s="61">
        <v>-317.666</v>
      </c>
      <c r="AG282" s="61">
        <v>-285.75300000000004</v>
      </c>
      <c r="AH282" s="61">
        <v>-278.54999999999984</v>
      </c>
      <c r="AI282" s="61">
        <v>-241.46600000000001</v>
      </c>
      <c r="AJ282" s="61">
        <v>-222.16699999999997</v>
      </c>
      <c r="AK282" s="61">
        <v>-144.58700000000005</v>
      </c>
      <c r="AL282" s="61">
        <v>-135.55599999999987</v>
      </c>
      <c r="AM282" s="61">
        <v>-21.300999999999998</v>
      </c>
      <c r="AN282" s="61">
        <v>-30.533000000000005</v>
      </c>
      <c r="AO282" s="61">
        <v>-28.676999999999996</v>
      </c>
      <c r="AP282" s="61">
        <v>-39.288000000000011</v>
      </c>
      <c r="AQ282" s="61">
        <v>-68.44</v>
      </c>
      <c r="AR282" s="61">
        <v>-118.35</v>
      </c>
      <c r="AS282" s="61">
        <v>-143.06100000000001</v>
      </c>
      <c r="AT282" s="94">
        <f>-567.087-AS282-AR282-AQ282</f>
        <v>-237.23599999999993</v>
      </c>
      <c r="AU282" s="54">
        <f t="shared" ref="AU282:BF282" si="1206">AU265</f>
        <v>-164.64500000000001</v>
      </c>
      <c r="AV282" s="87">
        <f t="shared" si="1206"/>
        <v>-167.7655</v>
      </c>
      <c r="AW282" s="54">
        <f t="shared" si="1206"/>
        <v>-170.922</v>
      </c>
      <c r="AX282" s="54">
        <f t="shared" si="1206"/>
        <v>-174.27250000000001</v>
      </c>
      <c r="AY282" s="54">
        <f t="shared" si="1206"/>
        <v>-154.69</v>
      </c>
      <c r="AZ282" s="54">
        <f t="shared" si="1206"/>
        <v>-158.74199999999999</v>
      </c>
      <c r="BA282" s="54">
        <f t="shared" si="1206"/>
        <v>-219.6472</v>
      </c>
      <c r="BB282" s="54">
        <f t="shared" si="1206"/>
        <v>-223.31920000000002</v>
      </c>
      <c r="BC282" s="54">
        <f t="shared" si="1206"/>
        <v>-170.25120000000004</v>
      </c>
      <c r="BD282" s="54">
        <f t="shared" si="1206"/>
        <v>-170.61520000000002</v>
      </c>
      <c r="BE282" s="54">
        <f t="shared" si="1206"/>
        <v>-171.44320000000002</v>
      </c>
      <c r="BF282" s="54">
        <f t="shared" si="1206"/>
        <v>-171.81120000000001</v>
      </c>
      <c r="BI282">
        <f t="shared" ref="BI282:BI345" si="1207">+BI281+1</f>
        <v>275</v>
      </c>
    </row>
    <row r="283" spans="2:61" outlineLevel="1">
      <c r="B283" s="30" t="s">
        <v>155</v>
      </c>
      <c r="C283" s="21">
        <f>C281+C282</f>
        <v>-212.39199999999994</v>
      </c>
      <c r="D283" s="21">
        <f t="shared" ref="D283:O283" si="1208">D281+D282</f>
        <v>-154.28100000000006</v>
      </c>
      <c r="E283" s="21">
        <f t="shared" si="1208"/>
        <v>31.35200000000043</v>
      </c>
      <c r="F283" s="21">
        <f t="shared" si="1208"/>
        <v>226.41000000000008</v>
      </c>
      <c r="G283" s="21">
        <f t="shared" si="1208"/>
        <v>-323.6149999999999</v>
      </c>
      <c r="H283" s="21">
        <f t="shared" si="1208"/>
        <v>255.66100000000017</v>
      </c>
      <c r="I283" s="21">
        <f t="shared" si="1208"/>
        <v>185.23499999999993</v>
      </c>
      <c r="J283" s="21">
        <f t="shared" si="1208"/>
        <v>-266.37599999999992</v>
      </c>
      <c r="K283" s="21">
        <f t="shared" si="1208"/>
        <v>99.377332720701247</v>
      </c>
      <c r="L283" s="21">
        <f t="shared" si="1208"/>
        <v>271.24210159763516</v>
      </c>
      <c r="M283" s="21">
        <f t="shared" si="1208"/>
        <v>495.7530354527272</v>
      </c>
      <c r="O283" s="21">
        <f t="shared" si="1208"/>
        <v>-21.192000000000036</v>
      </c>
      <c r="P283" s="21">
        <f t="shared" ref="P283" si="1209">P281+P282</f>
        <v>20.045999999999935</v>
      </c>
      <c r="Q283" s="21">
        <f t="shared" ref="Q283" si="1210">Q281+Q282</f>
        <v>-110.06599999999997</v>
      </c>
      <c r="R283" s="21">
        <f t="shared" ref="R283" si="1211">R281+R282</f>
        <v>-101.18000000000004</v>
      </c>
      <c r="S283" s="21">
        <f t="shared" ref="S283" si="1212">S281+S282</f>
        <v>-9.4450000000000216</v>
      </c>
      <c r="T283" s="21">
        <f t="shared" ref="T283" si="1213">T281+T282</f>
        <v>17.099999999999937</v>
      </c>
      <c r="U283" s="21">
        <f t="shared" ref="U283" si="1214">U281+U282</f>
        <v>-63.193999999999988</v>
      </c>
      <c r="V283" s="21">
        <f t="shared" ref="V283" si="1215">V281+V282</f>
        <v>-98.741999999999962</v>
      </c>
      <c r="W283" s="21">
        <f t="shared" ref="W283" si="1216">W281+W282</f>
        <v>0.26200000000000045</v>
      </c>
      <c r="X283" s="21">
        <f t="shared" ref="X283" si="1217">X281+X282</f>
        <v>-16.858000000000004</v>
      </c>
      <c r="Y283" s="21">
        <f t="shared" ref="Y283" si="1218">Y281+Y282</f>
        <v>54.598000000000042</v>
      </c>
      <c r="Z283" s="21">
        <f t="shared" ref="Z283" si="1219">Z281+Z282</f>
        <v>-6.6500000000000909</v>
      </c>
      <c r="AA283" s="21">
        <f t="shared" ref="AA283" si="1220">AA281+AA282</f>
        <v>35.556000000000012</v>
      </c>
      <c r="AB283" s="21">
        <f t="shared" ref="AB283" si="1221">AB281+AB282</f>
        <v>15.188999999999993</v>
      </c>
      <c r="AC283" s="21">
        <f t="shared" ref="AC283" si="1222">AC281+AC282</f>
        <v>122.62600000000009</v>
      </c>
      <c r="AD283" s="21">
        <f t="shared" ref="AD283" si="1223">AD281+AD282</f>
        <v>53.03899999999993</v>
      </c>
      <c r="AE283" s="21">
        <f t="shared" ref="AE283" si="1224">AE281+AE282</f>
        <v>9.125</v>
      </c>
      <c r="AF283" s="21">
        <f t="shared" ref="AF283" si="1225">AF281+AF282</f>
        <v>-136.98399999999992</v>
      </c>
      <c r="AG283" s="21">
        <f t="shared" ref="AG283" si="1226">AG281+AG282</f>
        <v>-79.59900000000016</v>
      </c>
      <c r="AH283" s="21">
        <f t="shared" ref="AH283" si="1227">AH281+AH282</f>
        <v>-116.15699999999981</v>
      </c>
      <c r="AI283" s="21">
        <f t="shared" ref="AI283" si="1228">AI281+AI282</f>
        <v>163.51900000000001</v>
      </c>
      <c r="AJ283" s="21">
        <f t="shared" ref="AJ283" si="1229">AJ281+AJ282</f>
        <v>13.508999999999958</v>
      </c>
      <c r="AK283" s="21">
        <f t="shared" ref="AK283" si="1230">AK281+AK282</f>
        <v>20.790999999999997</v>
      </c>
      <c r="AL283" s="21">
        <f t="shared" ref="AL283" si="1231">AL281+AL282</f>
        <v>57.842000000000155</v>
      </c>
      <c r="AM283" s="21">
        <f t="shared" ref="AM283" si="1232">AM281+AM282</f>
        <v>92.432000000000002</v>
      </c>
      <c r="AN283" s="21">
        <f t="shared" ref="AN283" si="1233">AN281+AN282</f>
        <v>37.660999999999987</v>
      </c>
      <c r="AO283" s="21">
        <f t="shared" ref="AO283" si="1234">AO281+AO282</f>
        <v>42.102000000000004</v>
      </c>
      <c r="AP283" s="21">
        <f t="shared" ref="AP283" si="1235">AP281+AP282</f>
        <v>13.039999999999992</v>
      </c>
      <c r="AQ283" s="21">
        <f t="shared" ref="AQ283" si="1236">AQ281+AQ282</f>
        <v>-62.882999999999996</v>
      </c>
      <c r="AR283" s="21">
        <f t="shared" ref="AR283" si="1237">AR281+AR282</f>
        <v>-108.52199999999999</v>
      </c>
      <c r="AS283" s="21">
        <f t="shared" ref="AS283:AT283" si="1238">AS281+AS282</f>
        <v>-27.181000000000026</v>
      </c>
      <c r="AT283" s="100">
        <f t="shared" si="1238"/>
        <v>-67.789999999999907</v>
      </c>
      <c r="AU283" s="21">
        <f t="shared" ref="AU283" si="1239">AU281+AU282</f>
        <v>13.617207533097741</v>
      </c>
      <c r="AV283" s="21">
        <f t="shared" ref="AV283" si="1240">AV281+AV282</f>
        <v>9.2033363107408093</v>
      </c>
      <c r="AW283" s="21">
        <f t="shared" ref="AW283" si="1241">AW281+AW282</f>
        <v>30.130187030541691</v>
      </c>
      <c r="AX283" s="21">
        <f t="shared" ref="AX283" si="1242">AX281+AX282</f>
        <v>46.426601846321006</v>
      </c>
      <c r="AY283" s="21">
        <f t="shared" ref="AY283" si="1243">AY281+AY282</f>
        <v>73.706339648779391</v>
      </c>
      <c r="AZ283" s="21">
        <f t="shared" ref="AZ283" si="1244">AZ281+AZ282</f>
        <v>91.678531638809346</v>
      </c>
      <c r="BA283" s="21">
        <f t="shared" ref="BA283" si="1245">BA281+BA282</f>
        <v>47.334114827720782</v>
      </c>
      <c r="BB283" s="21">
        <f t="shared" ref="BB283" si="1246">BB281+BB282</f>
        <v>58.523115482325807</v>
      </c>
      <c r="BC283" s="21">
        <f t="shared" ref="BC283" si="1247">BC281+BC282</f>
        <v>112.30711723676302</v>
      </c>
      <c r="BD283" s="21">
        <f t="shared" ref="BD283" si="1248">BD281+BD282</f>
        <v>124.19401059912724</v>
      </c>
      <c r="BE283" s="21">
        <f t="shared" ref="BE283" si="1249">BE281+BE282</f>
        <v>129.4073663655175</v>
      </c>
      <c r="BF283" s="21">
        <f t="shared" ref="BF283" si="1250">BF281+BF282</f>
        <v>129.84454125131944</v>
      </c>
      <c r="BI283">
        <f t="shared" si="1207"/>
        <v>276</v>
      </c>
    </row>
    <row r="284" spans="2:61" outlineLevel="1">
      <c r="B284" s="31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I284">
        <f t="shared" si="1207"/>
        <v>277</v>
      </c>
    </row>
    <row r="285" spans="2:61" outlineLevel="1">
      <c r="B285" s="28" t="s">
        <v>156</v>
      </c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I285">
        <f t="shared" si="1207"/>
        <v>278</v>
      </c>
    </row>
    <row r="286" spans="2:61" outlineLevel="1">
      <c r="B286" s="29" t="s">
        <v>157</v>
      </c>
      <c r="C286" s="54">
        <f t="shared" ref="C286:M294" si="1251">SUMIFS($O286:$BG286,$O$5:$BG$5,C$5)</f>
        <v>-238.02199999999999</v>
      </c>
      <c r="D286" s="54">
        <f t="shared" si="1251"/>
        <v>0</v>
      </c>
      <c r="E286" s="54">
        <f t="shared" si="1251"/>
        <v>0</v>
      </c>
      <c r="F286" s="54">
        <f t="shared" si="1251"/>
        <v>0</v>
      </c>
      <c r="G286" s="54">
        <f t="shared" si="1251"/>
        <v>-176.30099999999999</v>
      </c>
      <c r="H286" s="54">
        <f t="shared" si="1251"/>
        <v>0</v>
      </c>
      <c r="I286" s="54">
        <f t="shared" si="1251"/>
        <v>0.155</v>
      </c>
      <c r="J286" s="54">
        <f t="shared" si="1251"/>
        <v>-501.95400000000001</v>
      </c>
      <c r="K286" s="54">
        <f t="shared" si="1251"/>
        <v>0</v>
      </c>
      <c r="L286" s="54">
        <f t="shared" si="1251"/>
        <v>0</v>
      </c>
      <c r="M286" s="54">
        <f t="shared" si="1251"/>
        <v>0</v>
      </c>
      <c r="O286" s="61">
        <v>0</v>
      </c>
      <c r="P286" s="61">
        <v>0</v>
      </c>
      <c r="Q286" s="61">
        <v>0</v>
      </c>
      <c r="R286" s="61">
        <v>-238.02199999999999</v>
      </c>
      <c r="S286" s="61">
        <v>0</v>
      </c>
      <c r="T286" s="61">
        <v>0</v>
      </c>
      <c r="U286" s="61">
        <v>0</v>
      </c>
      <c r="V286" s="61">
        <v>0</v>
      </c>
      <c r="W286" s="61">
        <v>0</v>
      </c>
      <c r="X286" s="61">
        <v>0</v>
      </c>
      <c r="Y286" s="61">
        <v>0</v>
      </c>
      <c r="Z286" s="61">
        <v>0</v>
      </c>
      <c r="AA286" s="61">
        <v>0</v>
      </c>
      <c r="AB286" s="61">
        <v>0</v>
      </c>
      <c r="AC286" s="61">
        <v>0</v>
      </c>
      <c r="AD286" s="61">
        <v>0</v>
      </c>
      <c r="AE286" s="61">
        <v>0</v>
      </c>
      <c r="AF286" s="61">
        <v>0</v>
      </c>
      <c r="AG286" s="61">
        <v>0</v>
      </c>
      <c r="AH286" s="61">
        <v>-176.30099999999999</v>
      </c>
      <c r="AI286" s="61">
        <v>0</v>
      </c>
      <c r="AJ286" s="61">
        <v>0</v>
      </c>
      <c r="AK286" s="61">
        <v>0</v>
      </c>
      <c r="AL286" s="61">
        <v>0</v>
      </c>
      <c r="AM286" s="61">
        <v>0</v>
      </c>
      <c r="AN286" s="61">
        <v>0</v>
      </c>
      <c r="AO286" s="61">
        <v>0.155</v>
      </c>
      <c r="AP286" s="61">
        <v>0</v>
      </c>
      <c r="AQ286" s="61">
        <v>0</v>
      </c>
      <c r="AR286" s="61">
        <v>-434.19400000000002</v>
      </c>
      <c r="AS286" s="61">
        <v>0</v>
      </c>
      <c r="AT286" s="94">
        <f>-501.954-AS286-AR286-AQ286</f>
        <v>-67.759999999999991</v>
      </c>
      <c r="AU286" s="61">
        <v>0</v>
      </c>
      <c r="AV286" s="61">
        <v>0</v>
      </c>
      <c r="AW286" s="61">
        <v>0</v>
      </c>
      <c r="AX286" s="61">
        <v>0</v>
      </c>
      <c r="AY286" s="61">
        <v>0</v>
      </c>
      <c r="AZ286" s="61">
        <v>0</v>
      </c>
      <c r="BA286" s="61">
        <v>0</v>
      </c>
      <c r="BB286" s="61">
        <v>0</v>
      </c>
      <c r="BC286" s="61">
        <v>0</v>
      </c>
      <c r="BD286" s="61">
        <v>0</v>
      </c>
      <c r="BE286" s="61">
        <v>0</v>
      </c>
      <c r="BF286" s="61">
        <v>0</v>
      </c>
      <c r="BI286">
        <f t="shared" si="1207"/>
        <v>279</v>
      </c>
    </row>
    <row r="287" spans="2:61" outlineLevel="1">
      <c r="B287" s="29" t="s">
        <v>158</v>
      </c>
      <c r="C287" s="54">
        <f t="shared" si="1251"/>
        <v>29.408999999999999</v>
      </c>
      <c r="D287" s="54">
        <f t="shared" si="1251"/>
        <v>22.494999999999997</v>
      </c>
      <c r="E287" s="54">
        <f t="shared" si="1251"/>
        <v>4.6509999999999998</v>
      </c>
      <c r="F287" s="54">
        <f t="shared" si="1251"/>
        <v>10.385999999999999</v>
      </c>
      <c r="G287" s="54">
        <f t="shared" si="1251"/>
        <v>33.232999999999997</v>
      </c>
      <c r="H287" s="54">
        <f t="shared" si="1251"/>
        <v>20.814</v>
      </c>
      <c r="I287" s="54">
        <f t="shared" si="1251"/>
        <v>21.888999999999999</v>
      </c>
      <c r="J287" s="54">
        <f t="shared" si="1251"/>
        <v>60.944999999999993</v>
      </c>
      <c r="K287" s="54">
        <f t="shared" si="1251"/>
        <v>0</v>
      </c>
      <c r="L287" s="54">
        <f t="shared" si="1251"/>
        <v>0</v>
      </c>
      <c r="M287" s="54">
        <f t="shared" si="1251"/>
        <v>0</v>
      </c>
      <c r="O287" s="61">
        <v>0.28799999999999998</v>
      </c>
      <c r="P287" s="61">
        <v>24.943000000000001</v>
      </c>
      <c r="Q287" s="61">
        <v>1.9929999999999986</v>
      </c>
      <c r="R287" s="61">
        <v>2.1849999999999987</v>
      </c>
      <c r="S287" s="61">
        <v>1.954</v>
      </c>
      <c r="T287" s="61">
        <v>5.5200000000000005</v>
      </c>
      <c r="U287" s="61">
        <v>1.58</v>
      </c>
      <c r="V287" s="61">
        <v>13.440999999999999</v>
      </c>
      <c r="W287" s="61">
        <v>4.6509999999999998</v>
      </c>
      <c r="X287" s="61">
        <v>0</v>
      </c>
      <c r="Y287" s="61">
        <v>0</v>
      </c>
      <c r="Z287" s="61">
        <v>0</v>
      </c>
      <c r="AA287" s="61">
        <v>0.70699999999999996</v>
      </c>
      <c r="AB287" s="61">
        <v>3.8860000000000001</v>
      </c>
      <c r="AC287" s="61">
        <v>3.6890000000000001</v>
      </c>
      <c r="AD287" s="61">
        <v>2.1039999999999992</v>
      </c>
      <c r="AE287" s="61">
        <v>6.59</v>
      </c>
      <c r="AF287" s="61">
        <v>8.4009999999999998</v>
      </c>
      <c r="AG287" s="61">
        <v>7.5079999999999991</v>
      </c>
      <c r="AH287" s="61">
        <v>10.733999999999998</v>
      </c>
      <c r="AI287" s="61">
        <v>5.827</v>
      </c>
      <c r="AJ287" s="61">
        <v>4.9009999999999998</v>
      </c>
      <c r="AK287" s="61">
        <v>5.1920000000000002</v>
      </c>
      <c r="AL287" s="61">
        <v>4.8940000000000001</v>
      </c>
      <c r="AM287" s="61">
        <v>5.0999999999999996</v>
      </c>
      <c r="AN287" s="61">
        <v>7.25</v>
      </c>
      <c r="AO287" s="61">
        <v>6.0340000000000007</v>
      </c>
      <c r="AP287" s="61">
        <v>3.504999999999999</v>
      </c>
      <c r="AQ287" s="94">
        <v>25.861000000000001</v>
      </c>
      <c r="AR287" s="61">
        <v>9.1359999999999992</v>
      </c>
      <c r="AS287" s="61">
        <v>4.6749999999999972</v>
      </c>
      <c r="AT287" s="61">
        <f>60.945-AS287-AR287-AQ287</f>
        <v>21.273</v>
      </c>
      <c r="AU287" s="61">
        <v>0</v>
      </c>
      <c r="AV287" s="61">
        <v>0</v>
      </c>
      <c r="AW287" s="61">
        <v>0</v>
      </c>
      <c r="AX287" s="61">
        <v>0</v>
      </c>
      <c r="AY287" s="61">
        <v>0</v>
      </c>
      <c r="AZ287" s="61">
        <v>0</v>
      </c>
      <c r="BA287" s="61">
        <v>0</v>
      </c>
      <c r="BB287" s="61">
        <v>0</v>
      </c>
      <c r="BC287" s="61">
        <v>0</v>
      </c>
      <c r="BD287" s="61">
        <v>0</v>
      </c>
      <c r="BE287" s="61">
        <v>0</v>
      </c>
      <c r="BF287" s="61">
        <v>0</v>
      </c>
      <c r="BI287">
        <f t="shared" si="1207"/>
        <v>280</v>
      </c>
    </row>
    <row r="288" spans="2:61" outlineLevel="1">
      <c r="B288" s="29" t="s">
        <v>159</v>
      </c>
      <c r="C288" s="54">
        <f t="shared" si="1251"/>
        <v>0</v>
      </c>
      <c r="D288" s="54">
        <f t="shared" si="1251"/>
        <v>0</v>
      </c>
      <c r="E288" s="54">
        <f t="shared" si="1251"/>
        <v>58.945</v>
      </c>
      <c r="F288" s="54">
        <f t="shared" si="1251"/>
        <v>0</v>
      </c>
      <c r="G288" s="54">
        <f t="shared" si="1251"/>
        <v>0</v>
      </c>
      <c r="H288" s="54">
        <f t="shared" si="1251"/>
        <v>0</v>
      </c>
      <c r="I288" s="54">
        <f t="shared" si="1251"/>
        <v>0</v>
      </c>
      <c r="J288" s="54">
        <f t="shared" si="1251"/>
        <v>-2.52</v>
      </c>
      <c r="K288" s="54">
        <f t="shared" si="1251"/>
        <v>0</v>
      </c>
      <c r="L288" s="54">
        <f t="shared" si="1251"/>
        <v>0</v>
      </c>
      <c r="M288" s="54">
        <f t="shared" si="1251"/>
        <v>0</v>
      </c>
      <c r="O288" s="61">
        <v>0</v>
      </c>
      <c r="P288" s="61">
        <v>0</v>
      </c>
      <c r="Q288" s="61">
        <v>0</v>
      </c>
      <c r="R288" s="61">
        <v>0</v>
      </c>
      <c r="S288" s="61">
        <v>0</v>
      </c>
      <c r="T288" s="61">
        <v>0</v>
      </c>
      <c r="U288" s="61">
        <v>0</v>
      </c>
      <c r="V288" s="61">
        <v>0</v>
      </c>
      <c r="W288" s="61">
        <v>0</v>
      </c>
      <c r="X288" s="61">
        <v>58.945</v>
      </c>
      <c r="Y288" s="61">
        <v>0</v>
      </c>
      <c r="Z288" s="61">
        <v>0</v>
      </c>
      <c r="AA288" s="61">
        <v>0</v>
      </c>
      <c r="AB288" s="61">
        <v>0</v>
      </c>
      <c r="AC288" s="61">
        <v>0</v>
      </c>
      <c r="AD288" s="61">
        <v>0</v>
      </c>
      <c r="AE288" s="61">
        <v>0</v>
      </c>
      <c r="AF288" s="61">
        <v>0</v>
      </c>
      <c r="AG288" s="61">
        <v>0</v>
      </c>
      <c r="AH288" s="61">
        <v>0</v>
      </c>
      <c r="AI288" s="61">
        <v>0</v>
      </c>
      <c r="AJ288" s="61">
        <v>0</v>
      </c>
      <c r="AK288" s="61">
        <v>0</v>
      </c>
      <c r="AL288" s="61">
        <v>0</v>
      </c>
      <c r="AM288" s="61">
        <v>0</v>
      </c>
      <c r="AN288" s="61">
        <v>0</v>
      </c>
      <c r="AO288" s="61">
        <v>0</v>
      </c>
      <c r="AP288" s="61">
        <v>0</v>
      </c>
      <c r="AQ288" s="61">
        <v>0</v>
      </c>
      <c r="AR288" s="61">
        <v>0</v>
      </c>
      <c r="AS288" s="61">
        <v>0</v>
      </c>
      <c r="AT288" s="61">
        <f>-2.52-AS288-AR288-AQ288</f>
        <v>-2.52</v>
      </c>
      <c r="AU288" s="61">
        <v>0</v>
      </c>
      <c r="AV288" s="61">
        <v>0</v>
      </c>
      <c r="AW288" s="61">
        <v>0</v>
      </c>
      <c r="AX288" s="61">
        <v>0</v>
      </c>
      <c r="AY288" s="61">
        <v>0</v>
      </c>
      <c r="AZ288" s="61">
        <v>0</v>
      </c>
      <c r="BA288" s="61">
        <v>0</v>
      </c>
      <c r="BB288" s="61">
        <v>0</v>
      </c>
      <c r="BC288" s="61">
        <v>0</v>
      </c>
      <c r="BD288" s="61">
        <v>0</v>
      </c>
      <c r="BE288" s="61">
        <v>0</v>
      </c>
      <c r="BF288" s="61">
        <v>0</v>
      </c>
      <c r="BI288">
        <f t="shared" si="1207"/>
        <v>281</v>
      </c>
    </row>
    <row r="289" spans="1:61" outlineLevel="1">
      <c r="B289" s="29" t="s">
        <v>160</v>
      </c>
      <c r="C289" s="54">
        <f t="shared" si="1251"/>
        <v>398.75</v>
      </c>
      <c r="D289" s="54">
        <f t="shared" si="1251"/>
        <v>103.75</v>
      </c>
      <c r="E289" s="54">
        <f t="shared" si="1251"/>
        <v>188.66899999999998</v>
      </c>
      <c r="F289" s="54">
        <f t="shared" si="1251"/>
        <v>-6.25</v>
      </c>
      <c r="G289" s="54">
        <f t="shared" si="1251"/>
        <v>293</v>
      </c>
      <c r="H289" s="54">
        <f t="shared" si="1251"/>
        <v>-130.5</v>
      </c>
      <c r="I289" s="54">
        <f t="shared" si="1251"/>
        <v>-255</v>
      </c>
      <c r="J289" s="54">
        <f t="shared" si="1251"/>
        <v>268</v>
      </c>
      <c r="K289" s="54">
        <f t="shared" si="1251"/>
        <v>256.99999999999989</v>
      </c>
      <c r="L289" s="54">
        <f t="shared" si="1251"/>
        <v>0</v>
      </c>
      <c r="M289" s="54">
        <f t="shared" si="1251"/>
        <v>-299.99999999999989</v>
      </c>
      <c r="O289" s="94">
        <v>0</v>
      </c>
      <c r="P289" s="94">
        <v>0</v>
      </c>
      <c r="Q289" s="94">
        <v>100</v>
      </c>
      <c r="R289" s="94">
        <v>298.75</v>
      </c>
      <c r="S289" s="94">
        <v>-1.25</v>
      </c>
      <c r="T289" s="94">
        <v>-1.25</v>
      </c>
      <c r="U289" s="94">
        <v>14.55</v>
      </c>
      <c r="V289" s="94">
        <v>91.7</v>
      </c>
      <c r="W289" s="94">
        <v>-4</v>
      </c>
      <c r="X289" s="94">
        <v>99.950999999999965</v>
      </c>
      <c r="Y289" s="94">
        <v>-5.9819999999999993</v>
      </c>
      <c r="Z289" s="94">
        <v>98.700000000000017</v>
      </c>
      <c r="AA289" s="94">
        <v>-1.25</v>
      </c>
      <c r="AB289" s="94">
        <v>-1.25</v>
      </c>
      <c r="AC289" s="94">
        <v>-1.25</v>
      </c>
      <c r="AD289" s="94">
        <v>-2.5</v>
      </c>
      <c r="AE289" s="94">
        <v>-2.5</v>
      </c>
      <c r="AF289" s="94">
        <v>-2.5</v>
      </c>
      <c r="AG289" s="94">
        <v>-2.5</v>
      </c>
      <c r="AH289" s="94">
        <v>300.5</v>
      </c>
      <c r="AI289" s="94">
        <v>-105.5</v>
      </c>
      <c r="AJ289" s="94">
        <v>-7.5</v>
      </c>
      <c r="AK289" s="94">
        <v>-7.5</v>
      </c>
      <c r="AL289" s="94">
        <v>-10</v>
      </c>
      <c r="AM289" s="94">
        <v>-10</v>
      </c>
      <c r="AN289" s="94">
        <v>-15</v>
      </c>
      <c r="AO289" s="94">
        <v>-215</v>
      </c>
      <c r="AP289" s="94">
        <v>-15</v>
      </c>
      <c r="AQ289" s="94">
        <v>0</v>
      </c>
      <c r="AR289" s="94">
        <v>115</v>
      </c>
      <c r="AS289" s="94">
        <v>29</v>
      </c>
      <c r="AT289" s="94">
        <f>599-331-AS289-AR289-AQ289</f>
        <v>124</v>
      </c>
      <c r="AU289" s="54">
        <f t="shared" ref="AU289:BF289" si="1252">AU334-AT334</f>
        <v>256.99999999999989</v>
      </c>
      <c r="AV289" s="54">
        <f t="shared" si="1252"/>
        <v>0</v>
      </c>
      <c r="AW289" s="54">
        <f t="shared" si="1252"/>
        <v>0</v>
      </c>
      <c r="AX289" s="54">
        <f t="shared" si="1252"/>
        <v>0</v>
      </c>
      <c r="AY289" s="54">
        <f t="shared" si="1252"/>
        <v>0</v>
      </c>
      <c r="AZ289" s="54">
        <f t="shared" si="1252"/>
        <v>0</v>
      </c>
      <c r="BA289" s="54">
        <f t="shared" si="1252"/>
        <v>0</v>
      </c>
      <c r="BB289" s="54">
        <f t="shared" si="1252"/>
        <v>0</v>
      </c>
      <c r="BC289" s="54">
        <f t="shared" si="1252"/>
        <v>0</v>
      </c>
      <c r="BD289" s="54">
        <f t="shared" si="1252"/>
        <v>0</v>
      </c>
      <c r="BE289" s="54">
        <f t="shared" si="1252"/>
        <v>-299.99999999999989</v>
      </c>
      <c r="BF289" s="54">
        <f t="shared" si="1252"/>
        <v>0</v>
      </c>
      <c r="BI289">
        <f t="shared" si="1207"/>
        <v>282</v>
      </c>
    </row>
    <row r="290" spans="1:61" outlineLevel="1">
      <c r="B290" s="29" t="s">
        <v>161</v>
      </c>
      <c r="C290" s="54">
        <f t="shared" si="1251"/>
        <v>-30.795999999999999</v>
      </c>
      <c r="D290" s="54">
        <f t="shared" si="1251"/>
        <v>-31.045000000000002</v>
      </c>
      <c r="E290" s="54">
        <f t="shared" si="1251"/>
        <v>-30.302</v>
      </c>
      <c r="F290" s="54">
        <f t="shared" si="1251"/>
        <v>-29.111999999999998</v>
      </c>
      <c r="G290" s="54">
        <f t="shared" si="1251"/>
        <v>-58.287999999999997</v>
      </c>
      <c r="H290" s="54">
        <f t="shared" si="1251"/>
        <v>-58.775000000000006</v>
      </c>
      <c r="I290" s="54">
        <f t="shared" si="1251"/>
        <v>-23.579000000000001</v>
      </c>
      <c r="J290" s="54">
        <f t="shared" si="1251"/>
        <v>-16.192</v>
      </c>
      <c r="K290" s="54">
        <f t="shared" si="1251"/>
        <v>-60.063247440000005</v>
      </c>
      <c r="L290" s="54">
        <f t="shared" si="1251"/>
        <v>-88.982588800000002</v>
      </c>
      <c r="M290" s="54">
        <f t="shared" si="1251"/>
        <v>-88.982588800000002</v>
      </c>
      <c r="O290" s="61">
        <v>-7.6769999999999996</v>
      </c>
      <c r="P290" s="61">
        <v>-7.7059999999999995</v>
      </c>
      <c r="Q290" s="61">
        <v>-7.7040000000000006</v>
      </c>
      <c r="R290" s="61">
        <v>-7.7089999999999996</v>
      </c>
      <c r="S290" s="61">
        <v>-7.7080000000000002</v>
      </c>
      <c r="T290" s="61">
        <v>-7.7720000000000002</v>
      </c>
      <c r="U290" s="61">
        <v>-7.777000000000001</v>
      </c>
      <c r="V290" s="61">
        <v>-7.7880000000000003</v>
      </c>
      <c r="W290" s="61">
        <v>-7.7880000000000003</v>
      </c>
      <c r="X290" s="61">
        <v>-7.65</v>
      </c>
      <c r="Y290" s="61">
        <v>-7.5886925000000005</v>
      </c>
      <c r="Z290" s="61">
        <v>-7.2753074999999967</v>
      </c>
      <c r="AA290" s="61">
        <v>-7.3120000000000003</v>
      </c>
      <c r="AB290" s="61">
        <v>-7.3609999999999998</v>
      </c>
      <c r="AC290" s="61">
        <v>-7.230999999999999</v>
      </c>
      <c r="AD290" s="61">
        <v>-7.2079999999999984</v>
      </c>
      <c r="AE290" s="61">
        <v>-14.456</v>
      </c>
      <c r="AF290" s="61">
        <v>-14.562000000000001</v>
      </c>
      <c r="AG290" s="61">
        <v>-14.634</v>
      </c>
      <c r="AH290" s="61">
        <v>-14.635999999999996</v>
      </c>
      <c r="AI290" s="61">
        <v>-14.64</v>
      </c>
      <c r="AJ290" s="61">
        <v>-14.712</v>
      </c>
      <c r="AK290" s="61">
        <v>-14.712</v>
      </c>
      <c r="AL290" s="61">
        <v>-14.711000000000002</v>
      </c>
      <c r="AM290" s="61">
        <v>-14.712</v>
      </c>
      <c r="AN290" s="61">
        <v>-2.9529999999999994</v>
      </c>
      <c r="AO290" s="61">
        <v>-2.9529999999999994</v>
      </c>
      <c r="AP290" s="61">
        <v>-2.9610000000000021</v>
      </c>
      <c r="AQ290" s="61">
        <v>-3.3260000000000001</v>
      </c>
      <c r="AR290" s="61">
        <v>-4.2690000000000001</v>
      </c>
      <c r="AS290" s="61">
        <v>-4.270999999999999</v>
      </c>
      <c r="AT290" s="61">
        <f>-16.315+0.123-AS290-AR290-AQ290</f>
        <v>-4.3260000000000005</v>
      </c>
      <c r="AU290" s="87">
        <f t="shared" ref="AU290:BF290" si="1253">-AU53*AU379</f>
        <v>-4.4491294400000001</v>
      </c>
      <c r="AV290" s="87">
        <f t="shared" si="1253"/>
        <v>-11.1228236</v>
      </c>
      <c r="AW290" s="87">
        <f t="shared" si="1253"/>
        <v>-22.245647200000001</v>
      </c>
      <c r="AX290" s="87">
        <f t="shared" si="1253"/>
        <v>-22.245647200000001</v>
      </c>
      <c r="AY290" s="87">
        <f t="shared" si="1253"/>
        <v>-22.245647200000001</v>
      </c>
      <c r="AZ290" s="87">
        <f t="shared" si="1253"/>
        <v>-22.245647200000001</v>
      </c>
      <c r="BA290" s="87">
        <f t="shared" si="1253"/>
        <v>-22.245647200000001</v>
      </c>
      <c r="BB290" s="87">
        <f t="shared" si="1253"/>
        <v>-22.245647200000001</v>
      </c>
      <c r="BC290" s="87">
        <f t="shared" si="1253"/>
        <v>-22.245647200000001</v>
      </c>
      <c r="BD290" s="87">
        <f t="shared" si="1253"/>
        <v>-22.245647200000001</v>
      </c>
      <c r="BE290" s="87">
        <f t="shared" si="1253"/>
        <v>-22.245647200000001</v>
      </c>
      <c r="BF290" s="87">
        <f t="shared" si="1253"/>
        <v>-22.245647200000001</v>
      </c>
      <c r="BI290">
        <f t="shared" si="1207"/>
        <v>283</v>
      </c>
    </row>
    <row r="291" spans="1:61" outlineLevel="1">
      <c r="B291" s="29" t="s">
        <v>162</v>
      </c>
      <c r="C291" s="54">
        <f t="shared" si="1251"/>
        <v>0.52500000000000002</v>
      </c>
      <c r="D291" s="54">
        <f t="shared" si="1251"/>
        <v>16.811</v>
      </c>
      <c r="E291" s="54">
        <f t="shared" si="1251"/>
        <v>0.93400000000000005</v>
      </c>
      <c r="F291" s="54">
        <f t="shared" si="1251"/>
        <v>6.9589999999999996</v>
      </c>
      <c r="G291" s="54">
        <f t="shared" si="1251"/>
        <v>39.570999999999998</v>
      </c>
      <c r="H291" s="54">
        <f t="shared" si="1251"/>
        <v>0</v>
      </c>
      <c r="I291" s="54">
        <f t="shared" si="1251"/>
        <v>0.26800000000000002</v>
      </c>
      <c r="J291" s="54">
        <f t="shared" si="1251"/>
        <v>471.57</v>
      </c>
      <c r="K291" s="54">
        <f t="shared" si="1251"/>
        <v>0</v>
      </c>
      <c r="L291" s="54">
        <f t="shared" si="1251"/>
        <v>0</v>
      </c>
      <c r="M291" s="54">
        <f t="shared" si="1251"/>
        <v>0</v>
      </c>
      <c r="O291" s="61">
        <v>0.16300000000000001</v>
      </c>
      <c r="P291" s="61">
        <v>0</v>
      </c>
      <c r="Q291" s="61">
        <v>0.12699999999999997</v>
      </c>
      <c r="R291" s="61">
        <v>0.23500000000000004</v>
      </c>
      <c r="S291" s="61">
        <v>0.39900000000000002</v>
      </c>
      <c r="T291" s="61">
        <v>12.608999999999998</v>
      </c>
      <c r="U291" s="61">
        <v>1.032</v>
      </c>
      <c r="V291" s="61">
        <v>2.7710000000000017</v>
      </c>
      <c r="W291" s="61">
        <v>0.19500000000000001</v>
      </c>
      <c r="X291" s="61">
        <v>0</v>
      </c>
      <c r="Y291" s="61">
        <v>6.5000000000000002E-2</v>
      </c>
      <c r="Z291" s="61">
        <v>0.67400000000000004</v>
      </c>
      <c r="AA291" s="61">
        <v>18.622</v>
      </c>
      <c r="AB291" s="61">
        <v>-11.663</v>
      </c>
      <c r="AC291" s="61">
        <v>0</v>
      </c>
      <c r="AD291" s="61">
        <v>0</v>
      </c>
      <c r="AE291" s="61">
        <v>8.0329999999999995</v>
      </c>
      <c r="AF291" s="61">
        <v>22.787999999999997</v>
      </c>
      <c r="AG291" s="61">
        <v>8.5870000000000051</v>
      </c>
      <c r="AH291" s="61">
        <v>0.16299999999999848</v>
      </c>
      <c r="AI291" s="61">
        <v>0</v>
      </c>
      <c r="AJ291" s="61">
        <v>1.129</v>
      </c>
      <c r="AK291" s="61">
        <v>-0.67100000000000004</v>
      </c>
      <c r="AL291" s="61">
        <v>-0.45799999999999996</v>
      </c>
      <c r="AM291" s="61">
        <v>0</v>
      </c>
      <c r="AN291" s="61">
        <v>0</v>
      </c>
      <c r="AO291" s="61">
        <v>0</v>
      </c>
      <c r="AP291" s="61">
        <v>0.26800000000000002</v>
      </c>
      <c r="AQ291" s="61">
        <v>471.57</v>
      </c>
      <c r="AR291" s="61">
        <v>0</v>
      </c>
      <c r="AS291" s="61">
        <v>0</v>
      </c>
      <c r="AT291" s="61">
        <f>471.57-AS291-AR291-AQ291</f>
        <v>0</v>
      </c>
      <c r="AU291" s="61">
        <v>0</v>
      </c>
      <c r="AV291" s="61">
        <v>0</v>
      </c>
      <c r="AW291" s="61">
        <v>0</v>
      </c>
      <c r="AX291" s="61">
        <v>0</v>
      </c>
      <c r="AY291" s="61">
        <v>0</v>
      </c>
      <c r="AZ291" s="61">
        <v>0</v>
      </c>
      <c r="BA291" s="61">
        <v>0</v>
      </c>
      <c r="BB291" s="61">
        <v>0</v>
      </c>
      <c r="BC291" s="61">
        <v>0</v>
      </c>
      <c r="BD291" s="61">
        <v>0</v>
      </c>
      <c r="BE291" s="61">
        <v>0</v>
      </c>
      <c r="BF291" s="61">
        <v>0</v>
      </c>
      <c r="BI291">
        <f t="shared" si="1207"/>
        <v>284</v>
      </c>
    </row>
    <row r="292" spans="1:61" outlineLevel="1">
      <c r="B292" s="29" t="s">
        <v>163</v>
      </c>
      <c r="C292" s="54">
        <f t="shared" si="1251"/>
        <v>-1.853</v>
      </c>
      <c r="D292" s="54">
        <f t="shared" si="1251"/>
        <v>-4.3140000000000001</v>
      </c>
      <c r="E292" s="54">
        <f t="shared" si="1251"/>
        <v>-170.292</v>
      </c>
      <c r="F292" s="54">
        <f t="shared" si="1251"/>
        <v>-73.510000000000005</v>
      </c>
      <c r="G292" s="54">
        <f t="shared" si="1251"/>
        <v>-13.554</v>
      </c>
      <c r="H292" s="54">
        <f t="shared" si="1251"/>
        <v>-8.01</v>
      </c>
      <c r="I292" s="54">
        <f t="shared" si="1251"/>
        <v>-3.61</v>
      </c>
      <c r="J292" s="54">
        <f t="shared" si="1251"/>
        <v>-6.8090000000000002</v>
      </c>
      <c r="K292" s="54">
        <f t="shared" si="1251"/>
        <v>0</v>
      </c>
      <c r="L292" s="54">
        <f t="shared" si="1251"/>
        <v>0</v>
      </c>
      <c r="M292" s="54">
        <f t="shared" si="1251"/>
        <v>0</v>
      </c>
      <c r="O292" s="61">
        <v>-0.38800000000000001</v>
      </c>
      <c r="P292" s="61">
        <v>-1.0449999999999999</v>
      </c>
      <c r="Q292" s="61">
        <v>-0.41500000000000026</v>
      </c>
      <c r="R292" s="61">
        <v>-4.9999999999998934E-3</v>
      </c>
      <c r="S292" s="61">
        <v>-0.02</v>
      </c>
      <c r="T292" s="61">
        <v>-4.1960000000000006</v>
      </c>
      <c r="U292" s="61">
        <v>-3.0000000000001137E-3</v>
      </c>
      <c r="V292" s="61">
        <v>-9.4999999999999321E-2</v>
      </c>
      <c r="W292" s="61">
        <v>-1.4999999999999999E-2</v>
      </c>
      <c r="X292" s="61">
        <v>-71.322000000000003</v>
      </c>
      <c r="Y292" s="61">
        <v>-38.849000000000004</v>
      </c>
      <c r="Z292" s="61">
        <v>-60.105999999999995</v>
      </c>
      <c r="AA292" s="61">
        <v>-15.201000000000001</v>
      </c>
      <c r="AB292" s="61">
        <v>5.17</v>
      </c>
      <c r="AC292" s="61">
        <v>-63.375000000000007</v>
      </c>
      <c r="AD292" s="61">
        <v>-0.1039999999999992</v>
      </c>
      <c r="AE292" s="61">
        <v>-4.2999999999999997E-2</v>
      </c>
      <c r="AF292" s="61">
        <v>-13.511000000000001</v>
      </c>
      <c r="AG292" s="61">
        <v>7.3552275381416621E-16</v>
      </c>
      <c r="AH292" s="61">
        <v>7.3552275381416621E-16</v>
      </c>
      <c r="AI292" s="61">
        <v>0</v>
      </c>
      <c r="AJ292" s="61">
        <v>-8.01</v>
      </c>
      <c r="AK292" s="61">
        <v>0</v>
      </c>
      <c r="AL292" s="61">
        <v>0</v>
      </c>
      <c r="AM292" s="61">
        <v>0</v>
      </c>
      <c r="AN292" s="61">
        <v>-3.6110000000000002</v>
      </c>
      <c r="AO292" s="61">
        <v>0</v>
      </c>
      <c r="AP292" s="61">
        <v>1.000000000000334E-3</v>
      </c>
      <c r="AQ292" s="61">
        <v>0</v>
      </c>
      <c r="AR292" s="61">
        <v>-3.7269999999999999</v>
      </c>
      <c r="AS292" s="61">
        <v>-3.0820000000000003</v>
      </c>
      <c r="AT292" s="61">
        <f>-6.809-AS292-AR292-AQ292</f>
        <v>0</v>
      </c>
      <c r="AU292" s="61">
        <v>0</v>
      </c>
      <c r="AV292" s="61">
        <v>0</v>
      </c>
      <c r="AW292" s="61">
        <v>0</v>
      </c>
      <c r="AX292" s="61">
        <v>0</v>
      </c>
      <c r="AY292" s="61">
        <v>0</v>
      </c>
      <c r="AZ292" s="61">
        <v>0</v>
      </c>
      <c r="BA292" s="61">
        <v>0</v>
      </c>
      <c r="BB292" s="61">
        <v>0</v>
      </c>
      <c r="BC292" s="61">
        <v>0</v>
      </c>
      <c r="BD292" s="61">
        <v>0</v>
      </c>
      <c r="BE292" s="61">
        <v>0</v>
      </c>
      <c r="BF292" s="61">
        <v>0</v>
      </c>
      <c r="BI292">
        <f t="shared" si="1207"/>
        <v>285</v>
      </c>
    </row>
    <row r="293" spans="1:61" outlineLevel="1">
      <c r="B293" s="29" t="s">
        <v>164</v>
      </c>
      <c r="C293" s="54">
        <f t="shared" si="1251"/>
        <v>32.113999999999997</v>
      </c>
      <c r="D293" s="54">
        <f t="shared" si="1251"/>
        <v>42.918000000000006</v>
      </c>
      <c r="E293" s="54">
        <f t="shared" si="1251"/>
        <v>2.8200000000000571</v>
      </c>
      <c r="F293" s="54">
        <f t="shared" si="1251"/>
        <v>3.9029999999999756</v>
      </c>
      <c r="G293" s="54">
        <f t="shared" si="1251"/>
        <v>-0.54300000000000026</v>
      </c>
      <c r="H293" s="54">
        <f t="shared" si="1251"/>
        <v>-8.8559999999999999</v>
      </c>
      <c r="I293" s="54">
        <f t="shared" si="1251"/>
        <v>-3.552</v>
      </c>
      <c r="J293" s="54">
        <f t="shared" si="1251"/>
        <v>1.012</v>
      </c>
      <c r="K293" s="54">
        <f t="shared" si="1251"/>
        <v>0</v>
      </c>
      <c r="L293" s="54">
        <f t="shared" si="1251"/>
        <v>0</v>
      </c>
      <c r="M293" s="54">
        <f t="shared" si="1251"/>
        <v>0</v>
      </c>
      <c r="O293" s="61">
        <v>42.813000000000002</v>
      </c>
      <c r="P293" s="61">
        <v>-4.1429999999999296</v>
      </c>
      <c r="Q293" s="61">
        <v>-5.9980000000000757</v>
      </c>
      <c r="R293" s="61">
        <v>-0.55799999999999983</v>
      </c>
      <c r="S293" s="61">
        <v>26.128</v>
      </c>
      <c r="T293" s="61">
        <v>4.9029999999999987</v>
      </c>
      <c r="U293" s="61">
        <v>-0.12699999999999889</v>
      </c>
      <c r="V293" s="61">
        <v>12.01400000000001</v>
      </c>
      <c r="W293" s="61">
        <v>0.57399999999999807</v>
      </c>
      <c r="X293" s="61">
        <v>-5.5919999999999561</v>
      </c>
      <c r="Y293" s="61">
        <v>5.9306924999999566</v>
      </c>
      <c r="Z293" s="61">
        <v>1.9073075000000586</v>
      </c>
      <c r="AA293" s="61">
        <v>2.1859999999999999</v>
      </c>
      <c r="AB293" s="61">
        <v>0.87500000000001243</v>
      </c>
      <c r="AC293" s="61">
        <v>1.2999999999999048</v>
      </c>
      <c r="AD293" s="61">
        <v>-0.45799999999994156</v>
      </c>
      <c r="AE293" s="61">
        <v>1.4879999999999942</v>
      </c>
      <c r="AF293" s="61">
        <v>-0.54099999999999426</v>
      </c>
      <c r="AG293" s="61">
        <v>-1.605</v>
      </c>
      <c r="AH293" s="61">
        <v>0.11499999999999977</v>
      </c>
      <c r="AI293" s="61">
        <v>-5.3010000000000002</v>
      </c>
      <c r="AJ293" s="61">
        <v>0.27200000000000024</v>
      </c>
      <c r="AK293" s="61">
        <v>-3.141</v>
      </c>
      <c r="AL293" s="61">
        <v>-0.68599999999999994</v>
      </c>
      <c r="AM293" s="61">
        <v>0.39100000000000001</v>
      </c>
      <c r="AN293" s="61">
        <v>-0.27700000000000002</v>
      </c>
      <c r="AO293" s="61">
        <v>-2.9930000000000003</v>
      </c>
      <c r="AP293" s="61">
        <v>-0.67299999999999971</v>
      </c>
      <c r="AQ293" s="61">
        <v>0.23400000000000001</v>
      </c>
      <c r="AR293" s="61">
        <v>0.1</v>
      </c>
      <c r="AS293" s="61">
        <v>-1.4340000000000002</v>
      </c>
      <c r="AT293" s="61">
        <f>1.012-AS293-AR293-AQ293</f>
        <v>2.1120000000000001</v>
      </c>
      <c r="AU293" s="61">
        <v>0</v>
      </c>
      <c r="AV293" s="61">
        <v>0</v>
      </c>
      <c r="AW293" s="61">
        <v>0</v>
      </c>
      <c r="AX293" s="61">
        <v>0</v>
      </c>
      <c r="AY293" s="61">
        <v>0</v>
      </c>
      <c r="AZ293" s="61">
        <v>0</v>
      </c>
      <c r="BA293" s="61">
        <v>0</v>
      </c>
      <c r="BB293" s="61">
        <v>0</v>
      </c>
      <c r="BC293" s="61">
        <v>0</v>
      </c>
      <c r="BD293" s="61">
        <v>0</v>
      </c>
      <c r="BE293" s="61">
        <v>0</v>
      </c>
      <c r="BF293" s="61">
        <v>0</v>
      </c>
      <c r="BI293">
        <f t="shared" si="1207"/>
        <v>286</v>
      </c>
    </row>
    <row r="294" spans="1:61" outlineLevel="1">
      <c r="B294" s="29" t="s">
        <v>165</v>
      </c>
      <c r="C294" s="54">
        <f t="shared" si="1251"/>
        <v>0</v>
      </c>
      <c r="D294" s="54">
        <f t="shared" si="1251"/>
        <v>0</v>
      </c>
      <c r="E294" s="54">
        <f t="shared" si="1251"/>
        <v>0</v>
      </c>
      <c r="F294" s="54">
        <f t="shared" si="1251"/>
        <v>0</v>
      </c>
      <c r="G294" s="54">
        <f t="shared" si="1251"/>
        <v>0</v>
      </c>
      <c r="H294" s="54">
        <f t="shared" si="1251"/>
        <v>0</v>
      </c>
      <c r="I294" s="54">
        <f t="shared" si="1251"/>
        <v>0</v>
      </c>
      <c r="J294" s="54">
        <f t="shared" si="1251"/>
        <v>0</v>
      </c>
      <c r="K294" s="54">
        <f t="shared" si="1251"/>
        <v>0</v>
      </c>
      <c r="L294" s="54">
        <f t="shared" si="1251"/>
        <v>0</v>
      </c>
      <c r="M294" s="54">
        <f t="shared" si="1251"/>
        <v>0</v>
      </c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136"/>
      <c r="AU294" s="61">
        <v>0</v>
      </c>
      <c r="AV294" s="61">
        <v>0</v>
      </c>
      <c r="AW294" s="61">
        <v>0</v>
      </c>
      <c r="AX294" s="61">
        <v>0</v>
      </c>
      <c r="AY294" s="61">
        <v>0</v>
      </c>
      <c r="AZ294" s="61">
        <v>0</v>
      </c>
      <c r="BA294" s="61">
        <v>0</v>
      </c>
      <c r="BB294" s="61">
        <v>0</v>
      </c>
      <c r="BC294" s="61">
        <v>0</v>
      </c>
      <c r="BD294" s="61">
        <v>0</v>
      </c>
      <c r="BE294" s="61">
        <v>0</v>
      </c>
      <c r="BF294" s="61">
        <v>0</v>
      </c>
      <c r="BI294">
        <f t="shared" si="1207"/>
        <v>287</v>
      </c>
    </row>
    <row r="295" spans="1:61" outlineLevel="1">
      <c r="B295" s="30" t="s">
        <v>166</v>
      </c>
      <c r="C295" s="21">
        <f>SUM(C283:C294)</f>
        <v>-22.264999999999944</v>
      </c>
      <c r="D295" s="21">
        <f t="shared" ref="D295:O295" si="1254">SUM(D283:D294)</f>
        <v>-3.6660000000000537</v>
      </c>
      <c r="E295" s="21">
        <f t="shared" si="1254"/>
        <v>86.77700000000047</v>
      </c>
      <c r="F295" s="21">
        <f t="shared" si="1254"/>
        <v>138.78600000000006</v>
      </c>
      <c r="G295" s="21">
        <f t="shared" si="1254"/>
        <v>-206.4969999999999</v>
      </c>
      <c r="H295" s="21">
        <f t="shared" si="1254"/>
        <v>70.334000000000188</v>
      </c>
      <c r="I295" s="21">
        <f t="shared" si="1254"/>
        <v>-78.194000000000074</v>
      </c>
      <c r="J295" s="21">
        <f t="shared" si="1254"/>
        <v>7.6760000000000126</v>
      </c>
      <c r="K295" s="21">
        <f t="shared" si="1254"/>
        <v>296.31408528070114</v>
      </c>
      <c r="L295" s="21">
        <f t="shared" si="1254"/>
        <v>182.25951279763515</v>
      </c>
      <c r="M295" s="21">
        <f t="shared" si="1254"/>
        <v>106.77044665272732</v>
      </c>
      <c r="O295" s="21">
        <f t="shared" si="1254"/>
        <v>14.006999999999966</v>
      </c>
      <c r="P295" s="21">
        <f t="shared" ref="P295" si="1255">SUM(P283:P294)</f>
        <v>32.094999999999999</v>
      </c>
      <c r="Q295" s="21">
        <f t="shared" ref="Q295" si="1256">SUM(Q283:Q294)</f>
        <v>-22.063000000000056</v>
      </c>
      <c r="R295" s="21">
        <f t="shared" ref="R295" si="1257">SUM(R283:R294)</f>
        <v>-46.304000000000002</v>
      </c>
      <c r="S295" s="21">
        <f t="shared" ref="S295" si="1258">SUM(S283:S294)</f>
        <v>10.057999999999982</v>
      </c>
      <c r="T295" s="21">
        <f t="shared" ref="T295" si="1259">SUM(T283:T294)</f>
        <v>26.913999999999934</v>
      </c>
      <c r="U295" s="21">
        <f t="shared" ref="U295" si="1260">SUM(U283:U294)</f>
        <v>-53.938999999999993</v>
      </c>
      <c r="V295" s="21">
        <f t="shared" ref="V295" si="1261">SUM(V283:V294)</f>
        <v>13.301000000000055</v>
      </c>
      <c r="W295" s="21">
        <f t="shared" ref="W295" si="1262">SUM(W283:W294)</f>
        <v>-6.1210000000000013</v>
      </c>
      <c r="X295" s="21">
        <f t="shared" ref="X295" si="1263">SUM(X283:X294)</f>
        <v>57.47399999999999</v>
      </c>
      <c r="Y295" s="21">
        <f t="shared" ref="Y295" si="1264">SUM(Y283:Y294)</f>
        <v>8.1739999999999924</v>
      </c>
      <c r="Z295" s="21">
        <f t="shared" ref="Z295" si="1265">SUM(Z283:Z294)</f>
        <v>27.25</v>
      </c>
      <c r="AA295" s="21">
        <f t="shared" ref="AA295" si="1266">SUM(AA283:AA294)</f>
        <v>33.308000000000007</v>
      </c>
      <c r="AB295" s="21">
        <f t="shared" ref="AB295" si="1267">SUM(AB283:AB294)</f>
        <v>4.8460000000000036</v>
      </c>
      <c r="AC295" s="21">
        <f t="shared" ref="AC295" si="1268">SUM(AC283:AC294)</f>
        <v>55.758999999999986</v>
      </c>
      <c r="AD295" s="21">
        <f t="shared" ref="AD295" si="1269">SUM(AD283:AD294)</f>
        <v>44.87299999999999</v>
      </c>
      <c r="AE295" s="21">
        <f t="shared" ref="AE295" si="1270">SUM(AE283:AE294)</f>
        <v>8.2369999999999948</v>
      </c>
      <c r="AF295" s="21">
        <f t="shared" ref="AF295" si="1271">SUM(AF283:AF294)</f>
        <v>-136.90899999999993</v>
      </c>
      <c r="AG295" s="21">
        <f t="shared" ref="AG295" si="1272">SUM(AG283:AG294)</f>
        <v>-82.243000000000166</v>
      </c>
      <c r="AH295" s="21">
        <f t="shared" ref="AH295" si="1273">SUM(AH283:AH294)</f>
        <v>4.418000000000184</v>
      </c>
      <c r="AI295" s="21">
        <f t="shared" ref="AI295" si="1274">SUM(AI283:AI294)</f>
        <v>43.905000000000001</v>
      </c>
      <c r="AJ295" s="21">
        <f t="shared" ref="AJ295" si="1275">SUM(AJ283:AJ294)</f>
        <v>-10.411000000000042</v>
      </c>
      <c r="AK295" s="21">
        <f t="shared" ref="AK295" si="1276">SUM(AK283:AK294)</f>
        <v>-4.1000000000003034E-2</v>
      </c>
      <c r="AL295" s="21">
        <f t="shared" ref="AL295" si="1277">SUM(AL283:AL294)</f>
        <v>36.881000000000149</v>
      </c>
      <c r="AM295" s="21">
        <f t="shared" ref="AM295" si="1278">SUM(AM283:AM294)</f>
        <v>73.210999999999999</v>
      </c>
      <c r="AN295" s="21">
        <f t="shared" ref="AN295" si="1279">SUM(AN283:AN294)</f>
        <v>23.069999999999986</v>
      </c>
      <c r="AO295" s="21">
        <f t="shared" ref="AO295" si="1280">SUM(AO283:AO294)</f>
        <v>-172.655</v>
      </c>
      <c r="AP295" s="21">
        <f t="shared" ref="AP295" si="1281">SUM(AP283:AP294)</f>
        <v>-1.8200000000000105</v>
      </c>
      <c r="AQ295" s="21">
        <f t="shared" ref="AQ295" si="1282">SUM(AQ283:AQ294)</f>
        <v>431.45599999999996</v>
      </c>
      <c r="AR295" s="21">
        <f t="shared" ref="AR295" si="1283">SUM(AR283:AR294)</f>
        <v>-426.476</v>
      </c>
      <c r="AS295" s="21">
        <f t="shared" ref="AS295" si="1284">SUM(AS283:AS294)</f>
        <v>-2.2930000000000281</v>
      </c>
      <c r="AT295" s="21">
        <f t="shared" ref="AT295" si="1285">SUM(AT283:AT294)</f>
        <v>4.989000000000102</v>
      </c>
      <c r="AU295" s="21">
        <f t="shared" ref="AU295" si="1286">SUM(AU283:AU294)</f>
        <v>266.16807809309762</v>
      </c>
      <c r="AV295" s="21">
        <f t="shared" ref="AV295" si="1287">SUM(AV283:AV294)</f>
        <v>-1.919487289259191</v>
      </c>
      <c r="AW295" s="21">
        <f t="shared" ref="AW295" si="1288">SUM(AW283:AW294)</f>
        <v>7.8845398305416907</v>
      </c>
      <c r="AX295" s="21">
        <f t="shared" ref="AX295" si="1289">SUM(AX283:AX294)</f>
        <v>24.180954646321005</v>
      </c>
      <c r="AY295" s="21">
        <f t="shared" ref="AY295" si="1290">SUM(AY283:AY294)</f>
        <v>51.46069244877939</v>
      </c>
      <c r="AZ295" s="21">
        <f t="shared" ref="AZ295" si="1291">SUM(AZ283:AZ294)</f>
        <v>69.432884438809339</v>
      </c>
      <c r="BA295" s="21">
        <f t="shared" ref="BA295" si="1292">SUM(BA283:BA294)</f>
        <v>25.088467627720782</v>
      </c>
      <c r="BB295" s="21">
        <f t="shared" ref="BB295" si="1293">SUM(BB283:BB294)</f>
        <v>36.277468282325806</v>
      </c>
      <c r="BC295" s="21">
        <f t="shared" ref="BC295" si="1294">SUM(BC283:BC294)</f>
        <v>90.061470036763012</v>
      </c>
      <c r="BD295" s="21">
        <f t="shared" ref="BD295" si="1295">SUM(BD283:BD294)</f>
        <v>101.94836339912723</v>
      </c>
      <c r="BE295" s="21">
        <f t="shared" ref="BE295" si="1296">SUM(BE283:BE294)</f>
        <v>-192.83828083448239</v>
      </c>
      <c r="BF295" s="21">
        <f t="shared" ref="BF295" si="1297">SUM(BF283:BF294)</f>
        <v>107.59889405131943</v>
      </c>
      <c r="BI295">
        <f t="shared" si="1207"/>
        <v>288</v>
      </c>
    </row>
    <row r="296" spans="1:61" outlineLevel="1">
      <c r="C296" s="93"/>
      <c r="D296" s="93"/>
      <c r="E296" s="93"/>
      <c r="F296" s="93">
        <f t="shared" ref="F296:M296" si="1298">ROUND(F295-(F300-E300),3)</f>
        <v>0</v>
      </c>
      <c r="G296" s="93">
        <f t="shared" si="1298"/>
        <v>0</v>
      </c>
      <c r="H296" s="93">
        <f t="shared" si="1298"/>
        <v>0</v>
      </c>
      <c r="I296" s="93">
        <f t="shared" si="1298"/>
        <v>0</v>
      </c>
      <c r="J296" s="93">
        <f t="shared" si="1298"/>
        <v>0</v>
      </c>
      <c r="K296" s="93">
        <f t="shared" si="1298"/>
        <v>0</v>
      </c>
      <c r="L296" s="93">
        <f t="shared" si="1298"/>
        <v>0</v>
      </c>
      <c r="M296" s="93">
        <f t="shared" si="1298"/>
        <v>0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>
        <f t="shared" ref="AQ296:AT296" si="1299">ROUND(AQ295-(AQ300-AP300),3)</f>
        <v>0</v>
      </c>
      <c r="AR296" s="93">
        <f t="shared" si="1299"/>
        <v>0</v>
      </c>
      <c r="AS296" s="93">
        <f t="shared" si="1299"/>
        <v>0</v>
      </c>
      <c r="AT296" s="93">
        <f t="shared" si="1299"/>
        <v>0</v>
      </c>
      <c r="AU296" s="93">
        <f>ROUND(AU295-(AU300-AT300),3)</f>
        <v>0</v>
      </c>
      <c r="AV296" s="93">
        <f t="shared" ref="AV296:BF296" si="1300">ROUND(AV295-(AV300-AU300),3)</f>
        <v>0</v>
      </c>
      <c r="AW296" s="93">
        <f t="shared" si="1300"/>
        <v>0</v>
      </c>
      <c r="AX296" s="93">
        <f t="shared" si="1300"/>
        <v>0</v>
      </c>
      <c r="AY296" s="93">
        <f t="shared" si="1300"/>
        <v>0</v>
      </c>
      <c r="AZ296" s="93">
        <f t="shared" si="1300"/>
        <v>0</v>
      </c>
      <c r="BA296" s="93">
        <f t="shared" si="1300"/>
        <v>0</v>
      </c>
      <c r="BB296" s="93">
        <f t="shared" si="1300"/>
        <v>0</v>
      </c>
      <c r="BC296" s="93">
        <f t="shared" si="1300"/>
        <v>0</v>
      </c>
      <c r="BD296" s="93">
        <f t="shared" si="1300"/>
        <v>0</v>
      </c>
      <c r="BE296" s="93">
        <f t="shared" si="1300"/>
        <v>0</v>
      </c>
      <c r="BF296" s="93">
        <f t="shared" si="1300"/>
        <v>0</v>
      </c>
      <c r="BI296">
        <f t="shared" si="1207"/>
        <v>289</v>
      </c>
    </row>
    <row r="297" spans="1:61">
      <c r="A297" s="11" t="s">
        <v>65</v>
      </c>
      <c r="B297" s="26" t="s">
        <v>169</v>
      </c>
      <c r="BI297">
        <f t="shared" si="1207"/>
        <v>290</v>
      </c>
    </row>
    <row r="298" spans="1:61" outlineLevel="1">
      <c r="B298" s="27" t="s">
        <v>63</v>
      </c>
      <c r="C298" s="7">
        <f>C$8</f>
        <v>2010</v>
      </c>
      <c r="D298" s="7">
        <f t="shared" ref="D298:BF298" si="1301">D$8</f>
        <v>2011</v>
      </c>
      <c r="E298" s="7">
        <f t="shared" si="1301"/>
        <v>2012</v>
      </c>
      <c r="F298" s="7">
        <f t="shared" si="1301"/>
        <v>2013</v>
      </c>
      <c r="G298" s="7">
        <f t="shared" si="1301"/>
        <v>2014</v>
      </c>
      <c r="H298" s="7">
        <f t="shared" si="1301"/>
        <v>2015</v>
      </c>
      <c r="I298" s="7">
        <f t="shared" si="1301"/>
        <v>2016</v>
      </c>
      <c r="J298" s="7">
        <f t="shared" si="1301"/>
        <v>2017</v>
      </c>
      <c r="K298" s="7" t="str">
        <f t="shared" si="1301"/>
        <v>2018E</v>
      </c>
      <c r="L298" s="7" t="str">
        <f t="shared" si="1301"/>
        <v>2019E</v>
      </c>
      <c r="M298" s="7" t="str">
        <f t="shared" si="1301"/>
        <v>2020E</v>
      </c>
      <c r="N298" s="12"/>
      <c r="O298" s="7" t="str">
        <f t="shared" si="1301"/>
        <v>1Q10</v>
      </c>
      <c r="P298" s="7" t="str">
        <f t="shared" si="1301"/>
        <v>2Q10</v>
      </c>
      <c r="Q298" s="7" t="str">
        <f t="shared" si="1301"/>
        <v>3Q10</v>
      </c>
      <c r="R298" s="7" t="str">
        <f t="shared" si="1301"/>
        <v>4Q10</v>
      </c>
      <c r="S298" s="7" t="str">
        <f t="shared" si="1301"/>
        <v>1Q11</v>
      </c>
      <c r="T298" s="7" t="str">
        <f t="shared" si="1301"/>
        <v>2Q11</v>
      </c>
      <c r="U298" s="7" t="str">
        <f t="shared" si="1301"/>
        <v>3Q11</v>
      </c>
      <c r="V298" s="7" t="str">
        <f t="shared" si="1301"/>
        <v>4Q11</v>
      </c>
      <c r="W298" s="7" t="str">
        <f t="shared" si="1301"/>
        <v>1Q12</v>
      </c>
      <c r="X298" s="7" t="str">
        <f t="shared" si="1301"/>
        <v>2Q12</v>
      </c>
      <c r="Y298" s="7" t="str">
        <f t="shared" si="1301"/>
        <v>3Q12</v>
      </c>
      <c r="Z298" s="7" t="str">
        <f t="shared" si="1301"/>
        <v>4Q12</v>
      </c>
      <c r="AA298" s="7" t="str">
        <f t="shared" si="1301"/>
        <v>1Q13</v>
      </c>
      <c r="AB298" s="7" t="str">
        <f t="shared" si="1301"/>
        <v>2Q13</v>
      </c>
      <c r="AC298" s="7" t="str">
        <f t="shared" si="1301"/>
        <v>3Q13</v>
      </c>
      <c r="AD298" s="7" t="str">
        <f t="shared" si="1301"/>
        <v>4Q13</v>
      </c>
      <c r="AE298" s="7" t="str">
        <f t="shared" si="1301"/>
        <v>1Q14</v>
      </c>
      <c r="AF298" s="7" t="str">
        <f t="shared" si="1301"/>
        <v>2Q14</v>
      </c>
      <c r="AG298" s="7" t="str">
        <f t="shared" si="1301"/>
        <v>3Q14</v>
      </c>
      <c r="AH298" s="7" t="str">
        <f t="shared" si="1301"/>
        <v>4Q14</v>
      </c>
      <c r="AI298" s="7" t="str">
        <f t="shared" si="1301"/>
        <v>1Q15</v>
      </c>
      <c r="AJ298" s="7" t="str">
        <f t="shared" si="1301"/>
        <v>2Q15</v>
      </c>
      <c r="AK298" s="7" t="str">
        <f t="shared" si="1301"/>
        <v>3Q15</v>
      </c>
      <c r="AL298" s="7" t="str">
        <f t="shared" si="1301"/>
        <v>4Q15</v>
      </c>
      <c r="AM298" s="7" t="str">
        <f t="shared" si="1301"/>
        <v>1Q16</v>
      </c>
      <c r="AN298" s="7" t="str">
        <f t="shared" si="1301"/>
        <v>2Q16</v>
      </c>
      <c r="AO298" s="7" t="str">
        <f t="shared" si="1301"/>
        <v>3Q16</v>
      </c>
      <c r="AP298" s="7" t="str">
        <f t="shared" si="1301"/>
        <v>4Q16</v>
      </c>
      <c r="AQ298" s="7" t="str">
        <f t="shared" si="1301"/>
        <v>1Q17</v>
      </c>
      <c r="AR298" s="7" t="str">
        <f t="shared" si="1301"/>
        <v>2Q17</v>
      </c>
      <c r="AS298" s="7" t="str">
        <f t="shared" si="1301"/>
        <v>3Q17</v>
      </c>
      <c r="AT298" s="7" t="str">
        <f t="shared" si="1301"/>
        <v>4Q17</v>
      </c>
      <c r="AU298" s="7" t="str">
        <f t="shared" si="1301"/>
        <v>1Q18E</v>
      </c>
      <c r="AV298" s="7" t="str">
        <f t="shared" si="1301"/>
        <v>2Q18E</v>
      </c>
      <c r="AW298" s="7" t="str">
        <f t="shared" si="1301"/>
        <v>3Q18E</v>
      </c>
      <c r="AX298" s="7" t="str">
        <f t="shared" si="1301"/>
        <v>4Q18E</v>
      </c>
      <c r="AY298" s="7" t="str">
        <f t="shared" si="1301"/>
        <v>1Q19E</v>
      </c>
      <c r="AZ298" s="7" t="str">
        <f t="shared" si="1301"/>
        <v>2Q19E</v>
      </c>
      <c r="BA298" s="7" t="str">
        <f t="shared" si="1301"/>
        <v>3Q19E</v>
      </c>
      <c r="BB298" s="7" t="str">
        <f t="shared" si="1301"/>
        <v>4Q19E</v>
      </c>
      <c r="BC298" s="7" t="str">
        <f t="shared" si="1301"/>
        <v>1Q20E</v>
      </c>
      <c r="BD298" s="7" t="str">
        <f t="shared" si="1301"/>
        <v>2Q20E</v>
      </c>
      <c r="BE298" s="7" t="str">
        <f t="shared" si="1301"/>
        <v>3Q20E</v>
      </c>
      <c r="BF298" s="7" t="str">
        <f t="shared" si="1301"/>
        <v>4Q20E</v>
      </c>
      <c r="BI298">
        <f t="shared" si="1207"/>
        <v>291</v>
      </c>
    </row>
    <row r="299" spans="1:61" outlineLevel="1">
      <c r="B299" s="13" t="s">
        <v>190</v>
      </c>
      <c r="BI299">
        <f t="shared" si="1207"/>
        <v>292</v>
      </c>
    </row>
    <row r="300" spans="1:61" outlineLevel="1">
      <c r="B300" s="8" t="s">
        <v>170</v>
      </c>
      <c r="C300" s="54">
        <f>INDEX($O300:$BG300,1,MATCH(C$4,$O$4:$BG$4,0))</f>
        <v>27.611999999999998</v>
      </c>
      <c r="D300" s="54">
        <f t="shared" ref="D300:M311" si="1302">INDEX($O300:$BG300,1,MATCH(D$4,$O$4:$BG$4,0))</f>
        <v>23.946000000000002</v>
      </c>
      <c r="E300" s="54">
        <f t="shared" si="1302"/>
        <v>110.723</v>
      </c>
      <c r="F300" s="54">
        <f t="shared" si="1302"/>
        <v>249.50899999999999</v>
      </c>
      <c r="G300" s="54">
        <f t="shared" si="1302"/>
        <v>43.012</v>
      </c>
      <c r="H300" s="54">
        <f t="shared" si="1302"/>
        <v>113.346</v>
      </c>
      <c r="I300" s="54">
        <f t="shared" si="1302"/>
        <v>35.152000000000001</v>
      </c>
      <c r="J300" s="54">
        <f t="shared" si="1302"/>
        <v>42.828000000000003</v>
      </c>
      <c r="K300" s="54">
        <f t="shared" si="1302"/>
        <v>339.14208528070117</v>
      </c>
      <c r="L300" s="54">
        <f t="shared" si="1302"/>
        <v>521.40159807833652</v>
      </c>
      <c r="M300" s="54">
        <f t="shared" si="1302"/>
        <v>628.17204473106381</v>
      </c>
      <c r="O300" s="61">
        <v>63.884</v>
      </c>
      <c r="P300" s="61">
        <v>95.978999999999999</v>
      </c>
      <c r="Q300" s="61">
        <v>73.915999999999997</v>
      </c>
      <c r="R300" s="61">
        <v>27.611999999999998</v>
      </c>
      <c r="S300" s="61">
        <v>37.67</v>
      </c>
      <c r="T300" s="61">
        <v>64.584000000000003</v>
      </c>
      <c r="U300" s="61">
        <v>10.645</v>
      </c>
      <c r="V300" s="61">
        <v>23.946000000000002</v>
      </c>
      <c r="W300" s="61">
        <v>17.824999999999999</v>
      </c>
      <c r="X300" s="61">
        <v>75.299000000000007</v>
      </c>
      <c r="Y300" s="61">
        <v>83.472999999999999</v>
      </c>
      <c r="Z300" s="61">
        <v>110.723</v>
      </c>
      <c r="AA300" s="61">
        <v>144.03100000000001</v>
      </c>
      <c r="AB300" s="61">
        <v>148.87700000000001</v>
      </c>
      <c r="AC300" s="61">
        <v>204.636</v>
      </c>
      <c r="AD300" s="61">
        <v>249.50899999999999</v>
      </c>
      <c r="AE300" s="61">
        <v>257.74599999999998</v>
      </c>
      <c r="AF300" s="61">
        <v>120.837</v>
      </c>
      <c r="AG300" s="61">
        <v>38.594000000000001</v>
      </c>
      <c r="AH300" s="61">
        <v>43.012</v>
      </c>
      <c r="AI300" s="61">
        <v>86.917000000000002</v>
      </c>
      <c r="AJ300" s="61">
        <v>76.506</v>
      </c>
      <c r="AK300" s="61">
        <v>76.465000000000003</v>
      </c>
      <c r="AL300" s="61">
        <v>113.346</v>
      </c>
      <c r="AM300" s="61">
        <v>186.55699999999999</v>
      </c>
      <c r="AN300" s="61">
        <v>209.62700000000001</v>
      </c>
      <c r="AO300" s="61">
        <v>36.972000000000001</v>
      </c>
      <c r="AP300" s="61">
        <v>35.152000000000001</v>
      </c>
      <c r="AQ300" s="61">
        <v>466.608</v>
      </c>
      <c r="AR300" s="61">
        <v>40.131999999999998</v>
      </c>
      <c r="AS300" s="61">
        <v>37.838999999999999</v>
      </c>
      <c r="AT300" s="61">
        <v>42.828000000000003</v>
      </c>
      <c r="AU300" s="54">
        <f t="shared" ref="AU300:BF300" si="1303">+AT300+AU295</f>
        <v>308.99607809309759</v>
      </c>
      <c r="AV300" s="54">
        <f t="shared" si="1303"/>
        <v>307.07659080383843</v>
      </c>
      <c r="AW300" s="54">
        <f t="shared" si="1303"/>
        <v>314.96113063438014</v>
      </c>
      <c r="AX300" s="54">
        <f t="shared" si="1303"/>
        <v>339.14208528070117</v>
      </c>
      <c r="AY300" s="54">
        <f t="shared" si="1303"/>
        <v>390.60277772948058</v>
      </c>
      <c r="AZ300" s="54">
        <f t="shared" si="1303"/>
        <v>460.03566216828995</v>
      </c>
      <c r="BA300" s="54">
        <f t="shared" si="1303"/>
        <v>485.12412979601072</v>
      </c>
      <c r="BB300" s="54">
        <f t="shared" si="1303"/>
        <v>521.40159807833652</v>
      </c>
      <c r="BC300" s="54">
        <f t="shared" si="1303"/>
        <v>611.46306811509953</v>
      </c>
      <c r="BD300" s="54">
        <f t="shared" si="1303"/>
        <v>713.41143151422671</v>
      </c>
      <c r="BE300" s="54">
        <f t="shared" si="1303"/>
        <v>520.57315067974434</v>
      </c>
      <c r="BF300" s="54">
        <f t="shared" si="1303"/>
        <v>628.17204473106381</v>
      </c>
      <c r="BI300">
        <f t="shared" si="1207"/>
        <v>293</v>
      </c>
    </row>
    <row r="301" spans="1:61" outlineLevel="1">
      <c r="B301" s="8" t="s">
        <v>150</v>
      </c>
      <c r="C301" s="54">
        <f t="shared" ref="C301:C305" si="1304">INDEX($O301:$BG301,1,MATCH(C$4,$O$4:$BG$4,0))</f>
        <v>337.16699999999997</v>
      </c>
      <c r="D301" s="54">
        <f t="shared" si="1302"/>
        <v>518.10900000000004</v>
      </c>
      <c r="E301" s="54">
        <f t="shared" si="1302"/>
        <v>465.517</v>
      </c>
      <c r="F301" s="54">
        <f t="shared" si="1302"/>
        <v>451.517</v>
      </c>
      <c r="G301" s="54">
        <f t="shared" si="1302"/>
        <v>663.404</v>
      </c>
      <c r="H301" s="54">
        <f t="shared" si="1302"/>
        <v>219.672</v>
      </c>
      <c r="I301" s="54">
        <f t="shared" si="1302"/>
        <v>148.09100000000001</v>
      </c>
      <c r="J301" s="54">
        <f t="shared" si="1302"/>
        <v>580.35400000000004</v>
      </c>
      <c r="K301" s="54">
        <f t="shared" si="1302"/>
        <v>711.51175361039873</v>
      </c>
      <c r="L301" s="54">
        <f t="shared" si="1302"/>
        <v>850.71334923992822</v>
      </c>
      <c r="M301" s="54">
        <f t="shared" si="1302"/>
        <v>892.47920636383594</v>
      </c>
      <c r="O301" s="61">
        <v>178.57400000000001</v>
      </c>
      <c r="P301" s="61">
        <v>200.93799999999999</v>
      </c>
      <c r="Q301" s="61">
        <v>251.64599999999999</v>
      </c>
      <c r="R301" s="61">
        <v>337.16699999999997</v>
      </c>
      <c r="S301" s="61">
        <v>383.32799999999997</v>
      </c>
      <c r="T301" s="61">
        <v>406.24700000000001</v>
      </c>
      <c r="U301" s="61">
        <v>472.22699999999998</v>
      </c>
      <c r="V301" s="61">
        <v>518.10900000000004</v>
      </c>
      <c r="W301" s="61">
        <v>559.548</v>
      </c>
      <c r="X301" s="61">
        <v>528.80799999999999</v>
      </c>
      <c r="Y301" s="61">
        <v>470.786</v>
      </c>
      <c r="Z301" s="61">
        <v>465.517</v>
      </c>
      <c r="AA301" s="61">
        <v>491.23</v>
      </c>
      <c r="AB301" s="61">
        <v>501.82400000000001</v>
      </c>
      <c r="AC301" s="61">
        <v>488.80399999999997</v>
      </c>
      <c r="AD301" s="61">
        <v>451.517</v>
      </c>
      <c r="AE301" s="61">
        <v>485.92500000000001</v>
      </c>
      <c r="AF301" s="61">
        <v>507.93</v>
      </c>
      <c r="AG301" s="61">
        <v>593.37300000000005</v>
      </c>
      <c r="AH301" s="61">
        <v>663.404</v>
      </c>
      <c r="AI301" s="61">
        <v>484.98599999999999</v>
      </c>
      <c r="AJ301" s="61">
        <v>331.92200000000003</v>
      </c>
      <c r="AK301" s="61">
        <v>301.70999999999998</v>
      </c>
      <c r="AL301" s="61">
        <v>219.672</v>
      </c>
      <c r="AM301" s="61">
        <v>182.78100000000001</v>
      </c>
      <c r="AN301" s="61">
        <v>128.55099999999999</v>
      </c>
      <c r="AO301" s="61">
        <v>146.01300000000001</v>
      </c>
      <c r="AP301" s="61">
        <v>148.09100000000001</v>
      </c>
      <c r="AQ301" s="61">
        <v>210.43100000000001</v>
      </c>
      <c r="AR301" s="61">
        <v>433.36599999999999</v>
      </c>
      <c r="AS301" s="61">
        <v>544.50900000000001</v>
      </c>
      <c r="AT301" s="61">
        <v>580.35400000000004</v>
      </c>
      <c r="AU301" s="87">
        <f t="shared" ref="AU301:BF301" si="1305">AU353*AU16/AU6</f>
        <v>585.60992008470475</v>
      </c>
      <c r="AV301" s="87">
        <f t="shared" si="1305"/>
        <v>633.54403858217916</v>
      </c>
      <c r="AW301" s="87">
        <f t="shared" si="1305"/>
        <v>673.27831395403393</v>
      </c>
      <c r="AX301" s="87">
        <f t="shared" si="1305"/>
        <v>711.51175361039873</v>
      </c>
      <c r="AY301" s="87">
        <f t="shared" si="1305"/>
        <v>754.63292778097014</v>
      </c>
      <c r="AZ301" s="87">
        <f t="shared" si="1305"/>
        <v>784.17625473811961</v>
      </c>
      <c r="BA301" s="87">
        <f t="shared" si="1305"/>
        <v>822.1106719852736</v>
      </c>
      <c r="BB301" s="87">
        <f t="shared" si="1305"/>
        <v>850.71334923992822</v>
      </c>
      <c r="BC301" s="87">
        <f t="shared" si="1305"/>
        <v>877.06783858762958</v>
      </c>
      <c r="BD301" s="87">
        <f t="shared" si="1305"/>
        <v>883.96467182541937</v>
      </c>
      <c r="BE301" s="87">
        <f t="shared" si="1305"/>
        <v>885.24352855292204</v>
      </c>
      <c r="BF301" s="87">
        <f t="shared" si="1305"/>
        <v>892.47920636383594</v>
      </c>
      <c r="BI301">
        <f t="shared" si="1207"/>
        <v>294</v>
      </c>
    </row>
    <row r="302" spans="1:61" outlineLevel="1">
      <c r="B302" s="8" t="s">
        <v>171</v>
      </c>
      <c r="C302" s="54">
        <f t="shared" si="1304"/>
        <v>75.061999999999998</v>
      </c>
      <c r="D302" s="54">
        <f t="shared" si="1302"/>
        <v>0</v>
      </c>
      <c r="E302" s="54">
        <f t="shared" si="1302"/>
        <v>0</v>
      </c>
      <c r="F302" s="54">
        <f t="shared" si="1302"/>
        <v>0</v>
      </c>
      <c r="G302" s="54">
        <f t="shared" si="1302"/>
        <v>81.725999999999999</v>
      </c>
      <c r="H302" s="54">
        <f t="shared" si="1302"/>
        <v>33.454000000000001</v>
      </c>
      <c r="I302" s="54">
        <f t="shared" si="1302"/>
        <v>2.1259999999999999</v>
      </c>
      <c r="J302" s="54">
        <f t="shared" si="1302"/>
        <v>1.1519999999999999</v>
      </c>
      <c r="K302" s="54">
        <f t="shared" si="1302"/>
        <v>1.1519999999999999</v>
      </c>
      <c r="L302" s="54">
        <f t="shared" si="1302"/>
        <v>1.1519999999999999</v>
      </c>
      <c r="M302" s="54">
        <f t="shared" si="1302"/>
        <v>1.1519999999999999</v>
      </c>
      <c r="O302" s="61">
        <v>122.479</v>
      </c>
      <c r="P302" s="61">
        <v>5.16</v>
      </c>
      <c r="Q302" s="61">
        <v>4.6349999999999998</v>
      </c>
      <c r="R302" s="61">
        <v>75.061999999999998</v>
      </c>
      <c r="S302" s="61">
        <v>72.730999999999995</v>
      </c>
      <c r="T302" s="61">
        <v>1.31</v>
      </c>
      <c r="U302" s="61">
        <v>0</v>
      </c>
      <c r="V302" s="61">
        <v>0</v>
      </c>
      <c r="W302" s="61">
        <v>0</v>
      </c>
      <c r="X302" s="61">
        <v>1.905</v>
      </c>
      <c r="Y302" s="61">
        <v>0.76400000000000001</v>
      </c>
      <c r="Z302" s="61">
        <v>0</v>
      </c>
      <c r="AA302" s="61">
        <v>0</v>
      </c>
      <c r="AB302" s="61">
        <v>2.3730000000000002</v>
      </c>
      <c r="AC302" s="61">
        <v>0</v>
      </c>
      <c r="AD302" s="61">
        <v>0</v>
      </c>
      <c r="AE302" s="61">
        <v>0</v>
      </c>
      <c r="AF302" s="61">
        <v>2.8450000000000002</v>
      </c>
      <c r="AG302" s="61">
        <v>0</v>
      </c>
      <c r="AH302" s="61">
        <v>81.725999999999999</v>
      </c>
      <c r="AI302" s="61">
        <v>0</v>
      </c>
      <c r="AJ302" s="61">
        <v>0</v>
      </c>
      <c r="AK302" s="61">
        <v>30.952000000000002</v>
      </c>
      <c r="AL302" s="61">
        <v>33.454000000000001</v>
      </c>
      <c r="AM302" s="61">
        <v>37.320999999999998</v>
      </c>
      <c r="AN302" s="61">
        <v>36.670999999999999</v>
      </c>
      <c r="AO302" s="61">
        <v>3.8380000000000001</v>
      </c>
      <c r="AP302" s="61">
        <v>2.1259999999999999</v>
      </c>
      <c r="AQ302" s="61">
        <v>1.8779999999999999</v>
      </c>
      <c r="AR302" s="61">
        <v>3.6659999999999999</v>
      </c>
      <c r="AS302" s="61">
        <v>0.63</v>
      </c>
      <c r="AT302" s="61">
        <v>1.1519999999999999</v>
      </c>
      <c r="AU302" s="94">
        <f t="shared" ref="AU302:BF302" si="1306">AT302</f>
        <v>1.1519999999999999</v>
      </c>
      <c r="AV302" s="94">
        <f t="shared" si="1306"/>
        <v>1.1519999999999999</v>
      </c>
      <c r="AW302" s="94">
        <f t="shared" si="1306"/>
        <v>1.1519999999999999</v>
      </c>
      <c r="AX302" s="94">
        <f t="shared" si="1306"/>
        <v>1.1519999999999999</v>
      </c>
      <c r="AY302" s="94">
        <f t="shared" si="1306"/>
        <v>1.1519999999999999</v>
      </c>
      <c r="AZ302" s="94">
        <f t="shared" si="1306"/>
        <v>1.1519999999999999</v>
      </c>
      <c r="BA302" s="94">
        <f t="shared" si="1306"/>
        <v>1.1519999999999999</v>
      </c>
      <c r="BB302" s="94">
        <f t="shared" si="1306"/>
        <v>1.1519999999999999</v>
      </c>
      <c r="BC302" s="94">
        <f t="shared" si="1306"/>
        <v>1.1519999999999999</v>
      </c>
      <c r="BD302" s="94">
        <f t="shared" si="1306"/>
        <v>1.1519999999999999</v>
      </c>
      <c r="BE302" s="94">
        <f t="shared" si="1306"/>
        <v>1.1519999999999999</v>
      </c>
      <c r="BF302" s="94">
        <f t="shared" si="1306"/>
        <v>1.1519999999999999</v>
      </c>
      <c r="BI302">
        <f t="shared" si="1207"/>
        <v>295</v>
      </c>
    </row>
    <row r="303" spans="1:61" outlineLevel="1">
      <c r="B303" s="8" t="s">
        <v>151</v>
      </c>
      <c r="C303" s="54">
        <f t="shared" si="1304"/>
        <v>17.215</v>
      </c>
      <c r="D303" s="54">
        <f t="shared" si="1302"/>
        <v>31.306000000000001</v>
      </c>
      <c r="E303" s="54">
        <f t="shared" si="1302"/>
        <v>26.888999999999999</v>
      </c>
      <c r="F303" s="54">
        <f t="shared" si="1302"/>
        <v>21.248000000000001</v>
      </c>
      <c r="G303" s="54">
        <f t="shared" si="1302"/>
        <v>32.250999999999998</v>
      </c>
      <c r="H303" s="54">
        <f t="shared" si="1302"/>
        <v>14.715999999999999</v>
      </c>
      <c r="I303" s="54">
        <f t="shared" si="1302"/>
        <v>20.190999999999999</v>
      </c>
      <c r="J303" s="54">
        <f t="shared" si="1302"/>
        <v>69.167000000000002</v>
      </c>
      <c r="K303" s="54">
        <f t="shared" si="1302"/>
        <v>82.218985946790696</v>
      </c>
      <c r="L303" s="54">
        <f t="shared" si="1302"/>
        <v>97.30614782461457</v>
      </c>
      <c r="M303" s="54">
        <f t="shared" si="1302"/>
        <v>101.99946302316786</v>
      </c>
      <c r="O303" s="61">
        <v>9.3539999999999992</v>
      </c>
      <c r="P303" s="61">
        <v>9.8209999999999997</v>
      </c>
      <c r="Q303" s="61">
        <v>9.5299999999999994</v>
      </c>
      <c r="R303" s="61">
        <v>17.215</v>
      </c>
      <c r="S303" s="61">
        <v>18.387</v>
      </c>
      <c r="T303" s="61">
        <v>23.486000000000001</v>
      </c>
      <c r="U303" s="61">
        <v>25.556000000000001</v>
      </c>
      <c r="V303" s="61">
        <v>31.306000000000001</v>
      </c>
      <c r="W303" s="61">
        <v>28.585000000000001</v>
      </c>
      <c r="X303" s="61">
        <v>27.39</v>
      </c>
      <c r="Y303" s="61">
        <v>25.709</v>
      </c>
      <c r="Z303" s="61">
        <v>26.888999999999999</v>
      </c>
      <c r="AA303" s="61">
        <v>22.954000000000001</v>
      </c>
      <c r="AB303" s="61">
        <v>23.96</v>
      </c>
      <c r="AC303" s="61">
        <v>24.274000000000001</v>
      </c>
      <c r="AD303" s="61">
        <v>21.248000000000001</v>
      </c>
      <c r="AE303" s="61">
        <v>22.663</v>
      </c>
      <c r="AF303" s="61">
        <v>28.524999999999999</v>
      </c>
      <c r="AG303" s="61">
        <v>29.161999999999999</v>
      </c>
      <c r="AH303" s="61">
        <v>32.250999999999998</v>
      </c>
      <c r="AI303" s="61">
        <v>28.346</v>
      </c>
      <c r="AJ303" s="61">
        <v>22.672000000000001</v>
      </c>
      <c r="AK303" s="61">
        <v>17.422000000000001</v>
      </c>
      <c r="AL303" s="61">
        <v>14.715999999999999</v>
      </c>
      <c r="AM303" s="61">
        <v>13.22</v>
      </c>
      <c r="AN303" s="61">
        <v>11.532</v>
      </c>
      <c r="AO303" s="61">
        <v>19.850999999999999</v>
      </c>
      <c r="AP303" s="61">
        <v>20.190999999999999</v>
      </c>
      <c r="AQ303" s="61">
        <v>20.754000000000001</v>
      </c>
      <c r="AR303" s="61">
        <v>36.131999999999998</v>
      </c>
      <c r="AS303" s="61">
        <v>40.671999999999997</v>
      </c>
      <c r="AT303" s="61">
        <v>69.167000000000002</v>
      </c>
      <c r="AU303" s="87">
        <f t="shared" ref="AU303:BF303" si="1307">AU355*-AU23/AU6</f>
        <v>70.715072326864231</v>
      </c>
      <c r="AV303" s="87">
        <f t="shared" si="1307"/>
        <v>75.61250211504499</v>
      </c>
      <c r="AW303" s="87">
        <f t="shared" si="1307"/>
        <v>78.708321068768655</v>
      </c>
      <c r="AX303" s="87">
        <f t="shared" si="1307"/>
        <v>82.218985946790696</v>
      </c>
      <c r="AY303" s="87">
        <f t="shared" si="1307"/>
        <v>86.833368233930159</v>
      </c>
      <c r="AZ303" s="87">
        <f t="shared" si="1307"/>
        <v>89.609692588688887</v>
      </c>
      <c r="BA303" s="87">
        <f t="shared" si="1307"/>
        <v>93.884736238233785</v>
      </c>
      <c r="BB303" s="87">
        <f t="shared" si="1307"/>
        <v>97.30614782461457</v>
      </c>
      <c r="BC303" s="87">
        <f t="shared" si="1307"/>
        <v>100.41067995363811</v>
      </c>
      <c r="BD303" s="87">
        <f t="shared" si="1307"/>
        <v>101.16347410434936</v>
      </c>
      <c r="BE303" s="87">
        <f t="shared" si="1307"/>
        <v>101.20540472874129</v>
      </c>
      <c r="BF303" s="87">
        <f t="shared" si="1307"/>
        <v>101.99946302316786</v>
      </c>
      <c r="BI303">
        <f t="shared" si="1207"/>
        <v>296</v>
      </c>
    </row>
    <row r="304" spans="1:61" outlineLevel="1">
      <c r="B304" s="8" t="s">
        <v>172</v>
      </c>
      <c r="C304" s="54">
        <f t="shared" si="1304"/>
        <v>26.815000000000001</v>
      </c>
      <c r="D304" s="54">
        <f t="shared" si="1302"/>
        <v>142.72499999999999</v>
      </c>
      <c r="E304" s="54">
        <f t="shared" si="1302"/>
        <v>52.959000000000003</v>
      </c>
      <c r="F304" s="54">
        <f t="shared" si="1302"/>
        <v>32.951999999999998</v>
      </c>
      <c r="G304" s="54">
        <f t="shared" si="1302"/>
        <v>37.075000000000003</v>
      </c>
      <c r="H304" s="54">
        <f t="shared" si="1302"/>
        <v>65.120999999999995</v>
      </c>
      <c r="I304" s="54">
        <f t="shared" si="1302"/>
        <v>36.439</v>
      </c>
      <c r="J304" s="54">
        <f t="shared" si="1302"/>
        <v>0</v>
      </c>
      <c r="K304" s="54">
        <f t="shared" si="1302"/>
        <v>0</v>
      </c>
      <c r="L304" s="54">
        <f t="shared" si="1302"/>
        <v>0</v>
      </c>
      <c r="M304" s="54">
        <f t="shared" si="1302"/>
        <v>0</v>
      </c>
      <c r="O304" s="61">
        <v>28.079000000000001</v>
      </c>
      <c r="P304" s="61">
        <v>21.32</v>
      </c>
      <c r="Q304" s="61">
        <v>62.313000000000002</v>
      </c>
      <c r="R304" s="61">
        <v>26.815000000000001</v>
      </c>
      <c r="S304" s="61">
        <v>52.500999999999998</v>
      </c>
      <c r="T304" s="61">
        <v>75.796000000000006</v>
      </c>
      <c r="U304" s="61">
        <v>123.828</v>
      </c>
      <c r="V304" s="61">
        <v>142.72499999999999</v>
      </c>
      <c r="W304" s="61">
        <v>116.54300000000001</v>
      </c>
      <c r="X304" s="61">
        <v>81.932000000000002</v>
      </c>
      <c r="Y304" s="61">
        <v>71.287999999999997</v>
      </c>
      <c r="Z304" s="61">
        <v>52.959000000000003</v>
      </c>
      <c r="AA304" s="61">
        <v>42.505000000000003</v>
      </c>
      <c r="AB304" s="61">
        <v>35.716000000000001</v>
      </c>
      <c r="AC304" s="61">
        <v>29.178999999999998</v>
      </c>
      <c r="AD304" s="61">
        <v>32.951999999999998</v>
      </c>
      <c r="AE304" s="61">
        <v>33.851999999999997</v>
      </c>
      <c r="AF304" s="61">
        <v>27.962</v>
      </c>
      <c r="AG304" s="61">
        <v>32.322000000000003</v>
      </c>
      <c r="AH304" s="61">
        <v>37.075000000000003</v>
      </c>
      <c r="AI304" s="61">
        <v>39.926000000000002</v>
      </c>
      <c r="AJ304" s="61">
        <v>33.878999999999998</v>
      </c>
      <c r="AK304" s="61">
        <v>37.808999999999997</v>
      </c>
      <c r="AL304" s="61">
        <v>65.120999999999995</v>
      </c>
      <c r="AM304" s="61">
        <v>35.268000000000001</v>
      </c>
      <c r="AN304" s="61">
        <v>28.486999999999998</v>
      </c>
      <c r="AO304" s="61">
        <v>34.896999999999998</v>
      </c>
      <c r="AP304" s="61">
        <v>36.439</v>
      </c>
      <c r="AQ304" s="61">
        <v>0</v>
      </c>
      <c r="AR304" s="61">
        <v>0</v>
      </c>
      <c r="AS304" s="61">
        <v>0</v>
      </c>
      <c r="AT304" s="61">
        <f t="shared" ref="AT304" si="1308">+(746.855-AT$300)*(AS304/(AS$306-AS$300))</f>
        <v>0</v>
      </c>
      <c r="AU304" s="87">
        <f t="shared" ref="AU304:BF304" si="1309">AT304</f>
        <v>0</v>
      </c>
      <c r="AV304" s="87">
        <f t="shared" si="1309"/>
        <v>0</v>
      </c>
      <c r="AW304" s="87">
        <f t="shared" si="1309"/>
        <v>0</v>
      </c>
      <c r="AX304" s="87">
        <f t="shared" si="1309"/>
        <v>0</v>
      </c>
      <c r="AY304" s="87">
        <f t="shared" si="1309"/>
        <v>0</v>
      </c>
      <c r="AZ304" s="87">
        <f t="shared" si="1309"/>
        <v>0</v>
      </c>
      <c r="BA304" s="87">
        <f t="shared" si="1309"/>
        <v>0</v>
      </c>
      <c r="BB304" s="87">
        <f t="shared" si="1309"/>
        <v>0</v>
      </c>
      <c r="BC304" s="87">
        <f t="shared" si="1309"/>
        <v>0</v>
      </c>
      <c r="BD304" s="87">
        <f t="shared" si="1309"/>
        <v>0</v>
      </c>
      <c r="BE304" s="87">
        <f t="shared" si="1309"/>
        <v>0</v>
      </c>
      <c r="BF304" s="87">
        <f t="shared" si="1309"/>
        <v>0</v>
      </c>
      <c r="BI304">
        <f t="shared" si="1207"/>
        <v>297</v>
      </c>
    </row>
    <row r="305" spans="1:67" outlineLevel="1">
      <c r="B305" s="8" t="s">
        <v>173</v>
      </c>
      <c r="C305" s="54">
        <f t="shared" si="1304"/>
        <v>73.539000000000001</v>
      </c>
      <c r="D305" s="54">
        <f t="shared" si="1302"/>
        <v>48.863999999999997</v>
      </c>
      <c r="E305" s="54">
        <f t="shared" si="1302"/>
        <v>43.902999999999999</v>
      </c>
      <c r="F305" s="54">
        <f t="shared" si="1302"/>
        <v>53.423999999999999</v>
      </c>
      <c r="G305" s="54">
        <f t="shared" si="1302"/>
        <v>51.624000000000002</v>
      </c>
      <c r="H305" s="54">
        <f t="shared" si="1302"/>
        <v>40.226999999999997</v>
      </c>
      <c r="I305" s="54">
        <f t="shared" si="1302"/>
        <v>41.322000000000003</v>
      </c>
      <c r="J305" s="54">
        <f t="shared" si="1302"/>
        <v>53.353999999999999</v>
      </c>
      <c r="K305" s="54">
        <f t="shared" si="1302"/>
        <v>53.353999999999999</v>
      </c>
      <c r="L305" s="54">
        <f t="shared" si="1302"/>
        <v>53.353999999999999</v>
      </c>
      <c r="M305" s="54">
        <f t="shared" si="1302"/>
        <v>53.353999999999999</v>
      </c>
      <c r="O305" s="61">
        <v>40.354999999999997</v>
      </c>
      <c r="P305" s="61">
        <v>50.314</v>
      </c>
      <c r="Q305" s="61">
        <v>49.454000000000001</v>
      </c>
      <c r="R305" s="61">
        <v>73.539000000000001</v>
      </c>
      <c r="S305" s="61">
        <v>48.63</v>
      </c>
      <c r="T305" s="61">
        <v>58.726999999999997</v>
      </c>
      <c r="U305" s="61">
        <v>59.021999999999998</v>
      </c>
      <c r="V305" s="61">
        <v>48.863999999999997</v>
      </c>
      <c r="W305" s="61">
        <v>44.902999999999999</v>
      </c>
      <c r="X305" s="61">
        <v>45.231000000000002</v>
      </c>
      <c r="Y305" s="61">
        <v>43.215000000000003</v>
      </c>
      <c r="Z305" s="61">
        <v>43.902999999999999</v>
      </c>
      <c r="AA305" s="61">
        <v>40.593000000000004</v>
      </c>
      <c r="AB305" s="61">
        <v>60.529000000000003</v>
      </c>
      <c r="AC305" s="61">
        <v>45.387</v>
      </c>
      <c r="AD305" s="61">
        <v>53.423999999999999</v>
      </c>
      <c r="AE305" s="61">
        <v>51.064999999999998</v>
      </c>
      <c r="AF305" s="61">
        <v>70.632000000000005</v>
      </c>
      <c r="AG305" s="61">
        <v>54.645000000000003</v>
      </c>
      <c r="AH305" s="61">
        <v>51.624000000000002</v>
      </c>
      <c r="AI305" s="61">
        <v>47.445</v>
      </c>
      <c r="AJ305" s="61">
        <v>50.814999999999998</v>
      </c>
      <c r="AK305" s="61">
        <v>41.383000000000003</v>
      </c>
      <c r="AL305" s="61">
        <v>40.226999999999997</v>
      </c>
      <c r="AM305" s="61">
        <v>39.064</v>
      </c>
      <c r="AN305" s="61">
        <v>40.854999999999997</v>
      </c>
      <c r="AO305" s="61">
        <v>38.722000000000001</v>
      </c>
      <c r="AP305" s="61">
        <v>41.322000000000003</v>
      </c>
      <c r="AQ305" s="61">
        <v>30.273</v>
      </c>
      <c r="AR305" s="61">
        <v>58.453000000000003</v>
      </c>
      <c r="AS305" s="61">
        <v>54.646999999999998</v>
      </c>
      <c r="AT305" s="61">
        <v>53.353999999999999</v>
      </c>
      <c r="AU305" s="94">
        <f t="shared" ref="AU305:BF305" si="1310">AT305</f>
        <v>53.353999999999999</v>
      </c>
      <c r="AV305" s="94">
        <f t="shared" si="1310"/>
        <v>53.353999999999999</v>
      </c>
      <c r="AW305" s="94">
        <f t="shared" si="1310"/>
        <v>53.353999999999999</v>
      </c>
      <c r="AX305" s="94">
        <f t="shared" si="1310"/>
        <v>53.353999999999999</v>
      </c>
      <c r="AY305" s="94">
        <f t="shared" si="1310"/>
        <v>53.353999999999999</v>
      </c>
      <c r="AZ305" s="94">
        <f t="shared" si="1310"/>
        <v>53.353999999999999</v>
      </c>
      <c r="BA305" s="94">
        <f t="shared" si="1310"/>
        <v>53.353999999999999</v>
      </c>
      <c r="BB305" s="94">
        <f t="shared" si="1310"/>
        <v>53.353999999999999</v>
      </c>
      <c r="BC305" s="94">
        <f t="shared" si="1310"/>
        <v>53.353999999999999</v>
      </c>
      <c r="BD305" s="94">
        <f t="shared" si="1310"/>
        <v>53.353999999999999</v>
      </c>
      <c r="BE305" s="94">
        <f t="shared" si="1310"/>
        <v>53.353999999999999</v>
      </c>
      <c r="BF305" s="94">
        <f t="shared" si="1310"/>
        <v>53.353999999999999</v>
      </c>
      <c r="BI305">
        <f t="shared" si="1207"/>
        <v>298</v>
      </c>
    </row>
    <row r="306" spans="1:67" outlineLevel="1">
      <c r="B306" s="14" t="s">
        <v>174</v>
      </c>
      <c r="C306" s="21">
        <f>SUM(C300:C305)</f>
        <v>557.41</v>
      </c>
      <c r="D306" s="21">
        <f t="shared" ref="D306:M306" si="1311">SUM(D300:D305)</f>
        <v>764.95000000000016</v>
      </c>
      <c r="E306" s="21">
        <f t="shared" si="1311"/>
        <v>699.99099999999999</v>
      </c>
      <c r="F306" s="21">
        <f t="shared" si="1311"/>
        <v>808.65</v>
      </c>
      <c r="G306" s="21">
        <f t="shared" si="1311"/>
        <v>909.09199999999998</v>
      </c>
      <c r="H306" s="21">
        <f t="shared" si="1311"/>
        <v>486.536</v>
      </c>
      <c r="I306" s="21">
        <f t="shared" si="1311"/>
        <v>283.32100000000003</v>
      </c>
      <c r="J306" s="21">
        <f t="shared" si="1311"/>
        <v>746.85500000000013</v>
      </c>
      <c r="K306" s="21">
        <f t="shared" si="1311"/>
        <v>1187.3788248378908</v>
      </c>
      <c r="L306" s="21">
        <f t="shared" si="1311"/>
        <v>1523.9270951428794</v>
      </c>
      <c r="M306" s="21">
        <f t="shared" si="1311"/>
        <v>1677.1567141180676</v>
      </c>
      <c r="O306" s="21">
        <f>SUM(O300:O305)</f>
        <v>442.72500000000002</v>
      </c>
      <c r="P306" s="21">
        <f t="shared" ref="P306:BF306" si="1312">SUM(P300:P305)</f>
        <v>383.53200000000004</v>
      </c>
      <c r="Q306" s="21">
        <f t="shared" si="1312"/>
        <v>451.49399999999997</v>
      </c>
      <c r="R306" s="21">
        <f t="shared" si="1312"/>
        <v>557.41</v>
      </c>
      <c r="S306" s="21">
        <f t="shared" si="1312"/>
        <v>613.24699999999996</v>
      </c>
      <c r="T306" s="21">
        <f t="shared" si="1312"/>
        <v>630.15</v>
      </c>
      <c r="U306" s="21">
        <f t="shared" si="1312"/>
        <v>691.27800000000002</v>
      </c>
      <c r="V306" s="21">
        <f t="shared" si="1312"/>
        <v>764.95000000000016</v>
      </c>
      <c r="W306" s="21">
        <f t="shared" si="1312"/>
        <v>767.40400000000011</v>
      </c>
      <c r="X306" s="21">
        <f t="shared" si="1312"/>
        <v>760.56499999999994</v>
      </c>
      <c r="Y306" s="21">
        <f t="shared" si="1312"/>
        <v>695.23500000000001</v>
      </c>
      <c r="Z306" s="21">
        <f t="shared" si="1312"/>
        <v>699.99099999999999</v>
      </c>
      <c r="AA306" s="21">
        <f t="shared" si="1312"/>
        <v>741.31299999999987</v>
      </c>
      <c r="AB306" s="21">
        <f t="shared" si="1312"/>
        <v>773.27900000000011</v>
      </c>
      <c r="AC306" s="21">
        <f t="shared" si="1312"/>
        <v>792.28</v>
      </c>
      <c r="AD306" s="21">
        <f t="shared" si="1312"/>
        <v>808.65</v>
      </c>
      <c r="AE306" s="21">
        <f t="shared" si="1312"/>
        <v>851.25099999999998</v>
      </c>
      <c r="AF306" s="21">
        <f t="shared" si="1312"/>
        <v>758.73099999999999</v>
      </c>
      <c r="AG306" s="21">
        <f t="shared" si="1312"/>
        <v>748.09600000000012</v>
      </c>
      <c r="AH306" s="21">
        <f t="shared" si="1312"/>
        <v>909.09199999999998</v>
      </c>
      <c r="AI306" s="21">
        <f t="shared" si="1312"/>
        <v>687.62000000000012</v>
      </c>
      <c r="AJ306" s="21">
        <f t="shared" si="1312"/>
        <v>515.7940000000001</v>
      </c>
      <c r="AK306" s="21">
        <f t="shared" si="1312"/>
        <v>505.74099999999993</v>
      </c>
      <c r="AL306" s="21">
        <f t="shared" si="1312"/>
        <v>486.536</v>
      </c>
      <c r="AM306" s="21">
        <f t="shared" si="1312"/>
        <v>494.21100000000007</v>
      </c>
      <c r="AN306" s="21">
        <f t="shared" si="1312"/>
        <v>455.72300000000001</v>
      </c>
      <c r="AO306" s="21">
        <f t="shared" si="1312"/>
        <v>280.29300000000001</v>
      </c>
      <c r="AP306" s="21">
        <f t="shared" si="1312"/>
        <v>283.32100000000003</v>
      </c>
      <c r="AQ306" s="21">
        <f t="shared" si="1312"/>
        <v>729.94400000000007</v>
      </c>
      <c r="AR306" s="21">
        <f t="shared" si="1312"/>
        <v>571.74899999999991</v>
      </c>
      <c r="AS306" s="21">
        <f t="shared" si="1312"/>
        <v>678.29700000000003</v>
      </c>
      <c r="AT306" s="21">
        <f t="shared" si="1312"/>
        <v>746.85500000000013</v>
      </c>
      <c r="AU306" s="21">
        <f t="shared" si="1312"/>
        <v>1019.8270705046666</v>
      </c>
      <c r="AV306" s="21">
        <f t="shared" si="1312"/>
        <v>1070.7391315010625</v>
      </c>
      <c r="AW306" s="21">
        <f t="shared" si="1312"/>
        <v>1121.4537656571827</v>
      </c>
      <c r="AX306" s="21">
        <f t="shared" si="1312"/>
        <v>1187.3788248378908</v>
      </c>
      <c r="AY306" s="21">
        <f t="shared" si="1312"/>
        <v>1286.5750737443809</v>
      </c>
      <c r="AZ306" s="21">
        <f t="shared" si="1312"/>
        <v>1388.3276094950984</v>
      </c>
      <c r="BA306" s="21">
        <f t="shared" si="1312"/>
        <v>1455.625538019518</v>
      </c>
      <c r="BB306" s="21">
        <f t="shared" si="1312"/>
        <v>1523.9270951428794</v>
      </c>
      <c r="BC306" s="21">
        <f t="shared" si="1312"/>
        <v>1643.4475866563673</v>
      </c>
      <c r="BD306" s="21">
        <f t="shared" si="1312"/>
        <v>1753.0455774439956</v>
      </c>
      <c r="BE306" s="21">
        <f t="shared" si="1312"/>
        <v>1561.5280839614079</v>
      </c>
      <c r="BF306" s="21">
        <f t="shared" si="1312"/>
        <v>1677.1567141180676</v>
      </c>
      <c r="BI306">
        <f t="shared" si="1207"/>
        <v>299</v>
      </c>
    </row>
    <row r="307" spans="1:67" s="53" customFormat="1" hidden="1" outlineLevel="2">
      <c r="A307" s="52"/>
      <c r="B307" s="33" t="s">
        <v>175</v>
      </c>
      <c r="C307" s="75">
        <f t="shared" ref="C307:C311" si="1313">INDEX($O307:$BG307,1,MATCH(C$4,$O$4:$BG$4,0))</f>
        <v>4156.1390000000001</v>
      </c>
      <c r="D307" s="75">
        <f t="shared" si="1302"/>
        <v>4938.2939999999999</v>
      </c>
      <c r="E307" s="75">
        <f t="shared" si="1302"/>
        <v>5621.2269999999999</v>
      </c>
      <c r="F307" s="75">
        <f t="shared" si="1302"/>
        <v>6025.65</v>
      </c>
      <c r="G307" s="75">
        <f t="shared" si="1302"/>
        <v>6971.6309999999994</v>
      </c>
      <c r="H307" s="75">
        <f t="shared" si="1302"/>
        <v>7282.9110000000001</v>
      </c>
      <c r="I307" s="75">
        <f t="shared" si="1302"/>
        <v>7129.996000000001</v>
      </c>
      <c r="J307" s="75">
        <f t="shared" si="1302"/>
        <v>8490.0380000000005</v>
      </c>
      <c r="K307" s="75">
        <f t="shared" si="1302"/>
        <v>9167.643</v>
      </c>
      <c r="L307" s="75">
        <f t="shared" si="1302"/>
        <v>9924.0414000000001</v>
      </c>
      <c r="M307" s="75">
        <f t="shared" si="1302"/>
        <v>10608.162200000001</v>
      </c>
      <c r="O307" s="75">
        <v>3544.0360000000001</v>
      </c>
      <c r="P307" s="75">
        <v>3708.95</v>
      </c>
      <c r="Q307" s="75">
        <v>3853.8239999999996</v>
      </c>
      <c r="R307" s="75">
        <v>4156.1390000000001</v>
      </c>
      <c r="S307" s="75">
        <v>4275.8249999999998</v>
      </c>
      <c r="T307" s="75">
        <v>4528.1400000000003</v>
      </c>
      <c r="U307" s="75">
        <v>4733.9880000000003</v>
      </c>
      <c r="V307" s="75">
        <v>4938.2939999999999</v>
      </c>
      <c r="W307" s="75">
        <v>5112.5429999999997</v>
      </c>
      <c r="X307" s="75">
        <v>5206.6929999999993</v>
      </c>
      <c r="Y307" s="75">
        <v>5452.4129999999986</v>
      </c>
      <c r="Z307" s="75">
        <v>5621.2269999999999</v>
      </c>
      <c r="AA307" s="75">
        <v>5789.3370000000014</v>
      </c>
      <c r="AB307" s="75">
        <v>5885.6259999999993</v>
      </c>
      <c r="AC307" s="75">
        <v>5989.8370000000014</v>
      </c>
      <c r="AD307" s="75">
        <v>6025.65</v>
      </c>
      <c r="AE307" s="75">
        <v>6200.2640000000001</v>
      </c>
      <c r="AF307" s="75">
        <v>6462.2740000000003</v>
      </c>
      <c r="AG307" s="75">
        <v>6664.0680000000011</v>
      </c>
      <c r="AH307" s="75">
        <v>6971.6309999999994</v>
      </c>
      <c r="AI307" s="75">
        <v>7192.3509999999997</v>
      </c>
      <c r="AJ307" s="75">
        <v>7337.8770000000004</v>
      </c>
      <c r="AK307" s="75">
        <v>7274.3160000000007</v>
      </c>
      <c r="AL307" s="75">
        <v>7282.9110000000001</v>
      </c>
      <c r="AM307" s="75">
        <v>7255.7520000000004</v>
      </c>
      <c r="AN307" s="75">
        <v>7204.2420000000002</v>
      </c>
      <c r="AO307" s="75">
        <v>7128.9709999999995</v>
      </c>
      <c r="AP307" s="75">
        <v>7129.996000000001</v>
      </c>
      <c r="AQ307" s="75">
        <v>7149.3729999999996</v>
      </c>
      <c r="AR307" s="75">
        <v>8218.8829999999998</v>
      </c>
      <c r="AS307" s="75">
        <v>8305.759</v>
      </c>
      <c r="AT307" s="75">
        <v>8490.0380000000005</v>
      </c>
      <c r="AU307" s="75">
        <f t="shared" ref="AU307:BF307" si="1314">AT307-AU282-AU286-AU287</f>
        <v>8654.6830000000009</v>
      </c>
      <c r="AV307" s="75">
        <f t="shared" si="1314"/>
        <v>8822.4485000000004</v>
      </c>
      <c r="AW307" s="75">
        <f t="shared" si="1314"/>
        <v>8993.3705000000009</v>
      </c>
      <c r="AX307" s="75">
        <f t="shared" si="1314"/>
        <v>9167.643</v>
      </c>
      <c r="AY307" s="75">
        <f t="shared" si="1314"/>
        <v>9322.3330000000005</v>
      </c>
      <c r="AZ307" s="75">
        <f t="shared" si="1314"/>
        <v>9481.0750000000007</v>
      </c>
      <c r="BA307" s="75">
        <f t="shared" si="1314"/>
        <v>9700.7222000000002</v>
      </c>
      <c r="BB307" s="75">
        <f t="shared" si="1314"/>
        <v>9924.0414000000001</v>
      </c>
      <c r="BC307" s="75">
        <f t="shared" si="1314"/>
        <v>10094.292600000001</v>
      </c>
      <c r="BD307" s="75">
        <f t="shared" si="1314"/>
        <v>10264.907800000001</v>
      </c>
      <c r="BE307" s="75">
        <f t="shared" si="1314"/>
        <v>10436.351000000001</v>
      </c>
      <c r="BF307" s="75">
        <f t="shared" si="1314"/>
        <v>10608.162200000001</v>
      </c>
      <c r="BI307">
        <f t="shared" si="1207"/>
        <v>300</v>
      </c>
      <c r="BJ307"/>
      <c r="BK307"/>
      <c r="BL307"/>
      <c r="BM307"/>
      <c r="BN307"/>
      <c r="BO307"/>
    </row>
    <row r="308" spans="1:67" s="53" customFormat="1" hidden="1" outlineLevel="2">
      <c r="A308" s="52"/>
      <c r="B308" s="33" t="s">
        <v>176</v>
      </c>
      <c r="C308" s="75">
        <f t="shared" si="1313"/>
        <v>-1535.239</v>
      </c>
      <c r="D308" s="75">
        <f t="shared" si="1302"/>
        <v>-1771.0279999999998</v>
      </c>
      <c r="E308" s="75">
        <f t="shared" si="1302"/>
        <v>-2005.8440000000003</v>
      </c>
      <c r="F308" s="75">
        <f t="shared" si="1302"/>
        <v>-2390.1089999999999</v>
      </c>
      <c r="G308" s="75">
        <f t="shared" si="1302"/>
        <v>-2840.56</v>
      </c>
      <c r="H308" s="75">
        <f t="shared" si="1302"/>
        <v>-3362.203</v>
      </c>
      <c r="I308" s="75">
        <f t="shared" si="1302"/>
        <v>-3721.0330000000004</v>
      </c>
      <c r="J308" s="75">
        <f t="shared" si="1302"/>
        <v>-4235.308</v>
      </c>
      <c r="K308" s="75">
        <f t="shared" si="1302"/>
        <v>-5059.7274245732633</v>
      </c>
      <c r="L308" s="75">
        <f t="shared" si="1302"/>
        <v>-5918.88828120174</v>
      </c>
      <c r="M308" s="75">
        <f t="shared" si="1302"/>
        <v>-6785.0328511037815</v>
      </c>
      <c r="O308" s="75">
        <v>-1354.0640000000003</v>
      </c>
      <c r="P308" s="75">
        <v>-1419.0209999999997</v>
      </c>
      <c r="Q308" s="75">
        <v>-1456.6060000000002</v>
      </c>
      <c r="R308" s="75">
        <v>-1535.239</v>
      </c>
      <c r="S308" s="75">
        <v>-1569.6120000000001</v>
      </c>
      <c r="T308" s="75">
        <v>-1637.4719999999998</v>
      </c>
      <c r="U308" s="75">
        <v>-1708.3820000000001</v>
      </c>
      <c r="V308" s="75">
        <v>-1771.0279999999998</v>
      </c>
      <c r="W308" s="75">
        <v>-1804.28</v>
      </c>
      <c r="X308" s="75">
        <v>-1804.28</v>
      </c>
      <c r="Y308" s="75">
        <v>-1929.509</v>
      </c>
      <c r="Z308" s="75">
        <v>-2005.8440000000003</v>
      </c>
      <c r="AA308" s="75">
        <v>-2106.587</v>
      </c>
      <c r="AB308" s="75">
        <v>-2219.873</v>
      </c>
      <c r="AC308" s="75">
        <v>-2338.2629999999999</v>
      </c>
      <c r="AD308" s="75">
        <v>-2390.1089999999999</v>
      </c>
      <c r="AE308" s="75">
        <v>-2483.692</v>
      </c>
      <c r="AF308" s="75">
        <v>-2588.6640000000002</v>
      </c>
      <c r="AG308" s="75">
        <v>-2756.7370000000001</v>
      </c>
      <c r="AH308" s="75">
        <v>-2840.56</v>
      </c>
      <c r="AI308" s="75">
        <v>-2969.9470000000001</v>
      </c>
      <c r="AJ308" s="75">
        <v>-3091.73</v>
      </c>
      <c r="AK308" s="75">
        <v>-3251.1170000000002</v>
      </c>
      <c r="AL308" s="75">
        <v>-3362.203</v>
      </c>
      <c r="AM308" s="75">
        <v>-3468.9169999999999</v>
      </c>
      <c r="AN308" s="75">
        <v>-3563.3479999999995</v>
      </c>
      <c r="AO308" s="75">
        <v>-3617.2310000000007</v>
      </c>
      <c r="AP308" s="75">
        <v>-3721.0330000000004</v>
      </c>
      <c r="AQ308" s="75">
        <v>-3820.585</v>
      </c>
      <c r="AR308" s="75">
        <v>-3986.6889999999999</v>
      </c>
      <c r="AS308" s="75">
        <v>-4107.4740000000002</v>
      </c>
      <c r="AT308" s="75">
        <v>-4235.308</v>
      </c>
      <c r="AU308" s="75">
        <f t="shared" ref="AU308:BF308" si="1315">+AT308-AU271</f>
        <v>-4440.308</v>
      </c>
      <c r="AV308" s="75">
        <f t="shared" si="1315"/>
        <v>-4645.9976130517907</v>
      </c>
      <c r="AW308" s="75">
        <f t="shared" si="1315"/>
        <v>-4852.4465582086314</v>
      </c>
      <c r="AX308" s="75">
        <f t="shared" si="1315"/>
        <v>-5059.7274245732633</v>
      </c>
      <c r="AY308" s="75">
        <f t="shared" si="1315"/>
        <v>-5270.4908964799924</v>
      </c>
      <c r="AZ308" s="75">
        <f t="shared" si="1315"/>
        <v>-5483.4422278550637</v>
      </c>
      <c r="BA308" s="75">
        <f t="shared" si="1315"/>
        <v>-5698.5415382145329</v>
      </c>
      <c r="BB308" s="75">
        <f t="shared" si="1315"/>
        <v>-5918.88828120174</v>
      </c>
      <c r="BC308" s="75">
        <f t="shared" si="1315"/>
        <v>-6139.3986777760256</v>
      </c>
      <c r="BD308" s="75">
        <f t="shared" si="1315"/>
        <v>-6357.1419703122456</v>
      </c>
      <c r="BE308" s="75">
        <f t="shared" si="1315"/>
        <v>-6572.2905469745137</v>
      </c>
      <c r="BF308" s="75">
        <f t="shared" si="1315"/>
        <v>-6785.0328511037815</v>
      </c>
      <c r="BI308">
        <f t="shared" si="1207"/>
        <v>301</v>
      </c>
      <c r="BJ308"/>
      <c r="BK308"/>
      <c r="BL308"/>
      <c r="BM308"/>
      <c r="BN308"/>
      <c r="BO308"/>
    </row>
    <row r="309" spans="1:67" outlineLevel="1" collapsed="1">
      <c r="B309" s="8" t="s">
        <v>177</v>
      </c>
      <c r="C309" s="54">
        <f t="shared" si="1313"/>
        <v>2620.9</v>
      </c>
      <c r="D309" s="54">
        <f t="shared" si="1302"/>
        <v>3167.2660000000001</v>
      </c>
      <c r="E309" s="54">
        <f t="shared" si="1302"/>
        <v>3615.3829999999998</v>
      </c>
      <c r="F309" s="54">
        <f t="shared" si="1302"/>
        <v>3635.5409999999997</v>
      </c>
      <c r="G309" s="54">
        <f t="shared" si="1302"/>
        <v>4131.0709999999999</v>
      </c>
      <c r="H309" s="54">
        <f t="shared" si="1302"/>
        <v>3920.7080000000001</v>
      </c>
      <c r="I309" s="54">
        <f t="shared" si="1302"/>
        <v>3408.9630000000006</v>
      </c>
      <c r="J309" s="54">
        <f t="shared" si="1302"/>
        <v>4254.7300000000005</v>
      </c>
      <c r="K309" s="54">
        <f t="shared" si="1302"/>
        <v>4107.9155754267367</v>
      </c>
      <c r="L309" s="54">
        <f t="shared" si="1302"/>
        <v>4005.15311879826</v>
      </c>
      <c r="M309" s="54">
        <f t="shared" si="1302"/>
        <v>3823.1293488962192</v>
      </c>
      <c r="O309" s="54">
        <f>SUM(O307:O308)</f>
        <v>2189.9719999999998</v>
      </c>
      <c r="P309" s="54">
        <f t="shared" ref="P309:BF309" si="1316">SUM(P307:P308)</f>
        <v>2289.9290000000001</v>
      </c>
      <c r="Q309" s="54">
        <f t="shared" si="1316"/>
        <v>2397.2179999999994</v>
      </c>
      <c r="R309" s="54">
        <f t="shared" si="1316"/>
        <v>2620.9</v>
      </c>
      <c r="S309" s="54">
        <f t="shared" si="1316"/>
        <v>2706.2129999999997</v>
      </c>
      <c r="T309" s="54">
        <f t="shared" si="1316"/>
        <v>2890.6680000000006</v>
      </c>
      <c r="U309" s="54">
        <f t="shared" si="1316"/>
        <v>3025.6060000000002</v>
      </c>
      <c r="V309" s="54">
        <f t="shared" si="1316"/>
        <v>3167.2660000000001</v>
      </c>
      <c r="W309" s="54">
        <f t="shared" si="1316"/>
        <v>3308.2629999999999</v>
      </c>
      <c r="X309" s="54">
        <f t="shared" si="1316"/>
        <v>3402.4129999999996</v>
      </c>
      <c r="Y309" s="54">
        <f t="shared" si="1316"/>
        <v>3522.9039999999986</v>
      </c>
      <c r="Z309" s="54">
        <f t="shared" si="1316"/>
        <v>3615.3829999999998</v>
      </c>
      <c r="AA309" s="54">
        <f t="shared" si="1316"/>
        <v>3682.7500000000014</v>
      </c>
      <c r="AB309" s="54">
        <f t="shared" si="1316"/>
        <v>3665.7529999999992</v>
      </c>
      <c r="AC309" s="54">
        <f t="shared" si="1316"/>
        <v>3651.5740000000014</v>
      </c>
      <c r="AD309" s="54">
        <f t="shared" si="1316"/>
        <v>3635.5409999999997</v>
      </c>
      <c r="AE309" s="54">
        <f t="shared" si="1316"/>
        <v>3716.5720000000001</v>
      </c>
      <c r="AF309" s="54">
        <f t="shared" si="1316"/>
        <v>3873.61</v>
      </c>
      <c r="AG309" s="54">
        <f t="shared" si="1316"/>
        <v>3907.331000000001</v>
      </c>
      <c r="AH309" s="54">
        <f t="shared" si="1316"/>
        <v>4131.0709999999999</v>
      </c>
      <c r="AI309" s="54">
        <f t="shared" si="1316"/>
        <v>4222.4039999999995</v>
      </c>
      <c r="AJ309" s="54">
        <f t="shared" si="1316"/>
        <v>4246.1470000000008</v>
      </c>
      <c r="AK309" s="54">
        <f t="shared" si="1316"/>
        <v>4023.1990000000005</v>
      </c>
      <c r="AL309" s="54">
        <f t="shared" si="1316"/>
        <v>3920.7080000000001</v>
      </c>
      <c r="AM309" s="54">
        <f t="shared" si="1316"/>
        <v>3786.8350000000005</v>
      </c>
      <c r="AN309" s="54">
        <f t="shared" si="1316"/>
        <v>3640.8940000000007</v>
      </c>
      <c r="AO309" s="54">
        <f t="shared" si="1316"/>
        <v>3511.7399999999989</v>
      </c>
      <c r="AP309" s="54">
        <f t="shared" si="1316"/>
        <v>3408.9630000000006</v>
      </c>
      <c r="AQ309" s="54">
        <f t="shared" si="1316"/>
        <v>3328.7879999999996</v>
      </c>
      <c r="AR309" s="54">
        <f t="shared" si="1316"/>
        <v>4232.1939999999995</v>
      </c>
      <c r="AS309" s="54">
        <f t="shared" si="1316"/>
        <v>4198.2849999999999</v>
      </c>
      <c r="AT309" s="54">
        <f t="shared" si="1316"/>
        <v>4254.7300000000005</v>
      </c>
      <c r="AU309" s="54">
        <f t="shared" si="1316"/>
        <v>4214.3750000000009</v>
      </c>
      <c r="AV309" s="54">
        <f t="shared" si="1316"/>
        <v>4176.4508869482097</v>
      </c>
      <c r="AW309" s="54">
        <f t="shared" si="1316"/>
        <v>4140.9239417913695</v>
      </c>
      <c r="AX309" s="54">
        <f t="shared" si="1316"/>
        <v>4107.9155754267367</v>
      </c>
      <c r="AY309" s="54">
        <f t="shared" si="1316"/>
        <v>4051.8421035200081</v>
      </c>
      <c r="AZ309" s="54">
        <f t="shared" si="1316"/>
        <v>3997.632772144937</v>
      </c>
      <c r="BA309" s="54">
        <f t="shared" si="1316"/>
        <v>4002.1806617854672</v>
      </c>
      <c r="BB309" s="54">
        <f t="shared" si="1316"/>
        <v>4005.15311879826</v>
      </c>
      <c r="BC309" s="54">
        <f t="shared" si="1316"/>
        <v>3954.8939222239751</v>
      </c>
      <c r="BD309" s="54">
        <f t="shared" si="1316"/>
        <v>3907.7658296877553</v>
      </c>
      <c r="BE309" s="54">
        <f t="shared" si="1316"/>
        <v>3864.0604530254868</v>
      </c>
      <c r="BF309" s="54">
        <f t="shared" si="1316"/>
        <v>3823.1293488962192</v>
      </c>
      <c r="BI309">
        <f t="shared" si="1207"/>
        <v>302</v>
      </c>
    </row>
    <row r="310" spans="1:67" outlineLevel="1">
      <c r="B310" s="8" t="s">
        <v>191</v>
      </c>
      <c r="C310" s="54">
        <f t="shared" si="1313"/>
        <v>179.68299999999999</v>
      </c>
      <c r="D310" s="54">
        <f t="shared" si="1302"/>
        <v>175.57300000000001</v>
      </c>
      <c r="E310" s="54">
        <f t="shared" si="1302"/>
        <v>171.46299999999999</v>
      </c>
      <c r="F310" s="54">
        <f t="shared" si="1302"/>
        <v>167.47</v>
      </c>
      <c r="G310" s="54">
        <f t="shared" si="1302"/>
        <v>220.81299999999999</v>
      </c>
      <c r="H310" s="54">
        <f t="shared" si="1302"/>
        <v>92.608999999999995</v>
      </c>
      <c r="I310" s="54">
        <f t="shared" si="1302"/>
        <v>88.965999999999994</v>
      </c>
      <c r="J310" s="54">
        <f t="shared" si="1302"/>
        <v>687.072</v>
      </c>
      <c r="K310" s="54">
        <f t="shared" si="1302"/>
        <v>687.072</v>
      </c>
      <c r="L310" s="54">
        <f t="shared" si="1302"/>
        <v>687.072</v>
      </c>
      <c r="M310" s="54">
        <f t="shared" si="1302"/>
        <v>687.072</v>
      </c>
      <c r="O310" s="61">
        <v>86.233999999999995</v>
      </c>
      <c r="P310" s="61">
        <v>86.233999999999995</v>
      </c>
      <c r="Q310" s="61">
        <v>86.233999999999995</v>
      </c>
      <c r="R310" s="61">
        <v>179.68299999999999</v>
      </c>
      <c r="S310" s="61">
        <v>178.65600000000001</v>
      </c>
      <c r="T310" s="61">
        <v>177.62799999999999</v>
      </c>
      <c r="U310" s="61">
        <v>176.601</v>
      </c>
      <c r="V310" s="61">
        <v>175.57300000000001</v>
      </c>
      <c r="W310" s="61">
        <v>174.54599999999999</v>
      </c>
      <c r="X310" s="61">
        <v>173.518</v>
      </c>
      <c r="Y310" s="61">
        <v>172.49100000000001</v>
      </c>
      <c r="Z310" s="61">
        <v>171.46299999999999</v>
      </c>
      <c r="AA310" s="61">
        <v>170.435</v>
      </c>
      <c r="AB310" s="61">
        <v>169.40799999999999</v>
      </c>
      <c r="AC310" s="61">
        <v>168.38</v>
      </c>
      <c r="AD310" s="61">
        <v>167.47</v>
      </c>
      <c r="AE310" s="61">
        <v>166.559</v>
      </c>
      <c r="AF310" s="61">
        <v>177.303</v>
      </c>
      <c r="AG310" s="61">
        <v>180.22300000000001</v>
      </c>
      <c r="AH310" s="61">
        <v>220.81299999999999</v>
      </c>
      <c r="AI310" s="61">
        <v>219.90199999999999</v>
      </c>
      <c r="AJ310" s="61">
        <v>218.99199999999999</v>
      </c>
      <c r="AK310" s="61">
        <v>93.52</v>
      </c>
      <c r="AL310" s="61">
        <v>92.608999999999995</v>
      </c>
      <c r="AM310" s="61">
        <v>91.697999999999993</v>
      </c>
      <c r="AN310" s="61">
        <v>90.787999999999997</v>
      </c>
      <c r="AO310" s="61">
        <v>89.876999999999995</v>
      </c>
      <c r="AP310" s="61">
        <v>88.965999999999994</v>
      </c>
      <c r="AQ310" s="61">
        <v>88.055000000000007</v>
      </c>
      <c r="AR310" s="61">
        <v>540.27300000000002</v>
      </c>
      <c r="AS310" s="61">
        <v>533.68200000000002</v>
      </c>
      <c r="AT310" s="61">
        <v>687.072</v>
      </c>
      <c r="AU310" s="61">
        <f t="shared" ref="AU310:BF311" si="1317">AT310</f>
        <v>687.072</v>
      </c>
      <c r="AV310" s="61">
        <f t="shared" si="1317"/>
        <v>687.072</v>
      </c>
      <c r="AW310" s="61">
        <f t="shared" si="1317"/>
        <v>687.072</v>
      </c>
      <c r="AX310" s="61">
        <f t="shared" si="1317"/>
        <v>687.072</v>
      </c>
      <c r="AY310" s="61">
        <f t="shared" si="1317"/>
        <v>687.072</v>
      </c>
      <c r="AZ310" s="61">
        <f t="shared" si="1317"/>
        <v>687.072</v>
      </c>
      <c r="BA310" s="61">
        <f t="shared" si="1317"/>
        <v>687.072</v>
      </c>
      <c r="BB310" s="61">
        <f t="shared" si="1317"/>
        <v>687.072</v>
      </c>
      <c r="BC310" s="61">
        <f t="shared" si="1317"/>
        <v>687.072</v>
      </c>
      <c r="BD310" s="61">
        <f t="shared" si="1317"/>
        <v>687.072</v>
      </c>
      <c r="BE310" s="61">
        <f t="shared" si="1317"/>
        <v>687.072</v>
      </c>
      <c r="BF310" s="61">
        <f t="shared" si="1317"/>
        <v>687.072</v>
      </c>
      <c r="BI310">
        <f t="shared" si="1207"/>
        <v>303</v>
      </c>
    </row>
    <row r="311" spans="1:67" outlineLevel="1">
      <c r="B311" s="8" t="s">
        <v>178</v>
      </c>
      <c r="C311" s="54">
        <f t="shared" si="1313"/>
        <v>65.038000000000011</v>
      </c>
      <c r="D311" s="54">
        <f t="shared" si="1302"/>
        <v>114.11200000000001</v>
      </c>
      <c r="E311" s="54">
        <f t="shared" si="1302"/>
        <v>70.073999999999998</v>
      </c>
      <c r="F311" s="54">
        <f t="shared" si="1302"/>
        <v>75.466000000000008</v>
      </c>
      <c r="G311" s="54">
        <f t="shared" si="1302"/>
        <v>133.035</v>
      </c>
      <c r="H311" s="54">
        <f t="shared" si="1302"/>
        <v>33.463999999999999</v>
      </c>
      <c r="I311" s="54">
        <f t="shared" si="1302"/>
        <v>23.356000000000002</v>
      </c>
      <c r="J311" s="54">
        <f t="shared" si="1302"/>
        <v>70.198999999999998</v>
      </c>
      <c r="K311" s="54">
        <f t="shared" si="1302"/>
        <v>70.198999999999998</v>
      </c>
      <c r="L311" s="54">
        <f t="shared" si="1302"/>
        <v>70.198999999999998</v>
      </c>
      <c r="M311" s="54">
        <f t="shared" si="1302"/>
        <v>70.198999999999998</v>
      </c>
      <c r="O311" s="61">
        <v>24.567</v>
      </c>
      <c r="P311" s="61">
        <v>40.296999999999997</v>
      </c>
      <c r="Q311" s="61">
        <v>62.462000000000003</v>
      </c>
      <c r="R311" s="61">
        <v>65.038000000000011</v>
      </c>
      <c r="S311" s="61">
        <v>84.850000000000009</v>
      </c>
      <c r="T311" s="61">
        <v>79.143000000000001</v>
      </c>
      <c r="U311" s="61">
        <v>93.207999999999998</v>
      </c>
      <c r="V311" s="61">
        <v>114.11200000000001</v>
      </c>
      <c r="W311" s="61">
        <v>113.619</v>
      </c>
      <c r="X311" s="61">
        <v>106.119</v>
      </c>
      <c r="Y311" s="61">
        <v>79.344999999999999</v>
      </c>
      <c r="Z311" s="61">
        <v>70.073999999999998</v>
      </c>
      <c r="AA311" s="61">
        <v>62.733999999999995</v>
      </c>
      <c r="AB311" s="61">
        <v>55.275999999999996</v>
      </c>
      <c r="AC311" s="61">
        <v>65.287999999999997</v>
      </c>
      <c r="AD311" s="61">
        <v>75.466000000000008</v>
      </c>
      <c r="AE311" s="61">
        <v>78.513000000000005</v>
      </c>
      <c r="AF311" s="61">
        <v>98.722999999999999</v>
      </c>
      <c r="AG311" s="61">
        <v>132.69900000000001</v>
      </c>
      <c r="AH311" s="61">
        <v>133.035</v>
      </c>
      <c r="AI311" s="61">
        <v>100.98100000000001</v>
      </c>
      <c r="AJ311" s="61">
        <v>68.594999999999999</v>
      </c>
      <c r="AK311" s="61">
        <v>55.706000000000003</v>
      </c>
      <c r="AL311" s="61">
        <v>33.463999999999999</v>
      </c>
      <c r="AM311" s="61">
        <v>25.425999999999998</v>
      </c>
      <c r="AN311" s="61">
        <v>24.065999999999999</v>
      </c>
      <c r="AO311" s="61">
        <v>26.963000000000001</v>
      </c>
      <c r="AP311" s="61">
        <v>23.356000000000002</v>
      </c>
      <c r="AQ311" s="61">
        <v>31.832000000000001</v>
      </c>
      <c r="AR311" s="61">
        <v>59.84</v>
      </c>
      <c r="AS311" s="61">
        <v>62.710999999999999</v>
      </c>
      <c r="AT311" s="61">
        <f>16.351+3.875+49.973</f>
        <v>70.198999999999998</v>
      </c>
      <c r="AU311" s="61">
        <f t="shared" si="1317"/>
        <v>70.198999999999998</v>
      </c>
      <c r="AV311" s="61">
        <f t="shared" si="1317"/>
        <v>70.198999999999998</v>
      </c>
      <c r="AW311" s="61">
        <f t="shared" si="1317"/>
        <v>70.198999999999998</v>
      </c>
      <c r="AX311" s="61">
        <f t="shared" si="1317"/>
        <v>70.198999999999998</v>
      </c>
      <c r="AY311" s="61">
        <f t="shared" si="1317"/>
        <v>70.198999999999998</v>
      </c>
      <c r="AZ311" s="61">
        <f t="shared" si="1317"/>
        <v>70.198999999999998</v>
      </c>
      <c r="BA311" s="61">
        <f t="shared" si="1317"/>
        <v>70.198999999999998</v>
      </c>
      <c r="BB311" s="61">
        <f t="shared" si="1317"/>
        <v>70.198999999999998</v>
      </c>
      <c r="BC311" s="61">
        <f t="shared" si="1317"/>
        <v>70.198999999999998</v>
      </c>
      <c r="BD311" s="61">
        <f t="shared" si="1317"/>
        <v>70.198999999999998</v>
      </c>
      <c r="BE311" s="61">
        <f t="shared" si="1317"/>
        <v>70.198999999999998</v>
      </c>
      <c r="BF311" s="61">
        <f t="shared" si="1317"/>
        <v>70.198999999999998</v>
      </c>
      <c r="BI311">
        <f t="shared" si="1207"/>
        <v>304</v>
      </c>
    </row>
    <row r="312" spans="1:67" outlineLevel="1">
      <c r="B312" s="14" t="s">
        <v>179</v>
      </c>
      <c r="C312" s="21">
        <f t="shared" ref="C312:M312" si="1318">C306+SUM(C309:C311)</f>
        <v>3423.0309999999999</v>
      </c>
      <c r="D312" s="21">
        <f t="shared" si="1318"/>
        <v>4221.9009999999998</v>
      </c>
      <c r="E312" s="21">
        <f t="shared" si="1318"/>
        <v>4556.9110000000001</v>
      </c>
      <c r="F312" s="21">
        <f t="shared" si="1318"/>
        <v>4687.1269999999995</v>
      </c>
      <c r="G312" s="21">
        <f t="shared" si="1318"/>
        <v>5394.0109999999995</v>
      </c>
      <c r="H312" s="21">
        <f t="shared" si="1318"/>
        <v>4533.317</v>
      </c>
      <c r="I312" s="21">
        <f t="shared" si="1318"/>
        <v>3804.6060000000007</v>
      </c>
      <c r="J312" s="21">
        <f t="shared" si="1318"/>
        <v>5758.8560000000007</v>
      </c>
      <c r="K312" s="21">
        <f t="shared" si="1318"/>
        <v>6052.565400264627</v>
      </c>
      <c r="L312" s="21">
        <f t="shared" si="1318"/>
        <v>6286.3512139411396</v>
      </c>
      <c r="M312" s="21">
        <f t="shared" si="1318"/>
        <v>6257.5570630142865</v>
      </c>
      <c r="O312" s="21">
        <f t="shared" ref="O312:BF312" si="1319">O306+SUM(O309:O311)</f>
        <v>2743.4979999999996</v>
      </c>
      <c r="P312" s="21">
        <f t="shared" si="1319"/>
        <v>2799.9920000000002</v>
      </c>
      <c r="Q312" s="21">
        <f t="shared" si="1319"/>
        <v>2997.4079999999994</v>
      </c>
      <c r="R312" s="21">
        <f t="shared" si="1319"/>
        <v>3423.0309999999999</v>
      </c>
      <c r="S312" s="21">
        <f t="shared" si="1319"/>
        <v>3582.9659999999994</v>
      </c>
      <c r="T312" s="21">
        <f t="shared" si="1319"/>
        <v>3777.5890000000009</v>
      </c>
      <c r="U312" s="21">
        <f t="shared" si="1319"/>
        <v>3986.6930000000002</v>
      </c>
      <c r="V312" s="21">
        <f t="shared" si="1319"/>
        <v>4221.9009999999998</v>
      </c>
      <c r="W312" s="21">
        <f t="shared" si="1319"/>
        <v>4363.8320000000003</v>
      </c>
      <c r="X312" s="21">
        <f t="shared" si="1319"/>
        <v>4442.6149999999998</v>
      </c>
      <c r="Y312" s="21">
        <f t="shared" si="1319"/>
        <v>4469.9749999999985</v>
      </c>
      <c r="Z312" s="21">
        <f t="shared" si="1319"/>
        <v>4556.9110000000001</v>
      </c>
      <c r="AA312" s="21">
        <f t="shared" si="1319"/>
        <v>4657.2320000000009</v>
      </c>
      <c r="AB312" s="21">
        <f t="shared" si="1319"/>
        <v>4663.7159999999994</v>
      </c>
      <c r="AC312" s="21">
        <f t="shared" si="1319"/>
        <v>4677.5220000000018</v>
      </c>
      <c r="AD312" s="21">
        <f t="shared" si="1319"/>
        <v>4687.1269999999995</v>
      </c>
      <c r="AE312" s="21">
        <f t="shared" si="1319"/>
        <v>4812.8950000000004</v>
      </c>
      <c r="AF312" s="21">
        <f t="shared" si="1319"/>
        <v>4908.3670000000002</v>
      </c>
      <c r="AG312" s="21">
        <f t="shared" si="1319"/>
        <v>4968.3490000000011</v>
      </c>
      <c r="AH312" s="21">
        <f t="shared" si="1319"/>
        <v>5394.0109999999995</v>
      </c>
      <c r="AI312" s="21">
        <f t="shared" si="1319"/>
        <v>5230.9069999999992</v>
      </c>
      <c r="AJ312" s="21">
        <f t="shared" si="1319"/>
        <v>5049.5280000000012</v>
      </c>
      <c r="AK312" s="21">
        <f t="shared" si="1319"/>
        <v>4678.1660000000011</v>
      </c>
      <c r="AL312" s="21">
        <f t="shared" si="1319"/>
        <v>4533.317</v>
      </c>
      <c r="AM312" s="21">
        <f t="shared" si="1319"/>
        <v>4398.17</v>
      </c>
      <c r="AN312" s="21">
        <f t="shared" si="1319"/>
        <v>4211.4710000000005</v>
      </c>
      <c r="AO312" s="21">
        <f t="shared" si="1319"/>
        <v>3908.8729999999991</v>
      </c>
      <c r="AP312" s="21">
        <f t="shared" si="1319"/>
        <v>3804.6060000000007</v>
      </c>
      <c r="AQ312" s="21">
        <f t="shared" si="1319"/>
        <v>4178.6189999999997</v>
      </c>
      <c r="AR312" s="21">
        <f t="shared" si="1319"/>
        <v>5404.0559999999996</v>
      </c>
      <c r="AS312" s="21">
        <f t="shared" si="1319"/>
        <v>5472.9750000000004</v>
      </c>
      <c r="AT312" s="21">
        <f t="shared" si="1319"/>
        <v>5758.8560000000007</v>
      </c>
      <c r="AU312" s="21">
        <f t="shared" si="1319"/>
        <v>5991.4730705046677</v>
      </c>
      <c r="AV312" s="21">
        <f t="shared" si="1319"/>
        <v>6004.4610184492722</v>
      </c>
      <c r="AW312" s="21">
        <f t="shared" si="1319"/>
        <v>6019.6487074485522</v>
      </c>
      <c r="AX312" s="21">
        <f t="shared" si="1319"/>
        <v>6052.565400264627</v>
      </c>
      <c r="AY312" s="21">
        <f t="shared" si="1319"/>
        <v>6095.6881772643883</v>
      </c>
      <c r="AZ312" s="21">
        <f t="shared" si="1319"/>
        <v>6143.2313816400347</v>
      </c>
      <c r="BA312" s="21">
        <f t="shared" si="1319"/>
        <v>6215.077199804985</v>
      </c>
      <c r="BB312" s="21">
        <f t="shared" si="1319"/>
        <v>6286.3512139411396</v>
      </c>
      <c r="BC312" s="21">
        <f t="shared" si="1319"/>
        <v>6355.6125088803419</v>
      </c>
      <c r="BD312" s="21">
        <f t="shared" si="1319"/>
        <v>6418.0824071317511</v>
      </c>
      <c r="BE312" s="21">
        <f t="shared" si="1319"/>
        <v>6182.8595369868945</v>
      </c>
      <c r="BF312" s="21">
        <f t="shared" si="1319"/>
        <v>6257.5570630142865</v>
      </c>
      <c r="BI312">
        <f t="shared" si="1207"/>
        <v>305</v>
      </c>
    </row>
    <row r="313" spans="1:67" outlineLevel="1">
      <c r="B313" s="8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I313">
        <f t="shared" si="1207"/>
        <v>306</v>
      </c>
    </row>
    <row r="314" spans="1:67" outlineLevel="1">
      <c r="B314" s="13" t="s">
        <v>180</v>
      </c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I314">
        <f t="shared" si="1207"/>
        <v>307</v>
      </c>
    </row>
    <row r="315" spans="1:67" outlineLevel="1">
      <c r="B315" s="8" t="s">
        <v>192</v>
      </c>
      <c r="C315" s="54">
        <f t="shared" ref="C315:M318" si="1320">INDEX($O315:$BG315,1,MATCH(C$4,$O$4:$BG$4,0))</f>
        <v>6.25</v>
      </c>
      <c r="D315" s="54">
        <f t="shared" si="1320"/>
        <v>10</v>
      </c>
      <c r="E315" s="54">
        <f t="shared" si="1320"/>
        <v>6.25</v>
      </c>
      <c r="F315" s="54">
        <f t="shared" si="1320"/>
        <v>10</v>
      </c>
      <c r="G315" s="54">
        <f t="shared" si="1320"/>
        <v>12.5</v>
      </c>
      <c r="H315" s="54">
        <f t="shared" si="1320"/>
        <v>63.75</v>
      </c>
      <c r="I315" s="54">
        <f t="shared" si="1320"/>
        <v>0</v>
      </c>
      <c r="J315" s="54">
        <f t="shared" si="1320"/>
        <v>0</v>
      </c>
      <c r="K315" s="54">
        <f t="shared" si="1320"/>
        <v>0</v>
      </c>
      <c r="L315" s="54">
        <f t="shared" si="1320"/>
        <v>300</v>
      </c>
      <c r="M315" s="54">
        <f t="shared" si="1320"/>
        <v>0</v>
      </c>
      <c r="O315" s="61">
        <v>0</v>
      </c>
      <c r="P315" s="61">
        <v>0</v>
      </c>
      <c r="Q315" s="61">
        <v>5</v>
      </c>
      <c r="R315" s="61">
        <v>6.25</v>
      </c>
      <c r="S315" s="61">
        <v>7.5</v>
      </c>
      <c r="T315" s="61">
        <v>8.75</v>
      </c>
      <c r="U315" s="61">
        <v>10</v>
      </c>
      <c r="V315" s="61">
        <v>10</v>
      </c>
      <c r="W315" s="61">
        <v>10</v>
      </c>
      <c r="X315" s="61">
        <v>0</v>
      </c>
      <c r="Y315" s="61">
        <v>0</v>
      </c>
      <c r="Z315" s="61">
        <v>6.25</v>
      </c>
      <c r="AA315" s="61">
        <v>7.5</v>
      </c>
      <c r="AB315" s="61">
        <v>8.75</v>
      </c>
      <c r="AC315" s="61">
        <v>10</v>
      </c>
      <c r="AD315" s="61">
        <v>10</v>
      </c>
      <c r="AE315" s="61">
        <v>10</v>
      </c>
      <c r="AF315" s="61">
        <v>10</v>
      </c>
      <c r="AG315" s="61">
        <v>10</v>
      </c>
      <c r="AH315" s="61">
        <v>12.5</v>
      </c>
      <c r="AI315" s="61">
        <v>35</v>
      </c>
      <c r="AJ315" s="61">
        <v>42.5</v>
      </c>
      <c r="AK315" s="61">
        <v>50</v>
      </c>
      <c r="AL315" s="61">
        <v>63.75</v>
      </c>
      <c r="AM315" s="61">
        <v>76.97</v>
      </c>
      <c r="AN315" s="61">
        <v>85.721000000000004</v>
      </c>
      <c r="AO315" s="61">
        <v>0</v>
      </c>
      <c r="AP315" s="61">
        <v>0</v>
      </c>
      <c r="AQ315" s="61">
        <v>0</v>
      </c>
      <c r="AR315" s="61">
        <v>0</v>
      </c>
      <c r="AS315" s="61">
        <v>0</v>
      </c>
      <c r="AT315" s="61">
        <v>0</v>
      </c>
      <c r="AU315" s="87">
        <f t="shared" ref="AU315:BF315" si="1321">AU425</f>
        <v>0</v>
      </c>
      <c r="AV315" s="87">
        <f t="shared" si="1321"/>
        <v>0</v>
      </c>
      <c r="AW315" s="87">
        <f t="shared" si="1321"/>
        <v>0</v>
      </c>
      <c r="AX315" s="87">
        <f t="shared" si="1321"/>
        <v>0</v>
      </c>
      <c r="AY315" s="87">
        <f t="shared" si="1321"/>
        <v>0</v>
      </c>
      <c r="AZ315" s="87">
        <f t="shared" si="1321"/>
        <v>0</v>
      </c>
      <c r="BA315" s="87">
        <f t="shared" si="1321"/>
        <v>300</v>
      </c>
      <c r="BB315" s="87">
        <f t="shared" si="1321"/>
        <v>300</v>
      </c>
      <c r="BC315" s="87">
        <f t="shared" si="1321"/>
        <v>300</v>
      </c>
      <c r="BD315" s="87">
        <f t="shared" si="1321"/>
        <v>300</v>
      </c>
      <c r="BE315" s="87">
        <f t="shared" si="1321"/>
        <v>0</v>
      </c>
      <c r="BF315" s="87">
        <f t="shared" si="1321"/>
        <v>0</v>
      </c>
      <c r="BI315">
        <f t="shared" si="1207"/>
        <v>308</v>
      </c>
    </row>
    <row r="316" spans="1:67" outlineLevel="1">
      <c r="B316" s="8" t="s">
        <v>152</v>
      </c>
      <c r="C316" s="54">
        <f t="shared" si="1320"/>
        <v>162.4</v>
      </c>
      <c r="D316" s="54">
        <f t="shared" si="1320"/>
        <v>241.61</v>
      </c>
      <c r="E316" s="54">
        <f t="shared" si="1320"/>
        <v>188.82300000000001</v>
      </c>
      <c r="F316" s="54">
        <f t="shared" si="1320"/>
        <v>173.15</v>
      </c>
      <c r="G316" s="54">
        <f t="shared" si="1320"/>
        <v>382.43799999999999</v>
      </c>
      <c r="H316" s="54">
        <f t="shared" si="1320"/>
        <v>82.771000000000001</v>
      </c>
      <c r="I316" s="54">
        <f t="shared" si="1320"/>
        <v>125.667</v>
      </c>
      <c r="J316" s="54">
        <f t="shared" si="1320"/>
        <v>319.62099999999998</v>
      </c>
      <c r="K316" s="54">
        <f t="shared" si="1320"/>
        <v>379.93428234995287</v>
      </c>
      <c r="L316" s="54">
        <f t="shared" si="1320"/>
        <v>449.65212129846788</v>
      </c>
      <c r="M316" s="54">
        <f t="shared" si="1320"/>
        <v>471.33995071244857</v>
      </c>
      <c r="O316" s="61">
        <v>164.40100000000001</v>
      </c>
      <c r="P316" s="61">
        <v>172.352</v>
      </c>
      <c r="Q316" s="61">
        <v>181.13399999999999</v>
      </c>
      <c r="R316" s="61">
        <v>162.4</v>
      </c>
      <c r="S316" s="61">
        <v>193.40899999999999</v>
      </c>
      <c r="T316" s="61">
        <v>230.495</v>
      </c>
      <c r="U316" s="61">
        <v>267.99</v>
      </c>
      <c r="V316" s="61">
        <v>241.61</v>
      </c>
      <c r="W316" s="61">
        <v>274.78800000000001</v>
      </c>
      <c r="X316" s="61">
        <v>224.917</v>
      </c>
      <c r="Y316" s="61">
        <v>215.51599999999999</v>
      </c>
      <c r="Z316" s="61">
        <v>188.82300000000001</v>
      </c>
      <c r="AA316" s="61">
        <v>233.57599999999999</v>
      </c>
      <c r="AB316" s="61">
        <v>198.114</v>
      </c>
      <c r="AC316" s="61">
        <v>181.191</v>
      </c>
      <c r="AD316" s="61">
        <v>173.15</v>
      </c>
      <c r="AE316" s="61">
        <v>263.82</v>
      </c>
      <c r="AF316" s="61">
        <v>319.31099999999998</v>
      </c>
      <c r="AG316" s="61">
        <v>370.12700000000001</v>
      </c>
      <c r="AH316" s="61">
        <v>382.43799999999999</v>
      </c>
      <c r="AI316" s="61">
        <v>315.74599999999998</v>
      </c>
      <c r="AJ316" s="61">
        <v>223.001</v>
      </c>
      <c r="AK316" s="61">
        <v>165.547</v>
      </c>
      <c r="AL316" s="61">
        <v>82.771000000000001</v>
      </c>
      <c r="AM316" s="61">
        <v>81.974999999999994</v>
      </c>
      <c r="AN316" s="61">
        <v>66.343000000000004</v>
      </c>
      <c r="AO316" s="61">
        <v>82.162999999999997</v>
      </c>
      <c r="AP316" s="61">
        <v>125.667</v>
      </c>
      <c r="AQ316" s="61">
        <v>158.226</v>
      </c>
      <c r="AR316" s="61">
        <v>255.327</v>
      </c>
      <c r="AS316" s="61">
        <v>303.52199999999999</v>
      </c>
      <c r="AT316" s="61">
        <v>319.62099999999998</v>
      </c>
      <c r="AU316" s="87">
        <f t="shared" ref="AU316:BF316" si="1322">AU357*-AU23/AU6</f>
        <v>326.77464878026615</v>
      </c>
      <c r="AV316" s="87">
        <f t="shared" si="1322"/>
        <v>349.40569257757011</v>
      </c>
      <c r="AW316" s="87">
        <f t="shared" si="1322"/>
        <v>363.7114850770007</v>
      </c>
      <c r="AX316" s="87">
        <f t="shared" si="1322"/>
        <v>379.93428234995287</v>
      </c>
      <c r="AY316" s="87">
        <f t="shared" si="1322"/>
        <v>401.25736244592059</v>
      </c>
      <c r="AZ316" s="87">
        <f t="shared" si="1322"/>
        <v>414.08676905011538</v>
      </c>
      <c r="BA316" s="87">
        <f t="shared" si="1322"/>
        <v>433.84176386427799</v>
      </c>
      <c r="BB316" s="87">
        <f t="shared" si="1322"/>
        <v>449.65212129846788</v>
      </c>
      <c r="BC316" s="87">
        <f t="shared" si="1322"/>
        <v>463.99817741786921</v>
      </c>
      <c r="BD316" s="87">
        <f t="shared" si="1322"/>
        <v>467.47684237723547</v>
      </c>
      <c r="BE316" s="87">
        <f t="shared" si="1322"/>
        <v>467.67060397017389</v>
      </c>
      <c r="BF316" s="87">
        <f t="shared" si="1322"/>
        <v>471.33995071244857</v>
      </c>
      <c r="BI316">
        <f t="shared" si="1207"/>
        <v>309</v>
      </c>
    </row>
    <row r="317" spans="1:67" outlineLevel="1">
      <c r="B317" s="8" t="s">
        <v>167</v>
      </c>
      <c r="C317" s="54">
        <f t="shared" si="1320"/>
        <v>0</v>
      </c>
      <c r="D317" s="54">
        <f t="shared" si="1320"/>
        <v>2.4729999999999999</v>
      </c>
      <c r="E317" s="54">
        <f t="shared" si="1320"/>
        <v>6.1580000000000004</v>
      </c>
      <c r="F317" s="54">
        <f t="shared" si="1320"/>
        <v>10.67</v>
      </c>
      <c r="G317" s="54">
        <f t="shared" si="1320"/>
        <v>0</v>
      </c>
      <c r="H317" s="54">
        <f t="shared" si="1320"/>
        <v>0</v>
      </c>
      <c r="I317" s="54">
        <f t="shared" si="1320"/>
        <v>0</v>
      </c>
      <c r="J317" s="54">
        <f t="shared" si="1320"/>
        <v>0</v>
      </c>
      <c r="K317" s="54">
        <f t="shared" si="1320"/>
        <v>0</v>
      </c>
      <c r="L317" s="54">
        <f t="shared" si="1320"/>
        <v>0</v>
      </c>
      <c r="M317" s="54">
        <f t="shared" si="1320"/>
        <v>0</v>
      </c>
      <c r="O317" s="61">
        <v>0</v>
      </c>
      <c r="P317" s="61">
        <v>0</v>
      </c>
      <c r="Q317" s="61">
        <v>0</v>
      </c>
      <c r="R317" s="61">
        <v>0</v>
      </c>
      <c r="S317" s="61">
        <v>0</v>
      </c>
      <c r="T317" s="61">
        <v>0</v>
      </c>
      <c r="U317" s="61">
        <v>0.85399999999999998</v>
      </c>
      <c r="V317" s="61">
        <v>2.4729999999999999</v>
      </c>
      <c r="W317" s="61">
        <v>8.2409999999999997</v>
      </c>
      <c r="X317" s="61">
        <v>0</v>
      </c>
      <c r="Y317" s="61">
        <v>0</v>
      </c>
      <c r="Z317" s="61">
        <v>6.1580000000000004</v>
      </c>
      <c r="AA317" s="61">
        <v>7.2610000000000001</v>
      </c>
      <c r="AB317" s="61">
        <v>0</v>
      </c>
      <c r="AC317" s="61">
        <v>0.69899999999999995</v>
      </c>
      <c r="AD317" s="61">
        <v>10.67</v>
      </c>
      <c r="AE317" s="61">
        <v>24.855</v>
      </c>
      <c r="AF317" s="61">
        <v>0</v>
      </c>
      <c r="AG317" s="61">
        <v>24.378</v>
      </c>
      <c r="AH317" s="61">
        <v>0</v>
      </c>
      <c r="AI317" s="61">
        <v>30.994</v>
      </c>
      <c r="AJ317" s="61">
        <v>11.153</v>
      </c>
      <c r="AK317" s="61">
        <v>0</v>
      </c>
      <c r="AL317" s="61">
        <v>0</v>
      </c>
      <c r="AM317" s="61">
        <v>0</v>
      </c>
      <c r="AN317" s="61">
        <v>0</v>
      </c>
      <c r="AO317" s="61">
        <v>0</v>
      </c>
      <c r="AP317" s="61">
        <v>0</v>
      </c>
      <c r="AQ317" s="61">
        <v>0</v>
      </c>
      <c r="AR317" s="61">
        <v>0</v>
      </c>
      <c r="AS317" s="61">
        <v>0</v>
      </c>
      <c r="AT317" s="61">
        <f t="shared" ref="AT317:BF317" si="1323">AS317</f>
        <v>0</v>
      </c>
      <c r="AU317" s="61">
        <f t="shared" si="1323"/>
        <v>0</v>
      </c>
      <c r="AV317" s="61">
        <f t="shared" si="1323"/>
        <v>0</v>
      </c>
      <c r="AW317" s="61">
        <f t="shared" si="1323"/>
        <v>0</v>
      </c>
      <c r="AX317" s="61">
        <f t="shared" si="1323"/>
        <v>0</v>
      </c>
      <c r="AY317" s="61">
        <f t="shared" si="1323"/>
        <v>0</v>
      </c>
      <c r="AZ317" s="61">
        <f t="shared" si="1323"/>
        <v>0</v>
      </c>
      <c r="BA317" s="61">
        <f t="shared" si="1323"/>
        <v>0</v>
      </c>
      <c r="BB317" s="61">
        <f t="shared" si="1323"/>
        <v>0</v>
      </c>
      <c r="BC317" s="61">
        <f t="shared" si="1323"/>
        <v>0</v>
      </c>
      <c r="BD317" s="61">
        <f t="shared" si="1323"/>
        <v>0</v>
      </c>
      <c r="BE317" s="61">
        <f t="shared" si="1323"/>
        <v>0</v>
      </c>
      <c r="BF317" s="61">
        <f t="shared" si="1323"/>
        <v>0</v>
      </c>
      <c r="BI317">
        <f t="shared" si="1207"/>
        <v>310</v>
      </c>
    </row>
    <row r="318" spans="1:67" outlineLevel="1">
      <c r="B318" s="8" t="s">
        <v>181</v>
      </c>
      <c r="C318" s="54">
        <f t="shared" si="1320"/>
        <v>147.315</v>
      </c>
      <c r="D318" s="54">
        <f t="shared" si="1320"/>
        <v>164.62899999999999</v>
      </c>
      <c r="E318" s="54">
        <f t="shared" si="1320"/>
        <v>158.63200000000001</v>
      </c>
      <c r="F318" s="54">
        <f t="shared" si="1320"/>
        <v>160.45699999999999</v>
      </c>
      <c r="G318" s="54">
        <f t="shared" si="1320"/>
        <v>173.46600000000001</v>
      </c>
      <c r="H318" s="54">
        <f t="shared" si="1320"/>
        <v>161.61099999999999</v>
      </c>
      <c r="I318" s="54">
        <f t="shared" si="1320"/>
        <v>139.148</v>
      </c>
      <c r="J318" s="54">
        <f t="shared" si="1320"/>
        <v>226.62899999999999</v>
      </c>
      <c r="K318" s="54">
        <f t="shared" si="1320"/>
        <v>221.78721183354463</v>
      </c>
      <c r="L318" s="54">
        <f t="shared" si="1320"/>
        <v>240.06961076536132</v>
      </c>
      <c r="M318" s="54">
        <f t="shared" si="1320"/>
        <v>259.85906733110932</v>
      </c>
      <c r="O318" s="61">
        <v>105.02</v>
      </c>
      <c r="P318" s="61">
        <v>123.953</v>
      </c>
      <c r="Q318" s="61">
        <v>125.869</v>
      </c>
      <c r="R318" s="61">
        <v>147.315</v>
      </c>
      <c r="S318" s="61">
        <v>141.07</v>
      </c>
      <c r="T318" s="61">
        <v>158.25800000000001</v>
      </c>
      <c r="U318" s="61">
        <v>152.30099999999999</v>
      </c>
      <c r="V318" s="61">
        <v>164.62899999999999</v>
      </c>
      <c r="W318" s="61">
        <v>152.44200000000001</v>
      </c>
      <c r="X318" s="61">
        <v>153.38200000000001</v>
      </c>
      <c r="Y318" s="61">
        <v>156.679</v>
      </c>
      <c r="Z318" s="61">
        <v>158.63200000000001</v>
      </c>
      <c r="AA318" s="61">
        <v>141.517</v>
      </c>
      <c r="AB318" s="61">
        <v>146.101</v>
      </c>
      <c r="AC318" s="61">
        <v>153.66499999999999</v>
      </c>
      <c r="AD318" s="61">
        <v>160.45699999999999</v>
      </c>
      <c r="AE318" s="61">
        <v>159.01599999999999</v>
      </c>
      <c r="AF318" s="61">
        <v>172.57499999999999</v>
      </c>
      <c r="AG318" s="61">
        <v>182.94399999999999</v>
      </c>
      <c r="AH318" s="61">
        <v>173.46600000000001</v>
      </c>
      <c r="AI318" s="61">
        <v>178.876</v>
      </c>
      <c r="AJ318" s="61">
        <v>171.453</v>
      </c>
      <c r="AK318" s="61">
        <v>180.53</v>
      </c>
      <c r="AL318" s="61">
        <v>161.61099999999999</v>
      </c>
      <c r="AM318" s="61">
        <v>154.43899999999999</v>
      </c>
      <c r="AN318" s="61">
        <v>139.922</v>
      </c>
      <c r="AO318" s="61">
        <v>154.22800000000001</v>
      </c>
      <c r="AP318" s="61">
        <v>139.148</v>
      </c>
      <c r="AQ318" s="61">
        <v>135.94</v>
      </c>
      <c r="AR318" s="61">
        <v>217.52099999999999</v>
      </c>
      <c r="AS318" s="61">
        <v>245.82599999999999</v>
      </c>
      <c r="AT318" s="61">
        <v>226.62899999999999</v>
      </c>
      <c r="AU318" s="87">
        <f t="shared" ref="AU318:BF318" si="1324">AU360*-AU31</f>
        <v>208.99504322766569</v>
      </c>
      <c r="AV318" s="87">
        <f t="shared" si="1324"/>
        <v>213.17494409221899</v>
      </c>
      <c r="AW318" s="87">
        <f t="shared" si="1324"/>
        <v>217.43844297406338</v>
      </c>
      <c r="AX318" s="87">
        <f t="shared" si="1324"/>
        <v>221.78721183354463</v>
      </c>
      <c r="AY318" s="87">
        <f t="shared" si="1324"/>
        <v>226.22295607021553</v>
      </c>
      <c r="AZ318" s="87">
        <f t="shared" si="1324"/>
        <v>230.74741519161987</v>
      </c>
      <c r="BA318" s="87">
        <f t="shared" si="1324"/>
        <v>235.36236349545226</v>
      </c>
      <c r="BB318" s="87">
        <f t="shared" si="1324"/>
        <v>240.06961076536132</v>
      </c>
      <c r="BC318" s="87">
        <f t="shared" si="1324"/>
        <v>244.87100298066855</v>
      </c>
      <c r="BD318" s="87">
        <f t="shared" si="1324"/>
        <v>249.76842304028193</v>
      </c>
      <c r="BE318" s="87">
        <f t="shared" si="1324"/>
        <v>254.76379150108758</v>
      </c>
      <c r="BF318" s="87">
        <f t="shared" si="1324"/>
        <v>259.85906733110932</v>
      </c>
      <c r="BI318">
        <f t="shared" si="1207"/>
        <v>311</v>
      </c>
    </row>
    <row r="319" spans="1:67" outlineLevel="1">
      <c r="B319" s="14" t="s">
        <v>182</v>
      </c>
      <c r="C319" s="21">
        <f>SUM(C315:C318)</f>
        <v>315.96500000000003</v>
      </c>
      <c r="D319" s="21">
        <f t="shared" ref="D319:M319" si="1325">SUM(D315:D318)</f>
        <v>418.71199999999999</v>
      </c>
      <c r="E319" s="21">
        <f t="shared" si="1325"/>
        <v>359.863</v>
      </c>
      <c r="F319" s="21">
        <f t="shared" si="1325"/>
        <v>354.27699999999999</v>
      </c>
      <c r="G319" s="21">
        <f t="shared" si="1325"/>
        <v>568.404</v>
      </c>
      <c r="H319" s="21">
        <f t="shared" si="1325"/>
        <v>308.13200000000001</v>
      </c>
      <c r="I319" s="21">
        <f t="shared" si="1325"/>
        <v>264.815</v>
      </c>
      <c r="J319" s="21">
        <f t="shared" si="1325"/>
        <v>546.25</v>
      </c>
      <c r="K319" s="21">
        <f t="shared" si="1325"/>
        <v>601.7214941834975</v>
      </c>
      <c r="L319" s="21">
        <f t="shared" si="1325"/>
        <v>989.72173206382911</v>
      </c>
      <c r="M319" s="21">
        <f t="shared" si="1325"/>
        <v>731.19901804355788</v>
      </c>
      <c r="O319" s="21">
        <f>SUM(O315:O318)</f>
        <v>269.42099999999999</v>
      </c>
      <c r="P319" s="21">
        <f t="shared" ref="P319:BF319" si="1326">SUM(P315:P318)</f>
        <v>296.30500000000001</v>
      </c>
      <c r="Q319" s="21">
        <f t="shared" si="1326"/>
        <v>312.00299999999999</v>
      </c>
      <c r="R319" s="21">
        <f t="shared" si="1326"/>
        <v>315.96500000000003</v>
      </c>
      <c r="S319" s="21">
        <f t="shared" si="1326"/>
        <v>341.97899999999998</v>
      </c>
      <c r="T319" s="21">
        <f t="shared" si="1326"/>
        <v>397.50300000000004</v>
      </c>
      <c r="U319" s="21">
        <f t="shared" si="1326"/>
        <v>431.14499999999998</v>
      </c>
      <c r="V319" s="21">
        <f t="shared" si="1326"/>
        <v>418.71199999999999</v>
      </c>
      <c r="W319" s="21">
        <f t="shared" si="1326"/>
        <v>445.471</v>
      </c>
      <c r="X319" s="21">
        <f t="shared" si="1326"/>
        <v>378.29899999999998</v>
      </c>
      <c r="Y319" s="21">
        <f t="shared" si="1326"/>
        <v>372.19499999999999</v>
      </c>
      <c r="Z319" s="21">
        <f t="shared" si="1326"/>
        <v>359.863</v>
      </c>
      <c r="AA319" s="21">
        <f t="shared" si="1326"/>
        <v>389.85399999999998</v>
      </c>
      <c r="AB319" s="21">
        <f t="shared" si="1326"/>
        <v>352.96500000000003</v>
      </c>
      <c r="AC319" s="21">
        <f t="shared" si="1326"/>
        <v>345.55500000000001</v>
      </c>
      <c r="AD319" s="21">
        <f t="shared" si="1326"/>
        <v>354.27699999999999</v>
      </c>
      <c r="AE319" s="21">
        <f t="shared" si="1326"/>
        <v>457.69100000000003</v>
      </c>
      <c r="AF319" s="21">
        <f t="shared" si="1326"/>
        <v>501.88599999999997</v>
      </c>
      <c r="AG319" s="21">
        <f t="shared" si="1326"/>
        <v>587.44899999999996</v>
      </c>
      <c r="AH319" s="21">
        <f t="shared" si="1326"/>
        <v>568.404</v>
      </c>
      <c r="AI319" s="21">
        <f t="shared" si="1326"/>
        <v>560.61599999999999</v>
      </c>
      <c r="AJ319" s="21">
        <f t="shared" si="1326"/>
        <v>448.10699999999997</v>
      </c>
      <c r="AK319" s="21">
        <f t="shared" si="1326"/>
        <v>396.077</v>
      </c>
      <c r="AL319" s="21">
        <f t="shared" si="1326"/>
        <v>308.13200000000001</v>
      </c>
      <c r="AM319" s="21">
        <f t="shared" si="1326"/>
        <v>313.38400000000001</v>
      </c>
      <c r="AN319" s="21">
        <f t="shared" si="1326"/>
        <v>291.98599999999999</v>
      </c>
      <c r="AO319" s="21">
        <f t="shared" si="1326"/>
        <v>236.39100000000002</v>
      </c>
      <c r="AP319" s="21">
        <f t="shared" si="1326"/>
        <v>264.815</v>
      </c>
      <c r="AQ319" s="21">
        <f t="shared" si="1326"/>
        <v>294.166</v>
      </c>
      <c r="AR319" s="21">
        <f t="shared" si="1326"/>
        <v>472.84799999999996</v>
      </c>
      <c r="AS319" s="21">
        <f t="shared" si="1326"/>
        <v>549.34799999999996</v>
      </c>
      <c r="AT319" s="21">
        <f t="shared" si="1326"/>
        <v>546.25</v>
      </c>
      <c r="AU319" s="21">
        <f t="shared" si="1326"/>
        <v>535.76969200793178</v>
      </c>
      <c r="AV319" s="21">
        <f t="shared" si="1326"/>
        <v>562.5806366697891</v>
      </c>
      <c r="AW319" s="21">
        <f t="shared" si="1326"/>
        <v>581.14992805106408</v>
      </c>
      <c r="AX319" s="21">
        <f t="shared" si="1326"/>
        <v>601.7214941834975</v>
      </c>
      <c r="AY319" s="21">
        <f t="shared" si="1326"/>
        <v>627.48031851613609</v>
      </c>
      <c r="AZ319" s="21">
        <f t="shared" si="1326"/>
        <v>644.83418424173522</v>
      </c>
      <c r="BA319" s="21">
        <f t="shared" si="1326"/>
        <v>969.20412735973014</v>
      </c>
      <c r="BB319" s="21">
        <f t="shared" si="1326"/>
        <v>989.72173206382911</v>
      </c>
      <c r="BC319" s="21">
        <f t="shared" si="1326"/>
        <v>1008.8691803985378</v>
      </c>
      <c r="BD319" s="21">
        <f t="shared" si="1326"/>
        <v>1017.2452654175174</v>
      </c>
      <c r="BE319" s="21">
        <f t="shared" si="1326"/>
        <v>722.4343954712615</v>
      </c>
      <c r="BF319" s="21">
        <f t="shared" si="1326"/>
        <v>731.19901804355788</v>
      </c>
      <c r="BI319">
        <f t="shared" si="1207"/>
        <v>312</v>
      </c>
    </row>
    <row r="320" spans="1:67" outlineLevel="1">
      <c r="B320" s="8" t="s">
        <v>193</v>
      </c>
      <c r="C320" s="54">
        <f t="shared" ref="C320:M322" si="1327">INDEX($O320:$BG320,1,MATCH(C$4,$O$4:$BG$4,0))</f>
        <v>392.5</v>
      </c>
      <c r="D320" s="54">
        <f t="shared" si="1327"/>
        <v>492.5</v>
      </c>
      <c r="E320" s="54">
        <f t="shared" si="1327"/>
        <v>692.5</v>
      </c>
      <c r="F320" s="54">
        <f t="shared" si="1327"/>
        <v>682.5</v>
      </c>
      <c r="G320" s="54">
        <f t="shared" si="1327"/>
        <v>973</v>
      </c>
      <c r="H320" s="54">
        <f t="shared" si="1327"/>
        <v>791.25</v>
      </c>
      <c r="I320" s="54">
        <f t="shared" si="1327"/>
        <v>598.43700000000001</v>
      </c>
      <c r="J320" s="54">
        <f t="shared" si="1327"/>
        <v>866.78300000000002</v>
      </c>
      <c r="K320" s="54">
        <f t="shared" si="1327"/>
        <v>1123.7829999999999</v>
      </c>
      <c r="L320" s="54">
        <f t="shared" si="1327"/>
        <v>823.7829999999999</v>
      </c>
      <c r="M320" s="54">
        <f t="shared" si="1327"/>
        <v>823.78300000000002</v>
      </c>
      <c r="O320" s="61">
        <v>0</v>
      </c>
      <c r="P320" s="61">
        <v>0</v>
      </c>
      <c r="Q320" s="61">
        <v>95</v>
      </c>
      <c r="R320" s="61">
        <v>392.5</v>
      </c>
      <c r="S320" s="61">
        <v>390</v>
      </c>
      <c r="T320" s="61">
        <v>387.5</v>
      </c>
      <c r="U320" s="61">
        <v>400.8</v>
      </c>
      <c r="V320" s="61">
        <v>492.5</v>
      </c>
      <c r="W320" s="61">
        <v>488.5</v>
      </c>
      <c r="X320" s="61">
        <v>600</v>
      </c>
      <c r="Y320" s="61">
        <v>600</v>
      </c>
      <c r="Z320" s="61">
        <v>692.5</v>
      </c>
      <c r="AA320" s="61">
        <v>690</v>
      </c>
      <c r="AB320" s="61">
        <v>687.5</v>
      </c>
      <c r="AC320" s="61">
        <v>685</v>
      </c>
      <c r="AD320" s="61">
        <v>682.5</v>
      </c>
      <c r="AE320" s="61">
        <v>680</v>
      </c>
      <c r="AF320" s="61">
        <v>677.5</v>
      </c>
      <c r="AG320" s="61">
        <v>675</v>
      </c>
      <c r="AH320" s="61">
        <v>973</v>
      </c>
      <c r="AI320" s="61">
        <v>845</v>
      </c>
      <c r="AJ320" s="61">
        <v>830</v>
      </c>
      <c r="AK320" s="61">
        <v>815</v>
      </c>
      <c r="AL320" s="61">
        <v>791.25</v>
      </c>
      <c r="AM320" s="61">
        <v>764.55899999999997</v>
      </c>
      <c r="AN320" s="61">
        <v>741.16899999999998</v>
      </c>
      <c r="AO320" s="61">
        <v>613.351</v>
      </c>
      <c r="AP320" s="61">
        <v>598.43700000000001</v>
      </c>
      <c r="AQ320" s="61">
        <v>598.524</v>
      </c>
      <c r="AR320" s="61">
        <v>713.61</v>
      </c>
      <c r="AS320" s="61">
        <v>742.697</v>
      </c>
      <c r="AT320" s="61">
        <f>268+598.783</f>
        <v>866.78300000000002</v>
      </c>
      <c r="AU320" s="87">
        <f t="shared" ref="AU320:BF320" si="1328">AU426</f>
        <v>1123.7829999999999</v>
      </c>
      <c r="AV320" s="87">
        <f t="shared" si="1328"/>
        <v>1123.7829999999999</v>
      </c>
      <c r="AW320" s="87">
        <f t="shared" si="1328"/>
        <v>1123.7829999999999</v>
      </c>
      <c r="AX320" s="87">
        <f t="shared" si="1328"/>
        <v>1123.7829999999999</v>
      </c>
      <c r="AY320" s="87">
        <f t="shared" si="1328"/>
        <v>1123.7829999999999</v>
      </c>
      <c r="AZ320" s="87">
        <f t="shared" si="1328"/>
        <v>1123.7829999999999</v>
      </c>
      <c r="BA320" s="87">
        <f t="shared" si="1328"/>
        <v>823.7829999999999</v>
      </c>
      <c r="BB320" s="87">
        <f t="shared" si="1328"/>
        <v>823.7829999999999</v>
      </c>
      <c r="BC320" s="87">
        <f t="shared" si="1328"/>
        <v>823.7829999999999</v>
      </c>
      <c r="BD320" s="87">
        <f t="shared" si="1328"/>
        <v>823.7829999999999</v>
      </c>
      <c r="BE320" s="87">
        <f t="shared" si="1328"/>
        <v>823.78300000000002</v>
      </c>
      <c r="BF320" s="87">
        <f t="shared" si="1328"/>
        <v>823.78300000000002</v>
      </c>
      <c r="BI320">
        <f t="shared" si="1207"/>
        <v>313</v>
      </c>
    </row>
    <row r="321" spans="1:67" outlineLevel="1">
      <c r="B321" s="8" t="s">
        <v>183</v>
      </c>
      <c r="C321" s="54">
        <f t="shared" si="1327"/>
        <v>511.42200000000003</v>
      </c>
      <c r="D321" s="54">
        <f t="shared" si="1327"/>
        <v>786.63199999999995</v>
      </c>
      <c r="E321" s="54">
        <f t="shared" si="1327"/>
        <v>857.30200000000002</v>
      </c>
      <c r="F321" s="54">
        <f t="shared" si="1327"/>
        <v>887.86400000000003</v>
      </c>
      <c r="G321" s="54">
        <f t="shared" si="1327"/>
        <v>935.66</v>
      </c>
      <c r="H321" s="54">
        <f t="shared" si="1327"/>
        <v>863.83299999999997</v>
      </c>
      <c r="I321" s="54">
        <f t="shared" si="1327"/>
        <v>682.976</v>
      </c>
      <c r="J321" s="54">
        <f t="shared" si="1327"/>
        <v>350.83600000000001</v>
      </c>
      <c r="K321" s="54">
        <f t="shared" si="1327"/>
        <v>349.17282391127264</v>
      </c>
      <c r="L321" s="54">
        <f t="shared" si="1327"/>
        <v>340.43801509785214</v>
      </c>
      <c r="M321" s="54">
        <f t="shared" si="1327"/>
        <v>324.96599465617868</v>
      </c>
      <c r="O321" s="61">
        <v>380.96600000000001</v>
      </c>
      <c r="P321" s="61">
        <v>388.67200000000003</v>
      </c>
      <c r="Q321" s="61">
        <v>448.64499999999998</v>
      </c>
      <c r="R321" s="61">
        <v>511.42200000000003</v>
      </c>
      <c r="S321" s="61">
        <v>576.05999999999995</v>
      </c>
      <c r="T321" s="61">
        <v>630.73699999999997</v>
      </c>
      <c r="U321" s="61">
        <v>718.92700000000002</v>
      </c>
      <c r="V321" s="61">
        <v>786.63199999999995</v>
      </c>
      <c r="W321" s="61">
        <v>808.85699999999997</v>
      </c>
      <c r="X321" s="61">
        <v>828.41499999999996</v>
      </c>
      <c r="Y321" s="61">
        <v>846.92600000000004</v>
      </c>
      <c r="Z321" s="61">
        <v>857.30200000000002</v>
      </c>
      <c r="AA321" s="61">
        <v>871.40300000000002</v>
      </c>
      <c r="AB321" s="61">
        <v>885.80700000000002</v>
      </c>
      <c r="AC321" s="61">
        <v>896.65499999999997</v>
      </c>
      <c r="AD321" s="61">
        <v>887.86400000000003</v>
      </c>
      <c r="AE321" s="61">
        <v>878.77099999999996</v>
      </c>
      <c r="AF321" s="61">
        <v>873.10599999999999</v>
      </c>
      <c r="AG321" s="61">
        <v>836.404</v>
      </c>
      <c r="AH321" s="61">
        <v>935.66</v>
      </c>
      <c r="AI321" s="61">
        <v>914.71100000000001</v>
      </c>
      <c r="AJ321" s="61">
        <v>892.23900000000003</v>
      </c>
      <c r="AK321" s="61">
        <v>826.16300000000001</v>
      </c>
      <c r="AL321" s="61">
        <v>863.83299999999997</v>
      </c>
      <c r="AM321" s="61">
        <v>822.36400000000003</v>
      </c>
      <c r="AN321" s="61">
        <v>768.55600000000004</v>
      </c>
      <c r="AO321" s="61">
        <v>724.56399999999996</v>
      </c>
      <c r="AP321" s="61">
        <v>682.976</v>
      </c>
      <c r="AQ321" s="61">
        <v>614.36099999999999</v>
      </c>
      <c r="AR321" s="61">
        <v>588.59400000000005</v>
      </c>
      <c r="AS321" s="61">
        <v>576.31200000000001</v>
      </c>
      <c r="AT321" s="61">
        <v>350.83600000000001</v>
      </c>
      <c r="AU321" s="87">
        <f t="shared" ref="AU321:BF321" si="1329">AU362*AU309</f>
        <v>358.22187500000013</v>
      </c>
      <c r="AV321" s="87">
        <f t="shared" si="1329"/>
        <v>354.99832539059787</v>
      </c>
      <c r="AW321" s="87">
        <f t="shared" si="1329"/>
        <v>351.97853505226641</v>
      </c>
      <c r="AX321" s="87">
        <f t="shared" si="1329"/>
        <v>349.17282391127264</v>
      </c>
      <c r="AY321" s="87">
        <f t="shared" si="1329"/>
        <v>344.4065787992007</v>
      </c>
      <c r="AZ321" s="87">
        <f t="shared" si="1329"/>
        <v>339.79878563231966</v>
      </c>
      <c r="BA321" s="87">
        <f t="shared" si="1329"/>
        <v>340.18535625176474</v>
      </c>
      <c r="BB321" s="87">
        <f t="shared" si="1329"/>
        <v>340.43801509785214</v>
      </c>
      <c r="BC321" s="87">
        <f t="shared" si="1329"/>
        <v>336.16598338903793</v>
      </c>
      <c r="BD321" s="87">
        <f t="shared" si="1329"/>
        <v>332.16009552345923</v>
      </c>
      <c r="BE321" s="87">
        <f t="shared" si="1329"/>
        <v>328.4451385071664</v>
      </c>
      <c r="BF321" s="87">
        <f t="shared" si="1329"/>
        <v>324.96599465617868</v>
      </c>
      <c r="BI321">
        <f t="shared" si="1207"/>
        <v>314</v>
      </c>
    </row>
    <row r="322" spans="1:67" outlineLevel="1">
      <c r="B322" s="8" t="s">
        <v>194</v>
      </c>
      <c r="C322" s="54">
        <f t="shared" si="1327"/>
        <v>15.537000000000001</v>
      </c>
      <c r="D322" s="54">
        <f t="shared" si="1327"/>
        <v>7.4260000000000002</v>
      </c>
      <c r="E322" s="54">
        <f t="shared" si="1327"/>
        <v>6.5890000000000004</v>
      </c>
      <c r="F322" s="54">
        <f t="shared" si="1327"/>
        <v>6.4889999999999999</v>
      </c>
      <c r="G322" s="54">
        <f t="shared" si="1327"/>
        <v>11.137</v>
      </c>
      <c r="H322" s="54">
        <f t="shared" si="1327"/>
        <v>8.9710000000000001</v>
      </c>
      <c r="I322" s="54">
        <f t="shared" si="1327"/>
        <v>9.6539999999999999</v>
      </c>
      <c r="J322" s="54">
        <f t="shared" si="1327"/>
        <v>12.494</v>
      </c>
      <c r="K322" s="54">
        <f t="shared" si="1327"/>
        <v>12.494</v>
      </c>
      <c r="L322" s="54">
        <f t="shared" si="1327"/>
        <v>12.494</v>
      </c>
      <c r="M322" s="54">
        <f t="shared" si="1327"/>
        <v>12.494</v>
      </c>
      <c r="O322" s="61">
        <v>5.9089999999999998</v>
      </c>
      <c r="P322" s="61">
        <v>6.593</v>
      </c>
      <c r="Q322" s="61">
        <v>7.6210000000000004</v>
      </c>
      <c r="R322" s="61">
        <v>15.537000000000001</v>
      </c>
      <c r="S322" s="61">
        <v>16.056999999999999</v>
      </c>
      <c r="T322" s="61">
        <v>10.789</v>
      </c>
      <c r="U322" s="61">
        <v>9.0879999999999992</v>
      </c>
      <c r="V322" s="61">
        <v>7.4260000000000002</v>
      </c>
      <c r="W322" s="61">
        <v>6.5289999999999999</v>
      </c>
      <c r="X322" s="61">
        <v>6.6180000000000003</v>
      </c>
      <c r="Y322" s="61">
        <v>6.6859999999999999</v>
      </c>
      <c r="Z322" s="61">
        <v>6.5890000000000004</v>
      </c>
      <c r="AA322" s="61">
        <v>6.6420000000000003</v>
      </c>
      <c r="AB322" s="61">
        <v>6.6040000000000001</v>
      </c>
      <c r="AC322" s="61">
        <v>6.4370000000000003</v>
      </c>
      <c r="AD322" s="61">
        <v>6.4889999999999999</v>
      </c>
      <c r="AE322" s="61">
        <v>6.7629999999999999</v>
      </c>
      <c r="AF322" s="61">
        <v>8.4309999999999992</v>
      </c>
      <c r="AG322" s="61">
        <v>10.036</v>
      </c>
      <c r="AH322" s="61">
        <v>11.137</v>
      </c>
      <c r="AI322" s="61">
        <v>12.042</v>
      </c>
      <c r="AJ322" s="61">
        <v>11.17</v>
      </c>
      <c r="AK322" s="61">
        <v>9.8290000000000006</v>
      </c>
      <c r="AL322" s="61">
        <v>8.9710000000000001</v>
      </c>
      <c r="AM322" s="61">
        <v>8.3810000000000002</v>
      </c>
      <c r="AN322" s="61">
        <v>7.93</v>
      </c>
      <c r="AO322" s="61">
        <v>10.441000000000001</v>
      </c>
      <c r="AP322" s="61">
        <v>9.6539999999999999</v>
      </c>
      <c r="AQ322" s="61">
        <v>9.9589999999999996</v>
      </c>
      <c r="AR322" s="61">
        <v>11.201000000000001</v>
      </c>
      <c r="AS322" s="61">
        <v>11.416</v>
      </c>
      <c r="AT322" s="61">
        <v>12.494</v>
      </c>
      <c r="AU322" s="61">
        <f t="shared" ref="AU322:BF322" si="1330">AT322</f>
        <v>12.494</v>
      </c>
      <c r="AV322" s="61">
        <f t="shared" si="1330"/>
        <v>12.494</v>
      </c>
      <c r="AW322" s="61">
        <f t="shared" si="1330"/>
        <v>12.494</v>
      </c>
      <c r="AX322" s="61">
        <f t="shared" si="1330"/>
        <v>12.494</v>
      </c>
      <c r="AY322" s="61">
        <f t="shared" si="1330"/>
        <v>12.494</v>
      </c>
      <c r="AZ322" s="61">
        <f t="shared" si="1330"/>
        <v>12.494</v>
      </c>
      <c r="BA322" s="61">
        <f t="shared" si="1330"/>
        <v>12.494</v>
      </c>
      <c r="BB322" s="61">
        <f t="shared" si="1330"/>
        <v>12.494</v>
      </c>
      <c r="BC322" s="61">
        <f t="shared" si="1330"/>
        <v>12.494</v>
      </c>
      <c r="BD322" s="61">
        <f t="shared" si="1330"/>
        <v>12.494</v>
      </c>
      <c r="BE322" s="61">
        <f t="shared" si="1330"/>
        <v>12.494</v>
      </c>
      <c r="BF322" s="61">
        <f t="shared" si="1330"/>
        <v>12.494</v>
      </c>
      <c r="BI322">
        <f t="shared" si="1207"/>
        <v>315</v>
      </c>
    </row>
    <row r="323" spans="1:67" outlineLevel="1">
      <c r="B323" s="14" t="s">
        <v>261</v>
      </c>
      <c r="C323" s="21">
        <f>SUM(C319:C322)</f>
        <v>1235.4240000000002</v>
      </c>
      <c r="D323" s="21">
        <f t="shared" ref="D323:M323" si="1331">SUM(D319:D322)</f>
        <v>1705.27</v>
      </c>
      <c r="E323" s="21">
        <f t="shared" si="1331"/>
        <v>1916.2539999999999</v>
      </c>
      <c r="F323" s="21">
        <f t="shared" si="1331"/>
        <v>1931.13</v>
      </c>
      <c r="G323" s="21">
        <f t="shared" si="1331"/>
        <v>2488.201</v>
      </c>
      <c r="H323" s="21">
        <f t="shared" si="1331"/>
        <v>1972.1860000000001</v>
      </c>
      <c r="I323" s="21">
        <f t="shared" si="1331"/>
        <v>1555.8820000000001</v>
      </c>
      <c r="J323" s="21">
        <f t="shared" si="1331"/>
        <v>1776.3629999999998</v>
      </c>
      <c r="K323" s="21">
        <f t="shared" si="1331"/>
        <v>2087.1713180947704</v>
      </c>
      <c r="L323" s="21">
        <f t="shared" si="1331"/>
        <v>2166.4367471616815</v>
      </c>
      <c r="M323" s="21">
        <f t="shared" si="1331"/>
        <v>1892.4420126997366</v>
      </c>
      <c r="O323" s="21">
        <f>SUM(O319:O322)</f>
        <v>656.29599999999994</v>
      </c>
      <c r="P323" s="21">
        <f t="shared" ref="P323:BF323" si="1332">SUM(P319:P322)</f>
        <v>691.57</v>
      </c>
      <c r="Q323" s="21">
        <f t="shared" si="1332"/>
        <v>863.26899999999989</v>
      </c>
      <c r="R323" s="21">
        <f t="shared" si="1332"/>
        <v>1235.4240000000002</v>
      </c>
      <c r="S323" s="21">
        <f t="shared" si="1332"/>
        <v>1324.096</v>
      </c>
      <c r="T323" s="21">
        <f t="shared" si="1332"/>
        <v>1426.529</v>
      </c>
      <c r="U323" s="21">
        <f t="shared" si="1332"/>
        <v>1559.9599999999998</v>
      </c>
      <c r="V323" s="21">
        <f t="shared" si="1332"/>
        <v>1705.27</v>
      </c>
      <c r="W323" s="21">
        <f t="shared" si="1332"/>
        <v>1749.357</v>
      </c>
      <c r="X323" s="21">
        <f t="shared" si="1332"/>
        <v>1813.3319999999999</v>
      </c>
      <c r="Y323" s="21">
        <f t="shared" si="1332"/>
        <v>1825.807</v>
      </c>
      <c r="Z323" s="21">
        <f t="shared" si="1332"/>
        <v>1916.2539999999999</v>
      </c>
      <c r="AA323" s="21">
        <f t="shared" si="1332"/>
        <v>1957.8990000000001</v>
      </c>
      <c r="AB323" s="21">
        <f t="shared" si="1332"/>
        <v>1932.8760000000002</v>
      </c>
      <c r="AC323" s="21">
        <f t="shared" si="1332"/>
        <v>1933.6469999999999</v>
      </c>
      <c r="AD323" s="21">
        <f t="shared" si="1332"/>
        <v>1931.13</v>
      </c>
      <c r="AE323" s="21">
        <f t="shared" si="1332"/>
        <v>2023.2249999999999</v>
      </c>
      <c r="AF323" s="21">
        <f t="shared" si="1332"/>
        <v>2060.9230000000002</v>
      </c>
      <c r="AG323" s="21">
        <f t="shared" si="1332"/>
        <v>2108.8890000000001</v>
      </c>
      <c r="AH323" s="21">
        <f t="shared" si="1332"/>
        <v>2488.201</v>
      </c>
      <c r="AI323" s="21">
        <f t="shared" si="1332"/>
        <v>2332.3690000000001</v>
      </c>
      <c r="AJ323" s="21">
        <f t="shared" si="1332"/>
        <v>2181.5160000000001</v>
      </c>
      <c r="AK323" s="21">
        <f t="shared" si="1332"/>
        <v>2047.069</v>
      </c>
      <c r="AL323" s="21">
        <f t="shared" si="1332"/>
        <v>1972.1860000000001</v>
      </c>
      <c r="AM323" s="21">
        <f t="shared" si="1332"/>
        <v>1908.6880000000001</v>
      </c>
      <c r="AN323" s="21">
        <f t="shared" si="1332"/>
        <v>1809.6410000000001</v>
      </c>
      <c r="AO323" s="21">
        <f t="shared" si="1332"/>
        <v>1584.7470000000001</v>
      </c>
      <c r="AP323" s="21">
        <f t="shared" si="1332"/>
        <v>1555.8820000000001</v>
      </c>
      <c r="AQ323" s="21">
        <f t="shared" si="1332"/>
        <v>1517.01</v>
      </c>
      <c r="AR323" s="21">
        <f t="shared" si="1332"/>
        <v>1786.2530000000002</v>
      </c>
      <c r="AS323" s="21">
        <f t="shared" si="1332"/>
        <v>1879.7729999999999</v>
      </c>
      <c r="AT323" s="21">
        <f t="shared" si="1332"/>
        <v>1776.3629999999998</v>
      </c>
      <c r="AU323" s="21">
        <f t="shared" si="1332"/>
        <v>2030.2685670079318</v>
      </c>
      <c r="AV323" s="21">
        <f t="shared" si="1332"/>
        <v>2053.8559620603869</v>
      </c>
      <c r="AW323" s="21">
        <f t="shared" si="1332"/>
        <v>2069.4054631033305</v>
      </c>
      <c r="AX323" s="21">
        <f t="shared" si="1332"/>
        <v>2087.1713180947704</v>
      </c>
      <c r="AY323" s="21">
        <f t="shared" si="1332"/>
        <v>2108.1638973153367</v>
      </c>
      <c r="AZ323" s="21">
        <f t="shared" si="1332"/>
        <v>2120.9099698740552</v>
      </c>
      <c r="BA323" s="21">
        <f t="shared" si="1332"/>
        <v>2145.6664836114951</v>
      </c>
      <c r="BB323" s="21">
        <f t="shared" si="1332"/>
        <v>2166.4367471616815</v>
      </c>
      <c r="BC323" s="21">
        <f t="shared" si="1332"/>
        <v>2181.3121637875756</v>
      </c>
      <c r="BD323" s="21">
        <f t="shared" si="1332"/>
        <v>2185.6823609409767</v>
      </c>
      <c r="BE323" s="21">
        <f t="shared" si="1332"/>
        <v>1887.1565339784279</v>
      </c>
      <c r="BF323" s="21">
        <f t="shared" si="1332"/>
        <v>1892.4420126997366</v>
      </c>
      <c r="BI323">
        <f t="shared" si="1207"/>
        <v>316</v>
      </c>
    </row>
    <row r="324" spans="1:67" s="53" customFormat="1" hidden="1" outlineLevel="2">
      <c r="A324" s="52"/>
      <c r="B324" s="32" t="s">
        <v>184</v>
      </c>
      <c r="C324" s="75">
        <f t="shared" ref="C324:M327" si="1333">INDEX($O324:$BG324,1,MATCH(C$4,$O$4:$BG$4,0))</f>
        <v>798.45600000000002</v>
      </c>
      <c r="D324" s="75">
        <f t="shared" si="1333"/>
        <v>842.56399999999996</v>
      </c>
      <c r="E324" s="75">
        <f t="shared" si="1333"/>
        <v>865.399</v>
      </c>
      <c r="F324" s="75">
        <f t="shared" si="1333"/>
        <v>915.37</v>
      </c>
      <c r="G324" s="75">
        <f t="shared" si="1333"/>
        <v>986.56700000000001</v>
      </c>
      <c r="H324" s="75">
        <f t="shared" si="1333"/>
        <v>1013.715</v>
      </c>
      <c r="I324" s="75">
        <f t="shared" si="1333"/>
        <v>1044.6109999999999</v>
      </c>
      <c r="J324" s="75">
        <f t="shared" si="1333"/>
        <v>2788.4849999999997</v>
      </c>
      <c r="K324" s="75">
        <f t="shared" si="1333"/>
        <v>2828.4849999999997</v>
      </c>
      <c r="L324" s="75">
        <f t="shared" si="1333"/>
        <v>2868.4849999999997</v>
      </c>
      <c r="M324" s="75">
        <f t="shared" si="1333"/>
        <v>2908.4849999999997</v>
      </c>
      <c r="O324" s="75">
        <v>787.49900000000002</v>
      </c>
      <c r="P324" s="75">
        <v>790.2360000000001</v>
      </c>
      <c r="Q324" s="75">
        <v>793.07899999999995</v>
      </c>
      <c r="R324" s="75">
        <v>798.45600000000002</v>
      </c>
      <c r="S324" s="75">
        <v>803.49700000000007</v>
      </c>
      <c r="T324" s="75">
        <v>826.55500000000006</v>
      </c>
      <c r="U324" s="75">
        <v>833.7</v>
      </c>
      <c r="V324" s="75">
        <v>842.56399999999996</v>
      </c>
      <c r="W324" s="75">
        <v>848.38299999999992</v>
      </c>
      <c r="X324" s="75">
        <v>852.79100000000005</v>
      </c>
      <c r="Y324" s="75">
        <v>858.82100000000003</v>
      </c>
      <c r="Z324" s="75">
        <v>865.399</v>
      </c>
      <c r="AA324" s="75">
        <v>892.66099999999994</v>
      </c>
      <c r="AB324" s="75">
        <v>901.66600000000005</v>
      </c>
      <c r="AC324" s="75">
        <v>908.50400000000002</v>
      </c>
      <c r="AD324" s="75">
        <v>915.37</v>
      </c>
      <c r="AE324" s="75">
        <v>932.07500000000005</v>
      </c>
      <c r="AF324" s="75">
        <v>963.74400000000003</v>
      </c>
      <c r="AG324" s="75">
        <v>979.31700000000001</v>
      </c>
      <c r="AH324" s="75">
        <v>986.56700000000001</v>
      </c>
      <c r="AI324" s="75">
        <v>993.38800000000003</v>
      </c>
      <c r="AJ324" s="75">
        <v>1001.526</v>
      </c>
      <c r="AK324" s="75">
        <v>1008.21</v>
      </c>
      <c r="AL324" s="75">
        <v>1013.715</v>
      </c>
      <c r="AM324" s="75">
        <v>1020.603</v>
      </c>
      <c r="AN324" s="75">
        <v>1024.912</v>
      </c>
      <c r="AO324" s="75">
        <v>1036.683</v>
      </c>
      <c r="AP324" s="75">
        <v>1044.6109999999999</v>
      </c>
      <c r="AQ324" s="75">
        <v>1523.5350000000001</v>
      </c>
      <c r="AR324" s="75">
        <v>2577.9699999999998</v>
      </c>
      <c r="AS324" s="75">
        <v>2590.9010000000003</v>
      </c>
      <c r="AT324" s="75">
        <f>2.662+2785.823</f>
        <v>2788.4849999999997</v>
      </c>
      <c r="AU324" s="75">
        <f>+AT324+AU291+AU273</f>
        <v>2798.4849999999997</v>
      </c>
      <c r="AV324" s="75">
        <f t="shared" ref="AV324:BF324" si="1334">+AU324+AV291+AV273</f>
        <v>2808.4849999999997</v>
      </c>
      <c r="AW324" s="75">
        <f t="shared" si="1334"/>
        <v>2818.4849999999997</v>
      </c>
      <c r="AX324" s="75">
        <f t="shared" si="1334"/>
        <v>2828.4849999999997</v>
      </c>
      <c r="AY324" s="75">
        <f t="shared" si="1334"/>
        <v>2838.4849999999997</v>
      </c>
      <c r="AZ324" s="75">
        <f t="shared" si="1334"/>
        <v>2848.4849999999997</v>
      </c>
      <c r="BA324" s="75">
        <f t="shared" si="1334"/>
        <v>2858.4849999999997</v>
      </c>
      <c r="BB324" s="75">
        <f t="shared" si="1334"/>
        <v>2868.4849999999997</v>
      </c>
      <c r="BC324" s="75">
        <f t="shared" si="1334"/>
        <v>2878.4849999999997</v>
      </c>
      <c r="BD324" s="75">
        <f t="shared" si="1334"/>
        <v>2888.4849999999997</v>
      </c>
      <c r="BE324" s="75">
        <f t="shared" si="1334"/>
        <v>2898.4849999999997</v>
      </c>
      <c r="BF324" s="75">
        <f t="shared" si="1334"/>
        <v>2908.4849999999997</v>
      </c>
      <c r="BI324">
        <f t="shared" si="1207"/>
        <v>317</v>
      </c>
      <c r="BJ324"/>
      <c r="BK324"/>
      <c r="BL324"/>
      <c r="BM324"/>
      <c r="BN324"/>
      <c r="BO324"/>
    </row>
    <row r="325" spans="1:67" s="53" customFormat="1" hidden="1" outlineLevel="2">
      <c r="A325" s="52"/>
      <c r="B325" s="32" t="s">
        <v>185</v>
      </c>
      <c r="C325" s="75">
        <f t="shared" si="1333"/>
        <v>1987.999</v>
      </c>
      <c r="D325" s="75">
        <f t="shared" si="1333"/>
        <v>2279.3670000000002</v>
      </c>
      <c r="E325" s="75">
        <f t="shared" si="1333"/>
        <v>2548.5419999999999</v>
      </c>
      <c r="F325" s="75">
        <f t="shared" si="1333"/>
        <v>2707.4389999999999</v>
      </c>
      <c r="G325" s="75">
        <f t="shared" si="1333"/>
        <v>2811.8150000000001</v>
      </c>
      <c r="H325" s="75">
        <f t="shared" si="1333"/>
        <v>2458.5540000000001</v>
      </c>
      <c r="I325" s="75">
        <f t="shared" si="1333"/>
        <v>2116.3409999999999</v>
      </c>
      <c r="J325" s="75">
        <f t="shared" si="1333"/>
        <v>2105.8969999999999</v>
      </c>
      <c r="K325" s="75">
        <f t="shared" si="1333"/>
        <v>2048.7980821698575</v>
      </c>
      <c r="L325" s="75">
        <f t="shared" si="1333"/>
        <v>2163.318466779459</v>
      </c>
      <c r="M325" s="75">
        <f t="shared" si="1333"/>
        <v>2368.5190503145504</v>
      </c>
      <c r="O325" s="75">
        <v>1898.3620000000001</v>
      </c>
      <c r="P325" s="75">
        <v>1920.184</v>
      </c>
      <c r="Q325" s="75">
        <v>1941.854</v>
      </c>
      <c r="R325" s="75">
        <v>1987.999</v>
      </c>
      <c r="S325" s="75">
        <v>2051.5430000000001</v>
      </c>
      <c r="T325" s="75">
        <v>2125.4090000000001</v>
      </c>
      <c r="U325" s="75">
        <v>2199.56</v>
      </c>
      <c r="V325" s="75">
        <v>2279.3670000000002</v>
      </c>
      <c r="W325" s="75">
        <v>2368.8530000000001</v>
      </c>
      <c r="X325" s="75">
        <v>2453.741</v>
      </c>
      <c r="Y325" s="75">
        <v>2497.029</v>
      </c>
      <c r="Z325" s="75">
        <v>2548.5419999999999</v>
      </c>
      <c r="AA325" s="75">
        <v>2597.46</v>
      </c>
      <c r="AB325" s="75">
        <v>2630.8670000000002</v>
      </c>
      <c r="AC325" s="75">
        <v>2698.056</v>
      </c>
      <c r="AD325" s="75">
        <v>2707.4389999999999</v>
      </c>
      <c r="AE325" s="75">
        <v>2727.8049999999998</v>
      </c>
      <c r="AF325" s="75">
        <v>2767.5259999999998</v>
      </c>
      <c r="AG325" s="75">
        <v>2768.8679999999999</v>
      </c>
      <c r="AH325" s="75">
        <v>2811.8150000000001</v>
      </c>
      <c r="AI325" s="75">
        <v>2806.3</v>
      </c>
      <c r="AJ325" s="75">
        <v>2772.6129999999998</v>
      </c>
      <c r="AK325" s="75">
        <v>2531.9229999999998</v>
      </c>
      <c r="AL325" s="75">
        <v>2458.5540000000001</v>
      </c>
      <c r="AM325" s="75">
        <v>2373.3389999999999</v>
      </c>
      <c r="AN325" s="75">
        <v>2284.52</v>
      </c>
      <c r="AO325" s="75">
        <v>2197.424</v>
      </c>
      <c r="AP325" s="75">
        <v>2116.3409999999999</v>
      </c>
      <c r="AQ325" s="75">
        <v>2049.4760000000001</v>
      </c>
      <c r="AR325" s="75">
        <v>1953.0229999999999</v>
      </c>
      <c r="AS325" s="75">
        <v>1914.9659999999999</v>
      </c>
      <c r="AT325" s="75">
        <v>2105.8969999999999</v>
      </c>
      <c r="AU325" s="75">
        <f t="shared" ref="AU325:BF325" si="1335">AT325+AU270+AU290</f>
        <v>2074.6085034967346</v>
      </c>
      <c r="AV325" s="75">
        <f t="shared" si="1335"/>
        <v>2054.0090563888848</v>
      </c>
      <c r="AW325" s="75">
        <f t="shared" si="1335"/>
        <v>2043.6472443452208</v>
      </c>
      <c r="AX325" s="75">
        <f t="shared" si="1335"/>
        <v>2048.7980821698575</v>
      </c>
      <c r="AY325" s="75">
        <f t="shared" si="1335"/>
        <v>2060.9282799490525</v>
      </c>
      <c r="AZ325" s="75">
        <f t="shared" si="1335"/>
        <v>2085.7254117659809</v>
      </c>
      <c r="BA325" s="75">
        <f t="shared" si="1335"/>
        <v>2122.8147161934912</v>
      </c>
      <c r="BB325" s="75">
        <f t="shared" si="1335"/>
        <v>2163.318466779459</v>
      </c>
      <c r="BC325" s="75">
        <f t="shared" si="1335"/>
        <v>2207.7043450927667</v>
      </c>
      <c r="BD325" s="75">
        <f t="shared" si="1335"/>
        <v>2255.8040461907744</v>
      </c>
      <c r="BE325" s="75">
        <f t="shared" si="1335"/>
        <v>2309.107003008467</v>
      </c>
      <c r="BF325" s="75">
        <f t="shared" si="1335"/>
        <v>2368.5190503145504</v>
      </c>
      <c r="BI325">
        <f t="shared" si="1207"/>
        <v>318</v>
      </c>
      <c r="BJ325"/>
      <c r="BK325"/>
      <c r="BL325"/>
      <c r="BM325"/>
      <c r="BN325"/>
      <c r="BO325"/>
    </row>
    <row r="326" spans="1:67" s="53" customFormat="1" hidden="1" outlineLevel="2">
      <c r="A326" s="52"/>
      <c r="B326" s="32" t="s">
        <v>186</v>
      </c>
      <c r="C326" s="75">
        <f t="shared" si="1333"/>
        <v>21.597000000000001</v>
      </c>
      <c r="D326" s="75">
        <f t="shared" si="1333"/>
        <v>19.459</v>
      </c>
      <c r="E326" s="75">
        <f t="shared" si="1333"/>
        <v>21.766999999999999</v>
      </c>
      <c r="F326" s="75">
        <f t="shared" si="1333"/>
        <v>14.076000000000001</v>
      </c>
      <c r="G326" s="75">
        <f t="shared" si="1333"/>
        <v>6.4630000000000001</v>
      </c>
      <c r="H326" s="75">
        <f t="shared" si="1333"/>
        <v>-4.093</v>
      </c>
      <c r="I326" s="75">
        <f t="shared" si="1333"/>
        <v>-1.1339999999999999</v>
      </c>
      <c r="J326" s="75">
        <f t="shared" si="1333"/>
        <v>6.8220000000000001</v>
      </c>
      <c r="K326" s="75">
        <f t="shared" si="1333"/>
        <v>6.8220000000000001</v>
      </c>
      <c r="L326" s="75">
        <f t="shared" si="1333"/>
        <v>6.8220000000000001</v>
      </c>
      <c r="M326" s="75">
        <f t="shared" si="1333"/>
        <v>6.8220000000000001</v>
      </c>
      <c r="O326" s="75">
        <v>20.321000000000002</v>
      </c>
      <c r="P326" s="75">
        <v>18.027000000000001</v>
      </c>
      <c r="Q326" s="75">
        <v>19.646000000000001</v>
      </c>
      <c r="R326" s="75">
        <v>21.597000000000001</v>
      </c>
      <c r="S326" s="75">
        <v>24.295000000000002</v>
      </c>
      <c r="T326" s="75">
        <v>23.757000000000001</v>
      </c>
      <c r="U326" s="75">
        <v>18.137</v>
      </c>
      <c r="V326" s="75">
        <v>19.459</v>
      </c>
      <c r="W326" s="75">
        <v>22.013000000000002</v>
      </c>
      <c r="X326" s="75">
        <v>18.847000000000001</v>
      </c>
      <c r="Y326" s="75">
        <v>23.263000000000002</v>
      </c>
      <c r="Z326" s="75">
        <v>21.766999999999999</v>
      </c>
      <c r="AA326" s="75">
        <v>19.463999999999999</v>
      </c>
      <c r="AB326" s="75">
        <v>15.715999999999999</v>
      </c>
      <c r="AC326" s="75">
        <v>18.099</v>
      </c>
      <c r="AD326" s="75">
        <v>14.076000000000001</v>
      </c>
      <c r="AE326" s="75">
        <v>10.721</v>
      </c>
      <c r="AF326" s="75">
        <v>15.209</v>
      </c>
      <c r="AG326" s="75">
        <v>10.31</v>
      </c>
      <c r="AH326" s="75">
        <v>6.4630000000000001</v>
      </c>
      <c r="AI326" s="75">
        <v>-2.1150000000000002</v>
      </c>
      <c r="AJ326" s="75">
        <v>0.91800000000000004</v>
      </c>
      <c r="AK326" s="75">
        <v>-1.9910000000000001</v>
      </c>
      <c r="AL326" s="75">
        <v>-4.093</v>
      </c>
      <c r="AM326" s="75">
        <v>2.585</v>
      </c>
      <c r="AN326" s="75">
        <v>3.0539999999999998</v>
      </c>
      <c r="AO326" s="75">
        <v>0.67500000000000004</v>
      </c>
      <c r="AP326" s="75">
        <v>-1.1339999999999999</v>
      </c>
      <c r="AQ326" s="75">
        <v>-8.5000000000000006E-2</v>
      </c>
      <c r="AR326" s="75">
        <v>1.8540000000000001</v>
      </c>
      <c r="AS326" s="75">
        <v>5.4610000000000003</v>
      </c>
      <c r="AT326" s="75">
        <v>6.8220000000000001</v>
      </c>
      <c r="AU326" s="75">
        <f t="shared" ref="AU326:BF326" si="1336">AT326</f>
        <v>6.8220000000000001</v>
      </c>
      <c r="AV326" s="75">
        <f t="shared" si="1336"/>
        <v>6.8220000000000001</v>
      </c>
      <c r="AW326" s="75">
        <f t="shared" si="1336"/>
        <v>6.8220000000000001</v>
      </c>
      <c r="AX326" s="75">
        <f t="shared" si="1336"/>
        <v>6.8220000000000001</v>
      </c>
      <c r="AY326" s="75">
        <f t="shared" si="1336"/>
        <v>6.8220000000000001</v>
      </c>
      <c r="AZ326" s="75">
        <f t="shared" si="1336"/>
        <v>6.8220000000000001</v>
      </c>
      <c r="BA326" s="75">
        <f t="shared" si="1336"/>
        <v>6.8220000000000001</v>
      </c>
      <c r="BB326" s="75">
        <f t="shared" si="1336"/>
        <v>6.8220000000000001</v>
      </c>
      <c r="BC326" s="75">
        <f t="shared" si="1336"/>
        <v>6.8220000000000001</v>
      </c>
      <c r="BD326" s="75">
        <f t="shared" si="1336"/>
        <v>6.8220000000000001</v>
      </c>
      <c r="BE326" s="75">
        <f t="shared" si="1336"/>
        <v>6.8220000000000001</v>
      </c>
      <c r="BF326" s="75">
        <f t="shared" si="1336"/>
        <v>6.8220000000000001</v>
      </c>
      <c r="BI326">
        <f t="shared" si="1207"/>
        <v>319</v>
      </c>
      <c r="BJ326"/>
      <c r="BK326"/>
      <c r="BL326"/>
      <c r="BM326"/>
      <c r="BN326"/>
      <c r="BO326"/>
    </row>
    <row r="327" spans="1:67" s="53" customFormat="1" hidden="1" outlineLevel="2">
      <c r="A327" s="52"/>
      <c r="B327" s="32" t="s">
        <v>187</v>
      </c>
      <c r="C327" s="75">
        <f t="shared" si="1333"/>
        <v>-620.44500000000005</v>
      </c>
      <c r="D327" s="75">
        <f t="shared" si="1333"/>
        <v>-624.75900000000001</v>
      </c>
      <c r="E327" s="75">
        <f t="shared" si="1333"/>
        <v>-795.05100000000004</v>
      </c>
      <c r="F327" s="75">
        <f t="shared" si="1333"/>
        <v>-880.88800000000003</v>
      </c>
      <c r="G327" s="75">
        <f t="shared" si="1333"/>
        <v>-899.03499999999997</v>
      </c>
      <c r="H327" s="75">
        <f t="shared" si="1333"/>
        <v>-907.04499999999996</v>
      </c>
      <c r="I327" s="75">
        <f t="shared" si="1333"/>
        <v>-911.09400000000005</v>
      </c>
      <c r="J327" s="75">
        <f t="shared" si="1333"/>
        <v>-918.71100000000001</v>
      </c>
      <c r="K327" s="75">
        <f t="shared" si="1333"/>
        <v>-918.71100000000001</v>
      </c>
      <c r="L327" s="75">
        <f t="shared" si="1333"/>
        <v>-918.71100000000001</v>
      </c>
      <c r="M327" s="75">
        <f t="shared" si="1333"/>
        <v>-918.71100000000001</v>
      </c>
      <c r="O327" s="75">
        <v>-618.98</v>
      </c>
      <c r="P327" s="75">
        <v>-620.02499999999998</v>
      </c>
      <c r="Q327" s="75">
        <v>-620.44000000000005</v>
      </c>
      <c r="R327" s="75">
        <v>-620.44500000000005</v>
      </c>
      <c r="S327" s="75">
        <v>-620.46500000000003</v>
      </c>
      <c r="T327" s="75">
        <v>-624.66099999999994</v>
      </c>
      <c r="U327" s="75">
        <v>-624.66399999999999</v>
      </c>
      <c r="V327" s="75">
        <v>-624.75900000000001</v>
      </c>
      <c r="W327" s="75">
        <v>-624.774</v>
      </c>
      <c r="X327" s="75">
        <v>-696.096</v>
      </c>
      <c r="Y327" s="75">
        <v>-734.94500000000005</v>
      </c>
      <c r="Z327" s="75">
        <v>-795.05100000000004</v>
      </c>
      <c r="AA327" s="75">
        <v>-810.25199999999995</v>
      </c>
      <c r="AB327" s="75">
        <v>-817.40899999999999</v>
      </c>
      <c r="AC327" s="75">
        <v>-880.78399999999999</v>
      </c>
      <c r="AD327" s="75">
        <v>-880.88800000000003</v>
      </c>
      <c r="AE327" s="75">
        <v>-880.93100000000004</v>
      </c>
      <c r="AF327" s="75">
        <v>-899.03499999999997</v>
      </c>
      <c r="AG327" s="75">
        <v>-899.03499999999997</v>
      </c>
      <c r="AH327" s="75">
        <v>-899.03499999999997</v>
      </c>
      <c r="AI327" s="75">
        <v>-899.03499999999997</v>
      </c>
      <c r="AJ327" s="75">
        <v>-907.04499999999996</v>
      </c>
      <c r="AK327" s="75">
        <v>-907.04499999999996</v>
      </c>
      <c r="AL327" s="75">
        <v>-907.04499999999996</v>
      </c>
      <c r="AM327" s="75">
        <v>-907.04499999999996</v>
      </c>
      <c r="AN327" s="75">
        <v>-910.65599999999995</v>
      </c>
      <c r="AO327" s="75">
        <v>-910.65599999999995</v>
      </c>
      <c r="AP327" s="75">
        <v>-911.09400000000005</v>
      </c>
      <c r="AQ327" s="75">
        <v>-911.31700000000001</v>
      </c>
      <c r="AR327" s="75">
        <v>-915.04399999999998</v>
      </c>
      <c r="AS327" s="75">
        <v>-918.12599999999998</v>
      </c>
      <c r="AT327" s="75">
        <v>-918.71100000000001</v>
      </c>
      <c r="AU327" s="75">
        <f t="shared" ref="AU327:BF327" si="1337">AT327+AU292</f>
        <v>-918.71100000000001</v>
      </c>
      <c r="AV327" s="75">
        <f t="shared" si="1337"/>
        <v>-918.71100000000001</v>
      </c>
      <c r="AW327" s="75">
        <f t="shared" si="1337"/>
        <v>-918.71100000000001</v>
      </c>
      <c r="AX327" s="75">
        <f t="shared" si="1337"/>
        <v>-918.71100000000001</v>
      </c>
      <c r="AY327" s="75">
        <f t="shared" si="1337"/>
        <v>-918.71100000000001</v>
      </c>
      <c r="AZ327" s="75">
        <f t="shared" si="1337"/>
        <v>-918.71100000000001</v>
      </c>
      <c r="BA327" s="75">
        <f t="shared" si="1337"/>
        <v>-918.71100000000001</v>
      </c>
      <c r="BB327" s="75">
        <f t="shared" si="1337"/>
        <v>-918.71100000000001</v>
      </c>
      <c r="BC327" s="75">
        <f t="shared" si="1337"/>
        <v>-918.71100000000001</v>
      </c>
      <c r="BD327" s="75">
        <f t="shared" si="1337"/>
        <v>-918.71100000000001</v>
      </c>
      <c r="BE327" s="75">
        <f t="shared" si="1337"/>
        <v>-918.71100000000001</v>
      </c>
      <c r="BF327" s="75">
        <f t="shared" si="1337"/>
        <v>-918.71100000000001</v>
      </c>
      <c r="BI327">
        <f t="shared" si="1207"/>
        <v>320</v>
      </c>
      <c r="BJ327"/>
      <c r="BK327"/>
      <c r="BL327"/>
      <c r="BM327"/>
      <c r="BN327"/>
      <c r="BO327"/>
    </row>
    <row r="328" spans="1:67" outlineLevel="1" collapsed="1">
      <c r="B328" s="14" t="s">
        <v>188</v>
      </c>
      <c r="C328" s="21">
        <f>SUM(C324:C327)</f>
        <v>2187.607</v>
      </c>
      <c r="D328" s="21">
        <f t="shared" ref="D328:M328" si="1338">SUM(D324:D327)</f>
        <v>2516.6309999999999</v>
      </c>
      <c r="E328" s="21">
        <f t="shared" si="1338"/>
        <v>2640.6569999999997</v>
      </c>
      <c r="F328" s="21">
        <f t="shared" si="1338"/>
        <v>2755.9969999999998</v>
      </c>
      <c r="G328" s="21">
        <f t="shared" si="1338"/>
        <v>2905.8100000000004</v>
      </c>
      <c r="H328" s="21">
        <f t="shared" si="1338"/>
        <v>2561.1310000000003</v>
      </c>
      <c r="I328" s="21">
        <f t="shared" si="1338"/>
        <v>2248.7239999999997</v>
      </c>
      <c r="J328" s="21">
        <f t="shared" si="1338"/>
        <v>3982.4929999999995</v>
      </c>
      <c r="K328" s="21">
        <f t="shared" si="1338"/>
        <v>3965.394082169857</v>
      </c>
      <c r="L328" s="21">
        <f t="shared" si="1338"/>
        <v>4119.9144667794581</v>
      </c>
      <c r="M328" s="21">
        <f t="shared" si="1338"/>
        <v>4365.11505031455</v>
      </c>
      <c r="O328" s="21">
        <f>SUM(O324:O327)</f>
        <v>2087.2019999999998</v>
      </c>
      <c r="P328" s="21">
        <f t="shared" ref="P328:AT328" si="1339">SUM(P324:P327)</f>
        <v>2108.422</v>
      </c>
      <c r="Q328" s="21">
        <f t="shared" si="1339"/>
        <v>2134.1390000000001</v>
      </c>
      <c r="R328" s="21">
        <f t="shared" si="1339"/>
        <v>2187.607</v>
      </c>
      <c r="S328" s="21">
        <f t="shared" si="1339"/>
        <v>2258.87</v>
      </c>
      <c r="T328" s="21">
        <f t="shared" si="1339"/>
        <v>2351.06</v>
      </c>
      <c r="U328" s="21">
        <f t="shared" si="1339"/>
        <v>2426.7330000000002</v>
      </c>
      <c r="V328" s="21">
        <f t="shared" si="1339"/>
        <v>2516.6309999999999</v>
      </c>
      <c r="W328" s="21">
        <f t="shared" si="1339"/>
        <v>2614.4749999999999</v>
      </c>
      <c r="X328" s="21">
        <f t="shared" si="1339"/>
        <v>2629.2830000000004</v>
      </c>
      <c r="Y328" s="21">
        <f t="shared" si="1339"/>
        <v>2644.1679999999997</v>
      </c>
      <c r="Z328" s="21">
        <f t="shared" si="1339"/>
        <v>2640.6569999999997</v>
      </c>
      <c r="AA328" s="21">
        <f t="shared" si="1339"/>
        <v>2699.3330000000001</v>
      </c>
      <c r="AB328" s="21">
        <f t="shared" si="1339"/>
        <v>2730.84</v>
      </c>
      <c r="AC328" s="21">
        <f t="shared" si="1339"/>
        <v>2743.875</v>
      </c>
      <c r="AD328" s="21">
        <f t="shared" si="1339"/>
        <v>2755.9969999999998</v>
      </c>
      <c r="AE328" s="21">
        <f t="shared" si="1339"/>
        <v>2789.67</v>
      </c>
      <c r="AF328" s="21">
        <f t="shared" si="1339"/>
        <v>2847.444</v>
      </c>
      <c r="AG328" s="21">
        <f t="shared" si="1339"/>
        <v>2859.46</v>
      </c>
      <c r="AH328" s="21">
        <f t="shared" si="1339"/>
        <v>2905.8100000000004</v>
      </c>
      <c r="AI328" s="21">
        <f t="shared" si="1339"/>
        <v>2898.5380000000005</v>
      </c>
      <c r="AJ328" s="21">
        <f t="shared" si="1339"/>
        <v>2868.0119999999997</v>
      </c>
      <c r="AK328" s="21">
        <f t="shared" si="1339"/>
        <v>2631.0969999999998</v>
      </c>
      <c r="AL328" s="21">
        <f t="shared" si="1339"/>
        <v>2561.1310000000003</v>
      </c>
      <c r="AM328" s="21">
        <f t="shared" si="1339"/>
        <v>2489.482</v>
      </c>
      <c r="AN328" s="21">
        <f t="shared" si="1339"/>
        <v>2401.83</v>
      </c>
      <c r="AO328" s="21">
        <f t="shared" si="1339"/>
        <v>2324.1260000000002</v>
      </c>
      <c r="AP328" s="21">
        <f t="shared" si="1339"/>
        <v>2248.7239999999997</v>
      </c>
      <c r="AQ328" s="21">
        <f t="shared" si="1339"/>
        <v>2661.6090000000004</v>
      </c>
      <c r="AR328" s="21">
        <f t="shared" si="1339"/>
        <v>3617.8029999999999</v>
      </c>
      <c r="AS328" s="21">
        <f t="shared" si="1339"/>
        <v>3593.2020000000002</v>
      </c>
      <c r="AT328" s="21">
        <f t="shared" si="1339"/>
        <v>3982.4929999999995</v>
      </c>
      <c r="AU328" s="21">
        <f t="shared" ref="AU328:BF328" si="1340">SUM(AU324:AU327)</f>
        <v>3961.2045034967341</v>
      </c>
      <c r="AV328" s="21">
        <f t="shared" si="1340"/>
        <v>3950.6050563888848</v>
      </c>
      <c r="AW328" s="21">
        <f t="shared" si="1340"/>
        <v>3950.2432443452208</v>
      </c>
      <c r="AX328" s="21">
        <f t="shared" si="1340"/>
        <v>3965.394082169857</v>
      </c>
      <c r="AY328" s="21">
        <f t="shared" si="1340"/>
        <v>3987.5242799490525</v>
      </c>
      <c r="AZ328" s="21">
        <f t="shared" si="1340"/>
        <v>4022.32141176598</v>
      </c>
      <c r="BA328" s="21">
        <f t="shared" si="1340"/>
        <v>4069.4107161934908</v>
      </c>
      <c r="BB328" s="21">
        <f t="shared" si="1340"/>
        <v>4119.9144667794581</v>
      </c>
      <c r="BC328" s="21">
        <f t="shared" si="1340"/>
        <v>4174.3003450927663</v>
      </c>
      <c r="BD328" s="21">
        <f t="shared" si="1340"/>
        <v>4232.4000461907735</v>
      </c>
      <c r="BE328" s="21">
        <f t="shared" si="1340"/>
        <v>4295.703003008467</v>
      </c>
      <c r="BF328" s="21">
        <f t="shared" si="1340"/>
        <v>4365.11505031455</v>
      </c>
      <c r="BI328">
        <f t="shared" si="1207"/>
        <v>321</v>
      </c>
    </row>
    <row r="329" spans="1:67" outlineLevel="1">
      <c r="B329" s="23" t="s">
        <v>189</v>
      </c>
      <c r="C329" s="21">
        <f>C323+C328</f>
        <v>3423.0309999999999</v>
      </c>
      <c r="D329" s="21">
        <f t="shared" ref="D329:M329" si="1341">D323+D328</f>
        <v>4221.9009999999998</v>
      </c>
      <c r="E329" s="21">
        <f t="shared" si="1341"/>
        <v>4556.9110000000001</v>
      </c>
      <c r="F329" s="21">
        <f t="shared" si="1341"/>
        <v>4687.1270000000004</v>
      </c>
      <c r="G329" s="21">
        <f t="shared" si="1341"/>
        <v>5394.0110000000004</v>
      </c>
      <c r="H329" s="21">
        <f t="shared" si="1341"/>
        <v>4533.3170000000009</v>
      </c>
      <c r="I329" s="21">
        <f t="shared" si="1341"/>
        <v>3804.6059999999998</v>
      </c>
      <c r="J329" s="21">
        <f t="shared" si="1341"/>
        <v>5758.8559999999998</v>
      </c>
      <c r="K329" s="21">
        <f t="shared" si="1341"/>
        <v>6052.5654002646279</v>
      </c>
      <c r="L329" s="21">
        <f t="shared" si="1341"/>
        <v>6286.3512139411396</v>
      </c>
      <c r="M329" s="21">
        <f t="shared" si="1341"/>
        <v>6257.5570630142865</v>
      </c>
      <c r="O329" s="21">
        <f>O323+O328</f>
        <v>2743.4979999999996</v>
      </c>
      <c r="P329" s="21">
        <f t="shared" ref="P329:BF329" si="1342">P323+P328</f>
        <v>2799.9920000000002</v>
      </c>
      <c r="Q329" s="21">
        <f t="shared" si="1342"/>
        <v>2997.4079999999999</v>
      </c>
      <c r="R329" s="21">
        <f t="shared" si="1342"/>
        <v>3423.0309999999999</v>
      </c>
      <c r="S329" s="21">
        <f t="shared" si="1342"/>
        <v>3582.9659999999999</v>
      </c>
      <c r="T329" s="21">
        <f t="shared" si="1342"/>
        <v>3777.5889999999999</v>
      </c>
      <c r="U329" s="21">
        <f t="shared" si="1342"/>
        <v>3986.6930000000002</v>
      </c>
      <c r="V329" s="21">
        <f t="shared" si="1342"/>
        <v>4221.9009999999998</v>
      </c>
      <c r="W329" s="21">
        <f t="shared" si="1342"/>
        <v>4363.8320000000003</v>
      </c>
      <c r="X329" s="21">
        <f t="shared" si="1342"/>
        <v>4442.6149999999998</v>
      </c>
      <c r="Y329" s="21">
        <f t="shared" si="1342"/>
        <v>4469.9749999999995</v>
      </c>
      <c r="Z329" s="21">
        <f t="shared" si="1342"/>
        <v>4556.9110000000001</v>
      </c>
      <c r="AA329" s="21">
        <f t="shared" si="1342"/>
        <v>4657.232</v>
      </c>
      <c r="AB329" s="21">
        <f t="shared" si="1342"/>
        <v>4663.7160000000003</v>
      </c>
      <c r="AC329" s="21">
        <f t="shared" si="1342"/>
        <v>4677.5219999999999</v>
      </c>
      <c r="AD329" s="21">
        <f t="shared" si="1342"/>
        <v>4687.1270000000004</v>
      </c>
      <c r="AE329" s="21">
        <f t="shared" si="1342"/>
        <v>4812.8950000000004</v>
      </c>
      <c r="AF329" s="21">
        <f t="shared" si="1342"/>
        <v>4908.3670000000002</v>
      </c>
      <c r="AG329" s="21">
        <f t="shared" si="1342"/>
        <v>4968.3490000000002</v>
      </c>
      <c r="AH329" s="21">
        <f t="shared" si="1342"/>
        <v>5394.0110000000004</v>
      </c>
      <c r="AI329" s="21">
        <f t="shared" si="1342"/>
        <v>5230.9070000000011</v>
      </c>
      <c r="AJ329" s="21">
        <f t="shared" si="1342"/>
        <v>5049.5280000000002</v>
      </c>
      <c r="AK329" s="21">
        <f t="shared" si="1342"/>
        <v>4678.1659999999993</v>
      </c>
      <c r="AL329" s="21">
        <f t="shared" si="1342"/>
        <v>4533.3170000000009</v>
      </c>
      <c r="AM329" s="21">
        <f t="shared" si="1342"/>
        <v>4398.17</v>
      </c>
      <c r="AN329" s="21">
        <f t="shared" si="1342"/>
        <v>4211.4709999999995</v>
      </c>
      <c r="AO329" s="21">
        <f t="shared" si="1342"/>
        <v>3908.8730000000005</v>
      </c>
      <c r="AP329" s="21">
        <f t="shared" si="1342"/>
        <v>3804.6059999999998</v>
      </c>
      <c r="AQ329" s="21">
        <f t="shared" si="1342"/>
        <v>4178.6190000000006</v>
      </c>
      <c r="AR329" s="21">
        <f t="shared" si="1342"/>
        <v>5404.0560000000005</v>
      </c>
      <c r="AS329" s="21">
        <f t="shared" si="1342"/>
        <v>5472.9750000000004</v>
      </c>
      <c r="AT329" s="21">
        <f t="shared" si="1342"/>
        <v>5758.8559999999998</v>
      </c>
      <c r="AU329" s="21">
        <f t="shared" si="1342"/>
        <v>5991.4730705046659</v>
      </c>
      <c r="AV329" s="21">
        <f t="shared" si="1342"/>
        <v>6004.4610184492722</v>
      </c>
      <c r="AW329" s="21">
        <f t="shared" si="1342"/>
        <v>6019.6487074485512</v>
      </c>
      <c r="AX329" s="21">
        <f t="shared" si="1342"/>
        <v>6052.5654002646279</v>
      </c>
      <c r="AY329" s="21">
        <f t="shared" si="1342"/>
        <v>6095.6881772643892</v>
      </c>
      <c r="AZ329" s="21">
        <f t="shared" si="1342"/>
        <v>6143.2313816400347</v>
      </c>
      <c r="BA329" s="21">
        <f t="shared" si="1342"/>
        <v>6215.0771998049859</v>
      </c>
      <c r="BB329" s="21">
        <f t="shared" si="1342"/>
        <v>6286.3512139411396</v>
      </c>
      <c r="BC329" s="21">
        <f t="shared" si="1342"/>
        <v>6355.6125088803419</v>
      </c>
      <c r="BD329" s="21">
        <f t="shared" si="1342"/>
        <v>6418.0824071317502</v>
      </c>
      <c r="BE329" s="21">
        <f t="shared" si="1342"/>
        <v>6182.8595369868945</v>
      </c>
      <c r="BF329" s="21">
        <f t="shared" si="1342"/>
        <v>6257.5570630142865</v>
      </c>
      <c r="BI329">
        <f t="shared" si="1207"/>
        <v>322</v>
      </c>
    </row>
    <row r="330" spans="1:67" outlineLevel="1">
      <c r="C330" s="93">
        <f t="shared" ref="C330:M330" si="1343">C329-C312</f>
        <v>0</v>
      </c>
      <c r="D330" s="93">
        <f t="shared" si="1343"/>
        <v>0</v>
      </c>
      <c r="E330" s="93">
        <f t="shared" si="1343"/>
        <v>0</v>
      </c>
      <c r="F330" s="93">
        <f t="shared" si="1343"/>
        <v>0</v>
      </c>
      <c r="G330" s="93">
        <f t="shared" si="1343"/>
        <v>0</v>
      </c>
      <c r="H330" s="93">
        <f t="shared" si="1343"/>
        <v>0</v>
      </c>
      <c r="I330" s="93">
        <f t="shared" si="1343"/>
        <v>0</v>
      </c>
      <c r="J330" s="93">
        <f t="shared" si="1343"/>
        <v>0</v>
      </c>
      <c r="K330" s="93">
        <f t="shared" si="1343"/>
        <v>0</v>
      </c>
      <c r="L330" s="93">
        <f t="shared" si="1343"/>
        <v>0</v>
      </c>
      <c r="M330" s="93">
        <f t="shared" si="1343"/>
        <v>0</v>
      </c>
      <c r="O330" s="93">
        <f>O329-O312</f>
        <v>0</v>
      </c>
      <c r="P330" s="93">
        <f t="shared" ref="P330:BF330" si="1344">P329-P312</f>
        <v>0</v>
      </c>
      <c r="Q330" s="93">
        <f t="shared" si="1344"/>
        <v>0</v>
      </c>
      <c r="R330" s="93">
        <f t="shared" si="1344"/>
        <v>0</v>
      </c>
      <c r="S330" s="93">
        <f t="shared" si="1344"/>
        <v>0</v>
      </c>
      <c r="T330" s="93">
        <f t="shared" si="1344"/>
        <v>0</v>
      </c>
      <c r="U330" s="93">
        <f t="shared" si="1344"/>
        <v>0</v>
      </c>
      <c r="V330" s="93">
        <f t="shared" si="1344"/>
        <v>0</v>
      </c>
      <c r="W330" s="93">
        <f t="shared" si="1344"/>
        <v>0</v>
      </c>
      <c r="X330" s="93">
        <f t="shared" si="1344"/>
        <v>0</v>
      </c>
      <c r="Y330" s="93">
        <f t="shared" si="1344"/>
        <v>0</v>
      </c>
      <c r="Z330" s="93">
        <f t="shared" si="1344"/>
        <v>0</v>
      </c>
      <c r="AA330" s="93">
        <f t="shared" si="1344"/>
        <v>0</v>
      </c>
      <c r="AB330" s="93">
        <f t="shared" si="1344"/>
        <v>0</v>
      </c>
      <c r="AC330" s="93">
        <f t="shared" si="1344"/>
        <v>0</v>
      </c>
      <c r="AD330" s="93">
        <f t="shared" si="1344"/>
        <v>0</v>
      </c>
      <c r="AE330" s="93">
        <f t="shared" si="1344"/>
        <v>0</v>
      </c>
      <c r="AF330" s="93">
        <f t="shared" si="1344"/>
        <v>0</v>
      </c>
      <c r="AG330" s="93">
        <f t="shared" si="1344"/>
        <v>0</v>
      </c>
      <c r="AH330" s="93">
        <f t="shared" si="1344"/>
        <v>0</v>
      </c>
      <c r="AI330" s="93">
        <f t="shared" si="1344"/>
        <v>0</v>
      </c>
      <c r="AJ330" s="93">
        <f t="shared" si="1344"/>
        <v>0</v>
      </c>
      <c r="AK330" s="93">
        <f t="shared" si="1344"/>
        <v>0</v>
      </c>
      <c r="AL330" s="93">
        <f t="shared" si="1344"/>
        <v>0</v>
      </c>
      <c r="AM330" s="93">
        <f t="shared" si="1344"/>
        <v>0</v>
      </c>
      <c r="AN330" s="93">
        <f t="shared" si="1344"/>
        <v>0</v>
      </c>
      <c r="AO330" s="93">
        <f t="shared" si="1344"/>
        <v>0</v>
      </c>
      <c r="AP330" s="93">
        <f t="shared" si="1344"/>
        <v>0</v>
      </c>
      <c r="AQ330" s="93">
        <f t="shared" si="1344"/>
        <v>0</v>
      </c>
      <c r="AR330" s="93">
        <f t="shared" si="1344"/>
        <v>0</v>
      </c>
      <c r="AS330" s="93">
        <f t="shared" si="1344"/>
        <v>0</v>
      </c>
      <c r="AT330" s="93">
        <f t="shared" si="1344"/>
        <v>0</v>
      </c>
      <c r="AU330" s="93">
        <f t="shared" si="1344"/>
        <v>0</v>
      </c>
      <c r="AV330" s="93">
        <f t="shared" si="1344"/>
        <v>0</v>
      </c>
      <c r="AW330" s="93">
        <f t="shared" si="1344"/>
        <v>0</v>
      </c>
      <c r="AX330" s="93">
        <f t="shared" si="1344"/>
        <v>0</v>
      </c>
      <c r="AY330" s="93">
        <f t="shared" si="1344"/>
        <v>0</v>
      </c>
      <c r="AZ330" s="93">
        <f t="shared" si="1344"/>
        <v>0</v>
      </c>
      <c r="BA330" s="93">
        <f t="shared" si="1344"/>
        <v>0</v>
      </c>
      <c r="BB330" s="93">
        <f t="shared" si="1344"/>
        <v>0</v>
      </c>
      <c r="BC330" s="93">
        <f t="shared" si="1344"/>
        <v>0</v>
      </c>
      <c r="BD330" s="93">
        <f t="shared" si="1344"/>
        <v>0</v>
      </c>
      <c r="BE330" s="93">
        <f t="shared" si="1344"/>
        <v>0</v>
      </c>
      <c r="BF330" s="93">
        <f t="shared" si="1344"/>
        <v>0</v>
      </c>
      <c r="BI330">
        <f t="shared" si="1207"/>
        <v>323</v>
      </c>
    </row>
    <row r="331" spans="1:67">
      <c r="A331" s="11" t="s">
        <v>65</v>
      </c>
      <c r="B331" s="34" t="s">
        <v>195</v>
      </c>
      <c r="C331" s="7">
        <f>C$8</f>
        <v>2010</v>
      </c>
      <c r="D331" s="7">
        <f t="shared" ref="D331:BF331" si="1345">D$8</f>
        <v>2011</v>
      </c>
      <c r="E331" s="7">
        <f t="shared" si="1345"/>
        <v>2012</v>
      </c>
      <c r="F331" s="7">
        <f t="shared" si="1345"/>
        <v>2013</v>
      </c>
      <c r="G331" s="7">
        <f t="shared" si="1345"/>
        <v>2014</v>
      </c>
      <c r="H331" s="7">
        <f t="shared" si="1345"/>
        <v>2015</v>
      </c>
      <c r="I331" s="7">
        <f t="shared" si="1345"/>
        <v>2016</v>
      </c>
      <c r="J331" s="7">
        <f t="shared" si="1345"/>
        <v>2017</v>
      </c>
      <c r="K331" s="7" t="str">
        <f t="shared" si="1345"/>
        <v>2018E</v>
      </c>
      <c r="L331" s="7" t="str">
        <f t="shared" si="1345"/>
        <v>2019E</v>
      </c>
      <c r="M331" s="7" t="str">
        <f t="shared" si="1345"/>
        <v>2020E</v>
      </c>
      <c r="N331" s="12"/>
      <c r="O331" s="7" t="str">
        <f t="shared" si="1345"/>
        <v>1Q10</v>
      </c>
      <c r="P331" s="7" t="str">
        <f t="shared" si="1345"/>
        <v>2Q10</v>
      </c>
      <c r="Q331" s="7" t="str">
        <f t="shared" si="1345"/>
        <v>3Q10</v>
      </c>
      <c r="R331" s="7" t="str">
        <f t="shared" si="1345"/>
        <v>4Q10</v>
      </c>
      <c r="S331" s="7" t="str">
        <f t="shared" si="1345"/>
        <v>1Q11</v>
      </c>
      <c r="T331" s="7" t="str">
        <f t="shared" si="1345"/>
        <v>2Q11</v>
      </c>
      <c r="U331" s="7" t="str">
        <f t="shared" si="1345"/>
        <v>3Q11</v>
      </c>
      <c r="V331" s="7" t="str">
        <f t="shared" si="1345"/>
        <v>4Q11</v>
      </c>
      <c r="W331" s="7" t="str">
        <f t="shared" si="1345"/>
        <v>1Q12</v>
      </c>
      <c r="X331" s="7" t="str">
        <f t="shared" si="1345"/>
        <v>2Q12</v>
      </c>
      <c r="Y331" s="7" t="str">
        <f t="shared" si="1345"/>
        <v>3Q12</v>
      </c>
      <c r="Z331" s="7" t="str">
        <f t="shared" si="1345"/>
        <v>4Q12</v>
      </c>
      <c r="AA331" s="7" t="str">
        <f t="shared" si="1345"/>
        <v>1Q13</v>
      </c>
      <c r="AB331" s="7" t="str">
        <f t="shared" si="1345"/>
        <v>2Q13</v>
      </c>
      <c r="AC331" s="7" t="str">
        <f t="shared" si="1345"/>
        <v>3Q13</v>
      </c>
      <c r="AD331" s="7" t="str">
        <f t="shared" si="1345"/>
        <v>4Q13</v>
      </c>
      <c r="AE331" s="7" t="str">
        <f t="shared" si="1345"/>
        <v>1Q14</v>
      </c>
      <c r="AF331" s="7" t="str">
        <f t="shared" si="1345"/>
        <v>2Q14</v>
      </c>
      <c r="AG331" s="7" t="str">
        <f t="shared" si="1345"/>
        <v>3Q14</v>
      </c>
      <c r="AH331" s="7" t="str">
        <f t="shared" si="1345"/>
        <v>4Q14</v>
      </c>
      <c r="AI331" s="7" t="str">
        <f t="shared" si="1345"/>
        <v>1Q15</v>
      </c>
      <c r="AJ331" s="7" t="str">
        <f t="shared" si="1345"/>
        <v>2Q15</v>
      </c>
      <c r="AK331" s="7" t="str">
        <f t="shared" si="1345"/>
        <v>3Q15</v>
      </c>
      <c r="AL331" s="7" t="str">
        <f t="shared" si="1345"/>
        <v>4Q15</v>
      </c>
      <c r="AM331" s="7" t="str">
        <f t="shared" si="1345"/>
        <v>1Q16</v>
      </c>
      <c r="AN331" s="7" t="str">
        <f t="shared" si="1345"/>
        <v>2Q16</v>
      </c>
      <c r="AO331" s="7" t="str">
        <f t="shared" si="1345"/>
        <v>3Q16</v>
      </c>
      <c r="AP331" s="7" t="str">
        <f t="shared" si="1345"/>
        <v>4Q16</v>
      </c>
      <c r="AQ331" s="7" t="str">
        <f t="shared" si="1345"/>
        <v>1Q17</v>
      </c>
      <c r="AR331" s="7" t="str">
        <f t="shared" si="1345"/>
        <v>2Q17</v>
      </c>
      <c r="AS331" s="7" t="str">
        <f t="shared" si="1345"/>
        <v>3Q17</v>
      </c>
      <c r="AT331" s="7" t="str">
        <f t="shared" si="1345"/>
        <v>4Q17</v>
      </c>
      <c r="AU331" s="7" t="str">
        <f t="shared" si="1345"/>
        <v>1Q18E</v>
      </c>
      <c r="AV331" s="7" t="str">
        <f t="shared" si="1345"/>
        <v>2Q18E</v>
      </c>
      <c r="AW331" s="7" t="str">
        <f t="shared" si="1345"/>
        <v>3Q18E</v>
      </c>
      <c r="AX331" s="7" t="str">
        <f t="shared" si="1345"/>
        <v>4Q18E</v>
      </c>
      <c r="AY331" s="7" t="str">
        <f t="shared" si="1345"/>
        <v>1Q19E</v>
      </c>
      <c r="AZ331" s="7" t="str">
        <f t="shared" si="1345"/>
        <v>2Q19E</v>
      </c>
      <c r="BA331" s="7" t="str">
        <f t="shared" si="1345"/>
        <v>3Q19E</v>
      </c>
      <c r="BB331" s="7" t="str">
        <f t="shared" si="1345"/>
        <v>4Q19E</v>
      </c>
      <c r="BC331" s="7" t="str">
        <f t="shared" si="1345"/>
        <v>1Q20E</v>
      </c>
      <c r="BD331" s="7" t="str">
        <f t="shared" si="1345"/>
        <v>2Q20E</v>
      </c>
      <c r="BE331" s="7" t="str">
        <f t="shared" si="1345"/>
        <v>3Q20E</v>
      </c>
      <c r="BF331" s="7" t="str">
        <f t="shared" si="1345"/>
        <v>4Q20E</v>
      </c>
      <c r="BI331">
        <f t="shared" si="1207"/>
        <v>324</v>
      </c>
    </row>
    <row r="332" spans="1:67" outlineLevel="1">
      <c r="A332" s="35" t="s">
        <v>65</v>
      </c>
      <c r="B332" s="36" t="s">
        <v>253</v>
      </c>
      <c r="BI332">
        <f t="shared" si="1207"/>
        <v>325</v>
      </c>
    </row>
    <row r="333" spans="1:67" outlineLevel="1">
      <c r="A333" s="35"/>
      <c r="B333" s="29" t="s">
        <v>196</v>
      </c>
      <c r="C333" s="54">
        <f t="shared" ref="C333" si="1346">C334+C328</f>
        <v>2586.357</v>
      </c>
      <c r="D333" s="54">
        <f t="shared" ref="D333" si="1347">D334+D328</f>
        <v>3019.1309999999999</v>
      </c>
      <c r="E333" s="54">
        <f t="shared" ref="E333" si="1348">E334+E328</f>
        <v>3339.4069999999997</v>
      </c>
      <c r="F333" s="54">
        <f t="shared" ref="F333" si="1349">F334+F328</f>
        <v>3448.4969999999998</v>
      </c>
      <c r="G333" s="54">
        <f t="shared" ref="G333" si="1350">G334+G328</f>
        <v>3891.3100000000004</v>
      </c>
      <c r="H333" s="54">
        <f t="shared" ref="H333" si="1351">H334+H328</f>
        <v>3416.1310000000003</v>
      </c>
      <c r="I333" s="54">
        <f t="shared" ref="I333" si="1352">I334+I328</f>
        <v>2847.1609999999996</v>
      </c>
      <c r="J333" s="54">
        <f t="shared" ref="J333" si="1353">J334+J328</f>
        <v>4849.2759999999998</v>
      </c>
      <c r="K333" s="54">
        <f t="shared" ref="K333" si="1354">K334+K328</f>
        <v>5089.1770821698574</v>
      </c>
      <c r="L333" s="54">
        <f t="shared" ref="L333" si="1355">L334+L328</f>
        <v>5243.6974667794584</v>
      </c>
      <c r="M333" s="54">
        <f t="shared" ref="M333:AR333" si="1356">M334+M328</f>
        <v>5188.8980503145503</v>
      </c>
      <c r="O333" s="54">
        <f t="shared" si="1356"/>
        <v>2087.2019999999998</v>
      </c>
      <c r="P333" s="54">
        <f t="shared" si="1356"/>
        <v>2108.422</v>
      </c>
      <c r="Q333" s="54">
        <f t="shared" si="1356"/>
        <v>2234.1390000000001</v>
      </c>
      <c r="R333" s="54">
        <f t="shared" si="1356"/>
        <v>2586.357</v>
      </c>
      <c r="S333" s="54">
        <f t="shared" si="1356"/>
        <v>2656.37</v>
      </c>
      <c r="T333" s="54">
        <f t="shared" si="1356"/>
        <v>2747.31</v>
      </c>
      <c r="U333" s="54">
        <f t="shared" si="1356"/>
        <v>2837.5330000000004</v>
      </c>
      <c r="V333" s="54">
        <f t="shared" si="1356"/>
        <v>3019.1309999999999</v>
      </c>
      <c r="W333" s="54">
        <f t="shared" si="1356"/>
        <v>3112.9749999999999</v>
      </c>
      <c r="X333" s="54">
        <f t="shared" si="1356"/>
        <v>3229.2830000000004</v>
      </c>
      <c r="Y333" s="54">
        <f t="shared" si="1356"/>
        <v>3244.1679999999997</v>
      </c>
      <c r="Z333" s="54">
        <f t="shared" si="1356"/>
        <v>3339.4069999999997</v>
      </c>
      <c r="AA333" s="54">
        <f t="shared" si="1356"/>
        <v>3396.8330000000001</v>
      </c>
      <c r="AB333" s="54">
        <f t="shared" si="1356"/>
        <v>3427.09</v>
      </c>
      <c r="AC333" s="54">
        <f t="shared" si="1356"/>
        <v>3438.875</v>
      </c>
      <c r="AD333" s="54">
        <f t="shared" si="1356"/>
        <v>3448.4969999999998</v>
      </c>
      <c r="AE333" s="54">
        <f t="shared" si="1356"/>
        <v>3479.67</v>
      </c>
      <c r="AF333" s="54">
        <f t="shared" si="1356"/>
        <v>3534.944</v>
      </c>
      <c r="AG333" s="54">
        <f t="shared" si="1356"/>
        <v>3544.46</v>
      </c>
      <c r="AH333" s="54">
        <f t="shared" si="1356"/>
        <v>3891.3100000000004</v>
      </c>
      <c r="AI333" s="54">
        <f t="shared" si="1356"/>
        <v>3778.5380000000005</v>
      </c>
      <c r="AJ333" s="54">
        <f t="shared" si="1356"/>
        <v>3740.5119999999997</v>
      </c>
      <c r="AK333" s="54">
        <f t="shared" si="1356"/>
        <v>3496.0969999999998</v>
      </c>
      <c r="AL333" s="54">
        <f t="shared" si="1356"/>
        <v>3416.1310000000003</v>
      </c>
      <c r="AM333" s="54">
        <f t="shared" si="1356"/>
        <v>3331.011</v>
      </c>
      <c r="AN333" s="54">
        <f t="shared" si="1356"/>
        <v>3228.72</v>
      </c>
      <c r="AO333" s="54">
        <f t="shared" si="1356"/>
        <v>2937.4770000000003</v>
      </c>
      <c r="AP333" s="54">
        <f t="shared" si="1356"/>
        <v>2847.1609999999996</v>
      </c>
      <c r="AQ333" s="54">
        <f t="shared" si="1356"/>
        <v>3260.1330000000003</v>
      </c>
      <c r="AR333" s="54">
        <f t="shared" si="1356"/>
        <v>4331.4129999999996</v>
      </c>
      <c r="AS333" s="54">
        <f>AS334+AS328</f>
        <v>4335.8990000000003</v>
      </c>
      <c r="AT333" s="54">
        <f>AT334+AT328</f>
        <v>4849.2759999999998</v>
      </c>
      <c r="AU333" s="54">
        <f t="shared" ref="AU333:BF333" si="1357">AU334+AU328</f>
        <v>5084.9875034967336</v>
      </c>
      <c r="AV333" s="54">
        <f t="shared" si="1357"/>
        <v>5074.3880563888852</v>
      </c>
      <c r="AW333" s="54">
        <f t="shared" si="1357"/>
        <v>5074.0262443452211</v>
      </c>
      <c r="AX333" s="54">
        <f t="shared" si="1357"/>
        <v>5089.1770821698574</v>
      </c>
      <c r="AY333" s="54">
        <f t="shared" si="1357"/>
        <v>5111.3072799490528</v>
      </c>
      <c r="AZ333" s="54">
        <f t="shared" si="1357"/>
        <v>5146.1044117659803</v>
      </c>
      <c r="BA333" s="54">
        <f t="shared" si="1357"/>
        <v>5193.1937161934911</v>
      </c>
      <c r="BB333" s="54">
        <f t="shared" si="1357"/>
        <v>5243.6974667794584</v>
      </c>
      <c r="BC333" s="54">
        <f t="shared" si="1357"/>
        <v>5298.0833450927657</v>
      </c>
      <c r="BD333" s="54">
        <f t="shared" si="1357"/>
        <v>5356.1830461907739</v>
      </c>
      <c r="BE333" s="54">
        <f t="shared" si="1357"/>
        <v>5119.4860030084674</v>
      </c>
      <c r="BF333" s="54">
        <f t="shared" si="1357"/>
        <v>5188.8980503145503</v>
      </c>
      <c r="BI333">
        <f t="shared" si="1207"/>
        <v>326</v>
      </c>
    </row>
    <row r="334" spans="1:67" outlineLevel="1">
      <c r="A334" s="35"/>
      <c r="B334" s="29" t="s">
        <v>197</v>
      </c>
      <c r="C334" s="54">
        <f t="shared" ref="C334:L334" si="1358">+C315+C320</f>
        <v>398.75</v>
      </c>
      <c r="D334" s="54">
        <f t="shared" si="1358"/>
        <v>502.5</v>
      </c>
      <c r="E334" s="54">
        <f t="shared" si="1358"/>
        <v>698.75</v>
      </c>
      <c r="F334" s="54">
        <f t="shared" si="1358"/>
        <v>692.5</v>
      </c>
      <c r="G334" s="54">
        <f t="shared" si="1358"/>
        <v>985.5</v>
      </c>
      <c r="H334" s="54">
        <f t="shared" si="1358"/>
        <v>855</v>
      </c>
      <c r="I334" s="54">
        <f t="shared" si="1358"/>
        <v>598.43700000000001</v>
      </c>
      <c r="J334" s="54">
        <f t="shared" si="1358"/>
        <v>866.78300000000002</v>
      </c>
      <c r="K334" s="54">
        <f t="shared" si="1358"/>
        <v>1123.7829999999999</v>
      </c>
      <c r="L334" s="54">
        <f t="shared" si="1358"/>
        <v>1123.7829999999999</v>
      </c>
      <c r="M334" s="54">
        <f t="shared" ref="M334" si="1359">+M315+M320</f>
        <v>823.78300000000002</v>
      </c>
      <c r="O334" s="54">
        <f t="shared" ref="O334:AR334" si="1360">+O315+O320</f>
        <v>0</v>
      </c>
      <c r="P334" s="54">
        <f t="shared" si="1360"/>
        <v>0</v>
      </c>
      <c r="Q334" s="54">
        <f t="shared" si="1360"/>
        <v>100</v>
      </c>
      <c r="R334" s="54">
        <f t="shared" si="1360"/>
        <v>398.75</v>
      </c>
      <c r="S334" s="54">
        <f t="shared" si="1360"/>
        <v>397.5</v>
      </c>
      <c r="T334" s="54">
        <f t="shared" si="1360"/>
        <v>396.25</v>
      </c>
      <c r="U334" s="54">
        <f t="shared" si="1360"/>
        <v>410.8</v>
      </c>
      <c r="V334" s="54">
        <f t="shared" si="1360"/>
        <v>502.5</v>
      </c>
      <c r="W334" s="54">
        <f t="shared" si="1360"/>
        <v>498.5</v>
      </c>
      <c r="X334" s="54">
        <f t="shared" si="1360"/>
        <v>600</v>
      </c>
      <c r="Y334" s="54">
        <f t="shared" si="1360"/>
        <v>600</v>
      </c>
      <c r="Z334" s="54">
        <f t="shared" si="1360"/>
        <v>698.75</v>
      </c>
      <c r="AA334" s="54">
        <f t="shared" si="1360"/>
        <v>697.5</v>
      </c>
      <c r="AB334" s="54">
        <f t="shared" si="1360"/>
        <v>696.25</v>
      </c>
      <c r="AC334" s="54">
        <f t="shared" si="1360"/>
        <v>695</v>
      </c>
      <c r="AD334" s="54">
        <f t="shared" si="1360"/>
        <v>692.5</v>
      </c>
      <c r="AE334" s="54">
        <f t="shared" si="1360"/>
        <v>690</v>
      </c>
      <c r="AF334" s="54">
        <f t="shared" si="1360"/>
        <v>687.5</v>
      </c>
      <c r="AG334" s="54">
        <f t="shared" si="1360"/>
        <v>685</v>
      </c>
      <c r="AH334" s="54">
        <f t="shared" si="1360"/>
        <v>985.5</v>
      </c>
      <c r="AI334" s="54">
        <f t="shared" si="1360"/>
        <v>880</v>
      </c>
      <c r="AJ334" s="54">
        <f t="shared" si="1360"/>
        <v>872.5</v>
      </c>
      <c r="AK334" s="54">
        <f t="shared" si="1360"/>
        <v>865</v>
      </c>
      <c r="AL334" s="54">
        <f t="shared" si="1360"/>
        <v>855</v>
      </c>
      <c r="AM334" s="54">
        <f t="shared" si="1360"/>
        <v>841.529</v>
      </c>
      <c r="AN334" s="54">
        <f t="shared" si="1360"/>
        <v>826.89</v>
      </c>
      <c r="AO334" s="54">
        <f t="shared" si="1360"/>
        <v>613.351</v>
      </c>
      <c r="AP334" s="54">
        <f t="shared" si="1360"/>
        <v>598.43700000000001</v>
      </c>
      <c r="AQ334" s="54">
        <f t="shared" si="1360"/>
        <v>598.524</v>
      </c>
      <c r="AR334" s="54">
        <f t="shared" si="1360"/>
        <v>713.61</v>
      </c>
      <c r="AS334" s="54">
        <f>+AS315+AS320</f>
        <v>742.697</v>
      </c>
      <c r="AT334" s="54">
        <f>+AT315+AT320</f>
        <v>866.78300000000002</v>
      </c>
      <c r="AU334" s="54">
        <f t="shared" ref="AU334:BF334" si="1361">+AU315+AU320</f>
        <v>1123.7829999999999</v>
      </c>
      <c r="AV334" s="54">
        <f t="shared" si="1361"/>
        <v>1123.7829999999999</v>
      </c>
      <c r="AW334" s="54">
        <f t="shared" si="1361"/>
        <v>1123.7829999999999</v>
      </c>
      <c r="AX334" s="54">
        <f t="shared" si="1361"/>
        <v>1123.7829999999999</v>
      </c>
      <c r="AY334" s="54">
        <f t="shared" si="1361"/>
        <v>1123.7829999999999</v>
      </c>
      <c r="AZ334" s="54">
        <f t="shared" si="1361"/>
        <v>1123.7829999999999</v>
      </c>
      <c r="BA334" s="54">
        <f t="shared" si="1361"/>
        <v>1123.7829999999999</v>
      </c>
      <c r="BB334" s="54">
        <f t="shared" si="1361"/>
        <v>1123.7829999999999</v>
      </c>
      <c r="BC334" s="54">
        <f t="shared" si="1361"/>
        <v>1123.7829999999999</v>
      </c>
      <c r="BD334" s="54">
        <f t="shared" si="1361"/>
        <v>1123.7829999999999</v>
      </c>
      <c r="BE334" s="54">
        <f t="shared" si="1361"/>
        <v>823.78300000000002</v>
      </c>
      <c r="BF334" s="54">
        <f t="shared" si="1361"/>
        <v>823.78300000000002</v>
      </c>
      <c r="BI334">
        <f t="shared" si="1207"/>
        <v>327</v>
      </c>
    </row>
    <row r="335" spans="1:67" outlineLevel="1">
      <c r="A335" s="35"/>
      <c r="B335" s="29" t="s">
        <v>198</v>
      </c>
      <c r="C335" s="54">
        <f t="shared" ref="C335:L335" si="1362">C334-C300</f>
        <v>371.13799999999998</v>
      </c>
      <c r="D335" s="54">
        <f t="shared" si="1362"/>
        <v>478.55399999999997</v>
      </c>
      <c r="E335" s="54">
        <f t="shared" si="1362"/>
        <v>588.02700000000004</v>
      </c>
      <c r="F335" s="54">
        <f t="shared" si="1362"/>
        <v>442.99099999999999</v>
      </c>
      <c r="G335" s="54">
        <f t="shared" si="1362"/>
        <v>942.48800000000006</v>
      </c>
      <c r="H335" s="54">
        <f t="shared" si="1362"/>
        <v>741.654</v>
      </c>
      <c r="I335" s="54">
        <f t="shared" si="1362"/>
        <v>563.28499999999997</v>
      </c>
      <c r="J335" s="54">
        <f t="shared" si="1362"/>
        <v>823.95500000000004</v>
      </c>
      <c r="K335" s="54">
        <f t="shared" si="1362"/>
        <v>784.64091471929873</v>
      </c>
      <c r="L335" s="54">
        <f t="shared" si="1362"/>
        <v>602.38140192166338</v>
      </c>
      <c r="M335" s="54">
        <f>M334-M300</f>
        <v>195.61095526893621</v>
      </c>
      <c r="O335" s="54">
        <f>O334-O300</f>
        <v>-63.884</v>
      </c>
      <c r="P335" s="54">
        <f t="shared" ref="P335:BF335" si="1363">P334-P300</f>
        <v>-95.978999999999999</v>
      </c>
      <c r="Q335" s="54">
        <f t="shared" si="1363"/>
        <v>26.084000000000003</v>
      </c>
      <c r="R335" s="54">
        <f t="shared" si="1363"/>
        <v>371.13799999999998</v>
      </c>
      <c r="S335" s="54">
        <f t="shared" si="1363"/>
        <v>359.83</v>
      </c>
      <c r="T335" s="54">
        <f t="shared" si="1363"/>
        <v>331.666</v>
      </c>
      <c r="U335" s="54">
        <f t="shared" si="1363"/>
        <v>400.15500000000003</v>
      </c>
      <c r="V335" s="54">
        <f t="shared" si="1363"/>
        <v>478.55399999999997</v>
      </c>
      <c r="W335" s="54">
        <f t="shared" si="1363"/>
        <v>480.67500000000001</v>
      </c>
      <c r="X335" s="54">
        <f t="shared" si="1363"/>
        <v>524.70100000000002</v>
      </c>
      <c r="Y335" s="54">
        <f t="shared" si="1363"/>
        <v>516.52700000000004</v>
      </c>
      <c r="Z335" s="54">
        <f t="shared" si="1363"/>
        <v>588.02700000000004</v>
      </c>
      <c r="AA335" s="54">
        <f t="shared" si="1363"/>
        <v>553.46900000000005</v>
      </c>
      <c r="AB335" s="54">
        <f t="shared" si="1363"/>
        <v>547.37300000000005</v>
      </c>
      <c r="AC335" s="54">
        <f t="shared" si="1363"/>
        <v>490.36400000000003</v>
      </c>
      <c r="AD335" s="54">
        <f t="shared" si="1363"/>
        <v>442.99099999999999</v>
      </c>
      <c r="AE335" s="54">
        <f t="shared" si="1363"/>
        <v>432.25400000000002</v>
      </c>
      <c r="AF335" s="54">
        <f t="shared" si="1363"/>
        <v>566.66300000000001</v>
      </c>
      <c r="AG335" s="54">
        <f t="shared" si="1363"/>
        <v>646.40599999999995</v>
      </c>
      <c r="AH335" s="54">
        <f t="shared" si="1363"/>
        <v>942.48800000000006</v>
      </c>
      <c r="AI335" s="54">
        <f t="shared" si="1363"/>
        <v>793.08299999999997</v>
      </c>
      <c r="AJ335" s="54">
        <f t="shared" si="1363"/>
        <v>795.99400000000003</v>
      </c>
      <c r="AK335" s="54">
        <f t="shared" si="1363"/>
        <v>788.53499999999997</v>
      </c>
      <c r="AL335" s="54">
        <f t="shared" si="1363"/>
        <v>741.654</v>
      </c>
      <c r="AM335" s="54">
        <f t="shared" si="1363"/>
        <v>654.97199999999998</v>
      </c>
      <c r="AN335" s="54">
        <f t="shared" si="1363"/>
        <v>617.26299999999992</v>
      </c>
      <c r="AO335" s="54">
        <f t="shared" si="1363"/>
        <v>576.37900000000002</v>
      </c>
      <c r="AP335" s="54">
        <f t="shared" si="1363"/>
        <v>563.28499999999997</v>
      </c>
      <c r="AQ335" s="54">
        <f t="shared" si="1363"/>
        <v>131.916</v>
      </c>
      <c r="AR335" s="54">
        <f t="shared" si="1363"/>
        <v>673.47800000000007</v>
      </c>
      <c r="AS335" s="54">
        <f t="shared" si="1363"/>
        <v>704.85799999999995</v>
      </c>
      <c r="AT335" s="54">
        <f t="shared" ref="AT335" si="1364">AT334-AT300</f>
        <v>823.95500000000004</v>
      </c>
      <c r="AU335" s="54">
        <f t="shared" si="1363"/>
        <v>814.78692190690231</v>
      </c>
      <c r="AV335" s="54">
        <f t="shared" si="1363"/>
        <v>816.70640919616153</v>
      </c>
      <c r="AW335" s="54">
        <f t="shared" si="1363"/>
        <v>808.8218693656197</v>
      </c>
      <c r="AX335" s="54">
        <f t="shared" si="1363"/>
        <v>784.64091471929873</v>
      </c>
      <c r="AY335" s="54">
        <f t="shared" si="1363"/>
        <v>733.18022227051938</v>
      </c>
      <c r="AZ335" s="54">
        <f t="shared" si="1363"/>
        <v>663.74733783170996</v>
      </c>
      <c r="BA335" s="54">
        <f t="shared" si="1363"/>
        <v>638.65887020398918</v>
      </c>
      <c r="BB335" s="54">
        <f t="shared" si="1363"/>
        <v>602.38140192166338</v>
      </c>
      <c r="BC335" s="54">
        <f t="shared" si="1363"/>
        <v>512.31993188490037</v>
      </c>
      <c r="BD335" s="54">
        <f t="shared" si="1363"/>
        <v>410.3715684857732</v>
      </c>
      <c r="BE335" s="54">
        <f t="shared" si="1363"/>
        <v>303.20984932025567</v>
      </c>
      <c r="BF335" s="54">
        <f t="shared" si="1363"/>
        <v>195.61095526893621</v>
      </c>
      <c r="BI335">
        <f t="shared" si="1207"/>
        <v>328</v>
      </c>
    </row>
    <row r="336" spans="1:67" outlineLevel="1">
      <c r="A336" s="35"/>
      <c r="B336" s="46" t="s">
        <v>199</v>
      </c>
      <c r="C336" s="68">
        <f t="shared" ref="C336:L336" si="1365">C334/C333</f>
        <v>0.15417438505202491</v>
      </c>
      <c r="D336" s="68">
        <f t="shared" si="1365"/>
        <v>0.16643862091442871</v>
      </c>
      <c r="E336" s="68">
        <f t="shared" si="1365"/>
        <v>0.20924373698683629</v>
      </c>
      <c r="F336" s="68">
        <f t="shared" si="1365"/>
        <v>0.20081212191862136</v>
      </c>
      <c r="G336" s="68">
        <f t="shared" si="1365"/>
        <v>0.2532566153814525</v>
      </c>
      <c r="H336" s="68">
        <f t="shared" si="1365"/>
        <v>0.25028314195210893</v>
      </c>
      <c r="I336" s="68">
        <f t="shared" si="1365"/>
        <v>0.21018727075848542</v>
      </c>
      <c r="J336" s="68">
        <f t="shared" si="1365"/>
        <v>0.17874482706284403</v>
      </c>
      <c r="K336" s="68">
        <f t="shared" si="1365"/>
        <v>0.22081821517612743</v>
      </c>
      <c r="L336" s="68">
        <f t="shared" si="1365"/>
        <v>0.21431118158885662</v>
      </c>
      <c r="M336" s="68">
        <f t="shared" ref="M336" si="1366">M334/M333</f>
        <v>0.15875875610045226</v>
      </c>
      <c r="O336" s="68">
        <f t="shared" ref="O336:AR336" si="1367">O334/O333</f>
        <v>0</v>
      </c>
      <c r="P336" s="68">
        <f t="shared" si="1367"/>
        <v>0</v>
      </c>
      <c r="Q336" s="68">
        <f t="shared" si="1367"/>
        <v>4.4759972409953004E-2</v>
      </c>
      <c r="R336" s="68">
        <f t="shared" si="1367"/>
        <v>0.15417438505202491</v>
      </c>
      <c r="S336" s="68">
        <f t="shared" si="1367"/>
        <v>0.14964029860298075</v>
      </c>
      <c r="T336" s="68">
        <f t="shared" si="1367"/>
        <v>0.14423199420524077</v>
      </c>
      <c r="U336" s="68">
        <f t="shared" si="1367"/>
        <v>0.14477364668534251</v>
      </c>
      <c r="V336" s="68">
        <f t="shared" si="1367"/>
        <v>0.16643862091442871</v>
      </c>
      <c r="W336" s="68">
        <f t="shared" si="1367"/>
        <v>0.16013620411342847</v>
      </c>
      <c r="X336" s="68">
        <f t="shared" si="1367"/>
        <v>0.18579975802678178</v>
      </c>
      <c r="Y336" s="68">
        <f t="shared" si="1367"/>
        <v>0.18494726536973427</v>
      </c>
      <c r="Z336" s="68">
        <f t="shared" si="1367"/>
        <v>0.20924373698683629</v>
      </c>
      <c r="AA336" s="68">
        <f t="shared" si="1367"/>
        <v>0.20533832543430897</v>
      </c>
      <c r="AB336" s="68">
        <f t="shared" si="1367"/>
        <v>0.20316069901870099</v>
      </c>
      <c r="AC336" s="68">
        <f t="shared" si="1367"/>
        <v>0.20210097779070191</v>
      </c>
      <c r="AD336" s="68">
        <f t="shared" si="1367"/>
        <v>0.20081212191862136</v>
      </c>
      <c r="AE336" s="68">
        <f t="shared" si="1367"/>
        <v>0.19829466587348799</v>
      </c>
      <c r="AF336" s="68">
        <f t="shared" si="1367"/>
        <v>0.19448681506694307</v>
      </c>
      <c r="AG336" s="68">
        <f t="shared" si="1367"/>
        <v>0.19325933992766176</v>
      </c>
      <c r="AH336" s="68">
        <f t="shared" si="1367"/>
        <v>0.2532566153814525</v>
      </c>
      <c r="AI336" s="68">
        <f t="shared" si="1367"/>
        <v>0.23289430991563401</v>
      </c>
      <c r="AJ336" s="68">
        <f t="shared" si="1367"/>
        <v>0.23325683756662191</v>
      </c>
      <c r="AK336" s="68">
        <f t="shared" si="1367"/>
        <v>0.24741876441071287</v>
      </c>
      <c r="AL336" s="68">
        <f t="shared" si="1367"/>
        <v>0.25028314195210893</v>
      </c>
      <c r="AM336" s="68">
        <f t="shared" si="1367"/>
        <v>0.25263471060287701</v>
      </c>
      <c r="AN336" s="68">
        <f t="shared" si="1367"/>
        <v>0.2561045863376199</v>
      </c>
      <c r="AO336" s="68">
        <f t="shared" si="1367"/>
        <v>0.20880197530057254</v>
      </c>
      <c r="AP336" s="68">
        <f t="shared" si="1367"/>
        <v>0.21018727075848542</v>
      </c>
      <c r="AQ336" s="68">
        <f t="shared" si="1367"/>
        <v>0.18358882904470461</v>
      </c>
      <c r="AR336" s="68">
        <f t="shared" si="1367"/>
        <v>0.16475224135865135</v>
      </c>
      <c r="AS336" s="68">
        <f>AS334/AS333</f>
        <v>0.17129019841098697</v>
      </c>
      <c r="AT336" s="68">
        <f>AT334/AT333</f>
        <v>0.17874482706284403</v>
      </c>
      <c r="AU336" s="68">
        <f t="shared" ref="AU336:BF336" si="1368">AU334/AU333</f>
        <v>0.2210001497992318</v>
      </c>
      <c r="AV336" s="68">
        <f t="shared" si="1368"/>
        <v>0.22146177775763642</v>
      </c>
      <c r="AW336" s="68">
        <f t="shared" si="1368"/>
        <v>0.22147756946515729</v>
      </c>
      <c r="AX336" s="68">
        <f t="shared" si="1368"/>
        <v>0.22081821517612743</v>
      </c>
      <c r="AY336" s="68">
        <f t="shared" si="1368"/>
        <v>0.21986214845827098</v>
      </c>
      <c r="AZ336" s="68">
        <f t="shared" si="1368"/>
        <v>0.21837547590962172</v>
      </c>
      <c r="BA336" s="68">
        <f t="shared" si="1368"/>
        <v>0.21639535542373542</v>
      </c>
      <c r="BB336" s="68">
        <f t="shared" si="1368"/>
        <v>0.21431118158885662</v>
      </c>
      <c r="BC336" s="68">
        <f t="shared" si="1368"/>
        <v>0.21211123472432336</v>
      </c>
      <c r="BD336" s="68">
        <f t="shared" si="1368"/>
        <v>0.20981041728945676</v>
      </c>
      <c r="BE336" s="68">
        <f t="shared" si="1368"/>
        <v>0.16091127107602282</v>
      </c>
      <c r="BF336" s="68">
        <f t="shared" si="1368"/>
        <v>0.15875875610045226</v>
      </c>
      <c r="BI336">
        <f t="shared" si="1207"/>
        <v>329</v>
      </c>
    </row>
    <row r="337" spans="1:61" outlineLevel="1">
      <c r="A337" s="35"/>
      <c r="B337" s="29" t="s">
        <v>200</v>
      </c>
      <c r="C337" s="68">
        <f t="shared" ref="C337:L337" si="1369">(C335/(C333-C300))</f>
        <v>0.1450468882205925</v>
      </c>
      <c r="D337" s="68">
        <f t="shared" si="1369"/>
        <v>0.15977443797294658</v>
      </c>
      <c r="E337" s="68">
        <f t="shared" si="1369"/>
        <v>0.18212590640644921</v>
      </c>
      <c r="F337" s="68">
        <f t="shared" si="1369"/>
        <v>0.13847848131971735</v>
      </c>
      <c r="G337" s="68">
        <f t="shared" si="1369"/>
        <v>0.24491034737954284</v>
      </c>
      <c r="H337" s="68">
        <f t="shared" si="1369"/>
        <v>0.22455412629038823</v>
      </c>
      <c r="I337" s="68">
        <f t="shared" si="1369"/>
        <v>0.2003140814983167</v>
      </c>
      <c r="J337" s="68">
        <f t="shared" si="1369"/>
        <v>0.17142700805251615</v>
      </c>
      <c r="K337" s="68">
        <f t="shared" si="1369"/>
        <v>0.16518634393918522</v>
      </c>
      <c r="L337" s="68">
        <f t="shared" si="1369"/>
        <v>0.12756113099862795</v>
      </c>
      <c r="M337" s="68">
        <f>(M335/(M333-M300))</f>
        <v>4.2890310671910292E-2</v>
      </c>
      <c r="O337" s="68">
        <f>(O335/(O333-O300))</f>
        <v>-3.1573880131546307E-2</v>
      </c>
      <c r="P337" s="68">
        <f t="shared" ref="P337:BF337" si="1370">(P335/(P333-P300))</f>
        <v>-4.7692779373130073E-2</v>
      </c>
      <c r="Q337" s="68">
        <f t="shared" si="1370"/>
        <v>1.2074679327087992E-2</v>
      </c>
      <c r="R337" s="68">
        <f t="shared" si="1370"/>
        <v>0.1450468882205925</v>
      </c>
      <c r="S337" s="68">
        <f t="shared" si="1370"/>
        <v>0.13740787413602171</v>
      </c>
      <c r="T337" s="68">
        <f t="shared" si="1370"/>
        <v>0.12363021792013049</v>
      </c>
      <c r="U337" s="68">
        <f t="shared" si="1370"/>
        <v>0.14155318498645861</v>
      </c>
      <c r="V337" s="68">
        <f t="shared" si="1370"/>
        <v>0.15977443797294658</v>
      </c>
      <c r="W337" s="68">
        <f t="shared" si="1370"/>
        <v>0.15529942006041711</v>
      </c>
      <c r="X337" s="68">
        <f t="shared" si="1370"/>
        <v>0.16636133854832491</v>
      </c>
      <c r="Y337" s="68">
        <f t="shared" si="1370"/>
        <v>0.16342196890240915</v>
      </c>
      <c r="Z337" s="68">
        <f t="shared" si="1370"/>
        <v>0.18212590640644921</v>
      </c>
      <c r="AA337" s="68">
        <f t="shared" si="1370"/>
        <v>0.17015145711297522</v>
      </c>
      <c r="AB337" s="68">
        <f t="shared" si="1370"/>
        <v>0.1669729819264337</v>
      </c>
      <c r="AC337" s="68">
        <f t="shared" si="1370"/>
        <v>0.15161650082136788</v>
      </c>
      <c r="AD337" s="68">
        <f t="shared" si="1370"/>
        <v>0.13847848131971735</v>
      </c>
      <c r="AE337" s="68">
        <f t="shared" si="1370"/>
        <v>0.13416020986218175</v>
      </c>
      <c r="AF337" s="68">
        <f t="shared" si="1370"/>
        <v>0.16597693042426614</v>
      </c>
      <c r="AG337" s="68">
        <f t="shared" si="1370"/>
        <v>0.18437841035567246</v>
      </c>
      <c r="AH337" s="68">
        <f t="shared" si="1370"/>
        <v>0.24491034737954284</v>
      </c>
      <c r="AI337" s="68">
        <f t="shared" si="1370"/>
        <v>0.21483326701197111</v>
      </c>
      <c r="AJ337" s="68">
        <f t="shared" si="1370"/>
        <v>0.21724691498867635</v>
      </c>
      <c r="AK337" s="68">
        <f t="shared" si="1370"/>
        <v>0.2305906015618055</v>
      </c>
      <c r="AL337" s="68">
        <f t="shared" si="1370"/>
        <v>0.22455412629038823</v>
      </c>
      <c r="AM337" s="68">
        <f t="shared" si="1370"/>
        <v>0.20829434935286062</v>
      </c>
      <c r="AN337" s="68">
        <f t="shared" si="1370"/>
        <v>0.20445312549166256</v>
      </c>
      <c r="AO337" s="68">
        <f t="shared" si="1370"/>
        <v>0.19871677518225275</v>
      </c>
      <c r="AP337" s="68">
        <f t="shared" si="1370"/>
        <v>0.2003140814983167</v>
      </c>
      <c r="AQ337" s="68">
        <f t="shared" si="1370"/>
        <v>4.7222058152334413E-2</v>
      </c>
      <c r="AR337" s="68">
        <f t="shared" si="1370"/>
        <v>0.15694101598100896</v>
      </c>
      <c r="AS337" s="68">
        <f t="shared" si="1370"/>
        <v>0.16399445331149398</v>
      </c>
      <c r="AT337" s="68">
        <f t="shared" ref="AT337" si="1371">(AT335/(AT333-AT300))</f>
        <v>0.17142700805251615</v>
      </c>
      <c r="AU337" s="68">
        <f t="shared" si="1370"/>
        <v>0.17060058306910419</v>
      </c>
      <c r="AV337" s="68">
        <f t="shared" si="1370"/>
        <v>0.17131383487148241</v>
      </c>
      <c r="AW337" s="68">
        <f t="shared" si="1370"/>
        <v>0.16995394054084453</v>
      </c>
      <c r="AX337" s="68">
        <f t="shared" si="1370"/>
        <v>0.16518634393918522</v>
      </c>
      <c r="AY337" s="68">
        <f t="shared" si="1370"/>
        <v>0.15531161120671585</v>
      </c>
      <c r="AZ337" s="68">
        <f t="shared" si="1370"/>
        <v>0.14164268031464414</v>
      </c>
      <c r="BA337" s="68">
        <f t="shared" si="1370"/>
        <v>0.13565196063567064</v>
      </c>
      <c r="BB337" s="68">
        <f t="shared" si="1370"/>
        <v>0.12756113099862795</v>
      </c>
      <c r="BC337" s="68">
        <f t="shared" si="1370"/>
        <v>0.10931543449372179</v>
      </c>
      <c r="BD337" s="68">
        <f t="shared" si="1370"/>
        <v>8.8389350703472633E-2</v>
      </c>
      <c r="BE337" s="68">
        <f t="shared" si="1370"/>
        <v>6.5930766478151728E-2</v>
      </c>
      <c r="BF337" s="68">
        <f t="shared" si="1370"/>
        <v>4.2890310671910292E-2</v>
      </c>
      <c r="BI337">
        <f t="shared" si="1207"/>
        <v>330</v>
      </c>
    </row>
    <row r="338" spans="1:61" outlineLevel="1">
      <c r="A338" s="35"/>
      <c r="B338" s="46" t="s">
        <v>201</v>
      </c>
      <c r="C338" s="68">
        <f t="shared" ref="C338:L338" si="1372">C335/C328</f>
        <v>0.16965478717155319</v>
      </c>
      <c r="D338" s="68">
        <f t="shared" si="1372"/>
        <v>0.1901566022193957</v>
      </c>
      <c r="E338" s="68">
        <f t="shared" si="1372"/>
        <v>0.2226820825271893</v>
      </c>
      <c r="F338" s="68">
        <f t="shared" si="1372"/>
        <v>0.16073711255854053</v>
      </c>
      <c r="G338" s="68">
        <f t="shared" si="1372"/>
        <v>0.32434605153124257</v>
      </c>
      <c r="H338" s="68">
        <f t="shared" si="1372"/>
        <v>0.28958065792027032</v>
      </c>
      <c r="I338" s="68">
        <f t="shared" si="1372"/>
        <v>0.25049094508708053</v>
      </c>
      <c r="J338" s="68">
        <f t="shared" si="1372"/>
        <v>0.20689427451598788</v>
      </c>
      <c r="K338" s="68">
        <f t="shared" si="1372"/>
        <v>0.19787211521986853</v>
      </c>
      <c r="L338" s="68">
        <f t="shared" si="1372"/>
        <v>0.14621211357150957</v>
      </c>
      <c r="M338" s="68">
        <f>M335/M328</f>
        <v>4.4812325222640004E-2</v>
      </c>
      <c r="O338" s="68">
        <f>O335/O328</f>
        <v>-3.060748312813039E-2</v>
      </c>
      <c r="P338" s="68">
        <f t="shared" ref="P338:BF338" si="1373">P335/P328</f>
        <v>-4.5521721932326641E-2</v>
      </c>
      <c r="Q338" s="68">
        <f t="shared" si="1373"/>
        <v>1.2222259187428749E-2</v>
      </c>
      <c r="R338" s="68">
        <f t="shared" si="1373"/>
        <v>0.16965478717155319</v>
      </c>
      <c r="S338" s="68">
        <f t="shared" si="1373"/>
        <v>0.15929646239048728</v>
      </c>
      <c r="T338" s="68">
        <f t="shared" si="1373"/>
        <v>0.14107083613348873</v>
      </c>
      <c r="U338" s="68">
        <f t="shared" si="1373"/>
        <v>0.16489453104235199</v>
      </c>
      <c r="V338" s="68">
        <f t="shared" si="1373"/>
        <v>0.1901566022193957</v>
      </c>
      <c r="W338" s="68">
        <f t="shared" si="1373"/>
        <v>0.18385144245020513</v>
      </c>
      <c r="X338" s="68">
        <f t="shared" si="1373"/>
        <v>0.19956048854383493</v>
      </c>
      <c r="Y338" s="68">
        <f t="shared" si="1373"/>
        <v>0.19534575715310076</v>
      </c>
      <c r="Z338" s="68">
        <f t="shared" si="1373"/>
        <v>0.2226820825271893</v>
      </c>
      <c r="AA338" s="68">
        <f t="shared" si="1373"/>
        <v>0.20503917078774647</v>
      </c>
      <c r="AB338" s="68">
        <f t="shared" si="1373"/>
        <v>0.20044125617026265</v>
      </c>
      <c r="AC338" s="68">
        <f t="shared" si="1373"/>
        <v>0.17871222267778233</v>
      </c>
      <c r="AD338" s="68">
        <f t="shared" si="1373"/>
        <v>0.16073711255854053</v>
      </c>
      <c r="AE338" s="68">
        <f t="shared" si="1373"/>
        <v>0.15494807629576257</v>
      </c>
      <c r="AF338" s="68">
        <f t="shared" si="1373"/>
        <v>0.19900760120304387</v>
      </c>
      <c r="AG338" s="68">
        <f t="shared" si="1373"/>
        <v>0.22605876634049785</v>
      </c>
      <c r="AH338" s="68">
        <f t="shared" si="1373"/>
        <v>0.32434605153124257</v>
      </c>
      <c r="AI338" s="68">
        <f t="shared" si="1373"/>
        <v>0.27361483616913074</v>
      </c>
      <c r="AJ338" s="68">
        <f t="shared" si="1373"/>
        <v>0.27754207444041379</v>
      </c>
      <c r="AK338" s="68">
        <f t="shared" si="1373"/>
        <v>0.29969818672591703</v>
      </c>
      <c r="AL338" s="68">
        <f t="shared" si="1373"/>
        <v>0.28958065792027032</v>
      </c>
      <c r="AM338" s="68">
        <f t="shared" si="1373"/>
        <v>0.2630956962131078</v>
      </c>
      <c r="AN338" s="68">
        <f t="shared" si="1373"/>
        <v>0.25699695648734505</v>
      </c>
      <c r="AO338" s="68">
        <f t="shared" si="1373"/>
        <v>0.24799817221613629</v>
      </c>
      <c r="AP338" s="68">
        <f t="shared" si="1373"/>
        <v>0.25049094508708053</v>
      </c>
      <c r="AQ338" s="68">
        <f t="shared" si="1373"/>
        <v>4.9562501479368297E-2</v>
      </c>
      <c r="AR338" s="68">
        <f t="shared" si="1373"/>
        <v>0.18615662599649568</v>
      </c>
      <c r="AS338" s="68">
        <f t="shared" si="1373"/>
        <v>0.19616431249899113</v>
      </c>
      <c r="AT338" s="68">
        <f t="shared" ref="AT338" si="1374">AT335/AT328</f>
        <v>0.20689427451598788</v>
      </c>
      <c r="AU338" s="68">
        <f t="shared" si="1373"/>
        <v>0.2056917084658601</v>
      </c>
      <c r="AV338" s="68">
        <f t="shared" si="1373"/>
        <v>0.20672944967642132</v>
      </c>
      <c r="AW338" s="68">
        <f t="shared" si="1373"/>
        <v>0.20475242139163188</v>
      </c>
      <c r="AX338" s="68">
        <f t="shared" si="1373"/>
        <v>0.19787211521986853</v>
      </c>
      <c r="AY338" s="68">
        <f t="shared" si="1373"/>
        <v>0.18386852864000292</v>
      </c>
      <c r="AZ338" s="68">
        <f t="shared" si="1373"/>
        <v>0.16501598700942574</v>
      </c>
      <c r="BA338" s="68">
        <f t="shared" si="1373"/>
        <v>0.1569413644247214</v>
      </c>
      <c r="BB338" s="68">
        <f t="shared" si="1373"/>
        <v>0.14621211357150957</v>
      </c>
      <c r="BC338" s="68">
        <f t="shared" si="1373"/>
        <v>0.12273192859425523</v>
      </c>
      <c r="BD338" s="68">
        <f t="shared" si="1373"/>
        <v>9.6959541632912052E-2</v>
      </c>
      <c r="BE338" s="68">
        <f t="shared" si="1373"/>
        <v>7.0584453605825326E-2</v>
      </c>
      <c r="BF338" s="68">
        <f t="shared" si="1373"/>
        <v>4.4812325222640004E-2</v>
      </c>
      <c r="BI338">
        <f t="shared" si="1207"/>
        <v>331</v>
      </c>
    </row>
    <row r="339" spans="1:61" outlineLevel="1">
      <c r="A339" s="35"/>
      <c r="B339" s="46"/>
      <c r="BI339">
        <f t="shared" si="1207"/>
        <v>332</v>
      </c>
    </row>
    <row r="340" spans="1:61" outlineLevel="1">
      <c r="A340" s="35"/>
      <c r="B340" s="46" t="s">
        <v>202</v>
      </c>
      <c r="C340" s="99">
        <f t="shared" ref="C340:M340" si="1375">C335/C32</f>
        <v>0.72164980526589018</v>
      </c>
      <c r="D340" s="99">
        <f t="shared" si="1375"/>
        <v>0.49736380161320992</v>
      </c>
      <c r="E340" s="99">
        <f t="shared" si="1375"/>
        <v>0.5932062840661817</v>
      </c>
      <c r="F340" s="99">
        <f t="shared" si="1375"/>
        <v>0.52052471837630598</v>
      </c>
      <c r="G340" s="99">
        <f t="shared" si="1375"/>
        <v>0.95579747990771491</v>
      </c>
      <c r="H340" s="99">
        <f t="shared" si="1375"/>
        <v>1.4414259282293671</v>
      </c>
      <c r="I340" s="99">
        <f t="shared" si="1375"/>
        <v>3.2497461518934752</v>
      </c>
      <c r="J340" s="99">
        <f t="shared" si="1375"/>
        <v>1.5450208795474194</v>
      </c>
      <c r="K340" s="99">
        <f t="shared" si="1375"/>
        <v>0.90124013241493572</v>
      </c>
      <c r="L340" s="99">
        <f t="shared" si="1375"/>
        <v>0.50820254276972721</v>
      </c>
      <c r="M340" s="99">
        <f t="shared" si="1375"/>
        <v>0.14878938923901619</v>
      </c>
      <c r="O340" s="99">
        <f t="shared" ref="O340:BF340" si="1376">O335/SUM(L32:O32)</f>
        <v>-2.4724851945177546E-2</v>
      </c>
      <c r="P340" s="99">
        <f t="shared" si="1376"/>
        <v>-6.3982566194031018E-2</v>
      </c>
      <c r="Q340" s="99">
        <f t="shared" si="1376"/>
        <v>8.0858807081500478E-2</v>
      </c>
      <c r="R340" s="99">
        <f t="shared" si="1376"/>
        <v>0.72164980526589007</v>
      </c>
      <c r="S340" s="99">
        <f t="shared" si="1376"/>
        <v>0.55991335915338436</v>
      </c>
      <c r="T340" s="99">
        <f t="shared" si="1376"/>
        <v>0.42815280309406645</v>
      </c>
      <c r="U340" s="99">
        <f t="shared" si="1376"/>
        <v>0.45301044690283526</v>
      </c>
      <c r="V340" s="99">
        <f t="shared" si="1376"/>
        <v>0.49736380161320992</v>
      </c>
      <c r="W340" s="99">
        <f t="shared" si="1376"/>
        <v>0.46674726171055692</v>
      </c>
      <c r="X340" s="99">
        <f t="shared" si="1376"/>
        <v>0.50100975186362473</v>
      </c>
      <c r="Y340" s="99">
        <f t="shared" si="1376"/>
        <v>0.50126790374218411</v>
      </c>
      <c r="Z340" s="99">
        <f t="shared" si="1376"/>
        <v>0.59320628406618181</v>
      </c>
      <c r="AA340" s="99">
        <f t="shared" si="1376"/>
        <v>0.58695850442868303</v>
      </c>
      <c r="AB340" s="99">
        <f t="shared" si="1376"/>
        <v>0.60909910310907356</v>
      </c>
      <c r="AC340" s="99">
        <f t="shared" si="1376"/>
        <v>0.56315583358120602</v>
      </c>
      <c r="AD340" s="99">
        <f t="shared" si="1376"/>
        <v>0.52052471837630587</v>
      </c>
      <c r="AE340" s="99">
        <f t="shared" si="1376"/>
        <v>0.52463803648218443</v>
      </c>
      <c r="AF340" s="99">
        <f t="shared" si="1376"/>
        <v>0.6629847376025928</v>
      </c>
      <c r="AG340" s="99">
        <f t="shared" si="1376"/>
        <v>0.70425797566933301</v>
      </c>
      <c r="AH340" s="99">
        <f t="shared" si="1376"/>
        <v>0.95579747990771491</v>
      </c>
      <c r="AI340" s="99">
        <f t="shared" si="1376"/>
        <v>0.81362207567842604</v>
      </c>
      <c r="AJ340" s="99">
        <f t="shared" si="1376"/>
        <v>0.90892108198963872</v>
      </c>
      <c r="AK340" s="99">
        <f t="shared" si="1376"/>
        <v>1.113048842113584</v>
      </c>
      <c r="AL340" s="99">
        <f t="shared" si="1376"/>
        <v>1.4414259282293673</v>
      </c>
      <c r="AM340" s="99">
        <f t="shared" si="1376"/>
        <v>1.7017431271321415</v>
      </c>
      <c r="AN340" s="99">
        <f t="shared" si="1376"/>
        <v>2.1832783325021308</v>
      </c>
      <c r="AO340" s="99">
        <f t="shared" si="1376"/>
        <v>2.6129446111720598</v>
      </c>
      <c r="AP340" s="99">
        <f t="shared" si="1376"/>
        <v>3.249746151893476</v>
      </c>
      <c r="AQ340" s="99">
        <f t="shared" si="1376"/>
        <v>0.7957676809111307</v>
      </c>
      <c r="AR340" s="99">
        <f t="shared" si="1376"/>
        <v>2.6119085201028507</v>
      </c>
      <c r="AS340" s="99">
        <f t="shared" si="1376"/>
        <v>1.8197632540307489</v>
      </c>
      <c r="AT340" s="99">
        <f t="shared" si="1376"/>
        <v>1.5450208795474194</v>
      </c>
      <c r="AU340" s="99">
        <f t="shared" si="1376"/>
        <v>1.2446300218392325</v>
      </c>
      <c r="AV340" s="99">
        <f t="shared" si="1376"/>
        <v>1.1194369433531957</v>
      </c>
      <c r="AW340" s="99">
        <f t="shared" si="1376"/>
        <v>1.0121437039840337</v>
      </c>
      <c r="AX340" s="99">
        <f t="shared" si="1376"/>
        <v>0.90124013241493595</v>
      </c>
      <c r="AY340" s="99">
        <f t="shared" si="1376"/>
        <v>0.76148077618350907</v>
      </c>
      <c r="AZ340" s="99">
        <f t="shared" si="1376"/>
        <v>0.63298687853361024</v>
      </c>
      <c r="BA340" s="99">
        <f t="shared" si="1376"/>
        <v>0.5686316426494975</v>
      </c>
      <c r="BB340" s="99">
        <f t="shared" si="1376"/>
        <v>0.50820254276972709</v>
      </c>
      <c r="BC340" s="99">
        <f t="shared" si="1376"/>
        <v>0.41320653858355644</v>
      </c>
      <c r="BD340" s="99">
        <f t="shared" si="1376"/>
        <v>0.32135075952997699</v>
      </c>
      <c r="BE340" s="99">
        <f t="shared" si="1376"/>
        <v>0.2333121229817495</v>
      </c>
      <c r="BF340" s="99">
        <f t="shared" si="1376"/>
        <v>0.14878938923901622</v>
      </c>
      <c r="BI340">
        <f t="shared" si="1207"/>
        <v>333</v>
      </c>
    </row>
    <row r="341" spans="1:61" outlineLevel="1">
      <c r="A341" s="35"/>
      <c r="B341" s="46" t="s">
        <v>203</v>
      </c>
      <c r="C341" s="99">
        <f t="shared" ref="C341:M341" si="1377">C335/C35</f>
        <v>2.0261831840193039</v>
      </c>
      <c r="D341" s="99">
        <f t="shared" si="1377"/>
        <v>0.88424448587493365</v>
      </c>
      <c r="E341" s="99">
        <f t="shared" si="1377"/>
        <v>1.2183830644242262</v>
      </c>
      <c r="F341" s="99">
        <f t="shared" si="1377"/>
        <v>1.5028768972934103</v>
      </c>
      <c r="G341" s="99">
        <f t="shared" si="1377"/>
        <v>2.4945159651054452</v>
      </c>
      <c r="H341" s="99">
        <f t="shared" si="1377"/>
        <v>-4.2201535213752068</v>
      </c>
      <c r="I341" s="99">
        <f t="shared" si="1377"/>
        <v>-1.1769972710822481</v>
      </c>
      <c r="J341" s="99">
        <f t="shared" si="1377"/>
        <v>-3.9473734639614788</v>
      </c>
      <c r="K341" s="99">
        <f t="shared" si="1377"/>
        <v>14.475658575206227</v>
      </c>
      <c r="L341" s="99">
        <f t="shared" si="1377"/>
        <v>1.8026913177791215</v>
      </c>
      <c r="M341" s="99">
        <f t="shared" si="1377"/>
        <v>0.42846500401277143</v>
      </c>
      <c r="O341" s="99">
        <f t="shared" ref="O341:BF341" si="1378">O335/SUM(L35:O35)</f>
        <v>-8.0002340011716994E-2</v>
      </c>
      <c r="P341" s="99">
        <f t="shared" si="1378"/>
        <v>-0.19660256580993543</v>
      </c>
      <c r="Q341" s="99">
        <f t="shared" si="1378"/>
        <v>0.30994082558996144</v>
      </c>
      <c r="R341" s="99">
        <f t="shared" si="1378"/>
        <v>2.026183184019303</v>
      </c>
      <c r="S341" s="99">
        <f t="shared" si="1378"/>
        <v>1.2285625514276834</v>
      </c>
      <c r="T341" s="99">
        <f t="shared" si="1378"/>
        <v>0.82724372644533073</v>
      </c>
      <c r="U341" s="99">
        <f t="shared" si="1378"/>
        <v>0.82503804013904758</v>
      </c>
      <c r="V341" s="99">
        <f t="shared" si="1378"/>
        <v>0.88424448587493365</v>
      </c>
      <c r="W341" s="99">
        <f t="shared" si="1378"/>
        <v>0.82460140191244724</v>
      </c>
      <c r="X341" s="99">
        <f t="shared" si="1378"/>
        <v>0.91471880338900302</v>
      </c>
      <c r="Y341" s="99">
        <f t="shared" si="1378"/>
        <v>0.95987326246933757</v>
      </c>
      <c r="Z341" s="99">
        <f t="shared" si="1378"/>
        <v>1.2183830644242262</v>
      </c>
      <c r="AA341" s="99">
        <f t="shared" si="1378"/>
        <v>1.3231483849991752</v>
      </c>
      <c r="AB341" s="99">
        <f t="shared" si="1378"/>
        <v>1.4941625425491549</v>
      </c>
      <c r="AC341" s="99">
        <f t="shared" si="1378"/>
        <v>1.4995932696836065</v>
      </c>
      <c r="AD341" s="99">
        <f t="shared" si="1378"/>
        <v>1.5028768972934099</v>
      </c>
      <c r="AE341" s="99">
        <f t="shared" si="1378"/>
        <v>1.6714770732310933</v>
      </c>
      <c r="AF341" s="99">
        <f t="shared" si="1378"/>
        <v>2.0589006852550273</v>
      </c>
      <c r="AG341" s="99">
        <f t="shared" si="1378"/>
        <v>2.0096876991714465</v>
      </c>
      <c r="AH341" s="99">
        <f t="shared" si="1378"/>
        <v>2.4945159651054456</v>
      </c>
      <c r="AI341" s="99">
        <f t="shared" si="1378"/>
        <v>2.3123234231633818</v>
      </c>
      <c r="AJ341" s="99">
        <f t="shared" si="1378"/>
        <v>3.6265450519611293</v>
      </c>
      <c r="AK341" s="99">
        <f t="shared" si="1378"/>
        <v>24.281293302540462</v>
      </c>
      <c r="AL341" s="99">
        <f t="shared" si="1378"/>
        <v>-4.2201535213752059</v>
      </c>
      <c r="AM341" s="99">
        <f t="shared" si="1378"/>
        <v>-2.1161714721428844</v>
      </c>
      <c r="AN341" s="99">
        <f t="shared" si="1378"/>
        <v>-1.5316889787714485</v>
      </c>
      <c r="AO341" s="99">
        <f t="shared" si="1378"/>
        <v>-1.284561742111046</v>
      </c>
      <c r="AP341" s="99">
        <f t="shared" si="1378"/>
        <v>-1.1769972710822476</v>
      </c>
      <c r="AQ341" s="99">
        <f t="shared" si="1378"/>
        <v>-0.28221129264478423</v>
      </c>
      <c r="AR341" s="99">
        <f t="shared" si="1378"/>
        <v>-1.6932193588937774</v>
      </c>
      <c r="AS341" s="99">
        <f t="shared" si="1378"/>
        <v>-2.3357535068214426</v>
      </c>
      <c r="AT341" s="99">
        <f t="shared" si="1378"/>
        <v>-3.947373463961481</v>
      </c>
      <c r="AU341" s="99">
        <f t="shared" si="1378"/>
        <v>-5.9969391214822911</v>
      </c>
      <c r="AV341" s="99">
        <f t="shared" si="1378"/>
        <v>-10.733893768314307</v>
      </c>
      <c r="AW341" s="99">
        <f t="shared" si="1378"/>
        <v>-44.597744429533712</v>
      </c>
      <c r="AX341" s="99">
        <f t="shared" si="1378"/>
        <v>14.47565857520625</v>
      </c>
      <c r="AY341" s="99">
        <f t="shared" si="1378"/>
        <v>5.2127272277658383</v>
      </c>
      <c r="AZ341" s="99">
        <f t="shared" si="1378"/>
        <v>3.0287198763650309</v>
      </c>
      <c r="BA341" s="99">
        <f t="shared" si="1378"/>
        <v>2.2404724589207765</v>
      </c>
      <c r="BB341" s="99">
        <f t="shared" si="1378"/>
        <v>1.8026913177791202</v>
      </c>
      <c r="BC341" s="99">
        <f t="shared" si="1378"/>
        <v>1.3519236279436588</v>
      </c>
      <c r="BD341" s="99">
        <f t="shared" si="1378"/>
        <v>0.99769187905435164</v>
      </c>
      <c r="BE341" s="99">
        <f t="shared" si="1378"/>
        <v>0.69889801119590589</v>
      </c>
      <c r="BF341" s="99">
        <f t="shared" si="1378"/>
        <v>0.42846500401277166</v>
      </c>
      <c r="BI341">
        <f t="shared" si="1207"/>
        <v>334</v>
      </c>
    </row>
    <row r="342" spans="1:61" outlineLevel="1">
      <c r="A342" s="35"/>
      <c r="B342" s="46"/>
      <c r="BI342">
        <f t="shared" si="1207"/>
        <v>335</v>
      </c>
    </row>
    <row r="343" spans="1:61" outlineLevel="1">
      <c r="A343" s="35"/>
      <c r="B343" s="29" t="s">
        <v>204</v>
      </c>
      <c r="C343" s="99">
        <f t="shared" ref="C343:M343" si="1379">C32/-C36</f>
        <v>62.933308859520317</v>
      </c>
      <c r="D343" s="99">
        <f t="shared" si="1379"/>
        <v>61.473358037311534</v>
      </c>
      <c r="E343" s="99">
        <f t="shared" si="1379"/>
        <v>45.529533345581491</v>
      </c>
      <c r="F343" s="99">
        <f t="shared" si="1379"/>
        <v>30.009767622271582</v>
      </c>
      <c r="G343" s="99">
        <f t="shared" si="1379"/>
        <v>33.06202849958089</v>
      </c>
      <c r="H343" s="99">
        <f t="shared" si="1379"/>
        <v>14.106319396847162</v>
      </c>
      <c r="I343" s="99">
        <f t="shared" si="1379"/>
        <v>4.4454361262855544</v>
      </c>
      <c r="J343" s="99">
        <f t="shared" si="1379"/>
        <v>14.231879803586677</v>
      </c>
      <c r="K343" s="99">
        <f t="shared" si="1379"/>
        <v>16.757896322759844</v>
      </c>
      <c r="L343" s="99">
        <f t="shared" si="1379"/>
        <v>22.205402696033179</v>
      </c>
      <c r="M343" s="99">
        <f t="shared" si="1379"/>
        <v>26.390156405468563</v>
      </c>
      <c r="O343" s="99">
        <f t="shared" ref="O343:BF343" si="1380">O32/-O36</f>
        <v>59.811563169164906</v>
      </c>
      <c r="P343" s="99">
        <f t="shared" si="1380"/>
        <v>73.464208242950122</v>
      </c>
      <c r="Q343" s="99">
        <f t="shared" si="1380"/>
        <v>84.320835894283945</v>
      </c>
      <c r="R343" s="99">
        <f t="shared" si="1380"/>
        <v>50.971550119649038</v>
      </c>
      <c r="S343" s="99">
        <f t="shared" si="1380"/>
        <v>54.553355618410905</v>
      </c>
      <c r="T343" s="99">
        <f t="shared" si="1380"/>
        <v>66.474672737620949</v>
      </c>
      <c r="U343" s="99">
        <f t="shared" si="1380"/>
        <v>64.112125162972617</v>
      </c>
      <c r="V343" s="99">
        <f t="shared" si="1380"/>
        <v>61.296103307657468</v>
      </c>
      <c r="W343" s="99">
        <f t="shared" si="1380"/>
        <v>61.068747271933667</v>
      </c>
      <c r="X343" s="99">
        <f t="shared" si="1380"/>
        <v>49.700851316570983</v>
      </c>
      <c r="Y343" s="99">
        <f t="shared" si="1380"/>
        <v>36.767378391395084</v>
      </c>
      <c r="Z343" s="99">
        <f t="shared" si="1380"/>
        <v>39.152115059221657</v>
      </c>
      <c r="AA343" s="99">
        <f t="shared" si="1380"/>
        <v>34.214011232633759</v>
      </c>
      <c r="AB343" s="99">
        <f t="shared" si="1380"/>
        <v>29.787494597320276</v>
      </c>
      <c r="AC343" s="99">
        <f t="shared" si="1380"/>
        <v>26.803545248567236</v>
      </c>
      <c r="AD343" s="99">
        <f t="shared" si="1380"/>
        <v>29.611554063505373</v>
      </c>
      <c r="AE343" s="99">
        <f t="shared" si="1380"/>
        <v>28.429883138564279</v>
      </c>
      <c r="AF343" s="99">
        <f t="shared" si="1380"/>
        <v>32.771554697199619</v>
      </c>
      <c r="AG343" s="99">
        <f t="shared" si="1380"/>
        <v>37.787215787215786</v>
      </c>
      <c r="AH343" s="99">
        <f t="shared" si="1380"/>
        <v>33.342942227516382</v>
      </c>
      <c r="AI343" s="99">
        <f t="shared" si="1380"/>
        <v>22.600983491394452</v>
      </c>
      <c r="AJ343" s="99">
        <f t="shared" si="1380"/>
        <v>14.98129527516488</v>
      </c>
      <c r="AK343" s="99">
        <f t="shared" si="1380"/>
        <v>10.474929760103739</v>
      </c>
      <c r="AL343" s="99">
        <f t="shared" si="1380"/>
        <v>9.118439189905633</v>
      </c>
      <c r="AM343" s="99">
        <f t="shared" si="1380"/>
        <v>5.8694444444444418</v>
      </c>
      <c r="AN343" s="99">
        <f t="shared" si="1380"/>
        <v>3.4090653680464507</v>
      </c>
      <c r="AO343" s="99">
        <f t="shared" si="1380"/>
        <v>3.9235539519675293</v>
      </c>
      <c r="AP343" s="99">
        <f t="shared" si="1380"/>
        <v>4.481952799629803</v>
      </c>
      <c r="AQ343" s="99">
        <f t="shared" si="1380"/>
        <v>6.7509068923821038</v>
      </c>
      <c r="AR343" s="99">
        <f t="shared" si="1380"/>
        <v>14.157465564738292</v>
      </c>
      <c r="AS343" s="99">
        <f t="shared" si="1380"/>
        <v>17.141485809682802</v>
      </c>
      <c r="AT343" s="99">
        <f t="shared" ref="AT343" si="1381">AT32/-AT36</f>
        <v>17.519112207151661</v>
      </c>
      <c r="AU343" s="99">
        <f t="shared" si="1380"/>
        <v>14.865825602026671</v>
      </c>
      <c r="AV343" s="99">
        <f t="shared" si="1380"/>
        <v>15.242205382322508</v>
      </c>
      <c r="AW343" s="99">
        <f t="shared" si="1380"/>
        <v>17.522221199596668</v>
      </c>
      <c r="AX343" s="99">
        <f t="shared" si="1380"/>
        <v>19.199058753286014</v>
      </c>
      <c r="AY343" s="99">
        <f t="shared" si="1380"/>
        <v>20.186412588982172</v>
      </c>
      <c r="AZ343" s="99">
        <f t="shared" si="1380"/>
        <v>21.668685901788461</v>
      </c>
      <c r="BA343" s="99">
        <f t="shared" si="1380"/>
        <v>23.10896703068703</v>
      </c>
      <c r="BB343" s="99">
        <f t="shared" si="1380"/>
        <v>23.857545262675075</v>
      </c>
      <c r="BC343" s="99">
        <f t="shared" si="1380"/>
        <v>24.273845723965941</v>
      </c>
      <c r="BD343" s="99">
        <f t="shared" si="1380"/>
        <v>24.453013722200929</v>
      </c>
      <c r="BE343" s="99">
        <f t="shared" si="1380"/>
        <v>24.800114124187427</v>
      </c>
      <c r="BF343" s="99">
        <f t="shared" si="1380"/>
        <v>34.088864035519855</v>
      </c>
      <c r="BI343">
        <f t="shared" si="1207"/>
        <v>336</v>
      </c>
    </row>
    <row r="344" spans="1:61" outlineLevel="1">
      <c r="A344" s="35"/>
      <c r="B344" s="29" t="s">
        <v>205</v>
      </c>
      <c r="C344" s="99">
        <f t="shared" ref="C344:M344" si="1382">(C32+C282)/-C36</f>
        <v>-27.386074400391575</v>
      </c>
      <c r="D344" s="99">
        <f t="shared" si="1382"/>
        <v>-3.1559545106056692</v>
      </c>
      <c r="E344" s="99">
        <f t="shared" si="1382"/>
        <v>0.79372588645968112</v>
      </c>
      <c r="F344" s="99">
        <f t="shared" si="1382"/>
        <v>6.6499523960647338</v>
      </c>
      <c r="G344" s="99">
        <f t="shared" si="1382"/>
        <v>-2.2218273260687291</v>
      </c>
      <c r="H344" s="99">
        <f t="shared" si="1382"/>
        <v>-6.2850719671007464</v>
      </c>
      <c r="I344" s="99">
        <f t="shared" si="1382"/>
        <v>1.3729578620707354</v>
      </c>
      <c r="J344" s="99">
        <f t="shared" si="1382"/>
        <v>-0.90173996584116356</v>
      </c>
      <c r="K344" s="99">
        <f t="shared" si="1382"/>
        <v>3.7152513290968763</v>
      </c>
      <c r="L344" s="99">
        <f t="shared" si="1382"/>
        <v>8.0352498799599132</v>
      </c>
      <c r="M344" s="99">
        <f t="shared" si="1382"/>
        <v>12.657531870274209</v>
      </c>
      <c r="O344" s="99">
        <f t="shared" ref="O344:BF344" si="1383">(O32+O282)/-O36</f>
        <v>-17.945753033547444</v>
      </c>
      <c r="P344" s="99">
        <f t="shared" si="1383"/>
        <v>-63.851048445408551</v>
      </c>
      <c r="Q344" s="99">
        <f t="shared" si="1383"/>
        <v>-47.722188076213818</v>
      </c>
      <c r="R344" s="99">
        <f t="shared" si="1383"/>
        <v>-8.6963573517681532</v>
      </c>
      <c r="S344" s="99">
        <f t="shared" si="1383"/>
        <v>7.6127539213165329</v>
      </c>
      <c r="T344" s="99">
        <f t="shared" si="1383"/>
        <v>-3.2652248150256171</v>
      </c>
      <c r="U344" s="99">
        <f t="shared" si="1383"/>
        <v>-9.8951760104302569</v>
      </c>
      <c r="V344" s="99">
        <f t="shared" si="1383"/>
        <v>-6.7016311735387193</v>
      </c>
      <c r="W344" s="99">
        <f t="shared" si="1383"/>
        <v>3.582278481012668</v>
      </c>
      <c r="X344" s="99">
        <f t="shared" si="1383"/>
        <v>0.47059988121164315</v>
      </c>
      <c r="Y344" s="99">
        <f t="shared" si="1383"/>
        <v>-0.52319794509551876</v>
      </c>
      <c r="Z344" s="99">
        <f t="shared" si="1383"/>
        <v>0.29593908629442023</v>
      </c>
      <c r="AA344" s="99">
        <f t="shared" si="1383"/>
        <v>8.4733963937333705</v>
      </c>
      <c r="AB344" s="99">
        <f t="shared" si="1383"/>
        <v>6.9612447774095969</v>
      </c>
      <c r="AC344" s="99">
        <f t="shared" si="1383"/>
        <v>6.7141143542582933</v>
      </c>
      <c r="AD344" s="99">
        <f t="shared" si="1383"/>
        <v>4.5546230241991781</v>
      </c>
      <c r="AE344" s="99">
        <f t="shared" si="1383"/>
        <v>4.7276015581524762</v>
      </c>
      <c r="AF344" s="99">
        <f t="shared" si="1383"/>
        <v>-11.05048972272037</v>
      </c>
      <c r="AG344" s="99">
        <f t="shared" si="1383"/>
        <v>-3.0755040755040843</v>
      </c>
      <c r="AH344" s="99">
        <f t="shared" si="1383"/>
        <v>0.16247766527696803</v>
      </c>
      <c r="AI344" s="99">
        <f t="shared" si="1383"/>
        <v>-5.670413300550285</v>
      </c>
      <c r="AJ344" s="99">
        <f t="shared" si="1383"/>
        <v>-9.0393556060114584</v>
      </c>
      <c r="AK344" s="99">
        <f t="shared" si="1383"/>
        <v>-5.1493408255889399</v>
      </c>
      <c r="AL344" s="99">
        <f t="shared" si="1383"/>
        <v>-5.2550100731629588</v>
      </c>
      <c r="AM344" s="99">
        <f t="shared" si="1383"/>
        <v>3.8971296296296281</v>
      </c>
      <c r="AN344" s="99">
        <f t="shared" si="1383"/>
        <v>0.54963476306424386</v>
      </c>
      <c r="AO344" s="99">
        <f t="shared" si="1383"/>
        <v>0.69015672567369712</v>
      </c>
      <c r="AP344" s="99">
        <f t="shared" si="1383"/>
        <v>-6.3165201295695542E-2</v>
      </c>
      <c r="AQ344" s="99">
        <f t="shared" si="1383"/>
        <v>-1.5247883917775091</v>
      </c>
      <c r="AR344" s="99">
        <f t="shared" si="1383"/>
        <v>1.1161432506887043</v>
      </c>
      <c r="AS344" s="99">
        <f t="shared" si="1383"/>
        <v>2.2144198664440689</v>
      </c>
      <c r="AT344" s="99">
        <f t="shared" ref="AT344" si="1384">(AT32+AT282)/-AT36</f>
        <v>-4.9826425116190824</v>
      </c>
      <c r="AU344" s="99">
        <f t="shared" si="1383"/>
        <v>1.0513162978734765</v>
      </c>
      <c r="AV344" s="99">
        <f t="shared" si="1383"/>
        <v>2.6707204491711964</v>
      </c>
      <c r="AW344" s="99">
        <f t="shared" si="1383"/>
        <v>4.714204368102183</v>
      </c>
      <c r="AX344" s="99">
        <f t="shared" si="1383"/>
        <v>6.1399726598245321</v>
      </c>
      <c r="AY344" s="99">
        <f t="shared" si="1383"/>
        <v>8.5947384705896752</v>
      </c>
      <c r="AZ344" s="99">
        <f t="shared" si="1383"/>
        <v>9.7733757143047111</v>
      </c>
      <c r="BA344" s="99">
        <f t="shared" si="1383"/>
        <v>6.649733961856592</v>
      </c>
      <c r="BB344" s="99">
        <f t="shared" si="1383"/>
        <v>7.1231513730886915</v>
      </c>
      <c r="BC344" s="99">
        <f t="shared" si="1383"/>
        <v>11.516095199269678</v>
      </c>
      <c r="BD344" s="99">
        <f t="shared" si="1383"/>
        <v>11.667986906994001</v>
      </c>
      <c r="BE344" s="99">
        <f t="shared" si="1383"/>
        <v>11.953041241555141</v>
      </c>
      <c r="BF344" s="99">
        <f t="shared" si="1383"/>
        <v>16.525608203647426</v>
      </c>
      <c r="BI344">
        <f t="shared" si="1207"/>
        <v>337</v>
      </c>
    </row>
    <row r="345" spans="1:61" outlineLevel="1">
      <c r="A345" s="35"/>
      <c r="B345" s="29" t="s">
        <v>206</v>
      </c>
      <c r="C345" s="99">
        <f t="shared" ref="C345:M345" si="1385">C35/-C36</f>
        <v>22.414464023494865</v>
      </c>
      <c r="D345" s="99">
        <f t="shared" si="1385"/>
        <v>34.577114745719399</v>
      </c>
      <c r="E345" s="99">
        <f t="shared" si="1385"/>
        <v>22.167416865699074</v>
      </c>
      <c r="F345" s="99">
        <f t="shared" si="1385"/>
        <v>10.393949010896005</v>
      </c>
      <c r="G345" s="99">
        <f t="shared" si="1385"/>
        <v>12.668030176026827</v>
      </c>
      <c r="H345" s="99">
        <f t="shared" si="1385"/>
        <v>-4.818122001370801</v>
      </c>
      <c r="I345" s="99">
        <f t="shared" si="1385"/>
        <v>-12.274063245364314</v>
      </c>
      <c r="J345" s="99">
        <f t="shared" si="1385"/>
        <v>-5.5704259180187927</v>
      </c>
      <c r="K345" s="99">
        <f t="shared" si="1385"/>
        <v>1.0433299889227792</v>
      </c>
      <c r="L345" s="99">
        <f t="shared" si="1385"/>
        <v>6.2599969290652107</v>
      </c>
      <c r="M345" s="99">
        <f t="shared" si="1385"/>
        <v>9.1642846363590937</v>
      </c>
      <c r="O345" s="99">
        <f t="shared" ref="O345:BF345" si="1386">O35/-O36</f>
        <v>5.5895788722341475</v>
      </c>
      <c r="P345" s="99">
        <f t="shared" si="1386"/>
        <v>17.221981200289235</v>
      </c>
      <c r="Q345" s="99">
        <f t="shared" si="1386"/>
        <v>32.273509526736326</v>
      </c>
      <c r="R345" s="99">
        <f t="shared" si="1386"/>
        <v>26.326243020473285</v>
      </c>
      <c r="S345" s="99">
        <f t="shared" si="1386"/>
        <v>30.225507842633064</v>
      </c>
      <c r="T345" s="99">
        <f t="shared" si="1386"/>
        <v>37.524188958451901</v>
      </c>
      <c r="U345" s="99">
        <f t="shared" si="1386"/>
        <v>35.617731421121256</v>
      </c>
      <c r="V345" s="99">
        <f t="shared" si="1386"/>
        <v>35.16085183507024</v>
      </c>
      <c r="W345" s="99">
        <f t="shared" si="1386"/>
        <v>34.758620689655189</v>
      </c>
      <c r="X345" s="99">
        <f t="shared" si="1386"/>
        <v>24.264898039992087</v>
      </c>
      <c r="Y345" s="99">
        <f t="shared" si="1386"/>
        <v>16.229571359768823</v>
      </c>
      <c r="Z345" s="99">
        <f t="shared" si="1386"/>
        <v>16.871235194585452</v>
      </c>
      <c r="AA345" s="99">
        <f t="shared" si="1386"/>
        <v>14.030741945019212</v>
      </c>
      <c r="AB345" s="99">
        <f t="shared" si="1386"/>
        <v>10.172309465494891</v>
      </c>
      <c r="AC345" s="99">
        <f t="shared" si="1386"/>
        <v>8.230174596827931</v>
      </c>
      <c r="AD345" s="99">
        <f t="shared" si="1386"/>
        <v>9.4381032312211417</v>
      </c>
      <c r="AE345" s="99">
        <f t="shared" si="1386"/>
        <v>8.1769616026711205</v>
      </c>
      <c r="AF345" s="99">
        <f t="shared" si="1386"/>
        <v>12.032832114774457</v>
      </c>
      <c r="AG345" s="99">
        <f t="shared" si="1386"/>
        <v>15.468325468325469</v>
      </c>
      <c r="AH345" s="99">
        <f t="shared" si="1386"/>
        <v>14.729243597379389</v>
      </c>
      <c r="AI345" s="99">
        <f t="shared" si="1386"/>
        <v>2.8021308980213115</v>
      </c>
      <c r="AJ345" s="99">
        <f t="shared" si="1386"/>
        <v>-3.9208563087901425</v>
      </c>
      <c r="AK345" s="99">
        <f t="shared" si="1386"/>
        <v>-8.5202074778474177</v>
      </c>
      <c r="AL345" s="99">
        <f t="shared" si="1386"/>
        <v>-8.9665995122468445</v>
      </c>
      <c r="AM345" s="99">
        <f t="shared" si="1386"/>
        <v>-10.169814814814817</v>
      </c>
      <c r="AN345" s="99">
        <f t="shared" si="1386"/>
        <v>-12.15124555160142</v>
      </c>
      <c r="AO345" s="99">
        <f t="shared" si="1386"/>
        <v>-14.043071372195287</v>
      </c>
      <c r="AP345" s="99">
        <f t="shared" si="1386"/>
        <v>-13.239819527996296</v>
      </c>
      <c r="AQ345" s="99">
        <f t="shared" si="1386"/>
        <v>-11.933857315598551</v>
      </c>
      <c r="AR345" s="99">
        <f t="shared" si="1386"/>
        <v>-6.6186225895316815</v>
      </c>
      <c r="AS345" s="99">
        <f t="shared" si="1386"/>
        <v>-2.9806969949916562</v>
      </c>
      <c r="AT345" s="99">
        <f t="shared" ref="AT345" si="1387">AT35/-AT36</f>
        <v>-2.0308261405672052</v>
      </c>
      <c r="AU345" s="99">
        <f t="shared" si="1386"/>
        <v>-2.1668531233709927</v>
      </c>
      <c r="AV345" s="99">
        <f t="shared" si="1386"/>
        <v>-2.1248078132725421E-2</v>
      </c>
      <c r="AW345" s="99">
        <f t="shared" si="1386"/>
        <v>2.201867291088067</v>
      </c>
      <c r="AX345" s="99">
        <f t="shared" si="1386"/>
        <v>3.8163649421793484</v>
      </c>
      <c r="AY345" s="99">
        <f t="shared" si="1386"/>
        <v>4.5427502050724931</v>
      </c>
      <c r="AZ345" s="99">
        <f t="shared" si="1386"/>
        <v>5.8610765660792952</v>
      </c>
      <c r="BA345" s="99">
        <f t="shared" si="1386"/>
        <v>7.140399181820567</v>
      </c>
      <c r="BB345" s="99">
        <f t="shared" si="1386"/>
        <v>7.4957617632885052</v>
      </c>
      <c r="BC345" s="99">
        <f t="shared" si="1386"/>
        <v>7.8997988652819195</v>
      </c>
      <c r="BD345" s="99">
        <f t="shared" si="1386"/>
        <v>8.2863194283947443</v>
      </c>
      <c r="BE345" s="99">
        <f t="shared" si="1386"/>
        <v>8.8278545116189679</v>
      </c>
      <c r="BF345" s="99">
        <f t="shared" si="1386"/>
        <v>12.545908733300923</v>
      </c>
      <c r="BI345">
        <f t="shared" si="1207"/>
        <v>338</v>
      </c>
    </row>
    <row r="346" spans="1:61" outlineLevel="1">
      <c r="A346" s="35"/>
      <c r="B346" s="46" t="s">
        <v>207</v>
      </c>
      <c r="C346" s="68">
        <f t="shared" ref="C346:L346" si="1388">-C282/C271</f>
        <v>2.2132098724710865</v>
      </c>
      <c r="D346" s="68">
        <f t="shared" si="1388"/>
        <v>2.3747133074635132</v>
      </c>
      <c r="E346" s="68">
        <f t="shared" si="1388"/>
        <v>1.8944981074236453</v>
      </c>
      <c r="F346" s="68">
        <f t="shared" si="1388"/>
        <v>1.1836657024062438</v>
      </c>
      <c r="G346" s="68">
        <f t="shared" si="1388"/>
        <v>1.6863574303881852</v>
      </c>
      <c r="H346" s="68">
        <f t="shared" si="1388"/>
        <v>1.0612000308183114</v>
      </c>
      <c r="I346" s="68">
        <f t="shared" si="1388"/>
        <v>0.1798154699632111</v>
      </c>
      <c r="J346" s="68">
        <f t="shared" si="1388"/>
        <v>0.75174385772348018</v>
      </c>
      <c r="K346" s="68">
        <f t="shared" si="1388"/>
        <v>0.82191780033657391</v>
      </c>
      <c r="L346" s="68">
        <f t="shared" si="1388"/>
        <v>0.88039206414531301</v>
      </c>
      <c r="M346" s="68">
        <f>-M282/M271</f>
        <v>0.78984597233851139</v>
      </c>
      <c r="O346" s="68">
        <f>-O282/O271</f>
        <v>1.4387711976332613</v>
      </c>
      <c r="P346" s="68">
        <f t="shared" ref="P346:BF346" si="1389">-P282/P271</f>
        <v>2.4105073429546988</v>
      </c>
      <c r="Q346" s="68">
        <f t="shared" si="1389"/>
        <v>2.5147077758659031</v>
      </c>
      <c r="R346" s="68">
        <f t="shared" si="1389"/>
        <v>2.398501544413925</v>
      </c>
      <c r="S346" s="68">
        <f t="shared" si="1389"/>
        <v>1.8973340955152522</v>
      </c>
      <c r="T346" s="68">
        <f t="shared" si="1389"/>
        <v>2.3850937722021626</v>
      </c>
      <c r="U346" s="68">
        <f t="shared" si="1389"/>
        <v>2.5635471895802664</v>
      </c>
      <c r="V346" s="68">
        <f t="shared" si="1389"/>
        <v>2.5807122835376859</v>
      </c>
      <c r="W346" s="68">
        <f t="shared" si="1389"/>
        <v>2.1423064097663338</v>
      </c>
      <c r="X346" s="68">
        <f t="shared" si="1389"/>
        <v>1.9354592650824662</v>
      </c>
      <c r="Y346" s="68">
        <f t="shared" si="1389"/>
        <v>1.7882641866767262</v>
      </c>
      <c r="Z346" s="68">
        <f t="shared" si="1389"/>
        <v>1.7293340663147352</v>
      </c>
      <c r="AA346" s="68">
        <f t="shared" si="1389"/>
        <v>1.2765126250595522</v>
      </c>
      <c r="AB346" s="68">
        <f t="shared" si="1389"/>
        <v>1.1549401524981413</v>
      </c>
      <c r="AC346" s="68">
        <f t="shared" si="1389"/>
        <v>1.0710347179785977</v>
      </c>
      <c r="AD346" s="68">
        <f t="shared" si="1389"/>
        <v>1.2326896874440882</v>
      </c>
      <c r="AE346" s="68">
        <f t="shared" si="1389"/>
        <v>1.1564599991854578</v>
      </c>
      <c r="AF346" s="68">
        <f t="shared" si="1389"/>
        <v>2.0704834904123164</v>
      </c>
      <c r="AG346" s="68">
        <f t="shared" si="1389"/>
        <v>1.786559213734636</v>
      </c>
      <c r="AH346" s="68">
        <f t="shared" si="1389"/>
        <v>1.7053594387099131</v>
      </c>
      <c r="AI346" s="68">
        <f t="shared" si="1389"/>
        <v>1.4037251915497215</v>
      </c>
      <c r="AJ346" s="68">
        <f t="shared" si="1389"/>
        <v>1.2493645402195426</v>
      </c>
      <c r="AK346" s="68">
        <f t="shared" si="1389"/>
        <v>0.81621627724493795</v>
      </c>
      <c r="AL346" s="68">
        <f t="shared" si="1389"/>
        <v>0.77951891061950396</v>
      </c>
      <c r="AM346" s="68">
        <f t="shared" si="1389"/>
        <v>0.12202051910705794</v>
      </c>
      <c r="AN346" s="68">
        <f t="shared" si="1389"/>
        <v>0.1785816639859629</v>
      </c>
      <c r="AO346" s="68">
        <f t="shared" si="1389"/>
        <v>0.17543312288944352</v>
      </c>
      <c r="AP346" s="68">
        <f t="shared" si="1389"/>
        <v>0.24988392431229139</v>
      </c>
      <c r="AQ346" s="68">
        <f t="shared" si="1389"/>
        <v>0.43810852852122362</v>
      </c>
      <c r="AR346" s="68">
        <f t="shared" si="1389"/>
        <v>0.62175267534896428</v>
      </c>
      <c r="AS346" s="68">
        <f t="shared" si="1389"/>
        <v>0.72752006183826456</v>
      </c>
      <c r="AT346" s="68">
        <f t="shared" ref="AT346" si="1390">-AT282/AT271</f>
        <v>1.1235212214781625</v>
      </c>
      <c r="AU346" s="68">
        <f t="shared" si="1389"/>
        <v>0.80314634146341468</v>
      </c>
      <c r="AV346" s="68">
        <f t="shared" si="1389"/>
        <v>0.81562455930994704</v>
      </c>
      <c r="AW346" s="68">
        <f t="shared" si="1389"/>
        <v>0.82791413572081696</v>
      </c>
      <c r="AX346" s="68">
        <f t="shared" si="1389"/>
        <v>0.84075536279086149</v>
      </c>
      <c r="AY346" s="68">
        <f t="shared" si="1389"/>
        <v>0.73395071072114626</v>
      </c>
      <c r="AZ346" s="68">
        <f t="shared" si="1389"/>
        <v>0.74543793163897976</v>
      </c>
      <c r="BA346" s="68">
        <f t="shared" si="1389"/>
        <v>1.0211432088412098</v>
      </c>
      <c r="BB346" s="68">
        <f t="shared" si="1389"/>
        <v>1.013489906737425</v>
      </c>
      <c r="BC346" s="68">
        <f t="shared" si="1389"/>
        <v>0.77207788224463814</v>
      </c>
      <c r="BD346" s="68">
        <f t="shared" si="1389"/>
        <v>0.78356122024571517</v>
      </c>
      <c r="BE346" s="68">
        <f t="shared" si="1389"/>
        <v>0.79685955937846942</v>
      </c>
      <c r="BF346" s="68">
        <f t="shared" si="1389"/>
        <v>0.80760242163967044</v>
      </c>
      <c r="BI346">
        <f t="shared" ref="BI346:BI409" si="1391">+BI345+1</f>
        <v>339</v>
      </c>
    </row>
    <row r="347" spans="1:61" outlineLevel="1">
      <c r="A347" s="35"/>
      <c r="B347" s="46"/>
      <c r="BI347">
        <f t="shared" si="1391"/>
        <v>340</v>
      </c>
    </row>
    <row r="348" spans="1:61" outlineLevel="1">
      <c r="A348" s="35" t="s">
        <v>65</v>
      </c>
      <c r="B348" s="36" t="s">
        <v>287</v>
      </c>
      <c r="AT348" s="90"/>
      <c r="BI348">
        <f t="shared" si="1391"/>
        <v>341</v>
      </c>
    </row>
    <row r="349" spans="1:61" hidden="1" outlineLevel="2">
      <c r="A349" s="35"/>
      <c r="B349" s="29" t="s">
        <v>208</v>
      </c>
      <c r="C349" s="54">
        <f t="shared" ref="C349:L349" si="1392">C306-C319</f>
        <v>241.44499999999994</v>
      </c>
      <c r="D349" s="54">
        <f t="shared" si="1392"/>
        <v>346.23800000000017</v>
      </c>
      <c r="E349" s="54">
        <f t="shared" si="1392"/>
        <v>340.12799999999999</v>
      </c>
      <c r="F349" s="54">
        <f t="shared" si="1392"/>
        <v>454.37299999999999</v>
      </c>
      <c r="G349" s="54">
        <f t="shared" si="1392"/>
        <v>340.68799999999999</v>
      </c>
      <c r="H349" s="54">
        <f t="shared" si="1392"/>
        <v>178.404</v>
      </c>
      <c r="I349" s="54">
        <f t="shared" si="1392"/>
        <v>18.506000000000029</v>
      </c>
      <c r="J349" s="54">
        <f t="shared" si="1392"/>
        <v>200.60500000000013</v>
      </c>
      <c r="K349" s="54">
        <f t="shared" si="1392"/>
        <v>585.65733065439326</v>
      </c>
      <c r="L349" s="54">
        <f t="shared" si="1392"/>
        <v>534.20536307905024</v>
      </c>
      <c r="M349" s="54">
        <f t="shared" ref="M349" si="1393">M306-M319</f>
        <v>945.95769607450973</v>
      </c>
      <c r="O349" s="54">
        <f t="shared" ref="O349" si="1394">O306-O319</f>
        <v>173.30400000000003</v>
      </c>
      <c r="P349" s="54">
        <f t="shared" ref="P349:AS349" si="1395">P306-P319</f>
        <v>87.227000000000032</v>
      </c>
      <c r="Q349" s="54">
        <f t="shared" si="1395"/>
        <v>139.49099999999999</v>
      </c>
      <c r="R349" s="54">
        <f t="shared" si="1395"/>
        <v>241.44499999999994</v>
      </c>
      <c r="S349" s="54">
        <f t="shared" si="1395"/>
        <v>271.26799999999997</v>
      </c>
      <c r="T349" s="54">
        <f t="shared" si="1395"/>
        <v>232.64699999999993</v>
      </c>
      <c r="U349" s="54">
        <f t="shared" si="1395"/>
        <v>260.13300000000004</v>
      </c>
      <c r="V349" s="54">
        <f t="shared" si="1395"/>
        <v>346.23800000000017</v>
      </c>
      <c r="W349" s="54">
        <f t="shared" si="1395"/>
        <v>321.93300000000011</v>
      </c>
      <c r="X349" s="54">
        <f t="shared" si="1395"/>
        <v>382.26599999999996</v>
      </c>
      <c r="Y349" s="54">
        <f t="shared" si="1395"/>
        <v>323.04000000000002</v>
      </c>
      <c r="Z349" s="54">
        <f t="shared" si="1395"/>
        <v>340.12799999999999</v>
      </c>
      <c r="AA349" s="54">
        <f t="shared" si="1395"/>
        <v>351.45899999999989</v>
      </c>
      <c r="AB349" s="54">
        <f t="shared" si="1395"/>
        <v>420.31400000000008</v>
      </c>
      <c r="AC349" s="54">
        <f t="shared" si="1395"/>
        <v>446.72499999999997</v>
      </c>
      <c r="AD349" s="54">
        <f t="shared" si="1395"/>
        <v>454.37299999999999</v>
      </c>
      <c r="AE349" s="54">
        <f t="shared" si="1395"/>
        <v>393.55999999999995</v>
      </c>
      <c r="AF349" s="54">
        <f t="shared" si="1395"/>
        <v>256.84500000000003</v>
      </c>
      <c r="AG349" s="54">
        <f t="shared" si="1395"/>
        <v>160.64700000000016</v>
      </c>
      <c r="AH349" s="54">
        <f t="shared" si="1395"/>
        <v>340.68799999999999</v>
      </c>
      <c r="AI349" s="54">
        <f t="shared" si="1395"/>
        <v>127.00400000000013</v>
      </c>
      <c r="AJ349" s="54">
        <f t="shared" si="1395"/>
        <v>67.687000000000126</v>
      </c>
      <c r="AK349" s="54">
        <f t="shared" si="1395"/>
        <v>109.66399999999993</v>
      </c>
      <c r="AL349" s="54">
        <f t="shared" si="1395"/>
        <v>178.404</v>
      </c>
      <c r="AM349" s="54">
        <f t="shared" si="1395"/>
        <v>180.82700000000006</v>
      </c>
      <c r="AN349" s="54">
        <f t="shared" si="1395"/>
        <v>163.73700000000002</v>
      </c>
      <c r="AO349" s="54">
        <f t="shared" si="1395"/>
        <v>43.901999999999987</v>
      </c>
      <c r="AP349" s="54">
        <f t="shared" si="1395"/>
        <v>18.506000000000029</v>
      </c>
      <c r="AQ349" s="54">
        <f t="shared" si="1395"/>
        <v>435.77800000000008</v>
      </c>
      <c r="AR349" s="54">
        <f t="shared" si="1395"/>
        <v>98.900999999999954</v>
      </c>
      <c r="AS349" s="54">
        <f t="shared" si="1395"/>
        <v>128.94900000000007</v>
      </c>
      <c r="AT349" s="54">
        <f t="shared" ref="AT349" si="1396">AT306-AT319</f>
        <v>200.60500000000013</v>
      </c>
      <c r="AU349" s="54">
        <f t="shared" ref="AU349:BF349" si="1397">AU306-AU319</f>
        <v>484.05737849673483</v>
      </c>
      <c r="AV349" s="54">
        <f t="shared" si="1397"/>
        <v>508.1584948312734</v>
      </c>
      <c r="AW349" s="54">
        <f t="shared" si="1397"/>
        <v>540.30383760611858</v>
      </c>
      <c r="AX349" s="54">
        <f t="shared" si="1397"/>
        <v>585.65733065439326</v>
      </c>
      <c r="AY349" s="54">
        <f t="shared" si="1397"/>
        <v>659.09475522824482</v>
      </c>
      <c r="AZ349" s="54">
        <f t="shared" si="1397"/>
        <v>743.49342525336317</v>
      </c>
      <c r="BA349" s="54">
        <f t="shared" si="1397"/>
        <v>486.42141065978785</v>
      </c>
      <c r="BB349" s="54">
        <f t="shared" si="1397"/>
        <v>534.20536307905024</v>
      </c>
      <c r="BC349" s="54">
        <f t="shared" si="1397"/>
        <v>634.57840625782956</v>
      </c>
      <c r="BD349" s="54">
        <f t="shared" si="1397"/>
        <v>735.8003120264782</v>
      </c>
      <c r="BE349" s="54">
        <f t="shared" si="1397"/>
        <v>839.09368849014641</v>
      </c>
      <c r="BF349" s="54">
        <f t="shared" si="1397"/>
        <v>945.95769607450973</v>
      </c>
      <c r="BI349">
        <f t="shared" si="1391"/>
        <v>342</v>
      </c>
    </row>
    <row r="350" spans="1:61" hidden="1" outlineLevel="2">
      <c r="A350" s="35"/>
      <c r="B350" s="29" t="s">
        <v>209</v>
      </c>
      <c r="C350" s="54">
        <f t="shared" ref="C350:L350" si="1398">(C306-C300)-(C319-C315)</f>
        <v>220.08299999999997</v>
      </c>
      <c r="D350" s="54">
        <f t="shared" si="1398"/>
        <v>332.29200000000014</v>
      </c>
      <c r="E350" s="54">
        <f t="shared" si="1398"/>
        <v>235.65500000000003</v>
      </c>
      <c r="F350" s="54">
        <f t="shared" si="1398"/>
        <v>214.86399999999998</v>
      </c>
      <c r="G350" s="54">
        <f t="shared" si="1398"/>
        <v>310.17599999999993</v>
      </c>
      <c r="H350" s="54">
        <f t="shared" si="1398"/>
        <v>128.80799999999999</v>
      </c>
      <c r="I350" s="54">
        <f t="shared" si="1398"/>
        <v>-16.645999999999958</v>
      </c>
      <c r="J350" s="54">
        <f t="shared" si="1398"/>
        <v>157.77700000000016</v>
      </c>
      <c r="K350" s="54">
        <f t="shared" si="1398"/>
        <v>246.5152453736921</v>
      </c>
      <c r="L350" s="54">
        <f t="shared" si="1398"/>
        <v>312.80376500071372</v>
      </c>
      <c r="M350" s="54">
        <f t="shared" ref="M350" si="1399">(M306-M300)-(M319-M315)</f>
        <v>317.78565134344592</v>
      </c>
      <c r="O350" s="54">
        <f t="shared" ref="O350" si="1400">(O306-O300)-(O319-O315)</f>
        <v>109.42000000000002</v>
      </c>
      <c r="P350" s="54">
        <f t="shared" ref="P350:AS350" si="1401">(P306-P300)-(P319-P315)</f>
        <v>-8.7519999999999527</v>
      </c>
      <c r="Q350" s="54">
        <f t="shared" si="1401"/>
        <v>70.574999999999989</v>
      </c>
      <c r="R350" s="54">
        <f t="shared" si="1401"/>
        <v>220.08299999999997</v>
      </c>
      <c r="S350" s="54">
        <f t="shared" si="1401"/>
        <v>241.09800000000001</v>
      </c>
      <c r="T350" s="54">
        <f t="shared" si="1401"/>
        <v>176.81299999999999</v>
      </c>
      <c r="U350" s="54">
        <f t="shared" si="1401"/>
        <v>259.48800000000006</v>
      </c>
      <c r="V350" s="54">
        <f t="shared" si="1401"/>
        <v>332.29200000000014</v>
      </c>
      <c r="W350" s="54">
        <f t="shared" si="1401"/>
        <v>314.10800000000006</v>
      </c>
      <c r="X350" s="54">
        <f t="shared" si="1401"/>
        <v>306.96699999999998</v>
      </c>
      <c r="Y350" s="54">
        <f t="shared" si="1401"/>
        <v>239.56700000000006</v>
      </c>
      <c r="Z350" s="54">
        <f t="shared" si="1401"/>
        <v>235.65500000000003</v>
      </c>
      <c r="AA350" s="54">
        <f t="shared" si="1401"/>
        <v>214.92799999999994</v>
      </c>
      <c r="AB350" s="54">
        <f t="shared" si="1401"/>
        <v>280.18700000000001</v>
      </c>
      <c r="AC350" s="54">
        <f t="shared" si="1401"/>
        <v>252.089</v>
      </c>
      <c r="AD350" s="54">
        <f t="shared" si="1401"/>
        <v>214.86399999999998</v>
      </c>
      <c r="AE350" s="54">
        <f t="shared" si="1401"/>
        <v>145.81399999999996</v>
      </c>
      <c r="AF350" s="54">
        <f t="shared" si="1401"/>
        <v>146.00800000000004</v>
      </c>
      <c r="AG350" s="54">
        <f t="shared" si="1401"/>
        <v>132.05300000000011</v>
      </c>
      <c r="AH350" s="54">
        <f t="shared" si="1401"/>
        <v>310.17599999999993</v>
      </c>
      <c r="AI350" s="54">
        <f t="shared" si="1401"/>
        <v>75.087000000000103</v>
      </c>
      <c r="AJ350" s="54">
        <f t="shared" si="1401"/>
        <v>33.681000000000154</v>
      </c>
      <c r="AK350" s="54">
        <f t="shared" si="1401"/>
        <v>83.198999999999955</v>
      </c>
      <c r="AL350" s="54">
        <f t="shared" si="1401"/>
        <v>128.80799999999999</v>
      </c>
      <c r="AM350" s="54">
        <f t="shared" si="1401"/>
        <v>71.240000000000094</v>
      </c>
      <c r="AN350" s="54">
        <f t="shared" si="1401"/>
        <v>39.831000000000017</v>
      </c>
      <c r="AO350" s="54">
        <f t="shared" si="1401"/>
        <v>6.9299999999999784</v>
      </c>
      <c r="AP350" s="54">
        <f t="shared" si="1401"/>
        <v>-16.645999999999958</v>
      </c>
      <c r="AQ350" s="54">
        <f t="shared" si="1401"/>
        <v>-30.829999999999927</v>
      </c>
      <c r="AR350" s="54">
        <f t="shared" si="1401"/>
        <v>58.769000000000005</v>
      </c>
      <c r="AS350" s="54">
        <f t="shared" si="1401"/>
        <v>91.110000000000127</v>
      </c>
      <c r="AT350" s="54">
        <f t="shared" ref="AT350" si="1402">(AT306-AT300)-(AT319-AT315)</f>
        <v>157.77700000000016</v>
      </c>
      <c r="AU350" s="54">
        <f t="shared" ref="AU350:BF350" si="1403">(AU306-AU300)-(AU319-AU315)</f>
        <v>175.06130040363723</v>
      </c>
      <c r="AV350" s="54">
        <f t="shared" si="1403"/>
        <v>201.08190402743503</v>
      </c>
      <c r="AW350" s="54">
        <f t="shared" si="1403"/>
        <v>225.34270697173838</v>
      </c>
      <c r="AX350" s="54">
        <f t="shared" si="1403"/>
        <v>246.5152453736921</v>
      </c>
      <c r="AY350" s="54">
        <f t="shared" si="1403"/>
        <v>268.4919774987643</v>
      </c>
      <c r="AZ350" s="54">
        <f t="shared" si="1403"/>
        <v>283.45776308507322</v>
      </c>
      <c r="BA350" s="54">
        <f t="shared" si="1403"/>
        <v>301.29728086377713</v>
      </c>
      <c r="BB350" s="54">
        <f t="shared" si="1403"/>
        <v>312.80376500071372</v>
      </c>
      <c r="BC350" s="54">
        <f t="shared" si="1403"/>
        <v>323.11533814273002</v>
      </c>
      <c r="BD350" s="54">
        <f t="shared" si="1403"/>
        <v>322.38888051225149</v>
      </c>
      <c r="BE350" s="54">
        <f t="shared" si="1403"/>
        <v>318.52053781040217</v>
      </c>
      <c r="BF350" s="54">
        <f t="shared" si="1403"/>
        <v>317.78565134344592</v>
      </c>
      <c r="BI350">
        <f t="shared" si="1391"/>
        <v>343</v>
      </c>
    </row>
    <row r="351" spans="1:61" hidden="1" outlineLevel="2">
      <c r="A351" s="35"/>
      <c r="B351" s="29" t="s">
        <v>210</v>
      </c>
      <c r="C351" s="99">
        <f t="shared" ref="C351:L351" si="1404">C306/C319</f>
        <v>1.764151092684316</v>
      </c>
      <c r="D351" s="99">
        <f t="shared" si="1404"/>
        <v>1.8269120541087911</v>
      </c>
      <c r="E351" s="99">
        <f t="shared" si="1404"/>
        <v>1.9451596857693065</v>
      </c>
      <c r="F351" s="99">
        <f t="shared" si="1404"/>
        <v>2.2825359817318089</v>
      </c>
      <c r="G351" s="99">
        <f t="shared" si="1404"/>
        <v>1.5993764998135129</v>
      </c>
      <c r="H351" s="99">
        <f t="shared" si="1404"/>
        <v>1.5789856295353939</v>
      </c>
      <c r="I351" s="99">
        <f t="shared" si="1404"/>
        <v>1.0698827483337425</v>
      </c>
      <c r="J351" s="99">
        <f t="shared" si="1404"/>
        <v>1.3672402745995427</v>
      </c>
      <c r="K351" s="99">
        <f t="shared" si="1404"/>
        <v>1.9733029920247367</v>
      </c>
      <c r="L351" s="99">
        <f t="shared" si="1404"/>
        <v>1.5397530899570044</v>
      </c>
      <c r="M351" s="99">
        <f t="shared" ref="M351" si="1405">M306/M319</f>
        <v>2.2937075580401811</v>
      </c>
      <c r="O351" s="99">
        <f t="shared" ref="O351" si="1406">O306/O319</f>
        <v>1.643246072132462</v>
      </c>
      <c r="P351" s="99">
        <f t="shared" ref="P351:AS351" si="1407">P306/P319</f>
        <v>1.294382477514723</v>
      </c>
      <c r="Q351" s="99">
        <f t="shared" si="1407"/>
        <v>1.4470822395938501</v>
      </c>
      <c r="R351" s="99">
        <f t="shared" si="1407"/>
        <v>1.764151092684316</v>
      </c>
      <c r="S351" s="99">
        <f t="shared" si="1407"/>
        <v>1.793229993654581</v>
      </c>
      <c r="T351" s="99">
        <f t="shared" si="1407"/>
        <v>1.5852710545580786</v>
      </c>
      <c r="U351" s="99">
        <f t="shared" si="1407"/>
        <v>1.6033538600702781</v>
      </c>
      <c r="V351" s="99">
        <f t="shared" si="1407"/>
        <v>1.8269120541087911</v>
      </c>
      <c r="W351" s="99">
        <f t="shared" si="1407"/>
        <v>1.7226800397781228</v>
      </c>
      <c r="X351" s="99">
        <f t="shared" si="1407"/>
        <v>2.0104864141856043</v>
      </c>
      <c r="Y351" s="99">
        <f t="shared" si="1407"/>
        <v>1.867932132349978</v>
      </c>
      <c r="Z351" s="99">
        <f t="shared" si="1407"/>
        <v>1.9451596857693065</v>
      </c>
      <c r="AA351" s="99">
        <f t="shared" si="1407"/>
        <v>1.9015144130879762</v>
      </c>
      <c r="AB351" s="99">
        <f t="shared" si="1407"/>
        <v>2.1908092870397917</v>
      </c>
      <c r="AC351" s="99">
        <f t="shared" si="1407"/>
        <v>2.2927753903141324</v>
      </c>
      <c r="AD351" s="99">
        <f t="shared" si="1407"/>
        <v>2.2825359817318089</v>
      </c>
      <c r="AE351" s="99">
        <f t="shared" si="1407"/>
        <v>1.8598814484007768</v>
      </c>
      <c r="AF351" s="99">
        <f t="shared" si="1407"/>
        <v>1.5117596426280073</v>
      </c>
      <c r="AG351" s="99">
        <f t="shared" si="1407"/>
        <v>1.2734654412553263</v>
      </c>
      <c r="AH351" s="99">
        <f t="shared" si="1407"/>
        <v>1.5993764998135129</v>
      </c>
      <c r="AI351" s="99">
        <f t="shared" si="1407"/>
        <v>1.2265436591178278</v>
      </c>
      <c r="AJ351" s="99">
        <f t="shared" si="1407"/>
        <v>1.151050976664056</v>
      </c>
      <c r="AK351" s="99">
        <f t="shared" si="1407"/>
        <v>1.2768754560350637</v>
      </c>
      <c r="AL351" s="99">
        <f t="shared" si="1407"/>
        <v>1.5789856295353939</v>
      </c>
      <c r="AM351" s="99">
        <f t="shared" si="1407"/>
        <v>1.5770141423939961</v>
      </c>
      <c r="AN351" s="99">
        <f t="shared" si="1407"/>
        <v>1.5607700369195785</v>
      </c>
      <c r="AO351" s="99">
        <f t="shared" si="1407"/>
        <v>1.1857177303704456</v>
      </c>
      <c r="AP351" s="99">
        <f t="shared" si="1407"/>
        <v>1.0698827483337425</v>
      </c>
      <c r="AQ351" s="99">
        <f t="shared" si="1407"/>
        <v>2.481401657567496</v>
      </c>
      <c r="AR351" s="99">
        <f t="shared" si="1407"/>
        <v>1.209160237539336</v>
      </c>
      <c r="AS351" s="99">
        <f t="shared" si="1407"/>
        <v>1.2347309901920096</v>
      </c>
      <c r="AT351" s="99">
        <f t="shared" ref="AT351" si="1408">AT306/AT319</f>
        <v>1.3672402745995427</v>
      </c>
      <c r="AU351" s="99">
        <f t="shared" ref="AU351:BF351" si="1409">AU306/AU319</f>
        <v>1.9034803306670969</v>
      </c>
      <c r="AV351" s="99">
        <f t="shared" si="1409"/>
        <v>1.9032633932076493</v>
      </c>
      <c r="AW351" s="99">
        <f t="shared" si="1409"/>
        <v>1.9297150554901963</v>
      </c>
      <c r="AX351" s="99">
        <f t="shared" si="1409"/>
        <v>1.9733029920247367</v>
      </c>
      <c r="AY351" s="99">
        <f t="shared" si="1409"/>
        <v>2.050383152712854</v>
      </c>
      <c r="AZ351" s="99">
        <f t="shared" si="1409"/>
        <v>2.152999396469097</v>
      </c>
      <c r="BA351" s="99">
        <f t="shared" si="1409"/>
        <v>1.5018771556254913</v>
      </c>
      <c r="BB351" s="99">
        <f t="shared" si="1409"/>
        <v>1.5397530899570044</v>
      </c>
      <c r="BC351" s="99">
        <f t="shared" si="1409"/>
        <v>1.6289996944967131</v>
      </c>
      <c r="BD351" s="99">
        <f t="shared" si="1409"/>
        <v>1.7233263570162471</v>
      </c>
      <c r="BE351" s="99">
        <f t="shared" si="1409"/>
        <v>2.1614808123065421</v>
      </c>
      <c r="BF351" s="99">
        <f t="shared" si="1409"/>
        <v>2.2937075580401811</v>
      </c>
      <c r="BI351">
        <f t="shared" si="1391"/>
        <v>344</v>
      </c>
    </row>
    <row r="352" spans="1:61" hidden="1" outlineLevel="2">
      <c r="A352" s="35"/>
      <c r="B352" s="29" t="s">
        <v>211</v>
      </c>
      <c r="C352" s="99">
        <f t="shared" ref="C352:M352" si="1410">C16/AVERAGE(B301:C301)</f>
        <v>4.3388914098948002</v>
      </c>
      <c r="D352" s="99">
        <f t="shared" si="1410"/>
        <v>6.0002689190390006</v>
      </c>
      <c r="E352" s="99">
        <f t="shared" si="1410"/>
        <v>5.5374990087695926</v>
      </c>
      <c r="F352" s="99">
        <f t="shared" si="1410"/>
        <v>5.7812578377682833</v>
      </c>
      <c r="G352" s="99">
        <f t="shared" si="1410"/>
        <v>5.7085497537493692</v>
      </c>
      <c r="H352" s="99">
        <f t="shared" si="1410"/>
        <v>4.1260548355973885</v>
      </c>
      <c r="I352" s="99">
        <f t="shared" si="1410"/>
        <v>4.847214102560617</v>
      </c>
      <c r="J352" s="99">
        <f t="shared" si="1410"/>
        <v>6.4704514410834042</v>
      </c>
      <c r="K352" s="99">
        <f t="shared" si="1410"/>
        <v>5.4278283351954384</v>
      </c>
      <c r="L352" s="99">
        <f t="shared" si="1410"/>
        <v>5.5347014508238264</v>
      </c>
      <c r="M352" s="99">
        <f t="shared" si="1410"/>
        <v>5.4782978776166402</v>
      </c>
      <c r="O352" s="99">
        <f t="shared" ref="O352:BF352" si="1411">O16*4/AVERAGE(N301:O301)</f>
        <v>6.0837075946106358</v>
      </c>
      <c r="P352" s="99">
        <f t="shared" si="1411"/>
        <v>6.4712999852442072</v>
      </c>
      <c r="Q352" s="99">
        <f t="shared" si="1411"/>
        <v>6.6933519523447593</v>
      </c>
      <c r="R352" s="99">
        <f t="shared" si="1411"/>
        <v>6.8704733081640521</v>
      </c>
      <c r="S352" s="99">
        <f t="shared" si="1411"/>
        <v>6.3001575305866115</v>
      </c>
      <c r="T352" s="99">
        <f t="shared" si="1411"/>
        <v>6.0798682835702742</v>
      </c>
      <c r="U352" s="99">
        <f t="shared" si="1411"/>
        <v>6.1363500797974675</v>
      </c>
      <c r="V352" s="99">
        <f t="shared" si="1411"/>
        <v>5.8537466072120967</v>
      </c>
      <c r="W352" s="99">
        <f t="shared" si="1411"/>
        <v>5.5373537220098781</v>
      </c>
      <c r="X352" s="99">
        <f t="shared" si="1411"/>
        <v>5.0065383018056595</v>
      </c>
      <c r="Y352" s="99">
        <f t="shared" si="1411"/>
        <v>5.1511393625812074</v>
      </c>
      <c r="Z352" s="99">
        <f t="shared" si="1411"/>
        <v>5.5772543717151395</v>
      </c>
      <c r="AA352" s="99">
        <f t="shared" si="1411"/>
        <v>5.5775581214260397</v>
      </c>
      <c r="AB352" s="99">
        <f t="shared" si="1411"/>
        <v>5.3114211311771555</v>
      </c>
      <c r="AC352" s="99">
        <f t="shared" si="1411"/>
        <v>5.3954218939904788</v>
      </c>
      <c r="AD352" s="99">
        <f t="shared" si="1411"/>
        <v>5.5839909988184884</v>
      </c>
      <c r="AE352" s="99">
        <f t="shared" si="1411"/>
        <v>5.7873916466298718</v>
      </c>
      <c r="AF352" s="99">
        <f t="shared" si="1411"/>
        <v>6.0956658667511867</v>
      </c>
      <c r="AG352" s="99">
        <f t="shared" si="1411"/>
        <v>6.1427454569723317</v>
      </c>
      <c r="AH352" s="99">
        <f t="shared" si="1411"/>
        <v>5.7366995099369253</v>
      </c>
      <c r="AI352" s="99">
        <f t="shared" si="1411"/>
        <v>4.4716864479836991</v>
      </c>
      <c r="AJ352" s="99">
        <f t="shared" si="1411"/>
        <v>4.4769888408486631</v>
      </c>
      <c r="AK352" s="99">
        <f t="shared" si="1411"/>
        <v>4.9663022069592442</v>
      </c>
      <c r="AL352" s="99">
        <f t="shared" si="1411"/>
        <v>5.0541522338707523</v>
      </c>
      <c r="AM352" s="99">
        <f t="shared" si="1411"/>
        <v>5.0125207167048078</v>
      </c>
      <c r="AN352" s="99">
        <f t="shared" si="1411"/>
        <v>4.843395474927088</v>
      </c>
      <c r="AO352" s="99">
        <f t="shared" si="1411"/>
        <v>5.9729316297839494</v>
      </c>
      <c r="AP352" s="99">
        <f t="shared" si="1411"/>
        <v>6.6824796670565503</v>
      </c>
      <c r="AQ352" s="99">
        <f t="shared" si="1411"/>
        <v>6.8096239561310048</v>
      </c>
      <c r="AR352" s="99">
        <f t="shared" si="1411"/>
        <v>7.1971258020773616</v>
      </c>
      <c r="AS352" s="99">
        <f t="shared" si="1411"/>
        <v>5.6038982487536746</v>
      </c>
      <c r="AT352" s="99">
        <f t="shared" si="1411"/>
        <v>5.5995014503988489</v>
      </c>
      <c r="AU352" s="99">
        <f t="shared" si="1411"/>
        <v>5.3325385843714983</v>
      </c>
      <c r="AV352" s="99">
        <f t="shared" si="1411"/>
        <v>5.5786335159555609</v>
      </c>
      <c r="AW352" s="99">
        <f t="shared" si="1411"/>
        <v>5.5915740817723716</v>
      </c>
      <c r="AX352" s="99">
        <f t="shared" si="1411"/>
        <v>5.5764029718628967</v>
      </c>
      <c r="AY352" s="99">
        <f t="shared" si="1411"/>
        <v>5.4647414011698006</v>
      </c>
      <c r="AZ352" s="99">
        <f t="shared" si="1411"/>
        <v>5.4706445077583101</v>
      </c>
      <c r="BA352" s="99">
        <f t="shared" si="1411"/>
        <v>5.5547327937047166</v>
      </c>
      <c r="BB352" s="99">
        <f t="shared" si="1411"/>
        <v>5.5193635699731622</v>
      </c>
      <c r="BC352" s="99">
        <f t="shared" si="1411"/>
        <v>5.4494669265540443</v>
      </c>
      <c r="BD352" s="99">
        <f t="shared" si="1411"/>
        <v>5.3886144471199113</v>
      </c>
      <c r="BE352" s="99">
        <f t="shared" si="1411"/>
        <v>5.4305001259205286</v>
      </c>
      <c r="BF352" s="99">
        <f t="shared" si="1411"/>
        <v>5.4486647993710458</v>
      </c>
      <c r="BI352">
        <f t="shared" si="1391"/>
        <v>345</v>
      </c>
    </row>
    <row r="353" spans="1:61" hidden="1" outlineLevel="2">
      <c r="A353" s="35"/>
      <c r="B353" s="29" t="s">
        <v>212</v>
      </c>
      <c r="C353" s="54">
        <f t="shared" ref="C353:M353" si="1412">C301/(C16/C6)</f>
        <v>84.122870456638069</v>
      </c>
      <c r="D353" s="54">
        <f t="shared" si="1412"/>
        <v>73.699916560890088</v>
      </c>
      <c r="E353" s="54">
        <f t="shared" si="1412"/>
        <v>62.560896727416399</v>
      </c>
      <c r="F353" s="54">
        <f t="shared" si="1412"/>
        <v>62.171191392803316</v>
      </c>
      <c r="G353" s="54">
        <f t="shared" si="1412"/>
        <v>76.090608935512179</v>
      </c>
      <c r="H353" s="54">
        <f t="shared" si="1412"/>
        <v>44.011329392197872</v>
      </c>
      <c r="I353" s="54">
        <f t="shared" si="1412"/>
        <v>60.810631057776561</v>
      </c>
      <c r="J353" s="54">
        <f t="shared" si="1412"/>
        <v>89.88443507911964</v>
      </c>
      <c r="K353" s="54">
        <f t="shared" si="1412"/>
        <v>74.073258428900772</v>
      </c>
      <c r="L353" s="54">
        <f t="shared" si="1412"/>
        <v>71.823786380538607</v>
      </c>
      <c r="M353" s="54">
        <f t="shared" si="1412"/>
        <v>68.409778136812761</v>
      </c>
      <c r="O353" s="54">
        <f t="shared" ref="O353:AS353" si="1413">O301/(O16/O6)</f>
        <v>59.174441638009128</v>
      </c>
      <c r="P353" s="54">
        <f t="shared" si="1413"/>
        <v>59.562978839839481</v>
      </c>
      <c r="Q353" s="54">
        <f t="shared" si="1413"/>
        <v>61.139937094461303</v>
      </c>
      <c r="R353" s="54">
        <f t="shared" si="1413"/>
        <v>61.342126807968704</v>
      </c>
      <c r="S353" s="54">
        <f t="shared" si="1413"/>
        <v>60.80239124151398</v>
      </c>
      <c r="T353" s="54">
        <f t="shared" si="1413"/>
        <v>61.607556860601548</v>
      </c>
      <c r="U353" s="54">
        <f t="shared" si="1413"/>
        <v>64.474738360531177</v>
      </c>
      <c r="V353" s="54">
        <f t="shared" si="1413"/>
        <v>65.778272731412684</v>
      </c>
      <c r="W353" s="54">
        <f t="shared" si="1413"/>
        <v>68.263084160386953</v>
      </c>
      <c r="X353" s="54">
        <f t="shared" si="1413"/>
        <v>70.651417094398568</v>
      </c>
      <c r="Y353" s="54">
        <f t="shared" si="1413"/>
        <v>67.293700893835137</v>
      </c>
      <c r="Z353" s="54">
        <f t="shared" si="1413"/>
        <v>65.610975105323632</v>
      </c>
      <c r="AA353" s="54">
        <f t="shared" si="1413"/>
        <v>66.279033159980159</v>
      </c>
      <c r="AB353" s="54">
        <f t="shared" si="1413"/>
        <v>69.262666157047619</v>
      </c>
      <c r="AC353" s="54">
        <f t="shared" si="1413"/>
        <v>67.309529760951463</v>
      </c>
      <c r="AD353" s="54">
        <f t="shared" si="1413"/>
        <v>63.289414223965217</v>
      </c>
      <c r="AE353" s="54">
        <f t="shared" si="1413"/>
        <v>64.487339420320637</v>
      </c>
      <c r="AF353" s="54">
        <f t="shared" si="1413"/>
        <v>61.036702602485747</v>
      </c>
      <c r="AG353" s="54">
        <f t="shared" si="1413"/>
        <v>64.555946586442261</v>
      </c>
      <c r="AH353" s="54">
        <f t="shared" si="1413"/>
        <v>67.722904199756115</v>
      </c>
      <c r="AI353" s="54">
        <f t="shared" si="1413"/>
        <v>67.998753709661088</v>
      </c>
      <c r="AJ353" s="54">
        <f t="shared" si="1413"/>
        <v>66.070600948024875</v>
      </c>
      <c r="AK353" s="54">
        <f t="shared" si="1413"/>
        <v>70.566288124346954</v>
      </c>
      <c r="AL353" s="54">
        <f t="shared" si="1413"/>
        <v>61.354746457878583</v>
      </c>
      <c r="AM353" s="54">
        <f t="shared" si="1413"/>
        <v>65.961584372013348</v>
      </c>
      <c r="AN353" s="54">
        <f t="shared" si="1413"/>
        <v>62.063054411951931</v>
      </c>
      <c r="AO353" s="54">
        <f t="shared" si="1413"/>
        <v>65.529703308389514</v>
      </c>
      <c r="AP353" s="54">
        <f t="shared" si="1413"/>
        <v>55.458472409919082</v>
      </c>
      <c r="AQ353" s="54">
        <f t="shared" si="1413"/>
        <v>62.058785942492001</v>
      </c>
      <c r="AR353" s="54">
        <f t="shared" si="1413"/>
        <v>68.08919069176396</v>
      </c>
      <c r="AS353" s="54">
        <f t="shared" si="1413"/>
        <v>73.132310153885697</v>
      </c>
      <c r="AT353" s="54">
        <f t="shared" ref="AT353" si="1414">AT301/(AT16/AT6)</f>
        <v>67.814381190193743</v>
      </c>
      <c r="AU353" s="61">
        <f t="shared" ref="AU353:BF357" si="1415">AT353</f>
        <v>67.814381190193743</v>
      </c>
      <c r="AV353" s="61">
        <f t="shared" si="1415"/>
        <v>67.814381190193743</v>
      </c>
      <c r="AW353" s="61">
        <f t="shared" si="1415"/>
        <v>67.814381190193743</v>
      </c>
      <c r="AX353" s="61">
        <f t="shared" si="1415"/>
        <v>67.814381190193743</v>
      </c>
      <c r="AY353" s="61">
        <f t="shared" si="1415"/>
        <v>67.814381190193743</v>
      </c>
      <c r="AZ353" s="61">
        <f t="shared" si="1415"/>
        <v>67.814381190193743</v>
      </c>
      <c r="BA353" s="61">
        <f t="shared" si="1415"/>
        <v>67.814381190193743</v>
      </c>
      <c r="BB353" s="61">
        <f t="shared" si="1415"/>
        <v>67.814381190193743</v>
      </c>
      <c r="BC353" s="61">
        <f t="shared" si="1415"/>
        <v>67.814381190193743</v>
      </c>
      <c r="BD353" s="61">
        <f t="shared" si="1415"/>
        <v>67.814381190193743</v>
      </c>
      <c r="BE353" s="61">
        <f t="shared" si="1415"/>
        <v>67.814381190193743</v>
      </c>
      <c r="BF353" s="61">
        <f t="shared" si="1415"/>
        <v>67.814381190193743</v>
      </c>
      <c r="BI353">
        <f t="shared" si="1391"/>
        <v>346</v>
      </c>
    </row>
    <row r="354" spans="1:61" hidden="1" outlineLevel="2">
      <c r="A354" s="35"/>
      <c r="B354" s="29" t="s">
        <v>213</v>
      </c>
      <c r="C354" s="99">
        <f t="shared" ref="C354:M354" si="1416">-C23/AVERAGE(B303:C303)</f>
        <v>52.152076677316295</v>
      </c>
      <c r="D354" s="99">
        <f t="shared" si="1416"/>
        <v>63.456688856371457</v>
      </c>
      <c r="E354" s="99">
        <f t="shared" si="1416"/>
        <v>57.313239969069514</v>
      </c>
      <c r="F354" s="99">
        <f t="shared" si="1416"/>
        <v>71.708083179259205</v>
      </c>
      <c r="G354" s="99">
        <f t="shared" si="1416"/>
        <v>79.106936578253809</v>
      </c>
      <c r="H354" s="99">
        <f t="shared" si="1416"/>
        <v>52.478080354291308</v>
      </c>
      <c r="I354" s="99">
        <f t="shared" si="1416"/>
        <v>37.171684762368585</v>
      </c>
      <c r="J354" s="99">
        <f t="shared" si="1416"/>
        <v>38.470108999753798</v>
      </c>
      <c r="K354" s="99">
        <f t="shared" si="1416"/>
        <v>33.074365702266512</v>
      </c>
      <c r="L354" s="99">
        <f t="shared" si="1416"/>
        <v>33.367401960405303</v>
      </c>
      <c r="M354" s="99">
        <f t="shared" si="1416"/>
        <v>33.171656947405118</v>
      </c>
      <c r="O354" s="99">
        <f t="shared" ref="O354:BF354" si="1417">-O23*4/AVERAGE(N303:O303)</f>
        <v>75.406884755184947</v>
      </c>
      <c r="P354" s="99">
        <f t="shared" si="1417"/>
        <v>80.54153846153848</v>
      </c>
      <c r="Q354" s="99">
        <f t="shared" si="1417"/>
        <v>94.171050591700691</v>
      </c>
      <c r="R354" s="99">
        <f t="shared" si="1417"/>
        <v>89.922751916246028</v>
      </c>
      <c r="S354" s="99">
        <f t="shared" si="1417"/>
        <v>76.236391213976745</v>
      </c>
      <c r="T354" s="99">
        <f t="shared" si="1417"/>
        <v>66.815943448045275</v>
      </c>
      <c r="U354" s="99">
        <f t="shared" si="1417"/>
        <v>67.207862648342228</v>
      </c>
      <c r="V354" s="99">
        <f t="shared" si="1417"/>
        <v>61.692659421054479</v>
      </c>
      <c r="W354" s="99">
        <f t="shared" si="1417"/>
        <v>60.407874304987388</v>
      </c>
      <c r="X354" s="99">
        <f t="shared" si="1417"/>
        <v>59.076945064761055</v>
      </c>
      <c r="Y354" s="99">
        <f t="shared" si="1417"/>
        <v>59.870807359837279</v>
      </c>
      <c r="Z354" s="99">
        <f t="shared" si="1417"/>
        <v>61.553214951138827</v>
      </c>
      <c r="AA354" s="99">
        <f t="shared" si="1417"/>
        <v>67.114740284493308</v>
      </c>
      <c r="AB354" s="99">
        <f t="shared" si="1417"/>
        <v>74.049025877136884</v>
      </c>
      <c r="AC354" s="99">
        <f t="shared" si="1417"/>
        <v>74.208234855081471</v>
      </c>
      <c r="AD354" s="99">
        <f t="shared" si="1417"/>
        <v>74.881419972760412</v>
      </c>
      <c r="AE354" s="99">
        <f t="shared" si="1417"/>
        <v>82.73844822481837</v>
      </c>
      <c r="AF354" s="99">
        <f t="shared" si="1417"/>
        <v>78.169414706571857</v>
      </c>
      <c r="AG354" s="99">
        <f t="shared" si="1417"/>
        <v>78.005235148300315</v>
      </c>
      <c r="AH354" s="99">
        <f t="shared" si="1417"/>
        <v>78.065165355869283</v>
      </c>
      <c r="AI354" s="99">
        <f t="shared" si="1417"/>
        <v>56.548409987293098</v>
      </c>
      <c r="AJ354" s="99">
        <f t="shared" si="1417"/>
        <v>46.945470226194679</v>
      </c>
      <c r="AK354" s="99">
        <f t="shared" si="1417"/>
        <v>55.43652416820472</v>
      </c>
      <c r="AL354" s="99">
        <f t="shared" si="1417"/>
        <v>56.461260812745039</v>
      </c>
      <c r="AM354" s="99">
        <f t="shared" si="1417"/>
        <v>48.912084765177553</v>
      </c>
      <c r="AN354" s="99">
        <f t="shared" si="1417"/>
        <v>43.632514544279246</v>
      </c>
      <c r="AO354" s="99">
        <f t="shared" si="1417"/>
        <v>39.150877863811623</v>
      </c>
      <c r="AP354" s="99">
        <f t="shared" si="1417"/>
        <v>37.83866939713301</v>
      </c>
      <c r="AQ354" s="99">
        <f t="shared" si="1417"/>
        <v>45.034656246183907</v>
      </c>
      <c r="AR354" s="99">
        <f t="shared" si="1417"/>
        <v>60.082129170621947</v>
      </c>
      <c r="AS354" s="99">
        <f t="shared" si="1417"/>
        <v>51.367532940992653</v>
      </c>
      <c r="AT354" s="99">
        <f t="shared" si="1417"/>
        <v>41.36454264878595</v>
      </c>
      <c r="AU354" s="99">
        <f t="shared" si="1417"/>
        <v>32.485568563855708</v>
      </c>
      <c r="AV354" s="99">
        <f t="shared" si="1417"/>
        <v>33.574291660379394</v>
      </c>
      <c r="AW354" s="99">
        <f t="shared" si="1417"/>
        <v>33.50286714490305</v>
      </c>
      <c r="AX354" s="99">
        <f t="shared" si="1417"/>
        <v>33.560485136128356</v>
      </c>
      <c r="AY354" s="99">
        <f t="shared" si="1417"/>
        <v>33.006993255020127</v>
      </c>
      <c r="AZ354" s="99">
        <f t="shared" si="1417"/>
        <v>32.998167847683476</v>
      </c>
      <c r="BA354" s="99">
        <f t="shared" si="1417"/>
        <v>33.609183776765107</v>
      </c>
      <c r="BB354" s="99">
        <f t="shared" si="1417"/>
        <v>33.431738141104013</v>
      </c>
      <c r="BC354" s="99">
        <f t="shared" si="1417"/>
        <v>32.997094228587819</v>
      </c>
      <c r="BD354" s="99">
        <f t="shared" si="1417"/>
        <v>32.608311587519715</v>
      </c>
      <c r="BE354" s="99">
        <f t="shared" si="1417"/>
        <v>32.850791534357413</v>
      </c>
      <c r="BF354" s="99">
        <f t="shared" si="1417"/>
        <v>32.972329871768927</v>
      </c>
      <c r="BI354">
        <f t="shared" si="1391"/>
        <v>347</v>
      </c>
    </row>
    <row r="355" spans="1:61" hidden="1" outlineLevel="2">
      <c r="A355" s="35"/>
      <c r="B355" s="29" t="s">
        <v>214</v>
      </c>
      <c r="C355" s="54">
        <f t="shared" ref="C355:M355" si="1418">C303/(-C23/C6)</f>
        <v>6.9987625278737529</v>
      </c>
      <c r="D355" s="54">
        <f t="shared" si="1418"/>
        <v>7.4223818132096913</v>
      </c>
      <c r="E355" s="54">
        <f t="shared" si="1418"/>
        <v>5.9012647570985175</v>
      </c>
      <c r="F355" s="54">
        <f t="shared" si="1418"/>
        <v>4.4935935097276438</v>
      </c>
      <c r="G355" s="54">
        <f t="shared" si="1418"/>
        <v>5.562958426253183</v>
      </c>
      <c r="H355" s="54">
        <f t="shared" si="1418"/>
        <v>4.3585484542373267</v>
      </c>
      <c r="I355" s="54">
        <f t="shared" si="1418"/>
        <v>11.390535408214852</v>
      </c>
      <c r="J355" s="54">
        <f t="shared" si="1418"/>
        <v>14.688077072107033</v>
      </c>
      <c r="K355" s="54">
        <f t="shared" si="1418"/>
        <v>11.987200748200227</v>
      </c>
      <c r="L355" s="54">
        <f t="shared" si="1418"/>
        <v>11.858110362335037</v>
      </c>
      <c r="M355" s="54">
        <f t="shared" si="1418"/>
        <v>11.293336689001105</v>
      </c>
      <c r="O355" s="54">
        <f t="shared" ref="O355:AS355" si="1419">O303/(-O23/O6)</f>
        <v>4.774099887149184</v>
      </c>
      <c r="P355" s="54">
        <f t="shared" si="1419"/>
        <v>4.6294755708424846</v>
      </c>
      <c r="Q355" s="54">
        <f t="shared" si="1419"/>
        <v>3.8490175075069795</v>
      </c>
      <c r="R355" s="54">
        <f t="shared" si="1419"/>
        <v>5.2683261094460505</v>
      </c>
      <c r="S355" s="54">
        <f t="shared" si="1419"/>
        <v>4.8776052182473597</v>
      </c>
      <c r="T355" s="54">
        <f t="shared" si="1419"/>
        <v>6.1111965755755264</v>
      </c>
      <c r="U355" s="54">
        <f t="shared" si="1419"/>
        <v>5.7066657605199991</v>
      </c>
      <c r="V355" s="54">
        <f t="shared" si="1419"/>
        <v>6.5682514777785892</v>
      </c>
      <c r="W355" s="54">
        <f t="shared" si="1419"/>
        <v>5.7519414641912636</v>
      </c>
      <c r="X355" s="54">
        <f t="shared" si="1419"/>
        <v>6.029916246123177</v>
      </c>
      <c r="Y355" s="54">
        <f t="shared" si="1419"/>
        <v>5.9519810762862218</v>
      </c>
      <c r="Z355" s="54">
        <f t="shared" si="1419"/>
        <v>6.1126917175071709</v>
      </c>
      <c r="AA355" s="54">
        <f t="shared" si="1419"/>
        <v>4.9404759057754388</v>
      </c>
      <c r="AB355" s="54">
        <f t="shared" si="1419"/>
        <v>5.0210711999299926</v>
      </c>
      <c r="AC355" s="54">
        <f t="shared" si="1419"/>
        <v>4.991301238210184</v>
      </c>
      <c r="AD355" s="54">
        <f t="shared" si="1419"/>
        <v>4.5877576309452852</v>
      </c>
      <c r="AE355" s="54">
        <f t="shared" si="1419"/>
        <v>4.4912703323417178</v>
      </c>
      <c r="AF355" s="54">
        <f t="shared" si="1419"/>
        <v>5.1898166012551803</v>
      </c>
      <c r="AG355" s="54">
        <f t="shared" si="1419"/>
        <v>4.7697258242871818</v>
      </c>
      <c r="AH355" s="54">
        <f t="shared" si="1419"/>
        <v>4.9511194322491932</v>
      </c>
      <c r="AI355" s="54">
        <f t="shared" si="1419"/>
        <v>5.9559735065941695</v>
      </c>
      <c r="AJ355" s="54">
        <f t="shared" si="1419"/>
        <v>6.8913465360424606</v>
      </c>
      <c r="AK355" s="54">
        <f t="shared" si="1419"/>
        <v>5.768998754652058</v>
      </c>
      <c r="AL355" s="54">
        <f t="shared" si="1419"/>
        <v>5.9689532182048239</v>
      </c>
      <c r="AM355" s="54">
        <f t="shared" si="1419"/>
        <v>7.0434013852377912</v>
      </c>
      <c r="AN355" s="54">
        <f t="shared" si="1419"/>
        <v>7.7734798035541006</v>
      </c>
      <c r="AO355" s="54">
        <f t="shared" si="1419"/>
        <v>11.891160537555995</v>
      </c>
      <c r="AP355" s="54">
        <f t="shared" si="1419"/>
        <v>9.808080594745288</v>
      </c>
      <c r="AQ355" s="54">
        <f t="shared" si="1419"/>
        <v>8.1037602009605489</v>
      </c>
      <c r="AR355" s="54">
        <f t="shared" si="1419"/>
        <v>7.6961348597590522</v>
      </c>
      <c r="AS355" s="54">
        <f t="shared" si="1419"/>
        <v>7.5875365504487435</v>
      </c>
      <c r="AT355" s="54">
        <f t="shared" ref="AT355" si="1420">AT303/(-AT23/AT6)</f>
        <v>11.204486468402797</v>
      </c>
      <c r="AU355" s="61">
        <f t="shared" si="1415"/>
        <v>11.204486468402797</v>
      </c>
      <c r="AV355" s="61">
        <f t="shared" si="1415"/>
        <v>11.204486468402797</v>
      </c>
      <c r="AW355" s="61">
        <f t="shared" si="1415"/>
        <v>11.204486468402797</v>
      </c>
      <c r="AX355" s="61">
        <f t="shared" si="1415"/>
        <v>11.204486468402797</v>
      </c>
      <c r="AY355" s="61">
        <f t="shared" si="1415"/>
        <v>11.204486468402797</v>
      </c>
      <c r="AZ355" s="61">
        <f t="shared" si="1415"/>
        <v>11.204486468402797</v>
      </c>
      <c r="BA355" s="61">
        <f t="shared" si="1415"/>
        <v>11.204486468402797</v>
      </c>
      <c r="BB355" s="61">
        <f t="shared" si="1415"/>
        <v>11.204486468402797</v>
      </c>
      <c r="BC355" s="61">
        <f t="shared" si="1415"/>
        <v>11.204486468402797</v>
      </c>
      <c r="BD355" s="61">
        <f t="shared" si="1415"/>
        <v>11.204486468402797</v>
      </c>
      <c r="BE355" s="61">
        <f t="shared" si="1415"/>
        <v>11.204486468402797</v>
      </c>
      <c r="BF355" s="61">
        <f t="shared" si="1415"/>
        <v>11.204486468402797</v>
      </c>
      <c r="BI355">
        <f t="shared" si="1391"/>
        <v>348</v>
      </c>
    </row>
    <row r="356" spans="1:61" hidden="1" outlineLevel="2">
      <c r="A356" s="35"/>
      <c r="B356" s="29" t="s">
        <v>215</v>
      </c>
      <c r="C356" s="99">
        <f t="shared" ref="C356:M356" si="1421">-C23/AVERAGE(B316:C316)</f>
        <v>5.5283128078817736</v>
      </c>
      <c r="D356" s="99">
        <f t="shared" si="1421"/>
        <v>7.6210539343085557</v>
      </c>
      <c r="E356" s="99">
        <f t="shared" si="1421"/>
        <v>7.7488110809347805</v>
      </c>
      <c r="F356" s="99">
        <f t="shared" si="1421"/>
        <v>9.5361035215333754</v>
      </c>
      <c r="G356" s="99">
        <f t="shared" si="1421"/>
        <v>7.6174107432125968</v>
      </c>
      <c r="H356" s="99">
        <f t="shared" si="1421"/>
        <v>5.2981305176813001</v>
      </c>
      <c r="I356" s="99">
        <f t="shared" si="1421"/>
        <v>6.2251220986576357</v>
      </c>
      <c r="J356" s="99">
        <f t="shared" si="1421"/>
        <v>7.7199744884209771</v>
      </c>
      <c r="K356" s="99">
        <f t="shared" si="1421"/>
        <v>7.1573978322096101</v>
      </c>
      <c r="L356" s="99">
        <f t="shared" si="1421"/>
        <v>7.2208118095974712</v>
      </c>
      <c r="M356" s="99">
        <f t="shared" si="1421"/>
        <v>7.1784519668018376</v>
      </c>
      <c r="O356" s="99">
        <f t="shared" ref="O356:BF356" si="1422">-O23*4/AVERAGE(N316:O316)</f>
        <v>4.2904605203131361</v>
      </c>
      <c r="P356" s="99">
        <f t="shared" si="1422"/>
        <v>4.5861031676035546</v>
      </c>
      <c r="Q356" s="99">
        <f t="shared" si="1422"/>
        <v>5.1552366996146954</v>
      </c>
      <c r="R356" s="99">
        <f t="shared" si="1422"/>
        <v>7.0007160863262445</v>
      </c>
      <c r="S356" s="99">
        <f t="shared" si="1422"/>
        <v>7.6281600521628183</v>
      </c>
      <c r="T356" s="99">
        <f t="shared" si="1422"/>
        <v>6.6000415188344537</v>
      </c>
      <c r="U356" s="99">
        <f t="shared" si="1422"/>
        <v>6.6120505130545544</v>
      </c>
      <c r="V356" s="99">
        <f t="shared" si="1422"/>
        <v>6.8837676609105172</v>
      </c>
      <c r="W356" s="99">
        <f t="shared" si="1422"/>
        <v>7.0060069946049364</v>
      </c>
      <c r="X356" s="99">
        <f t="shared" si="1422"/>
        <v>6.6175683653355479</v>
      </c>
      <c r="Y356" s="99">
        <f t="shared" si="1422"/>
        <v>7.2180785726773422</v>
      </c>
      <c r="Z356" s="99">
        <f t="shared" si="1422"/>
        <v>8.0070831653637171</v>
      </c>
      <c r="AA356" s="99">
        <f t="shared" si="1422"/>
        <v>7.9195263246361858</v>
      </c>
      <c r="AB356" s="99">
        <f t="shared" si="1422"/>
        <v>8.0472931965067538</v>
      </c>
      <c r="AC356" s="99">
        <f t="shared" si="1422"/>
        <v>9.4366275161149993</v>
      </c>
      <c r="AD356" s="99">
        <f t="shared" si="1422"/>
        <v>9.6199762375790545</v>
      </c>
      <c r="AE356" s="99">
        <f t="shared" si="1422"/>
        <v>8.3143648305375635</v>
      </c>
      <c r="AF356" s="99">
        <f t="shared" si="1422"/>
        <v>6.8618132117826018</v>
      </c>
      <c r="AG356" s="99">
        <f t="shared" si="1422"/>
        <v>6.526892918580061</v>
      </c>
      <c r="AH356" s="99">
        <f t="shared" si="1422"/>
        <v>6.3705008869665747</v>
      </c>
      <c r="AI356" s="99">
        <f t="shared" si="1422"/>
        <v>4.9079669542699342</v>
      </c>
      <c r="AJ356" s="99">
        <f t="shared" si="1422"/>
        <v>4.4456191867425723</v>
      </c>
      <c r="AK356" s="99">
        <f t="shared" si="1422"/>
        <v>5.7204566745936152</v>
      </c>
      <c r="AL356" s="99">
        <f t="shared" si="1422"/>
        <v>7.3073719988079802</v>
      </c>
      <c r="AM356" s="99">
        <f t="shared" si="1422"/>
        <v>8.2940283830866921</v>
      </c>
      <c r="AN356" s="99">
        <f t="shared" si="1422"/>
        <v>7.2815976482962288</v>
      </c>
      <c r="AO356" s="99">
        <f t="shared" si="1422"/>
        <v>8.2735512369870587</v>
      </c>
      <c r="AP356" s="99">
        <f t="shared" si="1422"/>
        <v>7.2902660828561805</v>
      </c>
      <c r="AQ356" s="99">
        <f t="shared" si="1422"/>
        <v>6.4952077014931673</v>
      </c>
      <c r="AR356" s="99">
        <f t="shared" si="1422"/>
        <v>8.264556175387435</v>
      </c>
      <c r="AS356" s="99">
        <f t="shared" si="1422"/>
        <v>7.0595670744691326</v>
      </c>
      <c r="AT356" s="99">
        <f t="shared" si="1422"/>
        <v>7.2911675169262908</v>
      </c>
      <c r="AU356" s="99">
        <f t="shared" si="1422"/>
        <v>7.0299802605467354</v>
      </c>
      <c r="AV356" s="99">
        <f t="shared" si="1422"/>
        <v>7.2655833980666555</v>
      </c>
      <c r="AW356" s="99">
        <f t="shared" si="1422"/>
        <v>7.2501269059652191</v>
      </c>
      <c r="AX356" s="99">
        <f t="shared" si="1422"/>
        <v>7.2625956223483117</v>
      </c>
      <c r="AY356" s="99">
        <f t="shared" si="1422"/>
        <v>7.1428182205486399</v>
      </c>
      <c r="AZ356" s="99">
        <f t="shared" si="1422"/>
        <v>7.1409083743581405</v>
      </c>
      <c r="BA356" s="99">
        <f t="shared" si="1422"/>
        <v>7.2731341629226876</v>
      </c>
      <c r="BB356" s="99">
        <f t="shared" si="1422"/>
        <v>7.2347343635297481</v>
      </c>
      <c r="BC356" s="99">
        <f t="shared" si="1422"/>
        <v>7.1406760397744025</v>
      </c>
      <c r="BD356" s="99">
        <f t="shared" si="1422"/>
        <v>7.0565422408852241</v>
      </c>
      <c r="BE356" s="99">
        <f t="shared" si="1422"/>
        <v>7.1090156718641735</v>
      </c>
      <c r="BF356" s="99">
        <f t="shared" si="1422"/>
        <v>7.1353169542697179</v>
      </c>
      <c r="BI356">
        <f t="shared" si="1391"/>
        <v>349</v>
      </c>
    </row>
    <row r="357" spans="1:61" hidden="1" outlineLevel="2">
      <c r="A357" s="35"/>
      <c r="B357" s="29" t="s">
        <v>216</v>
      </c>
      <c r="C357" s="54">
        <f t="shared" ref="C357:M357" si="1423">C316/(-C23/C6)</f>
        <v>66.023760355892975</v>
      </c>
      <c r="D357" s="54">
        <f t="shared" si="1423"/>
        <v>57.283641151523469</v>
      </c>
      <c r="E357" s="54">
        <f t="shared" si="1423"/>
        <v>41.440533869969634</v>
      </c>
      <c r="F357" s="54">
        <f t="shared" si="1423"/>
        <v>36.618303661960731</v>
      </c>
      <c r="G357" s="54">
        <f t="shared" si="1423"/>
        <v>65.966534204192584</v>
      </c>
      <c r="H357" s="54">
        <f t="shared" si="1423"/>
        <v>24.514909901174082</v>
      </c>
      <c r="I357" s="54">
        <f t="shared" si="1423"/>
        <v>70.893685956323893</v>
      </c>
      <c r="J357" s="54">
        <f t="shared" si="1423"/>
        <v>67.873666370724791</v>
      </c>
      <c r="K357" s="54">
        <f t="shared" si="1423"/>
        <v>55.392905436703991</v>
      </c>
      <c r="L357" s="54">
        <f t="shared" si="1423"/>
        <v>54.796378216778031</v>
      </c>
      <c r="M357" s="54">
        <f t="shared" si="1423"/>
        <v>52.186556679850533</v>
      </c>
      <c r="O357" s="54">
        <f t="shared" ref="O357:AS357" si="1424">O316/(-O23/O6)</f>
        <v>83.907076710200243</v>
      </c>
      <c r="P357" s="54">
        <f t="shared" si="1424"/>
        <v>81.244208694210769</v>
      </c>
      <c r="Q357" s="54">
        <f t="shared" si="1424"/>
        <v>73.157181238695614</v>
      </c>
      <c r="R357" s="54">
        <f t="shared" si="1424"/>
        <v>49.699457460008055</v>
      </c>
      <c r="S357" s="54">
        <f t="shared" si="1424"/>
        <v>51.306507187469599</v>
      </c>
      <c r="T357" s="54">
        <f t="shared" si="1424"/>
        <v>59.976166852051477</v>
      </c>
      <c r="U357" s="54">
        <f t="shared" si="1424"/>
        <v>59.842281936208899</v>
      </c>
      <c r="V357" s="54">
        <f t="shared" si="1424"/>
        <v>50.691728088739701</v>
      </c>
      <c r="W357" s="54">
        <f t="shared" si="1424"/>
        <v>55.293492778107009</v>
      </c>
      <c r="X357" s="54">
        <f t="shared" si="1424"/>
        <v>49.515541158425947</v>
      </c>
      <c r="Y357" s="54">
        <f t="shared" si="1424"/>
        <v>49.894867697572884</v>
      </c>
      <c r="Z357" s="54">
        <f t="shared" si="1424"/>
        <v>42.925240365013821</v>
      </c>
      <c r="AA357" s="54">
        <f t="shared" si="1424"/>
        <v>50.273442544541425</v>
      </c>
      <c r="AB357" s="54">
        <f t="shared" si="1424"/>
        <v>41.516882291441178</v>
      </c>
      <c r="AC357" s="54">
        <f t="shared" si="1424"/>
        <v>37.257100710741589</v>
      </c>
      <c r="AD357" s="54">
        <f t="shared" si="1424"/>
        <v>37.385647298483434</v>
      </c>
      <c r="AE357" s="54">
        <f t="shared" si="1424"/>
        <v>52.282881307787676</v>
      </c>
      <c r="AF357" s="54">
        <f t="shared" si="1424"/>
        <v>58.095198203799924</v>
      </c>
      <c r="AG357" s="54">
        <f t="shared" si="1424"/>
        <v>60.537833830530893</v>
      </c>
      <c r="AH357" s="54">
        <f t="shared" si="1424"/>
        <v>58.711240377988801</v>
      </c>
      <c r="AI357" s="54">
        <f t="shared" si="1424"/>
        <v>66.343569138964313</v>
      </c>
      <c r="AJ357" s="54">
        <f t="shared" si="1424"/>
        <v>67.78304379340176</v>
      </c>
      <c r="AK357" s="54">
        <f t="shared" si="1424"/>
        <v>54.818071222384589</v>
      </c>
      <c r="AL357" s="54">
        <f t="shared" si="1424"/>
        <v>33.572725388966539</v>
      </c>
      <c r="AM357" s="54">
        <f t="shared" si="1424"/>
        <v>43.674949209899232</v>
      </c>
      <c r="AN357" s="54">
        <f t="shared" si="1424"/>
        <v>44.720427558722662</v>
      </c>
      <c r="AO357" s="54">
        <f t="shared" si="1424"/>
        <v>49.217340347952906</v>
      </c>
      <c r="AP357" s="54">
        <f t="shared" si="1424"/>
        <v>61.044627016980648</v>
      </c>
      <c r="AQ357" s="54">
        <f t="shared" si="1424"/>
        <v>61.782093165519122</v>
      </c>
      <c r="AR357" s="54">
        <f t="shared" si="1424"/>
        <v>54.38478427260322</v>
      </c>
      <c r="AS357" s="54">
        <f t="shared" si="1424"/>
        <v>56.623334698694521</v>
      </c>
      <c r="AT357" s="54">
        <f t="shared" ref="AT357" si="1425">AT316/(-AT23/AT6)</f>
        <v>51.775979434085187</v>
      </c>
      <c r="AU357" s="61">
        <f t="shared" si="1415"/>
        <v>51.775979434085187</v>
      </c>
      <c r="AV357" s="61">
        <f t="shared" si="1415"/>
        <v>51.775979434085187</v>
      </c>
      <c r="AW357" s="61">
        <f t="shared" si="1415"/>
        <v>51.775979434085187</v>
      </c>
      <c r="AX357" s="61">
        <f t="shared" si="1415"/>
        <v>51.775979434085187</v>
      </c>
      <c r="AY357" s="61">
        <f t="shared" si="1415"/>
        <v>51.775979434085187</v>
      </c>
      <c r="AZ357" s="61">
        <f t="shared" si="1415"/>
        <v>51.775979434085187</v>
      </c>
      <c r="BA357" s="61">
        <f t="shared" si="1415"/>
        <v>51.775979434085187</v>
      </c>
      <c r="BB357" s="61">
        <f t="shared" si="1415"/>
        <v>51.775979434085187</v>
      </c>
      <c r="BC357" s="61">
        <f t="shared" si="1415"/>
        <v>51.775979434085187</v>
      </c>
      <c r="BD357" s="61">
        <f t="shared" si="1415"/>
        <v>51.775979434085187</v>
      </c>
      <c r="BE357" s="61">
        <f t="shared" si="1415"/>
        <v>51.775979434085187</v>
      </c>
      <c r="BF357" s="61">
        <f t="shared" si="1415"/>
        <v>51.775979434085187</v>
      </c>
      <c r="BI357">
        <f t="shared" si="1391"/>
        <v>350</v>
      </c>
    </row>
    <row r="358" spans="1:61" hidden="1" outlineLevel="2">
      <c r="A358" s="35"/>
      <c r="B358" s="29" t="s">
        <v>217</v>
      </c>
      <c r="C358" s="54">
        <f t="shared" ref="C358" si="1426">C353+C355-C357</f>
        <v>25.097872628618845</v>
      </c>
      <c r="D358" s="54">
        <f t="shared" ref="D358" si="1427">D353+D355-D357</f>
        <v>23.838657222576316</v>
      </c>
      <c r="E358" s="54">
        <f t="shared" ref="E358" si="1428">E353+E355-E357</f>
        <v>27.021627614545288</v>
      </c>
      <c r="F358" s="54">
        <f t="shared" ref="F358" si="1429">F353+F355-F357</f>
        <v>30.046481240570223</v>
      </c>
      <c r="G358" s="54">
        <f t="shared" ref="G358" si="1430">G353+G355-G357</f>
        <v>15.687033157572785</v>
      </c>
      <c r="H358" s="54">
        <f t="shared" ref="H358" si="1431">H353+H355-H357</f>
        <v>23.854967945261119</v>
      </c>
      <c r="I358" s="54">
        <f t="shared" ref="I358" si="1432">I353+I355-I357</f>
        <v>1.3074805096675135</v>
      </c>
      <c r="J358" s="54">
        <f t="shared" ref="J358" si="1433">J353+J355-J357</f>
        <v>36.698845780501884</v>
      </c>
      <c r="K358" s="54">
        <f t="shared" ref="K358" si="1434">K353+K355-K357</f>
        <v>30.667553740397004</v>
      </c>
      <c r="L358" s="54">
        <f t="shared" ref="L358" si="1435">L353+L355-L357</f>
        <v>28.885518526095616</v>
      </c>
      <c r="M358" s="54">
        <f t="shared" ref="M358:O358" si="1436">M353+M355-M357</f>
        <v>27.516558145963337</v>
      </c>
      <c r="O358" s="54">
        <f t="shared" si="1436"/>
        <v>-19.958535185041931</v>
      </c>
      <c r="P358" s="54">
        <f t="shared" ref="P358" si="1437">P353+P355-P357</f>
        <v>-17.051754283528808</v>
      </c>
      <c r="Q358" s="54">
        <f t="shared" ref="Q358" si="1438">Q353+Q355-Q357</f>
        <v>-8.1682266367273257</v>
      </c>
      <c r="R358" s="54">
        <f t="shared" ref="R358" si="1439">R353+R355-R357</f>
        <v>16.910995457406706</v>
      </c>
      <c r="S358" s="54">
        <f t="shared" ref="S358" si="1440">S353+S355-S357</f>
        <v>14.373489272291742</v>
      </c>
      <c r="T358" s="54">
        <f t="shared" ref="T358" si="1441">T353+T355-T357</f>
        <v>7.7425865841256041</v>
      </c>
      <c r="U358" s="54">
        <f t="shared" ref="U358" si="1442">U353+U355-U357</f>
        <v>10.339122184842275</v>
      </c>
      <c r="V358" s="54">
        <f t="shared" ref="V358" si="1443">V353+V355-V357</f>
        <v>21.654796120451572</v>
      </c>
      <c r="W358" s="54">
        <f t="shared" ref="W358" si="1444">W353+W355-W357</f>
        <v>18.721532846471206</v>
      </c>
      <c r="X358" s="54">
        <f t="shared" ref="X358" si="1445">X353+X355-X357</f>
        <v>27.165792182095799</v>
      </c>
      <c r="Y358" s="54">
        <f t="shared" ref="Y358" si="1446">Y353+Y355-Y357</f>
        <v>23.350814272548469</v>
      </c>
      <c r="Z358" s="54">
        <f t="shared" ref="Z358" si="1447">Z353+Z355-Z357</f>
        <v>28.798426457816987</v>
      </c>
      <c r="AA358" s="54">
        <f t="shared" ref="AA358" si="1448">AA353+AA355-AA357</f>
        <v>20.946066521214178</v>
      </c>
      <c r="AB358" s="54">
        <f t="shared" ref="AB358" si="1449">AB353+AB355-AB357</f>
        <v>32.766855065536433</v>
      </c>
      <c r="AC358" s="54">
        <f t="shared" ref="AC358" si="1450">AC353+AC355-AC357</f>
        <v>35.043730288420058</v>
      </c>
      <c r="AD358" s="54">
        <f t="shared" ref="AD358" si="1451">AD353+AD355-AD357</f>
        <v>30.491524556427066</v>
      </c>
      <c r="AE358" s="54">
        <f t="shared" ref="AE358" si="1452">AE353+AE355-AE357</f>
        <v>16.695728444874675</v>
      </c>
      <c r="AF358" s="54">
        <f t="shared" ref="AF358" si="1453">AF353+AF355-AF357</f>
        <v>8.1313209999409963</v>
      </c>
      <c r="AG358" s="54">
        <f t="shared" ref="AG358" si="1454">AG353+AG355-AG357</f>
        <v>8.7878385801985459</v>
      </c>
      <c r="AH358" s="54">
        <f t="shared" ref="AH358" si="1455">AH353+AH355-AH357</f>
        <v>13.962783254016514</v>
      </c>
      <c r="AI358" s="54">
        <f t="shared" ref="AI358" si="1456">AI353+AI355-AI357</f>
        <v>7.611158077290952</v>
      </c>
      <c r="AJ358" s="54">
        <f t="shared" ref="AJ358" si="1457">AJ353+AJ355-AJ357</f>
        <v>5.1789036906655781</v>
      </c>
      <c r="AK358" s="54">
        <f t="shared" ref="AK358" si="1458">AK353+AK355-AK357</f>
        <v>21.517215656614425</v>
      </c>
      <c r="AL358" s="54">
        <f t="shared" ref="AL358" si="1459">AL353+AL355-AL357</f>
        <v>33.750974287116868</v>
      </c>
      <c r="AM358" s="54">
        <f t="shared" ref="AM358" si="1460">AM353+AM355-AM357</f>
        <v>29.330036547351902</v>
      </c>
      <c r="AN358" s="54">
        <f t="shared" ref="AN358" si="1461">AN353+AN355-AN357</f>
        <v>25.116106656783373</v>
      </c>
      <c r="AO358" s="54">
        <f t="shared" ref="AO358" si="1462">AO353+AO355-AO357</f>
        <v>28.203523497992599</v>
      </c>
      <c r="AP358" s="54">
        <f t="shared" ref="AP358" si="1463">AP353+AP355-AP357</f>
        <v>4.2219259876837256</v>
      </c>
      <c r="AQ358" s="54">
        <f t="shared" ref="AQ358" si="1464">AQ353+AQ355-AQ357</f>
        <v>8.3804529779334231</v>
      </c>
      <c r="AR358" s="54">
        <f t="shared" ref="AR358" si="1465">AR353+AR355-AR357</f>
        <v>21.400541278919796</v>
      </c>
      <c r="AS358" s="54">
        <f t="shared" ref="AS358:AT358" si="1466">AS353+AS355-AS357</f>
        <v>24.096512005639923</v>
      </c>
      <c r="AT358" s="54">
        <f t="shared" si="1466"/>
        <v>27.242888224511347</v>
      </c>
      <c r="AU358" s="54">
        <f t="shared" ref="AU358" si="1467">AU353+AU355-AU357</f>
        <v>27.242888224511347</v>
      </c>
      <c r="AV358" s="54">
        <f t="shared" ref="AV358" si="1468">AV353+AV355-AV357</f>
        <v>27.242888224511347</v>
      </c>
      <c r="AW358" s="54">
        <f t="shared" ref="AW358" si="1469">AW353+AW355-AW357</f>
        <v>27.242888224511347</v>
      </c>
      <c r="AX358" s="54">
        <f t="shared" ref="AX358" si="1470">AX353+AX355-AX357</f>
        <v>27.242888224511347</v>
      </c>
      <c r="AY358" s="54">
        <f t="shared" ref="AY358" si="1471">AY353+AY355-AY357</f>
        <v>27.242888224511347</v>
      </c>
      <c r="AZ358" s="54">
        <f t="shared" ref="AZ358" si="1472">AZ353+AZ355-AZ357</f>
        <v>27.242888224511347</v>
      </c>
      <c r="BA358" s="54">
        <f t="shared" ref="BA358" si="1473">BA353+BA355-BA357</f>
        <v>27.242888224511347</v>
      </c>
      <c r="BB358" s="54">
        <f t="shared" ref="BB358" si="1474">BB353+BB355-BB357</f>
        <v>27.242888224511347</v>
      </c>
      <c r="BC358" s="54">
        <f t="shared" ref="BC358" si="1475">BC353+BC355-BC357</f>
        <v>27.242888224511347</v>
      </c>
      <c r="BD358" s="54">
        <f t="shared" ref="BD358" si="1476">BD353+BD355-BD357</f>
        <v>27.242888224511347</v>
      </c>
      <c r="BE358" s="54">
        <f t="shared" ref="BE358" si="1477">BE353+BE355-BE357</f>
        <v>27.242888224511347</v>
      </c>
      <c r="BF358" s="54">
        <f t="shared" ref="BF358" si="1478">BF353+BF355-BF357</f>
        <v>27.242888224511347</v>
      </c>
      <c r="BI358">
        <f t="shared" si="1391"/>
        <v>351</v>
      </c>
    </row>
    <row r="359" spans="1:61" hidden="1" outlineLevel="2">
      <c r="A359" s="35"/>
      <c r="B359" s="37"/>
      <c r="BI359">
        <f t="shared" si="1391"/>
        <v>352</v>
      </c>
    </row>
    <row r="360" spans="1:61" hidden="1" outlineLevel="2">
      <c r="A360" s="35"/>
      <c r="B360" s="29" t="s">
        <v>285</v>
      </c>
      <c r="C360" s="99">
        <f t="shared" ref="C360:M360" si="1479">C318/-C31</f>
        <v>2.8975059989772234</v>
      </c>
      <c r="D360" s="99">
        <f t="shared" si="1479"/>
        <v>2.5614818502901775</v>
      </c>
      <c r="E360" s="99">
        <f t="shared" si="1479"/>
        <v>2.4604408046779267</v>
      </c>
      <c r="F360" s="99">
        <f t="shared" si="1479"/>
        <v>2.1726832042463307</v>
      </c>
      <c r="G360" s="99">
        <f t="shared" si="1479"/>
        <v>2.1644020213363282</v>
      </c>
      <c r="H360" s="99">
        <f t="shared" si="1479"/>
        <v>2.1573158196841669</v>
      </c>
      <c r="I360" s="99">
        <f t="shared" si="1479"/>
        <v>2.0106639693663757</v>
      </c>
      <c r="J360" s="99">
        <f t="shared" si="1479"/>
        <v>2.1670188657595548</v>
      </c>
      <c r="K360" s="99">
        <f t="shared" si="1479"/>
        <v>1.681588925923637</v>
      </c>
      <c r="L360" s="99">
        <f t="shared" si="1479"/>
        <v>1.681588925923637</v>
      </c>
      <c r="M360" s="99">
        <f t="shared" si="1479"/>
        <v>1.6815889259236372</v>
      </c>
      <c r="O360" s="99">
        <f t="shared" ref="O360:AT360" si="1480">O318/-O31</f>
        <v>9.1616505277850475</v>
      </c>
      <c r="P360" s="99">
        <f t="shared" si="1480"/>
        <v>10.042372194766264</v>
      </c>
      <c r="Q360" s="99">
        <f t="shared" si="1480"/>
        <v>9.1975886006576548</v>
      </c>
      <c r="R360" s="99">
        <f t="shared" si="1480"/>
        <v>11.034004943449929</v>
      </c>
      <c r="S360" s="99">
        <f t="shared" si="1480"/>
        <v>8.8306729264475745</v>
      </c>
      <c r="T360" s="99">
        <f t="shared" si="1480"/>
        <v>9.4488029136067837</v>
      </c>
      <c r="U360" s="99">
        <f t="shared" si="1480"/>
        <v>9.5444632449708582</v>
      </c>
      <c r="V360" s="99">
        <f t="shared" si="1480"/>
        <v>10.559910198845413</v>
      </c>
      <c r="W360" s="99">
        <f t="shared" si="1480"/>
        <v>10.99235650418229</v>
      </c>
      <c r="X360" s="99">
        <f t="shared" si="1480"/>
        <v>9.174113284287337</v>
      </c>
      <c r="Y360" s="99">
        <f t="shared" si="1480"/>
        <v>9.0976077110672389</v>
      </c>
      <c r="Z360" s="99">
        <f t="shared" si="1480"/>
        <v>9.5194431108977433</v>
      </c>
      <c r="AA360" s="99">
        <f t="shared" si="1480"/>
        <v>8.1345634304765202</v>
      </c>
      <c r="AB360" s="99">
        <f t="shared" si="1480"/>
        <v>7.9753807522244671</v>
      </c>
      <c r="AC360" s="99">
        <f t="shared" si="1480"/>
        <v>7.8480592441266603</v>
      </c>
      <c r="AD360" s="99">
        <f t="shared" si="1480"/>
        <v>8.6471761155421412</v>
      </c>
      <c r="AE360" s="99">
        <f t="shared" si="1480"/>
        <v>8.0829563360951564</v>
      </c>
      <c r="AF360" s="99">
        <f t="shared" si="1480"/>
        <v>8.8282688766114177</v>
      </c>
      <c r="AG360" s="99">
        <f t="shared" si="1480"/>
        <v>9.6816257408975428</v>
      </c>
      <c r="AH360" s="99">
        <f t="shared" si="1480"/>
        <v>7.8747957145451251</v>
      </c>
      <c r="AI360" s="99">
        <f t="shared" si="1480"/>
        <v>8.7099381603934365</v>
      </c>
      <c r="AJ360" s="99">
        <f t="shared" si="1480"/>
        <v>8.9224084096586171</v>
      </c>
      <c r="AK360" s="99">
        <f t="shared" si="1480"/>
        <v>9.7153158971047251</v>
      </c>
      <c r="AL360" s="99">
        <f t="shared" si="1480"/>
        <v>9.7485221377729516</v>
      </c>
      <c r="AM360" s="99">
        <f t="shared" si="1480"/>
        <v>8.5933118183841515</v>
      </c>
      <c r="AN360" s="99">
        <f t="shared" si="1480"/>
        <v>8.1887985017849818</v>
      </c>
      <c r="AO360" s="99">
        <f t="shared" si="1480"/>
        <v>9.2841319528052022</v>
      </c>
      <c r="AP360" s="99">
        <f t="shared" si="1480"/>
        <v>7.9358959735371277</v>
      </c>
      <c r="AQ360" s="99">
        <f t="shared" si="1480"/>
        <v>7.2109060046679394</v>
      </c>
      <c r="AR360" s="99">
        <f t="shared" si="1480"/>
        <v>9.2648862765141828</v>
      </c>
      <c r="AS360" s="99">
        <f t="shared" si="1480"/>
        <v>8.9225799426518098</v>
      </c>
      <c r="AT360" s="99">
        <f t="shared" si="1480"/>
        <v>6.5310951008645528</v>
      </c>
      <c r="AU360" s="104">
        <f>AT360</f>
        <v>6.5310951008645528</v>
      </c>
      <c r="AV360" s="104">
        <f t="shared" ref="AV360:BF360" si="1481">AU360</f>
        <v>6.5310951008645528</v>
      </c>
      <c r="AW360" s="104">
        <f t="shared" si="1481"/>
        <v>6.5310951008645528</v>
      </c>
      <c r="AX360" s="104">
        <f t="shared" si="1481"/>
        <v>6.5310951008645528</v>
      </c>
      <c r="AY360" s="104">
        <f t="shared" si="1481"/>
        <v>6.5310951008645528</v>
      </c>
      <c r="AZ360" s="104">
        <f t="shared" si="1481"/>
        <v>6.5310951008645528</v>
      </c>
      <c r="BA360" s="104">
        <f t="shared" si="1481"/>
        <v>6.5310951008645528</v>
      </c>
      <c r="BB360" s="104">
        <f t="shared" si="1481"/>
        <v>6.5310951008645528</v>
      </c>
      <c r="BC360" s="104">
        <f t="shared" si="1481"/>
        <v>6.5310951008645528</v>
      </c>
      <c r="BD360" s="104">
        <f t="shared" si="1481"/>
        <v>6.5310951008645528</v>
      </c>
      <c r="BE360" s="104">
        <f t="shared" si="1481"/>
        <v>6.5310951008645528</v>
      </c>
      <c r="BF360" s="104">
        <f t="shared" si="1481"/>
        <v>6.5310951008645528</v>
      </c>
      <c r="BI360">
        <f t="shared" si="1391"/>
        <v>353</v>
      </c>
    </row>
    <row r="361" spans="1:61" hidden="1" outlineLevel="2">
      <c r="A361" s="35"/>
      <c r="B361" s="29" t="s">
        <v>218</v>
      </c>
      <c r="C361" s="68">
        <f t="shared" ref="C361:M361" si="1482">C305/C16</f>
        <v>5.0268262823058643E-2</v>
      </c>
      <c r="D361" s="68">
        <f t="shared" si="1482"/>
        <v>1.9043291296805889E-2</v>
      </c>
      <c r="E361" s="68">
        <f t="shared" si="1482"/>
        <v>1.612057513106711E-2</v>
      </c>
      <c r="F361" s="68">
        <f t="shared" si="1482"/>
        <v>2.0153877784295716E-2</v>
      </c>
      <c r="G361" s="68">
        <f t="shared" si="1482"/>
        <v>1.6222275084208201E-2</v>
      </c>
      <c r="H361" s="68">
        <f t="shared" si="1482"/>
        <v>2.2080787787969108E-2</v>
      </c>
      <c r="I361" s="68">
        <f t="shared" si="1482"/>
        <v>4.6360818253520369E-2</v>
      </c>
      <c r="J361" s="68">
        <f t="shared" si="1482"/>
        <v>2.2639437446853289E-2</v>
      </c>
      <c r="K361" s="68">
        <f t="shared" si="1482"/>
        <v>1.521785671628936E-2</v>
      </c>
      <c r="L361" s="68">
        <f t="shared" si="1482"/>
        <v>1.2341250529032585E-2</v>
      </c>
      <c r="M361" s="68">
        <f t="shared" si="1482"/>
        <v>1.117393072686911E-2</v>
      </c>
      <c r="O361" s="68">
        <f t="shared" ref="O361:BF361" si="1483">O305/O16</f>
        <v>0.14858356836206454</v>
      </c>
      <c r="P361" s="68">
        <f t="shared" si="1483"/>
        <v>0.16389352165528745</v>
      </c>
      <c r="Q361" s="68">
        <f t="shared" si="1483"/>
        <v>0.13060161674100718</v>
      </c>
      <c r="R361" s="68">
        <f t="shared" si="1483"/>
        <v>0.14542653625429622</v>
      </c>
      <c r="S361" s="68">
        <f t="shared" si="1483"/>
        <v>8.5706128261344661E-2</v>
      </c>
      <c r="T361" s="68">
        <f t="shared" si="1483"/>
        <v>9.7867894091296925E-2</v>
      </c>
      <c r="U361" s="68">
        <f t="shared" si="1483"/>
        <v>8.759208581418404E-2</v>
      </c>
      <c r="V361" s="68">
        <f t="shared" si="1483"/>
        <v>6.7431452831516595E-2</v>
      </c>
      <c r="W361" s="68">
        <f t="shared" si="1483"/>
        <v>6.0198063870034492E-2</v>
      </c>
      <c r="X361" s="68">
        <f t="shared" si="1483"/>
        <v>6.640758054475622E-2</v>
      </c>
      <c r="Y361" s="68">
        <f t="shared" si="1483"/>
        <v>6.7142508673447995E-2</v>
      </c>
      <c r="Z361" s="68">
        <f t="shared" si="1483"/>
        <v>6.7258521639218694E-2</v>
      </c>
      <c r="AA361" s="68">
        <f t="shared" si="1483"/>
        <v>6.0855512196438297E-2</v>
      </c>
      <c r="AB361" s="68">
        <f t="shared" si="1483"/>
        <v>9.1805750201724226E-2</v>
      </c>
      <c r="AC361" s="68">
        <f t="shared" si="1483"/>
        <v>6.7933729178110691E-2</v>
      </c>
      <c r="AD361" s="68">
        <f t="shared" si="1483"/>
        <v>8.1396464958108802E-2</v>
      </c>
      <c r="AE361" s="68">
        <f t="shared" si="1483"/>
        <v>7.5298451121256091E-2</v>
      </c>
      <c r="AF361" s="68">
        <f t="shared" si="1483"/>
        <v>9.3271145526862068E-2</v>
      </c>
      <c r="AG361" s="68">
        <f t="shared" si="1483"/>
        <v>6.4620613319331902E-2</v>
      </c>
      <c r="AH361" s="68">
        <f t="shared" si="1483"/>
        <v>5.728241415238694E-2</v>
      </c>
      <c r="AI361" s="68">
        <f t="shared" si="1483"/>
        <v>7.3912806412163801E-2</v>
      </c>
      <c r="AJ361" s="68">
        <f t="shared" si="1483"/>
        <v>0.11115340109939387</v>
      </c>
      <c r="AK361" s="68">
        <f t="shared" si="1483"/>
        <v>0.10520629158181879</v>
      </c>
      <c r="AL361" s="68">
        <f t="shared" si="1483"/>
        <v>0.12212463531404734</v>
      </c>
      <c r="AM361" s="68">
        <f t="shared" si="1483"/>
        <v>0.15491566962639247</v>
      </c>
      <c r="AN361" s="68">
        <f t="shared" si="1483"/>
        <v>0.21675119901532189</v>
      </c>
      <c r="AO361" s="68">
        <f t="shared" si="1483"/>
        <v>0.18889333346341844</v>
      </c>
      <c r="AP361" s="68">
        <f t="shared" si="1483"/>
        <v>0.16820261491118094</v>
      </c>
      <c r="AQ361" s="68">
        <f t="shared" si="1483"/>
        <v>9.9198820348980074E-2</v>
      </c>
      <c r="AR361" s="68">
        <f t="shared" si="1483"/>
        <v>0.10092267423591042</v>
      </c>
      <c r="AS361" s="68">
        <f t="shared" si="1483"/>
        <v>7.977792344110636E-2</v>
      </c>
      <c r="AT361" s="68">
        <f t="shared" si="1483"/>
        <v>6.7765395626252639E-2</v>
      </c>
      <c r="AU361" s="68">
        <f t="shared" si="1483"/>
        <v>6.8649575044733832E-2</v>
      </c>
      <c r="AV361" s="68">
        <f t="shared" si="1483"/>
        <v>6.2758215561267969E-2</v>
      </c>
      <c r="AW361" s="68">
        <f t="shared" si="1483"/>
        <v>5.8412572628862701E-2</v>
      </c>
      <c r="AX361" s="68">
        <f t="shared" si="1483"/>
        <v>5.5273743847122657E-2</v>
      </c>
      <c r="AY361" s="68">
        <f t="shared" si="1483"/>
        <v>5.3273413703283291E-2</v>
      </c>
      <c r="AZ361" s="68">
        <f t="shared" si="1483"/>
        <v>5.0703005989609813E-2</v>
      </c>
      <c r="BA361" s="68">
        <f t="shared" si="1483"/>
        <v>4.7837742232815464E-2</v>
      </c>
      <c r="BB361" s="68">
        <f t="shared" si="1483"/>
        <v>4.6229342055600565E-2</v>
      </c>
      <c r="BC361" s="68">
        <f t="shared" si="1483"/>
        <v>4.5332973792453296E-2</v>
      </c>
      <c r="BD361" s="68">
        <f t="shared" si="1483"/>
        <v>4.4979278706682495E-2</v>
      </c>
      <c r="BE361" s="68">
        <f t="shared" si="1483"/>
        <v>4.4426101004732849E-2</v>
      </c>
      <c r="BF361" s="68">
        <f t="shared" si="1483"/>
        <v>4.4065921236987854E-2</v>
      </c>
      <c r="BI361">
        <f t="shared" si="1391"/>
        <v>354</v>
      </c>
    </row>
    <row r="362" spans="1:61" hidden="1" outlineLevel="2">
      <c r="A362" s="35"/>
      <c r="B362" s="29" t="s">
        <v>219</v>
      </c>
      <c r="C362" s="68">
        <f t="shared" ref="C362:L362" si="1484">C321/C309</f>
        <v>0.19513220649395246</v>
      </c>
      <c r="D362" s="68">
        <f t="shared" si="1484"/>
        <v>0.24836309927868386</v>
      </c>
      <c r="E362" s="68">
        <f t="shared" si="1484"/>
        <v>0.23712619105638325</v>
      </c>
      <c r="F362" s="68">
        <f t="shared" si="1484"/>
        <v>0.24421784818270517</v>
      </c>
      <c r="G362" s="68">
        <f t="shared" si="1484"/>
        <v>0.22649332340209113</v>
      </c>
      <c r="H362" s="68">
        <f t="shared" si="1484"/>
        <v>0.22032576769297788</v>
      </c>
      <c r="I362" s="68">
        <f t="shared" si="1484"/>
        <v>0.20034714369149792</v>
      </c>
      <c r="J362" s="68">
        <f t="shared" si="1484"/>
        <v>8.2457876292972757E-2</v>
      </c>
      <c r="K362" s="68">
        <f t="shared" si="1484"/>
        <v>8.5000000000000006E-2</v>
      </c>
      <c r="L362" s="68">
        <f t="shared" si="1484"/>
        <v>8.5000000000000006E-2</v>
      </c>
      <c r="M362" s="68">
        <f>M321/M309</f>
        <v>8.5000000000000006E-2</v>
      </c>
      <c r="O362" s="68">
        <f>O321/O309</f>
        <v>0.17395930176276228</v>
      </c>
      <c r="P362" s="68">
        <f t="shared" ref="P362:AT362" si="1485">P321/P309</f>
        <v>0.16973102659514772</v>
      </c>
      <c r="Q362" s="68">
        <f t="shared" si="1485"/>
        <v>0.18715235744100039</v>
      </c>
      <c r="R362" s="68">
        <f t="shared" si="1485"/>
        <v>0.19513220649395246</v>
      </c>
      <c r="S362" s="68">
        <f t="shared" si="1485"/>
        <v>0.21286572786399297</v>
      </c>
      <c r="T362" s="68">
        <f t="shared" si="1485"/>
        <v>0.21819766227045093</v>
      </c>
      <c r="U362" s="68">
        <f t="shared" si="1485"/>
        <v>0.23761421678830619</v>
      </c>
      <c r="V362" s="68">
        <f t="shared" si="1485"/>
        <v>0.24836309927868386</v>
      </c>
      <c r="W362" s="68">
        <f t="shared" si="1485"/>
        <v>0.24449597870544149</v>
      </c>
      <c r="X362" s="68">
        <f t="shared" si="1485"/>
        <v>0.24347867234224654</v>
      </c>
      <c r="Y362" s="68">
        <f t="shared" si="1485"/>
        <v>0.24040564261756789</v>
      </c>
      <c r="Z362" s="68">
        <f t="shared" si="1485"/>
        <v>0.23712619105638325</v>
      </c>
      <c r="AA362" s="68">
        <f t="shared" si="1485"/>
        <v>0.2366174733555087</v>
      </c>
      <c r="AB362" s="68">
        <f t="shared" si="1485"/>
        <v>0.241643940549186</v>
      </c>
      <c r="AC362" s="68">
        <f t="shared" si="1485"/>
        <v>0.24555301357715867</v>
      </c>
      <c r="AD362" s="68">
        <f t="shared" si="1485"/>
        <v>0.24421784818270517</v>
      </c>
      <c r="AE362" s="68">
        <f t="shared" si="1485"/>
        <v>0.23644665030033049</v>
      </c>
      <c r="AF362" s="68">
        <f t="shared" si="1485"/>
        <v>0.22539853005336108</v>
      </c>
      <c r="AG362" s="68">
        <f t="shared" si="1485"/>
        <v>0.2140601858404112</v>
      </c>
      <c r="AH362" s="68">
        <f t="shared" si="1485"/>
        <v>0.22649332340209113</v>
      </c>
      <c r="AI362" s="68">
        <f t="shared" si="1485"/>
        <v>0.21663275233729415</v>
      </c>
      <c r="AJ362" s="68">
        <f t="shared" si="1485"/>
        <v>0.21012908879508879</v>
      </c>
      <c r="AK362" s="68">
        <f t="shared" si="1485"/>
        <v>0.20534977265603813</v>
      </c>
      <c r="AL362" s="68">
        <f t="shared" si="1485"/>
        <v>0.22032576769297788</v>
      </c>
      <c r="AM362" s="68">
        <f t="shared" si="1485"/>
        <v>0.21716393769467113</v>
      </c>
      <c r="AN362" s="68">
        <f t="shared" si="1485"/>
        <v>0.21108991363110266</v>
      </c>
      <c r="AO362" s="68">
        <f t="shared" si="1485"/>
        <v>0.20632620866009449</v>
      </c>
      <c r="AP362" s="68">
        <f t="shared" si="1485"/>
        <v>0.20034714369149792</v>
      </c>
      <c r="AQ362" s="68">
        <f t="shared" si="1485"/>
        <v>0.18455996596959617</v>
      </c>
      <c r="AR362" s="68">
        <f t="shared" si="1485"/>
        <v>0.13907538265022826</v>
      </c>
      <c r="AS362" s="68">
        <f t="shared" si="1485"/>
        <v>0.13727319607887506</v>
      </c>
      <c r="AT362" s="68">
        <f t="shared" si="1485"/>
        <v>8.2457876292972757E-2</v>
      </c>
      <c r="AU362" s="102">
        <v>8.5000000000000006E-2</v>
      </c>
      <c r="AV362" s="102">
        <v>8.5000000000000006E-2</v>
      </c>
      <c r="AW362" s="102">
        <v>8.5000000000000006E-2</v>
      </c>
      <c r="AX362" s="102">
        <v>8.5000000000000006E-2</v>
      </c>
      <c r="AY362" s="102">
        <v>8.5000000000000006E-2</v>
      </c>
      <c r="AZ362" s="102">
        <v>8.5000000000000006E-2</v>
      </c>
      <c r="BA362" s="102">
        <v>8.5000000000000006E-2</v>
      </c>
      <c r="BB362" s="102">
        <v>8.5000000000000006E-2</v>
      </c>
      <c r="BC362" s="102">
        <v>8.5000000000000006E-2</v>
      </c>
      <c r="BD362" s="102">
        <v>8.5000000000000006E-2</v>
      </c>
      <c r="BE362" s="102">
        <v>8.5000000000000006E-2</v>
      </c>
      <c r="BF362" s="102">
        <v>8.5000000000000006E-2</v>
      </c>
      <c r="BI362">
        <f t="shared" si="1391"/>
        <v>355</v>
      </c>
    </row>
    <row r="363" spans="1:61" hidden="1" outlineLevel="2">
      <c r="A363" s="35"/>
      <c r="B363" s="37"/>
      <c r="BI363">
        <f t="shared" si="1391"/>
        <v>356</v>
      </c>
    </row>
    <row r="364" spans="1:61" outlineLevel="1" collapsed="1">
      <c r="A364" s="35" t="s">
        <v>65</v>
      </c>
      <c r="B364" s="38" t="s">
        <v>286</v>
      </c>
      <c r="BI364">
        <f t="shared" si="1391"/>
        <v>357</v>
      </c>
    </row>
    <row r="365" spans="1:61" hidden="1" outlineLevel="2">
      <c r="A365" s="35"/>
      <c r="B365" s="46" t="s">
        <v>114</v>
      </c>
      <c r="C365" s="54">
        <f t="shared" ref="C365:M365" si="1486">C16</f>
        <v>1462.931</v>
      </c>
      <c r="D365" s="54">
        <f t="shared" si="1486"/>
        <v>2565.9430000000002</v>
      </c>
      <c r="E365" s="54">
        <f t="shared" si="1486"/>
        <v>2723.4139999999998</v>
      </c>
      <c r="F365" s="54">
        <f t="shared" si="1486"/>
        <v>2650.8049999999998</v>
      </c>
      <c r="G365" s="54">
        <f t="shared" si="1486"/>
        <v>3182.2910000000002</v>
      </c>
      <c r="H365" s="54">
        <f t="shared" si="1486"/>
        <v>1821.81</v>
      </c>
      <c r="I365" s="54">
        <f t="shared" si="1486"/>
        <v>891.3130000000001</v>
      </c>
      <c r="J365" s="54">
        <f t="shared" si="1486"/>
        <v>2356.6840000000002</v>
      </c>
      <c r="K365" s="54">
        <f t="shared" si="1486"/>
        <v>3506.0127713575657</v>
      </c>
      <c r="L365" s="54">
        <f t="shared" si="1486"/>
        <v>4323.2247716295533</v>
      </c>
      <c r="M365" s="54">
        <f t="shared" si="1486"/>
        <v>4774.864038820614</v>
      </c>
      <c r="O365" s="54">
        <f t="shared" ref="O365:BF365" si="1487">O16</f>
        <v>271.59799999999996</v>
      </c>
      <c r="P365" s="54">
        <f t="shared" si="1487"/>
        <v>306.99199999999996</v>
      </c>
      <c r="Q365" s="54">
        <f t="shared" si="1487"/>
        <v>378.66300000000001</v>
      </c>
      <c r="R365" s="54">
        <f t="shared" si="1487"/>
        <v>505.678</v>
      </c>
      <c r="S365" s="54">
        <f t="shared" si="1487"/>
        <v>567.404</v>
      </c>
      <c r="T365" s="54">
        <f t="shared" si="1487"/>
        <v>600.06399999999996</v>
      </c>
      <c r="U365" s="54">
        <f t="shared" si="1487"/>
        <v>673.82799999999997</v>
      </c>
      <c r="V365" s="54">
        <f t="shared" si="1487"/>
        <v>724.64699999999993</v>
      </c>
      <c r="W365" s="54">
        <f t="shared" si="1487"/>
        <v>745.92100000000005</v>
      </c>
      <c r="X365" s="54">
        <f t="shared" si="1487"/>
        <v>681.11200000000008</v>
      </c>
      <c r="Y365" s="54">
        <f t="shared" si="1487"/>
        <v>643.63099999999997</v>
      </c>
      <c r="Z365" s="54">
        <f t="shared" si="1487"/>
        <v>652.75</v>
      </c>
      <c r="AA365" s="54">
        <f t="shared" si="1487"/>
        <v>667.03899999999999</v>
      </c>
      <c r="AB365" s="54">
        <f t="shared" si="1487"/>
        <v>659.31599999999992</v>
      </c>
      <c r="AC365" s="54">
        <f t="shared" si="1487"/>
        <v>668.10699999999997</v>
      </c>
      <c r="AD365" s="54">
        <f t="shared" si="1487"/>
        <v>656.34299999999996</v>
      </c>
      <c r="AE365" s="54">
        <f t="shared" si="1487"/>
        <v>678.16800000000001</v>
      </c>
      <c r="AF365" s="54">
        <f t="shared" si="1487"/>
        <v>757.27600000000007</v>
      </c>
      <c r="AG365" s="54">
        <f t="shared" si="1487"/>
        <v>845.62800000000004</v>
      </c>
      <c r="AH365" s="54">
        <f t="shared" si="1487"/>
        <v>901.21899999999994</v>
      </c>
      <c r="AI365" s="54">
        <f t="shared" si="1487"/>
        <v>641.90499999999997</v>
      </c>
      <c r="AJ365" s="54">
        <f t="shared" si="1487"/>
        <v>457.161</v>
      </c>
      <c r="AK365" s="54">
        <f t="shared" si="1487"/>
        <v>393.351</v>
      </c>
      <c r="AL365" s="54">
        <f t="shared" si="1487"/>
        <v>329.39300000000003</v>
      </c>
      <c r="AM365" s="54">
        <f t="shared" si="1487"/>
        <v>252.16299999999998</v>
      </c>
      <c r="AN365" s="54">
        <f t="shared" si="1487"/>
        <v>188.48800000000003</v>
      </c>
      <c r="AO365" s="54">
        <f t="shared" si="1487"/>
        <v>204.994</v>
      </c>
      <c r="AP365" s="54">
        <f t="shared" si="1487"/>
        <v>245.66800000000001</v>
      </c>
      <c r="AQ365" s="54">
        <f t="shared" si="1487"/>
        <v>305.17500000000007</v>
      </c>
      <c r="AR365" s="54">
        <f t="shared" si="1487"/>
        <v>579.18599999999992</v>
      </c>
      <c r="AS365" s="54">
        <f t="shared" si="1487"/>
        <v>684.98899999999992</v>
      </c>
      <c r="AT365" s="54">
        <f t="shared" ref="AT365" si="1488">AT16</f>
        <v>787.33400000000006</v>
      </c>
      <c r="AU365" s="54">
        <f t="shared" si="1487"/>
        <v>777.19344897959184</v>
      </c>
      <c r="AV365" s="54">
        <f t="shared" si="1487"/>
        <v>850.15164186612242</v>
      </c>
      <c r="AW365" s="54">
        <f t="shared" si="1487"/>
        <v>913.3992494902858</v>
      </c>
      <c r="AX365" s="54">
        <f t="shared" si="1487"/>
        <v>965.26843102156556</v>
      </c>
      <c r="AY365" s="54">
        <f t="shared" si="1487"/>
        <v>1001.51269256304</v>
      </c>
      <c r="AZ365" s="54">
        <f t="shared" si="1487"/>
        <v>1052.2847503545142</v>
      </c>
      <c r="BA365" s="54">
        <f t="shared" si="1487"/>
        <v>1115.3118334961996</v>
      </c>
      <c r="BB365" s="54">
        <f t="shared" si="1487"/>
        <v>1154.1154952157988</v>
      </c>
      <c r="BC365" s="54">
        <f t="shared" si="1487"/>
        <v>1176.9358049235673</v>
      </c>
      <c r="BD365" s="54">
        <f t="shared" si="1487"/>
        <v>1186.1906534324501</v>
      </c>
      <c r="BE365" s="54">
        <f t="shared" si="1487"/>
        <v>1200.9606693667768</v>
      </c>
      <c r="BF365" s="54">
        <f t="shared" si="1487"/>
        <v>1210.7769110978204</v>
      </c>
      <c r="BI365">
        <f t="shared" si="1391"/>
        <v>358</v>
      </c>
    </row>
    <row r="366" spans="1:61" hidden="1" outlineLevel="2">
      <c r="A366" s="35"/>
      <c r="B366" s="46" t="s">
        <v>220</v>
      </c>
      <c r="C366" s="54">
        <f t="shared" ref="C366:M366" si="1489">C271</f>
        <v>333.49299999999999</v>
      </c>
      <c r="D366" s="54">
        <f t="shared" si="1489"/>
        <v>425.97900000000004</v>
      </c>
      <c r="E366" s="54">
        <f t="shared" si="1489"/>
        <v>514.11400000000003</v>
      </c>
      <c r="F366" s="54">
        <f t="shared" si="1489"/>
        <v>559.66899999999998</v>
      </c>
      <c r="G366" s="54">
        <f t="shared" si="1489"/>
        <v>624.03199999999993</v>
      </c>
      <c r="H366" s="54">
        <f t="shared" si="1489"/>
        <v>700.88200000000006</v>
      </c>
      <c r="I366" s="54">
        <f t="shared" si="1489"/>
        <v>666.23299999999995</v>
      </c>
      <c r="J366" s="54">
        <f t="shared" si="1489"/>
        <v>754.36200000000008</v>
      </c>
      <c r="K366" s="54">
        <f t="shared" si="1489"/>
        <v>824.41942457326263</v>
      </c>
      <c r="L366" s="54">
        <f t="shared" si="1489"/>
        <v>859.16085662847684</v>
      </c>
      <c r="M366" s="54">
        <f t="shared" si="1489"/>
        <v>866.14456990204189</v>
      </c>
      <c r="O366" s="54">
        <f>O271</f>
        <v>75.715999999999994</v>
      </c>
      <c r="P366" s="54">
        <f t="shared" ref="P366:BF366" si="1490">P271</f>
        <v>78.783000000000001</v>
      </c>
      <c r="Q366" s="54">
        <f t="shared" si="1490"/>
        <v>85.430999999999997</v>
      </c>
      <c r="R366" s="54">
        <f t="shared" si="1490"/>
        <v>93.563000000000002</v>
      </c>
      <c r="S366" s="54">
        <f t="shared" si="1490"/>
        <v>96.215000000000003</v>
      </c>
      <c r="T366" s="54">
        <f t="shared" si="1490"/>
        <v>102.749</v>
      </c>
      <c r="U366" s="54">
        <f t="shared" si="1490"/>
        <v>110.71299999999999</v>
      </c>
      <c r="V366" s="54">
        <f t="shared" si="1490"/>
        <v>116.30200000000001</v>
      </c>
      <c r="W366" s="54">
        <f t="shared" si="1490"/>
        <v>122.953</v>
      </c>
      <c r="X366" s="54">
        <f t="shared" si="1490"/>
        <v>128.477</v>
      </c>
      <c r="Y366" s="54">
        <f t="shared" si="1490"/>
        <v>129.893</v>
      </c>
      <c r="Z366" s="54">
        <f t="shared" si="1490"/>
        <v>132.791</v>
      </c>
      <c r="AA366" s="54">
        <f t="shared" si="1490"/>
        <v>136.435</v>
      </c>
      <c r="AB366" s="54">
        <f t="shared" si="1490"/>
        <v>137.18199999999999</v>
      </c>
      <c r="AC366" s="54">
        <f t="shared" si="1490"/>
        <v>140.73400000000001</v>
      </c>
      <c r="AD366" s="54">
        <f t="shared" si="1490"/>
        <v>145.31799999999998</v>
      </c>
      <c r="AE366" s="54">
        <f t="shared" si="1490"/>
        <v>147.322</v>
      </c>
      <c r="AF366" s="54">
        <f t="shared" si="1490"/>
        <v>153.42599999999999</v>
      </c>
      <c r="AG366" s="54">
        <f t="shared" si="1490"/>
        <v>159.94599999999997</v>
      </c>
      <c r="AH366" s="54">
        <f t="shared" si="1490"/>
        <v>163.33800000000002</v>
      </c>
      <c r="AI366" s="54">
        <f t="shared" si="1490"/>
        <v>172.018</v>
      </c>
      <c r="AJ366" s="54">
        <f t="shared" si="1490"/>
        <v>177.82400000000001</v>
      </c>
      <c r="AK366" s="54">
        <f t="shared" si="1490"/>
        <v>177.143</v>
      </c>
      <c r="AL366" s="54">
        <f t="shared" si="1490"/>
        <v>173.89699999999999</v>
      </c>
      <c r="AM366" s="54">
        <f t="shared" si="1490"/>
        <v>174.56900000000002</v>
      </c>
      <c r="AN366" s="54">
        <f t="shared" si="1490"/>
        <v>170.97499999999999</v>
      </c>
      <c r="AO366" s="54">
        <f t="shared" si="1490"/>
        <v>163.464</v>
      </c>
      <c r="AP366" s="54">
        <f t="shared" si="1490"/>
        <v>157.22499999999999</v>
      </c>
      <c r="AQ366" s="54">
        <f t="shared" si="1490"/>
        <v>156.21700000000001</v>
      </c>
      <c r="AR366" s="54">
        <f t="shared" si="1490"/>
        <v>190.34899999999999</v>
      </c>
      <c r="AS366" s="54">
        <f t="shared" si="1490"/>
        <v>196.642</v>
      </c>
      <c r="AT366" s="54">
        <f t="shared" ref="AT366" si="1491">AT271</f>
        <v>211.154</v>
      </c>
      <c r="AU366" s="54">
        <f t="shared" si="1490"/>
        <v>205</v>
      </c>
      <c r="AV366" s="54">
        <f t="shared" si="1490"/>
        <v>205.6896130517903</v>
      </c>
      <c r="AW366" s="54">
        <f t="shared" si="1490"/>
        <v>206.44894515684058</v>
      </c>
      <c r="AX366" s="54">
        <f t="shared" si="1490"/>
        <v>207.28086636463169</v>
      </c>
      <c r="AY366" s="54">
        <f t="shared" si="1490"/>
        <v>210.76347190672888</v>
      </c>
      <c r="AZ366" s="54">
        <f t="shared" si="1490"/>
        <v>212.95133137507113</v>
      </c>
      <c r="BA366" s="54">
        <f t="shared" si="1490"/>
        <v>215.09931035946954</v>
      </c>
      <c r="BB366" s="54">
        <f t="shared" si="1490"/>
        <v>220.34674298720725</v>
      </c>
      <c r="BC366" s="54">
        <f t="shared" si="1490"/>
        <v>220.51039657428601</v>
      </c>
      <c r="BD366" s="54">
        <f t="shared" si="1490"/>
        <v>217.74329253621968</v>
      </c>
      <c r="BE366" s="54">
        <f t="shared" si="1490"/>
        <v>215.14857666226837</v>
      </c>
      <c r="BF366" s="54">
        <f t="shared" si="1490"/>
        <v>212.74230412926789</v>
      </c>
      <c r="BI366">
        <f t="shared" si="1391"/>
        <v>359</v>
      </c>
    </row>
    <row r="367" spans="1:61" hidden="1" outlineLevel="2">
      <c r="A367" s="35"/>
      <c r="B367" s="46" t="s">
        <v>154</v>
      </c>
      <c r="C367" s="54">
        <f t="shared" ref="C367:M367" si="1492">-C282</f>
        <v>738.09</v>
      </c>
      <c r="D367" s="54">
        <f t="shared" si="1492"/>
        <v>1011.578</v>
      </c>
      <c r="E367" s="54">
        <f t="shared" si="1492"/>
        <v>973.98800000000006</v>
      </c>
      <c r="F367" s="54">
        <f t="shared" si="1492"/>
        <v>662.46100000000001</v>
      </c>
      <c r="G367" s="54">
        <f t="shared" si="1492"/>
        <v>1052.3409999999999</v>
      </c>
      <c r="H367" s="54">
        <f t="shared" si="1492"/>
        <v>743.77599999999984</v>
      </c>
      <c r="I367" s="54">
        <f t="shared" si="1492"/>
        <v>119.79900000000001</v>
      </c>
      <c r="J367" s="54">
        <f t="shared" si="1492"/>
        <v>567.08699999999999</v>
      </c>
      <c r="K367" s="54">
        <f t="shared" si="1492"/>
        <v>677.60500000000002</v>
      </c>
      <c r="L367" s="54">
        <f t="shared" si="1492"/>
        <v>756.39840000000004</v>
      </c>
      <c r="M367" s="54">
        <f t="shared" si="1492"/>
        <v>684.12080000000003</v>
      </c>
      <c r="O367" s="54">
        <f>-O282</f>
        <v>108.938</v>
      </c>
      <c r="P367" s="54">
        <f t="shared" ref="P367:BF367" si="1493">-P282</f>
        <v>189.90700000000004</v>
      </c>
      <c r="Q367" s="54">
        <f t="shared" si="1493"/>
        <v>214.83399999999995</v>
      </c>
      <c r="R367" s="54">
        <f t="shared" si="1493"/>
        <v>224.41100000000006</v>
      </c>
      <c r="S367" s="54">
        <f t="shared" si="1493"/>
        <v>182.55199999999999</v>
      </c>
      <c r="T367" s="54">
        <f t="shared" si="1493"/>
        <v>245.066</v>
      </c>
      <c r="U367" s="54">
        <f t="shared" si="1493"/>
        <v>283.81800000000004</v>
      </c>
      <c r="V367" s="54">
        <f t="shared" si="1493"/>
        <v>300.14199999999994</v>
      </c>
      <c r="W367" s="54">
        <f t="shared" si="1493"/>
        <v>263.40300000000002</v>
      </c>
      <c r="X367" s="54">
        <f t="shared" si="1493"/>
        <v>248.66200000000003</v>
      </c>
      <c r="Y367" s="54">
        <f t="shared" si="1493"/>
        <v>232.28299999999999</v>
      </c>
      <c r="Z367" s="54">
        <f t="shared" si="1493"/>
        <v>229.64</v>
      </c>
      <c r="AA367" s="54">
        <f t="shared" si="1493"/>
        <v>174.161</v>
      </c>
      <c r="AB367" s="54">
        <f t="shared" si="1493"/>
        <v>158.43700000000001</v>
      </c>
      <c r="AC367" s="54">
        <f t="shared" si="1493"/>
        <v>150.73099999999999</v>
      </c>
      <c r="AD367" s="54">
        <f t="shared" si="1493"/>
        <v>179.13200000000001</v>
      </c>
      <c r="AE367" s="54">
        <f t="shared" si="1493"/>
        <v>170.37200000000001</v>
      </c>
      <c r="AF367" s="54">
        <f t="shared" si="1493"/>
        <v>317.666</v>
      </c>
      <c r="AG367" s="54">
        <f t="shared" si="1493"/>
        <v>285.75300000000004</v>
      </c>
      <c r="AH367" s="54">
        <f t="shared" si="1493"/>
        <v>278.54999999999984</v>
      </c>
      <c r="AI367" s="54">
        <f t="shared" si="1493"/>
        <v>241.46600000000001</v>
      </c>
      <c r="AJ367" s="54">
        <f t="shared" si="1493"/>
        <v>222.16699999999997</v>
      </c>
      <c r="AK367" s="54">
        <f t="shared" si="1493"/>
        <v>144.58700000000005</v>
      </c>
      <c r="AL367" s="54">
        <f t="shared" si="1493"/>
        <v>135.55599999999987</v>
      </c>
      <c r="AM367" s="54">
        <f t="shared" si="1493"/>
        <v>21.300999999999998</v>
      </c>
      <c r="AN367" s="54">
        <f t="shared" si="1493"/>
        <v>30.533000000000005</v>
      </c>
      <c r="AO367" s="54">
        <f t="shared" si="1493"/>
        <v>28.676999999999996</v>
      </c>
      <c r="AP367" s="54">
        <f t="shared" si="1493"/>
        <v>39.288000000000011</v>
      </c>
      <c r="AQ367" s="54">
        <f t="shared" si="1493"/>
        <v>68.44</v>
      </c>
      <c r="AR367" s="54">
        <f t="shared" si="1493"/>
        <v>118.35</v>
      </c>
      <c r="AS367" s="54">
        <f t="shared" si="1493"/>
        <v>143.06100000000001</v>
      </c>
      <c r="AT367" s="54">
        <f t="shared" ref="AT367" si="1494">-AT282</f>
        <v>237.23599999999993</v>
      </c>
      <c r="AU367" s="54">
        <f t="shared" si="1493"/>
        <v>164.64500000000001</v>
      </c>
      <c r="AV367" s="54">
        <f t="shared" si="1493"/>
        <v>167.7655</v>
      </c>
      <c r="AW367" s="54">
        <f t="shared" si="1493"/>
        <v>170.922</v>
      </c>
      <c r="AX367" s="54">
        <f t="shared" si="1493"/>
        <v>174.27250000000001</v>
      </c>
      <c r="AY367" s="54">
        <f t="shared" si="1493"/>
        <v>154.69</v>
      </c>
      <c r="AZ367" s="54">
        <f t="shared" si="1493"/>
        <v>158.74199999999999</v>
      </c>
      <c r="BA367" s="54">
        <f t="shared" si="1493"/>
        <v>219.6472</v>
      </c>
      <c r="BB367" s="54">
        <f t="shared" si="1493"/>
        <v>223.31920000000002</v>
      </c>
      <c r="BC367" s="54">
        <f t="shared" si="1493"/>
        <v>170.25120000000004</v>
      </c>
      <c r="BD367" s="54">
        <f t="shared" si="1493"/>
        <v>170.61520000000002</v>
      </c>
      <c r="BE367" s="54">
        <f t="shared" si="1493"/>
        <v>171.44320000000002</v>
      </c>
      <c r="BF367" s="54">
        <f t="shared" si="1493"/>
        <v>171.81120000000001</v>
      </c>
      <c r="BI367">
        <f t="shared" si="1391"/>
        <v>360</v>
      </c>
    </row>
    <row r="368" spans="1:61" hidden="1" outlineLevel="2">
      <c r="A368" s="35"/>
      <c r="B368" s="47" t="s">
        <v>221</v>
      </c>
      <c r="C368" s="68">
        <f t="shared" ref="C368:M368" si="1495">C366/C365</f>
        <v>0.22796222104801933</v>
      </c>
      <c r="D368" s="68">
        <f t="shared" si="1495"/>
        <v>0.16601265109942037</v>
      </c>
      <c r="E368" s="68">
        <f t="shared" si="1495"/>
        <v>0.18877555891245329</v>
      </c>
      <c r="F368" s="68">
        <f t="shared" si="1495"/>
        <v>0.21113171281931339</v>
      </c>
      <c r="G368" s="68">
        <f t="shared" si="1495"/>
        <v>0.19609520310996068</v>
      </c>
      <c r="H368" s="68">
        <f t="shared" si="1495"/>
        <v>0.38471739643541319</v>
      </c>
      <c r="I368" s="68">
        <f t="shared" si="1495"/>
        <v>0.74747367086534122</v>
      </c>
      <c r="J368" s="68">
        <f t="shared" si="1495"/>
        <v>0.32009467539984149</v>
      </c>
      <c r="K368" s="68">
        <f t="shared" si="1495"/>
        <v>0.23514444422689271</v>
      </c>
      <c r="L368" s="68">
        <f t="shared" si="1495"/>
        <v>0.19873147985887241</v>
      </c>
      <c r="M368" s="68">
        <f t="shared" si="1495"/>
        <v>0.18139669797089733</v>
      </c>
      <c r="O368" s="68">
        <f>O366/O365</f>
        <v>0.27877966700785722</v>
      </c>
      <c r="P368" s="68">
        <f t="shared" ref="P368:BF368" si="1496">P366/P365</f>
        <v>0.25662883723354357</v>
      </c>
      <c r="Q368" s="68">
        <f t="shared" si="1496"/>
        <v>0.22561221983663574</v>
      </c>
      <c r="R368" s="68">
        <f t="shared" si="1496"/>
        <v>0.18502485771577962</v>
      </c>
      <c r="S368" s="68">
        <f t="shared" si="1496"/>
        <v>0.1695705352799769</v>
      </c>
      <c r="T368" s="68">
        <f t="shared" si="1496"/>
        <v>0.17123006879266212</v>
      </c>
      <c r="U368" s="68">
        <f t="shared" si="1496"/>
        <v>0.16430454062461045</v>
      </c>
      <c r="V368" s="68">
        <f t="shared" si="1496"/>
        <v>0.16049469603820898</v>
      </c>
      <c r="W368" s="68">
        <f t="shared" si="1496"/>
        <v>0.16483380947848364</v>
      </c>
      <c r="X368" s="68">
        <f t="shared" si="1496"/>
        <v>0.1886283019532764</v>
      </c>
      <c r="Y368" s="68">
        <f t="shared" si="1496"/>
        <v>0.20181283996575677</v>
      </c>
      <c r="Z368" s="68">
        <f t="shared" si="1496"/>
        <v>0.20343316736882419</v>
      </c>
      <c r="AA368" s="68">
        <f t="shared" si="1496"/>
        <v>0.20453826537878594</v>
      </c>
      <c r="AB368" s="68">
        <f t="shared" si="1496"/>
        <v>0.20806714837801601</v>
      </c>
      <c r="AC368" s="68">
        <f t="shared" si="1496"/>
        <v>0.21064589953405669</v>
      </c>
      <c r="AD368" s="68">
        <f t="shared" si="1496"/>
        <v>0.22140557604788957</v>
      </c>
      <c r="AE368" s="68">
        <f t="shared" si="1496"/>
        <v>0.21723525734036403</v>
      </c>
      <c r="AF368" s="68">
        <f t="shared" si="1496"/>
        <v>0.20260248575156214</v>
      </c>
      <c r="AG368" s="68">
        <f t="shared" si="1496"/>
        <v>0.18914463570269666</v>
      </c>
      <c r="AH368" s="68">
        <f t="shared" si="1496"/>
        <v>0.18124118554979426</v>
      </c>
      <c r="AI368" s="68">
        <f t="shared" si="1496"/>
        <v>0.26798046439893752</v>
      </c>
      <c r="AJ368" s="68">
        <f t="shared" si="1496"/>
        <v>0.38897456257204793</v>
      </c>
      <c r="AK368" s="68">
        <f t="shared" si="1496"/>
        <v>0.4503433320367814</v>
      </c>
      <c r="AL368" s="68">
        <f t="shared" si="1496"/>
        <v>0.52793168039393668</v>
      </c>
      <c r="AM368" s="68">
        <f t="shared" si="1496"/>
        <v>0.69228633859844635</v>
      </c>
      <c r="AN368" s="68">
        <f t="shared" si="1496"/>
        <v>0.90708692330546226</v>
      </c>
      <c r="AO368" s="68">
        <f t="shared" si="1496"/>
        <v>0.79740870464501401</v>
      </c>
      <c r="AP368" s="68">
        <f t="shared" si="1496"/>
        <v>0.63998974225377336</v>
      </c>
      <c r="AQ368" s="68">
        <f t="shared" si="1496"/>
        <v>0.51189317604653062</v>
      </c>
      <c r="AR368" s="68">
        <f t="shared" si="1496"/>
        <v>0.3286491731499035</v>
      </c>
      <c r="AS368" s="68">
        <f t="shared" si="1496"/>
        <v>0.28707322307365524</v>
      </c>
      <c r="AT368" s="68">
        <f t="shared" ref="AT368" si="1497">AT366/AT365</f>
        <v>0.26818859594530398</v>
      </c>
      <c r="AU368" s="68">
        <f t="shared" si="1496"/>
        <v>0.26376959336076833</v>
      </c>
      <c r="AV368" s="68">
        <f t="shared" si="1496"/>
        <v>0.24194461661015207</v>
      </c>
      <c r="AW368" s="68">
        <f t="shared" si="1496"/>
        <v>0.22602267877058971</v>
      </c>
      <c r="AX368" s="68">
        <f t="shared" si="1496"/>
        <v>0.21473909194902566</v>
      </c>
      <c r="AY368" s="68">
        <f t="shared" si="1496"/>
        <v>0.2104451331189319</v>
      </c>
      <c r="AZ368" s="68">
        <f t="shared" si="1496"/>
        <v>0.20237044326958833</v>
      </c>
      <c r="BA368" s="68">
        <f t="shared" si="1496"/>
        <v>0.19286024222050227</v>
      </c>
      <c r="BB368" s="68">
        <f t="shared" si="1496"/>
        <v>0.19092261034586178</v>
      </c>
      <c r="BC368" s="68">
        <f t="shared" si="1496"/>
        <v>0.18735974863863236</v>
      </c>
      <c r="BD368" s="68">
        <f t="shared" si="1496"/>
        <v>0.18356517302352821</v>
      </c>
      <c r="BE368" s="68">
        <f t="shared" si="1496"/>
        <v>0.17914706297226907</v>
      </c>
      <c r="BF368" s="68">
        <f t="shared" si="1496"/>
        <v>0.17570726876214782</v>
      </c>
      <c r="BI368">
        <f t="shared" si="1391"/>
        <v>361</v>
      </c>
    </row>
    <row r="369" spans="1:61" hidden="1" outlineLevel="2">
      <c r="A369" s="35"/>
      <c r="B369" s="47" t="s">
        <v>222</v>
      </c>
      <c r="C369" s="68">
        <f t="shared" ref="C369:M369" si="1498">C367/C365</f>
        <v>0.50452823817391257</v>
      </c>
      <c r="D369" s="68">
        <f t="shared" si="1498"/>
        <v>0.3942324517730908</v>
      </c>
      <c r="E369" s="68">
        <f t="shared" si="1498"/>
        <v>0.35763493908748362</v>
      </c>
      <c r="F369" s="68">
        <f t="shared" si="1498"/>
        <v>0.24990936715450593</v>
      </c>
      <c r="G369" s="68">
        <f t="shared" si="1498"/>
        <v>0.33068660282796258</v>
      </c>
      <c r="H369" s="68">
        <f t="shared" si="1498"/>
        <v>0.40826211295360099</v>
      </c>
      <c r="I369" s="68">
        <f t="shared" si="1498"/>
        <v>0.13440732941177791</v>
      </c>
      <c r="J369" s="68">
        <f t="shared" si="1498"/>
        <v>0.24062920612182198</v>
      </c>
      <c r="K369" s="68">
        <f t="shared" si="1498"/>
        <v>0.19326940436033382</v>
      </c>
      <c r="L369" s="68">
        <f t="shared" si="1498"/>
        <v>0.17496161776360539</v>
      </c>
      <c r="M369" s="68">
        <f t="shared" si="1498"/>
        <v>0.14327545128781868</v>
      </c>
      <c r="O369" s="68">
        <f>O367/O365</f>
        <v>0.40110015537669652</v>
      </c>
      <c r="P369" s="68">
        <f t="shared" ref="P369:BF369" si="1499">P367/P365</f>
        <v>0.618605696565383</v>
      </c>
      <c r="Q369" s="68">
        <f t="shared" si="1499"/>
        <v>0.56734880355355533</v>
      </c>
      <c r="R369" s="68">
        <f t="shared" si="1499"/>
        <v>0.44378240698626409</v>
      </c>
      <c r="S369" s="68">
        <f t="shared" si="1499"/>
        <v>0.3217319581814721</v>
      </c>
      <c r="T369" s="68">
        <f t="shared" si="1499"/>
        <v>0.40839977069112632</v>
      </c>
      <c r="U369" s="68">
        <f t="shared" si="1499"/>
        <v>0.42120244335349682</v>
      </c>
      <c r="V369" s="68">
        <f t="shared" si="1499"/>
        <v>0.41419063350845303</v>
      </c>
      <c r="W369" s="68">
        <f t="shared" si="1499"/>
        <v>0.35312452659195814</v>
      </c>
      <c r="X369" s="68">
        <f t="shared" si="1499"/>
        <v>0.36508239467224185</v>
      </c>
      <c r="Y369" s="68">
        <f t="shared" si="1499"/>
        <v>0.36089467412228438</v>
      </c>
      <c r="Z369" s="68">
        <f t="shared" si="1499"/>
        <v>0.35180390654921484</v>
      </c>
      <c r="AA369" s="68">
        <f t="shared" si="1499"/>
        <v>0.26109567806380135</v>
      </c>
      <c r="AB369" s="68">
        <f t="shared" si="1499"/>
        <v>0.24030510407755923</v>
      </c>
      <c r="AC369" s="68">
        <f t="shared" si="1499"/>
        <v>0.22560907160080645</v>
      </c>
      <c r="AD369" s="68">
        <f t="shared" si="1499"/>
        <v>0.27292437033685135</v>
      </c>
      <c r="AE369" s="68">
        <f t="shared" si="1499"/>
        <v>0.25122388552689012</v>
      </c>
      <c r="AF369" s="68">
        <f t="shared" si="1499"/>
        <v>0.41948510186510596</v>
      </c>
      <c r="AG369" s="68">
        <f t="shared" si="1499"/>
        <v>0.33791809164313391</v>
      </c>
      <c r="AH369" s="68">
        <f t="shared" si="1499"/>
        <v>0.30908136646031636</v>
      </c>
      <c r="AI369" s="68">
        <f t="shared" si="1499"/>
        <v>0.37617092871998198</v>
      </c>
      <c r="AJ369" s="68">
        <f t="shared" si="1499"/>
        <v>0.48597102552492444</v>
      </c>
      <c r="AK369" s="68">
        <f t="shared" si="1499"/>
        <v>0.3675775579571427</v>
      </c>
      <c r="AL369" s="68">
        <f t="shared" si="1499"/>
        <v>0.41153272838220561</v>
      </c>
      <c r="AM369" s="68">
        <f t="shared" si="1499"/>
        <v>8.4473138406506901E-2</v>
      </c>
      <c r="AN369" s="68">
        <f t="shared" si="1499"/>
        <v>0.16198909214379695</v>
      </c>
      <c r="AO369" s="68">
        <f t="shared" si="1499"/>
        <v>0.13989189927510071</v>
      </c>
      <c r="AP369" s="68">
        <f t="shared" si="1499"/>
        <v>0.15992314831398477</v>
      </c>
      <c r="AQ369" s="68">
        <f t="shared" si="1499"/>
        <v>0.22426476611780122</v>
      </c>
      <c r="AR369" s="68">
        <f t="shared" si="1499"/>
        <v>0.20433850265717751</v>
      </c>
      <c r="AS369" s="68">
        <f t="shared" si="1499"/>
        <v>0.20885152900265555</v>
      </c>
      <c r="AT369" s="68">
        <f t="shared" ref="AT369" si="1500">AT367/AT365</f>
        <v>0.30131557890298133</v>
      </c>
      <c r="AU369" s="68">
        <f t="shared" si="1499"/>
        <v>0.21184558389699371</v>
      </c>
      <c r="AV369" s="68">
        <f t="shared" si="1499"/>
        <v>0.19733597130006938</v>
      </c>
      <c r="AW369" s="68">
        <f t="shared" si="1499"/>
        <v>0.18712737074765659</v>
      </c>
      <c r="AX369" s="68">
        <f t="shared" si="1499"/>
        <v>0.18054304315698325</v>
      </c>
      <c r="AY369" s="68">
        <f t="shared" si="1499"/>
        <v>0.1544563550204463</v>
      </c>
      <c r="AZ369" s="68">
        <f t="shared" si="1499"/>
        <v>0.15085460465574541</v>
      </c>
      <c r="BA369" s="68">
        <f t="shared" si="1499"/>
        <v>0.19693792659893664</v>
      </c>
      <c r="BB369" s="68">
        <f t="shared" si="1499"/>
        <v>0.19349813855349318</v>
      </c>
      <c r="BC369" s="68">
        <f t="shared" si="1499"/>
        <v>0.14465631794680298</v>
      </c>
      <c r="BD369" s="68">
        <f t="shared" si="1499"/>
        <v>0.14383455096893161</v>
      </c>
      <c r="BE369" s="68">
        <f t="shared" si="1499"/>
        <v>0.14275504966402924</v>
      </c>
      <c r="BF369" s="68">
        <f t="shared" si="1499"/>
        <v>0.141901615752003</v>
      </c>
      <c r="BI369">
        <f t="shared" si="1391"/>
        <v>362</v>
      </c>
    </row>
    <row r="370" spans="1:61" hidden="1" outlineLevel="2">
      <c r="A370" s="35"/>
      <c r="B370" s="46" t="s">
        <v>223</v>
      </c>
      <c r="C370" s="68">
        <f t="shared" ref="C370:M370" si="1501">C367/C366</f>
        <v>2.2132098724710865</v>
      </c>
      <c r="D370" s="68">
        <f t="shared" si="1501"/>
        <v>2.3747133074635132</v>
      </c>
      <c r="E370" s="68">
        <f t="shared" si="1501"/>
        <v>1.8944981074236453</v>
      </c>
      <c r="F370" s="68">
        <f t="shared" si="1501"/>
        <v>1.1836657024062438</v>
      </c>
      <c r="G370" s="68">
        <f t="shared" si="1501"/>
        <v>1.6863574303881852</v>
      </c>
      <c r="H370" s="68">
        <f t="shared" si="1501"/>
        <v>1.0612000308183114</v>
      </c>
      <c r="I370" s="68">
        <f t="shared" si="1501"/>
        <v>0.1798154699632111</v>
      </c>
      <c r="J370" s="68">
        <f t="shared" si="1501"/>
        <v>0.75174385772348018</v>
      </c>
      <c r="K370" s="68">
        <f t="shared" si="1501"/>
        <v>0.82191780033657391</v>
      </c>
      <c r="L370" s="68">
        <f t="shared" si="1501"/>
        <v>0.88039206414531301</v>
      </c>
      <c r="M370" s="68">
        <f t="shared" si="1501"/>
        <v>0.78984597233851139</v>
      </c>
      <c r="O370" s="68">
        <f>O367/O366</f>
        <v>1.4387711976332613</v>
      </c>
      <c r="P370" s="68">
        <f t="shared" ref="P370:BF370" si="1502">P367/P366</f>
        <v>2.4105073429546988</v>
      </c>
      <c r="Q370" s="68">
        <f t="shared" si="1502"/>
        <v>2.5147077758659031</v>
      </c>
      <c r="R370" s="68">
        <f t="shared" si="1502"/>
        <v>2.398501544413925</v>
      </c>
      <c r="S370" s="68">
        <f t="shared" si="1502"/>
        <v>1.8973340955152522</v>
      </c>
      <c r="T370" s="68">
        <f t="shared" si="1502"/>
        <v>2.3850937722021626</v>
      </c>
      <c r="U370" s="68">
        <f t="shared" si="1502"/>
        <v>2.5635471895802664</v>
      </c>
      <c r="V370" s="68">
        <f t="shared" si="1502"/>
        <v>2.5807122835376859</v>
      </c>
      <c r="W370" s="68">
        <f t="shared" si="1502"/>
        <v>2.1423064097663338</v>
      </c>
      <c r="X370" s="68">
        <f t="shared" si="1502"/>
        <v>1.9354592650824662</v>
      </c>
      <c r="Y370" s="68">
        <f t="shared" si="1502"/>
        <v>1.7882641866767262</v>
      </c>
      <c r="Z370" s="68">
        <f t="shared" si="1502"/>
        <v>1.7293340663147352</v>
      </c>
      <c r="AA370" s="68">
        <f t="shared" si="1502"/>
        <v>1.2765126250595522</v>
      </c>
      <c r="AB370" s="68">
        <f t="shared" si="1502"/>
        <v>1.1549401524981413</v>
      </c>
      <c r="AC370" s="68">
        <f t="shared" si="1502"/>
        <v>1.0710347179785977</v>
      </c>
      <c r="AD370" s="68">
        <f t="shared" si="1502"/>
        <v>1.2326896874440882</v>
      </c>
      <c r="AE370" s="68">
        <f t="shared" si="1502"/>
        <v>1.1564599991854578</v>
      </c>
      <c r="AF370" s="68">
        <f t="shared" si="1502"/>
        <v>2.0704834904123164</v>
      </c>
      <c r="AG370" s="68">
        <f t="shared" si="1502"/>
        <v>1.786559213734636</v>
      </c>
      <c r="AH370" s="68">
        <f t="shared" si="1502"/>
        <v>1.7053594387099131</v>
      </c>
      <c r="AI370" s="68">
        <f t="shared" si="1502"/>
        <v>1.4037251915497215</v>
      </c>
      <c r="AJ370" s="68">
        <f t="shared" si="1502"/>
        <v>1.2493645402195426</v>
      </c>
      <c r="AK370" s="68">
        <f t="shared" si="1502"/>
        <v>0.81621627724493795</v>
      </c>
      <c r="AL370" s="68">
        <f t="shared" si="1502"/>
        <v>0.77951891061950396</v>
      </c>
      <c r="AM370" s="68">
        <f t="shared" si="1502"/>
        <v>0.12202051910705794</v>
      </c>
      <c r="AN370" s="68">
        <f t="shared" si="1502"/>
        <v>0.1785816639859629</v>
      </c>
      <c r="AO370" s="68">
        <f t="shared" si="1502"/>
        <v>0.17543312288944352</v>
      </c>
      <c r="AP370" s="68">
        <f t="shared" si="1502"/>
        <v>0.24988392431229139</v>
      </c>
      <c r="AQ370" s="68">
        <f t="shared" si="1502"/>
        <v>0.43810852852122362</v>
      </c>
      <c r="AR370" s="68">
        <f t="shared" si="1502"/>
        <v>0.62175267534896428</v>
      </c>
      <c r="AS370" s="68">
        <f t="shared" si="1502"/>
        <v>0.72752006183826456</v>
      </c>
      <c r="AT370" s="68">
        <f t="shared" ref="AT370" si="1503">AT367/AT366</f>
        <v>1.1235212214781625</v>
      </c>
      <c r="AU370" s="68">
        <f t="shared" si="1502"/>
        <v>0.80314634146341468</v>
      </c>
      <c r="AV370" s="68">
        <f t="shared" si="1502"/>
        <v>0.81562455930994704</v>
      </c>
      <c r="AW370" s="68">
        <f t="shared" si="1502"/>
        <v>0.82791413572081696</v>
      </c>
      <c r="AX370" s="68">
        <f t="shared" si="1502"/>
        <v>0.84075536279086149</v>
      </c>
      <c r="AY370" s="68">
        <f t="shared" si="1502"/>
        <v>0.73395071072114626</v>
      </c>
      <c r="AZ370" s="68">
        <f t="shared" si="1502"/>
        <v>0.74543793163897976</v>
      </c>
      <c r="BA370" s="68">
        <f t="shared" si="1502"/>
        <v>1.0211432088412098</v>
      </c>
      <c r="BB370" s="68">
        <f t="shared" si="1502"/>
        <v>1.013489906737425</v>
      </c>
      <c r="BC370" s="68">
        <f t="shared" si="1502"/>
        <v>0.77207788224463814</v>
      </c>
      <c r="BD370" s="68">
        <f t="shared" si="1502"/>
        <v>0.78356122024571517</v>
      </c>
      <c r="BE370" s="68">
        <f t="shared" si="1502"/>
        <v>0.79685955937846942</v>
      </c>
      <c r="BF370" s="68">
        <f t="shared" si="1502"/>
        <v>0.80760242163967044</v>
      </c>
      <c r="BI370">
        <f t="shared" si="1391"/>
        <v>363</v>
      </c>
    </row>
    <row r="371" spans="1:61" hidden="1" outlineLevel="2">
      <c r="A371" s="35"/>
      <c r="B371" s="46"/>
      <c r="BI371">
        <f t="shared" si="1391"/>
        <v>364</v>
      </c>
    </row>
    <row r="372" spans="1:61" hidden="1" outlineLevel="2">
      <c r="A372" s="35"/>
      <c r="B372" s="46" t="s">
        <v>224</v>
      </c>
      <c r="C372" s="54">
        <f t="shared" ref="C372:M372" si="1504">C307/(C$366)</f>
        <v>12.462447487653414</v>
      </c>
      <c r="D372" s="54">
        <f t="shared" si="1504"/>
        <v>11.592810913214031</v>
      </c>
      <c r="E372" s="54">
        <f t="shared" si="1504"/>
        <v>10.933814290215787</v>
      </c>
      <c r="F372" s="54">
        <f t="shared" si="1504"/>
        <v>10.766453028486479</v>
      </c>
      <c r="G372" s="54">
        <f t="shared" si="1504"/>
        <v>11.171912658325214</v>
      </c>
      <c r="H372" s="54">
        <f t="shared" si="1504"/>
        <v>10.391065828484679</v>
      </c>
      <c r="I372" s="54">
        <f t="shared" si="1504"/>
        <v>10.7019556221322</v>
      </c>
      <c r="J372" s="54">
        <f t="shared" si="1504"/>
        <v>11.254593948263565</v>
      </c>
      <c r="K372" s="54">
        <f t="shared" si="1504"/>
        <v>11.12012008298491</v>
      </c>
      <c r="L372" s="54">
        <f t="shared" si="1504"/>
        <v>11.550853746926938</v>
      </c>
      <c r="M372" s="54">
        <f t="shared" si="1504"/>
        <v>12.247565324111827</v>
      </c>
      <c r="O372" s="54">
        <f>O307/(O$366*4)</f>
        <v>11.70174071530456</v>
      </c>
      <c r="P372" s="54">
        <f t="shared" ref="P372:BF372" si="1505">P307/(P$366*4)</f>
        <v>11.769512458271453</v>
      </c>
      <c r="Q372" s="54">
        <f t="shared" si="1505"/>
        <v>11.277592443024194</v>
      </c>
      <c r="R372" s="54">
        <f t="shared" si="1505"/>
        <v>11.10518848262668</v>
      </c>
      <c r="S372" s="54">
        <f t="shared" si="1505"/>
        <v>11.11007898976251</v>
      </c>
      <c r="T372" s="54">
        <f t="shared" si="1505"/>
        <v>11.017479488851475</v>
      </c>
      <c r="U372" s="54">
        <f t="shared" si="1505"/>
        <v>10.689774461896977</v>
      </c>
      <c r="V372" s="54">
        <f t="shared" si="1505"/>
        <v>10.615238774913585</v>
      </c>
      <c r="W372" s="54">
        <f t="shared" si="1505"/>
        <v>10.395319756329654</v>
      </c>
      <c r="X372" s="54">
        <f t="shared" si="1505"/>
        <v>10.131566350397346</v>
      </c>
      <c r="Y372" s="54">
        <f t="shared" si="1505"/>
        <v>10.49404702331919</v>
      </c>
      <c r="Z372" s="54">
        <f t="shared" si="1505"/>
        <v>10.582846352538953</v>
      </c>
      <c r="AA372" s="54">
        <f t="shared" si="1505"/>
        <v>10.608232858137576</v>
      </c>
      <c r="AB372" s="54">
        <f t="shared" si="1505"/>
        <v>10.725944365878904</v>
      </c>
      <c r="AC372" s="54">
        <f t="shared" si="1505"/>
        <v>10.640351656316172</v>
      </c>
      <c r="AD372" s="54">
        <f t="shared" si="1505"/>
        <v>10.366317317882162</v>
      </c>
      <c r="AE372" s="54">
        <f t="shared" si="1505"/>
        <v>10.521619310082675</v>
      </c>
      <c r="AF372" s="54">
        <f t="shared" si="1505"/>
        <v>10.529952550415185</v>
      </c>
      <c r="AG372" s="54">
        <f t="shared" si="1505"/>
        <v>10.416121691070741</v>
      </c>
      <c r="AH372" s="54">
        <f t="shared" si="1505"/>
        <v>10.670558902398705</v>
      </c>
      <c r="AI372" s="54">
        <f t="shared" si="1505"/>
        <v>10.452904637886732</v>
      </c>
      <c r="AJ372" s="54">
        <f t="shared" si="1505"/>
        <v>10.316207317347489</v>
      </c>
      <c r="AK372" s="54">
        <f t="shared" si="1505"/>
        <v>10.26616349502944</v>
      </c>
      <c r="AL372" s="54">
        <f t="shared" si="1505"/>
        <v>10.470150433877526</v>
      </c>
      <c r="AM372" s="54">
        <f t="shared" si="1505"/>
        <v>10.390951428947865</v>
      </c>
      <c r="AN372" s="54">
        <f t="shared" si="1505"/>
        <v>10.534057610761808</v>
      </c>
      <c r="AO372" s="54">
        <f t="shared" si="1505"/>
        <v>10.902967931777027</v>
      </c>
      <c r="AP372" s="54">
        <f t="shared" si="1505"/>
        <v>11.337249165209098</v>
      </c>
      <c r="AQ372" s="54">
        <f t="shared" si="1505"/>
        <v>11.441413226473429</v>
      </c>
      <c r="AR372" s="54">
        <f t="shared" si="1505"/>
        <v>10.79449195950596</v>
      </c>
      <c r="AS372" s="54">
        <f t="shared" si="1505"/>
        <v>10.559492631279177</v>
      </c>
      <c r="AT372" s="54">
        <f t="shared" ref="AT372" si="1506">AT307/(AT$366*4)</f>
        <v>10.051950235373235</v>
      </c>
      <c r="AU372" s="54">
        <f t="shared" si="1505"/>
        <v>10.554491463414635</v>
      </c>
      <c r="AV372" s="54">
        <f t="shared" si="1505"/>
        <v>10.723011688707158</v>
      </c>
      <c r="AW372" s="54">
        <f t="shared" si="1505"/>
        <v>10.890550316408349</v>
      </c>
      <c r="AX372" s="54">
        <f t="shared" si="1505"/>
        <v>11.057029962274745</v>
      </c>
      <c r="AY372" s="54">
        <f t="shared" si="1505"/>
        <v>11.05781390349925</v>
      </c>
      <c r="AZ372" s="54">
        <f t="shared" si="1505"/>
        <v>11.130565536710575</v>
      </c>
      <c r="BA372" s="54">
        <f t="shared" si="1505"/>
        <v>11.274701652678887</v>
      </c>
      <c r="BB372" s="54">
        <f t="shared" si="1505"/>
        <v>11.259573508395542</v>
      </c>
      <c r="BC372" s="54">
        <f t="shared" si="1505"/>
        <v>11.444236594757806</v>
      </c>
      <c r="BD372" s="54">
        <f t="shared" si="1505"/>
        <v>11.785561429283204</v>
      </c>
      <c r="BE372" s="54">
        <f t="shared" si="1505"/>
        <v>12.126911506812531</v>
      </c>
      <c r="BF372" s="54">
        <f t="shared" si="1505"/>
        <v>12.465976434985633</v>
      </c>
      <c r="BI372">
        <f t="shared" si="1391"/>
        <v>365</v>
      </c>
    </row>
    <row r="373" spans="1:61" hidden="1" outlineLevel="2">
      <c r="A373" s="35"/>
      <c r="B373" s="46" t="s">
        <v>225</v>
      </c>
      <c r="C373" s="54">
        <f t="shared" ref="C373:M373" si="1507">-C308/(C$366)</f>
        <v>4.6035119177913781</v>
      </c>
      <c r="D373" s="54">
        <f t="shared" si="1507"/>
        <v>4.1575476725378469</v>
      </c>
      <c r="E373" s="54">
        <f t="shared" si="1507"/>
        <v>3.9015549080554122</v>
      </c>
      <c r="F373" s="54">
        <f t="shared" si="1507"/>
        <v>4.2705760011721212</v>
      </c>
      <c r="G373" s="54">
        <f t="shared" si="1507"/>
        <v>4.5519460540485106</v>
      </c>
      <c r="H373" s="54">
        <f t="shared" si="1507"/>
        <v>4.7971027933375368</v>
      </c>
      <c r="I373" s="54">
        <f t="shared" si="1507"/>
        <v>5.5851826613211903</v>
      </c>
      <c r="J373" s="54">
        <f t="shared" si="1507"/>
        <v>5.6144238442551444</v>
      </c>
      <c r="K373" s="54">
        <f t="shared" si="1507"/>
        <v>6.1373219428839727</v>
      </c>
      <c r="L373" s="54">
        <f t="shared" si="1507"/>
        <v>6.8891503093246937</v>
      </c>
      <c r="M373" s="54">
        <f t="shared" si="1507"/>
        <v>7.8336031730489823</v>
      </c>
      <c r="O373" s="54">
        <f>-O308/(O$366*4)</f>
        <v>4.4708648106080631</v>
      </c>
      <c r="P373" s="54">
        <f t="shared" ref="P373:BF373" si="1508">-P308/(P$366*4)</f>
        <v>4.502941624462129</v>
      </c>
      <c r="Q373" s="54">
        <f t="shared" si="1508"/>
        <v>4.2625218012196981</v>
      </c>
      <c r="R373" s="54">
        <f t="shared" si="1508"/>
        <v>4.1021530947062406</v>
      </c>
      <c r="S373" s="54">
        <f t="shared" si="1508"/>
        <v>4.0783973392922102</v>
      </c>
      <c r="T373" s="54">
        <f t="shared" si="1508"/>
        <v>3.9841555635577959</v>
      </c>
      <c r="U373" s="54">
        <f t="shared" si="1508"/>
        <v>3.857681573076333</v>
      </c>
      <c r="V373" s="54">
        <f t="shared" si="1508"/>
        <v>3.8069594675929901</v>
      </c>
      <c r="W373" s="54">
        <f t="shared" si="1508"/>
        <v>3.6686376094930582</v>
      </c>
      <c r="X373" s="54">
        <f t="shared" si="1508"/>
        <v>3.5109007837978781</v>
      </c>
      <c r="Y373" s="54">
        <f t="shared" si="1508"/>
        <v>3.713650851085124</v>
      </c>
      <c r="Z373" s="54">
        <f t="shared" si="1508"/>
        <v>3.7763176721313951</v>
      </c>
      <c r="AA373" s="54">
        <f t="shared" si="1508"/>
        <v>3.8600560706563565</v>
      </c>
      <c r="AB373" s="54">
        <f t="shared" si="1508"/>
        <v>4.0454888396436859</v>
      </c>
      <c r="AC373" s="54">
        <f t="shared" si="1508"/>
        <v>4.1536924268478117</v>
      </c>
      <c r="AD373" s="54">
        <f t="shared" si="1508"/>
        <v>4.1118598521862397</v>
      </c>
      <c r="AE373" s="54">
        <f t="shared" si="1508"/>
        <v>4.214733712548024</v>
      </c>
      <c r="AF373" s="54">
        <f t="shared" si="1508"/>
        <v>4.2180986273512975</v>
      </c>
      <c r="AG373" s="54">
        <f t="shared" si="1508"/>
        <v>4.3088558013329505</v>
      </c>
      <c r="AH373" s="54">
        <f t="shared" si="1508"/>
        <v>4.3476716991759412</v>
      </c>
      <c r="AI373" s="54">
        <f t="shared" si="1508"/>
        <v>4.3163317210989547</v>
      </c>
      <c r="AJ373" s="54">
        <f t="shared" si="1508"/>
        <v>4.3466151925499368</v>
      </c>
      <c r="AK373" s="54">
        <f t="shared" si="1508"/>
        <v>4.588266259462694</v>
      </c>
      <c r="AL373" s="54">
        <f t="shared" si="1508"/>
        <v>4.8336127132727995</v>
      </c>
      <c r="AM373" s="54">
        <f t="shared" si="1508"/>
        <v>4.967830771786514</v>
      </c>
      <c r="AN373" s="54">
        <f t="shared" si="1508"/>
        <v>5.2103348442754784</v>
      </c>
      <c r="AO373" s="54">
        <f t="shared" si="1508"/>
        <v>5.5321523393530088</v>
      </c>
      <c r="AP373" s="54">
        <f t="shared" si="1508"/>
        <v>5.9167323898871054</v>
      </c>
      <c r="AQ373" s="54">
        <f t="shared" si="1508"/>
        <v>6.114227324811</v>
      </c>
      <c r="AR373" s="54">
        <f t="shared" si="1508"/>
        <v>5.2360256686402344</v>
      </c>
      <c r="AS373" s="54">
        <f t="shared" si="1508"/>
        <v>5.2220202194851559</v>
      </c>
      <c r="AT373" s="54">
        <f t="shared" ref="AT373" si="1509">-AT308/(AT$366*4)</f>
        <v>5.0144775850800842</v>
      </c>
      <c r="AU373" s="54">
        <f t="shared" si="1508"/>
        <v>5.415009756097561</v>
      </c>
      <c r="AV373" s="54">
        <f t="shared" si="1508"/>
        <v>5.6468549190692254</v>
      </c>
      <c r="AW373" s="54">
        <f t="shared" si="1508"/>
        <v>5.8760854342488855</v>
      </c>
      <c r="AX373" s="54">
        <f t="shared" si="1508"/>
        <v>6.1025017809321112</v>
      </c>
      <c r="AY373" s="54">
        <f t="shared" si="1508"/>
        <v>6.2516654911772278</v>
      </c>
      <c r="AZ373" s="54">
        <f t="shared" si="1508"/>
        <v>6.4374359536135959</v>
      </c>
      <c r="BA373" s="54">
        <f t="shared" si="1508"/>
        <v>6.6231517998491576</v>
      </c>
      <c r="BB373" s="54">
        <f t="shared" si="1508"/>
        <v>6.7154251986667388</v>
      </c>
      <c r="BC373" s="54">
        <f t="shared" si="1508"/>
        <v>6.9604412911521978</v>
      </c>
      <c r="BD373" s="54">
        <f t="shared" si="1508"/>
        <v>7.2988952911773284</v>
      </c>
      <c r="BE373" s="54">
        <f t="shared" si="1508"/>
        <v>7.6369207839234656</v>
      </c>
      <c r="BF373" s="54">
        <f t="shared" si="1508"/>
        <v>7.9732999965312663</v>
      </c>
      <c r="BI373">
        <f t="shared" si="1391"/>
        <v>366</v>
      </c>
    </row>
    <row r="374" spans="1:61" hidden="1" outlineLevel="2">
      <c r="A374" s="35"/>
      <c r="B374" s="29" t="s">
        <v>226</v>
      </c>
      <c r="C374" s="54">
        <f t="shared" ref="C374:M374" si="1510">C309/(C$366)</f>
        <v>7.8589355698620365</v>
      </c>
      <c r="D374" s="54">
        <f t="shared" si="1510"/>
        <v>7.4352632406761829</v>
      </c>
      <c r="E374" s="54">
        <f t="shared" si="1510"/>
        <v>7.032259382160376</v>
      </c>
      <c r="F374" s="54">
        <f t="shared" si="1510"/>
        <v>6.4958770273143589</v>
      </c>
      <c r="G374" s="54">
        <f t="shared" si="1510"/>
        <v>6.619966604276704</v>
      </c>
      <c r="H374" s="54">
        <f t="shared" si="1510"/>
        <v>5.5939630351471425</v>
      </c>
      <c r="I374" s="54">
        <f t="shared" si="1510"/>
        <v>5.1167729608110086</v>
      </c>
      <c r="J374" s="54">
        <f t="shared" si="1510"/>
        <v>5.64017010400842</v>
      </c>
      <c r="K374" s="54">
        <f t="shared" si="1510"/>
        <v>4.982798140100936</v>
      </c>
      <c r="L374" s="54">
        <f t="shared" si="1510"/>
        <v>4.6617034376022453</v>
      </c>
      <c r="M374" s="54">
        <f t="shared" si="1510"/>
        <v>4.4139621510628446</v>
      </c>
      <c r="O374" s="54">
        <f>O309/(O$366*4)</f>
        <v>7.2308759046964974</v>
      </c>
      <c r="P374" s="54">
        <f t="shared" ref="P374:BF374" si="1511">P309/(P$366*4)</f>
        <v>7.2665708338093244</v>
      </c>
      <c r="Q374" s="54">
        <f t="shared" si="1511"/>
        <v>7.0150706418044955</v>
      </c>
      <c r="R374" s="54">
        <f t="shared" si="1511"/>
        <v>7.0030353879204386</v>
      </c>
      <c r="S374" s="54">
        <f t="shared" si="1511"/>
        <v>7.0316816504702997</v>
      </c>
      <c r="T374" s="54">
        <f t="shared" si="1511"/>
        <v>7.0333239252936783</v>
      </c>
      <c r="U374" s="54">
        <f t="shared" si="1511"/>
        <v>6.8320928888206449</v>
      </c>
      <c r="V374" s="54">
        <f t="shared" si="1511"/>
        <v>6.8082793073205963</v>
      </c>
      <c r="W374" s="54">
        <f t="shared" si="1511"/>
        <v>6.7266821468365956</v>
      </c>
      <c r="X374" s="54">
        <f t="shared" si="1511"/>
        <v>6.6206655665994685</v>
      </c>
      <c r="Y374" s="54">
        <f t="shared" si="1511"/>
        <v>6.7803961722340667</v>
      </c>
      <c r="Z374" s="54">
        <f t="shared" si="1511"/>
        <v>6.806528680407558</v>
      </c>
      <c r="AA374" s="54">
        <f t="shared" si="1511"/>
        <v>6.7481767874812206</v>
      </c>
      <c r="AB374" s="54">
        <f t="shared" si="1511"/>
        <v>6.6804555262352192</v>
      </c>
      <c r="AC374" s="54">
        <f t="shared" si="1511"/>
        <v>6.4866592294683612</v>
      </c>
      <c r="AD374" s="54">
        <f t="shared" si="1511"/>
        <v>6.2544574656959222</v>
      </c>
      <c r="AE374" s="54">
        <f t="shared" si="1511"/>
        <v>6.3068855975346523</v>
      </c>
      <c r="AF374" s="54">
        <f t="shared" si="1511"/>
        <v>6.3118539230638886</v>
      </c>
      <c r="AG374" s="54">
        <f t="shared" si="1511"/>
        <v>6.1072658897377892</v>
      </c>
      <c r="AH374" s="54">
        <f t="shared" si="1511"/>
        <v>6.3228872032227637</v>
      </c>
      <c r="AI374" s="54">
        <f t="shared" si="1511"/>
        <v>6.1365729167877774</v>
      </c>
      <c r="AJ374" s="54">
        <f t="shared" si="1511"/>
        <v>5.9695921247975532</v>
      </c>
      <c r="AK374" s="54">
        <f t="shared" si="1511"/>
        <v>5.6778972355667463</v>
      </c>
      <c r="AL374" s="54">
        <f t="shared" si="1511"/>
        <v>5.6365377206047258</v>
      </c>
      <c r="AM374" s="54">
        <f t="shared" si="1511"/>
        <v>5.4231206571613519</v>
      </c>
      <c r="AN374" s="54">
        <f t="shared" si="1511"/>
        <v>5.3237227664863296</v>
      </c>
      <c r="AO374" s="54">
        <f t="shared" si="1511"/>
        <v>5.3708155924240186</v>
      </c>
      <c r="AP374" s="54">
        <f t="shared" si="1511"/>
        <v>5.4205167753219916</v>
      </c>
      <c r="AQ374" s="54">
        <f t="shared" si="1511"/>
        <v>5.3271859016624301</v>
      </c>
      <c r="AR374" s="54">
        <f t="shared" si="1511"/>
        <v>5.5584662908657254</v>
      </c>
      <c r="AS374" s="54">
        <f t="shared" si="1511"/>
        <v>5.337472411794022</v>
      </c>
      <c r="AT374" s="54">
        <f t="shared" ref="AT374" si="1512">AT309/(AT$366*4)</f>
        <v>5.0374726502931519</v>
      </c>
      <c r="AU374" s="54">
        <f t="shared" si="1511"/>
        <v>5.1394817073170742</v>
      </c>
      <c r="AV374" s="54">
        <f t="shared" si="1511"/>
        <v>5.0761567696379339</v>
      </c>
      <c r="AW374" s="54">
        <f t="shared" si="1511"/>
        <v>5.0144648821594648</v>
      </c>
      <c r="AX374" s="54">
        <f t="shared" si="1511"/>
        <v>4.9545281813426341</v>
      </c>
      <c r="AY374" s="54">
        <f t="shared" si="1511"/>
        <v>4.8061484123220213</v>
      </c>
      <c r="AZ374" s="54">
        <f t="shared" si="1511"/>
        <v>4.6931295830969795</v>
      </c>
      <c r="BA374" s="54">
        <f t="shared" si="1511"/>
        <v>4.6515498528297297</v>
      </c>
      <c r="BB374" s="54">
        <f t="shared" si="1511"/>
        <v>4.5441483097288042</v>
      </c>
      <c r="BC374" s="54">
        <f t="shared" si="1511"/>
        <v>4.483795303605608</v>
      </c>
      <c r="BD374" s="54">
        <f t="shared" si="1511"/>
        <v>4.4866661381058766</v>
      </c>
      <c r="BE374" s="54">
        <f t="shared" si="1511"/>
        <v>4.4899907228890648</v>
      </c>
      <c r="BF374" s="54">
        <f t="shared" si="1511"/>
        <v>4.4926764384543656</v>
      </c>
      <c r="BI374">
        <f t="shared" si="1391"/>
        <v>367</v>
      </c>
    </row>
    <row r="375" spans="1:61" hidden="1" outlineLevel="2">
      <c r="A375" s="35"/>
      <c r="B375" s="48"/>
      <c r="BI375">
        <f t="shared" si="1391"/>
        <v>368</v>
      </c>
    </row>
    <row r="376" spans="1:61" outlineLevel="1" collapsed="1">
      <c r="A376" s="35" t="s">
        <v>65</v>
      </c>
      <c r="B376" s="39" t="s">
        <v>227</v>
      </c>
      <c r="BI376">
        <f t="shared" si="1391"/>
        <v>369</v>
      </c>
    </row>
    <row r="377" spans="1:61" hidden="1" outlineLevel="2">
      <c r="A377" s="35"/>
      <c r="B377" s="29" t="s">
        <v>78</v>
      </c>
      <c r="C377" s="54">
        <f t="shared" ref="C377:M378" si="1513">AVERAGEIFS($O377:$BG377,$O$5:$BG$5,C$5)</f>
        <v>152.72950000000003</v>
      </c>
      <c r="D377" s="54">
        <f t="shared" si="1513"/>
        <v>153.447</v>
      </c>
      <c r="E377" s="54">
        <f t="shared" si="1513"/>
        <v>151.25524999999999</v>
      </c>
      <c r="F377" s="54">
        <f t="shared" si="1513"/>
        <v>145.44324999999998</v>
      </c>
      <c r="G377" s="54">
        <f t="shared" si="1513"/>
        <v>144.447</v>
      </c>
      <c r="H377" s="54">
        <f t="shared" si="1513"/>
        <v>145.4135</v>
      </c>
      <c r="I377" s="54">
        <f t="shared" si="1513"/>
        <v>146.17599999999999</v>
      </c>
      <c r="J377" s="54">
        <f t="shared" si="1513"/>
        <v>198.24600000000001</v>
      </c>
      <c r="K377" s="54">
        <f t="shared" si="1513"/>
        <v>224.28107834590469</v>
      </c>
      <c r="L377" s="54">
        <f t="shared" si="1513"/>
        <v>224.28107834590469</v>
      </c>
      <c r="M377" s="54">
        <f t="shared" si="1513"/>
        <v>224.28107834590469</v>
      </c>
      <c r="O377" s="110">
        <f>O378</f>
        <v>153.12200000000001</v>
      </c>
      <c r="P377" s="61">
        <v>152.65</v>
      </c>
      <c r="Q377" s="61">
        <v>152.10900000000001</v>
      </c>
      <c r="R377" s="61">
        <v>153.03700000000001</v>
      </c>
      <c r="S377" s="61">
        <v>153.12200000000001</v>
      </c>
      <c r="T377" s="61">
        <v>153.55600000000001</v>
      </c>
      <c r="U377" s="61">
        <v>152.61699999999999</v>
      </c>
      <c r="V377" s="61">
        <v>154.49299999999999</v>
      </c>
      <c r="W377" s="61">
        <v>154.625</v>
      </c>
      <c r="X377" s="110">
        <f>X378</f>
        <v>153.655</v>
      </c>
      <c r="Y377" s="61">
        <v>149.846</v>
      </c>
      <c r="Z377" s="61">
        <v>146.89500000000001</v>
      </c>
      <c r="AA377" s="61">
        <v>146.78299999999999</v>
      </c>
      <c r="AB377" s="110">
        <f>AB378</f>
        <v>146.374</v>
      </c>
      <c r="AC377" s="61">
        <v>144.446</v>
      </c>
      <c r="AD377" s="110">
        <f>AD378</f>
        <v>144.16999999999999</v>
      </c>
      <c r="AE377" s="61">
        <v>144.446</v>
      </c>
      <c r="AF377" s="61">
        <v>143.62200000000001</v>
      </c>
      <c r="AG377" s="61">
        <v>144.798</v>
      </c>
      <c r="AH377" s="61">
        <v>144.922</v>
      </c>
      <c r="AI377" s="61">
        <v>144.983</v>
      </c>
      <c r="AJ377" s="61">
        <v>145.30000000000001</v>
      </c>
      <c r="AK377" s="61">
        <v>145.66200000000001</v>
      </c>
      <c r="AL377" s="61">
        <v>145.709</v>
      </c>
      <c r="AM377" s="61">
        <v>145.77000000000001</v>
      </c>
      <c r="AN377" s="61">
        <v>145.94399999999999</v>
      </c>
      <c r="AO377" s="61">
        <v>146.32599999999999</v>
      </c>
      <c r="AP377" s="61">
        <v>146.66399999999999</v>
      </c>
      <c r="AQ377" s="61">
        <v>160.06200000000001</v>
      </c>
      <c r="AR377" s="61">
        <v>201.20400000000001</v>
      </c>
      <c r="AS377" s="61">
        <v>211.875</v>
      </c>
      <c r="AT377" s="61">
        <v>219.84299999999999</v>
      </c>
      <c r="AU377" s="97">
        <f t="shared" ref="AU377:BF377" si="1514">AT377/AVERAGE(AS379:AT379)*AVERAGE(AT379:AU379)</f>
        <v>224.28107834590469</v>
      </c>
      <c r="AV377" s="97">
        <f t="shared" si="1514"/>
        <v>224.28107834590469</v>
      </c>
      <c r="AW377" s="97">
        <f t="shared" si="1514"/>
        <v>224.28107834590469</v>
      </c>
      <c r="AX377" s="97">
        <f t="shared" si="1514"/>
        <v>224.28107834590469</v>
      </c>
      <c r="AY377" s="97">
        <f t="shared" si="1514"/>
        <v>224.28107834590469</v>
      </c>
      <c r="AZ377" s="97">
        <f t="shared" si="1514"/>
        <v>224.28107834590469</v>
      </c>
      <c r="BA377" s="97">
        <f t="shared" si="1514"/>
        <v>224.28107834590469</v>
      </c>
      <c r="BB377" s="97">
        <f t="shared" si="1514"/>
        <v>224.28107834590469</v>
      </c>
      <c r="BC377" s="97">
        <f t="shared" si="1514"/>
        <v>224.28107834590469</v>
      </c>
      <c r="BD377" s="97">
        <f t="shared" si="1514"/>
        <v>224.28107834590469</v>
      </c>
      <c r="BE377" s="97">
        <f t="shared" si="1514"/>
        <v>224.28107834590469</v>
      </c>
      <c r="BF377" s="97">
        <f t="shared" si="1514"/>
        <v>224.28107834590469</v>
      </c>
      <c r="BI377">
        <f t="shared" si="1391"/>
        <v>370</v>
      </c>
    </row>
    <row r="378" spans="1:61" hidden="1" outlineLevel="2">
      <c r="A378" s="35"/>
      <c r="B378" s="29" t="s">
        <v>77</v>
      </c>
      <c r="C378" s="54">
        <f t="shared" si="1513"/>
        <v>153.50225000000003</v>
      </c>
      <c r="D378" s="54">
        <f t="shared" si="1513"/>
        <v>154.90549999999999</v>
      </c>
      <c r="E378" s="54">
        <f t="shared" si="1513"/>
        <v>151.77325000000002</v>
      </c>
      <c r="F378" s="54">
        <f t="shared" si="1513"/>
        <v>145.68974999999998</v>
      </c>
      <c r="G378" s="54">
        <f t="shared" si="1513"/>
        <v>145.928</v>
      </c>
      <c r="H378" s="54">
        <f t="shared" si="1513"/>
        <v>145.77500000000003</v>
      </c>
      <c r="I378" s="54">
        <f t="shared" si="1513"/>
        <v>146.17599999999999</v>
      </c>
      <c r="J378" s="54">
        <f t="shared" si="1513"/>
        <v>198.76125000000002</v>
      </c>
      <c r="K378" s="54">
        <f t="shared" si="1513"/>
        <v>225.40248373763421</v>
      </c>
      <c r="L378" s="54">
        <f t="shared" si="1513"/>
        <v>226.52388912936374</v>
      </c>
      <c r="M378" s="54">
        <f t="shared" si="1513"/>
        <v>226.52388912936374</v>
      </c>
      <c r="O378" s="54">
        <f t="shared" ref="O378:AT378" si="1515">O52</f>
        <v>153.12200000000001</v>
      </c>
      <c r="P378" s="54">
        <f t="shared" si="1515"/>
        <v>152.87100000000001</v>
      </c>
      <c r="Q378" s="54">
        <f t="shared" si="1515"/>
        <v>154.10900000000001</v>
      </c>
      <c r="R378" s="54">
        <f t="shared" si="1515"/>
        <v>153.90700000000001</v>
      </c>
      <c r="S378" s="54">
        <f t="shared" si="1515"/>
        <v>154.65299999999999</v>
      </c>
      <c r="T378" s="54">
        <f t="shared" si="1515"/>
        <v>155.58099999999999</v>
      </c>
      <c r="U378" s="54">
        <f t="shared" si="1515"/>
        <v>154.12</v>
      </c>
      <c r="V378" s="54">
        <f t="shared" si="1515"/>
        <v>155.268</v>
      </c>
      <c r="W378" s="54">
        <f t="shared" si="1515"/>
        <v>155.40100000000001</v>
      </c>
      <c r="X378" s="54">
        <f t="shared" si="1515"/>
        <v>153.655</v>
      </c>
      <c r="Y378" s="54">
        <f t="shared" si="1515"/>
        <v>150.52199999999999</v>
      </c>
      <c r="Z378" s="54">
        <f t="shared" si="1515"/>
        <v>147.51499999999999</v>
      </c>
      <c r="AA378" s="54">
        <f t="shared" si="1515"/>
        <v>146.78299999999999</v>
      </c>
      <c r="AB378" s="54">
        <f t="shared" si="1515"/>
        <v>146.374</v>
      </c>
      <c r="AC378" s="54">
        <f t="shared" si="1515"/>
        <v>145.43199999999999</v>
      </c>
      <c r="AD378" s="54">
        <f t="shared" si="1515"/>
        <v>144.16999999999999</v>
      </c>
      <c r="AE378" s="54">
        <f t="shared" si="1515"/>
        <v>145.09899999999999</v>
      </c>
      <c r="AF378" s="54">
        <f t="shared" si="1515"/>
        <v>146.029</v>
      </c>
      <c r="AG378" s="54">
        <f t="shared" si="1515"/>
        <v>146.99100000000001</v>
      </c>
      <c r="AH378" s="54">
        <f t="shared" si="1515"/>
        <v>145.59299999999999</v>
      </c>
      <c r="AI378" s="54">
        <f t="shared" si="1515"/>
        <v>145.745</v>
      </c>
      <c r="AJ378" s="54">
        <f t="shared" si="1515"/>
        <v>145.98400000000001</v>
      </c>
      <c r="AK378" s="54">
        <f t="shared" si="1515"/>
        <v>145.66200000000001</v>
      </c>
      <c r="AL378" s="54">
        <f t="shared" si="1515"/>
        <v>145.709</v>
      </c>
      <c r="AM378" s="54">
        <f t="shared" si="1515"/>
        <v>145.77000000000001</v>
      </c>
      <c r="AN378" s="54">
        <f t="shared" si="1515"/>
        <v>145.94399999999999</v>
      </c>
      <c r="AO378" s="54">
        <f t="shared" si="1515"/>
        <v>146.32599999999999</v>
      </c>
      <c r="AP378" s="54">
        <f t="shared" si="1515"/>
        <v>146.66399999999999</v>
      </c>
      <c r="AQ378" s="54">
        <f t="shared" si="1515"/>
        <v>160.06200000000001</v>
      </c>
      <c r="AR378" s="54">
        <f t="shared" si="1515"/>
        <v>201.20400000000001</v>
      </c>
      <c r="AS378" s="54">
        <f t="shared" si="1515"/>
        <v>211.875</v>
      </c>
      <c r="AT378" s="54">
        <f t="shared" si="1515"/>
        <v>221.904</v>
      </c>
      <c r="AU378" s="54">
        <f t="shared" ref="AU378:BF378" si="1516">AU380*AU377</f>
        <v>224.28107834590469</v>
      </c>
      <c r="AV378" s="54">
        <f t="shared" si="1516"/>
        <v>224.28107834590469</v>
      </c>
      <c r="AW378" s="54">
        <f t="shared" si="1516"/>
        <v>226.52388912936374</v>
      </c>
      <c r="AX378" s="54">
        <f t="shared" si="1516"/>
        <v>226.52388912936374</v>
      </c>
      <c r="AY378" s="54">
        <f t="shared" si="1516"/>
        <v>226.52388912936374</v>
      </c>
      <c r="AZ378" s="54">
        <f t="shared" si="1516"/>
        <v>226.52388912936374</v>
      </c>
      <c r="BA378" s="54">
        <f t="shared" si="1516"/>
        <v>226.52388912936374</v>
      </c>
      <c r="BB378" s="54">
        <f t="shared" si="1516"/>
        <v>226.52388912936374</v>
      </c>
      <c r="BC378" s="54">
        <f t="shared" si="1516"/>
        <v>226.52388912936374</v>
      </c>
      <c r="BD378" s="54">
        <f t="shared" si="1516"/>
        <v>226.52388912936374</v>
      </c>
      <c r="BE378" s="54">
        <f t="shared" si="1516"/>
        <v>226.52388912936374</v>
      </c>
      <c r="BF378" s="54">
        <f t="shared" si="1516"/>
        <v>226.52388912936374</v>
      </c>
      <c r="BI378">
        <f t="shared" si="1391"/>
        <v>371</v>
      </c>
    </row>
    <row r="379" spans="1:61" hidden="1" outlineLevel="2">
      <c r="A379" s="35"/>
      <c r="B379" s="29" t="s">
        <v>228</v>
      </c>
      <c r="C379" s="54">
        <f>INDEX($O379:$BG379,1,MATCH(C$4,$O$4:$BG$4,0))</f>
        <v>154.19375400000001</v>
      </c>
      <c r="D379" s="54">
        <f t="shared" ref="D379:M379" si="1517">INDEX($O379:$BG379,1,MATCH(D$4,$O$4:$BG$4,0))</f>
        <v>155.80777900000001</v>
      </c>
      <c r="E379" s="54">
        <f t="shared" si="1517"/>
        <v>151.77385000000001</v>
      </c>
      <c r="F379" s="54">
        <f t="shared" si="1517"/>
        <v>144.25152299999999</v>
      </c>
      <c r="G379" s="54">
        <f t="shared" si="1517"/>
        <v>146.44429099999999</v>
      </c>
      <c r="H379" s="54">
        <f t="shared" si="1517"/>
        <v>147.16756100000001</v>
      </c>
      <c r="I379" s="54">
        <f t="shared" si="1517"/>
        <v>148.13325499999999</v>
      </c>
      <c r="J379" s="54">
        <f t="shared" si="1517"/>
        <v>222.45647199999999</v>
      </c>
      <c r="K379" s="54">
        <f t="shared" si="1517"/>
        <v>222.45647199999999</v>
      </c>
      <c r="L379" s="54">
        <f t="shared" si="1517"/>
        <v>222.45647199999999</v>
      </c>
      <c r="M379" s="54">
        <f t="shared" si="1517"/>
        <v>222.45647199999999</v>
      </c>
      <c r="O379" s="82">
        <v>153.57604900000001</v>
      </c>
      <c r="P379" s="82">
        <v>154.14741799999999</v>
      </c>
      <c r="Q379" s="82">
        <f>154.118246</f>
        <v>154.118246</v>
      </c>
      <c r="R379" s="82">
        <f>154.193754</f>
        <v>154.19375400000001</v>
      </c>
      <c r="S379" s="82">
        <v>154.231495</v>
      </c>
      <c r="T379" s="82">
        <v>155.56131400000001</v>
      </c>
      <c r="U379" s="82">
        <v>155.62589</v>
      </c>
      <c r="V379" s="82">
        <v>155.80777900000001</v>
      </c>
      <c r="W379" s="82">
        <v>155.82726</v>
      </c>
      <c r="X379" s="82">
        <v>151.77385000000001</v>
      </c>
      <c r="Y379" s="82">
        <v>151.77385000000001</v>
      </c>
      <c r="Z379" s="82">
        <v>151.77385000000001</v>
      </c>
      <c r="AA379" s="82">
        <v>146.42796799999999</v>
      </c>
      <c r="AB379" s="82">
        <v>147.340925</v>
      </c>
      <c r="AC379" s="82">
        <v>144.25152299999999</v>
      </c>
      <c r="AD379" s="82">
        <v>144.25152299999999</v>
      </c>
      <c r="AE379" s="82">
        <v>144.25152299999999</v>
      </c>
      <c r="AF379" s="82">
        <v>146.139916</v>
      </c>
      <c r="AG379" s="82">
        <v>146.41484399999999</v>
      </c>
      <c r="AH379" s="82">
        <v>146.44429099999999</v>
      </c>
      <c r="AI379" s="82">
        <v>146.44670099999999</v>
      </c>
      <c r="AJ379" s="82">
        <v>147.199603</v>
      </c>
      <c r="AK379" s="82">
        <v>147.18038200000001</v>
      </c>
      <c r="AL379" s="82">
        <v>147.16756100000001</v>
      </c>
      <c r="AM379" s="82">
        <v>147.16762199999999</v>
      </c>
      <c r="AN379" s="82">
        <f>191.112033-43.376292</f>
        <v>147.73574099999999</v>
      </c>
      <c r="AO379" s="82">
        <f>191.494741-43.376292</f>
        <v>148.118449</v>
      </c>
      <c r="AP379" s="82">
        <v>148.13325499999999</v>
      </c>
      <c r="AQ379" s="82">
        <v>166.32916399999999</v>
      </c>
      <c r="AR379" s="82">
        <v>213.328565</v>
      </c>
      <c r="AS379" s="82">
        <v>213.65252599999999</v>
      </c>
      <c r="AT379" s="82">
        <v>222.45647199999999</v>
      </c>
      <c r="AU379" s="97">
        <f>AT379</f>
        <v>222.45647199999999</v>
      </c>
      <c r="AV379" s="97">
        <f t="shared" ref="AV379:BF379" si="1518">AU379</f>
        <v>222.45647199999999</v>
      </c>
      <c r="AW379" s="97">
        <f t="shared" si="1518"/>
        <v>222.45647199999999</v>
      </c>
      <c r="AX379" s="97">
        <f t="shared" si="1518"/>
        <v>222.45647199999999</v>
      </c>
      <c r="AY379" s="97">
        <f t="shared" si="1518"/>
        <v>222.45647199999999</v>
      </c>
      <c r="AZ379" s="97">
        <f t="shared" si="1518"/>
        <v>222.45647199999999</v>
      </c>
      <c r="BA379" s="97">
        <f t="shared" si="1518"/>
        <v>222.45647199999999</v>
      </c>
      <c r="BB379" s="97">
        <f t="shared" si="1518"/>
        <v>222.45647199999999</v>
      </c>
      <c r="BC379" s="97">
        <f t="shared" si="1518"/>
        <v>222.45647199999999</v>
      </c>
      <c r="BD379" s="97">
        <f t="shared" si="1518"/>
        <v>222.45647199999999</v>
      </c>
      <c r="BE379" s="97">
        <f t="shared" si="1518"/>
        <v>222.45647199999999</v>
      </c>
      <c r="BF379" s="97">
        <f t="shared" si="1518"/>
        <v>222.45647199999999</v>
      </c>
      <c r="BI379">
        <f t="shared" si="1391"/>
        <v>372</v>
      </c>
    </row>
    <row r="380" spans="1:61" hidden="1" outlineLevel="2">
      <c r="A380" s="35"/>
      <c r="B380" s="46" t="s">
        <v>229</v>
      </c>
      <c r="C380" s="68">
        <f t="shared" ref="C380:M380" si="1519">C378/C377</f>
        <v>1.0050595988332314</v>
      </c>
      <c r="D380" s="68">
        <f t="shared" si="1519"/>
        <v>1.0095049104902669</v>
      </c>
      <c r="E380" s="68">
        <f t="shared" si="1519"/>
        <v>1.0034246745154303</v>
      </c>
      <c r="F380" s="68">
        <f t="shared" si="1519"/>
        <v>1.0016948191132968</v>
      </c>
      <c r="G380" s="68">
        <f t="shared" si="1519"/>
        <v>1.0102528955256944</v>
      </c>
      <c r="H380" s="68">
        <f t="shared" si="1519"/>
        <v>1.0024860140220822</v>
      </c>
      <c r="I380" s="68">
        <f t="shared" si="1519"/>
        <v>1</v>
      </c>
      <c r="J380" s="68">
        <f t="shared" si="1519"/>
        <v>1.0025990436124814</v>
      </c>
      <c r="K380" s="68">
        <f t="shared" si="1519"/>
        <v>1.0050000000000001</v>
      </c>
      <c r="L380" s="68">
        <f t="shared" si="1519"/>
        <v>1.01</v>
      </c>
      <c r="M380" s="68">
        <f t="shared" si="1519"/>
        <v>1.01</v>
      </c>
      <c r="O380" s="68">
        <f>O378/O377</f>
        <v>1</v>
      </c>
      <c r="P380" s="68">
        <f>P378/P377</f>
        <v>1.0014477563052735</v>
      </c>
      <c r="Q380" s="68">
        <f>Q378/Q377</f>
        <v>1.0131484659027408</v>
      </c>
      <c r="R380" s="68">
        <f t="shared" ref="R380:AT380" si="1520">R378/R377</f>
        <v>1.0056848997301306</v>
      </c>
      <c r="S380" s="68">
        <f t="shared" si="1520"/>
        <v>1.0099985632371571</v>
      </c>
      <c r="T380" s="68">
        <f t="shared" si="1520"/>
        <v>1.0131873713824271</v>
      </c>
      <c r="U380" s="68">
        <f t="shared" si="1520"/>
        <v>1.0098481820504925</v>
      </c>
      <c r="V380" s="68">
        <f t="shared" si="1520"/>
        <v>1.0050164085104181</v>
      </c>
      <c r="W380" s="68">
        <f t="shared" si="1520"/>
        <v>1.0050185933710591</v>
      </c>
      <c r="X380" s="68">
        <f t="shared" si="1520"/>
        <v>1</v>
      </c>
      <c r="Y380" s="68">
        <f t="shared" si="1520"/>
        <v>1.0045112982662199</v>
      </c>
      <c r="Z380" s="68">
        <f t="shared" si="1520"/>
        <v>1.0042207018618741</v>
      </c>
      <c r="AA380" s="68">
        <f t="shared" si="1520"/>
        <v>1</v>
      </c>
      <c r="AB380" s="68">
        <f t="shared" si="1520"/>
        <v>1</v>
      </c>
      <c r="AC380" s="68">
        <f t="shared" si="1520"/>
        <v>1.0068260803345195</v>
      </c>
      <c r="AD380" s="68">
        <f t="shared" si="1520"/>
        <v>1</v>
      </c>
      <c r="AE380" s="68">
        <f t="shared" si="1520"/>
        <v>1.0045207205460864</v>
      </c>
      <c r="AF380" s="68">
        <f t="shared" si="1520"/>
        <v>1.0167592708637951</v>
      </c>
      <c r="AG380" s="68">
        <f t="shared" si="1520"/>
        <v>1.0151452368126632</v>
      </c>
      <c r="AH380" s="68">
        <f t="shared" si="1520"/>
        <v>1.0046300768689362</v>
      </c>
      <c r="AI380" s="68">
        <f t="shared" si="1520"/>
        <v>1.0052557886096991</v>
      </c>
      <c r="AJ380" s="68">
        <f t="shared" si="1520"/>
        <v>1.004707501720578</v>
      </c>
      <c r="AK380" s="68">
        <f t="shared" si="1520"/>
        <v>1</v>
      </c>
      <c r="AL380" s="68">
        <f t="shared" si="1520"/>
        <v>1</v>
      </c>
      <c r="AM380" s="68">
        <f t="shared" si="1520"/>
        <v>1</v>
      </c>
      <c r="AN380" s="68">
        <f t="shared" si="1520"/>
        <v>1</v>
      </c>
      <c r="AO380" s="68">
        <f t="shared" si="1520"/>
        <v>1</v>
      </c>
      <c r="AP380" s="68">
        <f t="shared" si="1520"/>
        <v>1</v>
      </c>
      <c r="AQ380" s="68">
        <f t="shared" si="1520"/>
        <v>1</v>
      </c>
      <c r="AR380" s="68">
        <f t="shared" si="1520"/>
        <v>1</v>
      </c>
      <c r="AS380" s="68">
        <f t="shared" si="1520"/>
        <v>1</v>
      </c>
      <c r="AT380" s="68">
        <f t="shared" si="1520"/>
        <v>1.009374872067794</v>
      </c>
      <c r="AU380" s="102">
        <f t="shared" ref="AU380:BF380" si="1521">IF(AU41&gt;0,1.01,1)</f>
        <v>1</v>
      </c>
      <c r="AV380" s="102">
        <f t="shared" si="1521"/>
        <v>1</v>
      </c>
      <c r="AW380" s="102">
        <f t="shared" si="1521"/>
        <v>1.01</v>
      </c>
      <c r="AX380" s="102">
        <f t="shared" si="1521"/>
        <v>1.01</v>
      </c>
      <c r="AY380" s="102">
        <f t="shared" si="1521"/>
        <v>1.01</v>
      </c>
      <c r="AZ380" s="102">
        <f t="shared" si="1521"/>
        <v>1.01</v>
      </c>
      <c r="BA380" s="102">
        <f t="shared" si="1521"/>
        <v>1.01</v>
      </c>
      <c r="BB380" s="102">
        <f t="shared" si="1521"/>
        <v>1.01</v>
      </c>
      <c r="BC380" s="102">
        <f t="shared" si="1521"/>
        <v>1.01</v>
      </c>
      <c r="BD380" s="102">
        <f t="shared" si="1521"/>
        <v>1.01</v>
      </c>
      <c r="BE380" s="102">
        <f t="shared" si="1521"/>
        <v>1.01</v>
      </c>
      <c r="BF380" s="102">
        <f t="shared" si="1521"/>
        <v>1.01</v>
      </c>
      <c r="BI380">
        <f t="shared" si="1391"/>
        <v>373</v>
      </c>
    </row>
    <row r="381" spans="1:61" hidden="1" outlineLevel="2">
      <c r="A381" s="35"/>
      <c r="B381" s="46"/>
      <c r="BI381">
        <f t="shared" si="1391"/>
        <v>374</v>
      </c>
    </row>
    <row r="382" spans="1:61" hidden="1" outlineLevel="2">
      <c r="A382" s="35"/>
      <c r="B382" s="49" t="s">
        <v>230</v>
      </c>
      <c r="C382" s="105">
        <f t="shared" ref="C382:M382" si="1522">C48/C377</f>
        <v>0.76568050049270131</v>
      </c>
      <c r="D382" s="105">
        <f t="shared" si="1522"/>
        <v>2.1011358970849869</v>
      </c>
      <c r="E382" s="105">
        <f t="shared" si="1522"/>
        <v>1.979917391297163</v>
      </c>
      <c r="F382" s="105">
        <f t="shared" si="1522"/>
        <v>1.2759615863919425</v>
      </c>
      <c r="G382" s="105">
        <f t="shared" si="1522"/>
        <v>1.13108988764045</v>
      </c>
      <c r="H382" s="105">
        <f t="shared" si="1522"/>
        <v>-2.0251627256066316</v>
      </c>
      <c r="I382" s="105">
        <f t="shared" si="1522"/>
        <v>-2.1797969570928197</v>
      </c>
      <c r="J382" s="105">
        <f t="shared" si="1522"/>
        <v>2.9811446384793914E-2</v>
      </c>
      <c r="K382" s="105">
        <f t="shared" si="1522"/>
        <v>1.321702941558946E-2</v>
      </c>
      <c r="L382" s="105">
        <f t="shared" si="1522"/>
        <v>0.90735685288502799</v>
      </c>
      <c r="M382" s="105">
        <f t="shared" si="1522"/>
        <v>1.3116718294058576</v>
      </c>
      <c r="O382" s="105">
        <f t="shared" ref="O382:BF382" si="1523">O48/O377</f>
        <v>2.7337678452476078E-2</v>
      </c>
      <c r="P382" s="105">
        <f t="shared" si="1523"/>
        <v>0.19343596462495913</v>
      </c>
      <c r="Q382" s="105">
        <f t="shared" si="1523"/>
        <v>0.19311151871355425</v>
      </c>
      <c r="R382" s="105">
        <f t="shared" si="1523"/>
        <v>0.3519018276625917</v>
      </c>
      <c r="S382" s="105">
        <f t="shared" si="1523"/>
        <v>0.46532830030955702</v>
      </c>
      <c r="T382" s="105">
        <f t="shared" si="1523"/>
        <v>0.53164969131782513</v>
      </c>
      <c r="U382" s="105">
        <f t="shared" si="1523"/>
        <v>0.53682093082684113</v>
      </c>
      <c r="V382" s="105">
        <f t="shared" si="1523"/>
        <v>0.56698361738072289</v>
      </c>
      <c r="W382" s="105">
        <f t="shared" si="1523"/>
        <v>0.629096200485045</v>
      </c>
      <c r="X382" s="105">
        <f t="shared" si="1523"/>
        <v>0.60224528977254255</v>
      </c>
      <c r="Y382" s="105">
        <f t="shared" si="1523"/>
        <v>0.33902740146550453</v>
      </c>
      <c r="Z382" s="105">
        <f t="shared" si="1523"/>
        <v>0.40068756594846666</v>
      </c>
      <c r="AA382" s="105">
        <f t="shared" si="1523"/>
        <v>0.38308250955492118</v>
      </c>
      <c r="AB382" s="105">
        <f t="shared" si="1523"/>
        <v>0.27851940918469154</v>
      </c>
      <c r="AC382" s="105">
        <f t="shared" si="1523"/>
        <v>0.51520983620176375</v>
      </c>
      <c r="AD382" s="105">
        <f t="shared" si="1523"/>
        <v>9.8231254768675474E-2</v>
      </c>
      <c r="AE382" s="105">
        <f t="shared" si="1523"/>
        <v>0.24599296622959455</v>
      </c>
      <c r="AF382" s="105">
        <f t="shared" si="1523"/>
        <v>0.37795741599476429</v>
      </c>
      <c r="AG382" s="105">
        <f t="shared" si="1523"/>
        <v>0.11038716694981983</v>
      </c>
      <c r="AH382" s="105">
        <f t="shared" si="1523"/>
        <v>0.39733787830695105</v>
      </c>
      <c r="AI382" s="105">
        <f t="shared" si="1523"/>
        <v>6.2938413469165524E-2</v>
      </c>
      <c r="AJ382" s="105">
        <f t="shared" si="1523"/>
        <v>-0.13059187887130097</v>
      </c>
      <c r="AK382" s="105">
        <f t="shared" si="1523"/>
        <v>-1.5513860855954198</v>
      </c>
      <c r="AL382" s="105">
        <f t="shared" si="1523"/>
        <v>-0.40256950497223898</v>
      </c>
      <c r="AM382" s="105">
        <f t="shared" si="1523"/>
        <v>-0.48365918913356676</v>
      </c>
      <c r="AN382" s="105">
        <f t="shared" si="1523"/>
        <v>-0.58834895576385449</v>
      </c>
      <c r="AO382" s="105">
        <f t="shared" si="1523"/>
        <v>-0.57503792900783191</v>
      </c>
      <c r="AP382" s="105">
        <f t="shared" si="1523"/>
        <v>-0.53265968472154035</v>
      </c>
      <c r="AQ382" s="105">
        <f t="shared" si="1523"/>
        <v>-0.39696492609113965</v>
      </c>
      <c r="AR382" s="105">
        <f t="shared" si="1523"/>
        <v>-0.45816186556927302</v>
      </c>
      <c r="AS382" s="105">
        <f t="shared" si="1523"/>
        <v>-0.15938171091445444</v>
      </c>
      <c r="AT382" s="105">
        <f t="shared" ref="AT382" si="1524">AT48/AT377</f>
        <v>0.88882520707959756</v>
      </c>
      <c r="AU382" s="105">
        <f t="shared" si="1523"/>
        <v>-0.11966844132018763</v>
      </c>
      <c r="AV382" s="105">
        <f t="shared" si="1523"/>
        <v>-4.2253334867748973E-2</v>
      </c>
      <c r="AW382" s="105">
        <f t="shared" si="1523"/>
        <v>5.2986347506354475E-2</v>
      </c>
      <c r="AX382" s="105">
        <f t="shared" si="1523"/>
        <v>0.12215245809717122</v>
      </c>
      <c r="AY382" s="105">
        <f t="shared" si="1523"/>
        <v>0.15327126671906507</v>
      </c>
      <c r="AZ382" s="105">
        <f t="shared" si="1523"/>
        <v>0.20974921007101244</v>
      </c>
      <c r="BA382" s="105">
        <f t="shared" si="1523"/>
        <v>0.26455620806316432</v>
      </c>
      <c r="BB382" s="105">
        <f t="shared" si="1523"/>
        <v>0.27978016803178735</v>
      </c>
      <c r="BC382" s="105">
        <f t="shared" si="1523"/>
        <v>0.29708937554929615</v>
      </c>
      <c r="BD382" s="105">
        <f t="shared" si="1523"/>
        <v>0.31364816335293033</v>
      </c>
      <c r="BE382" s="105">
        <f t="shared" si="1523"/>
        <v>0.33684787220959944</v>
      </c>
      <c r="BF382" s="105">
        <f t="shared" si="1523"/>
        <v>0.36408641829403066</v>
      </c>
      <c r="BI382">
        <f t="shared" si="1391"/>
        <v>375</v>
      </c>
    </row>
    <row r="383" spans="1:61" hidden="1" outlineLevel="2">
      <c r="A383" s="35"/>
      <c r="B383" s="49" t="s">
        <v>231</v>
      </c>
      <c r="C383" s="105">
        <f t="shared" ref="C383:M383" si="1525">C41/C377</f>
        <v>0.72201506585171848</v>
      </c>
      <c r="D383" s="105">
        <f t="shared" si="1525"/>
        <v>2.1673933019218361</v>
      </c>
      <c r="E383" s="105">
        <f t="shared" si="1525"/>
        <v>1.9141731609316055</v>
      </c>
      <c r="F383" s="105">
        <f t="shared" si="1525"/>
        <v>1.1858233365934814</v>
      </c>
      <c r="G383" s="105">
        <f t="shared" si="1525"/>
        <v>1.6028971941265659</v>
      </c>
      <c r="H383" s="105">
        <f t="shared" si="1525"/>
        <v>-0.95543618714906076</v>
      </c>
      <c r="I383" s="105">
        <f t="shared" si="1525"/>
        <v>-2.2747028924036781</v>
      </c>
      <c r="J383" s="105">
        <f t="shared" si="1525"/>
        <v>-0.80662409329822615</v>
      </c>
      <c r="K383" s="105">
        <f t="shared" si="1525"/>
        <v>1.321702941558946E-2</v>
      </c>
      <c r="L383" s="105">
        <f t="shared" si="1525"/>
        <v>0.90735685288502799</v>
      </c>
      <c r="M383" s="105">
        <f t="shared" si="1525"/>
        <v>1.3116718294058576</v>
      </c>
      <c r="O383" s="105">
        <f t="shared" ref="O383:BF383" si="1526">O41/O377</f>
        <v>2.7337678452476078E-2</v>
      </c>
      <c r="P383" s="105">
        <f t="shared" si="1526"/>
        <v>0.10892892237143802</v>
      </c>
      <c r="Q383" s="105">
        <f t="shared" si="1526"/>
        <v>0.21276847523815173</v>
      </c>
      <c r="R383" s="105">
        <f t="shared" si="1526"/>
        <v>0.37307971274920476</v>
      </c>
      <c r="S383" s="105">
        <f t="shared" si="1526"/>
        <v>0.46772508196078938</v>
      </c>
      <c r="T383" s="105">
        <f t="shared" si="1526"/>
        <v>0.53164969131782513</v>
      </c>
      <c r="U383" s="105">
        <f t="shared" si="1526"/>
        <v>0.55451227582772578</v>
      </c>
      <c r="V383" s="105">
        <f t="shared" si="1526"/>
        <v>0.61294039212132601</v>
      </c>
      <c r="W383" s="105">
        <f t="shared" si="1526"/>
        <v>0.629096200485045</v>
      </c>
      <c r="X383" s="105">
        <f t="shared" si="1526"/>
        <v>0.48608141615957845</v>
      </c>
      <c r="Y383" s="105">
        <f t="shared" si="1526"/>
        <v>0.39511832147671605</v>
      </c>
      <c r="Z383" s="105">
        <f t="shared" si="1526"/>
        <v>0.39728377412437466</v>
      </c>
      <c r="AA383" s="105">
        <f t="shared" si="1526"/>
        <v>0.38308250955492118</v>
      </c>
      <c r="AB383" s="105">
        <f t="shared" si="1526"/>
        <v>0.27851940918469154</v>
      </c>
      <c r="AC383" s="105">
        <f t="shared" si="1526"/>
        <v>0.25435110698807833</v>
      </c>
      <c r="AD383" s="105">
        <f t="shared" si="1526"/>
        <v>0.26865505999861239</v>
      </c>
      <c r="AE383" s="105">
        <f t="shared" si="1526"/>
        <v>0.2353325810337428</v>
      </c>
      <c r="AF383" s="105">
        <f t="shared" si="1526"/>
        <v>0.37795741599476429</v>
      </c>
      <c r="AG383" s="105">
        <f t="shared" si="1526"/>
        <v>0.47553033191066185</v>
      </c>
      <c r="AH383" s="105">
        <f t="shared" si="1526"/>
        <v>0.51339341162832397</v>
      </c>
      <c r="AI383" s="105">
        <f t="shared" si="1526"/>
        <v>6.2263023940738051E-2</v>
      </c>
      <c r="AJ383" s="105">
        <f t="shared" si="1526"/>
        <v>-0.17649690295939457</v>
      </c>
      <c r="AK383" s="105">
        <f t="shared" si="1526"/>
        <v>-0.40235751259765773</v>
      </c>
      <c r="AL383" s="105">
        <f t="shared" si="1526"/>
        <v>-0.43722213452840913</v>
      </c>
      <c r="AM383" s="105">
        <f t="shared" si="1526"/>
        <v>-0.55025005145091588</v>
      </c>
      <c r="AN383" s="105">
        <f t="shared" si="1526"/>
        <v>-0.61248389793345381</v>
      </c>
      <c r="AO383" s="105">
        <f t="shared" si="1526"/>
        <v>-0.57402184164126691</v>
      </c>
      <c r="AP383" s="105">
        <f t="shared" si="1526"/>
        <v>-0.53806216931216921</v>
      </c>
      <c r="AQ383" s="105">
        <f t="shared" si="1526"/>
        <v>-0.4208806587447364</v>
      </c>
      <c r="AR383" s="105">
        <f t="shared" si="1526"/>
        <v>-0.21087552931353257</v>
      </c>
      <c r="AS383" s="105">
        <f t="shared" si="1526"/>
        <v>-0.1276224188790562</v>
      </c>
      <c r="AT383" s="105">
        <f t="shared" ref="AT383" si="1527">AT41/AT377</f>
        <v>-0.10495671911318552</v>
      </c>
      <c r="AU383" s="105">
        <f t="shared" si="1526"/>
        <v>-0.11966844132018763</v>
      </c>
      <c r="AV383" s="105">
        <f t="shared" si="1526"/>
        <v>-4.2253334867748973E-2</v>
      </c>
      <c r="AW383" s="105">
        <f t="shared" si="1526"/>
        <v>5.2986347506354475E-2</v>
      </c>
      <c r="AX383" s="105">
        <f t="shared" si="1526"/>
        <v>0.12215245809717122</v>
      </c>
      <c r="AY383" s="105">
        <f t="shared" si="1526"/>
        <v>0.15327126671906507</v>
      </c>
      <c r="AZ383" s="105">
        <f t="shared" si="1526"/>
        <v>0.20974921007101244</v>
      </c>
      <c r="BA383" s="105">
        <f t="shared" si="1526"/>
        <v>0.26455620806316432</v>
      </c>
      <c r="BB383" s="105">
        <f t="shared" si="1526"/>
        <v>0.27978016803178735</v>
      </c>
      <c r="BC383" s="105">
        <f t="shared" si="1526"/>
        <v>0.29708937554929615</v>
      </c>
      <c r="BD383" s="105">
        <f t="shared" si="1526"/>
        <v>0.31364816335293033</v>
      </c>
      <c r="BE383" s="105">
        <f t="shared" si="1526"/>
        <v>0.33684787220959944</v>
      </c>
      <c r="BF383" s="105">
        <f t="shared" si="1526"/>
        <v>0.36408641829403066</v>
      </c>
      <c r="BI383">
        <f t="shared" si="1391"/>
        <v>376</v>
      </c>
    </row>
    <row r="384" spans="1:61" hidden="1" outlineLevel="2">
      <c r="A384" s="35"/>
      <c r="B384" s="46"/>
      <c r="BI384">
        <f t="shared" si="1391"/>
        <v>377</v>
      </c>
    </row>
    <row r="385" spans="1:61" hidden="1" outlineLevel="2">
      <c r="A385" s="35"/>
      <c r="B385" s="29" t="s">
        <v>232</v>
      </c>
      <c r="C385" s="105">
        <f t="shared" ref="C385:M386" si="1528">INDEX($O385:$BG385,1,MATCH(C$4,$O$4:$BG$4,0))</f>
        <v>14.187390495726564</v>
      </c>
      <c r="D385" s="105">
        <f t="shared" si="1528"/>
        <v>16.152152454467629</v>
      </c>
      <c r="E385" s="105">
        <f t="shared" si="1528"/>
        <v>17.398629605824716</v>
      </c>
      <c r="F385" s="105">
        <f t="shared" si="1528"/>
        <v>19.105496723247768</v>
      </c>
      <c r="G385" s="105">
        <f t="shared" si="1528"/>
        <v>19.842425950220214</v>
      </c>
      <c r="H385" s="105">
        <f t="shared" si="1528"/>
        <v>17.402822895189519</v>
      </c>
      <c r="I385" s="105">
        <f t="shared" si="1528"/>
        <v>15.180413067950203</v>
      </c>
      <c r="J385" s="105">
        <f t="shared" si="1528"/>
        <v>17.90234720615366</v>
      </c>
      <c r="K385" s="105">
        <f t="shared" si="1528"/>
        <v>17.825483100216825</v>
      </c>
      <c r="L385" s="105">
        <f t="shared" si="1528"/>
        <v>18.520092626387864</v>
      </c>
      <c r="M385" s="105">
        <f t="shared" si="1528"/>
        <v>19.62233335389114</v>
      </c>
      <c r="O385" s="103">
        <f>O328/O379</f>
        <v>13.590673894729507</v>
      </c>
      <c r="P385" s="103">
        <f t="shared" ref="P385:BF385" si="1529">P328/P379</f>
        <v>13.677958588965792</v>
      </c>
      <c r="Q385" s="103">
        <f t="shared" si="1529"/>
        <v>13.847412979252308</v>
      </c>
      <c r="R385" s="103">
        <f t="shared" si="1529"/>
        <v>14.187390495726564</v>
      </c>
      <c r="S385" s="103">
        <f t="shared" si="1529"/>
        <v>14.645970980181447</v>
      </c>
      <c r="T385" s="103">
        <f t="shared" si="1529"/>
        <v>15.113397666466097</v>
      </c>
      <c r="U385" s="103">
        <f t="shared" si="1529"/>
        <v>15.593375883665631</v>
      </c>
      <c r="V385" s="103">
        <f t="shared" si="1529"/>
        <v>16.152152454467629</v>
      </c>
      <c r="W385" s="103">
        <f t="shared" si="1529"/>
        <v>16.778033573843242</v>
      </c>
      <c r="X385" s="103">
        <f t="shared" si="1529"/>
        <v>17.323689159891511</v>
      </c>
      <c r="Y385" s="103">
        <f t="shared" si="1529"/>
        <v>17.421762708134501</v>
      </c>
      <c r="Z385" s="103">
        <f t="shared" si="1529"/>
        <v>17.398629605824716</v>
      </c>
      <c r="AA385" s="103">
        <f t="shared" si="1529"/>
        <v>18.434545236603981</v>
      </c>
      <c r="AB385" s="103">
        <f t="shared" si="1529"/>
        <v>18.534158109839478</v>
      </c>
      <c r="AC385" s="103">
        <f t="shared" si="1529"/>
        <v>19.021462948436255</v>
      </c>
      <c r="AD385" s="103">
        <f t="shared" si="1529"/>
        <v>19.105496723247768</v>
      </c>
      <c r="AE385" s="103">
        <f t="shared" si="1529"/>
        <v>19.338929267318726</v>
      </c>
      <c r="AF385" s="103">
        <f t="shared" si="1529"/>
        <v>19.484368664889612</v>
      </c>
      <c r="AG385" s="103">
        <f t="shared" si="1529"/>
        <v>19.529850402326694</v>
      </c>
      <c r="AH385" s="103">
        <f t="shared" si="1529"/>
        <v>19.842425950220214</v>
      </c>
      <c r="AI385" s="103">
        <f t="shared" si="1529"/>
        <v>19.792443122361636</v>
      </c>
      <c r="AJ385" s="103">
        <f t="shared" si="1529"/>
        <v>19.483829722013581</v>
      </c>
      <c r="AK385" s="103">
        <f t="shared" si="1529"/>
        <v>17.876682776920632</v>
      </c>
      <c r="AL385" s="103">
        <f t="shared" si="1529"/>
        <v>17.402822895189519</v>
      </c>
      <c r="AM385" s="103">
        <f t="shared" si="1529"/>
        <v>16.915962670104161</v>
      </c>
      <c r="AN385" s="103">
        <f t="shared" si="1529"/>
        <v>16.257609592251615</v>
      </c>
      <c r="AO385" s="103">
        <f t="shared" si="1529"/>
        <v>15.690996062212346</v>
      </c>
      <c r="AP385" s="103">
        <f t="shared" si="1529"/>
        <v>15.180413067950203</v>
      </c>
      <c r="AQ385" s="103">
        <f t="shared" si="1529"/>
        <v>16.002058424342231</v>
      </c>
      <c r="AR385" s="103">
        <f t="shared" si="1529"/>
        <v>16.958830618862503</v>
      </c>
      <c r="AS385" s="103">
        <f t="shared" si="1529"/>
        <v>16.817971063913376</v>
      </c>
      <c r="AT385" s="103">
        <f t="shared" ref="AT385" si="1530">AT328/AT379</f>
        <v>17.90234720615366</v>
      </c>
      <c r="AU385" s="103">
        <f t="shared" si="1529"/>
        <v>17.806649848770121</v>
      </c>
      <c r="AV385" s="103">
        <f t="shared" si="1529"/>
        <v>17.759002562932334</v>
      </c>
      <c r="AW385" s="103">
        <f t="shared" si="1529"/>
        <v>17.757376123204995</v>
      </c>
      <c r="AX385" s="103">
        <f t="shared" si="1529"/>
        <v>17.825483100216825</v>
      </c>
      <c r="AY385" s="103">
        <f t="shared" si="1529"/>
        <v>17.924964124887556</v>
      </c>
      <c r="AZ385" s="103">
        <f t="shared" si="1529"/>
        <v>18.081386329663541</v>
      </c>
      <c r="BA385" s="103">
        <f t="shared" si="1529"/>
        <v>18.293065063953236</v>
      </c>
      <c r="BB385" s="103">
        <f t="shared" si="1529"/>
        <v>18.520092626387864</v>
      </c>
      <c r="BC385" s="103">
        <f t="shared" si="1529"/>
        <v>18.764571367888845</v>
      </c>
      <c r="BD385" s="103">
        <f t="shared" si="1529"/>
        <v>19.025744713737858</v>
      </c>
      <c r="BE385" s="103">
        <f t="shared" si="1529"/>
        <v>19.310308054370598</v>
      </c>
      <c r="BF385" s="103">
        <f t="shared" si="1529"/>
        <v>19.62233335389114</v>
      </c>
      <c r="BI385">
        <f t="shared" si="1391"/>
        <v>378</v>
      </c>
    </row>
    <row r="386" spans="1:61" hidden="1" outlineLevel="2">
      <c r="A386" s="35"/>
      <c r="B386" s="29" t="s">
        <v>233</v>
      </c>
      <c r="C386" s="105">
        <f t="shared" si="1528"/>
        <v>13.022083890635413</v>
      </c>
      <c r="D386" s="105">
        <f t="shared" si="1528"/>
        <v>15.025296009129299</v>
      </c>
      <c r="E386" s="105">
        <f t="shared" si="1528"/>
        <v>16.268902712819102</v>
      </c>
      <c r="F386" s="105">
        <f t="shared" si="1528"/>
        <v>17.944538443452</v>
      </c>
      <c r="G386" s="105">
        <f t="shared" si="1528"/>
        <v>18.334596600969583</v>
      </c>
      <c r="H386" s="105">
        <f t="shared" si="1528"/>
        <v>16.773546991106283</v>
      </c>
      <c r="I386" s="105">
        <f t="shared" si="1528"/>
        <v>14.579832192305501</v>
      </c>
      <c r="J386" s="105">
        <f t="shared" si="1528"/>
        <v>14.813778940088556</v>
      </c>
      <c r="K386" s="105">
        <f t="shared" si="1528"/>
        <v>14.736914834151721</v>
      </c>
      <c r="L386" s="105">
        <f t="shared" si="1528"/>
        <v>15.43152436032276</v>
      </c>
      <c r="M386" s="105">
        <f t="shared" si="1528"/>
        <v>16.533765087826037</v>
      </c>
      <c r="O386" s="105">
        <f>(O328-O310)/O379</f>
        <v>13.029167067580959</v>
      </c>
      <c r="P386" s="105">
        <f t="shared" ref="P386:BF386" si="1531">(P328-P310)/P379</f>
        <v>13.118533065536006</v>
      </c>
      <c r="Q386" s="105">
        <f t="shared" si="1531"/>
        <v>13.287881565950343</v>
      </c>
      <c r="R386" s="105">
        <f t="shared" si="1531"/>
        <v>13.022083890635413</v>
      </c>
      <c r="S386" s="105">
        <f t="shared" si="1531"/>
        <v>13.48760835132928</v>
      </c>
      <c r="T386" s="105">
        <f t="shared" si="1531"/>
        <v>13.971545650482225</v>
      </c>
      <c r="U386" s="105">
        <f t="shared" si="1531"/>
        <v>14.458596831157079</v>
      </c>
      <c r="V386" s="105">
        <f t="shared" si="1531"/>
        <v>15.025296009129299</v>
      </c>
      <c r="W386" s="105">
        <f t="shared" si="1531"/>
        <v>15.657908635498051</v>
      </c>
      <c r="X386" s="105">
        <f t="shared" si="1531"/>
        <v>16.1804223850156</v>
      </c>
      <c r="Y386" s="105">
        <f t="shared" si="1531"/>
        <v>16.285262579818589</v>
      </c>
      <c r="Z386" s="105">
        <f t="shared" si="1531"/>
        <v>16.268902712819102</v>
      </c>
      <c r="AA386" s="105">
        <f t="shared" si="1531"/>
        <v>17.270594098526317</v>
      </c>
      <c r="AB386" s="105">
        <f t="shared" si="1531"/>
        <v>17.384389299849992</v>
      </c>
      <c r="AC386" s="105">
        <f t="shared" si="1531"/>
        <v>17.854196243044171</v>
      </c>
      <c r="AD386" s="105">
        <f t="shared" si="1531"/>
        <v>17.944538443452</v>
      </c>
      <c r="AE386" s="105">
        <f t="shared" si="1531"/>
        <v>18.184286345455085</v>
      </c>
      <c r="AF386" s="105">
        <f t="shared" si="1531"/>
        <v>18.271127239460025</v>
      </c>
      <c r="AG386" s="105">
        <f t="shared" si="1531"/>
        <v>18.2989437874209</v>
      </c>
      <c r="AH386" s="105">
        <f t="shared" si="1531"/>
        <v>18.334596600969583</v>
      </c>
      <c r="AI386" s="105">
        <f t="shared" si="1531"/>
        <v>18.290859279923286</v>
      </c>
      <c r="AJ386" s="105">
        <f t="shared" si="1531"/>
        <v>17.996108318308437</v>
      </c>
      <c r="AK386" s="105">
        <f t="shared" si="1531"/>
        <v>17.241272005938942</v>
      </c>
      <c r="AL386" s="105">
        <f t="shared" si="1531"/>
        <v>16.773546991106283</v>
      </c>
      <c r="AM386" s="105">
        <f t="shared" si="1531"/>
        <v>16.292877247143398</v>
      </c>
      <c r="AN386" s="105">
        <f t="shared" si="1531"/>
        <v>15.643079896285897</v>
      </c>
      <c r="AO386" s="105">
        <f t="shared" si="1531"/>
        <v>15.084204669196883</v>
      </c>
      <c r="AP386" s="105">
        <f t="shared" si="1531"/>
        <v>14.579832192305501</v>
      </c>
      <c r="AQ386" s="105">
        <f t="shared" si="1531"/>
        <v>15.472656376725375</v>
      </c>
      <c r="AR386" s="105">
        <f t="shared" si="1531"/>
        <v>14.426244324101649</v>
      </c>
      <c r="AS386" s="105">
        <f t="shared" si="1531"/>
        <v>14.320074081408242</v>
      </c>
      <c r="AT386" s="105">
        <f t="shared" ref="AT386" si="1532">(AT328-AT310)/AT379</f>
        <v>14.813778940088556</v>
      </c>
      <c r="AU386" s="105">
        <f t="shared" si="1531"/>
        <v>14.718081582705016</v>
      </c>
      <c r="AV386" s="105">
        <f t="shared" si="1531"/>
        <v>14.670434296867231</v>
      </c>
      <c r="AW386" s="105">
        <f t="shared" si="1531"/>
        <v>14.668807857139894</v>
      </c>
      <c r="AX386" s="105">
        <f t="shared" si="1531"/>
        <v>14.736914834151721</v>
      </c>
      <c r="AY386" s="105">
        <f t="shared" si="1531"/>
        <v>14.836395858822451</v>
      </c>
      <c r="AZ386" s="105">
        <f t="shared" si="1531"/>
        <v>14.992818063598436</v>
      </c>
      <c r="BA386" s="105">
        <f t="shared" si="1531"/>
        <v>15.204496797888131</v>
      </c>
      <c r="BB386" s="105">
        <f t="shared" si="1531"/>
        <v>15.43152436032276</v>
      </c>
      <c r="BC386" s="105">
        <f t="shared" si="1531"/>
        <v>15.676003101823742</v>
      </c>
      <c r="BD386" s="105">
        <f t="shared" si="1531"/>
        <v>15.937176447672755</v>
      </c>
      <c r="BE386" s="105">
        <f t="shared" si="1531"/>
        <v>16.221739788305495</v>
      </c>
      <c r="BF386" s="105">
        <f t="shared" si="1531"/>
        <v>16.533765087826037</v>
      </c>
      <c r="BI386">
        <f t="shared" si="1391"/>
        <v>379</v>
      </c>
    </row>
    <row r="387" spans="1:61" hidden="1" outlineLevel="2">
      <c r="A387" s="35"/>
      <c r="B387" s="48"/>
      <c r="BI387">
        <f t="shared" si="1391"/>
        <v>380</v>
      </c>
    </row>
    <row r="388" spans="1:61" outlineLevel="1" collapsed="1">
      <c r="A388" s="40" t="s">
        <v>65</v>
      </c>
      <c r="B388" s="41" t="s">
        <v>303</v>
      </c>
      <c r="BI388">
        <f t="shared" si="1391"/>
        <v>381</v>
      </c>
    </row>
    <row r="389" spans="1:61" hidden="1" outlineLevel="2">
      <c r="A389" s="35"/>
      <c r="B389" s="29" t="s">
        <v>234</v>
      </c>
      <c r="C389" s="54">
        <f>SUM(C301:C305,C309:C311)-SUM(C316:C318,C321:C322)</f>
        <v>2558.7450000000003</v>
      </c>
      <c r="D389" s="54">
        <f t="shared" ref="D389:M389" si="1533">SUM(D301:D305,D309:D311)-SUM(D316:D318,D321:D322)</f>
        <v>2995.1849999999999</v>
      </c>
      <c r="E389" s="54">
        <f t="shared" si="1533"/>
        <v>3228.6839999999993</v>
      </c>
      <c r="F389" s="54">
        <f t="shared" si="1533"/>
        <v>3198.9880000000003</v>
      </c>
      <c r="G389" s="54">
        <f t="shared" si="1533"/>
        <v>3848.2979999999998</v>
      </c>
      <c r="H389" s="54">
        <f t="shared" si="1533"/>
        <v>3302.7850000000008</v>
      </c>
      <c r="I389" s="54">
        <f t="shared" si="1533"/>
        <v>2812.0090000000009</v>
      </c>
      <c r="J389" s="54">
        <f t="shared" si="1533"/>
        <v>4806.4480000000003</v>
      </c>
      <c r="K389" s="54">
        <f t="shared" si="1533"/>
        <v>4750.0349968891551</v>
      </c>
      <c r="L389" s="54">
        <f t="shared" si="1533"/>
        <v>4722.2958687011214</v>
      </c>
      <c r="M389" s="54">
        <f t="shared" si="1533"/>
        <v>4560.7260055834868</v>
      </c>
      <c r="O389" s="54">
        <f>SUM(O301:O305,O309:O311)-SUM(O316:O318,O321:O322)</f>
        <v>2023.3179999999998</v>
      </c>
      <c r="P389" s="54">
        <f t="shared" ref="P389:BF389" si="1534">SUM(P301:P305,P309:P311)-SUM(P316:P318,P321:P322)</f>
        <v>2012.4429999999998</v>
      </c>
      <c r="Q389" s="54">
        <f t="shared" si="1534"/>
        <v>2160.2229999999995</v>
      </c>
      <c r="R389" s="54">
        <f t="shared" si="1534"/>
        <v>2558.7450000000003</v>
      </c>
      <c r="S389" s="54">
        <f t="shared" si="1534"/>
        <v>2618.6999999999998</v>
      </c>
      <c r="T389" s="54">
        <f t="shared" si="1534"/>
        <v>2682.7260000000006</v>
      </c>
      <c r="U389" s="54">
        <f t="shared" si="1534"/>
        <v>2826.8880000000008</v>
      </c>
      <c r="V389" s="54">
        <f t="shared" si="1534"/>
        <v>2995.1849999999999</v>
      </c>
      <c r="W389" s="54">
        <f t="shared" si="1534"/>
        <v>3095.1499999999996</v>
      </c>
      <c r="X389" s="54">
        <f t="shared" si="1534"/>
        <v>3153.983999999999</v>
      </c>
      <c r="Y389" s="54">
        <f t="shared" si="1534"/>
        <v>3160.6949999999988</v>
      </c>
      <c r="Z389" s="54">
        <f t="shared" si="1534"/>
        <v>3228.6839999999993</v>
      </c>
      <c r="AA389" s="54">
        <f t="shared" si="1534"/>
        <v>3252.8020000000015</v>
      </c>
      <c r="AB389" s="54">
        <f t="shared" si="1534"/>
        <v>3278.2129999999988</v>
      </c>
      <c r="AC389" s="54">
        <f t="shared" si="1534"/>
        <v>3234.2390000000014</v>
      </c>
      <c r="AD389" s="54">
        <f t="shared" si="1534"/>
        <v>3198.9880000000003</v>
      </c>
      <c r="AE389" s="54">
        <f t="shared" si="1534"/>
        <v>3221.9240000000004</v>
      </c>
      <c r="AF389" s="54">
        <f t="shared" si="1534"/>
        <v>3414.107</v>
      </c>
      <c r="AG389" s="54">
        <f t="shared" si="1534"/>
        <v>3505.8660000000009</v>
      </c>
      <c r="AH389" s="54">
        <f t="shared" si="1534"/>
        <v>3848.2979999999998</v>
      </c>
      <c r="AI389" s="54">
        <f t="shared" si="1534"/>
        <v>3691.6210000000001</v>
      </c>
      <c r="AJ389" s="54">
        <f t="shared" si="1534"/>
        <v>3664.0060000000017</v>
      </c>
      <c r="AK389" s="54">
        <f t="shared" si="1534"/>
        <v>3419.632000000001</v>
      </c>
      <c r="AL389" s="54">
        <f t="shared" si="1534"/>
        <v>3302.7850000000008</v>
      </c>
      <c r="AM389" s="54">
        <f t="shared" si="1534"/>
        <v>3144.4540000000011</v>
      </c>
      <c r="AN389" s="54">
        <f t="shared" si="1534"/>
        <v>3019.0930000000008</v>
      </c>
      <c r="AO389" s="54">
        <f t="shared" si="1534"/>
        <v>2900.5049999999992</v>
      </c>
      <c r="AP389" s="54">
        <f t="shared" si="1534"/>
        <v>2812.0090000000009</v>
      </c>
      <c r="AQ389" s="54">
        <f t="shared" si="1534"/>
        <v>2793.5249999999996</v>
      </c>
      <c r="AR389" s="54">
        <f t="shared" si="1534"/>
        <v>4291.2809999999999</v>
      </c>
      <c r="AS389" s="54">
        <f t="shared" si="1534"/>
        <v>4298.0600000000004</v>
      </c>
      <c r="AT389" s="54">
        <f t="shared" ref="AT389" si="1535">SUM(AT301:AT305,AT309:AT311)-SUM(AT316:AT318,AT321:AT322)</f>
        <v>4806.4480000000003</v>
      </c>
      <c r="AU389" s="54">
        <f t="shared" si="1534"/>
        <v>4775.9914254036375</v>
      </c>
      <c r="AV389" s="54">
        <f t="shared" si="1534"/>
        <v>4767.3114655850468</v>
      </c>
      <c r="AW389" s="54">
        <f t="shared" si="1534"/>
        <v>4759.0651137108416</v>
      </c>
      <c r="AX389" s="54">
        <f t="shared" si="1534"/>
        <v>4750.0349968891551</v>
      </c>
      <c r="AY389" s="54">
        <f t="shared" si="1534"/>
        <v>4720.7045022195707</v>
      </c>
      <c r="AZ389" s="54">
        <f t="shared" si="1534"/>
        <v>4686.0687495976899</v>
      </c>
      <c r="BA389" s="54">
        <f t="shared" si="1534"/>
        <v>4708.0695863974797</v>
      </c>
      <c r="BB389" s="54">
        <f t="shared" si="1534"/>
        <v>4722.2958687011214</v>
      </c>
      <c r="BC389" s="54">
        <f t="shared" si="1534"/>
        <v>4686.6202769776673</v>
      </c>
      <c r="BD389" s="54">
        <f t="shared" si="1534"/>
        <v>4642.771614676547</v>
      </c>
      <c r="BE389" s="54">
        <f t="shared" si="1534"/>
        <v>4598.9128523287218</v>
      </c>
      <c r="BF389" s="54">
        <f t="shared" si="1534"/>
        <v>4560.7260055834868</v>
      </c>
      <c r="BI389">
        <f t="shared" si="1391"/>
        <v>382</v>
      </c>
    </row>
    <row r="390" spans="1:61" hidden="1" outlineLevel="2">
      <c r="A390" s="40"/>
      <c r="B390" s="43" t="s">
        <v>235</v>
      </c>
      <c r="C390" s="54">
        <f>SUM(C328,C320,C315)-C300</f>
        <v>2558.7449999999999</v>
      </c>
      <c r="D390" s="54">
        <f t="shared" ref="D390:M390" si="1536">SUM(D328,D320,D315)-D300</f>
        <v>2995.1849999999999</v>
      </c>
      <c r="E390" s="54">
        <f t="shared" si="1536"/>
        <v>3228.6839999999997</v>
      </c>
      <c r="F390" s="54">
        <f t="shared" si="1536"/>
        <v>3198.9879999999998</v>
      </c>
      <c r="G390" s="54">
        <f t="shared" si="1536"/>
        <v>3848.2980000000002</v>
      </c>
      <c r="H390" s="54">
        <f t="shared" si="1536"/>
        <v>3302.7850000000003</v>
      </c>
      <c r="I390" s="54">
        <f t="shared" si="1536"/>
        <v>2812.0089999999996</v>
      </c>
      <c r="J390" s="54">
        <f t="shared" si="1536"/>
        <v>4806.4479999999994</v>
      </c>
      <c r="K390" s="54">
        <f t="shared" si="1536"/>
        <v>4750.034996889156</v>
      </c>
      <c r="L390" s="54">
        <f t="shared" si="1536"/>
        <v>4722.2958687011214</v>
      </c>
      <c r="M390" s="54">
        <f t="shared" si="1536"/>
        <v>4560.7260055834868</v>
      </c>
      <c r="O390" s="54">
        <f>SUM(O328,O320,O315)-O300</f>
        <v>2023.3179999999998</v>
      </c>
      <c r="P390" s="54">
        <f t="shared" ref="P390:BF390" si="1537">SUM(P328,P320,P315)-P300</f>
        <v>2012.443</v>
      </c>
      <c r="Q390" s="54">
        <f t="shared" si="1537"/>
        <v>2160.223</v>
      </c>
      <c r="R390" s="54">
        <f t="shared" si="1537"/>
        <v>2558.7449999999999</v>
      </c>
      <c r="S390" s="54">
        <f t="shared" si="1537"/>
        <v>2618.6999999999998</v>
      </c>
      <c r="T390" s="54">
        <f t="shared" si="1537"/>
        <v>2682.7260000000001</v>
      </c>
      <c r="U390" s="54">
        <f t="shared" si="1537"/>
        <v>2826.8880000000004</v>
      </c>
      <c r="V390" s="54">
        <f t="shared" si="1537"/>
        <v>2995.1849999999999</v>
      </c>
      <c r="W390" s="54">
        <f t="shared" si="1537"/>
        <v>3095.15</v>
      </c>
      <c r="X390" s="54">
        <f t="shared" si="1537"/>
        <v>3153.9840000000004</v>
      </c>
      <c r="Y390" s="54">
        <f t="shared" si="1537"/>
        <v>3160.6949999999997</v>
      </c>
      <c r="Z390" s="54">
        <f t="shared" si="1537"/>
        <v>3228.6839999999997</v>
      </c>
      <c r="AA390" s="54">
        <f t="shared" si="1537"/>
        <v>3252.8020000000001</v>
      </c>
      <c r="AB390" s="54">
        <f t="shared" si="1537"/>
        <v>3278.2130000000002</v>
      </c>
      <c r="AC390" s="54">
        <f t="shared" si="1537"/>
        <v>3234.239</v>
      </c>
      <c r="AD390" s="54">
        <f t="shared" si="1537"/>
        <v>3198.9879999999998</v>
      </c>
      <c r="AE390" s="54">
        <f t="shared" si="1537"/>
        <v>3221.924</v>
      </c>
      <c r="AF390" s="54">
        <f t="shared" si="1537"/>
        <v>3414.107</v>
      </c>
      <c r="AG390" s="54">
        <f t="shared" si="1537"/>
        <v>3505.866</v>
      </c>
      <c r="AH390" s="54">
        <f t="shared" si="1537"/>
        <v>3848.2980000000002</v>
      </c>
      <c r="AI390" s="54">
        <f t="shared" si="1537"/>
        <v>3691.6210000000005</v>
      </c>
      <c r="AJ390" s="54">
        <f t="shared" si="1537"/>
        <v>3664.0059999999999</v>
      </c>
      <c r="AK390" s="54">
        <f t="shared" si="1537"/>
        <v>3419.6319999999996</v>
      </c>
      <c r="AL390" s="54">
        <f t="shared" si="1537"/>
        <v>3302.7850000000003</v>
      </c>
      <c r="AM390" s="54">
        <f t="shared" si="1537"/>
        <v>3144.4540000000002</v>
      </c>
      <c r="AN390" s="54">
        <f t="shared" si="1537"/>
        <v>3019.0929999999998</v>
      </c>
      <c r="AO390" s="54">
        <f t="shared" si="1537"/>
        <v>2900.5050000000001</v>
      </c>
      <c r="AP390" s="54">
        <f t="shared" si="1537"/>
        <v>2812.0089999999996</v>
      </c>
      <c r="AQ390" s="54">
        <f t="shared" si="1537"/>
        <v>2793.5250000000001</v>
      </c>
      <c r="AR390" s="54">
        <f t="shared" si="1537"/>
        <v>4291.2809999999999</v>
      </c>
      <c r="AS390" s="54">
        <f t="shared" si="1537"/>
        <v>4298.0600000000004</v>
      </c>
      <c r="AT390" s="54">
        <f t="shared" ref="AT390" si="1538">SUM(AT328,AT320,AT315)-AT300</f>
        <v>4806.4479999999994</v>
      </c>
      <c r="AU390" s="54">
        <f t="shared" si="1537"/>
        <v>4775.9914254036357</v>
      </c>
      <c r="AV390" s="54">
        <f t="shared" si="1537"/>
        <v>4767.3114655850468</v>
      </c>
      <c r="AW390" s="54">
        <f t="shared" si="1537"/>
        <v>4759.0651137108407</v>
      </c>
      <c r="AX390" s="54">
        <f t="shared" si="1537"/>
        <v>4750.034996889156</v>
      </c>
      <c r="AY390" s="54">
        <f t="shared" si="1537"/>
        <v>4720.7045022195725</v>
      </c>
      <c r="AZ390" s="54">
        <f t="shared" si="1537"/>
        <v>4686.0687495976908</v>
      </c>
      <c r="BA390" s="54">
        <f t="shared" si="1537"/>
        <v>4708.0695863974806</v>
      </c>
      <c r="BB390" s="54">
        <f t="shared" si="1537"/>
        <v>4722.2958687011214</v>
      </c>
      <c r="BC390" s="54">
        <f t="shared" si="1537"/>
        <v>4686.6202769776664</v>
      </c>
      <c r="BD390" s="54">
        <f t="shared" si="1537"/>
        <v>4642.771614676547</v>
      </c>
      <c r="BE390" s="54">
        <f t="shared" si="1537"/>
        <v>4598.9128523287227</v>
      </c>
      <c r="BF390" s="54">
        <f t="shared" si="1537"/>
        <v>4560.7260055834868</v>
      </c>
      <c r="BI390">
        <f t="shared" si="1391"/>
        <v>383</v>
      </c>
    </row>
    <row r="391" spans="1:61" hidden="1" outlineLevel="2">
      <c r="A391" s="35"/>
      <c r="B391" s="29" t="s">
        <v>59</v>
      </c>
      <c r="C391" s="54">
        <f t="shared" ref="C391:M391" si="1539">C35</f>
        <v>183.17100000000005</v>
      </c>
      <c r="D391" s="54">
        <f t="shared" si="1539"/>
        <v>541.20100000000002</v>
      </c>
      <c r="E391" s="54">
        <f t="shared" si="1539"/>
        <v>482.62900000000019</v>
      </c>
      <c r="F391" s="54">
        <f t="shared" si="1539"/>
        <v>294.76199999999983</v>
      </c>
      <c r="G391" s="54">
        <f t="shared" si="1539"/>
        <v>377.82400000000013</v>
      </c>
      <c r="H391" s="54">
        <f t="shared" si="1539"/>
        <v>-175.74099999999993</v>
      </c>
      <c r="I391" s="54">
        <f t="shared" si="1539"/>
        <v>-478.57799999999992</v>
      </c>
      <c r="J391" s="54">
        <f t="shared" si="1539"/>
        <v>-208.73500000000018</v>
      </c>
      <c r="K391" s="54">
        <f t="shared" si="1539"/>
        <v>54.204160083136003</v>
      </c>
      <c r="L391" s="54">
        <f t="shared" si="1539"/>
        <v>334.15671112444522</v>
      </c>
      <c r="M391" s="54">
        <f t="shared" si="1539"/>
        <v>456.53893185429342</v>
      </c>
      <c r="O391" s="54">
        <f t="shared" ref="O391:BF391" si="1540">O35</f>
        <v>7.8310000000000413</v>
      </c>
      <c r="P391" s="54">
        <f t="shared" si="1540"/>
        <v>23.818000000000012</v>
      </c>
      <c r="Q391" s="54">
        <f t="shared" si="1540"/>
        <v>52.509000000000029</v>
      </c>
      <c r="R391" s="54">
        <f t="shared" si="1540"/>
        <v>99.013000000000034</v>
      </c>
      <c r="S391" s="54">
        <f t="shared" si="1540"/>
        <v>117.54699999999998</v>
      </c>
      <c r="T391" s="54">
        <f t="shared" si="1540"/>
        <v>131.85999999999999</v>
      </c>
      <c r="U391" s="54">
        <f t="shared" si="1540"/>
        <v>136.59400000000002</v>
      </c>
      <c r="V391" s="54">
        <f t="shared" si="1540"/>
        <v>155.20000000000002</v>
      </c>
      <c r="W391" s="54">
        <f t="shared" si="1540"/>
        <v>159.26400000000007</v>
      </c>
      <c r="X391" s="54">
        <f t="shared" si="1540"/>
        <v>122.56200000000004</v>
      </c>
      <c r="Y391" s="54">
        <f t="shared" si="1540"/>
        <v>101.09399999999999</v>
      </c>
      <c r="Z391" s="54">
        <f t="shared" si="1540"/>
        <v>99.709000000000017</v>
      </c>
      <c r="AA391" s="54">
        <f t="shared" si="1540"/>
        <v>94.931999999999988</v>
      </c>
      <c r="AB391" s="54">
        <f t="shared" si="1540"/>
        <v>70.606000000000037</v>
      </c>
      <c r="AC391" s="54">
        <f t="shared" si="1540"/>
        <v>61.750999999999962</v>
      </c>
      <c r="AD391" s="54">
        <f t="shared" si="1540"/>
        <v>67.472999999999942</v>
      </c>
      <c r="AE391" s="54">
        <f t="shared" si="1540"/>
        <v>58.77600000000001</v>
      </c>
      <c r="AF391" s="54">
        <f t="shared" si="1540"/>
        <v>87.226000000000042</v>
      </c>
      <c r="AG391" s="54">
        <f t="shared" si="1540"/>
        <v>108.17000000000002</v>
      </c>
      <c r="AH391" s="54">
        <f t="shared" si="1540"/>
        <v>123.65199999999996</v>
      </c>
      <c r="AI391" s="54">
        <f t="shared" si="1540"/>
        <v>23.933000000000025</v>
      </c>
      <c r="AJ391" s="54">
        <f t="shared" si="1540"/>
        <v>-36.264000000000031</v>
      </c>
      <c r="AK391" s="54">
        <f t="shared" si="1540"/>
        <v>-78.846000000000004</v>
      </c>
      <c r="AL391" s="54">
        <f t="shared" si="1540"/>
        <v>-84.563999999999979</v>
      </c>
      <c r="AM391" s="54">
        <f t="shared" si="1540"/>
        <v>-109.83400000000003</v>
      </c>
      <c r="AN391" s="54">
        <f t="shared" si="1540"/>
        <v>-129.75099999999998</v>
      </c>
      <c r="AO391" s="54">
        <f t="shared" si="1540"/>
        <v>-124.548</v>
      </c>
      <c r="AP391" s="54">
        <f t="shared" si="1540"/>
        <v>-114.44499999999998</v>
      </c>
      <c r="AQ391" s="54">
        <f t="shared" si="1540"/>
        <v>-98.693000000000012</v>
      </c>
      <c r="AR391" s="54">
        <f t="shared" si="1540"/>
        <v>-60.064000000000007</v>
      </c>
      <c r="AS391" s="54">
        <f t="shared" si="1540"/>
        <v>-28.567000000000032</v>
      </c>
      <c r="AT391" s="54">
        <f t="shared" ref="AT391" si="1541">AT35</f>
        <v>-21.411000000000044</v>
      </c>
      <c r="AU391" s="54">
        <f t="shared" si="1540"/>
        <v>-25.825132448979588</v>
      </c>
      <c r="AV391" s="54">
        <f t="shared" si="1540"/>
        <v>-0.28355396923521425</v>
      </c>
      <c r="AW391" s="54">
        <f t="shared" si="1540"/>
        <v>29.383749731022249</v>
      </c>
      <c r="AX391" s="54">
        <f t="shared" si="1540"/>
        <v>50.929096770328471</v>
      </c>
      <c r="AY391" s="54">
        <f t="shared" si="1540"/>
        <v>60.622652262770401</v>
      </c>
      <c r="AZ391" s="54">
        <f t="shared" si="1540"/>
        <v>78.215616204067175</v>
      </c>
      <c r="BA391" s="54">
        <f t="shared" si="1540"/>
        <v>95.288078163208354</v>
      </c>
      <c r="BB391" s="54">
        <f t="shared" si="1540"/>
        <v>100.03036449439955</v>
      </c>
      <c r="BC391" s="54">
        <f t="shared" si="1540"/>
        <v>105.42220856014944</v>
      </c>
      <c r="BD391" s="54">
        <f t="shared" si="1540"/>
        <v>110.58029576112179</v>
      </c>
      <c r="BE391" s="54">
        <f t="shared" si="1540"/>
        <v>117.80703981623955</v>
      </c>
      <c r="BF391" s="54">
        <f t="shared" si="1540"/>
        <v>122.72938771678241</v>
      </c>
      <c r="BI391">
        <f t="shared" si="1391"/>
        <v>384</v>
      </c>
    </row>
    <row r="392" spans="1:61" hidden="1" outlineLevel="2">
      <c r="A392" s="35"/>
      <c r="B392" s="29" t="s">
        <v>236</v>
      </c>
      <c r="C392" s="54">
        <f t="shared" ref="C392:M392" si="1542">C391*(1-C436)</f>
        <v>114.48187500000003</v>
      </c>
      <c r="D392" s="54">
        <f t="shared" si="1542"/>
        <v>338.25062500000001</v>
      </c>
      <c r="E392" s="54">
        <f t="shared" si="1542"/>
        <v>301.64312500000011</v>
      </c>
      <c r="F392" s="54">
        <f t="shared" si="1542"/>
        <v>184.22624999999988</v>
      </c>
      <c r="G392" s="54">
        <f t="shared" si="1542"/>
        <v>236.14000000000007</v>
      </c>
      <c r="H392" s="54">
        <f t="shared" si="1542"/>
        <v>-109.83812499999996</v>
      </c>
      <c r="I392" s="54">
        <f t="shared" si="1542"/>
        <v>-299.11124999999993</v>
      </c>
      <c r="J392" s="54">
        <f t="shared" si="1542"/>
        <v>-130.45937500000011</v>
      </c>
      <c r="K392" s="54">
        <f t="shared" si="1542"/>
        <v>41.195161663183363</v>
      </c>
      <c r="L392" s="54">
        <f t="shared" si="1542"/>
        <v>253.95910045457836</v>
      </c>
      <c r="M392" s="54">
        <f t="shared" si="1542"/>
        <v>346.96958820926301</v>
      </c>
      <c r="O392" s="54">
        <f t="shared" ref="O392:BF392" si="1543">O391*(1-O436)</f>
        <v>4.8943750000000259</v>
      </c>
      <c r="P392" s="54">
        <f t="shared" si="1543"/>
        <v>14.886250000000008</v>
      </c>
      <c r="Q392" s="54">
        <f t="shared" si="1543"/>
        <v>32.818125000000016</v>
      </c>
      <c r="R392" s="54">
        <f t="shared" si="1543"/>
        <v>61.883125000000021</v>
      </c>
      <c r="S392" s="54">
        <f t="shared" si="1543"/>
        <v>73.466874999999987</v>
      </c>
      <c r="T392" s="54">
        <f t="shared" si="1543"/>
        <v>82.412499999999994</v>
      </c>
      <c r="U392" s="54">
        <f t="shared" si="1543"/>
        <v>85.371250000000018</v>
      </c>
      <c r="V392" s="54">
        <f t="shared" si="1543"/>
        <v>97.000000000000014</v>
      </c>
      <c r="W392" s="54">
        <f t="shared" si="1543"/>
        <v>99.540000000000049</v>
      </c>
      <c r="X392" s="54">
        <f t="shared" si="1543"/>
        <v>76.601250000000022</v>
      </c>
      <c r="Y392" s="54">
        <f t="shared" si="1543"/>
        <v>63.183749999999996</v>
      </c>
      <c r="Z392" s="54">
        <f t="shared" si="1543"/>
        <v>62.318125000000009</v>
      </c>
      <c r="AA392" s="54">
        <f t="shared" si="1543"/>
        <v>59.332499999999996</v>
      </c>
      <c r="AB392" s="54">
        <f t="shared" si="1543"/>
        <v>44.128750000000025</v>
      </c>
      <c r="AC392" s="54">
        <f t="shared" si="1543"/>
        <v>38.594374999999978</v>
      </c>
      <c r="AD392" s="54">
        <f t="shared" si="1543"/>
        <v>42.170624999999966</v>
      </c>
      <c r="AE392" s="54">
        <f t="shared" si="1543"/>
        <v>36.735000000000007</v>
      </c>
      <c r="AF392" s="54">
        <f t="shared" si="1543"/>
        <v>54.516250000000028</v>
      </c>
      <c r="AG392" s="54">
        <f t="shared" si="1543"/>
        <v>67.606250000000017</v>
      </c>
      <c r="AH392" s="54">
        <f t="shared" si="1543"/>
        <v>77.28249999999997</v>
      </c>
      <c r="AI392" s="54">
        <f t="shared" si="1543"/>
        <v>14.958125000000015</v>
      </c>
      <c r="AJ392" s="54">
        <f t="shared" si="1543"/>
        <v>-22.66500000000002</v>
      </c>
      <c r="AK392" s="54">
        <f t="shared" si="1543"/>
        <v>-49.278750000000002</v>
      </c>
      <c r="AL392" s="54">
        <f t="shared" si="1543"/>
        <v>-52.852499999999985</v>
      </c>
      <c r="AM392" s="54">
        <f t="shared" si="1543"/>
        <v>-68.646250000000023</v>
      </c>
      <c r="AN392" s="54">
        <f t="shared" si="1543"/>
        <v>-81.094374999999985</v>
      </c>
      <c r="AO392" s="54">
        <f t="shared" si="1543"/>
        <v>-77.842500000000001</v>
      </c>
      <c r="AP392" s="54">
        <f t="shared" si="1543"/>
        <v>-71.528124999999989</v>
      </c>
      <c r="AQ392" s="54">
        <f t="shared" si="1543"/>
        <v>-61.683125000000004</v>
      </c>
      <c r="AR392" s="54">
        <f t="shared" si="1543"/>
        <v>-37.540000000000006</v>
      </c>
      <c r="AS392" s="54">
        <f t="shared" si="1543"/>
        <v>-17.854375000000019</v>
      </c>
      <c r="AT392" s="54">
        <f t="shared" si="1543"/>
        <v>-13.381875000000027</v>
      </c>
      <c r="AU392" s="54">
        <f t="shared" si="1543"/>
        <v>-19.627100661224485</v>
      </c>
      <c r="AV392" s="54">
        <f t="shared" si="1543"/>
        <v>-0.21550101661876284</v>
      </c>
      <c r="AW392" s="54">
        <f t="shared" si="1543"/>
        <v>22.331649795576908</v>
      </c>
      <c r="AX392" s="54">
        <f t="shared" si="1543"/>
        <v>38.706113545449639</v>
      </c>
      <c r="AY392" s="54">
        <f t="shared" si="1543"/>
        <v>46.073215719705509</v>
      </c>
      <c r="AZ392" s="54">
        <f t="shared" si="1543"/>
        <v>59.443868315091052</v>
      </c>
      <c r="BA392" s="54">
        <f t="shared" si="1543"/>
        <v>72.418939404038355</v>
      </c>
      <c r="BB392" s="54">
        <f t="shared" si="1543"/>
        <v>76.023077015743652</v>
      </c>
      <c r="BC392" s="54">
        <f t="shared" si="1543"/>
        <v>80.120878505713577</v>
      </c>
      <c r="BD392" s="54">
        <f t="shared" si="1543"/>
        <v>84.041024778452567</v>
      </c>
      <c r="BE392" s="54">
        <f t="shared" si="1543"/>
        <v>89.533350260342061</v>
      </c>
      <c r="BF392" s="54">
        <f t="shared" si="1543"/>
        <v>93.274334664754633</v>
      </c>
      <c r="BI392">
        <f t="shared" si="1391"/>
        <v>385</v>
      </c>
    </row>
    <row r="393" spans="1:61" hidden="1" outlineLevel="2">
      <c r="A393" s="35"/>
      <c r="B393" s="29" t="s">
        <v>237</v>
      </c>
      <c r="C393" s="68">
        <f t="shared" ref="C393:M393" si="1544">C392/C16</f>
        <v>7.8255143270598571E-2</v>
      </c>
      <c r="D393" s="68">
        <f t="shared" si="1544"/>
        <v>0.13182312506552171</v>
      </c>
      <c r="E393" s="68">
        <f t="shared" si="1544"/>
        <v>0.11075918865071566</v>
      </c>
      <c r="F393" s="68">
        <f t="shared" si="1544"/>
        <v>6.9498227896808665E-2</v>
      </c>
      <c r="G393" s="68">
        <f t="shared" si="1544"/>
        <v>7.4204401797321504E-2</v>
      </c>
      <c r="H393" s="68">
        <f t="shared" si="1544"/>
        <v>-6.0290658740483345E-2</v>
      </c>
      <c r="I393" s="68">
        <f t="shared" si="1544"/>
        <v>-0.3355849740775686</v>
      </c>
      <c r="J393" s="68">
        <f t="shared" si="1544"/>
        <v>-5.5357177712412907E-2</v>
      </c>
      <c r="K393" s="68">
        <f t="shared" si="1544"/>
        <v>1.1749860696380794E-2</v>
      </c>
      <c r="L393" s="68">
        <f t="shared" si="1544"/>
        <v>5.8742978648980482E-2</v>
      </c>
      <c r="M393" s="68">
        <f t="shared" si="1544"/>
        <v>7.2665857161236386E-2</v>
      </c>
      <c r="O393" s="68">
        <f t="shared" ref="O393:BF393" si="1545">O392/O16</f>
        <v>1.8020659209567177E-2</v>
      </c>
      <c r="P393" s="68">
        <f t="shared" si="1545"/>
        <v>4.8490677281492707E-2</v>
      </c>
      <c r="Q393" s="68">
        <f t="shared" si="1545"/>
        <v>8.6668422845643786E-2</v>
      </c>
      <c r="R393" s="68">
        <f t="shared" si="1545"/>
        <v>0.12237654198917101</v>
      </c>
      <c r="S393" s="68">
        <f t="shared" si="1545"/>
        <v>0.12947895150545288</v>
      </c>
      <c r="T393" s="68">
        <f t="shared" si="1545"/>
        <v>0.13733951711817405</v>
      </c>
      <c r="U393" s="68">
        <f t="shared" si="1545"/>
        <v>0.12669590756097998</v>
      </c>
      <c r="V393" s="68">
        <f t="shared" si="1545"/>
        <v>0.13385827858253746</v>
      </c>
      <c r="W393" s="68">
        <f t="shared" si="1545"/>
        <v>0.13344576704503566</v>
      </c>
      <c r="X393" s="68">
        <f t="shared" si="1545"/>
        <v>0.11246498373248455</v>
      </c>
      <c r="Y393" s="68">
        <f t="shared" si="1545"/>
        <v>9.8167661284183014E-2</v>
      </c>
      <c r="Z393" s="68">
        <f t="shared" si="1545"/>
        <v>9.547012638835696E-2</v>
      </c>
      <c r="AA393" s="68">
        <f t="shared" si="1545"/>
        <v>8.8949071943319649E-2</v>
      </c>
      <c r="AB393" s="68">
        <f t="shared" si="1545"/>
        <v>6.6931107390083108E-2</v>
      </c>
      <c r="AC393" s="68">
        <f t="shared" si="1545"/>
        <v>5.7766757420592778E-2</v>
      </c>
      <c r="AD393" s="68">
        <f t="shared" si="1545"/>
        <v>6.425089473034673E-2</v>
      </c>
      <c r="AE393" s="68">
        <f t="shared" si="1545"/>
        <v>5.416799377145487E-2</v>
      </c>
      <c r="AF393" s="68">
        <f t="shared" si="1545"/>
        <v>7.1989934977471914E-2</v>
      </c>
      <c r="AG393" s="68">
        <f t="shared" si="1545"/>
        <v>7.9947979489799315E-2</v>
      </c>
      <c r="AH393" s="68">
        <f t="shared" si="1545"/>
        <v>8.5753296368585183E-2</v>
      </c>
      <c r="AI393" s="68">
        <f t="shared" si="1545"/>
        <v>2.3302708344692776E-2</v>
      </c>
      <c r="AJ393" s="68">
        <f t="shared" si="1545"/>
        <v>-4.9577719884242137E-2</v>
      </c>
      <c r="AK393" s="68">
        <f t="shared" si="1545"/>
        <v>-0.12527933067413075</v>
      </c>
      <c r="AL393" s="68">
        <f t="shared" si="1545"/>
        <v>-0.16045422944628446</v>
      </c>
      <c r="AM393" s="68">
        <f t="shared" si="1545"/>
        <v>-0.27222966890463718</v>
      </c>
      <c r="AN393" s="68">
        <f t="shared" si="1545"/>
        <v>-0.430236274988328</v>
      </c>
      <c r="AO393" s="68">
        <f t="shared" si="1545"/>
        <v>-0.37973062626223208</v>
      </c>
      <c r="AP393" s="68">
        <f t="shared" si="1545"/>
        <v>-0.29115768028396044</v>
      </c>
      <c r="AQ393" s="68">
        <f t="shared" si="1545"/>
        <v>-0.20212378143688045</v>
      </c>
      <c r="AR393" s="68">
        <f t="shared" si="1545"/>
        <v>-6.4815102574993205E-2</v>
      </c>
      <c r="AS393" s="68">
        <f t="shared" si="1545"/>
        <v>-2.6065199587146686E-2</v>
      </c>
      <c r="AT393" s="68">
        <f t="shared" ref="AT393" si="1546">AT392/AT16</f>
        <v>-1.6996439884470919E-2</v>
      </c>
      <c r="AU393" s="68">
        <f t="shared" si="1545"/>
        <v>-2.5253816391522195E-2</v>
      </c>
      <c r="AV393" s="68">
        <f t="shared" si="1545"/>
        <v>-2.5348538543750626E-4</v>
      </c>
      <c r="AW393" s="68">
        <f t="shared" si="1545"/>
        <v>2.4448946950677793E-2</v>
      </c>
      <c r="AX393" s="68">
        <f t="shared" si="1545"/>
        <v>4.009880806366585E-2</v>
      </c>
      <c r="AY393" s="68">
        <f t="shared" si="1545"/>
        <v>4.6003626376213337E-2</v>
      </c>
      <c r="AZ393" s="68">
        <f t="shared" si="1545"/>
        <v>5.6490287723987676E-2</v>
      </c>
      <c r="BA393" s="68">
        <f t="shared" si="1545"/>
        <v>6.4931561944451585E-2</v>
      </c>
      <c r="BB393" s="68">
        <f t="shared" si="1545"/>
        <v>6.5871290465196214E-2</v>
      </c>
      <c r="BC393" s="68">
        <f t="shared" si="1545"/>
        <v>6.8075827220599169E-2</v>
      </c>
      <c r="BD393" s="68">
        <f t="shared" si="1545"/>
        <v>7.0849508496180755E-2</v>
      </c>
      <c r="BE393" s="68">
        <f t="shared" si="1545"/>
        <v>7.4551442477753888E-2</v>
      </c>
      <c r="BF393" s="68">
        <f t="shared" si="1545"/>
        <v>7.7036763593536076E-2</v>
      </c>
      <c r="BI393">
        <f t="shared" si="1391"/>
        <v>386</v>
      </c>
    </row>
    <row r="394" spans="1:61" hidden="1" outlineLevel="2">
      <c r="A394" s="40"/>
      <c r="B394" s="43"/>
      <c r="BI394">
        <f t="shared" si="1391"/>
        <v>387</v>
      </c>
    </row>
    <row r="395" spans="1:61" hidden="1" outlineLevel="2">
      <c r="A395" s="40"/>
      <c r="B395" s="43" t="s">
        <v>238</v>
      </c>
      <c r="C395" s="68">
        <f t="shared" ref="C395:M395" si="1547">C16/AVERAGE(B389:C389)</f>
        <v>0.57173770735262786</v>
      </c>
      <c r="D395" s="68">
        <f t="shared" si="1547"/>
        <v>0.92400984528072916</v>
      </c>
      <c r="E395" s="68">
        <f t="shared" si="1547"/>
        <v>0.87515145321985421</v>
      </c>
      <c r="F395" s="68">
        <f t="shared" si="1547"/>
        <v>0.82481028901288056</v>
      </c>
      <c r="G395" s="68">
        <f t="shared" si="1547"/>
        <v>0.90312525985180681</v>
      </c>
      <c r="H395" s="68">
        <f t="shared" si="1547"/>
        <v>0.50952002654702788</v>
      </c>
      <c r="I395" s="68">
        <f t="shared" si="1547"/>
        <v>0.29152674644476978</v>
      </c>
      <c r="J395" s="68">
        <f t="shared" si="1547"/>
        <v>0.61867750910715902</v>
      </c>
      <c r="K395" s="68">
        <f t="shared" si="1547"/>
        <v>0.73374541083761669</v>
      </c>
      <c r="L395" s="68">
        <f t="shared" si="1547"/>
        <v>0.91281118300762565</v>
      </c>
      <c r="M395" s="68">
        <f t="shared" si="1547"/>
        <v>1.0287305369919937</v>
      </c>
      <c r="O395" s="68">
        <f t="shared" ref="O395:BF395" si="1548">O16*4/AVERAGE(N389:O389)</f>
        <v>0.53693586475284649</v>
      </c>
      <c r="P395" s="68">
        <f t="shared" si="1548"/>
        <v>0.60854346924904623</v>
      </c>
      <c r="Q395" s="68">
        <f t="shared" si="1548"/>
        <v>0.72598765393635645</v>
      </c>
      <c r="R395" s="68">
        <f t="shared" si="1548"/>
        <v>0.85726879266822753</v>
      </c>
      <c r="S395" s="68">
        <f t="shared" si="1548"/>
        <v>0.87673205606240145</v>
      </c>
      <c r="T395" s="68">
        <f t="shared" si="1548"/>
        <v>0.90551334678631734</v>
      </c>
      <c r="U395" s="68">
        <f t="shared" si="1548"/>
        <v>0.97840320574181761</v>
      </c>
      <c r="V395" s="68">
        <f t="shared" si="1548"/>
        <v>0.99572368810902911</v>
      </c>
      <c r="W395" s="68">
        <f t="shared" si="1548"/>
        <v>0.97980948502832788</v>
      </c>
      <c r="X395" s="68">
        <f t="shared" si="1548"/>
        <v>0.87194417658510803</v>
      </c>
      <c r="Y395" s="68">
        <f t="shared" si="1548"/>
        <v>0.81540930267397616</v>
      </c>
      <c r="Z395" s="68">
        <f t="shared" si="1548"/>
        <v>0.81729382464242639</v>
      </c>
      <c r="AA395" s="68">
        <f t="shared" si="1548"/>
        <v>0.823316134602466</v>
      </c>
      <c r="AB395" s="68">
        <f t="shared" si="1548"/>
        <v>0.80761229303561533</v>
      </c>
      <c r="AC395" s="68">
        <f t="shared" si="1548"/>
        <v>0.82071330429767464</v>
      </c>
      <c r="AD395" s="68">
        <f t="shared" si="1548"/>
        <v>0.81619131425021973</v>
      </c>
      <c r="AE395" s="68">
        <f t="shared" si="1548"/>
        <v>0.8449491287219012</v>
      </c>
      <c r="AF395" s="68">
        <f t="shared" si="1548"/>
        <v>0.91292641640763883</v>
      </c>
      <c r="AG395" s="68">
        <f t="shared" si="1548"/>
        <v>0.97760843864564206</v>
      </c>
      <c r="AH395" s="68">
        <f t="shared" si="1548"/>
        <v>0.9803632336727871</v>
      </c>
      <c r="AI395" s="68">
        <f t="shared" si="1548"/>
        <v>0.68107362957082163</v>
      </c>
      <c r="AJ395" s="68">
        <f t="shared" si="1548"/>
        <v>0.49720955127278732</v>
      </c>
      <c r="AK395" s="68">
        <f t="shared" si="1548"/>
        <v>0.44423613967850967</v>
      </c>
      <c r="AL395" s="68">
        <f t="shared" si="1548"/>
        <v>0.39199353446833179</v>
      </c>
      <c r="AM395" s="68">
        <f t="shared" si="1548"/>
        <v>0.31289424822005196</v>
      </c>
      <c r="AN395" s="68">
        <f t="shared" si="1548"/>
        <v>0.24464873878628648</v>
      </c>
      <c r="AO395" s="68">
        <f t="shared" si="1548"/>
        <v>0.277037731278374</v>
      </c>
      <c r="AP395" s="68">
        <f t="shared" si="1548"/>
        <v>0.3440418701818499</v>
      </c>
      <c r="AQ395" s="68">
        <f t="shared" si="1548"/>
        <v>0.43553388490730771</v>
      </c>
      <c r="AR395" s="68">
        <f t="shared" si="1548"/>
        <v>0.65400351117588817</v>
      </c>
      <c r="AS395" s="68">
        <f t="shared" si="1548"/>
        <v>0.6379898062028273</v>
      </c>
      <c r="AT395" s="68">
        <f t="shared" si="1548"/>
        <v>0.69181904173185405</v>
      </c>
      <c r="AU395" s="68">
        <f t="shared" si="1548"/>
        <v>0.6488480976309261</v>
      </c>
      <c r="AV395" s="68">
        <f t="shared" si="1548"/>
        <v>0.71266868636759517</v>
      </c>
      <c r="AW395" s="68">
        <f t="shared" si="1548"/>
        <v>0.76704861865353369</v>
      </c>
      <c r="AX395" s="68">
        <f t="shared" si="1548"/>
        <v>0.81207972977006326</v>
      </c>
      <c r="AY395" s="68">
        <f t="shared" si="1548"/>
        <v>0.84598478727646609</v>
      </c>
      <c r="AZ395" s="68">
        <f t="shared" si="1548"/>
        <v>0.89491664968216578</v>
      </c>
      <c r="BA395" s="68">
        <f t="shared" si="1548"/>
        <v>0.94979383407434048</v>
      </c>
      <c r="BB395" s="68">
        <f t="shared" si="1548"/>
        <v>0.97906321930869999</v>
      </c>
      <c r="BC395" s="68">
        <f t="shared" si="1548"/>
        <v>1.0006983050553351</v>
      </c>
      <c r="BD395" s="68">
        <f t="shared" si="1548"/>
        <v>1.0171643915986248</v>
      </c>
      <c r="BE395" s="68">
        <f t="shared" si="1548"/>
        <v>1.0396032659668963</v>
      </c>
      <c r="BF395" s="68">
        <f t="shared" si="1548"/>
        <v>1.0574887764723924</v>
      </c>
      <c r="BI395">
        <f t="shared" si="1391"/>
        <v>388</v>
      </c>
    </row>
    <row r="396" spans="1:61" hidden="1" outlineLevel="2">
      <c r="A396" s="35"/>
      <c r="B396" s="29" t="s">
        <v>239</v>
      </c>
      <c r="C396" s="68">
        <f>C392/AVERAGE(B389:C389)</f>
        <v>4.4741416202083446E-2</v>
      </c>
      <c r="D396" s="68">
        <f t="shared" ref="D396:M396" si="1549">D392/AVERAGE(C389:D389)</f>
        <v>0.12180586539621494</v>
      </c>
      <c r="E396" s="68">
        <f t="shared" si="1549"/>
        <v>9.6931064905125791E-2</v>
      </c>
      <c r="F396" s="68">
        <f t="shared" si="1549"/>
        <v>5.7322853437449792E-2</v>
      </c>
      <c r="G396" s="68">
        <f t="shared" si="1549"/>
        <v>6.7015869655353874E-2</v>
      </c>
      <c r="H396" s="68">
        <f t="shared" si="1549"/>
        <v>-3.0719298041988873E-2</v>
      </c>
      <c r="I396" s="68">
        <f t="shared" si="1549"/>
        <v>-9.7831995648585982E-2</v>
      </c>
      <c r="J396" s="68">
        <f t="shared" si="1549"/>
        <v>-3.4248240818317954E-2</v>
      </c>
      <c r="K396" s="68">
        <f t="shared" si="1549"/>
        <v>8.6214063639506906E-3</v>
      </c>
      <c r="L396" s="68">
        <f t="shared" si="1549"/>
        <v>5.3621247833967565E-2</v>
      </c>
      <c r="M396" s="68">
        <f t="shared" si="1549"/>
        <v>7.4753586258462207E-2</v>
      </c>
      <c r="O396" s="68">
        <f>O392*4/AVERAGE(N389:O389)</f>
        <v>9.6759382361053005E-3</v>
      </c>
      <c r="P396" s="68">
        <f t="shared" ref="P396:BF396" si="1550">P392*4/AVERAGE(O389:P389)</f>
        <v>2.950868497911548E-2</v>
      </c>
      <c r="Q396" s="68">
        <f t="shared" si="1550"/>
        <v>6.2920204972073054E-2</v>
      </c>
      <c r="R396" s="68">
        <f t="shared" si="1550"/>
        <v>0.10490959040196929</v>
      </c>
      <c r="S396" s="68">
        <f t="shared" si="1550"/>
        <v>0.11351834737017968</v>
      </c>
      <c r="T396" s="68">
        <f t="shared" si="1550"/>
        <v>0.12436276579169452</v>
      </c>
      <c r="U396" s="68">
        <f t="shared" si="1550"/>
        <v>0.1239596821120318</v>
      </c>
      <c r="V396" s="68">
        <f t="shared" si="1550"/>
        <v>0.13328585883413005</v>
      </c>
      <c r="W396" s="68">
        <f t="shared" si="1550"/>
        <v>0.13075142828760658</v>
      </c>
      <c r="X396" s="68">
        <f t="shared" si="1550"/>
        <v>9.8063187635278798E-2</v>
      </c>
      <c r="Y396" s="68">
        <f t="shared" si="1550"/>
        <v>8.0046824232870767E-2</v>
      </c>
      <c r="Z396" s="68">
        <f t="shared" si="1550"/>
        <v>7.8027144735036094E-2</v>
      </c>
      <c r="AA396" s="68">
        <f t="shared" si="1550"/>
        <v>7.3233206088850603E-2</v>
      </c>
      <c r="AB396" s="68">
        <f t="shared" si="1550"/>
        <v>5.405438511471803E-2</v>
      </c>
      <c r="AC396" s="68">
        <f t="shared" si="1550"/>
        <v>4.7409946361216912E-2</v>
      </c>
      <c r="AD396" s="68">
        <f t="shared" si="1550"/>
        <v>5.2441022211714219E-2</v>
      </c>
      <c r="AE396" s="68">
        <f t="shared" si="1550"/>
        <v>4.5769199141804162E-2</v>
      </c>
      <c r="AF396" s="68">
        <f t="shared" si="1550"/>
        <v>6.5721513356402375E-2</v>
      </c>
      <c r="AG396" s="68">
        <f t="shared" si="1550"/>
        <v>7.8157819401896519E-2</v>
      </c>
      <c r="AH396" s="68">
        <f t="shared" si="1550"/>
        <v>8.4069378926007049E-2</v>
      </c>
      <c r="AI396" s="68">
        <f t="shared" si="1550"/>
        <v>1.587086015115018E-2</v>
      </c>
      <c r="AJ396" s="68">
        <f t="shared" si="1550"/>
        <v>-2.4650515856771981E-2</v>
      </c>
      <c r="AK396" s="68">
        <f t="shared" si="1550"/>
        <v>-5.5653606240183347E-2</v>
      </c>
      <c r="AL396" s="68">
        <f t="shared" si="1550"/>
        <v>-6.2897020521041735E-2</v>
      </c>
      <c r="AM396" s="68">
        <f t="shared" si="1550"/>
        <v>-8.5179097595110109E-2</v>
      </c>
      <c r="AN396" s="68">
        <f t="shared" si="1550"/>
        <v>-0.10525676205600439</v>
      </c>
      <c r="AO396" s="68">
        <f t="shared" si="1550"/>
        <v>-0.1051997111966049</v>
      </c>
      <c r="AP396" s="68">
        <f t="shared" si="1550"/>
        <v>-0.10017043284270286</v>
      </c>
      <c r="AQ396" s="68">
        <f t="shared" si="1550"/>
        <v>-8.8031755761360103E-2</v>
      </c>
      <c r="AR396" s="68">
        <f t="shared" si="1550"/>
        <v>-4.2389304661270902E-2</v>
      </c>
      <c r="AS396" s="68">
        <f t="shared" si="1550"/>
        <v>-1.6629331633241727E-2</v>
      </c>
      <c r="AT396" s="68">
        <f t="shared" si="1550"/>
        <v>-1.1758460753727737E-2</v>
      </c>
      <c r="AU396" s="68">
        <f t="shared" si="1550"/>
        <v>-1.6385890723559875E-2</v>
      </c>
      <c r="AV396" s="68">
        <f t="shared" si="1550"/>
        <v>-1.8065109665313113E-4</v>
      </c>
      <c r="AW396" s="68">
        <f t="shared" si="1550"/>
        <v>1.8753530986050926E-2</v>
      </c>
      <c r="AX396" s="68">
        <f t="shared" si="1550"/>
        <v>3.2563429216443403E-2</v>
      </c>
      <c r="AY396" s="68">
        <f t="shared" si="1550"/>
        <v>3.8918368073826863E-2</v>
      </c>
      <c r="AZ396" s="68">
        <f t="shared" si="1550"/>
        <v>5.0554099029532631E-2</v>
      </c>
      <c r="BA396" s="68">
        <f t="shared" si="1550"/>
        <v>6.1671597171656212E-2</v>
      </c>
      <c r="BB396" s="68">
        <f t="shared" si="1550"/>
        <v>6.4492157702873476E-2</v>
      </c>
      <c r="BC396" s="68">
        <f t="shared" si="1550"/>
        <v>6.8123364914893431E-2</v>
      </c>
      <c r="BD396" s="68">
        <f t="shared" si="1550"/>
        <v>7.2065597204579279E-2</v>
      </c>
      <c r="BE396" s="68">
        <f t="shared" si="1550"/>
        <v>7.750392308241616E-2</v>
      </c>
      <c r="BF396" s="68">
        <f t="shared" si="1550"/>
        <v>8.1465512875921409E-2</v>
      </c>
      <c r="BI396">
        <f t="shared" si="1391"/>
        <v>389</v>
      </c>
    </row>
    <row r="397" spans="1:61" hidden="1" outlineLevel="2">
      <c r="A397" s="40"/>
      <c r="B397" s="43" t="s">
        <v>240</v>
      </c>
      <c r="C397" s="68">
        <f t="shared" ref="C397:M397" si="1551">C41/AVERAGE(B328:C328)</f>
        <v>5.0408048612022201E-2</v>
      </c>
      <c r="D397" s="68">
        <f t="shared" si="1551"/>
        <v>0.14139590726489604</v>
      </c>
      <c r="E397" s="68">
        <f t="shared" si="1551"/>
        <v>0.11227945385249</v>
      </c>
      <c r="F397" s="68">
        <f t="shared" si="1551"/>
        <v>6.3917382882059823E-2</v>
      </c>
      <c r="G397" s="68">
        <f t="shared" si="1551"/>
        <v>8.1787913646650293E-2</v>
      </c>
      <c r="H397" s="68">
        <f t="shared" si="1551"/>
        <v>-5.0826712781425643E-2</v>
      </c>
      <c r="I397" s="68">
        <f t="shared" si="1551"/>
        <v>-0.13826070432476656</v>
      </c>
      <c r="J397" s="68">
        <f t="shared" si="1551"/>
        <v>-5.1325447340383162E-2</v>
      </c>
      <c r="K397" s="68">
        <f t="shared" si="1551"/>
        <v>7.4594155131067958E-4</v>
      </c>
      <c r="L397" s="68">
        <f t="shared" si="1551"/>
        <v>5.0338950499556549E-2</v>
      </c>
      <c r="M397" s="68">
        <f t="shared" si="1551"/>
        <v>6.9341696865621388E-2</v>
      </c>
      <c r="O397" s="68">
        <f t="shared" ref="O397:BF397" si="1552">O41*4/AVERAGE(N328:O328)</f>
        <v>8.0222230526801781E-3</v>
      </c>
      <c r="P397" s="68">
        <f t="shared" si="1552"/>
        <v>3.1705414975221828E-2</v>
      </c>
      <c r="Q397" s="68">
        <f t="shared" si="1552"/>
        <v>6.1027289884576848E-2</v>
      </c>
      <c r="R397" s="68">
        <f t="shared" si="1552"/>
        <v>0.10568876560538272</v>
      </c>
      <c r="S397" s="68">
        <f t="shared" si="1552"/>
        <v>0.12885527126306962</v>
      </c>
      <c r="T397" s="68">
        <f t="shared" si="1552"/>
        <v>0.14167330089610897</v>
      </c>
      <c r="U397" s="68">
        <f t="shared" si="1552"/>
        <v>0.14170224620447142</v>
      </c>
      <c r="V397" s="68">
        <f t="shared" si="1552"/>
        <v>0.15324786926473555</v>
      </c>
      <c r="W397" s="68">
        <f t="shared" si="1552"/>
        <v>0.15166164955469655</v>
      </c>
      <c r="X397" s="68">
        <f t="shared" si="1552"/>
        <v>0.11394704332274683</v>
      </c>
      <c r="Y397" s="68">
        <f t="shared" si="1552"/>
        <v>8.9818830211942799E-2</v>
      </c>
      <c r="Z397" s="68">
        <f t="shared" si="1552"/>
        <v>8.8341998079406639E-2</v>
      </c>
      <c r="AA397" s="68">
        <f t="shared" si="1552"/>
        <v>8.4239858127075129E-2</v>
      </c>
      <c r="AB397" s="68">
        <f t="shared" si="1552"/>
        <v>6.0061438189906703E-2</v>
      </c>
      <c r="AC397" s="68">
        <f t="shared" si="1552"/>
        <v>5.3686812920855191E-2</v>
      </c>
      <c r="AD397" s="68">
        <f t="shared" si="1552"/>
        <v>5.6338765702183539E-2</v>
      </c>
      <c r="AE397" s="68">
        <f t="shared" si="1552"/>
        <v>4.9036986894452933E-2</v>
      </c>
      <c r="AF397" s="68">
        <f t="shared" si="1552"/>
        <v>7.7036582903947021E-2</v>
      </c>
      <c r="AG397" s="68">
        <f t="shared" si="1552"/>
        <v>9.6522865637830954E-2</v>
      </c>
      <c r="AH397" s="68">
        <f t="shared" si="1552"/>
        <v>0.10324165216893565</v>
      </c>
      <c r="AI397" s="68">
        <f t="shared" si="1552"/>
        <v>1.2441817754552309E-2</v>
      </c>
      <c r="AJ397" s="68">
        <f t="shared" si="1552"/>
        <v>-3.5577598390718938E-2</v>
      </c>
      <c r="AK397" s="68">
        <f t="shared" si="1552"/>
        <v>-8.5262103369836861E-2</v>
      </c>
      <c r="AL397" s="68">
        <f t="shared" si="1552"/>
        <v>-9.815778505874545E-2</v>
      </c>
      <c r="AM397" s="68">
        <f t="shared" si="1552"/>
        <v>-0.12704984523660795</v>
      </c>
      <c r="AN397" s="68">
        <f t="shared" si="1552"/>
        <v>-0.14619938372363075</v>
      </c>
      <c r="AO397" s="68">
        <f t="shared" si="1552"/>
        <v>-0.14218383751351052</v>
      </c>
      <c r="AP397" s="68">
        <f t="shared" si="1552"/>
        <v>-0.13805718534393208</v>
      </c>
      <c r="AQ397" s="68">
        <f t="shared" si="1552"/>
        <v>-0.10975548908801093</v>
      </c>
      <c r="AR397" s="68">
        <f t="shared" si="1552"/>
        <v>-5.4054742705208714E-2</v>
      </c>
      <c r="AS397" s="68">
        <f t="shared" si="1552"/>
        <v>-2.9998592429210665E-2</v>
      </c>
      <c r="AT397" s="68">
        <f t="shared" si="1552"/>
        <v>-2.4366345266011946E-2</v>
      </c>
      <c r="AU397" s="68">
        <f t="shared" si="1552"/>
        <v>-2.7029596282034545E-2</v>
      </c>
      <c r="AV397" s="68">
        <f t="shared" si="1552"/>
        <v>-9.5822564343789468E-3</v>
      </c>
      <c r="AW397" s="68">
        <f t="shared" si="1552"/>
        <v>1.2032971350918695E-2</v>
      </c>
      <c r="AX397" s="68">
        <f t="shared" si="1552"/>
        <v>2.7688469185283421E-2</v>
      </c>
      <c r="AY397" s="68">
        <f t="shared" si="1552"/>
        <v>3.4579351542631323E-2</v>
      </c>
      <c r="AZ397" s="68">
        <f t="shared" si="1552"/>
        <v>4.6984954095269989E-2</v>
      </c>
      <c r="BA397" s="68">
        <f t="shared" si="1552"/>
        <v>5.8662299432764624E-2</v>
      </c>
      <c r="BB397" s="68">
        <f t="shared" si="1552"/>
        <v>6.1298723774149043E-2</v>
      </c>
      <c r="BC397" s="68">
        <f t="shared" si="1552"/>
        <v>6.4267952566583769E-2</v>
      </c>
      <c r="BD397" s="68">
        <f t="shared" si="1552"/>
        <v>6.6942172337622535E-2</v>
      </c>
      <c r="BE397" s="68">
        <f t="shared" si="1552"/>
        <v>7.087025434082786E-2</v>
      </c>
      <c r="BF397" s="68">
        <f t="shared" si="1552"/>
        <v>7.5427234705389118E-2</v>
      </c>
      <c r="BI397">
        <f t="shared" si="1391"/>
        <v>390</v>
      </c>
    </row>
    <row r="398" spans="1:61" hidden="1" outlineLevel="2">
      <c r="A398" s="40"/>
      <c r="B398" s="43" t="s">
        <v>241</v>
      </c>
      <c r="C398" s="68">
        <f t="shared" ref="C398:M398" si="1553">C48/AVERAGE(B328:C328)</f>
        <v>5.3456585209317786E-2</v>
      </c>
      <c r="D398" s="68">
        <f t="shared" si="1553"/>
        <v>0.13707342188044058</v>
      </c>
      <c r="E398" s="68">
        <f t="shared" si="1553"/>
        <v>0.11613580626096516</v>
      </c>
      <c r="F398" s="68">
        <f t="shared" si="1553"/>
        <v>6.8775948949108046E-2</v>
      </c>
      <c r="G398" s="68">
        <f t="shared" si="1553"/>
        <v>5.771392101496927E-2</v>
      </c>
      <c r="H398" s="68">
        <f t="shared" si="1553"/>
        <v>-0.10773337411177472</v>
      </c>
      <c r="I398" s="68">
        <f t="shared" si="1553"/>
        <v>-0.13249214373406268</v>
      </c>
      <c r="J398" s="68">
        <f t="shared" si="1553"/>
        <v>1.8969007177891111E-3</v>
      </c>
      <c r="K398" s="68">
        <f t="shared" si="1553"/>
        <v>7.4594155131067958E-4</v>
      </c>
      <c r="L398" s="68">
        <f t="shared" si="1553"/>
        <v>5.0338950499556549E-2</v>
      </c>
      <c r="M398" s="68">
        <f t="shared" si="1553"/>
        <v>6.9341696865621388E-2</v>
      </c>
      <c r="O398" s="68">
        <f t="shared" ref="O398:BF398" si="1554">O48*4/AVERAGE(N328:O328)</f>
        <v>8.0222230526801781E-3</v>
      </c>
      <c r="P398" s="68">
        <f t="shared" si="1554"/>
        <v>5.630247133680237E-2</v>
      </c>
      <c r="Q398" s="68">
        <f t="shared" si="1554"/>
        <v>5.5389185918599697E-2</v>
      </c>
      <c r="R398" s="68">
        <f t="shared" si="1554"/>
        <v>9.9689338521977089E-2</v>
      </c>
      <c r="S398" s="68">
        <f t="shared" si="1554"/>
        <v>0.12819497323386581</v>
      </c>
      <c r="T398" s="68">
        <f t="shared" si="1554"/>
        <v>0.14167330089610897</v>
      </c>
      <c r="U398" s="68">
        <f t="shared" si="1554"/>
        <v>0.13718133037576138</v>
      </c>
      <c r="V398" s="68">
        <f t="shared" si="1554"/>
        <v>0.14175771802359691</v>
      </c>
      <c r="W398" s="68">
        <f t="shared" si="1554"/>
        <v>0.15166164955469655</v>
      </c>
      <c r="X398" s="68">
        <f t="shared" si="1554"/>
        <v>0.14117813979973909</v>
      </c>
      <c r="Y398" s="68">
        <f t="shared" si="1554"/>
        <v>7.7068166557345455E-2</v>
      </c>
      <c r="Z398" s="68">
        <f t="shared" si="1554"/>
        <v>8.9098882176798705E-2</v>
      </c>
      <c r="AA398" s="68">
        <f t="shared" si="1554"/>
        <v>8.4239858127075129E-2</v>
      </c>
      <c r="AB398" s="68">
        <f t="shared" si="1554"/>
        <v>6.0061438189906703E-2</v>
      </c>
      <c r="AC398" s="68">
        <f t="shared" si="1554"/>
        <v>0.10874721332525979</v>
      </c>
      <c r="AD398" s="68">
        <f t="shared" si="1554"/>
        <v>2.0599752139686078E-2</v>
      </c>
      <c r="AE398" s="68">
        <f t="shared" si="1554"/>
        <v>5.1258324742542265E-2</v>
      </c>
      <c r="AF398" s="68">
        <f t="shared" si="1554"/>
        <v>7.7036582903947021E-2</v>
      </c>
      <c r="AG398" s="68">
        <f t="shared" si="1554"/>
        <v>2.2406321886613144E-2</v>
      </c>
      <c r="AH398" s="68">
        <f t="shared" si="1554"/>
        <v>7.9903282933843453E-2</v>
      </c>
      <c r="AI398" s="68">
        <f t="shared" si="1554"/>
        <v>1.2576778649384942E-2</v>
      </c>
      <c r="AJ398" s="68">
        <f t="shared" si="1554"/>
        <v>-2.6324231993132854E-2</v>
      </c>
      <c r="AK398" s="68">
        <f t="shared" si="1554"/>
        <v>-0.32874852998913107</v>
      </c>
      <c r="AL398" s="68">
        <f t="shared" si="1554"/>
        <v>-9.0378157507721116E-2</v>
      </c>
      <c r="AM398" s="68">
        <f t="shared" si="1554"/>
        <v>-0.11167436507212099</v>
      </c>
      <c r="AN398" s="68">
        <f t="shared" si="1554"/>
        <v>-0.14043839362526858</v>
      </c>
      <c r="AO398" s="68">
        <f t="shared" si="1554"/>
        <v>-0.14243551992443435</v>
      </c>
      <c r="AP398" s="68">
        <f t="shared" si="1554"/>
        <v>-0.13667100385973732</v>
      </c>
      <c r="AQ398" s="68">
        <f t="shared" si="1554"/>
        <v>-0.10351884485227376</v>
      </c>
      <c r="AR398" s="68">
        <f t="shared" si="1554"/>
        <v>-0.11744284337450706</v>
      </c>
      <c r="AS398" s="68">
        <f t="shared" si="1554"/>
        <v>-3.746384865909818E-2</v>
      </c>
      <c r="AT398" s="68">
        <f t="shared" si="1554"/>
        <v>0.2063462164197476</v>
      </c>
      <c r="AU398" s="68">
        <f t="shared" si="1554"/>
        <v>-2.7029596282034545E-2</v>
      </c>
      <c r="AV398" s="68">
        <f t="shared" si="1554"/>
        <v>-9.5822564343789468E-3</v>
      </c>
      <c r="AW398" s="68">
        <f t="shared" si="1554"/>
        <v>1.2032971350918695E-2</v>
      </c>
      <c r="AX398" s="68">
        <f t="shared" si="1554"/>
        <v>2.7688469185283421E-2</v>
      </c>
      <c r="AY398" s="68">
        <f t="shared" si="1554"/>
        <v>3.4579351542631323E-2</v>
      </c>
      <c r="AZ398" s="68">
        <f t="shared" si="1554"/>
        <v>4.6984954095269989E-2</v>
      </c>
      <c r="BA398" s="68">
        <f t="shared" si="1554"/>
        <v>5.8662299432764624E-2</v>
      </c>
      <c r="BB398" s="68">
        <f t="shared" si="1554"/>
        <v>6.1298723774149043E-2</v>
      </c>
      <c r="BC398" s="68">
        <f t="shared" si="1554"/>
        <v>6.4267952566583769E-2</v>
      </c>
      <c r="BD398" s="68">
        <f t="shared" si="1554"/>
        <v>6.6942172337622535E-2</v>
      </c>
      <c r="BE398" s="68">
        <f t="shared" si="1554"/>
        <v>7.087025434082786E-2</v>
      </c>
      <c r="BF398" s="68">
        <f t="shared" si="1554"/>
        <v>7.5427234705389118E-2</v>
      </c>
      <c r="BI398">
        <f t="shared" si="1391"/>
        <v>391</v>
      </c>
    </row>
    <row r="399" spans="1:61" hidden="1" outlineLevel="2">
      <c r="A399" s="35"/>
      <c r="B399" s="29"/>
      <c r="BI399">
        <f t="shared" si="1391"/>
        <v>392</v>
      </c>
    </row>
    <row r="400" spans="1:61" outlineLevel="1" collapsed="1">
      <c r="A400" s="40" t="s">
        <v>65</v>
      </c>
      <c r="B400" s="41" t="s">
        <v>242</v>
      </c>
      <c r="BI400">
        <f t="shared" si="1391"/>
        <v>393</v>
      </c>
    </row>
    <row r="401" spans="1:67" hidden="1" outlineLevel="2">
      <c r="A401" s="35"/>
      <c r="B401" s="29" t="s">
        <v>243</v>
      </c>
      <c r="C401" s="54">
        <f t="shared" ref="C401:M407" si="1555">INDEX($O401:$BG401,1,MATCH(C$4,$O$4:$BG$4,0))</f>
        <v>2558.7450000000003</v>
      </c>
      <c r="D401" s="54">
        <f t="shared" si="1555"/>
        <v>2995.1849999999999</v>
      </c>
      <c r="E401" s="54">
        <f t="shared" si="1555"/>
        <v>3228.6839999999993</v>
      </c>
      <c r="F401" s="54">
        <f t="shared" si="1555"/>
        <v>3198.9880000000003</v>
      </c>
      <c r="G401" s="54">
        <f t="shared" si="1555"/>
        <v>3848.2979999999998</v>
      </c>
      <c r="H401" s="54">
        <f t="shared" si="1555"/>
        <v>3302.7850000000008</v>
      </c>
      <c r="I401" s="54">
        <f t="shared" si="1555"/>
        <v>2812.0090000000009</v>
      </c>
      <c r="J401" s="54">
        <f t="shared" si="1555"/>
        <v>4806.4480000000003</v>
      </c>
      <c r="K401" s="54">
        <f t="shared" si="1555"/>
        <v>4750.0349968891551</v>
      </c>
      <c r="L401" s="54">
        <f t="shared" si="1555"/>
        <v>4722.2958687011214</v>
      </c>
      <c r="M401" s="54">
        <f t="shared" si="1555"/>
        <v>4560.7260055834868</v>
      </c>
      <c r="O401" s="54">
        <f>O389</f>
        <v>2023.3179999999998</v>
      </c>
      <c r="P401" s="54">
        <f t="shared" ref="P401:AS401" si="1556">P389</f>
        <v>2012.4429999999998</v>
      </c>
      <c r="Q401" s="54">
        <f t="shared" si="1556"/>
        <v>2160.2229999999995</v>
      </c>
      <c r="R401" s="54">
        <f t="shared" si="1556"/>
        <v>2558.7450000000003</v>
      </c>
      <c r="S401" s="54">
        <f t="shared" si="1556"/>
        <v>2618.6999999999998</v>
      </c>
      <c r="T401" s="54">
        <f t="shared" si="1556"/>
        <v>2682.7260000000006</v>
      </c>
      <c r="U401" s="54">
        <f t="shared" si="1556"/>
        <v>2826.8880000000008</v>
      </c>
      <c r="V401" s="54">
        <f t="shared" si="1556"/>
        <v>2995.1849999999999</v>
      </c>
      <c r="W401" s="54">
        <f t="shared" si="1556"/>
        <v>3095.1499999999996</v>
      </c>
      <c r="X401" s="54">
        <f t="shared" si="1556"/>
        <v>3153.983999999999</v>
      </c>
      <c r="Y401" s="54">
        <f t="shared" si="1556"/>
        <v>3160.6949999999988</v>
      </c>
      <c r="Z401" s="54">
        <f t="shared" si="1556"/>
        <v>3228.6839999999993</v>
      </c>
      <c r="AA401" s="54">
        <f t="shared" si="1556"/>
        <v>3252.8020000000015</v>
      </c>
      <c r="AB401" s="54">
        <f t="shared" si="1556"/>
        <v>3278.2129999999988</v>
      </c>
      <c r="AC401" s="54">
        <f t="shared" si="1556"/>
        <v>3234.2390000000014</v>
      </c>
      <c r="AD401" s="54">
        <f t="shared" si="1556"/>
        <v>3198.9880000000003</v>
      </c>
      <c r="AE401" s="54">
        <f t="shared" si="1556"/>
        <v>3221.9240000000004</v>
      </c>
      <c r="AF401" s="54">
        <f t="shared" si="1556"/>
        <v>3414.107</v>
      </c>
      <c r="AG401" s="54">
        <f t="shared" si="1556"/>
        <v>3505.8660000000009</v>
      </c>
      <c r="AH401" s="54">
        <f t="shared" si="1556"/>
        <v>3848.2979999999998</v>
      </c>
      <c r="AI401" s="54">
        <f t="shared" si="1556"/>
        <v>3691.6210000000001</v>
      </c>
      <c r="AJ401" s="54">
        <f t="shared" si="1556"/>
        <v>3664.0060000000017</v>
      </c>
      <c r="AK401" s="54">
        <f t="shared" si="1556"/>
        <v>3419.632000000001</v>
      </c>
      <c r="AL401" s="54">
        <f t="shared" si="1556"/>
        <v>3302.7850000000008</v>
      </c>
      <c r="AM401" s="54">
        <f t="shared" si="1556"/>
        <v>3144.4540000000011</v>
      </c>
      <c r="AN401" s="54">
        <f t="shared" si="1556"/>
        <v>3019.0930000000008</v>
      </c>
      <c r="AO401" s="54">
        <f t="shared" si="1556"/>
        <v>2900.5049999999992</v>
      </c>
      <c r="AP401" s="54">
        <f t="shared" si="1556"/>
        <v>2812.0090000000009</v>
      </c>
      <c r="AQ401" s="54">
        <f t="shared" si="1556"/>
        <v>2793.5249999999996</v>
      </c>
      <c r="AR401" s="54">
        <f t="shared" si="1556"/>
        <v>4291.2809999999999</v>
      </c>
      <c r="AS401" s="54">
        <f t="shared" si="1556"/>
        <v>4298.0600000000004</v>
      </c>
      <c r="AT401" s="54">
        <f t="shared" ref="AT401" si="1557">AT389</f>
        <v>4806.4480000000003</v>
      </c>
      <c r="AU401" s="54">
        <f t="shared" ref="AU401:BF401" si="1558">AU389</f>
        <v>4775.9914254036375</v>
      </c>
      <c r="AV401" s="54">
        <f t="shared" si="1558"/>
        <v>4767.3114655850468</v>
      </c>
      <c r="AW401" s="54">
        <f t="shared" si="1558"/>
        <v>4759.0651137108416</v>
      </c>
      <c r="AX401" s="54">
        <f t="shared" si="1558"/>
        <v>4750.0349968891551</v>
      </c>
      <c r="AY401" s="54">
        <f t="shared" si="1558"/>
        <v>4720.7045022195707</v>
      </c>
      <c r="AZ401" s="54">
        <f t="shared" si="1558"/>
        <v>4686.0687495976899</v>
      </c>
      <c r="BA401" s="54">
        <f t="shared" si="1558"/>
        <v>4708.0695863974797</v>
      </c>
      <c r="BB401" s="54">
        <f t="shared" si="1558"/>
        <v>4722.2958687011214</v>
      </c>
      <c r="BC401" s="54">
        <f t="shared" si="1558"/>
        <v>4686.6202769776673</v>
      </c>
      <c r="BD401" s="54">
        <f t="shared" si="1558"/>
        <v>4642.771614676547</v>
      </c>
      <c r="BE401" s="54">
        <f t="shared" si="1558"/>
        <v>4598.9128523287218</v>
      </c>
      <c r="BF401" s="54">
        <f t="shared" si="1558"/>
        <v>4560.7260055834868</v>
      </c>
      <c r="BI401">
        <f t="shared" si="1391"/>
        <v>394</v>
      </c>
    </row>
    <row r="402" spans="1:67" hidden="1" outlineLevel="2">
      <c r="A402" s="40"/>
      <c r="B402" s="43" t="s">
        <v>244</v>
      </c>
      <c r="C402" s="54">
        <f t="shared" si="1555"/>
        <v>27.611999999999998</v>
      </c>
      <c r="D402" s="54">
        <f t="shared" si="1555"/>
        <v>23.946000000000002</v>
      </c>
      <c r="E402" s="54">
        <f t="shared" si="1555"/>
        <v>110.723</v>
      </c>
      <c r="F402" s="54">
        <f t="shared" si="1555"/>
        <v>249.50899999999999</v>
      </c>
      <c r="G402" s="54">
        <f t="shared" si="1555"/>
        <v>43.012</v>
      </c>
      <c r="H402" s="54">
        <f t="shared" si="1555"/>
        <v>113.346</v>
      </c>
      <c r="I402" s="54">
        <f t="shared" si="1555"/>
        <v>35.152000000000001</v>
      </c>
      <c r="J402" s="54">
        <f t="shared" si="1555"/>
        <v>42.828000000000003</v>
      </c>
      <c r="K402" s="54">
        <f t="shared" si="1555"/>
        <v>40</v>
      </c>
      <c r="L402" s="54">
        <f t="shared" si="1555"/>
        <v>40</v>
      </c>
      <c r="M402" s="54">
        <f t="shared" si="1555"/>
        <v>40</v>
      </c>
      <c r="O402" s="54">
        <f>O300</f>
        <v>63.884</v>
      </c>
      <c r="P402" s="54">
        <f t="shared" ref="P402:AS402" si="1559">P300</f>
        <v>95.978999999999999</v>
      </c>
      <c r="Q402" s="54">
        <f t="shared" si="1559"/>
        <v>73.915999999999997</v>
      </c>
      <c r="R402" s="54">
        <f t="shared" si="1559"/>
        <v>27.611999999999998</v>
      </c>
      <c r="S402" s="54">
        <f t="shared" si="1559"/>
        <v>37.67</v>
      </c>
      <c r="T402" s="54">
        <f t="shared" si="1559"/>
        <v>64.584000000000003</v>
      </c>
      <c r="U402" s="54">
        <f t="shared" si="1559"/>
        <v>10.645</v>
      </c>
      <c r="V402" s="54">
        <f t="shared" si="1559"/>
        <v>23.946000000000002</v>
      </c>
      <c r="W402" s="54">
        <f t="shared" si="1559"/>
        <v>17.824999999999999</v>
      </c>
      <c r="X402" s="54">
        <f t="shared" si="1559"/>
        <v>75.299000000000007</v>
      </c>
      <c r="Y402" s="54">
        <f t="shared" si="1559"/>
        <v>83.472999999999999</v>
      </c>
      <c r="Z402" s="54">
        <f t="shared" si="1559"/>
        <v>110.723</v>
      </c>
      <c r="AA402" s="54">
        <f t="shared" si="1559"/>
        <v>144.03100000000001</v>
      </c>
      <c r="AB402" s="54">
        <f t="shared" si="1559"/>
        <v>148.87700000000001</v>
      </c>
      <c r="AC402" s="54">
        <f t="shared" si="1559"/>
        <v>204.636</v>
      </c>
      <c r="AD402" s="54">
        <f t="shared" si="1559"/>
        <v>249.50899999999999</v>
      </c>
      <c r="AE402" s="54">
        <f t="shared" si="1559"/>
        <v>257.74599999999998</v>
      </c>
      <c r="AF402" s="54">
        <f t="shared" si="1559"/>
        <v>120.837</v>
      </c>
      <c r="AG402" s="54">
        <f t="shared" si="1559"/>
        <v>38.594000000000001</v>
      </c>
      <c r="AH402" s="54">
        <f t="shared" si="1559"/>
        <v>43.012</v>
      </c>
      <c r="AI402" s="54">
        <f t="shared" si="1559"/>
        <v>86.917000000000002</v>
      </c>
      <c r="AJ402" s="54">
        <f t="shared" si="1559"/>
        <v>76.506</v>
      </c>
      <c r="AK402" s="54">
        <f t="shared" si="1559"/>
        <v>76.465000000000003</v>
      </c>
      <c r="AL402" s="54">
        <f t="shared" si="1559"/>
        <v>113.346</v>
      </c>
      <c r="AM402" s="54">
        <f t="shared" si="1559"/>
        <v>186.55699999999999</v>
      </c>
      <c r="AN402" s="54">
        <f t="shared" si="1559"/>
        <v>209.62700000000001</v>
      </c>
      <c r="AO402" s="54">
        <f t="shared" si="1559"/>
        <v>36.972000000000001</v>
      </c>
      <c r="AP402" s="54">
        <f t="shared" si="1559"/>
        <v>35.152000000000001</v>
      </c>
      <c r="AQ402" s="54">
        <f t="shared" si="1559"/>
        <v>466.608</v>
      </c>
      <c r="AR402" s="54">
        <f t="shared" si="1559"/>
        <v>40.131999999999998</v>
      </c>
      <c r="AS402" s="54">
        <f t="shared" si="1559"/>
        <v>37.838999999999999</v>
      </c>
      <c r="AT402" s="54">
        <f t="shared" ref="AT402" si="1560">AT300</f>
        <v>42.828000000000003</v>
      </c>
      <c r="AU402" s="61">
        <v>40</v>
      </c>
      <c r="AV402" s="61">
        <v>40</v>
      </c>
      <c r="AW402" s="61">
        <v>40</v>
      </c>
      <c r="AX402" s="61">
        <v>40</v>
      </c>
      <c r="AY402" s="61">
        <v>40</v>
      </c>
      <c r="AZ402" s="61">
        <v>40</v>
      </c>
      <c r="BA402" s="61">
        <v>40</v>
      </c>
      <c r="BB402" s="61">
        <v>40</v>
      </c>
      <c r="BC402" s="61">
        <v>40</v>
      </c>
      <c r="BD402" s="61">
        <v>40</v>
      </c>
      <c r="BE402" s="61">
        <v>40</v>
      </c>
      <c r="BF402" s="61">
        <v>40</v>
      </c>
      <c r="BI402">
        <f t="shared" si="1391"/>
        <v>395</v>
      </c>
    </row>
    <row r="403" spans="1:67" hidden="1" outlineLevel="2">
      <c r="A403" s="40"/>
      <c r="B403" s="43" t="s">
        <v>245</v>
      </c>
      <c r="C403" s="54">
        <f t="shared" si="1555"/>
        <v>2586.3570000000004</v>
      </c>
      <c r="D403" s="54">
        <f t="shared" si="1555"/>
        <v>3019.1309999999999</v>
      </c>
      <c r="E403" s="54">
        <f t="shared" si="1555"/>
        <v>3339.4069999999992</v>
      </c>
      <c r="F403" s="54">
        <f t="shared" si="1555"/>
        <v>3448.4970000000003</v>
      </c>
      <c r="G403" s="54">
        <f t="shared" si="1555"/>
        <v>3891.31</v>
      </c>
      <c r="H403" s="54">
        <f t="shared" si="1555"/>
        <v>3416.1310000000008</v>
      </c>
      <c r="I403" s="54">
        <f t="shared" si="1555"/>
        <v>2847.161000000001</v>
      </c>
      <c r="J403" s="54">
        <f t="shared" si="1555"/>
        <v>4849.2760000000007</v>
      </c>
      <c r="K403" s="54">
        <f t="shared" si="1555"/>
        <v>4790.0349968891551</v>
      </c>
      <c r="L403" s="54">
        <f t="shared" si="1555"/>
        <v>4762.2958687011214</v>
      </c>
      <c r="M403" s="54">
        <f t="shared" si="1555"/>
        <v>4600.7260055834868</v>
      </c>
      <c r="O403" s="54">
        <f>SUM(O401:O402)</f>
        <v>2087.2019999999998</v>
      </c>
      <c r="P403" s="54">
        <f t="shared" ref="P403:AS403" si="1561">SUM(P401:P402)</f>
        <v>2108.4219999999996</v>
      </c>
      <c r="Q403" s="54">
        <f t="shared" si="1561"/>
        <v>2234.1389999999997</v>
      </c>
      <c r="R403" s="54">
        <f t="shared" si="1561"/>
        <v>2586.3570000000004</v>
      </c>
      <c r="S403" s="54">
        <f t="shared" si="1561"/>
        <v>2656.37</v>
      </c>
      <c r="T403" s="54">
        <f t="shared" si="1561"/>
        <v>2747.3100000000004</v>
      </c>
      <c r="U403" s="54">
        <f t="shared" si="1561"/>
        <v>2837.5330000000008</v>
      </c>
      <c r="V403" s="54">
        <f t="shared" si="1561"/>
        <v>3019.1309999999999</v>
      </c>
      <c r="W403" s="54">
        <f t="shared" si="1561"/>
        <v>3112.9749999999995</v>
      </c>
      <c r="X403" s="54">
        <f t="shared" si="1561"/>
        <v>3229.282999999999</v>
      </c>
      <c r="Y403" s="54">
        <f t="shared" si="1561"/>
        <v>3244.1679999999988</v>
      </c>
      <c r="Z403" s="54">
        <f t="shared" si="1561"/>
        <v>3339.4069999999992</v>
      </c>
      <c r="AA403" s="54">
        <f t="shared" si="1561"/>
        <v>3396.8330000000014</v>
      </c>
      <c r="AB403" s="54">
        <f t="shared" si="1561"/>
        <v>3427.0899999999988</v>
      </c>
      <c r="AC403" s="54">
        <f t="shared" si="1561"/>
        <v>3438.8750000000014</v>
      </c>
      <c r="AD403" s="54">
        <f t="shared" si="1561"/>
        <v>3448.4970000000003</v>
      </c>
      <c r="AE403" s="54">
        <f t="shared" si="1561"/>
        <v>3479.6700000000005</v>
      </c>
      <c r="AF403" s="54">
        <f t="shared" si="1561"/>
        <v>3534.944</v>
      </c>
      <c r="AG403" s="54">
        <f t="shared" si="1561"/>
        <v>3544.4600000000009</v>
      </c>
      <c r="AH403" s="54">
        <f t="shared" si="1561"/>
        <v>3891.31</v>
      </c>
      <c r="AI403" s="54">
        <f t="shared" si="1561"/>
        <v>3778.538</v>
      </c>
      <c r="AJ403" s="54">
        <f t="shared" si="1561"/>
        <v>3740.5120000000015</v>
      </c>
      <c r="AK403" s="54">
        <f t="shared" si="1561"/>
        <v>3496.0970000000011</v>
      </c>
      <c r="AL403" s="54">
        <f t="shared" si="1561"/>
        <v>3416.1310000000008</v>
      </c>
      <c r="AM403" s="54">
        <f t="shared" si="1561"/>
        <v>3331.0110000000009</v>
      </c>
      <c r="AN403" s="54">
        <f t="shared" si="1561"/>
        <v>3228.7200000000007</v>
      </c>
      <c r="AO403" s="54">
        <f t="shared" si="1561"/>
        <v>2937.4769999999994</v>
      </c>
      <c r="AP403" s="54">
        <f t="shared" si="1561"/>
        <v>2847.161000000001</v>
      </c>
      <c r="AQ403" s="54">
        <f t="shared" si="1561"/>
        <v>3260.1329999999998</v>
      </c>
      <c r="AR403" s="54">
        <f t="shared" si="1561"/>
        <v>4331.4129999999996</v>
      </c>
      <c r="AS403" s="54">
        <f t="shared" si="1561"/>
        <v>4335.8990000000003</v>
      </c>
      <c r="AT403" s="54">
        <f t="shared" ref="AT403" si="1562">SUM(AT401:AT402)</f>
        <v>4849.2760000000007</v>
      </c>
      <c r="AU403" s="54">
        <f t="shared" ref="AU403" si="1563">SUM(AU401:AU402)</f>
        <v>4815.9914254036375</v>
      </c>
      <c r="AV403" s="54">
        <f t="shared" ref="AV403" si="1564">SUM(AV401:AV402)</f>
        <v>4807.3114655850468</v>
      </c>
      <c r="AW403" s="54">
        <f t="shared" ref="AW403" si="1565">SUM(AW401:AW402)</f>
        <v>4799.0651137108416</v>
      </c>
      <c r="AX403" s="54">
        <f t="shared" ref="AX403" si="1566">SUM(AX401:AX402)</f>
        <v>4790.0349968891551</v>
      </c>
      <c r="AY403" s="54">
        <f t="shared" ref="AY403" si="1567">SUM(AY401:AY402)</f>
        <v>4760.7045022195707</v>
      </c>
      <c r="AZ403" s="54">
        <f t="shared" ref="AZ403" si="1568">SUM(AZ401:AZ402)</f>
        <v>4726.0687495976899</v>
      </c>
      <c r="BA403" s="54">
        <f t="shared" ref="BA403" si="1569">SUM(BA401:BA402)</f>
        <v>4748.0695863974797</v>
      </c>
      <c r="BB403" s="54">
        <f t="shared" ref="BB403" si="1570">SUM(BB401:BB402)</f>
        <v>4762.2958687011214</v>
      </c>
      <c r="BC403" s="54">
        <f t="shared" ref="BC403" si="1571">SUM(BC401:BC402)</f>
        <v>4726.6202769776673</v>
      </c>
      <c r="BD403" s="54">
        <f t="shared" ref="BD403" si="1572">SUM(BD401:BD402)</f>
        <v>4682.771614676547</v>
      </c>
      <c r="BE403" s="54">
        <f t="shared" ref="BE403" si="1573">SUM(BE401:BE402)</f>
        <v>4638.9128523287218</v>
      </c>
      <c r="BF403" s="54">
        <f t="shared" ref="BF403" si="1574">SUM(BF401:BF402)</f>
        <v>4600.7260055834868</v>
      </c>
      <c r="BI403">
        <f t="shared" si="1391"/>
        <v>396</v>
      </c>
    </row>
    <row r="404" spans="1:67" hidden="1" outlineLevel="2">
      <c r="A404" s="40"/>
      <c r="B404" s="43"/>
      <c r="BI404">
        <f t="shared" si="1391"/>
        <v>397</v>
      </c>
    </row>
    <row r="405" spans="1:67" hidden="1" outlineLevel="2">
      <c r="A405" s="40"/>
      <c r="B405" s="43" t="s">
        <v>188</v>
      </c>
      <c r="C405" s="54">
        <f t="shared" si="1555"/>
        <v>2187.607</v>
      </c>
      <c r="D405" s="54">
        <f t="shared" si="1555"/>
        <v>2516.6309999999999</v>
      </c>
      <c r="E405" s="54">
        <f t="shared" si="1555"/>
        <v>2640.6569999999997</v>
      </c>
      <c r="F405" s="54">
        <f t="shared" si="1555"/>
        <v>2755.9969999999998</v>
      </c>
      <c r="G405" s="54">
        <f t="shared" si="1555"/>
        <v>2905.8100000000004</v>
      </c>
      <c r="H405" s="54">
        <f t="shared" si="1555"/>
        <v>2561.1310000000003</v>
      </c>
      <c r="I405" s="54">
        <f t="shared" si="1555"/>
        <v>2248.7239999999997</v>
      </c>
      <c r="J405" s="54">
        <f t="shared" si="1555"/>
        <v>3982.4929999999995</v>
      </c>
      <c r="K405" s="54">
        <f t="shared" si="1555"/>
        <v>3965.394082169857</v>
      </c>
      <c r="L405" s="54">
        <f t="shared" si="1555"/>
        <v>4119.9144667794581</v>
      </c>
      <c r="M405" s="54">
        <f t="shared" si="1555"/>
        <v>4365.11505031455</v>
      </c>
      <c r="O405" s="54">
        <f>O328</f>
        <v>2087.2019999999998</v>
      </c>
      <c r="P405" s="54">
        <f t="shared" ref="P405:AS405" si="1575">P328</f>
        <v>2108.422</v>
      </c>
      <c r="Q405" s="54">
        <f t="shared" si="1575"/>
        <v>2134.1390000000001</v>
      </c>
      <c r="R405" s="54">
        <f t="shared" si="1575"/>
        <v>2187.607</v>
      </c>
      <c r="S405" s="54">
        <f t="shared" si="1575"/>
        <v>2258.87</v>
      </c>
      <c r="T405" s="54">
        <f t="shared" si="1575"/>
        <v>2351.06</v>
      </c>
      <c r="U405" s="54">
        <f t="shared" si="1575"/>
        <v>2426.7330000000002</v>
      </c>
      <c r="V405" s="54">
        <f t="shared" si="1575"/>
        <v>2516.6309999999999</v>
      </c>
      <c r="W405" s="54">
        <f t="shared" si="1575"/>
        <v>2614.4749999999999</v>
      </c>
      <c r="X405" s="54">
        <f t="shared" si="1575"/>
        <v>2629.2830000000004</v>
      </c>
      <c r="Y405" s="54">
        <f t="shared" si="1575"/>
        <v>2644.1679999999997</v>
      </c>
      <c r="Z405" s="54">
        <f t="shared" si="1575"/>
        <v>2640.6569999999997</v>
      </c>
      <c r="AA405" s="54">
        <f t="shared" si="1575"/>
        <v>2699.3330000000001</v>
      </c>
      <c r="AB405" s="54">
        <f t="shared" si="1575"/>
        <v>2730.84</v>
      </c>
      <c r="AC405" s="54">
        <f t="shared" si="1575"/>
        <v>2743.875</v>
      </c>
      <c r="AD405" s="54">
        <f t="shared" si="1575"/>
        <v>2755.9969999999998</v>
      </c>
      <c r="AE405" s="54">
        <f t="shared" si="1575"/>
        <v>2789.67</v>
      </c>
      <c r="AF405" s="54">
        <f t="shared" si="1575"/>
        <v>2847.444</v>
      </c>
      <c r="AG405" s="54">
        <f t="shared" si="1575"/>
        <v>2859.46</v>
      </c>
      <c r="AH405" s="54">
        <f t="shared" si="1575"/>
        <v>2905.8100000000004</v>
      </c>
      <c r="AI405" s="54">
        <f t="shared" si="1575"/>
        <v>2898.5380000000005</v>
      </c>
      <c r="AJ405" s="54">
        <f t="shared" si="1575"/>
        <v>2868.0119999999997</v>
      </c>
      <c r="AK405" s="54">
        <f t="shared" si="1575"/>
        <v>2631.0969999999998</v>
      </c>
      <c r="AL405" s="54">
        <f t="shared" si="1575"/>
        <v>2561.1310000000003</v>
      </c>
      <c r="AM405" s="54">
        <f t="shared" si="1575"/>
        <v>2489.482</v>
      </c>
      <c r="AN405" s="54">
        <f t="shared" si="1575"/>
        <v>2401.83</v>
      </c>
      <c r="AO405" s="54">
        <f t="shared" si="1575"/>
        <v>2324.1260000000002</v>
      </c>
      <c r="AP405" s="54">
        <f t="shared" si="1575"/>
        <v>2248.7239999999997</v>
      </c>
      <c r="AQ405" s="54">
        <f t="shared" si="1575"/>
        <v>2661.6090000000004</v>
      </c>
      <c r="AR405" s="54">
        <f t="shared" si="1575"/>
        <v>3617.8029999999999</v>
      </c>
      <c r="AS405" s="54">
        <f t="shared" si="1575"/>
        <v>3593.2020000000002</v>
      </c>
      <c r="AT405" s="54">
        <f t="shared" ref="AT405" si="1576">AT328</f>
        <v>3982.4929999999995</v>
      </c>
      <c r="AU405" s="54">
        <f t="shared" ref="AU405:BF405" si="1577">AU328</f>
        <v>3961.2045034967341</v>
      </c>
      <c r="AV405" s="54">
        <f t="shared" si="1577"/>
        <v>3950.6050563888848</v>
      </c>
      <c r="AW405" s="54">
        <f t="shared" si="1577"/>
        <v>3950.2432443452208</v>
      </c>
      <c r="AX405" s="54">
        <f t="shared" si="1577"/>
        <v>3965.394082169857</v>
      </c>
      <c r="AY405" s="54">
        <f t="shared" si="1577"/>
        <v>3987.5242799490525</v>
      </c>
      <c r="AZ405" s="54">
        <f t="shared" si="1577"/>
        <v>4022.32141176598</v>
      </c>
      <c r="BA405" s="54">
        <f t="shared" si="1577"/>
        <v>4069.4107161934908</v>
      </c>
      <c r="BB405" s="54">
        <f t="shared" si="1577"/>
        <v>4119.9144667794581</v>
      </c>
      <c r="BC405" s="54">
        <f t="shared" si="1577"/>
        <v>4174.3003450927663</v>
      </c>
      <c r="BD405" s="54">
        <f t="shared" si="1577"/>
        <v>4232.4000461907735</v>
      </c>
      <c r="BE405" s="54">
        <f t="shared" si="1577"/>
        <v>4295.703003008467</v>
      </c>
      <c r="BF405" s="54">
        <f t="shared" si="1577"/>
        <v>4365.11505031455</v>
      </c>
      <c r="BI405">
        <f t="shared" si="1391"/>
        <v>398</v>
      </c>
    </row>
    <row r="406" spans="1:67" hidden="1" outlineLevel="2">
      <c r="A406" s="40"/>
      <c r="B406" s="43" t="s">
        <v>246</v>
      </c>
      <c r="C406" s="54">
        <f t="shared" si="1555"/>
        <v>398.75</v>
      </c>
      <c r="D406" s="54">
        <f t="shared" si="1555"/>
        <v>392.5</v>
      </c>
      <c r="E406" s="54">
        <f t="shared" si="1555"/>
        <v>698.75</v>
      </c>
      <c r="F406" s="54">
        <f t="shared" si="1555"/>
        <v>692.5</v>
      </c>
      <c r="G406" s="54">
        <f t="shared" si="1555"/>
        <v>682.5</v>
      </c>
      <c r="H406" s="54">
        <f t="shared" si="1555"/>
        <v>855</v>
      </c>
      <c r="I406" s="54">
        <f t="shared" si="1555"/>
        <v>600</v>
      </c>
      <c r="J406" s="54">
        <f t="shared" si="1555"/>
        <v>600</v>
      </c>
      <c r="K406" s="54">
        <f t="shared" si="1555"/>
        <v>1125</v>
      </c>
      <c r="L406" s="54">
        <f t="shared" si="1555"/>
        <v>1125</v>
      </c>
      <c r="M406" s="54">
        <f t="shared" si="1555"/>
        <v>825</v>
      </c>
      <c r="O406" s="54">
        <f>O414</f>
        <v>0</v>
      </c>
      <c r="P406" s="54">
        <f t="shared" ref="P406:AS406" si="1578">P414</f>
        <v>0</v>
      </c>
      <c r="Q406" s="54">
        <f t="shared" si="1578"/>
        <v>100</v>
      </c>
      <c r="R406" s="54">
        <f t="shared" si="1578"/>
        <v>398.75</v>
      </c>
      <c r="S406" s="54">
        <f t="shared" si="1578"/>
        <v>397.5</v>
      </c>
      <c r="T406" s="54">
        <f t="shared" si="1578"/>
        <v>396.25</v>
      </c>
      <c r="U406" s="54">
        <f t="shared" si="1578"/>
        <v>395</v>
      </c>
      <c r="V406" s="54">
        <f t="shared" si="1578"/>
        <v>392.5</v>
      </c>
      <c r="W406" s="54">
        <f t="shared" si="1578"/>
        <v>389.5</v>
      </c>
      <c r="X406" s="54">
        <f t="shared" si="1578"/>
        <v>600</v>
      </c>
      <c r="Y406" s="54">
        <f t="shared" si="1578"/>
        <v>600</v>
      </c>
      <c r="Z406" s="54">
        <f t="shared" si="1578"/>
        <v>698.75</v>
      </c>
      <c r="AA406" s="54">
        <f t="shared" si="1578"/>
        <v>697.5</v>
      </c>
      <c r="AB406" s="54">
        <f t="shared" si="1578"/>
        <v>696.25</v>
      </c>
      <c r="AC406" s="54">
        <f t="shared" si="1578"/>
        <v>695</v>
      </c>
      <c r="AD406" s="54">
        <f t="shared" si="1578"/>
        <v>692.5</v>
      </c>
      <c r="AE406" s="54">
        <f t="shared" si="1578"/>
        <v>690</v>
      </c>
      <c r="AF406" s="54">
        <f t="shared" si="1578"/>
        <v>687.5</v>
      </c>
      <c r="AG406" s="54">
        <f t="shared" si="1578"/>
        <v>685</v>
      </c>
      <c r="AH406" s="54">
        <f t="shared" si="1578"/>
        <v>682.5</v>
      </c>
      <c r="AI406" s="54">
        <f t="shared" si="1578"/>
        <v>880</v>
      </c>
      <c r="AJ406" s="54">
        <f t="shared" si="1578"/>
        <v>872.5</v>
      </c>
      <c r="AK406" s="54">
        <f t="shared" si="1578"/>
        <v>865</v>
      </c>
      <c r="AL406" s="54">
        <f t="shared" si="1578"/>
        <v>855</v>
      </c>
      <c r="AM406" s="54">
        <f t="shared" si="1578"/>
        <v>845</v>
      </c>
      <c r="AN406" s="54">
        <f t="shared" si="1578"/>
        <v>830</v>
      </c>
      <c r="AO406" s="54">
        <f t="shared" si="1578"/>
        <v>600</v>
      </c>
      <c r="AP406" s="54">
        <f t="shared" si="1578"/>
        <v>600</v>
      </c>
      <c r="AQ406" s="54">
        <f t="shared" si="1578"/>
        <v>600</v>
      </c>
      <c r="AR406" s="54">
        <f t="shared" si="1578"/>
        <v>600</v>
      </c>
      <c r="AS406" s="54">
        <f t="shared" si="1578"/>
        <v>600</v>
      </c>
      <c r="AT406" s="54">
        <f t="shared" ref="AT406" si="1579">AT414</f>
        <v>600</v>
      </c>
      <c r="AU406" s="54">
        <f t="shared" ref="AU406:BF406" si="1580">AU414</f>
        <v>1125</v>
      </c>
      <c r="AV406" s="54">
        <f t="shared" si="1580"/>
        <v>1125</v>
      </c>
      <c r="AW406" s="54">
        <f t="shared" si="1580"/>
        <v>1125</v>
      </c>
      <c r="AX406" s="54">
        <f t="shared" si="1580"/>
        <v>1125</v>
      </c>
      <c r="AY406" s="54">
        <f t="shared" si="1580"/>
        <v>1125</v>
      </c>
      <c r="AZ406" s="54">
        <f t="shared" si="1580"/>
        <v>1125</v>
      </c>
      <c r="BA406" s="54">
        <f t="shared" si="1580"/>
        <v>1125</v>
      </c>
      <c r="BB406" s="54">
        <f t="shared" si="1580"/>
        <v>1125</v>
      </c>
      <c r="BC406" s="54">
        <f t="shared" si="1580"/>
        <v>1125</v>
      </c>
      <c r="BD406" s="54">
        <f t="shared" si="1580"/>
        <v>1125</v>
      </c>
      <c r="BE406" s="54">
        <f t="shared" si="1580"/>
        <v>825</v>
      </c>
      <c r="BF406" s="54">
        <f t="shared" si="1580"/>
        <v>825</v>
      </c>
      <c r="BI406">
        <f t="shared" si="1391"/>
        <v>399</v>
      </c>
    </row>
    <row r="407" spans="1:67" hidden="1" outlineLevel="2">
      <c r="A407" s="40"/>
      <c r="B407" s="43" t="s">
        <v>247</v>
      </c>
      <c r="C407" s="54">
        <f t="shared" si="1555"/>
        <v>4.5474735088646412E-13</v>
      </c>
      <c r="D407" s="54">
        <f t="shared" si="1555"/>
        <v>110</v>
      </c>
      <c r="E407" s="54">
        <f t="shared" si="1555"/>
        <v>0</v>
      </c>
      <c r="F407" s="54">
        <f t="shared" si="1555"/>
        <v>4.5474735088646412E-13</v>
      </c>
      <c r="G407" s="54">
        <f t="shared" si="1555"/>
        <v>302.99999999999955</v>
      </c>
      <c r="H407" s="54">
        <f t="shared" si="1555"/>
        <v>4.5474735088646412E-13</v>
      </c>
      <c r="I407" s="54">
        <f t="shared" si="1555"/>
        <v>0</v>
      </c>
      <c r="J407" s="54">
        <f t="shared" si="1555"/>
        <v>266.78300000000127</v>
      </c>
      <c r="K407" s="54">
        <f t="shared" si="1555"/>
        <v>0</v>
      </c>
      <c r="L407" s="54">
        <f t="shared" si="1555"/>
        <v>0</v>
      </c>
      <c r="M407" s="54">
        <f t="shared" si="1555"/>
        <v>0</v>
      </c>
      <c r="O407" s="54">
        <f>MAX(O403-O405-O406,0)</f>
        <v>0</v>
      </c>
      <c r="P407" s="54">
        <f t="shared" ref="P407:AS407" si="1581">MAX(P403-P405-P406,0)</f>
        <v>0</v>
      </c>
      <c r="Q407" s="54">
        <f t="shared" si="1581"/>
        <v>0</v>
      </c>
      <c r="R407" s="54">
        <f t="shared" si="1581"/>
        <v>4.5474735088646412E-13</v>
      </c>
      <c r="S407" s="54">
        <f t="shared" si="1581"/>
        <v>0</v>
      </c>
      <c r="T407" s="54">
        <f t="shared" si="1581"/>
        <v>4.5474735088646412E-13</v>
      </c>
      <c r="U407" s="54">
        <f t="shared" si="1581"/>
        <v>15.800000000000637</v>
      </c>
      <c r="V407" s="54">
        <f t="shared" si="1581"/>
        <v>110</v>
      </c>
      <c r="W407" s="54">
        <f t="shared" si="1581"/>
        <v>108.99999999999955</v>
      </c>
      <c r="X407" s="54">
        <f t="shared" si="1581"/>
        <v>0</v>
      </c>
      <c r="Y407" s="54">
        <f t="shared" si="1581"/>
        <v>0</v>
      </c>
      <c r="Z407" s="54">
        <f t="shared" si="1581"/>
        <v>0</v>
      </c>
      <c r="AA407" s="54">
        <f t="shared" si="1581"/>
        <v>1.3642420526593924E-12</v>
      </c>
      <c r="AB407" s="54">
        <f t="shared" si="1581"/>
        <v>0</v>
      </c>
      <c r="AC407" s="54">
        <f t="shared" si="1581"/>
        <v>1.3642420526593924E-12</v>
      </c>
      <c r="AD407" s="54">
        <f t="shared" si="1581"/>
        <v>4.5474735088646412E-13</v>
      </c>
      <c r="AE407" s="54">
        <f t="shared" si="1581"/>
        <v>4.5474735088646412E-13</v>
      </c>
      <c r="AF407" s="54">
        <f t="shared" si="1581"/>
        <v>0</v>
      </c>
      <c r="AG407" s="54">
        <f t="shared" si="1581"/>
        <v>9.0949470177292824E-13</v>
      </c>
      <c r="AH407" s="54">
        <f t="shared" si="1581"/>
        <v>302.99999999999955</v>
      </c>
      <c r="AI407" s="54">
        <f t="shared" si="1581"/>
        <v>0</v>
      </c>
      <c r="AJ407" s="54">
        <f t="shared" si="1581"/>
        <v>1.8189894035458565E-12</v>
      </c>
      <c r="AK407" s="54">
        <f t="shared" si="1581"/>
        <v>1.3642420526593924E-12</v>
      </c>
      <c r="AL407" s="54">
        <f t="shared" si="1581"/>
        <v>4.5474735088646412E-13</v>
      </c>
      <c r="AM407" s="54">
        <f t="shared" si="1581"/>
        <v>0</v>
      </c>
      <c r="AN407" s="54">
        <f t="shared" si="1581"/>
        <v>0</v>
      </c>
      <c r="AO407" s="54">
        <f t="shared" si="1581"/>
        <v>13.350999999999203</v>
      </c>
      <c r="AP407" s="54">
        <f t="shared" si="1581"/>
        <v>0</v>
      </c>
      <c r="AQ407" s="54">
        <f t="shared" si="1581"/>
        <v>0</v>
      </c>
      <c r="AR407" s="54">
        <f t="shared" si="1581"/>
        <v>113.60999999999967</v>
      </c>
      <c r="AS407" s="54">
        <f t="shared" si="1581"/>
        <v>142.69700000000012</v>
      </c>
      <c r="AT407" s="54">
        <f t="shared" ref="AT407" si="1582">MAX(AT403-AT405-AT406,0)</f>
        <v>266.78300000000127</v>
      </c>
      <c r="AU407" s="54">
        <f t="shared" ref="AU407" si="1583">MAX(AU403-AU405-AU406,0)</f>
        <v>0</v>
      </c>
      <c r="AV407" s="54">
        <f t="shared" ref="AV407" si="1584">MAX(AV403-AV405-AV406,0)</f>
        <v>0</v>
      </c>
      <c r="AW407" s="54">
        <f t="shared" ref="AW407" si="1585">MAX(AW403-AW405-AW406,0)</f>
        <v>0</v>
      </c>
      <c r="AX407" s="54">
        <f t="shared" ref="AX407" si="1586">MAX(AX403-AX405-AX406,0)</f>
        <v>0</v>
      </c>
      <c r="AY407" s="54">
        <f t="shared" ref="AY407" si="1587">MAX(AY403-AY405-AY406,0)</f>
        <v>0</v>
      </c>
      <c r="AZ407" s="54">
        <f t="shared" ref="AZ407" si="1588">MAX(AZ403-AZ405-AZ406,0)</f>
        <v>0</v>
      </c>
      <c r="BA407" s="54">
        <f t="shared" ref="BA407" si="1589">MAX(BA403-BA405-BA406,0)</f>
        <v>0</v>
      </c>
      <c r="BB407" s="54">
        <f t="shared" ref="BB407" si="1590">MAX(BB403-BB405-BB406,0)</f>
        <v>0</v>
      </c>
      <c r="BC407" s="54">
        <f t="shared" ref="BC407" si="1591">MAX(BC403-BC405-BC406,0)</f>
        <v>0</v>
      </c>
      <c r="BD407" s="54">
        <f t="shared" ref="BD407" si="1592">MAX(BD403-BD405-BD406,0)</f>
        <v>0</v>
      </c>
      <c r="BE407" s="54">
        <f t="shared" ref="BE407" si="1593">MAX(BE403-BE405-BE406,0)</f>
        <v>0</v>
      </c>
      <c r="BF407" s="54">
        <f t="shared" ref="BF407" si="1594">MAX(BF403-BF405-BF406,0)</f>
        <v>0</v>
      </c>
      <c r="BI407">
        <f t="shared" si="1391"/>
        <v>400</v>
      </c>
    </row>
    <row r="408" spans="1:67" hidden="1" outlineLevel="2">
      <c r="A408" s="40"/>
      <c r="B408" s="43"/>
      <c r="BI408">
        <f t="shared" si="1391"/>
        <v>401</v>
      </c>
    </row>
    <row r="409" spans="1:67" outlineLevel="1" collapsed="1">
      <c r="A409" s="40" t="s">
        <v>65</v>
      </c>
      <c r="B409" s="41" t="s">
        <v>248</v>
      </c>
      <c r="BI409">
        <f t="shared" si="1391"/>
        <v>402</v>
      </c>
    </row>
    <row r="410" spans="1:67" s="112" customFormat="1" hidden="1" outlineLevel="2">
      <c r="A410" s="40"/>
      <c r="B410" s="42" t="s">
        <v>288</v>
      </c>
      <c r="C410" s="54">
        <f t="shared" ref="C410:M418" si="1595">INDEX($O410:$BG410,1,MATCH(C$4,$O$4:$BG$4,0))</f>
        <v>0</v>
      </c>
      <c r="D410" s="54">
        <f t="shared" si="1595"/>
        <v>0</v>
      </c>
      <c r="E410" s="54">
        <f t="shared" si="1595"/>
        <v>300</v>
      </c>
      <c r="F410" s="54">
        <f t="shared" si="1595"/>
        <v>300</v>
      </c>
      <c r="G410" s="54">
        <f t="shared" si="1595"/>
        <v>300</v>
      </c>
      <c r="H410" s="54">
        <f t="shared" si="1595"/>
        <v>300</v>
      </c>
      <c r="I410" s="54">
        <f t="shared" si="1595"/>
        <v>300</v>
      </c>
      <c r="J410" s="54">
        <f t="shared" si="1595"/>
        <v>300</v>
      </c>
      <c r="K410" s="54">
        <f t="shared" si="1595"/>
        <v>300</v>
      </c>
      <c r="L410" s="54">
        <f t="shared" si="1595"/>
        <v>300</v>
      </c>
      <c r="M410" s="54">
        <f t="shared" si="1595"/>
        <v>0</v>
      </c>
      <c r="O410" s="113">
        <v>0</v>
      </c>
      <c r="P410" s="113">
        <v>0</v>
      </c>
      <c r="Q410" s="113">
        <v>0</v>
      </c>
      <c r="R410" s="113">
        <v>0</v>
      </c>
      <c r="S410" s="113">
        <v>0</v>
      </c>
      <c r="T410" s="113">
        <v>0</v>
      </c>
      <c r="U410" s="113">
        <v>0</v>
      </c>
      <c r="V410" s="113">
        <v>0</v>
      </c>
      <c r="W410" s="113">
        <v>0</v>
      </c>
      <c r="X410" s="113">
        <v>300</v>
      </c>
      <c r="Y410" s="113">
        <v>300</v>
      </c>
      <c r="Z410" s="113">
        <v>300</v>
      </c>
      <c r="AA410" s="113">
        <v>300</v>
      </c>
      <c r="AB410" s="113">
        <v>300</v>
      </c>
      <c r="AC410" s="113">
        <v>300</v>
      </c>
      <c r="AD410" s="113">
        <v>300</v>
      </c>
      <c r="AE410" s="113">
        <v>300</v>
      </c>
      <c r="AF410" s="113">
        <v>300</v>
      </c>
      <c r="AG410" s="113">
        <v>300</v>
      </c>
      <c r="AH410" s="113">
        <v>300</v>
      </c>
      <c r="AI410" s="113">
        <v>300</v>
      </c>
      <c r="AJ410" s="113">
        <v>300</v>
      </c>
      <c r="AK410" s="113">
        <v>300</v>
      </c>
      <c r="AL410" s="113">
        <v>300</v>
      </c>
      <c r="AM410" s="113">
        <v>300</v>
      </c>
      <c r="AN410" s="113">
        <v>300</v>
      </c>
      <c r="AO410" s="113">
        <v>300</v>
      </c>
      <c r="AP410" s="113">
        <v>300</v>
      </c>
      <c r="AQ410" s="113">
        <v>300</v>
      </c>
      <c r="AR410" s="113">
        <v>300</v>
      </c>
      <c r="AS410" s="113">
        <v>300</v>
      </c>
      <c r="AT410" s="113">
        <v>300</v>
      </c>
      <c r="AU410" s="114">
        <f t="shared" ref="AU410:BD411" si="1596">AT410</f>
        <v>300</v>
      </c>
      <c r="AV410" s="114">
        <f t="shared" si="1596"/>
        <v>300</v>
      </c>
      <c r="AW410" s="114">
        <f t="shared" si="1596"/>
        <v>300</v>
      </c>
      <c r="AX410" s="114">
        <f t="shared" si="1596"/>
        <v>300</v>
      </c>
      <c r="AY410" s="114">
        <f t="shared" si="1596"/>
        <v>300</v>
      </c>
      <c r="AZ410" s="114">
        <f t="shared" si="1596"/>
        <v>300</v>
      </c>
      <c r="BA410" s="114">
        <f t="shared" si="1596"/>
        <v>300</v>
      </c>
      <c r="BB410" s="114">
        <f t="shared" si="1596"/>
        <v>300</v>
      </c>
      <c r="BC410" s="114">
        <f t="shared" si="1596"/>
        <v>300</v>
      </c>
      <c r="BD410" s="114">
        <f t="shared" si="1596"/>
        <v>300</v>
      </c>
      <c r="BE410" s="115">
        <v>0</v>
      </c>
      <c r="BF410" s="114">
        <f>BE410</f>
        <v>0</v>
      </c>
      <c r="BI410">
        <f t="shared" ref="BI410:BI411" si="1597">+BI409+1</f>
        <v>403</v>
      </c>
      <c r="BJ410"/>
      <c r="BK410"/>
      <c r="BL410"/>
      <c r="BM410"/>
      <c r="BN410"/>
      <c r="BO410"/>
    </row>
    <row r="411" spans="1:67" s="112" customFormat="1" hidden="1" outlineLevel="2">
      <c r="A411" s="40"/>
      <c r="B411" s="42" t="s">
        <v>289</v>
      </c>
      <c r="C411" s="54">
        <f t="shared" si="1595"/>
        <v>300</v>
      </c>
      <c r="D411" s="54">
        <f t="shared" si="1595"/>
        <v>300</v>
      </c>
      <c r="E411" s="54">
        <f t="shared" si="1595"/>
        <v>300</v>
      </c>
      <c r="F411" s="54">
        <f t="shared" si="1595"/>
        <v>300</v>
      </c>
      <c r="G411" s="54">
        <f t="shared" si="1595"/>
        <v>300</v>
      </c>
      <c r="H411" s="54">
        <f t="shared" si="1595"/>
        <v>300</v>
      </c>
      <c r="I411" s="54">
        <f t="shared" si="1595"/>
        <v>300</v>
      </c>
      <c r="J411" s="54">
        <f t="shared" si="1595"/>
        <v>300</v>
      </c>
      <c r="K411" s="54">
        <f t="shared" si="1595"/>
        <v>300</v>
      </c>
      <c r="L411" s="54">
        <f t="shared" si="1595"/>
        <v>300</v>
      </c>
      <c r="M411" s="54">
        <f t="shared" si="1595"/>
        <v>300</v>
      </c>
      <c r="O411" s="113">
        <v>0</v>
      </c>
      <c r="P411" s="113">
        <v>0</v>
      </c>
      <c r="Q411" s="113">
        <v>0</v>
      </c>
      <c r="R411" s="113">
        <v>300</v>
      </c>
      <c r="S411" s="113">
        <v>300</v>
      </c>
      <c r="T411" s="113">
        <v>300</v>
      </c>
      <c r="U411" s="113">
        <v>300</v>
      </c>
      <c r="V411" s="113">
        <v>300</v>
      </c>
      <c r="W411" s="113">
        <v>300</v>
      </c>
      <c r="X411" s="113">
        <v>300</v>
      </c>
      <c r="Y411" s="113">
        <v>300</v>
      </c>
      <c r="Z411" s="113">
        <v>300</v>
      </c>
      <c r="AA411" s="113">
        <v>300</v>
      </c>
      <c r="AB411" s="113">
        <v>300</v>
      </c>
      <c r="AC411" s="113">
        <v>300</v>
      </c>
      <c r="AD411" s="113">
        <v>300</v>
      </c>
      <c r="AE411" s="113">
        <v>300</v>
      </c>
      <c r="AF411" s="113">
        <v>300</v>
      </c>
      <c r="AG411" s="113">
        <v>300</v>
      </c>
      <c r="AH411" s="113">
        <v>300</v>
      </c>
      <c r="AI411" s="113">
        <v>300</v>
      </c>
      <c r="AJ411" s="113">
        <v>300</v>
      </c>
      <c r="AK411" s="113">
        <v>300</v>
      </c>
      <c r="AL411" s="113">
        <v>300</v>
      </c>
      <c r="AM411" s="113">
        <v>300</v>
      </c>
      <c r="AN411" s="113">
        <v>300</v>
      </c>
      <c r="AO411" s="113">
        <v>300</v>
      </c>
      <c r="AP411" s="113">
        <v>300</v>
      </c>
      <c r="AQ411" s="113">
        <v>300</v>
      </c>
      <c r="AR411" s="113">
        <v>300</v>
      </c>
      <c r="AS411" s="113">
        <v>300</v>
      </c>
      <c r="AT411" s="113">
        <v>300</v>
      </c>
      <c r="AU411" s="114">
        <f t="shared" si="1596"/>
        <v>300</v>
      </c>
      <c r="AV411" s="114">
        <f t="shared" si="1596"/>
        <v>300</v>
      </c>
      <c r="AW411" s="114">
        <f t="shared" si="1596"/>
        <v>300</v>
      </c>
      <c r="AX411" s="114">
        <f t="shared" si="1596"/>
        <v>300</v>
      </c>
      <c r="AY411" s="114">
        <f t="shared" si="1596"/>
        <v>300</v>
      </c>
      <c r="AZ411" s="114">
        <f t="shared" si="1596"/>
        <v>300</v>
      </c>
      <c r="BA411" s="114">
        <f t="shared" si="1596"/>
        <v>300</v>
      </c>
      <c r="BB411" s="114">
        <f t="shared" si="1596"/>
        <v>300</v>
      </c>
      <c r="BC411" s="114">
        <f t="shared" si="1596"/>
        <v>300</v>
      </c>
      <c r="BD411" s="114">
        <f t="shared" si="1596"/>
        <v>300</v>
      </c>
      <c r="BE411" s="114">
        <f>BD411</f>
        <v>300</v>
      </c>
      <c r="BF411" s="114">
        <f>BE411</f>
        <v>300</v>
      </c>
      <c r="BI411">
        <f t="shared" si="1597"/>
        <v>404</v>
      </c>
      <c r="BJ411"/>
      <c r="BK411"/>
      <c r="BL411"/>
      <c r="BM411"/>
      <c r="BN411"/>
      <c r="BO411"/>
    </row>
    <row r="412" spans="1:67" s="112" customFormat="1" hidden="1" outlineLevel="2">
      <c r="A412" s="40"/>
      <c r="B412" s="42" t="s">
        <v>318</v>
      </c>
      <c r="C412" s="54"/>
      <c r="D412" s="54"/>
      <c r="E412" s="54"/>
      <c r="F412" s="54">
        <f t="shared" si="1595"/>
        <v>0</v>
      </c>
      <c r="G412" s="54">
        <f t="shared" si="1595"/>
        <v>0</v>
      </c>
      <c r="H412" s="54">
        <f t="shared" si="1595"/>
        <v>0</v>
      </c>
      <c r="I412" s="54">
        <f t="shared" si="1595"/>
        <v>0</v>
      </c>
      <c r="J412" s="54">
        <f t="shared" si="1595"/>
        <v>0</v>
      </c>
      <c r="K412" s="54">
        <f t="shared" si="1595"/>
        <v>525</v>
      </c>
      <c r="L412" s="54">
        <f t="shared" si="1595"/>
        <v>525</v>
      </c>
      <c r="M412" s="54">
        <f t="shared" si="1595"/>
        <v>525</v>
      </c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13"/>
      <c r="AF412" s="113"/>
      <c r="AG412" s="113"/>
      <c r="AH412" s="113"/>
      <c r="AI412" s="113"/>
      <c r="AJ412" s="113"/>
      <c r="AK412" s="113"/>
      <c r="AL412" s="113"/>
      <c r="AM412" s="113"/>
      <c r="AN412" s="113"/>
      <c r="AO412" s="113"/>
      <c r="AP412" s="113"/>
      <c r="AQ412" s="113">
        <v>0</v>
      </c>
      <c r="AR412" s="113">
        <v>0</v>
      </c>
      <c r="AS412" s="113">
        <v>0</v>
      </c>
      <c r="AT412" s="113">
        <v>0</v>
      </c>
      <c r="AU412" s="115">
        <v>525</v>
      </c>
      <c r="AV412" s="114">
        <f t="shared" ref="AV412" si="1598">AU412</f>
        <v>525</v>
      </c>
      <c r="AW412" s="114">
        <f t="shared" ref="AW412" si="1599">AV412</f>
        <v>525</v>
      </c>
      <c r="AX412" s="114">
        <f t="shared" ref="AX412" si="1600">AW412</f>
        <v>525</v>
      </c>
      <c r="AY412" s="114">
        <f t="shared" ref="AY412" si="1601">AX412</f>
        <v>525</v>
      </c>
      <c r="AZ412" s="114">
        <f t="shared" ref="AZ412" si="1602">AY412</f>
        <v>525</v>
      </c>
      <c r="BA412" s="114">
        <f t="shared" ref="BA412" si="1603">AZ412</f>
        <v>525</v>
      </c>
      <c r="BB412" s="114">
        <f t="shared" ref="BB412" si="1604">BA412</f>
        <v>525</v>
      </c>
      <c r="BC412" s="114">
        <f t="shared" ref="BC412" si="1605">BB412</f>
        <v>525</v>
      </c>
      <c r="BD412" s="114">
        <f t="shared" ref="BD412" si="1606">BC412</f>
        <v>525</v>
      </c>
      <c r="BE412" s="114">
        <f>BD412</f>
        <v>525</v>
      </c>
      <c r="BF412" s="114">
        <f>BE412</f>
        <v>525</v>
      </c>
      <c r="BI412"/>
      <c r="BJ412"/>
      <c r="BK412"/>
      <c r="BL412"/>
      <c r="BM412"/>
      <c r="BN412"/>
      <c r="BO412"/>
    </row>
    <row r="413" spans="1:67" s="112" customFormat="1" hidden="1" outlineLevel="2">
      <c r="A413" s="40"/>
      <c r="B413" s="42" t="s">
        <v>50</v>
      </c>
      <c r="C413" s="54">
        <f t="shared" si="1595"/>
        <v>98.75</v>
      </c>
      <c r="D413" s="54">
        <f t="shared" si="1595"/>
        <v>92.5</v>
      </c>
      <c r="E413" s="54">
        <f t="shared" si="1595"/>
        <v>98.75</v>
      </c>
      <c r="F413" s="54">
        <f t="shared" si="1595"/>
        <v>92.5</v>
      </c>
      <c r="G413" s="54">
        <f t="shared" si="1595"/>
        <v>82.5</v>
      </c>
      <c r="H413" s="54">
        <f t="shared" si="1595"/>
        <v>255</v>
      </c>
      <c r="I413" s="54">
        <f t="shared" si="1595"/>
        <v>0</v>
      </c>
      <c r="J413" s="54">
        <f t="shared" si="1595"/>
        <v>0</v>
      </c>
      <c r="K413" s="54">
        <f t="shared" si="1595"/>
        <v>0</v>
      </c>
      <c r="L413" s="54">
        <f t="shared" si="1595"/>
        <v>0</v>
      </c>
      <c r="M413" s="54">
        <f t="shared" si="1595"/>
        <v>0</v>
      </c>
      <c r="O413" s="94">
        <v>0</v>
      </c>
      <c r="P413" s="94">
        <v>0</v>
      </c>
      <c r="Q413" s="94">
        <v>100</v>
      </c>
      <c r="R413" s="94">
        <v>98.75</v>
      </c>
      <c r="S413" s="94">
        <v>97.5</v>
      </c>
      <c r="T413" s="94">
        <v>96.25</v>
      </c>
      <c r="U413" s="94">
        <v>95</v>
      </c>
      <c r="V413" s="94">
        <v>92.5</v>
      </c>
      <c r="W413" s="94">
        <v>89.5</v>
      </c>
      <c r="X413" s="94">
        <v>0</v>
      </c>
      <c r="Y413" s="94">
        <v>0</v>
      </c>
      <c r="Z413" s="94">
        <v>98.75</v>
      </c>
      <c r="AA413" s="94">
        <v>97.5</v>
      </c>
      <c r="AB413" s="94">
        <v>96.25</v>
      </c>
      <c r="AC413" s="94">
        <v>95</v>
      </c>
      <c r="AD413" s="94">
        <v>92.5</v>
      </c>
      <c r="AE413" s="94">
        <v>90</v>
      </c>
      <c r="AF413" s="94">
        <v>87.5</v>
      </c>
      <c r="AG413" s="94">
        <v>85</v>
      </c>
      <c r="AH413" s="94">
        <v>82.5</v>
      </c>
      <c r="AI413" s="94">
        <v>280</v>
      </c>
      <c r="AJ413" s="94">
        <v>272.5</v>
      </c>
      <c r="AK413" s="94">
        <v>265</v>
      </c>
      <c r="AL413" s="94">
        <v>255</v>
      </c>
      <c r="AM413" s="94">
        <v>245</v>
      </c>
      <c r="AN413" s="94">
        <v>230</v>
      </c>
      <c r="AO413" s="94">
        <v>0</v>
      </c>
      <c r="AP413" s="94">
        <v>0</v>
      </c>
      <c r="AQ413" s="94">
        <v>0</v>
      </c>
      <c r="AR413" s="94">
        <v>0</v>
      </c>
      <c r="AS413" s="94">
        <v>0</v>
      </c>
      <c r="AT413" s="94">
        <v>0</v>
      </c>
      <c r="AU413" s="94">
        <v>0</v>
      </c>
      <c r="AV413" s="94">
        <v>0</v>
      </c>
      <c r="AW413" s="94">
        <v>0</v>
      </c>
      <c r="AX413" s="94">
        <v>0</v>
      </c>
      <c r="AY413" s="94">
        <v>0</v>
      </c>
      <c r="AZ413" s="94">
        <v>0</v>
      </c>
      <c r="BA413" s="94">
        <v>0</v>
      </c>
      <c r="BB413" s="94">
        <v>0</v>
      </c>
      <c r="BC413" s="94">
        <v>0</v>
      </c>
      <c r="BD413" s="94">
        <v>0</v>
      </c>
      <c r="BE413" s="94">
        <v>0</v>
      </c>
      <c r="BF413" s="94">
        <v>0</v>
      </c>
      <c r="BI413">
        <f>+BI411+1</f>
        <v>405</v>
      </c>
      <c r="BJ413"/>
      <c r="BK413"/>
      <c r="BL413"/>
      <c r="BM413"/>
      <c r="BN413"/>
      <c r="BO413"/>
    </row>
    <row r="414" spans="1:67" s="112" customFormat="1" hidden="1" outlineLevel="2">
      <c r="A414" s="40"/>
      <c r="B414" s="42" t="s">
        <v>290</v>
      </c>
      <c r="C414" s="54">
        <f t="shared" si="1595"/>
        <v>398.75</v>
      </c>
      <c r="D414" s="54">
        <f t="shared" si="1595"/>
        <v>392.5</v>
      </c>
      <c r="E414" s="54">
        <f t="shared" si="1595"/>
        <v>698.75</v>
      </c>
      <c r="F414" s="54">
        <f t="shared" si="1595"/>
        <v>692.5</v>
      </c>
      <c r="G414" s="54">
        <f t="shared" si="1595"/>
        <v>682.5</v>
      </c>
      <c r="H414" s="54">
        <f t="shared" si="1595"/>
        <v>855</v>
      </c>
      <c r="I414" s="54">
        <f t="shared" si="1595"/>
        <v>600</v>
      </c>
      <c r="J414" s="54">
        <f t="shared" si="1595"/>
        <v>600</v>
      </c>
      <c r="K414" s="54">
        <f t="shared" si="1595"/>
        <v>1125</v>
      </c>
      <c r="L414" s="54">
        <f t="shared" si="1595"/>
        <v>1125</v>
      </c>
      <c r="M414" s="54">
        <f t="shared" si="1595"/>
        <v>825</v>
      </c>
      <c r="O414" s="116">
        <f>SUM(O410:O413)</f>
        <v>0</v>
      </c>
      <c r="P414" s="116">
        <f t="shared" ref="P414:BF414" si="1607">SUM(P410:P413)</f>
        <v>0</v>
      </c>
      <c r="Q414" s="116">
        <f t="shared" si="1607"/>
        <v>100</v>
      </c>
      <c r="R414" s="116">
        <f t="shared" si="1607"/>
        <v>398.75</v>
      </c>
      <c r="S414" s="116">
        <f t="shared" si="1607"/>
        <v>397.5</v>
      </c>
      <c r="T414" s="116">
        <f t="shared" si="1607"/>
        <v>396.25</v>
      </c>
      <c r="U414" s="116">
        <f t="shared" si="1607"/>
        <v>395</v>
      </c>
      <c r="V414" s="116">
        <f t="shared" si="1607"/>
        <v>392.5</v>
      </c>
      <c r="W414" s="116">
        <f t="shared" si="1607"/>
        <v>389.5</v>
      </c>
      <c r="X414" s="116">
        <f t="shared" si="1607"/>
        <v>600</v>
      </c>
      <c r="Y414" s="116">
        <f t="shared" si="1607"/>
        <v>600</v>
      </c>
      <c r="Z414" s="116">
        <f t="shared" si="1607"/>
        <v>698.75</v>
      </c>
      <c r="AA414" s="116">
        <f t="shared" si="1607"/>
        <v>697.5</v>
      </c>
      <c r="AB414" s="116">
        <f t="shared" si="1607"/>
        <v>696.25</v>
      </c>
      <c r="AC414" s="116">
        <f t="shared" si="1607"/>
        <v>695</v>
      </c>
      <c r="AD414" s="116">
        <f t="shared" si="1607"/>
        <v>692.5</v>
      </c>
      <c r="AE414" s="116">
        <f t="shared" si="1607"/>
        <v>690</v>
      </c>
      <c r="AF414" s="116">
        <f t="shared" si="1607"/>
        <v>687.5</v>
      </c>
      <c r="AG414" s="116">
        <f t="shared" si="1607"/>
        <v>685</v>
      </c>
      <c r="AH414" s="116">
        <f t="shared" si="1607"/>
        <v>682.5</v>
      </c>
      <c r="AI414" s="116">
        <f t="shared" si="1607"/>
        <v>880</v>
      </c>
      <c r="AJ414" s="116">
        <f t="shared" si="1607"/>
        <v>872.5</v>
      </c>
      <c r="AK414" s="116">
        <f t="shared" si="1607"/>
        <v>865</v>
      </c>
      <c r="AL414" s="116">
        <f t="shared" si="1607"/>
        <v>855</v>
      </c>
      <c r="AM414" s="116">
        <f t="shared" si="1607"/>
        <v>845</v>
      </c>
      <c r="AN414" s="116">
        <f t="shared" si="1607"/>
        <v>830</v>
      </c>
      <c r="AO414" s="116">
        <f t="shared" si="1607"/>
        <v>600</v>
      </c>
      <c r="AP414" s="116">
        <f t="shared" si="1607"/>
        <v>600</v>
      </c>
      <c r="AQ414" s="116">
        <f t="shared" si="1607"/>
        <v>600</v>
      </c>
      <c r="AR414" s="116">
        <f t="shared" si="1607"/>
        <v>600</v>
      </c>
      <c r="AS414" s="116">
        <f t="shared" si="1607"/>
        <v>600</v>
      </c>
      <c r="AT414" s="116">
        <f t="shared" si="1607"/>
        <v>600</v>
      </c>
      <c r="AU414" s="116">
        <f t="shared" si="1607"/>
        <v>1125</v>
      </c>
      <c r="AV414" s="116">
        <f t="shared" si="1607"/>
        <v>1125</v>
      </c>
      <c r="AW414" s="116">
        <f t="shared" si="1607"/>
        <v>1125</v>
      </c>
      <c r="AX414" s="116">
        <f t="shared" si="1607"/>
        <v>1125</v>
      </c>
      <c r="AY414" s="116">
        <f t="shared" si="1607"/>
        <v>1125</v>
      </c>
      <c r="AZ414" s="116">
        <f t="shared" si="1607"/>
        <v>1125</v>
      </c>
      <c r="BA414" s="116">
        <f t="shared" si="1607"/>
        <v>1125</v>
      </c>
      <c r="BB414" s="116">
        <f t="shared" si="1607"/>
        <v>1125</v>
      </c>
      <c r="BC414" s="116">
        <f t="shared" si="1607"/>
        <v>1125</v>
      </c>
      <c r="BD414" s="116">
        <f t="shared" si="1607"/>
        <v>1125</v>
      </c>
      <c r="BE414" s="116">
        <f t="shared" si="1607"/>
        <v>825</v>
      </c>
      <c r="BF414" s="116">
        <f t="shared" si="1607"/>
        <v>825</v>
      </c>
      <c r="BI414">
        <f t="shared" ref="BI414:BI440" si="1608">+BI413+1</f>
        <v>406</v>
      </c>
      <c r="BJ414"/>
      <c r="BK414"/>
      <c r="BL414"/>
      <c r="BM414"/>
      <c r="BN414"/>
      <c r="BO414"/>
    </row>
    <row r="415" spans="1:67" s="112" customFormat="1" hidden="1" outlineLevel="2">
      <c r="A415" s="40"/>
      <c r="B415" s="42" t="s">
        <v>291</v>
      </c>
      <c r="C415" s="54">
        <f t="shared" si="1595"/>
        <v>0</v>
      </c>
      <c r="D415" s="54">
        <f t="shared" si="1595"/>
        <v>110</v>
      </c>
      <c r="E415" s="54">
        <f t="shared" si="1595"/>
        <v>0</v>
      </c>
      <c r="F415" s="54">
        <f t="shared" si="1595"/>
        <v>0</v>
      </c>
      <c r="G415" s="54">
        <f t="shared" si="1595"/>
        <v>303</v>
      </c>
      <c r="H415" s="54">
        <f t="shared" si="1595"/>
        <v>0</v>
      </c>
      <c r="I415" s="54">
        <f t="shared" si="1595"/>
        <v>0</v>
      </c>
      <c r="J415" s="54">
        <f t="shared" si="1595"/>
        <v>268</v>
      </c>
      <c r="K415" s="54">
        <f t="shared" si="1595"/>
        <v>0</v>
      </c>
      <c r="L415" s="54">
        <f t="shared" si="1595"/>
        <v>0</v>
      </c>
      <c r="M415" s="54">
        <f t="shared" si="1595"/>
        <v>0</v>
      </c>
      <c r="O415" s="94">
        <v>0</v>
      </c>
      <c r="P415" s="94">
        <v>0</v>
      </c>
      <c r="Q415" s="94">
        <v>0</v>
      </c>
      <c r="R415" s="94">
        <v>0</v>
      </c>
      <c r="S415" s="94">
        <v>0</v>
      </c>
      <c r="T415" s="94">
        <v>0</v>
      </c>
      <c r="U415" s="94">
        <v>15.8</v>
      </c>
      <c r="V415" s="94">
        <v>110</v>
      </c>
      <c r="W415" s="94">
        <v>109</v>
      </c>
      <c r="X415" s="94">
        <v>0</v>
      </c>
      <c r="Y415" s="94">
        <v>0</v>
      </c>
      <c r="Z415" s="94">
        <v>0</v>
      </c>
      <c r="AA415" s="94">
        <v>0</v>
      </c>
      <c r="AB415" s="94">
        <v>0</v>
      </c>
      <c r="AC415" s="94">
        <v>0</v>
      </c>
      <c r="AD415" s="94">
        <v>0</v>
      </c>
      <c r="AE415" s="94">
        <v>0</v>
      </c>
      <c r="AF415" s="94">
        <v>0</v>
      </c>
      <c r="AG415" s="94">
        <v>0</v>
      </c>
      <c r="AH415" s="94">
        <v>303</v>
      </c>
      <c r="AI415" s="94">
        <v>0</v>
      </c>
      <c r="AJ415" s="94">
        <v>0</v>
      </c>
      <c r="AK415" s="94">
        <v>0</v>
      </c>
      <c r="AL415" s="94">
        <v>0</v>
      </c>
      <c r="AM415" s="94">
        <v>0</v>
      </c>
      <c r="AN415" s="94">
        <v>0</v>
      </c>
      <c r="AO415" s="94">
        <v>15</v>
      </c>
      <c r="AP415" s="94">
        <v>0</v>
      </c>
      <c r="AQ415" s="94">
        <v>0</v>
      </c>
      <c r="AR415" s="94">
        <v>115</v>
      </c>
      <c r="AS415" s="94">
        <v>144</v>
      </c>
      <c r="AT415" s="94">
        <v>268</v>
      </c>
      <c r="AU415" s="116">
        <f t="shared" ref="AU415:BF415" si="1609">MIN(AU407,AU421)</f>
        <v>0</v>
      </c>
      <c r="AV415" s="116">
        <f t="shared" si="1609"/>
        <v>0</v>
      </c>
      <c r="AW415" s="116">
        <f t="shared" si="1609"/>
        <v>0</v>
      </c>
      <c r="AX415" s="116">
        <f t="shared" si="1609"/>
        <v>0</v>
      </c>
      <c r="AY415" s="116">
        <f t="shared" si="1609"/>
        <v>0</v>
      </c>
      <c r="AZ415" s="116">
        <f t="shared" si="1609"/>
        <v>0</v>
      </c>
      <c r="BA415" s="116">
        <f t="shared" si="1609"/>
        <v>0</v>
      </c>
      <c r="BB415" s="116">
        <f t="shared" si="1609"/>
        <v>0</v>
      </c>
      <c r="BC415" s="116">
        <f t="shared" si="1609"/>
        <v>0</v>
      </c>
      <c r="BD415" s="116">
        <f t="shared" si="1609"/>
        <v>0</v>
      </c>
      <c r="BE415" s="116">
        <f t="shared" si="1609"/>
        <v>0</v>
      </c>
      <c r="BF415" s="116">
        <f t="shared" si="1609"/>
        <v>0</v>
      </c>
      <c r="BI415">
        <f t="shared" si="1608"/>
        <v>407</v>
      </c>
      <c r="BJ415"/>
      <c r="BK415"/>
      <c r="BL415"/>
      <c r="BM415"/>
      <c r="BN415"/>
      <c r="BO415"/>
    </row>
    <row r="416" spans="1:67" s="112" customFormat="1" hidden="1" outlineLevel="2">
      <c r="A416" s="40"/>
      <c r="B416" s="42" t="s">
        <v>292</v>
      </c>
      <c r="C416" s="54">
        <f t="shared" si="1595"/>
        <v>398.75</v>
      </c>
      <c r="D416" s="54">
        <f t="shared" si="1595"/>
        <v>502.5</v>
      </c>
      <c r="E416" s="54">
        <f t="shared" si="1595"/>
        <v>698.75</v>
      </c>
      <c r="F416" s="54">
        <f t="shared" si="1595"/>
        <v>692.5</v>
      </c>
      <c r="G416" s="54">
        <f t="shared" si="1595"/>
        <v>985.5</v>
      </c>
      <c r="H416" s="54">
        <f t="shared" si="1595"/>
        <v>855</v>
      </c>
      <c r="I416" s="54">
        <f t="shared" si="1595"/>
        <v>600</v>
      </c>
      <c r="J416" s="54">
        <f t="shared" si="1595"/>
        <v>868</v>
      </c>
      <c r="K416" s="54">
        <f t="shared" si="1595"/>
        <v>1125</v>
      </c>
      <c r="L416" s="54">
        <f t="shared" si="1595"/>
        <v>1125</v>
      </c>
      <c r="M416" s="54">
        <f t="shared" si="1595"/>
        <v>825</v>
      </c>
      <c r="O416" s="116">
        <f>+O414+O415</f>
        <v>0</v>
      </c>
      <c r="P416" s="116">
        <f>+P414+P415</f>
        <v>0</v>
      </c>
      <c r="Q416" s="116">
        <f>+Q414+Q415</f>
        <v>100</v>
      </c>
      <c r="R416" s="116">
        <f t="shared" ref="R416:AS416" si="1610">+R414+R415</f>
        <v>398.75</v>
      </c>
      <c r="S416" s="116">
        <f t="shared" si="1610"/>
        <v>397.5</v>
      </c>
      <c r="T416" s="116">
        <f t="shared" si="1610"/>
        <v>396.25</v>
      </c>
      <c r="U416" s="116">
        <f t="shared" si="1610"/>
        <v>410.8</v>
      </c>
      <c r="V416" s="116">
        <f t="shared" si="1610"/>
        <v>502.5</v>
      </c>
      <c r="W416" s="116">
        <f t="shared" si="1610"/>
        <v>498.5</v>
      </c>
      <c r="X416" s="116">
        <f t="shared" si="1610"/>
        <v>600</v>
      </c>
      <c r="Y416" s="116">
        <f t="shared" si="1610"/>
        <v>600</v>
      </c>
      <c r="Z416" s="116">
        <f t="shared" si="1610"/>
        <v>698.75</v>
      </c>
      <c r="AA416" s="116">
        <f t="shared" si="1610"/>
        <v>697.5</v>
      </c>
      <c r="AB416" s="116">
        <f t="shared" si="1610"/>
        <v>696.25</v>
      </c>
      <c r="AC416" s="116">
        <f t="shared" si="1610"/>
        <v>695</v>
      </c>
      <c r="AD416" s="116">
        <f t="shared" si="1610"/>
        <v>692.5</v>
      </c>
      <c r="AE416" s="116">
        <f t="shared" si="1610"/>
        <v>690</v>
      </c>
      <c r="AF416" s="116">
        <f t="shared" si="1610"/>
        <v>687.5</v>
      </c>
      <c r="AG416" s="116">
        <f t="shared" si="1610"/>
        <v>685</v>
      </c>
      <c r="AH416" s="116">
        <f t="shared" si="1610"/>
        <v>985.5</v>
      </c>
      <c r="AI416" s="116">
        <f t="shared" si="1610"/>
        <v>880</v>
      </c>
      <c r="AJ416" s="116">
        <f t="shared" si="1610"/>
        <v>872.5</v>
      </c>
      <c r="AK416" s="116">
        <f t="shared" si="1610"/>
        <v>865</v>
      </c>
      <c r="AL416" s="116">
        <f t="shared" si="1610"/>
        <v>855</v>
      </c>
      <c r="AM416" s="116">
        <f t="shared" si="1610"/>
        <v>845</v>
      </c>
      <c r="AN416" s="116">
        <f t="shared" si="1610"/>
        <v>830</v>
      </c>
      <c r="AO416" s="116">
        <f t="shared" si="1610"/>
        <v>615</v>
      </c>
      <c r="AP416" s="116">
        <f t="shared" si="1610"/>
        <v>600</v>
      </c>
      <c r="AQ416" s="116">
        <f t="shared" si="1610"/>
        <v>600</v>
      </c>
      <c r="AR416" s="116">
        <f t="shared" si="1610"/>
        <v>715</v>
      </c>
      <c r="AS416" s="116">
        <f t="shared" si="1610"/>
        <v>744</v>
      </c>
      <c r="AT416" s="116">
        <f t="shared" ref="AT416" si="1611">+AT414+AT415</f>
        <v>868</v>
      </c>
      <c r="AU416" s="116">
        <f t="shared" ref="AU416" si="1612">+AU414+AU415</f>
        <v>1125</v>
      </c>
      <c r="AV416" s="116">
        <f t="shared" ref="AV416" si="1613">+AV414+AV415</f>
        <v>1125</v>
      </c>
      <c r="AW416" s="116">
        <f t="shared" ref="AW416" si="1614">+AW414+AW415</f>
        <v>1125</v>
      </c>
      <c r="AX416" s="116">
        <f t="shared" ref="AX416" si="1615">+AX414+AX415</f>
        <v>1125</v>
      </c>
      <c r="AY416" s="116">
        <f t="shared" ref="AY416" si="1616">+AY414+AY415</f>
        <v>1125</v>
      </c>
      <c r="AZ416" s="116">
        <f t="shared" ref="AZ416" si="1617">+AZ414+AZ415</f>
        <v>1125</v>
      </c>
      <c r="BA416" s="116">
        <f t="shared" ref="BA416" si="1618">+BA414+BA415</f>
        <v>1125</v>
      </c>
      <c r="BB416" s="116">
        <f t="shared" ref="BB416" si="1619">+BB414+BB415</f>
        <v>1125</v>
      </c>
      <c r="BC416" s="116">
        <f t="shared" ref="BC416" si="1620">+BC414+BC415</f>
        <v>1125</v>
      </c>
      <c r="BD416" s="116">
        <f t="shared" ref="BD416" si="1621">+BD414+BD415</f>
        <v>1125</v>
      </c>
      <c r="BE416" s="116">
        <f t="shared" ref="BE416" si="1622">+BE414+BE415</f>
        <v>825</v>
      </c>
      <c r="BF416" s="116">
        <f t="shared" ref="BF416" si="1623">+BF414+BF415</f>
        <v>825</v>
      </c>
      <c r="BI416">
        <f t="shared" si="1608"/>
        <v>408</v>
      </c>
      <c r="BJ416"/>
      <c r="BK416"/>
      <c r="BL416"/>
      <c r="BM416"/>
      <c r="BN416"/>
      <c r="BO416"/>
    </row>
    <row r="417" spans="1:67" s="112" customFormat="1" hidden="1" outlineLevel="2">
      <c r="A417" s="40"/>
      <c r="B417" s="42" t="s">
        <v>293</v>
      </c>
      <c r="C417" s="54">
        <f t="shared" si="1595"/>
        <v>0</v>
      </c>
      <c r="D417" s="54">
        <f t="shared" si="1595"/>
        <v>0</v>
      </c>
      <c r="E417" s="54">
        <f t="shared" si="1595"/>
        <v>0</v>
      </c>
      <c r="F417" s="54">
        <f t="shared" si="1595"/>
        <v>0</v>
      </c>
      <c r="G417" s="54">
        <f t="shared" si="1595"/>
        <v>0</v>
      </c>
      <c r="H417" s="54">
        <f t="shared" si="1595"/>
        <v>0</v>
      </c>
      <c r="I417" s="54">
        <f t="shared" si="1595"/>
        <v>-1.5629999999999999</v>
      </c>
      <c r="J417" s="54">
        <f t="shared" si="1595"/>
        <v>-1.2170000000000001</v>
      </c>
      <c r="K417" s="54">
        <f t="shared" si="1595"/>
        <v>-1.2170000000000001</v>
      </c>
      <c r="L417" s="54">
        <f t="shared" si="1595"/>
        <v>-1.2170000000000001</v>
      </c>
      <c r="M417" s="54">
        <f t="shared" si="1595"/>
        <v>-1.2170000000000001</v>
      </c>
      <c r="O417" s="110">
        <v>0</v>
      </c>
      <c r="P417" s="110">
        <v>0</v>
      </c>
      <c r="Q417" s="110">
        <v>0</v>
      </c>
      <c r="R417" s="110">
        <v>0</v>
      </c>
      <c r="S417" s="110">
        <v>0</v>
      </c>
      <c r="T417" s="110">
        <v>0</v>
      </c>
      <c r="U417" s="110">
        <v>0</v>
      </c>
      <c r="V417" s="110">
        <v>0</v>
      </c>
      <c r="W417" s="110">
        <v>0</v>
      </c>
      <c r="X417" s="110">
        <v>0</v>
      </c>
      <c r="Y417" s="110">
        <v>0</v>
      </c>
      <c r="Z417" s="110">
        <v>0</v>
      </c>
      <c r="AA417" s="110">
        <v>0</v>
      </c>
      <c r="AB417" s="110">
        <v>0</v>
      </c>
      <c r="AC417" s="110">
        <v>0</v>
      </c>
      <c r="AD417" s="110">
        <v>0</v>
      </c>
      <c r="AE417" s="110">
        <v>0</v>
      </c>
      <c r="AF417" s="110">
        <v>0</v>
      </c>
      <c r="AG417" s="110">
        <v>0</v>
      </c>
      <c r="AH417" s="110">
        <v>0</v>
      </c>
      <c r="AI417" s="110">
        <v>0</v>
      </c>
      <c r="AJ417" s="110">
        <v>0</v>
      </c>
      <c r="AK417" s="110">
        <v>0</v>
      </c>
      <c r="AL417" s="110">
        <v>0</v>
      </c>
      <c r="AM417" s="94">
        <v>-3.4710000000000001</v>
      </c>
      <c r="AN417" s="94">
        <v>-3.11</v>
      </c>
      <c r="AO417" s="94">
        <v>-1.6490000000000009</v>
      </c>
      <c r="AP417" s="94">
        <v>-1.5629999999999999</v>
      </c>
      <c r="AQ417" s="94">
        <v>-1.476</v>
      </c>
      <c r="AR417" s="94">
        <v>-1.3899999999999864</v>
      </c>
      <c r="AS417" s="94">
        <v>-1.3029999999999999</v>
      </c>
      <c r="AT417" s="94">
        <v>-1.2170000000000001</v>
      </c>
      <c r="AU417" s="116">
        <f t="shared" ref="AU417:BF417" si="1624">AT417</f>
        <v>-1.2170000000000001</v>
      </c>
      <c r="AV417" s="116">
        <f t="shared" si="1624"/>
        <v>-1.2170000000000001</v>
      </c>
      <c r="AW417" s="116">
        <f t="shared" si="1624"/>
        <v>-1.2170000000000001</v>
      </c>
      <c r="AX417" s="116">
        <f t="shared" si="1624"/>
        <v>-1.2170000000000001</v>
      </c>
      <c r="AY417" s="116">
        <f t="shared" si="1624"/>
        <v>-1.2170000000000001</v>
      </c>
      <c r="AZ417" s="116">
        <f t="shared" si="1624"/>
        <v>-1.2170000000000001</v>
      </c>
      <c r="BA417" s="116">
        <f t="shared" si="1624"/>
        <v>-1.2170000000000001</v>
      </c>
      <c r="BB417" s="116">
        <f t="shared" si="1624"/>
        <v>-1.2170000000000001</v>
      </c>
      <c r="BC417" s="116">
        <f t="shared" si="1624"/>
        <v>-1.2170000000000001</v>
      </c>
      <c r="BD417" s="116">
        <f t="shared" si="1624"/>
        <v>-1.2170000000000001</v>
      </c>
      <c r="BE417" s="116">
        <f t="shared" si="1624"/>
        <v>-1.2170000000000001</v>
      </c>
      <c r="BF417" s="116">
        <f t="shared" si="1624"/>
        <v>-1.2170000000000001</v>
      </c>
      <c r="BI417">
        <f t="shared" si="1608"/>
        <v>409</v>
      </c>
      <c r="BJ417"/>
      <c r="BK417"/>
      <c r="BL417"/>
      <c r="BM417"/>
      <c r="BN417"/>
      <c r="BO417"/>
    </row>
    <row r="418" spans="1:67" s="112" customFormat="1" hidden="1" outlineLevel="2">
      <c r="A418" s="40"/>
      <c r="B418" s="42" t="s">
        <v>294</v>
      </c>
      <c r="C418" s="54">
        <f t="shared" si="1595"/>
        <v>398.75</v>
      </c>
      <c r="D418" s="54">
        <f t="shared" si="1595"/>
        <v>502.5</v>
      </c>
      <c r="E418" s="54">
        <f t="shared" si="1595"/>
        <v>698.75</v>
      </c>
      <c r="F418" s="54">
        <f t="shared" si="1595"/>
        <v>692.5</v>
      </c>
      <c r="G418" s="54">
        <f t="shared" si="1595"/>
        <v>985.5</v>
      </c>
      <c r="H418" s="54">
        <f t="shared" si="1595"/>
        <v>855</v>
      </c>
      <c r="I418" s="54">
        <f t="shared" si="1595"/>
        <v>598.43700000000001</v>
      </c>
      <c r="J418" s="54">
        <f t="shared" si="1595"/>
        <v>866.78300000000002</v>
      </c>
      <c r="K418" s="54">
        <f t="shared" si="1595"/>
        <v>1123.7829999999999</v>
      </c>
      <c r="L418" s="54">
        <f t="shared" si="1595"/>
        <v>1123.7829999999999</v>
      </c>
      <c r="M418" s="54">
        <f t="shared" si="1595"/>
        <v>823.78300000000002</v>
      </c>
      <c r="O418" s="116">
        <f>+O416+O417</f>
        <v>0</v>
      </c>
      <c r="P418" s="116">
        <f t="shared" ref="P418:AS418" si="1625">+P416+P417</f>
        <v>0</v>
      </c>
      <c r="Q418" s="116">
        <f t="shared" si="1625"/>
        <v>100</v>
      </c>
      <c r="R418" s="116">
        <f t="shared" si="1625"/>
        <v>398.75</v>
      </c>
      <c r="S418" s="116">
        <f t="shared" si="1625"/>
        <v>397.5</v>
      </c>
      <c r="T418" s="116">
        <f t="shared" si="1625"/>
        <v>396.25</v>
      </c>
      <c r="U418" s="116">
        <f t="shared" si="1625"/>
        <v>410.8</v>
      </c>
      <c r="V418" s="116">
        <f t="shared" si="1625"/>
        <v>502.5</v>
      </c>
      <c r="W418" s="116">
        <f t="shared" si="1625"/>
        <v>498.5</v>
      </c>
      <c r="X418" s="116">
        <f t="shared" si="1625"/>
        <v>600</v>
      </c>
      <c r="Y418" s="116">
        <f t="shared" si="1625"/>
        <v>600</v>
      </c>
      <c r="Z418" s="116">
        <f t="shared" si="1625"/>
        <v>698.75</v>
      </c>
      <c r="AA418" s="116">
        <f t="shared" si="1625"/>
        <v>697.5</v>
      </c>
      <c r="AB418" s="116">
        <f t="shared" si="1625"/>
        <v>696.25</v>
      </c>
      <c r="AC418" s="116">
        <f t="shared" si="1625"/>
        <v>695</v>
      </c>
      <c r="AD418" s="116">
        <f t="shared" si="1625"/>
        <v>692.5</v>
      </c>
      <c r="AE418" s="116">
        <f t="shared" si="1625"/>
        <v>690</v>
      </c>
      <c r="AF418" s="116">
        <f t="shared" si="1625"/>
        <v>687.5</v>
      </c>
      <c r="AG418" s="116">
        <f t="shared" si="1625"/>
        <v>685</v>
      </c>
      <c r="AH418" s="116">
        <f t="shared" si="1625"/>
        <v>985.5</v>
      </c>
      <c r="AI418" s="116">
        <f t="shared" si="1625"/>
        <v>880</v>
      </c>
      <c r="AJ418" s="116">
        <f t="shared" si="1625"/>
        <v>872.5</v>
      </c>
      <c r="AK418" s="116">
        <f t="shared" si="1625"/>
        <v>865</v>
      </c>
      <c r="AL418" s="116">
        <f t="shared" si="1625"/>
        <v>855</v>
      </c>
      <c r="AM418" s="116">
        <f t="shared" si="1625"/>
        <v>841.529</v>
      </c>
      <c r="AN418" s="116">
        <f t="shared" si="1625"/>
        <v>826.89</v>
      </c>
      <c r="AO418" s="116">
        <f t="shared" si="1625"/>
        <v>613.351</v>
      </c>
      <c r="AP418" s="116">
        <f t="shared" si="1625"/>
        <v>598.43700000000001</v>
      </c>
      <c r="AQ418" s="116">
        <f t="shared" si="1625"/>
        <v>598.524</v>
      </c>
      <c r="AR418" s="116">
        <f t="shared" si="1625"/>
        <v>713.61</v>
      </c>
      <c r="AS418" s="116">
        <f t="shared" si="1625"/>
        <v>742.697</v>
      </c>
      <c r="AT418" s="116">
        <f t="shared" ref="AT418" si="1626">+AT416+AT417</f>
        <v>866.78300000000002</v>
      </c>
      <c r="AU418" s="116">
        <f t="shared" ref="AU418" si="1627">+AU416+AU417</f>
        <v>1123.7829999999999</v>
      </c>
      <c r="AV418" s="116">
        <f t="shared" ref="AV418" si="1628">+AV416+AV417</f>
        <v>1123.7829999999999</v>
      </c>
      <c r="AW418" s="116">
        <f t="shared" ref="AW418" si="1629">+AW416+AW417</f>
        <v>1123.7829999999999</v>
      </c>
      <c r="AX418" s="116">
        <f t="shared" ref="AX418" si="1630">+AX416+AX417</f>
        <v>1123.7829999999999</v>
      </c>
      <c r="AY418" s="116">
        <f t="shared" ref="AY418" si="1631">+AY416+AY417</f>
        <v>1123.7829999999999</v>
      </c>
      <c r="AZ418" s="116">
        <f t="shared" ref="AZ418" si="1632">+AZ416+AZ417</f>
        <v>1123.7829999999999</v>
      </c>
      <c r="BA418" s="116">
        <f t="shared" ref="BA418" si="1633">+BA416+BA417</f>
        <v>1123.7829999999999</v>
      </c>
      <c r="BB418" s="116">
        <f t="shared" ref="BB418" si="1634">+BB416+BB417</f>
        <v>1123.7829999999999</v>
      </c>
      <c r="BC418" s="116">
        <f t="shared" ref="BC418" si="1635">+BC416+BC417</f>
        <v>1123.7829999999999</v>
      </c>
      <c r="BD418" s="116">
        <f t="shared" ref="BD418" si="1636">+BD416+BD417</f>
        <v>1123.7829999999999</v>
      </c>
      <c r="BE418" s="116">
        <f t="shared" ref="BE418" si="1637">+BE416+BE417</f>
        <v>823.78300000000002</v>
      </c>
      <c r="BF418" s="116">
        <f t="shared" ref="BF418" si="1638">+BF416+BF417</f>
        <v>823.78300000000002</v>
      </c>
      <c r="BI418">
        <f t="shared" si="1608"/>
        <v>410</v>
      </c>
      <c r="BJ418"/>
      <c r="BK418"/>
      <c r="BL418"/>
      <c r="BM418"/>
      <c r="BN418"/>
      <c r="BO418"/>
    </row>
    <row r="419" spans="1:67" s="112" customFormat="1" hidden="1" outlineLevel="2">
      <c r="A419" s="40"/>
      <c r="B419" s="42"/>
      <c r="C419" s="111"/>
      <c r="D419" s="111"/>
      <c r="E419" s="111"/>
      <c r="F419" s="111"/>
      <c r="G419" s="111"/>
      <c r="H419" s="111"/>
      <c r="I419" s="111"/>
      <c r="J419" s="111"/>
      <c r="K419" s="111"/>
      <c r="L419" s="111"/>
      <c r="M419" s="111"/>
      <c r="O419" s="93">
        <f t="shared" ref="O419:AR419" si="1639">O418-O334</f>
        <v>0</v>
      </c>
      <c r="P419" s="93">
        <f t="shared" si="1639"/>
        <v>0</v>
      </c>
      <c r="Q419" s="93">
        <f t="shared" si="1639"/>
        <v>0</v>
      </c>
      <c r="R419" s="93">
        <f t="shared" si="1639"/>
        <v>0</v>
      </c>
      <c r="S419" s="93">
        <f t="shared" si="1639"/>
        <v>0</v>
      </c>
      <c r="T419" s="93">
        <f t="shared" si="1639"/>
        <v>0</v>
      </c>
      <c r="U419" s="93">
        <f t="shared" si="1639"/>
        <v>0</v>
      </c>
      <c r="V419" s="93">
        <f t="shared" si="1639"/>
        <v>0</v>
      </c>
      <c r="W419" s="93">
        <f t="shared" si="1639"/>
        <v>0</v>
      </c>
      <c r="X419" s="93">
        <f t="shared" si="1639"/>
        <v>0</v>
      </c>
      <c r="Y419" s="93">
        <f t="shared" si="1639"/>
        <v>0</v>
      </c>
      <c r="Z419" s="93">
        <f t="shared" si="1639"/>
        <v>0</v>
      </c>
      <c r="AA419" s="93">
        <f t="shared" si="1639"/>
        <v>0</v>
      </c>
      <c r="AB419" s="93">
        <f t="shared" si="1639"/>
        <v>0</v>
      </c>
      <c r="AC419" s="93">
        <f t="shared" si="1639"/>
        <v>0</v>
      </c>
      <c r="AD419" s="93">
        <f t="shared" si="1639"/>
        <v>0</v>
      </c>
      <c r="AE419" s="93">
        <f t="shared" si="1639"/>
        <v>0</v>
      </c>
      <c r="AF419" s="93">
        <f t="shared" si="1639"/>
        <v>0</v>
      </c>
      <c r="AG419" s="93">
        <f t="shared" si="1639"/>
        <v>0</v>
      </c>
      <c r="AH419" s="93">
        <f t="shared" si="1639"/>
        <v>0</v>
      </c>
      <c r="AI419" s="93">
        <f t="shared" si="1639"/>
        <v>0</v>
      </c>
      <c r="AJ419" s="93">
        <f t="shared" si="1639"/>
        <v>0</v>
      </c>
      <c r="AK419" s="93">
        <f t="shared" si="1639"/>
        <v>0</v>
      </c>
      <c r="AL419" s="93">
        <f t="shared" si="1639"/>
        <v>0</v>
      </c>
      <c r="AM419" s="93">
        <f t="shared" si="1639"/>
        <v>0</v>
      </c>
      <c r="AN419" s="93">
        <f t="shared" si="1639"/>
        <v>0</v>
      </c>
      <c r="AO419" s="93">
        <f t="shared" si="1639"/>
        <v>0</v>
      </c>
      <c r="AP419" s="93">
        <f t="shared" si="1639"/>
        <v>0</v>
      </c>
      <c r="AQ419" s="93">
        <f t="shared" si="1639"/>
        <v>0</v>
      </c>
      <c r="AR419" s="93">
        <f t="shared" si="1639"/>
        <v>0</v>
      </c>
      <c r="AS419" s="93">
        <f>AS418-AS334</f>
        <v>0</v>
      </c>
      <c r="AT419" s="93">
        <f>AT418-AT334</f>
        <v>0</v>
      </c>
      <c r="AU419" s="129">
        <f t="shared" ref="AU419:BF419" si="1640">AU418-AU334</f>
        <v>0</v>
      </c>
      <c r="AV419" s="93">
        <f t="shared" si="1640"/>
        <v>0</v>
      </c>
      <c r="AW419" s="93">
        <f t="shared" si="1640"/>
        <v>0</v>
      </c>
      <c r="AX419" s="93">
        <f t="shared" si="1640"/>
        <v>0</v>
      </c>
      <c r="AY419" s="93">
        <f t="shared" si="1640"/>
        <v>0</v>
      </c>
      <c r="AZ419" s="93">
        <f t="shared" si="1640"/>
        <v>0</v>
      </c>
      <c r="BA419" s="93">
        <f t="shared" si="1640"/>
        <v>0</v>
      </c>
      <c r="BB419" s="93">
        <f t="shared" si="1640"/>
        <v>0</v>
      </c>
      <c r="BC419" s="93">
        <f t="shared" si="1640"/>
        <v>0</v>
      </c>
      <c r="BD419" s="93">
        <f t="shared" si="1640"/>
        <v>0</v>
      </c>
      <c r="BE419" s="93">
        <f t="shared" si="1640"/>
        <v>0</v>
      </c>
      <c r="BF419" s="93">
        <f t="shared" si="1640"/>
        <v>0</v>
      </c>
      <c r="BI419">
        <f t="shared" si="1608"/>
        <v>411</v>
      </c>
      <c r="BJ419"/>
      <c r="BK419"/>
      <c r="BL419"/>
      <c r="BM419"/>
      <c r="BN419"/>
      <c r="BO419"/>
    </row>
    <row r="420" spans="1:67" s="112" customFormat="1" hidden="1" outlineLevel="2">
      <c r="A420" s="40"/>
      <c r="B420" s="42"/>
      <c r="C420" s="111"/>
      <c r="D420" s="111"/>
      <c r="E420" s="111"/>
      <c r="F420" s="111"/>
      <c r="G420" s="111"/>
      <c r="H420" s="111"/>
      <c r="I420" s="111"/>
      <c r="J420" s="111"/>
      <c r="K420" s="111"/>
      <c r="L420" s="111"/>
      <c r="M420" s="111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111"/>
      <c r="AB420" s="111"/>
      <c r="AC420" s="111"/>
      <c r="AD420" s="111"/>
      <c r="AE420" s="111"/>
      <c r="AF420" s="111"/>
      <c r="AG420" s="111"/>
      <c r="AH420" s="111"/>
      <c r="AI420" s="111"/>
      <c r="AJ420" s="111"/>
      <c r="AK420" s="111"/>
      <c r="AL420" s="111"/>
      <c r="AM420" s="111"/>
      <c r="AN420" s="111"/>
      <c r="AO420" s="111"/>
      <c r="AP420" s="111"/>
      <c r="AQ420" s="111"/>
      <c r="AR420" s="111"/>
      <c r="AS420" s="111"/>
      <c r="AT420" s="111"/>
      <c r="AU420" s="111"/>
      <c r="AV420" s="111"/>
      <c r="AW420" s="111"/>
      <c r="AX420" s="111"/>
      <c r="AY420" s="111"/>
      <c r="AZ420" s="111"/>
      <c r="BA420" s="111"/>
      <c r="BB420" s="111"/>
      <c r="BC420" s="111"/>
      <c r="BD420" s="111"/>
      <c r="BE420" s="111"/>
      <c r="BF420" s="111"/>
      <c r="BI420">
        <f t="shared" si="1608"/>
        <v>412</v>
      </c>
      <c r="BJ420"/>
      <c r="BK420"/>
      <c r="BL420"/>
      <c r="BM420"/>
      <c r="BN420"/>
      <c r="BO420"/>
    </row>
    <row r="421" spans="1:67" s="112" customFormat="1" hidden="1" outlineLevel="2">
      <c r="A421" s="40"/>
      <c r="B421" s="42" t="s">
        <v>295</v>
      </c>
      <c r="C421" s="54">
        <f t="shared" ref="C421:M423" si="1641">INDEX($O421:$BG421,1,MATCH(C$4,$O$4:$BG$4,0))</f>
        <v>0</v>
      </c>
      <c r="D421" s="54">
        <f t="shared" si="1641"/>
        <v>0</v>
      </c>
      <c r="E421" s="54">
        <f t="shared" si="1641"/>
        <v>0</v>
      </c>
      <c r="F421" s="54">
        <f t="shared" si="1641"/>
        <v>500</v>
      </c>
      <c r="G421" s="54">
        <f t="shared" si="1641"/>
        <v>500</v>
      </c>
      <c r="H421" s="54">
        <f t="shared" si="1641"/>
        <v>500</v>
      </c>
      <c r="I421" s="54">
        <f t="shared" si="1641"/>
        <v>500</v>
      </c>
      <c r="J421" s="54">
        <f t="shared" si="1641"/>
        <v>490</v>
      </c>
      <c r="K421" s="54">
        <f t="shared" si="1641"/>
        <v>490</v>
      </c>
      <c r="L421" s="54">
        <f t="shared" si="1641"/>
        <v>490</v>
      </c>
      <c r="M421" s="54">
        <f t="shared" si="1641"/>
        <v>490</v>
      </c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>
        <v>500</v>
      </c>
      <c r="AB421" s="113">
        <v>500</v>
      </c>
      <c r="AC421" s="113">
        <v>500</v>
      </c>
      <c r="AD421" s="113">
        <v>500</v>
      </c>
      <c r="AE421" s="113">
        <v>500</v>
      </c>
      <c r="AF421" s="113">
        <v>500</v>
      </c>
      <c r="AG421" s="113">
        <v>500</v>
      </c>
      <c r="AH421" s="113">
        <v>500</v>
      </c>
      <c r="AI421" s="113">
        <v>500</v>
      </c>
      <c r="AJ421" s="113">
        <v>500</v>
      </c>
      <c r="AK421" s="113">
        <v>500</v>
      </c>
      <c r="AL421" s="113">
        <v>500</v>
      </c>
      <c r="AM421" s="113">
        <v>500</v>
      </c>
      <c r="AN421" s="113">
        <v>500</v>
      </c>
      <c r="AO421" s="113">
        <v>500</v>
      </c>
      <c r="AP421" s="113">
        <v>500</v>
      </c>
      <c r="AQ421" s="113">
        <f>500+96</f>
        <v>596</v>
      </c>
      <c r="AR421" s="113">
        <v>595.79999999999995</v>
      </c>
      <c r="AS421" s="113">
        <v>490</v>
      </c>
      <c r="AT421" s="113">
        <v>490</v>
      </c>
      <c r="AU421" s="113">
        <f t="shared" ref="AU421" si="1642">AT421</f>
        <v>490</v>
      </c>
      <c r="AV421" s="113">
        <f t="shared" ref="AV421" si="1643">AU421</f>
        <v>490</v>
      </c>
      <c r="AW421" s="113">
        <f t="shared" ref="AW421" si="1644">AV421</f>
        <v>490</v>
      </c>
      <c r="AX421" s="113">
        <f t="shared" ref="AX421" si="1645">AW421</f>
        <v>490</v>
      </c>
      <c r="AY421" s="113">
        <f t="shared" ref="AY421" si="1646">AX421</f>
        <v>490</v>
      </c>
      <c r="AZ421" s="113">
        <f t="shared" ref="AZ421" si="1647">AY421</f>
        <v>490</v>
      </c>
      <c r="BA421" s="113">
        <f t="shared" ref="BA421" si="1648">AZ421</f>
        <v>490</v>
      </c>
      <c r="BB421" s="113">
        <f t="shared" ref="BB421" si="1649">BA421</f>
        <v>490</v>
      </c>
      <c r="BC421" s="113">
        <f t="shared" ref="BC421" si="1650">BB421</f>
        <v>490</v>
      </c>
      <c r="BD421" s="113">
        <f t="shared" ref="BD421" si="1651">BC421</f>
        <v>490</v>
      </c>
      <c r="BE421" s="113">
        <f t="shared" ref="BE421" si="1652">BD421</f>
        <v>490</v>
      </c>
      <c r="BF421" s="113">
        <f t="shared" ref="BF421" si="1653">BE421</f>
        <v>490</v>
      </c>
      <c r="BI421">
        <f t="shared" si="1608"/>
        <v>413</v>
      </c>
      <c r="BJ421"/>
      <c r="BK421"/>
      <c r="BL421"/>
      <c r="BM421"/>
      <c r="BN421"/>
      <c r="BO421"/>
    </row>
    <row r="422" spans="1:67" s="112" customFormat="1" hidden="1" outlineLevel="2">
      <c r="A422" s="40"/>
      <c r="B422" s="42" t="s">
        <v>296</v>
      </c>
      <c r="C422" s="54">
        <f t="shared" si="1641"/>
        <v>0</v>
      </c>
      <c r="D422" s="54">
        <f t="shared" si="1641"/>
        <v>0</v>
      </c>
      <c r="E422" s="54">
        <f t="shared" si="1641"/>
        <v>0</v>
      </c>
      <c r="F422" s="54">
        <f t="shared" si="1641"/>
        <v>500</v>
      </c>
      <c r="G422" s="54">
        <f t="shared" si="1641"/>
        <v>197</v>
      </c>
      <c r="H422" s="54">
        <f t="shared" si="1641"/>
        <v>500</v>
      </c>
      <c r="I422" s="54">
        <f t="shared" si="1641"/>
        <v>500</v>
      </c>
      <c r="J422" s="54">
        <f t="shared" si="1641"/>
        <v>222</v>
      </c>
      <c r="K422" s="54">
        <f t="shared" si="1641"/>
        <v>490</v>
      </c>
      <c r="L422" s="54">
        <f t="shared" si="1641"/>
        <v>490</v>
      </c>
      <c r="M422" s="54">
        <f t="shared" si="1641"/>
        <v>490</v>
      </c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7"/>
      <c r="AA422" s="117">
        <f t="shared" ref="AA422:BF422" si="1654">AA421-AA415</f>
        <v>500</v>
      </c>
      <c r="AB422" s="117">
        <f t="shared" si="1654"/>
        <v>500</v>
      </c>
      <c r="AC422" s="117">
        <f t="shared" si="1654"/>
        <v>500</v>
      </c>
      <c r="AD422" s="117">
        <f t="shared" si="1654"/>
        <v>500</v>
      </c>
      <c r="AE422" s="117">
        <f t="shared" si="1654"/>
        <v>500</v>
      </c>
      <c r="AF422" s="117">
        <f t="shared" si="1654"/>
        <v>500</v>
      </c>
      <c r="AG422" s="117">
        <f t="shared" si="1654"/>
        <v>500</v>
      </c>
      <c r="AH422" s="117">
        <f t="shared" si="1654"/>
        <v>197</v>
      </c>
      <c r="AI422" s="117">
        <f t="shared" si="1654"/>
        <v>500</v>
      </c>
      <c r="AJ422" s="117">
        <f t="shared" si="1654"/>
        <v>500</v>
      </c>
      <c r="AK422" s="117">
        <f t="shared" si="1654"/>
        <v>500</v>
      </c>
      <c r="AL422" s="117">
        <f t="shared" si="1654"/>
        <v>500</v>
      </c>
      <c r="AM422" s="117">
        <f t="shared" si="1654"/>
        <v>500</v>
      </c>
      <c r="AN422" s="117">
        <f t="shared" si="1654"/>
        <v>500</v>
      </c>
      <c r="AO422" s="117">
        <f t="shared" si="1654"/>
        <v>485</v>
      </c>
      <c r="AP422" s="117">
        <f t="shared" si="1654"/>
        <v>500</v>
      </c>
      <c r="AQ422" s="117">
        <f t="shared" si="1654"/>
        <v>596</v>
      </c>
      <c r="AR422" s="117">
        <f t="shared" si="1654"/>
        <v>480.79999999999995</v>
      </c>
      <c r="AS422" s="117">
        <f t="shared" si="1654"/>
        <v>346</v>
      </c>
      <c r="AT422" s="117">
        <f t="shared" ref="AT422" si="1655">AT421-AT415</f>
        <v>222</v>
      </c>
      <c r="AU422" s="117">
        <f t="shared" si="1654"/>
        <v>490</v>
      </c>
      <c r="AV422" s="117">
        <f t="shared" si="1654"/>
        <v>490</v>
      </c>
      <c r="AW422" s="117">
        <f t="shared" si="1654"/>
        <v>490</v>
      </c>
      <c r="AX422" s="117">
        <f t="shared" si="1654"/>
        <v>490</v>
      </c>
      <c r="AY422" s="117">
        <f t="shared" si="1654"/>
        <v>490</v>
      </c>
      <c r="AZ422" s="117">
        <f t="shared" si="1654"/>
        <v>490</v>
      </c>
      <c r="BA422" s="117">
        <f t="shared" si="1654"/>
        <v>490</v>
      </c>
      <c r="BB422" s="117">
        <f t="shared" si="1654"/>
        <v>490</v>
      </c>
      <c r="BC422" s="117">
        <f t="shared" si="1654"/>
        <v>490</v>
      </c>
      <c r="BD422" s="117">
        <f t="shared" si="1654"/>
        <v>490</v>
      </c>
      <c r="BE422" s="117">
        <f t="shared" si="1654"/>
        <v>490</v>
      </c>
      <c r="BF422" s="117">
        <f t="shared" si="1654"/>
        <v>490</v>
      </c>
      <c r="BI422">
        <f t="shared" si="1608"/>
        <v>414</v>
      </c>
      <c r="BJ422"/>
      <c r="BK422"/>
      <c r="BL422"/>
      <c r="BM422"/>
      <c r="BN422"/>
      <c r="BO422"/>
    </row>
    <row r="423" spans="1:67" s="112" customFormat="1" hidden="1" outlineLevel="2">
      <c r="A423" s="40"/>
      <c r="B423" s="42" t="s">
        <v>297</v>
      </c>
      <c r="C423" s="54">
        <f t="shared" si="1641"/>
        <v>0</v>
      </c>
      <c r="D423" s="54">
        <f t="shared" si="1641"/>
        <v>0</v>
      </c>
      <c r="E423" s="54">
        <f t="shared" si="1641"/>
        <v>0</v>
      </c>
      <c r="F423" s="54">
        <f t="shared" si="1641"/>
        <v>749.50900000000001</v>
      </c>
      <c r="G423" s="54">
        <f t="shared" si="1641"/>
        <v>240.012</v>
      </c>
      <c r="H423" s="54">
        <f t="shared" si="1641"/>
        <v>613.346</v>
      </c>
      <c r="I423" s="54">
        <f t="shared" si="1641"/>
        <v>535.15200000000004</v>
      </c>
      <c r="J423" s="54">
        <f t="shared" si="1641"/>
        <v>264.82799999999997</v>
      </c>
      <c r="K423" s="54">
        <f t="shared" si="1641"/>
        <v>829.14208528070117</v>
      </c>
      <c r="L423" s="54">
        <f t="shared" si="1641"/>
        <v>1011.4015980783365</v>
      </c>
      <c r="M423" s="54">
        <f t="shared" si="1641"/>
        <v>1118.1720447310638</v>
      </c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7"/>
      <c r="AA423" s="117">
        <f t="shared" ref="AA423:BF423" si="1656">AA422+AA300</f>
        <v>644.03099999999995</v>
      </c>
      <c r="AB423" s="117">
        <f t="shared" si="1656"/>
        <v>648.87699999999995</v>
      </c>
      <c r="AC423" s="117">
        <f t="shared" si="1656"/>
        <v>704.63599999999997</v>
      </c>
      <c r="AD423" s="117">
        <f t="shared" si="1656"/>
        <v>749.50900000000001</v>
      </c>
      <c r="AE423" s="117">
        <f t="shared" si="1656"/>
        <v>757.74599999999998</v>
      </c>
      <c r="AF423" s="117">
        <f t="shared" si="1656"/>
        <v>620.83699999999999</v>
      </c>
      <c r="AG423" s="117">
        <f t="shared" si="1656"/>
        <v>538.59400000000005</v>
      </c>
      <c r="AH423" s="117">
        <f t="shared" si="1656"/>
        <v>240.012</v>
      </c>
      <c r="AI423" s="117">
        <f t="shared" si="1656"/>
        <v>586.91700000000003</v>
      </c>
      <c r="AJ423" s="117">
        <f t="shared" si="1656"/>
        <v>576.50599999999997</v>
      </c>
      <c r="AK423" s="117">
        <f t="shared" si="1656"/>
        <v>576.46500000000003</v>
      </c>
      <c r="AL423" s="117">
        <f t="shared" si="1656"/>
        <v>613.346</v>
      </c>
      <c r="AM423" s="117">
        <f t="shared" si="1656"/>
        <v>686.55700000000002</v>
      </c>
      <c r="AN423" s="117">
        <f t="shared" si="1656"/>
        <v>709.62699999999995</v>
      </c>
      <c r="AO423" s="117">
        <f t="shared" si="1656"/>
        <v>521.97199999999998</v>
      </c>
      <c r="AP423" s="117">
        <f t="shared" si="1656"/>
        <v>535.15200000000004</v>
      </c>
      <c r="AQ423" s="117">
        <f t="shared" si="1656"/>
        <v>1062.6079999999999</v>
      </c>
      <c r="AR423" s="117">
        <f t="shared" si="1656"/>
        <v>520.9319999999999</v>
      </c>
      <c r="AS423" s="117">
        <f t="shared" si="1656"/>
        <v>383.839</v>
      </c>
      <c r="AT423" s="117">
        <f t="shared" ref="AT423" si="1657">AT422+AT300</f>
        <v>264.82799999999997</v>
      </c>
      <c r="AU423" s="117">
        <f t="shared" si="1656"/>
        <v>798.99607809309759</v>
      </c>
      <c r="AV423" s="117">
        <f t="shared" si="1656"/>
        <v>797.07659080383837</v>
      </c>
      <c r="AW423" s="117">
        <f t="shared" si="1656"/>
        <v>804.9611306343802</v>
      </c>
      <c r="AX423" s="117">
        <f t="shared" si="1656"/>
        <v>829.14208528070117</v>
      </c>
      <c r="AY423" s="117">
        <f t="shared" si="1656"/>
        <v>880.60277772948052</v>
      </c>
      <c r="AZ423" s="117">
        <f t="shared" si="1656"/>
        <v>950.03566216828995</v>
      </c>
      <c r="BA423" s="117">
        <f t="shared" si="1656"/>
        <v>975.12412979601072</v>
      </c>
      <c r="BB423" s="117">
        <f t="shared" si="1656"/>
        <v>1011.4015980783365</v>
      </c>
      <c r="BC423" s="117">
        <f t="shared" si="1656"/>
        <v>1101.4630681150995</v>
      </c>
      <c r="BD423" s="117">
        <f t="shared" si="1656"/>
        <v>1203.4114315142267</v>
      </c>
      <c r="BE423" s="117">
        <f t="shared" si="1656"/>
        <v>1010.5731506797443</v>
      </c>
      <c r="BF423" s="117">
        <f t="shared" si="1656"/>
        <v>1118.1720447310638</v>
      </c>
      <c r="BI423">
        <f t="shared" si="1608"/>
        <v>415</v>
      </c>
      <c r="BJ423"/>
      <c r="BK423"/>
      <c r="BL423"/>
      <c r="BM423"/>
      <c r="BN423"/>
      <c r="BO423"/>
    </row>
    <row r="424" spans="1:67" s="112" customFormat="1" hidden="1" outlineLevel="2">
      <c r="A424" s="40"/>
      <c r="B424" s="42"/>
      <c r="C424" s="111"/>
      <c r="D424" s="111"/>
      <c r="E424" s="111"/>
      <c r="F424" s="111"/>
      <c r="G424" s="111"/>
      <c r="H424" s="111"/>
      <c r="I424" s="111"/>
      <c r="J424" s="111"/>
      <c r="K424" s="111"/>
      <c r="L424" s="111"/>
      <c r="M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  <c r="AP424" s="111"/>
      <c r="AQ424" s="111"/>
      <c r="AR424" s="111"/>
      <c r="AS424" s="111"/>
      <c r="AT424" s="111"/>
      <c r="AU424" s="111"/>
      <c r="AV424" s="111"/>
      <c r="AW424" s="111"/>
      <c r="AX424" s="111"/>
      <c r="AY424" s="111"/>
      <c r="AZ424" s="111"/>
      <c r="BA424" s="111"/>
      <c r="BB424" s="111"/>
      <c r="BC424" s="111"/>
      <c r="BD424" s="111"/>
      <c r="BE424" s="111"/>
      <c r="BF424" s="111"/>
      <c r="BI424">
        <f t="shared" si="1608"/>
        <v>416</v>
      </c>
      <c r="BJ424"/>
      <c r="BK424"/>
      <c r="BL424"/>
      <c r="BM424"/>
      <c r="BN424"/>
      <c r="BO424"/>
    </row>
    <row r="425" spans="1:67" s="112" customFormat="1" hidden="1" outlineLevel="2">
      <c r="A425" s="40"/>
      <c r="B425" s="42" t="s">
        <v>298</v>
      </c>
      <c r="C425" s="54">
        <f t="shared" ref="C425:M426" si="1658">INDEX($O425:$BG425,1,MATCH(C$4,$O$4:$BG$4,0))</f>
        <v>6.25</v>
      </c>
      <c r="D425" s="54">
        <f t="shared" si="1658"/>
        <v>10</v>
      </c>
      <c r="E425" s="54">
        <f t="shared" si="1658"/>
        <v>6.25</v>
      </c>
      <c r="F425" s="54">
        <f t="shared" si="1658"/>
        <v>10</v>
      </c>
      <c r="G425" s="54">
        <f t="shared" si="1658"/>
        <v>12.5</v>
      </c>
      <c r="H425" s="54">
        <f t="shared" si="1658"/>
        <v>63.75</v>
      </c>
      <c r="I425" s="54">
        <f t="shared" si="1658"/>
        <v>0</v>
      </c>
      <c r="J425" s="54">
        <f t="shared" si="1658"/>
        <v>0</v>
      </c>
      <c r="K425" s="54">
        <f t="shared" si="1658"/>
        <v>0</v>
      </c>
      <c r="L425" s="54">
        <f t="shared" si="1658"/>
        <v>300</v>
      </c>
      <c r="M425" s="54">
        <f t="shared" si="1658"/>
        <v>0</v>
      </c>
      <c r="O425" s="116">
        <f>O315</f>
        <v>0</v>
      </c>
      <c r="P425" s="116">
        <f t="shared" ref="P425:AS425" si="1659">P315</f>
        <v>0</v>
      </c>
      <c r="Q425" s="116">
        <f t="shared" si="1659"/>
        <v>5</v>
      </c>
      <c r="R425" s="116">
        <f t="shared" si="1659"/>
        <v>6.25</v>
      </c>
      <c r="S425" s="116">
        <f t="shared" si="1659"/>
        <v>7.5</v>
      </c>
      <c r="T425" s="116">
        <f t="shared" si="1659"/>
        <v>8.75</v>
      </c>
      <c r="U425" s="116">
        <f t="shared" si="1659"/>
        <v>10</v>
      </c>
      <c r="V425" s="116">
        <f t="shared" si="1659"/>
        <v>10</v>
      </c>
      <c r="W425" s="116">
        <f t="shared" si="1659"/>
        <v>10</v>
      </c>
      <c r="X425" s="116">
        <f t="shared" si="1659"/>
        <v>0</v>
      </c>
      <c r="Y425" s="116">
        <f t="shared" si="1659"/>
        <v>0</v>
      </c>
      <c r="Z425" s="116">
        <f t="shared" si="1659"/>
        <v>6.25</v>
      </c>
      <c r="AA425" s="116">
        <f t="shared" si="1659"/>
        <v>7.5</v>
      </c>
      <c r="AB425" s="116">
        <f t="shared" si="1659"/>
        <v>8.75</v>
      </c>
      <c r="AC425" s="116">
        <f t="shared" si="1659"/>
        <v>10</v>
      </c>
      <c r="AD425" s="116">
        <f t="shared" si="1659"/>
        <v>10</v>
      </c>
      <c r="AE425" s="116">
        <f t="shared" si="1659"/>
        <v>10</v>
      </c>
      <c r="AF425" s="116">
        <f t="shared" si="1659"/>
        <v>10</v>
      </c>
      <c r="AG425" s="116">
        <f t="shared" si="1659"/>
        <v>10</v>
      </c>
      <c r="AH425" s="116">
        <f t="shared" si="1659"/>
        <v>12.5</v>
      </c>
      <c r="AI425" s="116">
        <f t="shared" si="1659"/>
        <v>35</v>
      </c>
      <c r="AJ425" s="116">
        <f t="shared" si="1659"/>
        <v>42.5</v>
      </c>
      <c r="AK425" s="116">
        <f t="shared" si="1659"/>
        <v>50</v>
      </c>
      <c r="AL425" s="116">
        <f t="shared" si="1659"/>
        <v>63.75</v>
      </c>
      <c r="AM425" s="116">
        <f t="shared" si="1659"/>
        <v>76.97</v>
      </c>
      <c r="AN425" s="116">
        <f t="shared" si="1659"/>
        <v>85.721000000000004</v>
      </c>
      <c r="AO425" s="116">
        <f t="shared" si="1659"/>
        <v>0</v>
      </c>
      <c r="AP425" s="116">
        <f t="shared" si="1659"/>
        <v>0</v>
      </c>
      <c r="AQ425" s="116">
        <f t="shared" si="1659"/>
        <v>0</v>
      </c>
      <c r="AR425" s="116">
        <f t="shared" si="1659"/>
        <v>0</v>
      </c>
      <c r="AS425" s="116">
        <f t="shared" si="1659"/>
        <v>0</v>
      </c>
      <c r="AT425" s="116">
        <f t="shared" ref="AT425" si="1660">AT315</f>
        <v>0</v>
      </c>
      <c r="AU425" s="116">
        <f t="shared" ref="AU425:BB425" si="1661">-SUM(AV429:AY429)</f>
        <v>0</v>
      </c>
      <c r="AV425" s="116">
        <f t="shared" si="1661"/>
        <v>0</v>
      </c>
      <c r="AW425" s="116">
        <f t="shared" si="1661"/>
        <v>0</v>
      </c>
      <c r="AX425" s="116">
        <f t="shared" si="1661"/>
        <v>0</v>
      </c>
      <c r="AY425" s="116">
        <f t="shared" si="1661"/>
        <v>0</v>
      </c>
      <c r="AZ425" s="116">
        <f t="shared" si="1661"/>
        <v>0</v>
      </c>
      <c r="BA425" s="116">
        <f t="shared" si="1661"/>
        <v>300</v>
      </c>
      <c r="BB425" s="116">
        <f t="shared" si="1661"/>
        <v>300</v>
      </c>
      <c r="BC425" s="110">
        <f t="shared" ref="BC425:BD425" si="1662">BB425</f>
        <v>300</v>
      </c>
      <c r="BD425" s="110">
        <f t="shared" si="1662"/>
        <v>300</v>
      </c>
      <c r="BE425" s="110">
        <v>0</v>
      </c>
      <c r="BF425" s="110">
        <v>0</v>
      </c>
      <c r="BI425">
        <f t="shared" si="1608"/>
        <v>417</v>
      </c>
      <c r="BJ425"/>
      <c r="BK425"/>
      <c r="BL425"/>
      <c r="BM425"/>
      <c r="BN425"/>
      <c r="BO425"/>
    </row>
    <row r="426" spans="1:67" s="112" customFormat="1" hidden="1" outlineLevel="2">
      <c r="A426" s="40"/>
      <c r="B426" s="42" t="s">
        <v>299</v>
      </c>
      <c r="C426" s="54">
        <f t="shared" si="1658"/>
        <v>392.5</v>
      </c>
      <c r="D426" s="54">
        <f t="shared" si="1658"/>
        <v>492.5</v>
      </c>
      <c r="E426" s="54">
        <f t="shared" si="1658"/>
        <v>692.5</v>
      </c>
      <c r="F426" s="54">
        <f t="shared" si="1658"/>
        <v>682.5</v>
      </c>
      <c r="G426" s="54">
        <f t="shared" si="1658"/>
        <v>973</v>
      </c>
      <c r="H426" s="54">
        <f t="shared" si="1658"/>
        <v>791.25</v>
      </c>
      <c r="I426" s="54">
        <f t="shared" si="1658"/>
        <v>598.43700000000001</v>
      </c>
      <c r="J426" s="54">
        <f t="shared" si="1658"/>
        <v>866.78300000000002</v>
      </c>
      <c r="K426" s="54">
        <f t="shared" si="1658"/>
        <v>1123.7829999999999</v>
      </c>
      <c r="L426" s="54">
        <f t="shared" si="1658"/>
        <v>823.7829999999999</v>
      </c>
      <c r="M426" s="54">
        <f t="shared" si="1658"/>
        <v>823.78300000000002</v>
      </c>
      <c r="O426" s="116">
        <f>O320</f>
        <v>0</v>
      </c>
      <c r="P426" s="116">
        <f t="shared" ref="P426:AS426" si="1663">P320</f>
        <v>0</v>
      </c>
      <c r="Q426" s="116">
        <f t="shared" si="1663"/>
        <v>95</v>
      </c>
      <c r="R426" s="116">
        <f t="shared" si="1663"/>
        <v>392.5</v>
      </c>
      <c r="S426" s="116">
        <f t="shared" si="1663"/>
        <v>390</v>
      </c>
      <c r="T426" s="116">
        <f t="shared" si="1663"/>
        <v>387.5</v>
      </c>
      <c r="U426" s="116">
        <f t="shared" si="1663"/>
        <v>400.8</v>
      </c>
      <c r="V426" s="116">
        <f t="shared" si="1663"/>
        <v>492.5</v>
      </c>
      <c r="W426" s="116">
        <f t="shared" si="1663"/>
        <v>488.5</v>
      </c>
      <c r="X426" s="116">
        <f t="shared" si="1663"/>
        <v>600</v>
      </c>
      <c r="Y426" s="116">
        <f t="shared" si="1663"/>
        <v>600</v>
      </c>
      <c r="Z426" s="116">
        <f t="shared" si="1663"/>
        <v>692.5</v>
      </c>
      <c r="AA426" s="116">
        <f t="shared" si="1663"/>
        <v>690</v>
      </c>
      <c r="AB426" s="116">
        <f t="shared" si="1663"/>
        <v>687.5</v>
      </c>
      <c r="AC426" s="116">
        <f t="shared" si="1663"/>
        <v>685</v>
      </c>
      <c r="AD426" s="116">
        <f t="shared" si="1663"/>
        <v>682.5</v>
      </c>
      <c r="AE426" s="116">
        <f t="shared" si="1663"/>
        <v>680</v>
      </c>
      <c r="AF426" s="116">
        <f t="shared" si="1663"/>
        <v>677.5</v>
      </c>
      <c r="AG426" s="116">
        <f t="shared" si="1663"/>
        <v>675</v>
      </c>
      <c r="AH426" s="116">
        <f t="shared" si="1663"/>
        <v>973</v>
      </c>
      <c r="AI426" s="116">
        <f t="shared" si="1663"/>
        <v>845</v>
      </c>
      <c r="AJ426" s="116">
        <f t="shared" si="1663"/>
        <v>830</v>
      </c>
      <c r="AK426" s="116">
        <f t="shared" si="1663"/>
        <v>815</v>
      </c>
      <c r="AL426" s="116">
        <f t="shared" si="1663"/>
        <v>791.25</v>
      </c>
      <c r="AM426" s="116">
        <f t="shared" si="1663"/>
        <v>764.55899999999997</v>
      </c>
      <c r="AN426" s="116">
        <f t="shared" si="1663"/>
        <v>741.16899999999998</v>
      </c>
      <c r="AO426" s="116">
        <f t="shared" si="1663"/>
        <v>613.351</v>
      </c>
      <c r="AP426" s="116">
        <f t="shared" si="1663"/>
        <v>598.43700000000001</v>
      </c>
      <c r="AQ426" s="116">
        <f t="shared" si="1663"/>
        <v>598.524</v>
      </c>
      <c r="AR426" s="116">
        <f t="shared" si="1663"/>
        <v>713.61</v>
      </c>
      <c r="AS426" s="116">
        <f t="shared" si="1663"/>
        <v>742.697</v>
      </c>
      <c r="AT426" s="116">
        <f t="shared" ref="AT426" si="1664">AT320</f>
        <v>866.78300000000002</v>
      </c>
      <c r="AU426" s="116">
        <f t="shared" ref="AU426:BF426" si="1665">AU418-AU425</f>
        <v>1123.7829999999999</v>
      </c>
      <c r="AV426" s="116">
        <f t="shared" si="1665"/>
        <v>1123.7829999999999</v>
      </c>
      <c r="AW426" s="116">
        <f t="shared" si="1665"/>
        <v>1123.7829999999999</v>
      </c>
      <c r="AX426" s="116">
        <f t="shared" si="1665"/>
        <v>1123.7829999999999</v>
      </c>
      <c r="AY426" s="116">
        <f t="shared" si="1665"/>
        <v>1123.7829999999999</v>
      </c>
      <c r="AZ426" s="116">
        <f t="shared" si="1665"/>
        <v>1123.7829999999999</v>
      </c>
      <c r="BA426" s="116">
        <f t="shared" si="1665"/>
        <v>823.7829999999999</v>
      </c>
      <c r="BB426" s="116">
        <f t="shared" si="1665"/>
        <v>823.7829999999999</v>
      </c>
      <c r="BC426" s="116">
        <f t="shared" si="1665"/>
        <v>823.7829999999999</v>
      </c>
      <c r="BD426" s="116">
        <f t="shared" si="1665"/>
        <v>823.7829999999999</v>
      </c>
      <c r="BE426" s="116">
        <f t="shared" si="1665"/>
        <v>823.78300000000002</v>
      </c>
      <c r="BF426" s="116">
        <f t="shared" si="1665"/>
        <v>823.78300000000002</v>
      </c>
      <c r="BI426">
        <f t="shared" si="1608"/>
        <v>418</v>
      </c>
      <c r="BJ426"/>
      <c r="BK426"/>
      <c r="BL426"/>
      <c r="BM426"/>
      <c r="BN426"/>
      <c r="BO426"/>
    </row>
    <row r="427" spans="1:67" s="112" customFormat="1" hidden="1" outlineLevel="2">
      <c r="A427" s="40"/>
      <c r="B427" s="42"/>
      <c r="C427" s="111"/>
      <c r="D427" s="111"/>
      <c r="E427" s="111"/>
      <c r="F427" s="111"/>
      <c r="G427" s="111"/>
      <c r="H427" s="111"/>
      <c r="I427" s="111"/>
      <c r="J427" s="111"/>
      <c r="K427" s="111"/>
      <c r="L427" s="111"/>
      <c r="M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  <c r="AP427" s="111"/>
      <c r="AQ427" s="111"/>
      <c r="AR427" s="111"/>
      <c r="AS427" s="111"/>
      <c r="AT427" s="111"/>
      <c r="AU427" s="111"/>
      <c r="AV427" s="111"/>
      <c r="AW427" s="111"/>
      <c r="AX427" s="111"/>
      <c r="AY427" s="111"/>
      <c r="AZ427" s="111"/>
      <c r="BA427" s="111"/>
      <c r="BB427" s="111"/>
      <c r="BC427" s="111"/>
      <c r="BD427" s="111"/>
      <c r="BE427" s="111"/>
      <c r="BF427" s="111"/>
      <c r="BI427">
        <f t="shared" si="1608"/>
        <v>419</v>
      </c>
      <c r="BJ427"/>
      <c r="BK427"/>
      <c r="BL427"/>
      <c r="BM427"/>
      <c r="BN427"/>
      <c r="BO427"/>
    </row>
    <row r="428" spans="1:67" s="112" customFormat="1" hidden="1" outlineLevel="2">
      <c r="A428" s="40"/>
      <c r="B428" s="42" t="s">
        <v>300</v>
      </c>
      <c r="C428" s="111"/>
      <c r="D428" s="111"/>
      <c r="E428" s="111"/>
      <c r="F428" s="111"/>
      <c r="G428" s="111"/>
      <c r="H428" s="111"/>
      <c r="I428" s="111"/>
      <c r="J428" s="111"/>
      <c r="K428" s="111"/>
      <c r="L428" s="111"/>
      <c r="M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  <c r="AP428" s="111"/>
      <c r="AQ428" s="111"/>
      <c r="AR428" s="111"/>
      <c r="AS428" s="111"/>
      <c r="AT428" s="111"/>
      <c r="AU428" s="111"/>
      <c r="AV428" s="111"/>
      <c r="AW428" s="111"/>
      <c r="AX428" s="111"/>
      <c r="AY428" s="111"/>
      <c r="AZ428" s="111"/>
      <c r="BA428" s="111"/>
      <c r="BB428" s="111"/>
      <c r="BC428" s="111"/>
      <c r="BD428" s="111"/>
      <c r="BE428" s="111"/>
      <c r="BF428" s="111"/>
      <c r="BI428">
        <f t="shared" si="1608"/>
        <v>420</v>
      </c>
      <c r="BJ428"/>
      <c r="BK428"/>
      <c r="BL428"/>
      <c r="BM428"/>
      <c r="BN428"/>
      <c r="BO428"/>
    </row>
    <row r="429" spans="1:67" s="112" customFormat="1" hidden="1" outlineLevel="2">
      <c r="A429" s="40"/>
      <c r="B429" s="43" t="s">
        <v>290</v>
      </c>
      <c r="C429" s="54">
        <f t="shared" ref="C429:M430" si="1666">SUMIFS($O429:$BG429,$O$5:$BG$5,C$5)</f>
        <v>398.75</v>
      </c>
      <c r="D429" s="54">
        <f t="shared" si="1666"/>
        <v>-6.25</v>
      </c>
      <c r="E429" s="54">
        <f t="shared" si="1666"/>
        <v>306.25</v>
      </c>
      <c r="F429" s="54">
        <f t="shared" si="1666"/>
        <v>-6.25</v>
      </c>
      <c r="G429" s="54">
        <f t="shared" si="1666"/>
        <v>-10</v>
      </c>
      <c r="H429" s="54">
        <f t="shared" si="1666"/>
        <v>172.5</v>
      </c>
      <c r="I429" s="54">
        <f t="shared" si="1666"/>
        <v>-255</v>
      </c>
      <c r="J429" s="54">
        <f t="shared" si="1666"/>
        <v>0</v>
      </c>
      <c r="K429" s="54">
        <f t="shared" si="1666"/>
        <v>525</v>
      </c>
      <c r="L429" s="54">
        <f t="shared" si="1666"/>
        <v>0</v>
      </c>
      <c r="M429" s="54">
        <f t="shared" si="1666"/>
        <v>-300</v>
      </c>
      <c r="O429" s="116">
        <f>(O414-N414)</f>
        <v>0</v>
      </c>
      <c r="P429" s="116">
        <f t="shared" ref="P429:BF429" si="1667">(P414-O414)</f>
        <v>0</v>
      </c>
      <c r="Q429" s="116">
        <f t="shared" si="1667"/>
        <v>100</v>
      </c>
      <c r="R429" s="116">
        <f t="shared" si="1667"/>
        <v>298.75</v>
      </c>
      <c r="S429" s="116">
        <f t="shared" si="1667"/>
        <v>-1.25</v>
      </c>
      <c r="T429" s="116">
        <f t="shared" si="1667"/>
        <v>-1.25</v>
      </c>
      <c r="U429" s="116">
        <f t="shared" si="1667"/>
        <v>-1.25</v>
      </c>
      <c r="V429" s="116">
        <f t="shared" si="1667"/>
        <v>-2.5</v>
      </c>
      <c r="W429" s="116">
        <f t="shared" si="1667"/>
        <v>-3</v>
      </c>
      <c r="X429" s="116">
        <f t="shared" si="1667"/>
        <v>210.5</v>
      </c>
      <c r="Y429" s="116">
        <f t="shared" si="1667"/>
        <v>0</v>
      </c>
      <c r="Z429" s="116">
        <f t="shared" si="1667"/>
        <v>98.75</v>
      </c>
      <c r="AA429" s="116">
        <f t="shared" si="1667"/>
        <v>-1.25</v>
      </c>
      <c r="AB429" s="116">
        <f t="shared" si="1667"/>
        <v>-1.25</v>
      </c>
      <c r="AC429" s="116">
        <f t="shared" si="1667"/>
        <v>-1.25</v>
      </c>
      <c r="AD429" s="116">
        <f t="shared" si="1667"/>
        <v>-2.5</v>
      </c>
      <c r="AE429" s="116">
        <f t="shared" si="1667"/>
        <v>-2.5</v>
      </c>
      <c r="AF429" s="116">
        <f t="shared" si="1667"/>
        <v>-2.5</v>
      </c>
      <c r="AG429" s="116">
        <f t="shared" si="1667"/>
        <v>-2.5</v>
      </c>
      <c r="AH429" s="116">
        <f t="shared" si="1667"/>
        <v>-2.5</v>
      </c>
      <c r="AI429" s="116">
        <f t="shared" si="1667"/>
        <v>197.5</v>
      </c>
      <c r="AJ429" s="116">
        <f t="shared" si="1667"/>
        <v>-7.5</v>
      </c>
      <c r="AK429" s="116">
        <f t="shared" si="1667"/>
        <v>-7.5</v>
      </c>
      <c r="AL429" s="116">
        <f t="shared" si="1667"/>
        <v>-10</v>
      </c>
      <c r="AM429" s="116">
        <f t="shared" si="1667"/>
        <v>-10</v>
      </c>
      <c r="AN429" s="116">
        <f t="shared" si="1667"/>
        <v>-15</v>
      </c>
      <c r="AO429" s="116">
        <f t="shared" si="1667"/>
        <v>-230</v>
      </c>
      <c r="AP429" s="116">
        <f t="shared" si="1667"/>
        <v>0</v>
      </c>
      <c r="AQ429" s="116">
        <f t="shared" si="1667"/>
        <v>0</v>
      </c>
      <c r="AR429" s="116">
        <f t="shared" si="1667"/>
        <v>0</v>
      </c>
      <c r="AS429" s="116">
        <f t="shared" si="1667"/>
        <v>0</v>
      </c>
      <c r="AT429" s="116">
        <f t="shared" si="1667"/>
        <v>0</v>
      </c>
      <c r="AU429" s="116">
        <f t="shared" si="1667"/>
        <v>525</v>
      </c>
      <c r="AV429" s="116">
        <f t="shared" si="1667"/>
        <v>0</v>
      </c>
      <c r="AW429" s="116">
        <f t="shared" si="1667"/>
        <v>0</v>
      </c>
      <c r="AX429" s="116">
        <f t="shared" si="1667"/>
        <v>0</v>
      </c>
      <c r="AY429" s="116">
        <f t="shared" si="1667"/>
        <v>0</v>
      </c>
      <c r="AZ429" s="116">
        <f t="shared" si="1667"/>
        <v>0</v>
      </c>
      <c r="BA429" s="116">
        <f t="shared" si="1667"/>
        <v>0</v>
      </c>
      <c r="BB429" s="116">
        <f t="shared" si="1667"/>
        <v>0</v>
      </c>
      <c r="BC429" s="116">
        <f t="shared" si="1667"/>
        <v>0</v>
      </c>
      <c r="BD429" s="116">
        <f t="shared" si="1667"/>
        <v>0</v>
      </c>
      <c r="BE429" s="116">
        <f t="shared" si="1667"/>
        <v>-300</v>
      </c>
      <c r="BF429" s="116">
        <f t="shared" si="1667"/>
        <v>0</v>
      </c>
      <c r="BI429">
        <f t="shared" si="1608"/>
        <v>421</v>
      </c>
      <c r="BJ429"/>
      <c r="BK429"/>
      <c r="BL429"/>
      <c r="BM429"/>
      <c r="BN429"/>
      <c r="BO429"/>
    </row>
    <row r="430" spans="1:67" s="112" customFormat="1" hidden="1" outlineLevel="2">
      <c r="A430" s="40"/>
      <c r="B430" s="43" t="s">
        <v>291</v>
      </c>
      <c r="C430" s="54">
        <f t="shared" si="1666"/>
        <v>0</v>
      </c>
      <c r="D430" s="54">
        <f t="shared" si="1666"/>
        <v>110</v>
      </c>
      <c r="E430" s="54">
        <f t="shared" si="1666"/>
        <v>-110</v>
      </c>
      <c r="F430" s="54">
        <f t="shared" si="1666"/>
        <v>0</v>
      </c>
      <c r="G430" s="54">
        <f t="shared" si="1666"/>
        <v>303</v>
      </c>
      <c r="H430" s="54">
        <f t="shared" si="1666"/>
        <v>-303</v>
      </c>
      <c r="I430" s="54">
        <f t="shared" si="1666"/>
        <v>0</v>
      </c>
      <c r="J430" s="54">
        <f t="shared" si="1666"/>
        <v>268</v>
      </c>
      <c r="K430" s="54">
        <f t="shared" si="1666"/>
        <v>-268</v>
      </c>
      <c r="L430" s="54">
        <f t="shared" si="1666"/>
        <v>0</v>
      </c>
      <c r="M430" s="54">
        <f t="shared" si="1666"/>
        <v>0</v>
      </c>
      <c r="O430" s="116">
        <f>(O415-N415)</f>
        <v>0</v>
      </c>
      <c r="P430" s="116">
        <f t="shared" ref="P430:BF430" si="1668">(P415-O415)</f>
        <v>0</v>
      </c>
      <c r="Q430" s="116">
        <f t="shared" si="1668"/>
        <v>0</v>
      </c>
      <c r="R430" s="116">
        <f t="shared" si="1668"/>
        <v>0</v>
      </c>
      <c r="S430" s="116">
        <f t="shared" si="1668"/>
        <v>0</v>
      </c>
      <c r="T430" s="116">
        <f t="shared" si="1668"/>
        <v>0</v>
      </c>
      <c r="U430" s="116">
        <f t="shared" si="1668"/>
        <v>15.8</v>
      </c>
      <c r="V430" s="116">
        <f t="shared" si="1668"/>
        <v>94.2</v>
      </c>
      <c r="W430" s="116">
        <f t="shared" si="1668"/>
        <v>-1</v>
      </c>
      <c r="X430" s="116">
        <f t="shared" si="1668"/>
        <v>-109</v>
      </c>
      <c r="Y430" s="116">
        <f t="shared" si="1668"/>
        <v>0</v>
      </c>
      <c r="Z430" s="116">
        <f t="shared" si="1668"/>
        <v>0</v>
      </c>
      <c r="AA430" s="116">
        <f t="shared" si="1668"/>
        <v>0</v>
      </c>
      <c r="AB430" s="116">
        <f t="shared" si="1668"/>
        <v>0</v>
      </c>
      <c r="AC430" s="116">
        <f t="shared" si="1668"/>
        <v>0</v>
      </c>
      <c r="AD430" s="116">
        <f t="shared" si="1668"/>
        <v>0</v>
      </c>
      <c r="AE430" s="116">
        <f t="shared" si="1668"/>
        <v>0</v>
      </c>
      <c r="AF430" s="116">
        <f t="shared" si="1668"/>
        <v>0</v>
      </c>
      <c r="AG430" s="116">
        <f t="shared" si="1668"/>
        <v>0</v>
      </c>
      <c r="AH430" s="116">
        <f t="shared" si="1668"/>
        <v>303</v>
      </c>
      <c r="AI430" s="116">
        <f t="shared" si="1668"/>
        <v>-303</v>
      </c>
      <c r="AJ430" s="116">
        <f t="shared" si="1668"/>
        <v>0</v>
      </c>
      <c r="AK430" s="116">
        <f t="shared" si="1668"/>
        <v>0</v>
      </c>
      <c r="AL430" s="116">
        <f t="shared" si="1668"/>
        <v>0</v>
      </c>
      <c r="AM430" s="116">
        <f t="shared" si="1668"/>
        <v>0</v>
      </c>
      <c r="AN430" s="116">
        <f t="shared" si="1668"/>
        <v>0</v>
      </c>
      <c r="AO430" s="116">
        <f t="shared" si="1668"/>
        <v>15</v>
      </c>
      <c r="AP430" s="116">
        <f t="shared" si="1668"/>
        <v>-15</v>
      </c>
      <c r="AQ430" s="116">
        <f t="shared" si="1668"/>
        <v>0</v>
      </c>
      <c r="AR430" s="116">
        <f t="shared" si="1668"/>
        <v>115</v>
      </c>
      <c r="AS430" s="116">
        <f t="shared" si="1668"/>
        <v>29</v>
      </c>
      <c r="AT430" s="116">
        <f t="shared" si="1668"/>
        <v>124</v>
      </c>
      <c r="AU430" s="116">
        <f t="shared" si="1668"/>
        <v>-268</v>
      </c>
      <c r="AV430" s="116">
        <f t="shared" si="1668"/>
        <v>0</v>
      </c>
      <c r="AW430" s="116">
        <f t="shared" si="1668"/>
        <v>0</v>
      </c>
      <c r="AX430" s="116">
        <f t="shared" si="1668"/>
        <v>0</v>
      </c>
      <c r="AY430" s="116">
        <f t="shared" si="1668"/>
        <v>0</v>
      </c>
      <c r="AZ430" s="116">
        <f t="shared" si="1668"/>
        <v>0</v>
      </c>
      <c r="BA430" s="116">
        <f t="shared" si="1668"/>
        <v>0</v>
      </c>
      <c r="BB430" s="116">
        <f t="shared" si="1668"/>
        <v>0</v>
      </c>
      <c r="BC430" s="116">
        <f t="shared" si="1668"/>
        <v>0</v>
      </c>
      <c r="BD430" s="116">
        <f t="shared" si="1668"/>
        <v>0</v>
      </c>
      <c r="BE430" s="116">
        <f t="shared" si="1668"/>
        <v>0</v>
      </c>
      <c r="BF430" s="116">
        <f t="shared" si="1668"/>
        <v>0</v>
      </c>
      <c r="BI430">
        <f t="shared" si="1608"/>
        <v>422</v>
      </c>
      <c r="BJ430"/>
      <c r="BK430"/>
      <c r="BL430"/>
      <c r="BM430"/>
      <c r="BN430"/>
      <c r="BO430"/>
    </row>
    <row r="431" spans="1:67" s="112" customFormat="1" hidden="1" outlineLevel="2">
      <c r="A431" s="40"/>
      <c r="B431" s="42"/>
      <c r="C431" s="111"/>
      <c r="D431" s="111"/>
      <c r="E431" s="111"/>
      <c r="F431" s="111"/>
      <c r="G431" s="111"/>
      <c r="H431" s="111"/>
      <c r="I431" s="111"/>
      <c r="J431" s="111"/>
      <c r="K431" s="111"/>
      <c r="L431" s="111"/>
      <c r="M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  <c r="AP431" s="111"/>
      <c r="AQ431" s="111"/>
      <c r="AR431" s="111"/>
      <c r="AS431" s="111"/>
      <c r="AT431" s="111"/>
      <c r="AU431" s="111"/>
      <c r="AV431" s="111"/>
      <c r="AW431" s="111"/>
      <c r="AX431" s="111"/>
      <c r="AY431" s="111"/>
      <c r="AZ431" s="111"/>
      <c r="BA431" s="111"/>
      <c r="BB431" s="111"/>
      <c r="BC431" s="111"/>
      <c r="BD431" s="111"/>
      <c r="BE431" s="111"/>
      <c r="BF431" s="111"/>
      <c r="BI431">
        <f t="shared" si="1608"/>
        <v>423</v>
      </c>
      <c r="BJ431"/>
      <c r="BK431"/>
      <c r="BL431"/>
      <c r="BM431"/>
      <c r="BN431"/>
      <c r="BO431"/>
    </row>
    <row r="432" spans="1:67" s="112" customFormat="1" hidden="1" outlineLevel="2">
      <c r="A432" s="40"/>
      <c r="B432" s="42"/>
      <c r="C432" s="111"/>
      <c r="D432" s="111"/>
      <c r="E432" s="111"/>
      <c r="F432" s="111"/>
      <c r="G432" s="111"/>
      <c r="H432" s="111"/>
      <c r="I432" s="111"/>
      <c r="J432" s="111"/>
      <c r="K432" s="111"/>
      <c r="L432" s="111"/>
      <c r="M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  <c r="AP432" s="111"/>
      <c r="AQ432" s="111"/>
      <c r="AR432" s="111"/>
      <c r="AS432" s="111"/>
      <c r="AT432" s="111"/>
      <c r="AU432" s="111"/>
      <c r="AV432" s="111"/>
      <c r="AW432" s="111"/>
      <c r="AX432" s="111"/>
      <c r="AY432" s="111"/>
      <c r="AZ432" s="111"/>
      <c r="BA432" s="111"/>
      <c r="BB432" s="111"/>
      <c r="BC432" s="111"/>
      <c r="BD432" s="111"/>
      <c r="BE432" s="111"/>
      <c r="BF432" s="111"/>
      <c r="BI432">
        <f t="shared" si="1608"/>
        <v>424</v>
      </c>
      <c r="BJ432"/>
      <c r="BK432"/>
      <c r="BL432"/>
      <c r="BM432"/>
      <c r="BN432"/>
      <c r="BO432"/>
    </row>
    <row r="433" spans="1:61" outlineLevel="1" collapsed="1">
      <c r="A433" s="35" t="s">
        <v>65</v>
      </c>
      <c r="B433" s="44" t="s">
        <v>249</v>
      </c>
      <c r="AT433" s="90"/>
      <c r="BI433">
        <f t="shared" si="1608"/>
        <v>425</v>
      </c>
    </row>
    <row r="434" spans="1:61" hidden="1" outlineLevel="2">
      <c r="A434" s="35"/>
      <c r="B434" s="45" t="s">
        <v>250</v>
      </c>
      <c r="C434" s="54">
        <f t="shared" ref="C434:M434" si="1669">INDEX($O434:$BG434,1,MATCH(C$4,$O$4:$BG$4,0))</f>
        <v>0</v>
      </c>
      <c r="D434" s="54">
        <f t="shared" si="1669"/>
        <v>0</v>
      </c>
      <c r="E434" s="54">
        <f t="shared" si="1669"/>
        <v>0</v>
      </c>
      <c r="F434" s="54">
        <f t="shared" si="1669"/>
        <v>0</v>
      </c>
      <c r="G434" s="54">
        <f t="shared" si="1669"/>
        <v>0</v>
      </c>
      <c r="H434" s="54">
        <f t="shared" si="1669"/>
        <v>0</v>
      </c>
      <c r="I434" s="54">
        <f t="shared" si="1669"/>
        <v>0</v>
      </c>
      <c r="J434" s="54">
        <f t="shared" si="1669"/>
        <v>0</v>
      </c>
      <c r="K434" s="54">
        <f t="shared" si="1669"/>
        <v>0</v>
      </c>
      <c r="L434" s="54">
        <f t="shared" si="1669"/>
        <v>0</v>
      </c>
      <c r="M434" s="54">
        <f t="shared" si="1669"/>
        <v>0</v>
      </c>
      <c r="N434" s="118"/>
      <c r="O434" s="54">
        <v>0</v>
      </c>
      <c r="P434" s="54">
        <v>0</v>
      </c>
      <c r="Q434" s="54">
        <v>0</v>
      </c>
      <c r="R434" s="54">
        <v>0</v>
      </c>
      <c r="S434" s="54">
        <v>0</v>
      </c>
      <c r="T434" s="54">
        <v>0</v>
      </c>
      <c r="U434" s="54">
        <v>0</v>
      </c>
      <c r="V434" s="54">
        <v>0</v>
      </c>
      <c r="W434" s="54">
        <v>0</v>
      </c>
      <c r="X434" s="54">
        <v>0</v>
      </c>
      <c r="Y434" s="54">
        <v>0</v>
      </c>
      <c r="Z434" s="54">
        <v>0</v>
      </c>
      <c r="AA434" s="54">
        <v>0</v>
      </c>
      <c r="AB434" s="54">
        <v>0</v>
      </c>
      <c r="AC434" s="54">
        <v>0</v>
      </c>
      <c r="AD434" s="54">
        <v>0</v>
      </c>
      <c r="AE434" s="54">
        <v>0</v>
      </c>
      <c r="AF434" s="54">
        <v>0</v>
      </c>
      <c r="AG434" s="54">
        <v>0</v>
      </c>
      <c r="AH434" s="54">
        <v>0</v>
      </c>
      <c r="AI434" s="54">
        <v>0</v>
      </c>
      <c r="AJ434" s="54">
        <v>0</v>
      </c>
      <c r="AK434" s="54">
        <v>0</v>
      </c>
      <c r="AL434" s="54">
        <v>0</v>
      </c>
      <c r="AM434" s="54">
        <v>0</v>
      </c>
      <c r="AN434" s="54">
        <v>0</v>
      </c>
      <c r="AO434" s="54">
        <v>0</v>
      </c>
      <c r="AP434" s="54">
        <v>0</v>
      </c>
      <c r="AQ434" s="54">
        <v>0</v>
      </c>
      <c r="AR434" s="54">
        <v>0</v>
      </c>
      <c r="AS434" s="54">
        <v>0</v>
      </c>
      <c r="AT434" s="87">
        <v>0</v>
      </c>
      <c r="AU434" s="54">
        <v>0</v>
      </c>
      <c r="AV434" s="54">
        <v>0</v>
      </c>
      <c r="AW434" s="54">
        <v>0</v>
      </c>
      <c r="AX434" s="54">
        <v>0</v>
      </c>
      <c r="AY434" s="54">
        <v>0</v>
      </c>
      <c r="AZ434" s="54">
        <v>0</v>
      </c>
      <c r="BA434" s="54">
        <v>0</v>
      </c>
      <c r="BB434" s="54">
        <v>0</v>
      </c>
      <c r="BC434" s="54">
        <v>0</v>
      </c>
      <c r="BD434" s="54">
        <v>0</v>
      </c>
      <c r="BE434" s="54">
        <v>0</v>
      </c>
      <c r="BF434" s="54">
        <v>0</v>
      </c>
      <c r="BI434">
        <f t="shared" si="1608"/>
        <v>426</v>
      </c>
    </row>
    <row r="435" spans="1:61" hidden="1" outlineLevel="2">
      <c r="A435" s="35"/>
      <c r="B435" s="45" t="s">
        <v>251</v>
      </c>
      <c r="C435" s="54">
        <f t="shared" ref="C435:M435" si="1670">SUMIFS($O435:$BG435,$O$5:$BG$5,C$5)</f>
        <v>-1.3280000000000001</v>
      </c>
      <c r="D435" s="54">
        <f t="shared" si="1670"/>
        <v>12.496999999999998</v>
      </c>
      <c r="E435" s="54">
        <f t="shared" si="1670"/>
        <v>-169.358</v>
      </c>
      <c r="F435" s="54">
        <f t="shared" si="1670"/>
        <v>-66.551000000000002</v>
      </c>
      <c r="G435" s="54">
        <f t="shared" si="1670"/>
        <v>26.016999999999999</v>
      </c>
      <c r="H435" s="54">
        <f t="shared" si="1670"/>
        <v>-8.01</v>
      </c>
      <c r="I435" s="54">
        <f t="shared" si="1670"/>
        <v>-3.3419999999999996</v>
      </c>
      <c r="J435" s="54">
        <f t="shared" si="1670"/>
        <v>464.76100000000002</v>
      </c>
      <c r="K435" s="54">
        <f t="shared" si="1670"/>
        <v>0</v>
      </c>
      <c r="L435" s="54">
        <f t="shared" si="1670"/>
        <v>0</v>
      </c>
      <c r="M435" s="54">
        <f t="shared" si="1670"/>
        <v>0</v>
      </c>
      <c r="O435" s="54">
        <f t="shared" ref="O435:BF435" si="1671">O291+O292</f>
        <v>-0.22500000000000001</v>
      </c>
      <c r="P435" s="54">
        <f t="shared" si="1671"/>
        <v>-1.0449999999999999</v>
      </c>
      <c r="Q435" s="54">
        <f t="shared" si="1671"/>
        <v>-0.28800000000000026</v>
      </c>
      <c r="R435" s="54">
        <f t="shared" si="1671"/>
        <v>0.23000000000000015</v>
      </c>
      <c r="S435" s="54">
        <f t="shared" si="1671"/>
        <v>0.379</v>
      </c>
      <c r="T435" s="54">
        <f t="shared" si="1671"/>
        <v>8.4129999999999967</v>
      </c>
      <c r="U435" s="54">
        <f t="shared" si="1671"/>
        <v>1.0289999999999999</v>
      </c>
      <c r="V435" s="54">
        <f t="shared" si="1671"/>
        <v>2.6760000000000024</v>
      </c>
      <c r="W435" s="54">
        <f t="shared" si="1671"/>
        <v>0.18</v>
      </c>
      <c r="X435" s="54">
        <f t="shared" si="1671"/>
        <v>-71.322000000000003</v>
      </c>
      <c r="Y435" s="54">
        <f t="shared" si="1671"/>
        <v>-38.784000000000006</v>
      </c>
      <c r="Z435" s="54">
        <f t="shared" si="1671"/>
        <v>-59.431999999999995</v>
      </c>
      <c r="AA435" s="54">
        <f t="shared" si="1671"/>
        <v>3.4209999999999994</v>
      </c>
      <c r="AB435" s="54">
        <f t="shared" si="1671"/>
        <v>-6.4930000000000003</v>
      </c>
      <c r="AC435" s="54">
        <f t="shared" si="1671"/>
        <v>-63.375000000000007</v>
      </c>
      <c r="AD435" s="54">
        <f t="shared" si="1671"/>
        <v>-0.1039999999999992</v>
      </c>
      <c r="AE435" s="54">
        <f t="shared" si="1671"/>
        <v>7.9899999999999993</v>
      </c>
      <c r="AF435" s="54">
        <f t="shared" si="1671"/>
        <v>9.2769999999999957</v>
      </c>
      <c r="AG435" s="54">
        <f t="shared" si="1671"/>
        <v>8.5870000000000051</v>
      </c>
      <c r="AH435" s="54">
        <f t="shared" si="1671"/>
        <v>0.1629999999999992</v>
      </c>
      <c r="AI435" s="54">
        <f t="shared" si="1671"/>
        <v>0</v>
      </c>
      <c r="AJ435" s="54">
        <f t="shared" si="1671"/>
        <v>-6.8810000000000002</v>
      </c>
      <c r="AK435" s="54">
        <f t="shared" si="1671"/>
        <v>-0.67100000000000004</v>
      </c>
      <c r="AL435" s="54">
        <f t="shared" si="1671"/>
        <v>-0.45799999999999996</v>
      </c>
      <c r="AM435" s="54">
        <f t="shared" si="1671"/>
        <v>0</v>
      </c>
      <c r="AN435" s="54">
        <f t="shared" si="1671"/>
        <v>-3.6110000000000002</v>
      </c>
      <c r="AO435" s="54">
        <f t="shared" si="1671"/>
        <v>0</v>
      </c>
      <c r="AP435" s="54">
        <f t="shared" si="1671"/>
        <v>0.26900000000000035</v>
      </c>
      <c r="AQ435" s="54">
        <f t="shared" si="1671"/>
        <v>471.57</v>
      </c>
      <c r="AR435" s="54">
        <f t="shared" si="1671"/>
        <v>-3.7269999999999999</v>
      </c>
      <c r="AS435" s="54">
        <f t="shared" si="1671"/>
        <v>-3.0820000000000003</v>
      </c>
      <c r="AT435" s="87">
        <f t="shared" si="1671"/>
        <v>0</v>
      </c>
      <c r="AU435" s="54">
        <f t="shared" si="1671"/>
        <v>0</v>
      </c>
      <c r="AV435" s="54">
        <f t="shared" si="1671"/>
        <v>0</v>
      </c>
      <c r="AW435" s="54">
        <f t="shared" si="1671"/>
        <v>0</v>
      </c>
      <c r="AX435" s="54">
        <f t="shared" si="1671"/>
        <v>0</v>
      </c>
      <c r="AY435" s="54">
        <f t="shared" si="1671"/>
        <v>0</v>
      </c>
      <c r="AZ435" s="54">
        <f t="shared" si="1671"/>
        <v>0</v>
      </c>
      <c r="BA435" s="54">
        <f t="shared" si="1671"/>
        <v>0</v>
      </c>
      <c r="BB435" s="54">
        <f t="shared" si="1671"/>
        <v>0</v>
      </c>
      <c r="BC435" s="54">
        <f t="shared" si="1671"/>
        <v>0</v>
      </c>
      <c r="BD435" s="54">
        <f t="shared" si="1671"/>
        <v>0</v>
      </c>
      <c r="BE435" s="54">
        <f t="shared" si="1671"/>
        <v>0</v>
      </c>
      <c r="BF435" s="54">
        <f t="shared" si="1671"/>
        <v>0</v>
      </c>
      <c r="BI435">
        <f t="shared" si="1608"/>
        <v>427</v>
      </c>
    </row>
    <row r="436" spans="1:61" hidden="1" outlineLevel="2">
      <c r="A436" s="35"/>
      <c r="B436" s="37" t="s">
        <v>252</v>
      </c>
      <c r="C436" s="68">
        <f>AVERAGEIFS($O436:$BG436,$O$5:$BG$5,C$5)</f>
        <v>0.375</v>
      </c>
      <c r="D436" s="68">
        <f t="shared" ref="D436:M436" si="1672">AVERAGEIFS($O436:$BG436,$O$5:$BG$5,D$5)</f>
        <v>0.375</v>
      </c>
      <c r="E436" s="68">
        <f t="shared" si="1672"/>
        <v>0.375</v>
      </c>
      <c r="F436" s="68">
        <f t="shared" si="1672"/>
        <v>0.375</v>
      </c>
      <c r="G436" s="68">
        <f t="shared" si="1672"/>
        <v>0.375</v>
      </c>
      <c r="H436" s="68">
        <f t="shared" si="1672"/>
        <v>0.375</v>
      </c>
      <c r="I436" s="68">
        <f t="shared" si="1672"/>
        <v>0.375</v>
      </c>
      <c r="J436" s="68">
        <f t="shared" si="1672"/>
        <v>0.375</v>
      </c>
      <c r="K436" s="68">
        <f t="shared" si="1672"/>
        <v>0.24</v>
      </c>
      <c r="L436" s="68">
        <f t="shared" si="1672"/>
        <v>0.24</v>
      </c>
      <c r="M436" s="68">
        <f t="shared" si="1672"/>
        <v>0.24</v>
      </c>
      <c r="O436" s="102">
        <v>0.375</v>
      </c>
      <c r="P436" s="102">
        <v>0.375</v>
      </c>
      <c r="Q436" s="102">
        <v>0.375</v>
      </c>
      <c r="R436" s="102">
        <v>0.375</v>
      </c>
      <c r="S436" s="102">
        <v>0.375</v>
      </c>
      <c r="T436" s="102">
        <v>0.375</v>
      </c>
      <c r="U436" s="102">
        <v>0.375</v>
      </c>
      <c r="V436" s="102">
        <v>0.375</v>
      </c>
      <c r="W436" s="102">
        <v>0.375</v>
      </c>
      <c r="X436" s="102">
        <v>0.375</v>
      </c>
      <c r="Y436" s="102">
        <v>0.375</v>
      </c>
      <c r="Z436" s="102">
        <v>0.375</v>
      </c>
      <c r="AA436" s="102">
        <v>0.375</v>
      </c>
      <c r="AB436" s="102">
        <v>0.375</v>
      </c>
      <c r="AC436" s="102">
        <v>0.375</v>
      </c>
      <c r="AD436" s="102">
        <v>0.375</v>
      </c>
      <c r="AE436" s="102">
        <v>0.375</v>
      </c>
      <c r="AF436" s="102">
        <v>0.375</v>
      </c>
      <c r="AG436" s="102">
        <v>0.375</v>
      </c>
      <c r="AH436" s="102">
        <v>0.375</v>
      </c>
      <c r="AI436" s="102">
        <v>0.375</v>
      </c>
      <c r="AJ436" s="102">
        <v>0.375</v>
      </c>
      <c r="AK436" s="102">
        <v>0.375</v>
      </c>
      <c r="AL436" s="102">
        <v>0.375</v>
      </c>
      <c r="AM436" s="102">
        <v>0.375</v>
      </c>
      <c r="AN436" s="102">
        <v>0.375</v>
      </c>
      <c r="AO436" s="102">
        <v>0.375</v>
      </c>
      <c r="AP436" s="102">
        <v>0.375</v>
      </c>
      <c r="AQ436" s="102">
        <v>0.375</v>
      </c>
      <c r="AR436" s="102">
        <v>0.375</v>
      </c>
      <c r="AS436" s="102">
        <v>0.375</v>
      </c>
      <c r="AT436" s="133">
        <v>0.375</v>
      </c>
      <c r="AU436" s="102">
        <v>0.24</v>
      </c>
      <c r="AV436" s="102">
        <v>0.24</v>
      </c>
      <c r="AW436" s="102">
        <v>0.24</v>
      </c>
      <c r="AX436" s="102">
        <v>0.24</v>
      </c>
      <c r="AY436" s="102">
        <v>0.24</v>
      </c>
      <c r="AZ436" s="102">
        <v>0.24</v>
      </c>
      <c r="BA436" s="102">
        <v>0.24</v>
      </c>
      <c r="BB436" s="102">
        <v>0.24</v>
      </c>
      <c r="BC436" s="102">
        <v>0.24</v>
      </c>
      <c r="BD436" s="102">
        <v>0.24</v>
      </c>
      <c r="BE436" s="102">
        <v>0.24</v>
      </c>
      <c r="BF436" s="102">
        <v>0.24</v>
      </c>
      <c r="BI436">
        <f t="shared" si="1608"/>
        <v>428</v>
      </c>
    </row>
    <row r="437" spans="1:61" outlineLevel="1" collapsed="1">
      <c r="BI437">
        <f t="shared" si="1608"/>
        <v>429</v>
      </c>
    </row>
    <row r="438" spans="1:61" outlineLevel="1">
      <c r="BI438">
        <f t="shared" si="1608"/>
        <v>430</v>
      </c>
    </row>
    <row r="439" spans="1:61" outlineLevel="1">
      <c r="BI439">
        <f t="shared" si="1608"/>
        <v>431</v>
      </c>
    </row>
    <row r="440" spans="1:61" outlineLevel="1">
      <c r="BI440">
        <f t="shared" si="1608"/>
        <v>432</v>
      </c>
    </row>
    <row r="441" spans="1:61">
      <c r="A441"/>
      <c r="C441"/>
      <c r="D441"/>
      <c r="E441"/>
      <c r="F441"/>
      <c r="G441"/>
      <c r="H441"/>
      <c r="I441"/>
      <c r="J441"/>
      <c r="K441"/>
      <c r="L441"/>
      <c r="M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</row>
  </sheetData>
  <conditionalFormatting sqref="O234:BF234">
    <cfRule type="cellIs" dxfId="10" priority="13" operator="equal">
      <formula>0</formula>
    </cfRule>
  </conditionalFormatting>
  <conditionalFormatting sqref="O250:BF250">
    <cfRule type="cellIs" dxfId="9" priority="12" operator="equal">
      <formula>0</formula>
    </cfRule>
  </conditionalFormatting>
  <conditionalFormatting sqref="O330:AS330 AU330:BF330">
    <cfRule type="cellIs" dxfId="8" priority="11" operator="equal">
      <formula>0</formula>
    </cfRule>
  </conditionalFormatting>
  <conditionalFormatting sqref="O266:BF266">
    <cfRule type="cellIs" dxfId="7" priority="10" operator="equal">
      <formula>0</formula>
    </cfRule>
  </conditionalFormatting>
  <conditionalFormatting sqref="O419:BF419">
    <cfRule type="cellIs" dxfId="6" priority="9" operator="equal">
      <formula>0</formula>
    </cfRule>
  </conditionalFormatting>
  <conditionalFormatting sqref="C330:M330">
    <cfRule type="cellIs" dxfId="5" priority="8" operator="equal">
      <formula>0</formula>
    </cfRule>
  </conditionalFormatting>
  <conditionalFormatting sqref="O2:BF2">
    <cfRule type="cellIs" dxfId="4" priority="7" operator="equal">
      <formula>0</formula>
    </cfRule>
  </conditionalFormatting>
  <conditionalFormatting sqref="C2:M2">
    <cfRule type="cellIs" dxfId="3" priority="6" operator="equal">
      <formula>0</formula>
    </cfRule>
  </conditionalFormatting>
  <conditionalFormatting sqref="O296:BF296">
    <cfRule type="cellIs" dxfId="2" priority="5" operator="equal">
      <formula>0</formula>
    </cfRule>
  </conditionalFormatting>
  <conditionalFormatting sqref="C296:M296">
    <cfRule type="cellIs" dxfId="1" priority="4" operator="equal">
      <formula>0</formula>
    </cfRule>
  </conditionalFormatting>
  <conditionalFormatting sqref="AT330">
    <cfRule type="cellIs" dxfId="0" priority="1" operator="equal">
      <formula>0</formula>
    </cfRule>
  </conditionalFormatting>
  <pageMargins left="0.7" right="0.7" top="0.75" bottom="0.75" header="0.3" footer="0.3"/>
  <pageSetup paperSize="11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34.5" style="126" bestFit="1" customWidth="1"/>
    <col min="2" max="2" width="23.1640625" style="158" customWidth="1"/>
    <col min="3" max="3" width="14" style="126" bestFit="1" customWidth="1"/>
    <col min="4" max="256" width="9.33203125" style="126"/>
    <col min="257" max="257" width="34.5" style="126" bestFit="1" customWidth="1"/>
    <col min="258" max="258" width="23.1640625" style="126" customWidth="1"/>
    <col min="259" max="259" width="14" style="126" bestFit="1" customWidth="1"/>
    <col min="260" max="512" width="9.33203125" style="126"/>
    <col min="513" max="513" width="34.5" style="126" bestFit="1" customWidth="1"/>
    <col min="514" max="514" width="23.1640625" style="126" customWidth="1"/>
    <col min="515" max="515" width="14" style="126" bestFit="1" customWidth="1"/>
    <col min="516" max="768" width="9.33203125" style="126"/>
    <col min="769" max="769" width="34.5" style="126" bestFit="1" customWidth="1"/>
    <col min="770" max="770" width="23.1640625" style="126" customWidth="1"/>
    <col min="771" max="771" width="14" style="126" bestFit="1" customWidth="1"/>
    <col min="772" max="1024" width="9.33203125" style="126"/>
    <col min="1025" max="1025" width="34.5" style="126" bestFit="1" customWidth="1"/>
    <col min="1026" max="1026" width="23.1640625" style="126" customWidth="1"/>
    <col min="1027" max="1027" width="14" style="126" bestFit="1" customWidth="1"/>
    <col min="1028" max="1280" width="9.33203125" style="126"/>
    <col min="1281" max="1281" width="34.5" style="126" bestFit="1" customWidth="1"/>
    <col min="1282" max="1282" width="23.1640625" style="126" customWidth="1"/>
    <col min="1283" max="1283" width="14" style="126" bestFit="1" customWidth="1"/>
    <col min="1284" max="1536" width="9.33203125" style="126"/>
    <col min="1537" max="1537" width="34.5" style="126" bestFit="1" customWidth="1"/>
    <col min="1538" max="1538" width="23.1640625" style="126" customWidth="1"/>
    <col min="1539" max="1539" width="14" style="126" bestFit="1" customWidth="1"/>
    <col min="1540" max="1792" width="9.33203125" style="126"/>
    <col min="1793" max="1793" width="34.5" style="126" bestFit="1" customWidth="1"/>
    <col min="1794" max="1794" width="23.1640625" style="126" customWidth="1"/>
    <col min="1795" max="1795" width="14" style="126" bestFit="1" customWidth="1"/>
    <col min="1796" max="2048" width="9.33203125" style="126"/>
    <col min="2049" max="2049" width="34.5" style="126" bestFit="1" customWidth="1"/>
    <col min="2050" max="2050" width="23.1640625" style="126" customWidth="1"/>
    <col min="2051" max="2051" width="14" style="126" bestFit="1" customWidth="1"/>
    <col min="2052" max="2304" width="9.33203125" style="126"/>
    <col min="2305" max="2305" width="34.5" style="126" bestFit="1" customWidth="1"/>
    <col min="2306" max="2306" width="23.1640625" style="126" customWidth="1"/>
    <col min="2307" max="2307" width="14" style="126" bestFit="1" customWidth="1"/>
    <col min="2308" max="2560" width="9.33203125" style="126"/>
    <col min="2561" max="2561" width="34.5" style="126" bestFit="1" customWidth="1"/>
    <col min="2562" max="2562" width="23.1640625" style="126" customWidth="1"/>
    <col min="2563" max="2563" width="14" style="126" bestFit="1" customWidth="1"/>
    <col min="2564" max="2816" width="9.33203125" style="126"/>
    <col min="2817" max="2817" width="34.5" style="126" bestFit="1" customWidth="1"/>
    <col min="2818" max="2818" width="23.1640625" style="126" customWidth="1"/>
    <col min="2819" max="2819" width="14" style="126" bestFit="1" customWidth="1"/>
    <col min="2820" max="3072" width="9.33203125" style="126"/>
    <col min="3073" max="3073" width="34.5" style="126" bestFit="1" customWidth="1"/>
    <col min="3074" max="3074" width="23.1640625" style="126" customWidth="1"/>
    <col min="3075" max="3075" width="14" style="126" bestFit="1" customWidth="1"/>
    <col min="3076" max="3328" width="9.33203125" style="126"/>
    <col min="3329" max="3329" width="34.5" style="126" bestFit="1" customWidth="1"/>
    <col min="3330" max="3330" width="23.1640625" style="126" customWidth="1"/>
    <col min="3331" max="3331" width="14" style="126" bestFit="1" customWidth="1"/>
    <col min="3332" max="3584" width="9.33203125" style="126"/>
    <col min="3585" max="3585" width="34.5" style="126" bestFit="1" customWidth="1"/>
    <col min="3586" max="3586" width="23.1640625" style="126" customWidth="1"/>
    <col min="3587" max="3587" width="14" style="126" bestFit="1" customWidth="1"/>
    <col min="3588" max="3840" width="9.33203125" style="126"/>
    <col min="3841" max="3841" width="34.5" style="126" bestFit="1" customWidth="1"/>
    <col min="3842" max="3842" width="23.1640625" style="126" customWidth="1"/>
    <col min="3843" max="3843" width="14" style="126" bestFit="1" customWidth="1"/>
    <col min="3844" max="4096" width="9.33203125" style="126"/>
    <col min="4097" max="4097" width="34.5" style="126" bestFit="1" customWidth="1"/>
    <col min="4098" max="4098" width="23.1640625" style="126" customWidth="1"/>
    <col min="4099" max="4099" width="14" style="126" bestFit="1" customWidth="1"/>
    <col min="4100" max="4352" width="9.33203125" style="126"/>
    <col min="4353" max="4353" width="34.5" style="126" bestFit="1" customWidth="1"/>
    <col min="4354" max="4354" width="23.1640625" style="126" customWidth="1"/>
    <col min="4355" max="4355" width="14" style="126" bestFit="1" customWidth="1"/>
    <col min="4356" max="4608" width="9.33203125" style="126"/>
    <col min="4609" max="4609" width="34.5" style="126" bestFit="1" customWidth="1"/>
    <col min="4610" max="4610" width="23.1640625" style="126" customWidth="1"/>
    <col min="4611" max="4611" width="14" style="126" bestFit="1" customWidth="1"/>
    <col min="4612" max="4864" width="9.33203125" style="126"/>
    <col min="4865" max="4865" width="34.5" style="126" bestFit="1" customWidth="1"/>
    <col min="4866" max="4866" width="23.1640625" style="126" customWidth="1"/>
    <col min="4867" max="4867" width="14" style="126" bestFit="1" customWidth="1"/>
    <col min="4868" max="5120" width="9.33203125" style="126"/>
    <col min="5121" max="5121" width="34.5" style="126" bestFit="1" customWidth="1"/>
    <col min="5122" max="5122" width="23.1640625" style="126" customWidth="1"/>
    <col min="5123" max="5123" width="14" style="126" bestFit="1" customWidth="1"/>
    <col min="5124" max="5376" width="9.33203125" style="126"/>
    <col min="5377" max="5377" width="34.5" style="126" bestFit="1" customWidth="1"/>
    <col min="5378" max="5378" width="23.1640625" style="126" customWidth="1"/>
    <col min="5379" max="5379" width="14" style="126" bestFit="1" customWidth="1"/>
    <col min="5380" max="5632" width="9.33203125" style="126"/>
    <col min="5633" max="5633" width="34.5" style="126" bestFit="1" customWidth="1"/>
    <col min="5634" max="5634" width="23.1640625" style="126" customWidth="1"/>
    <col min="5635" max="5635" width="14" style="126" bestFit="1" customWidth="1"/>
    <col min="5636" max="5888" width="9.33203125" style="126"/>
    <col min="5889" max="5889" width="34.5" style="126" bestFit="1" customWidth="1"/>
    <col min="5890" max="5890" width="23.1640625" style="126" customWidth="1"/>
    <col min="5891" max="5891" width="14" style="126" bestFit="1" customWidth="1"/>
    <col min="5892" max="6144" width="9.33203125" style="126"/>
    <col min="6145" max="6145" width="34.5" style="126" bestFit="1" customWidth="1"/>
    <col min="6146" max="6146" width="23.1640625" style="126" customWidth="1"/>
    <col min="6147" max="6147" width="14" style="126" bestFit="1" customWidth="1"/>
    <col min="6148" max="6400" width="9.33203125" style="126"/>
    <col min="6401" max="6401" width="34.5" style="126" bestFit="1" customWidth="1"/>
    <col min="6402" max="6402" width="23.1640625" style="126" customWidth="1"/>
    <col min="6403" max="6403" width="14" style="126" bestFit="1" customWidth="1"/>
    <col min="6404" max="6656" width="9.33203125" style="126"/>
    <col min="6657" max="6657" width="34.5" style="126" bestFit="1" customWidth="1"/>
    <col min="6658" max="6658" width="23.1640625" style="126" customWidth="1"/>
    <col min="6659" max="6659" width="14" style="126" bestFit="1" customWidth="1"/>
    <col min="6660" max="6912" width="9.33203125" style="126"/>
    <col min="6913" max="6913" width="34.5" style="126" bestFit="1" customWidth="1"/>
    <col min="6914" max="6914" width="23.1640625" style="126" customWidth="1"/>
    <col min="6915" max="6915" width="14" style="126" bestFit="1" customWidth="1"/>
    <col min="6916" max="7168" width="9.33203125" style="126"/>
    <col min="7169" max="7169" width="34.5" style="126" bestFit="1" customWidth="1"/>
    <col min="7170" max="7170" width="23.1640625" style="126" customWidth="1"/>
    <col min="7171" max="7171" width="14" style="126" bestFit="1" customWidth="1"/>
    <col min="7172" max="7424" width="9.33203125" style="126"/>
    <col min="7425" max="7425" width="34.5" style="126" bestFit="1" customWidth="1"/>
    <col min="7426" max="7426" width="23.1640625" style="126" customWidth="1"/>
    <col min="7427" max="7427" width="14" style="126" bestFit="1" customWidth="1"/>
    <col min="7428" max="7680" width="9.33203125" style="126"/>
    <col min="7681" max="7681" width="34.5" style="126" bestFit="1" customWidth="1"/>
    <col min="7682" max="7682" width="23.1640625" style="126" customWidth="1"/>
    <col min="7683" max="7683" width="14" style="126" bestFit="1" customWidth="1"/>
    <col min="7684" max="7936" width="9.33203125" style="126"/>
    <col min="7937" max="7937" width="34.5" style="126" bestFit="1" customWidth="1"/>
    <col min="7938" max="7938" width="23.1640625" style="126" customWidth="1"/>
    <col min="7939" max="7939" width="14" style="126" bestFit="1" customWidth="1"/>
    <col min="7940" max="8192" width="9.33203125" style="126"/>
    <col min="8193" max="8193" width="34.5" style="126" bestFit="1" customWidth="1"/>
    <col min="8194" max="8194" width="23.1640625" style="126" customWidth="1"/>
    <col min="8195" max="8195" width="14" style="126" bestFit="1" customWidth="1"/>
    <col min="8196" max="8448" width="9.33203125" style="126"/>
    <col min="8449" max="8449" width="34.5" style="126" bestFit="1" customWidth="1"/>
    <col min="8450" max="8450" width="23.1640625" style="126" customWidth="1"/>
    <col min="8451" max="8451" width="14" style="126" bestFit="1" customWidth="1"/>
    <col min="8452" max="8704" width="9.33203125" style="126"/>
    <col min="8705" max="8705" width="34.5" style="126" bestFit="1" customWidth="1"/>
    <col min="8706" max="8706" width="23.1640625" style="126" customWidth="1"/>
    <col min="8707" max="8707" width="14" style="126" bestFit="1" customWidth="1"/>
    <col min="8708" max="8960" width="9.33203125" style="126"/>
    <col min="8961" max="8961" width="34.5" style="126" bestFit="1" customWidth="1"/>
    <col min="8962" max="8962" width="23.1640625" style="126" customWidth="1"/>
    <col min="8963" max="8963" width="14" style="126" bestFit="1" customWidth="1"/>
    <col min="8964" max="9216" width="9.33203125" style="126"/>
    <col min="9217" max="9217" width="34.5" style="126" bestFit="1" customWidth="1"/>
    <col min="9218" max="9218" width="23.1640625" style="126" customWidth="1"/>
    <col min="9219" max="9219" width="14" style="126" bestFit="1" customWidth="1"/>
    <col min="9220" max="9472" width="9.33203125" style="126"/>
    <col min="9473" max="9473" width="34.5" style="126" bestFit="1" customWidth="1"/>
    <col min="9474" max="9474" width="23.1640625" style="126" customWidth="1"/>
    <col min="9475" max="9475" width="14" style="126" bestFit="1" customWidth="1"/>
    <col min="9476" max="9728" width="9.33203125" style="126"/>
    <col min="9729" max="9729" width="34.5" style="126" bestFit="1" customWidth="1"/>
    <col min="9730" max="9730" width="23.1640625" style="126" customWidth="1"/>
    <col min="9731" max="9731" width="14" style="126" bestFit="1" customWidth="1"/>
    <col min="9732" max="9984" width="9.33203125" style="126"/>
    <col min="9985" max="9985" width="34.5" style="126" bestFit="1" customWidth="1"/>
    <col min="9986" max="9986" width="23.1640625" style="126" customWidth="1"/>
    <col min="9987" max="9987" width="14" style="126" bestFit="1" customWidth="1"/>
    <col min="9988" max="10240" width="9.33203125" style="126"/>
    <col min="10241" max="10241" width="34.5" style="126" bestFit="1" customWidth="1"/>
    <col min="10242" max="10242" width="23.1640625" style="126" customWidth="1"/>
    <col min="10243" max="10243" width="14" style="126" bestFit="1" customWidth="1"/>
    <col min="10244" max="10496" width="9.33203125" style="126"/>
    <col min="10497" max="10497" width="34.5" style="126" bestFit="1" customWidth="1"/>
    <col min="10498" max="10498" width="23.1640625" style="126" customWidth="1"/>
    <col min="10499" max="10499" width="14" style="126" bestFit="1" customWidth="1"/>
    <col min="10500" max="10752" width="9.33203125" style="126"/>
    <col min="10753" max="10753" width="34.5" style="126" bestFit="1" customWidth="1"/>
    <col min="10754" max="10754" width="23.1640625" style="126" customWidth="1"/>
    <col min="10755" max="10755" width="14" style="126" bestFit="1" customWidth="1"/>
    <col min="10756" max="11008" width="9.33203125" style="126"/>
    <col min="11009" max="11009" width="34.5" style="126" bestFit="1" customWidth="1"/>
    <col min="11010" max="11010" width="23.1640625" style="126" customWidth="1"/>
    <col min="11011" max="11011" width="14" style="126" bestFit="1" customWidth="1"/>
    <col min="11012" max="11264" width="9.33203125" style="126"/>
    <col min="11265" max="11265" width="34.5" style="126" bestFit="1" customWidth="1"/>
    <col min="11266" max="11266" width="23.1640625" style="126" customWidth="1"/>
    <col min="11267" max="11267" width="14" style="126" bestFit="1" customWidth="1"/>
    <col min="11268" max="11520" width="9.33203125" style="126"/>
    <col min="11521" max="11521" width="34.5" style="126" bestFit="1" customWidth="1"/>
    <col min="11522" max="11522" width="23.1640625" style="126" customWidth="1"/>
    <col min="11523" max="11523" width="14" style="126" bestFit="1" customWidth="1"/>
    <col min="11524" max="11776" width="9.33203125" style="126"/>
    <col min="11777" max="11777" width="34.5" style="126" bestFit="1" customWidth="1"/>
    <col min="11778" max="11778" width="23.1640625" style="126" customWidth="1"/>
    <col min="11779" max="11779" width="14" style="126" bestFit="1" customWidth="1"/>
    <col min="11780" max="12032" width="9.33203125" style="126"/>
    <col min="12033" max="12033" width="34.5" style="126" bestFit="1" customWidth="1"/>
    <col min="12034" max="12034" width="23.1640625" style="126" customWidth="1"/>
    <col min="12035" max="12035" width="14" style="126" bestFit="1" customWidth="1"/>
    <col min="12036" max="12288" width="9.33203125" style="126"/>
    <col min="12289" max="12289" width="34.5" style="126" bestFit="1" customWidth="1"/>
    <col min="12290" max="12290" width="23.1640625" style="126" customWidth="1"/>
    <col min="12291" max="12291" width="14" style="126" bestFit="1" customWidth="1"/>
    <col min="12292" max="12544" width="9.33203125" style="126"/>
    <col min="12545" max="12545" width="34.5" style="126" bestFit="1" customWidth="1"/>
    <col min="12546" max="12546" width="23.1640625" style="126" customWidth="1"/>
    <col min="12547" max="12547" width="14" style="126" bestFit="1" customWidth="1"/>
    <col min="12548" max="12800" width="9.33203125" style="126"/>
    <col min="12801" max="12801" width="34.5" style="126" bestFit="1" customWidth="1"/>
    <col min="12802" max="12802" width="23.1640625" style="126" customWidth="1"/>
    <col min="12803" max="12803" width="14" style="126" bestFit="1" customWidth="1"/>
    <col min="12804" max="13056" width="9.33203125" style="126"/>
    <col min="13057" max="13057" width="34.5" style="126" bestFit="1" customWidth="1"/>
    <col min="13058" max="13058" width="23.1640625" style="126" customWidth="1"/>
    <col min="13059" max="13059" width="14" style="126" bestFit="1" customWidth="1"/>
    <col min="13060" max="13312" width="9.33203125" style="126"/>
    <col min="13313" max="13313" width="34.5" style="126" bestFit="1" customWidth="1"/>
    <col min="13314" max="13314" width="23.1640625" style="126" customWidth="1"/>
    <col min="13315" max="13315" width="14" style="126" bestFit="1" customWidth="1"/>
    <col min="13316" max="13568" width="9.33203125" style="126"/>
    <col min="13569" max="13569" width="34.5" style="126" bestFit="1" customWidth="1"/>
    <col min="13570" max="13570" width="23.1640625" style="126" customWidth="1"/>
    <col min="13571" max="13571" width="14" style="126" bestFit="1" customWidth="1"/>
    <col min="13572" max="13824" width="9.33203125" style="126"/>
    <col min="13825" max="13825" width="34.5" style="126" bestFit="1" customWidth="1"/>
    <col min="13826" max="13826" width="23.1640625" style="126" customWidth="1"/>
    <col min="13827" max="13827" width="14" style="126" bestFit="1" customWidth="1"/>
    <col min="13828" max="14080" width="9.33203125" style="126"/>
    <col min="14081" max="14081" width="34.5" style="126" bestFit="1" customWidth="1"/>
    <col min="14082" max="14082" width="23.1640625" style="126" customWidth="1"/>
    <col min="14083" max="14083" width="14" style="126" bestFit="1" customWidth="1"/>
    <col min="14084" max="14336" width="9.33203125" style="126"/>
    <col min="14337" max="14337" width="34.5" style="126" bestFit="1" customWidth="1"/>
    <col min="14338" max="14338" width="23.1640625" style="126" customWidth="1"/>
    <col min="14339" max="14339" width="14" style="126" bestFit="1" customWidth="1"/>
    <col min="14340" max="14592" width="9.33203125" style="126"/>
    <col min="14593" max="14593" width="34.5" style="126" bestFit="1" customWidth="1"/>
    <col min="14594" max="14594" width="23.1640625" style="126" customWidth="1"/>
    <col min="14595" max="14595" width="14" style="126" bestFit="1" customWidth="1"/>
    <col min="14596" max="14848" width="9.33203125" style="126"/>
    <col min="14849" max="14849" width="34.5" style="126" bestFit="1" customWidth="1"/>
    <col min="14850" max="14850" width="23.1640625" style="126" customWidth="1"/>
    <col min="14851" max="14851" width="14" style="126" bestFit="1" customWidth="1"/>
    <col min="14852" max="15104" width="9.33203125" style="126"/>
    <col min="15105" max="15105" width="34.5" style="126" bestFit="1" customWidth="1"/>
    <col min="15106" max="15106" width="23.1640625" style="126" customWidth="1"/>
    <col min="15107" max="15107" width="14" style="126" bestFit="1" customWidth="1"/>
    <col min="15108" max="15360" width="9.33203125" style="126"/>
    <col min="15361" max="15361" width="34.5" style="126" bestFit="1" customWidth="1"/>
    <col min="15362" max="15362" width="23.1640625" style="126" customWidth="1"/>
    <col min="15363" max="15363" width="14" style="126" bestFit="1" customWidth="1"/>
    <col min="15364" max="15616" width="9.33203125" style="126"/>
    <col min="15617" max="15617" width="34.5" style="126" bestFit="1" customWidth="1"/>
    <col min="15618" max="15618" width="23.1640625" style="126" customWidth="1"/>
    <col min="15619" max="15619" width="14" style="126" bestFit="1" customWidth="1"/>
    <col min="15620" max="15872" width="9.33203125" style="126"/>
    <col min="15873" max="15873" width="34.5" style="126" bestFit="1" customWidth="1"/>
    <col min="15874" max="15874" width="23.1640625" style="126" customWidth="1"/>
    <col min="15875" max="15875" width="14" style="126" bestFit="1" customWidth="1"/>
    <col min="15876" max="16128" width="9.33203125" style="126"/>
    <col min="16129" max="16129" width="34.5" style="126" bestFit="1" customWidth="1"/>
    <col min="16130" max="16130" width="23.1640625" style="126" customWidth="1"/>
    <col min="16131" max="16131" width="14" style="126" bestFit="1" customWidth="1"/>
    <col min="16132" max="16384" width="9.33203125" style="126"/>
  </cols>
  <sheetData>
    <row r="1" spans="1:2">
      <c r="A1" s="126" t="s">
        <v>618</v>
      </c>
      <c r="B1" s="157">
        <v>6.1</v>
      </c>
    </row>
    <row r="2" spans="1:2">
      <c r="A2" s="126" t="s">
        <v>619</v>
      </c>
      <c r="B2" s="161">
        <v>43201.473368055558</v>
      </c>
    </row>
    <row r="3" spans="1:2">
      <c r="A3" s="126" t="s">
        <v>620</v>
      </c>
      <c r="B3" s="158" t="s">
        <v>322</v>
      </c>
    </row>
    <row r="4" spans="1:2">
      <c r="A4" s="126" t="s">
        <v>621</v>
      </c>
      <c r="B4" s="158" t="s">
        <v>622</v>
      </c>
    </row>
    <row r="5" spans="1:2">
      <c r="A5" s="126" t="s">
        <v>623</v>
      </c>
      <c r="B5" s="158" t="s">
        <v>624</v>
      </c>
    </row>
    <row r="6" spans="1:2">
      <c r="A6" s="126" t="s">
        <v>625</v>
      </c>
    </row>
    <row r="7" spans="1:2">
      <c r="A7" s="126" t="s">
        <v>626</v>
      </c>
      <c r="B7" s="158" t="s">
        <v>306</v>
      </c>
    </row>
    <row r="8" spans="1:2">
      <c r="A8" s="126" t="s">
        <v>627</v>
      </c>
      <c r="B8" s="158" t="s">
        <v>628</v>
      </c>
    </row>
    <row r="9" spans="1:2">
      <c r="A9" s="126" t="s">
        <v>629</v>
      </c>
      <c r="B9" s="158" t="s">
        <v>667</v>
      </c>
    </row>
    <row r="10" spans="1:2">
      <c r="A10" s="126" t="s">
        <v>630</v>
      </c>
    </row>
    <row r="11" spans="1:2">
      <c r="A11" s="126" t="s">
        <v>631</v>
      </c>
    </row>
    <row r="12" spans="1:2">
      <c r="A12" s="126" t="s">
        <v>632</v>
      </c>
    </row>
    <row r="13" spans="1:2">
      <c r="A13" s="126" t="s">
        <v>633</v>
      </c>
    </row>
    <row r="14" spans="1:2">
      <c r="A14" s="126" t="s">
        <v>634</v>
      </c>
    </row>
    <row r="15" spans="1:2">
      <c r="A15" s="126" t="s">
        <v>635</v>
      </c>
    </row>
    <row r="16" spans="1:2">
      <c r="A16" s="126" t="s">
        <v>636</v>
      </c>
    </row>
    <row r="17" spans="1:4">
      <c r="A17" s="126" t="s">
        <v>637</v>
      </c>
      <c r="B17" s="158" t="s">
        <v>668</v>
      </c>
    </row>
    <row r="18" spans="1:4">
      <c r="A18" s="126" t="s">
        <v>638</v>
      </c>
      <c r="B18" s="158" t="s">
        <v>323</v>
      </c>
    </row>
    <row r="19" spans="1:4">
      <c r="A19" s="126" t="s">
        <v>639</v>
      </c>
      <c r="B19" s="158" t="s">
        <v>305</v>
      </c>
    </row>
    <row r="20" spans="1:4">
      <c r="A20" s="126" t="s">
        <v>640</v>
      </c>
      <c r="B20" s="159">
        <v>703481101</v>
      </c>
    </row>
    <row r="21" spans="1:4">
      <c r="A21" s="126" t="s">
        <v>641</v>
      </c>
      <c r="B21" s="158" t="s">
        <v>305</v>
      </c>
    </row>
    <row r="22" spans="1:4">
      <c r="A22" s="126" t="s">
        <v>642</v>
      </c>
      <c r="B22" s="159">
        <v>2672537</v>
      </c>
    </row>
    <row r="23" spans="1:4">
      <c r="A23" s="126" t="s">
        <v>308</v>
      </c>
      <c r="B23" s="157">
        <v>19.34</v>
      </c>
    </row>
    <row r="24" spans="1:4">
      <c r="A24" s="126" t="s">
        <v>307</v>
      </c>
      <c r="B24" s="158" t="s">
        <v>304</v>
      </c>
      <c r="D24" s="126" t="s">
        <v>643</v>
      </c>
    </row>
    <row r="25" spans="1:4">
      <c r="A25" s="126" t="s">
        <v>644</v>
      </c>
      <c r="B25" s="158" t="s">
        <v>671</v>
      </c>
    </row>
    <row r="26" spans="1:4">
      <c r="A26" s="126" t="s">
        <v>645</v>
      </c>
      <c r="B26" s="158">
        <v>0</v>
      </c>
    </row>
    <row r="27" spans="1:4">
      <c r="A27" s="126" t="s">
        <v>646</v>
      </c>
      <c r="B27" s="158" t="s">
        <v>647</v>
      </c>
    </row>
    <row r="28" spans="1:4">
      <c r="A28" s="126" t="s">
        <v>648</v>
      </c>
      <c r="B28" s="158" t="s">
        <v>649</v>
      </c>
    </row>
    <row r="29" spans="1:4">
      <c r="A29" s="126" t="s">
        <v>650</v>
      </c>
    </row>
    <row r="30" spans="1:4">
      <c r="A30" s="126" t="s">
        <v>651</v>
      </c>
    </row>
    <row r="31" spans="1:4">
      <c r="A31" s="126" t="s">
        <v>652</v>
      </c>
    </row>
    <row r="32" spans="1:4">
      <c r="A32" s="126" t="s">
        <v>653</v>
      </c>
      <c r="B32" s="157"/>
    </row>
    <row r="33" spans="1:2">
      <c r="A33" s="126" t="s">
        <v>654</v>
      </c>
      <c r="B33" s="157"/>
    </row>
    <row r="34" spans="1:2">
      <c r="A34" s="126" t="s">
        <v>655</v>
      </c>
      <c r="B34" s="157"/>
    </row>
    <row r="35" spans="1:2">
      <c r="A35" s="126" t="s">
        <v>656</v>
      </c>
      <c r="B35" s="158">
        <v>1000000</v>
      </c>
    </row>
    <row r="36" spans="1:2">
      <c r="A36" s="126" t="s">
        <v>657</v>
      </c>
      <c r="B36" s="158" t="s">
        <v>669</v>
      </c>
    </row>
    <row r="37" spans="1:2">
      <c r="A37" s="126" t="s">
        <v>658</v>
      </c>
      <c r="B37" s="158" t="s">
        <v>659</v>
      </c>
    </row>
    <row r="38" spans="1:2">
      <c r="A38" s="126" t="s">
        <v>660</v>
      </c>
      <c r="B38" s="158" t="s">
        <v>661</v>
      </c>
    </row>
    <row r="39" spans="1:2">
      <c r="A39" s="126" t="s">
        <v>662</v>
      </c>
      <c r="B39" s="158" t="s">
        <v>670</v>
      </c>
    </row>
    <row r="40" spans="1:2">
      <c r="A40" s="126" t="s">
        <v>663</v>
      </c>
      <c r="B40" s="158">
        <v>1500000135</v>
      </c>
    </row>
    <row r="41" spans="1:2">
      <c r="A41" s="126" t="s">
        <v>664</v>
      </c>
      <c r="B41" s="158">
        <v>1</v>
      </c>
    </row>
    <row r="42" spans="1:2">
      <c r="A42" s="160" t="s">
        <v>665</v>
      </c>
    </row>
    <row r="43" spans="1:2">
      <c r="A43" s="126" t="s">
        <v>666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33.33203125" style="126" bestFit="1" customWidth="1"/>
    <col min="2" max="256" width="9.33203125" style="126"/>
    <col min="257" max="257" width="33.33203125" style="126" bestFit="1" customWidth="1"/>
    <col min="258" max="512" width="9.33203125" style="126"/>
    <col min="513" max="513" width="33.33203125" style="126" bestFit="1" customWidth="1"/>
    <col min="514" max="768" width="9.33203125" style="126"/>
    <col min="769" max="769" width="33.33203125" style="126" bestFit="1" customWidth="1"/>
    <col min="770" max="1024" width="9.33203125" style="126"/>
    <col min="1025" max="1025" width="33.33203125" style="126" bestFit="1" customWidth="1"/>
    <col min="1026" max="1280" width="9.33203125" style="126"/>
    <col min="1281" max="1281" width="33.33203125" style="126" bestFit="1" customWidth="1"/>
    <col min="1282" max="1536" width="9.33203125" style="126"/>
    <col min="1537" max="1537" width="33.33203125" style="126" bestFit="1" customWidth="1"/>
    <col min="1538" max="1792" width="9.33203125" style="126"/>
    <col min="1793" max="1793" width="33.33203125" style="126" bestFit="1" customWidth="1"/>
    <col min="1794" max="2048" width="9.33203125" style="126"/>
    <col min="2049" max="2049" width="33.33203125" style="126" bestFit="1" customWidth="1"/>
    <col min="2050" max="2304" width="9.33203125" style="126"/>
    <col min="2305" max="2305" width="33.33203125" style="126" bestFit="1" customWidth="1"/>
    <col min="2306" max="2560" width="9.33203125" style="126"/>
    <col min="2561" max="2561" width="33.33203125" style="126" bestFit="1" customWidth="1"/>
    <col min="2562" max="2816" width="9.33203125" style="126"/>
    <col min="2817" max="2817" width="33.33203125" style="126" bestFit="1" customWidth="1"/>
    <col min="2818" max="3072" width="9.33203125" style="126"/>
    <col min="3073" max="3073" width="33.33203125" style="126" bestFit="1" customWidth="1"/>
    <col min="3074" max="3328" width="9.33203125" style="126"/>
    <col min="3329" max="3329" width="33.33203125" style="126" bestFit="1" customWidth="1"/>
    <col min="3330" max="3584" width="9.33203125" style="126"/>
    <col min="3585" max="3585" width="33.33203125" style="126" bestFit="1" customWidth="1"/>
    <col min="3586" max="3840" width="9.33203125" style="126"/>
    <col min="3841" max="3841" width="33.33203125" style="126" bestFit="1" customWidth="1"/>
    <col min="3842" max="4096" width="9.33203125" style="126"/>
    <col min="4097" max="4097" width="33.33203125" style="126" bestFit="1" customWidth="1"/>
    <col min="4098" max="4352" width="9.33203125" style="126"/>
    <col min="4353" max="4353" width="33.33203125" style="126" bestFit="1" customWidth="1"/>
    <col min="4354" max="4608" width="9.33203125" style="126"/>
    <col min="4609" max="4609" width="33.33203125" style="126" bestFit="1" customWidth="1"/>
    <col min="4610" max="4864" width="9.33203125" style="126"/>
    <col min="4865" max="4865" width="33.33203125" style="126" bestFit="1" customWidth="1"/>
    <col min="4866" max="5120" width="9.33203125" style="126"/>
    <col min="5121" max="5121" width="33.33203125" style="126" bestFit="1" customWidth="1"/>
    <col min="5122" max="5376" width="9.33203125" style="126"/>
    <col min="5377" max="5377" width="33.33203125" style="126" bestFit="1" customWidth="1"/>
    <col min="5378" max="5632" width="9.33203125" style="126"/>
    <col min="5633" max="5633" width="33.33203125" style="126" bestFit="1" customWidth="1"/>
    <col min="5634" max="5888" width="9.33203125" style="126"/>
    <col min="5889" max="5889" width="33.33203125" style="126" bestFit="1" customWidth="1"/>
    <col min="5890" max="6144" width="9.33203125" style="126"/>
    <col min="6145" max="6145" width="33.33203125" style="126" bestFit="1" customWidth="1"/>
    <col min="6146" max="6400" width="9.33203125" style="126"/>
    <col min="6401" max="6401" width="33.33203125" style="126" bestFit="1" customWidth="1"/>
    <col min="6402" max="6656" width="9.33203125" style="126"/>
    <col min="6657" max="6657" width="33.33203125" style="126" bestFit="1" customWidth="1"/>
    <col min="6658" max="6912" width="9.33203125" style="126"/>
    <col min="6913" max="6913" width="33.33203125" style="126" bestFit="1" customWidth="1"/>
    <col min="6914" max="7168" width="9.33203125" style="126"/>
    <col min="7169" max="7169" width="33.33203125" style="126" bestFit="1" customWidth="1"/>
    <col min="7170" max="7424" width="9.33203125" style="126"/>
    <col min="7425" max="7425" width="33.33203125" style="126" bestFit="1" customWidth="1"/>
    <col min="7426" max="7680" width="9.33203125" style="126"/>
    <col min="7681" max="7681" width="33.33203125" style="126" bestFit="1" customWidth="1"/>
    <col min="7682" max="7936" width="9.33203125" style="126"/>
    <col min="7937" max="7937" width="33.33203125" style="126" bestFit="1" customWidth="1"/>
    <col min="7938" max="8192" width="9.33203125" style="126"/>
    <col min="8193" max="8193" width="33.33203125" style="126" bestFit="1" customWidth="1"/>
    <col min="8194" max="8448" width="9.33203125" style="126"/>
    <col min="8449" max="8449" width="33.33203125" style="126" bestFit="1" customWidth="1"/>
    <col min="8450" max="8704" width="9.33203125" style="126"/>
    <col min="8705" max="8705" width="33.33203125" style="126" bestFit="1" customWidth="1"/>
    <col min="8706" max="8960" width="9.33203125" style="126"/>
    <col min="8961" max="8961" width="33.33203125" style="126" bestFit="1" customWidth="1"/>
    <col min="8962" max="9216" width="9.33203125" style="126"/>
    <col min="9217" max="9217" width="33.33203125" style="126" bestFit="1" customWidth="1"/>
    <col min="9218" max="9472" width="9.33203125" style="126"/>
    <col min="9473" max="9473" width="33.33203125" style="126" bestFit="1" customWidth="1"/>
    <col min="9474" max="9728" width="9.33203125" style="126"/>
    <col min="9729" max="9729" width="33.33203125" style="126" bestFit="1" customWidth="1"/>
    <col min="9730" max="9984" width="9.33203125" style="126"/>
    <col min="9985" max="9985" width="33.33203125" style="126" bestFit="1" customWidth="1"/>
    <col min="9986" max="10240" width="9.33203125" style="126"/>
    <col min="10241" max="10241" width="33.33203125" style="126" bestFit="1" customWidth="1"/>
    <col min="10242" max="10496" width="9.33203125" style="126"/>
    <col min="10497" max="10497" width="33.33203125" style="126" bestFit="1" customWidth="1"/>
    <col min="10498" max="10752" width="9.33203125" style="126"/>
    <col min="10753" max="10753" width="33.33203125" style="126" bestFit="1" customWidth="1"/>
    <col min="10754" max="11008" width="9.33203125" style="126"/>
    <col min="11009" max="11009" width="33.33203125" style="126" bestFit="1" customWidth="1"/>
    <col min="11010" max="11264" width="9.33203125" style="126"/>
    <col min="11265" max="11265" width="33.33203125" style="126" bestFit="1" customWidth="1"/>
    <col min="11266" max="11520" width="9.33203125" style="126"/>
    <col min="11521" max="11521" width="33.33203125" style="126" bestFit="1" customWidth="1"/>
    <col min="11522" max="11776" width="9.33203125" style="126"/>
    <col min="11777" max="11777" width="33.33203125" style="126" bestFit="1" customWidth="1"/>
    <col min="11778" max="12032" width="9.33203125" style="126"/>
    <col min="12033" max="12033" width="33.33203125" style="126" bestFit="1" customWidth="1"/>
    <col min="12034" max="12288" width="9.33203125" style="126"/>
    <col min="12289" max="12289" width="33.33203125" style="126" bestFit="1" customWidth="1"/>
    <col min="12290" max="12544" width="9.33203125" style="126"/>
    <col min="12545" max="12545" width="33.33203125" style="126" bestFit="1" customWidth="1"/>
    <col min="12546" max="12800" width="9.33203125" style="126"/>
    <col min="12801" max="12801" width="33.33203125" style="126" bestFit="1" customWidth="1"/>
    <col min="12802" max="13056" width="9.33203125" style="126"/>
    <col min="13057" max="13057" width="33.33203125" style="126" bestFit="1" customWidth="1"/>
    <col min="13058" max="13312" width="9.33203125" style="126"/>
    <col min="13313" max="13313" width="33.33203125" style="126" bestFit="1" customWidth="1"/>
    <col min="13314" max="13568" width="9.33203125" style="126"/>
    <col min="13569" max="13569" width="33.33203125" style="126" bestFit="1" customWidth="1"/>
    <col min="13570" max="13824" width="9.33203125" style="126"/>
    <col min="13825" max="13825" width="33.33203125" style="126" bestFit="1" customWidth="1"/>
    <col min="13826" max="14080" width="9.33203125" style="126"/>
    <col min="14081" max="14081" width="33.33203125" style="126" bestFit="1" customWidth="1"/>
    <col min="14082" max="14336" width="9.33203125" style="126"/>
    <col min="14337" max="14337" width="33.33203125" style="126" bestFit="1" customWidth="1"/>
    <col min="14338" max="14592" width="9.33203125" style="126"/>
    <col min="14593" max="14593" width="33.33203125" style="126" bestFit="1" customWidth="1"/>
    <col min="14594" max="14848" width="9.33203125" style="126"/>
    <col min="14849" max="14849" width="33.33203125" style="126" bestFit="1" customWidth="1"/>
    <col min="14850" max="15104" width="9.33203125" style="126"/>
    <col min="15105" max="15105" width="33.33203125" style="126" bestFit="1" customWidth="1"/>
    <col min="15106" max="15360" width="9.33203125" style="126"/>
    <col min="15361" max="15361" width="33.33203125" style="126" bestFit="1" customWidth="1"/>
    <col min="15362" max="15616" width="9.33203125" style="126"/>
    <col min="15617" max="15617" width="33.33203125" style="126" bestFit="1" customWidth="1"/>
    <col min="15618" max="15872" width="9.33203125" style="126"/>
    <col min="15873" max="15873" width="33.33203125" style="126" bestFit="1" customWidth="1"/>
    <col min="15874" max="16128" width="9.33203125" style="126"/>
    <col min="16129" max="16129" width="33.33203125" style="126" bestFit="1" customWidth="1"/>
    <col min="16130" max="16384" width="9.33203125" style="126"/>
  </cols>
  <sheetData>
    <row r="1" spans="1:1">
      <c r="A1" s="162" t="s">
        <v>672</v>
      </c>
    </row>
    <row r="2" spans="1:1">
      <c r="A2" s="162" t="s">
        <v>677</v>
      </c>
    </row>
    <row r="3" spans="1:1">
      <c r="A3" s="162" t="s">
        <v>678</v>
      </c>
    </row>
    <row r="4" spans="1:1">
      <c r="A4" s="162" t="s">
        <v>679</v>
      </c>
    </row>
    <row r="5" spans="1:1">
      <c r="A5" s="162" t="s">
        <v>680</v>
      </c>
    </row>
    <row r="6" spans="1:1">
      <c r="A6" s="162" t="s">
        <v>673</v>
      </c>
    </row>
    <row r="7" spans="1:1">
      <c r="A7" s="162" t="s">
        <v>681</v>
      </c>
    </row>
    <row r="8" spans="1:1">
      <c r="A8" s="162" t="s">
        <v>682</v>
      </c>
    </row>
    <row r="9" spans="1:1">
      <c r="A9" s="162" t="s">
        <v>683</v>
      </c>
    </row>
    <row r="10" spans="1:1">
      <c r="A10" s="162" t="s">
        <v>674</v>
      </c>
    </row>
    <row r="11" spans="1:1">
      <c r="A11" s="162" t="s">
        <v>684</v>
      </c>
    </row>
    <row r="12" spans="1:1">
      <c r="A12" s="162" t="s">
        <v>675</v>
      </c>
    </row>
    <row r="13" spans="1:1">
      <c r="A13" s="162" t="s">
        <v>676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/>
  </sheetViews>
  <sheetFormatPr defaultRowHeight="11.25"/>
  <sheetData>
    <row r="1" spans="1:6">
      <c r="A1" t="s">
        <v>313</v>
      </c>
    </row>
    <row r="2" spans="1:6">
      <c r="A2" s="124" t="s">
        <v>310</v>
      </c>
      <c r="B2" s="124" t="s">
        <v>304</v>
      </c>
      <c r="C2" s="124" t="s">
        <v>311</v>
      </c>
      <c r="D2" s="124" t="s">
        <v>314</v>
      </c>
      <c r="E2" s="124" t="s">
        <v>312</v>
      </c>
      <c r="F2" s="124" t="s">
        <v>315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70</vt:i4>
      </vt:variant>
    </vt:vector>
  </HeadingPairs>
  <TitlesOfParts>
    <vt:vector size="74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2017-11-24T17:39:26Z</dcterms:created>
  <dc:creator>Lynagh, Connor J (Research)</dc:creator>
  <cp:lastModifiedBy>Ozier, Alex (Research)</cp:lastModifiedBy>
  <dcterms:modified xsi:type="dcterms:W3CDTF">2018-04-11T15:21:40Z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761003</vt:lpwstr>
  </property>
  <property fmtid="{D5CDD505-2E9C-101B-9397-08002B2CF9AE}" name="ERModPubCompanyName" pid="5">
    <vt:lpwstr>Patterson-UTI Energy</vt:lpwstr>
  </property>
  <property fmtid="{D5CDD505-2E9C-101B-9397-08002B2CF9AE}" name="MSDH34TAG" pid="6">
    <vt:lpwstr>.TEZUF76X5TAHATHESADREYAK-00-INB160+*94600-06=0b4be410/-3d9c/-11e8/-b3f7/-7a79cfe26848,MD=20180411112311/-0400,ZZ=000Z-74a3.</vt:lpwstr>
  </property>
</Properties>
</file>